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.aicardi\Desktop\BI\FEBRERO '26\2402\Envios\"/>
    </mc:Choice>
  </mc:AlternateContent>
  <xr:revisionPtr revIDLastSave="0" documentId="8_{72C34D05-516F-402B-9F79-1C1A66151015}" xr6:coauthVersionLast="47" xr6:coauthVersionMax="47" xr10:uidLastSave="{00000000-0000-0000-0000-000000000000}"/>
  <bookViews>
    <workbookView xWindow="-110" yWindow="-110" windowWidth="19420" windowHeight="10300" xr2:uid="{11A886F9-130F-4D63-8FD0-64FEF491B19F}"/>
  </bookViews>
  <sheets>
    <sheet name="Resumen" sheetId="1" r:id="rId1"/>
    <sheet name="HG" sheetId="2" r:id="rId2"/>
    <sheet name="SCH" sheetId="3" r:id="rId3"/>
    <sheet name="UNT" sheetId="4" r:id="rId4"/>
    <sheet name="RB" sheetId="5" r:id="rId5"/>
    <sheet name="SJ" sheetId="6" r:id="rId6"/>
    <sheet name="GRASA" sheetId="7" r:id="rId7"/>
    <sheet name="PICADA" sheetId="8" r:id="rId8"/>
    <sheet name="PAPAS" sheetId="9" r:id="rId9"/>
    <sheet name="ATUN" sheetId="10" r:id="rId10"/>
    <sheet name="CHORIZOS" sheetId="11" r:id="rId11"/>
    <sheet name="CORTES POR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54" i="12" l="1"/>
  <c r="AN54" i="12"/>
  <c r="AO54" i="12" s="1"/>
  <c r="AM53" i="12"/>
  <c r="AN53" i="12"/>
  <c r="AO53" i="12" s="1"/>
  <c r="AM52" i="12"/>
  <c r="AN52" i="12"/>
  <c r="AO52" i="12" s="1"/>
  <c r="AM51" i="12"/>
  <c r="AN51" i="12"/>
  <c r="AO51" i="12" s="1"/>
  <c r="AM50" i="12"/>
  <c r="AN50" i="12"/>
  <c r="AO50" i="12" s="1"/>
  <c r="AM49" i="12"/>
  <c r="AN49" i="12"/>
  <c r="AO49" i="12" s="1"/>
  <c r="AN48" i="12"/>
  <c r="AO48" i="12" s="1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AM45" i="12"/>
  <c r="AN45" i="12"/>
  <c r="AO45" i="12" s="1"/>
  <c r="AM44" i="12"/>
  <c r="AN44" i="12"/>
  <c r="AO44" i="12" s="1"/>
  <c r="AM43" i="12"/>
  <c r="AN43" i="12"/>
  <c r="AO43" i="12" s="1"/>
  <c r="AM42" i="12"/>
  <c r="AN42" i="12"/>
  <c r="AO42" i="12" s="1"/>
  <c r="AO41" i="12"/>
  <c r="AN41" i="12"/>
  <c r="AM41" i="12"/>
  <c r="AM40" i="12"/>
  <c r="AN40" i="12"/>
  <c r="AO40" i="12" s="1"/>
  <c r="AN39" i="12"/>
  <c r="AO39" i="12" s="1"/>
  <c r="AM39" i="12"/>
  <c r="AM38" i="12"/>
  <c r="AN38" i="12"/>
  <c r="AO38" i="12" s="1"/>
  <c r="AL37" i="12"/>
  <c r="AM37" i="12" s="1"/>
  <c r="AN35" i="12"/>
  <c r="AM33" i="12"/>
  <c r="AL33" i="12"/>
  <c r="AN32" i="12"/>
  <c r="AO32" i="12" s="1"/>
  <c r="AN31" i="12"/>
  <c r="X30" i="12"/>
  <c r="W30" i="12"/>
  <c r="V30" i="12"/>
  <c r="U30" i="12"/>
  <c r="T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AO29" i="12"/>
  <c r="AN29" i="12"/>
  <c r="AN30" i="12" s="1"/>
  <c r="AO30" i="12" s="1"/>
  <c r="AM29" i="12"/>
  <c r="AL30" i="12"/>
  <c r="AM30" i="12" s="1"/>
  <c r="AK30" i="12"/>
  <c r="AD28" i="12"/>
  <c r="AC28" i="12"/>
  <c r="AB28" i="12"/>
  <c r="AA28" i="12"/>
  <c r="Z28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AN27" i="12"/>
  <c r="AO27" i="12" s="1"/>
  <c r="AN26" i="12"/>
  <c r="AO26" i="12" s="1"/>
  <c r="AN25" i="12"/>
  <c r="AO25" i="12" s="1"/>
  <c r="AL28" i="12"/>
  <c r="AM28" i="12" s="1"/>
  <c r="AN24" i="12"/>
  <c r="AO24" i="12" s="1"/>
  <c r="AN23" i="12"/>
  <c r="X22" i="12"/>
  <c r="W22" i="12"/>
  <c r="V22" i="12"/>
  <c r="U22" i="12"/>
  <c r="T22" i="12"/>
  <c r="R22" i="12"/>
  <c r="Q22" i="12"/>
  <c r="P22" i="12"/>
  <c r="O22" i="12"/>
  <c r="N22" i="12"/>
  <c r="N47" i="12" s="1"/>
  <c r="M22" i="12"/>
  <c r="L22" i="12"/>
  <c r="K22" i="12"/>
  <c r="J22" i="12"/>
  <c r="I22" i="12"/>
  <c r="H22" i="12"/>
  <c r="G22" i="12"/>
  <c r="F22" i="12"/>
  <c r="E22" i="12"/>
  <c r="AM21" i="12"/>
  <c r="AN21" i="12"/>
  <c r="AO21" i="12" s="1"/>
  <c r="AN20" i="12"/>
  <c r="AO20" i="12" s="1"/>
  <c r="AM20" i="12"/>
  <c r="AL22" i="12"/>
  <c r="AM22" i="12" s="1"/>
  <c r="AD18" i="12"/>
  <c r="AC18" i="12"/>
  <c r="AB18" i="12"/>
  <c r="AA18" i="12"/>
  <c r="Z18" i="12"/>
  <c r="Y18" i="12"/>
  <c r="X18" i="12"/>
  <c r="X47" i="12" s="1"/>
  <c r="W18" i="12"/>
  <c r="W47" i="12" s="1"/>
  <c r="V18" i="12"/>
  <c r="V47" i="12" s="1"/>
  <c r="U18" i="12"/>
  <c r="U47" i="12" s="1"/>
  <c r="T18" i="12"/>
  <c r="T47" i="12" s="1"/>
  <c r="S18" i="12"/>
  <c r="R18" i="12"/>
  <c r="R47" i="12" s="1"/>
  <c r="Q18" i="12"/>
  <c r="Q47" i="12" s="1"/>
  <c r="P18" i="12"/>
  <c r="P47" i="12" s="1"/>
  <c r="O18" i="12"/>
  <c r="O47" i="12" s="1"/>
  <c r="N18" i="12"/>
  <c r="M18" i="12"/>
  <c r="M47" i="12" s="1"/>
  <c r="L18" i="12"/>
  <c r="L47" i="12" s="1"/>
  <c r="K18" i="12"/>
  <c r="K47" i="12" s="1"/>
  <c r="J18" i="12"/>
  <c r="J47" i="12" s="1"/>
  <c r="I18" i="12"/>
  <c r="I47" i="12" s="1"/>
  <c r="H18" i="12"/>
  <c r="H47" i="12" s="1"/>
  <c r="G18" i="12"/>
  <c r="G47" i="12" s="1"/>
  <c r="F18" i="12"/>
  <c r="F47" i="12" s="1"/>
  <c r="E18" i="12"/>
  <c r="E47" i="12" s="1"/>
  <c r="AN17" i="12"/>
  <c r="AO17" i="12" s="1"/>
  <c r="AN16" i="12"/>
  <c r="AO16" i="12" s="1"/>
  <c r="AN15" i="12"/>
  <c r="AO15" i="12" s="1"/>
  <c r="AN14" i="12"/>
  <c r="AO14" i="12" s="1"/>
  <c r="AO13" i="12"/>
  <c r="AN13" i="12"/>
  <c r="AO11" i="12"/>
  <c r="AN11" i="12"/>
  <c r="AN10" i="12"/>
  <c r="AO10" i="12" s="1"/>
  <c r="AN9" i="12"/>
  <c r="AO9" i="12" s="1"/>
  <c r="AO8" i="12"/>
  <c r="AN8" i="12"/>
  <c r="AN7" i="12"/>
  <c r="AO7" i="12" s="1"/>
  <c r="AN6" i="12"/>
  <c r="AO6" i="12" s="1"/>
  <c r="AN5" i="12"/>
  <c r="AO5" i="12" s="1"/>
  <c r="AN4" i="12"/>
  <c r="AO4" i="12" s="1"/>
  <c r="AN3" i="12"/>
  <c r="AM55" i="11"/>
  <c r="AM54" i="11"/>
  <c r="AN54" i="11"/>
  <c r="AO54" i="11" s="1"/>
  <c r="AM53" i="11"/>
  <c r="AM52" i="11"/>
  <c r="AN52" i="11"/>
  <c r="AO52" i="11" s="1"/>
  <c r="AO51" i="11"/>
  <c r="AM51" i="11"/>
  <c r="AN51" i="11"/>
  <c r="AO50" i="11"/>
  <c r="AM50" i="11"/>
  <c r="AN50" i="11"/>
  <c r="AM49" i="11"/>
  <c r="AN49" i="11"/>
  <c r="AO49" i="11" s="1"/>
  <c r="AN48" i="11"/>
  <c r="AO48" i="11" s="1"/>
  <c r="AM48" i="11"/>
  <c r="L47" i="11"/>
  <c r="G47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AO45" i="11"/>
  <c r="AM45" i="11"/>
  <c r="AN45" i="11"/>
  <c r="AM44" i="11"/>
  <c r="AM43" i="11"/>
  <c r="AN43" i="11"/>
  <c r="AO43" i="11" s="1"/>
  <c r="AM42" i="11"/>
  <c r="AN42" i="11"/>
  <c r="AO42" i="11" s="1"/>
  <c r="AM41" i="11"/>
  <c r="AN41" i="11"/>
  <c r="AO41" i="11" s="1"/>
  <c r="AN40" i="11"/>
  <c r="AO40" i="11" s="1"/>
  <c r="AM40" i="11"/>
  <c r="AM39" i="11"/>
  <c r="AN39" i="11"/>
  <c r="AO39" i="11" s="1"/>
  <c r="AM38" i="11"/>
  <c r="AK46" i="11"/>
  <c r="AK37" i="11"/>
  <c r="AM36" i="11"/>
  <c r="AO35" i="11"/>
  <c r="AN35" i="11"/>
  <c r="AM35" i="11"/>
  <c r="AM32" i="11"/>
  <c r="AM31" i="11"/>
  <c r="AL33" i="11"/>
  <c r="AM33" i="11" s="1"/>
  <c r="AK30" i="11"/>
  <c r="X30" i="11"/>
  <c r="V30" i="11"/>
  <c r="U30" i="11"/>
  <c r="T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AD28" i="11"/>
  <c r="AC28" i="11"/>
  <c r="AB28" i="11"/>
  <c r="AA28" i="11"/>
  <c r="Z28" i="11"/>
  <c r="Y28" i="11"/>
  <c r="X28" i="11"/>
  <c r="W28" i="11"/>
  <c r="V28" i="11"/>
  <c r="V47" i="11" s="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AM27" i="11"/>
  <c r="AO26" i="11"/>
  <c r="AN26" i="11"/>
  <c r="AM26" i="11"/>
  <c r="AN25" i="11"/>
  <c r="AO25" i="11" s="1"/>
  <c r="AM24" i="11"/>
  <c r="AL28" i="11"/>
  <c r="AM28" i="11" s="1"/>
  <c r="AK22" i="11"/>
  <c r="X22" i="11"/>
  <c r="V22" i="11"/>
  <c r="U22" i="11"/>
  <c r="T22" i="11"/>
  <c r="R22" i="11"/>
  <c r="R47" i="11" s="1"/>
  <c r="Q22" i="11"/>
  <c r="P22" i="11"/>
  <c r="O22" i="11"/>
  <c r="N22" i="11"/>
  <c r="M22" i="11"/>
  <c r="L22" i="11"/>
  <c r="K22" i="11"/>
  <c r="J22" i="11"/>
  <c r="I22" i="11"/>
  <c r="H22" i="11"/>
  <c r="G22" i="11"/>
  <c r="F22" i="11"/>
  <c r="F47" i="11" s="1"/>
  <c r="E22" i="11"/>
  <c r="AN21" i="11"/>
  <c r="AO21" i="11" s="1"/>
  <c r="AM21" i="11"/>
  <c r="AO20" i="11"/>
  <c r="AN20" i="11"/>
  <c r="AM20" i="11"/>
  <c r="AD18" i="11"/>
  <c r="AC18" i="11"/>
  <c r="AB18" i="11"/>
  <c r="AA18" i="11"/>
  <c r="Z18" i="11"/>
  <c r="Y18" i="11"/>
  <c r="X18" i="11"/>
  <c r="W18" i="11"/>
  <c r="V18" i="11"/>
  <c r="U18" i="11"/>
  <c r="U47" i="11" s="1"/>
  <c r="T18" i="11"/>
  <c r="T47" i="11" s="1"/>
  <c r="S18" i="11"/>
  <c r="R18" i="11"/>
  <c r="Q18" i="11"/>
  <c r="P18" i="11"/>
  <c r="O18" i="11"/>
  <c r="N18" i="11"/>
  <c r="N47" i="11" s="1"/>
  <c r="M18" i="11"/>
  <c r="M47" i="11" s="1"/>
  <c r="L18" i="11"/>
  <c r="K18" i="11"/>
  <c r="K47" i="11" s="1"/>
  <c r="J18" i="11"/>
  <c r="I18" i="11"/>
  <c r="I47" i="11" s="1"/>
  <c r="H18" i="11"/>
  <c r="H47" i="11" s="1"/>
  <c r="G18" i="11"/>
  <c r="F18" i="11"/>
  <c r="E18" i="11"/>
  <c r="AN17" i="11"/>
  <c r="AO17" i="11" s="1"/>
  <c r="AM16" i="11"/>
  <c r="AM15" i="11"/>
  <c r="AN15" i="11"/>
  <c r="AO15" i="11" s="1"/>
  <c r="AM14" i="11"/>
  <c r="AN14" i="11"/>
  <c r="AO14" i="11" s="1"/>
  <c r="AM13" i="11"/>
  <c r="AN13" i="11"/>
  <c r="AO13" i="11" s="1"/>
  <c r="AM12" i="11"/>
  <c r="AN12" i="11"/>
  <c r="AO12" i="11" s="1"/>
  <c r="AN11" i="11"/>
  <c r="AO11" i="11" s="1"/>
  <c r="AM11" i="11"/>
  <c r="AM10" i="11"/>
  <c r="AN10" i="11"/>
  <c r="AO10" i="11" s="1"/>
  <c r="AM9" i="11"/>
  <c r="AN9" i="11"/>
  <c r="AO9" i="11" s="1"/>
  <c r="AM8" i="11"/>
  <c r="AN7" i="11"/>
  <c r="AO7" i="11" s="1"/>
  <c r="AO6" i="11"/>
  <c r="AN6" i="11"/>
  <c r="AM6" i="11"/>
  <c r="AM5" i="11"/>
  <c r="AN5" i="11"/>
  <c r="AO5" i="11" s="1"/>
  <c r="AM4" i="11"/>
  <c r="AL18" i="11"/>
  <c r="AJ59" i="10"/>
  <c r="AO55" i="10"/>
  <c r="AN55" i="10"/>
  <c r="AM55" i="10"/>
  <c r="AM54" i="10"/>
  <c r="AN54" i="10"/>
  <c r="AO54" i="10" s="1"/>
  <c r="AO53" i="10"/>
  <c r="AM53" i="10"/>
  <c r="AN53" i="10"/>
  <c r="AN52" i="10"/>
  <c r="AO52" i="10" s="1"/>
  <c r="AO51" i="10"/>
  <c r="AN51" i="10"/>
  <c r="AM51" i="10"/>
  <c r="AM50" i="10"/>
  <c r="AN50" i="10"/>
  <c r="AO50" i="10" s="1"/>
  <c r="AM49" i="10"/>
  <c r="AM48" i="10"/>
  <c r="AM45" i="10"/>
  <c r="AN45" i="10"/>
  <c r="AO45" i="10" s="1"/>
  <c r="AN44" i="10"/>
  <c r="AO44" i="10" s="1"/>
  <c r="AM43" i="10"/>
  <c r="AN43" i="10"/>
  <c r="AO43" i="10" s="1"/>
  <c r="AM42" i="10"/>
  <c r="AM41" i="10"/>
  <c r="AN41" i="10"/>
  <c r="AO41" i="10" s="1"/>
  <c r="AO40" i="10"/>
  <c r="AN40" i="10"/>
  <c r="AM40" i="10"/>
  <c r="AN39" i="10"/>
  <c r="AO39" i="10" s="1"/>
  <c r="AM39" i="10"/>
  <c r="AM38" i="10"/>
  <c r="AM36" i="10"/>
  <c r="AL37" i="10"/>
  <c r="AM37" i="10" s="1"/>
  <c r="AM35" i="10"/>
  <c r="AN32" i="10"/>
  <c r="AO32" i="10" s="1"/>
  <c r="AM32" i="10"/>
  <c r="AK33" i="10"/>
  <c r="AN31" i="10"/>
  <c r="AO31" i="10" s="1"/>
  <c r="AM31" i="10"/>
  <c r="AL33" i="10"/>
  <c r="AM33" i="10" s="1"/>
  <c r="AK30" i="10"/>
  <c r="AM29" i="10"/>
  <c r="AO27" i="10"/>
  <c r="AN27" i="10"/>
  <c r="AM27" i="10"/>
  <c r="AO26" i="10"/>
  <c r="AN26" i="10"/>
  <c r="AM26" i="10"/>
  <c r="AO25" i="10"/>
  <c r="AN25" i="10"/>
  <c r="AM25" i="10"/>
  <c r="AM24" i="10"/>
  <c r="AM23" i="10"/>
  <c r="AN23" i="10"/>
  <c r="AM21" i="10"/>
  <c r="AN21" i="10"/>
  <c r="AO21" i="10" s="1"/>
  <c r="AM20" i="10"/>
  <c r="AN20" i="10"/>
  <c r="AO20" i="10" s="1"/>
  <c r="AN19" i="10"/>
  <c r="AM19" i="10"/>
  <c r="AM17" i="10"/>
  <c r="AO16" i="10"/>
  <c r="AM16" i="10"/>
  <c r="AN16" i="10"/>
  <c r="AM15" i="10"/>
  <c r="AN15" i="10"/>
  <c r="AO15" i="10" s="1"/>
  <c r="AN14" i="10"/>
  <c r="AO14" i="10" s="1"/>
  <c r="AM14" i="10"/>
  <c r="AM13" i="10"/>
  <c r="AN13" i="10"/>
  <c r="AO13" i="10" s="1"/>
  <c r="AM12" i="10"/>
  <c r="AN12" i="10"/>
  <c r="AO12" i="10" s="1"/>
  <c r="AM11" i="10"/>
  <c r="AN11" i="10"/>
  <c r="AO11" i="10" s="1"/>
  <c r="AM10" i="10"/>
  <c r="AN10" i="10"/>
  <c r="AO10" i="10" s="1"/>
  <c r="AM9" i="10"/>
  <c r="AN9" i="10"/>
  <c r="AO9" i="10" s="1"/>
  <c r="AN8" i="10"/>
  <c r="AO8" i="10" s="1"/>
  <c r="AM8" i="10"/>
  <c r="AM7" i="10"/>
  <c r="AN7" i="10"/>
  <c r="AO7" i="10" s="1"/>
  <c r="AM6" i="10"/>
  <c r="AN6" i="10"/>
  <c r="AO6" i="10" s="1"/>
  <c r="AM5" i="10"/>
  <c r="AM4" i="10"/>
  <c r="AK18" i="10"/>
  <c r="AO54" i="9"/>
  <c r="AN54" i="9"/>
  <c r="AM54" i="9"/>
  <c r="AO53" i="9"/>
  <c r="AN53" i="9"/>
  <c r="AM53" i="9"/>
  <c r="AN52" i="9"/>
  <c r="AO52" i="9" s="1"/>
  <c r="AM51" i="9"/>
  <c r="AM50" i="9"/>
  <c r="AN50" i="9"/>
  <c r="AO50" i="9" s="1"/>
  <c r="AN49" i="9"/>
  <c r="AO49" i="9" s="1"/>
  <c r="AM49" i="9"/>
  <c r="AM48" i="9"/>
  <c r="AN48" i="9"/>
  <c r="AO48" i="9" s="1"/>
  <c r="V47" i="9"/>
  <c r="M47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AN45" i="9"/>
  <c r="AO45" i="9" s="1"/>
  <c r="AM45" i="9"/>
  <c r="AM44" i="9"/>
  <c r="AN44" i="9"/>
  <c r="AO44" i="9" s="1"/>
  <c r="AO43" i="9"/>
  <c r="AM43" i="9"/>
  <c r="AN43" i="9"/>
  <c r="AM42" i="9"/>
  <c r="AN42" i="9"/>
  <c r="AO42" i="9" s="1"/>
  <c r="AM41" i="9"/>
  <c r="AN41" i="9"/>
  <c r="AO41" i="9" s="1"/>
  <c r="AN40" i="9"/>
  <c r="AO40" i="9" s="1"/>
  <c r="AM40" i="9"/>
  <c r="AM35" i="9"/>
  <c r="AN32" i="9"/>
  <c r="AO32" i="9" s="1"/>
  <c r="AM32" i="9"/>
  <c r="AM31" i="9"/>
  <c r="AL33" i="9"/>
  <c r="AM33" i="9" s="1"/>
  <c r="X30" i="9"/>
  <c r="V30" i="9"/>
  <c r="U30" i="9"/>
  <c r="T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AN29" i="9"/>
  <c r="AM29" i="9"/>
  <c r="AK30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G47" i="9" s="1"/>
  <c r="F28" i="9"/>
  <c r="E28" i="9"/>
  <c r="AM26" i="9"/>
  <c r="AN24" i="9"/>
  <c r="AO24" i="9" s="1"/>
  <c r="AM24" i="9"/>
  <c r="AM23" i="9"/>
  <c r="AN23" i="9"/>
  <c r="X22" i="9"/>
  <c r="V22" i="9"/>
  <c r="U22" i="9"/>
  <c r="T22" i="9"/>
  <c r="T47" i="9" s="1"/>
  <c r="R22" i="9"/>
  <c r="Q22" i="9"/>
  <c r="P22" i="9"/>
  <c r="O22" i="9"/>
  <c r="N22" i="9"/>
  <c r="M22" i="9"/>
  <c r="L22" i="9"/>
  <c r="L47" i="9" s="1"/>
  <c r="K22" i="9"/>
  <c r="J22" i="9"/>
  <c r="I22" i="9"/>
  <c r="H22" i="9"/>
  <c r="H47" i="9" s="1"/>
  <c r="G22" i="9"/>
  <c r="F22" i="9"/>
  <c r="E22" i="9"/>
  <c r="AM20" i="9"/>
  <c r="AN19" i="9"/>
  <c r="AD18" i="9"/>
  <c r="AC18" i="9"/>
  <c r="AB18" i="9"/>
  <c r="AA18" i="9"/>
  <c r="Z18" i="9"/>
  <c r="Y18" i="9"/>
  <c r="X18" i="9"/>
  <c r="W18" i="9"/>
  <c r="V18" i="9"/>
  <c r="U18" i="9"/>
  <c r="U47" i="9" s="1"/>
  <c r="T18" i="9"/>
  <c r="S18" i="9"/>
  <c r="R18" i="9"/>
  <c r="Q18" i="9"/>
  <c r="P18" i="9"/>
  <c r="P47" i="9" s="1"/>
  <c r="O18" i="9"/>
  <c r="O47" i="9" s="1"/>
  <c r="N18" i="9"/>
  <c r="N47" i="9" s="1"/>
  <c r="M18" i="9"/>
  <c r="L18" i="9"/>
  <c r="K18" i="9"/>
  <c r="J18" i="9"/>
  <c r="I18" i="9"/>
  <c r="I47" i="9" s="1"/>
  <c r="H18" i="9"/>
  <c r="G18" i="9"/>
  <c r="F18" i="9"/>
  <c r="E18" i="9"/>
  <c r="AM17" i="9"/>
  <c r="AO16" i="9"/>
  <c r="AN16" i="9"/>
  <c r="AM16" i="9"/>
  <c r="AM15" i="9"/>
  <c r="AM14" i="9"/>
  <c r="AM13" i="9"/>
  <c r="AN13" i="9"/>
  <c r="AO13" i="9" s="1"/>
  <c r="AM12" i="9"/>
  <c r="AN12" i="9"/>
  <c r="AO12" i="9" s="1"/>
  <c r="AO11" i="9"/>
  <c r="AN11" i="9"/>
  <c r="AM11" i="9"/>
  <c r="AN10" i="9"/>
  <c r="AO10" i="9" s="1"/>
  <c r="AM10" i="9"/>
  <c r="AN9" i="9"/>
  <c r="AO9" i="9" s="1"/>
  <c r="AM9" i="9"/>
  <c r="AM8" i="9"/>
  <c r="AN8" i="9"/>
  <c r="AO8" i="9" s="1"/>
  <c r="AO7" i="9"/>
  <c r="AM7" i="9"/>
  <c r="AN7" i="9"/>
  <c r="AO6" i="9"/>
  <c r="AM6" i="9"/>
  <c r="AN6" i="9"/>
  <c r="AN5" i="9"/>
  <c r="AO5" i="9" s="1"/>
  <c r="AO4" i="9"/>
  <c r="AN4" i="9"/>
  <c r="AM4" i="9"/>
  <c r="AN3" i="9"/>
  <c r="AM3" i="9"/>
  <c r="AM54" i="8"/>
  <c r="AN54" i="8"/>
  <c r="AO54" i="8" s="1"/>
  <c r="AM53" i="8"/>
  <c r="AN53" i="8"/>
  <c r="AO53" i="8" s="1"/>
  <c r="AM52" i="8"/>
  <c r="AM51" i="8"/>
  <c r="AN51" i="8"/>
  <c r="AO51" i="8" s="1"/>
  <c r="AM50" i="8"/>
  <c r="AN50" i="8"/>
  <c r="AO50" i="8" s="1"/>
  <c r="AO49" i="8"/>
  <c r="AM49" i="8"/>
  <c r="AN49" i="8"/>
  <c r="AN48" i="8"/>
  <c r="AO48" i="8" s="1"/>
  <c r="AM48" i="8"/>
  <c r="G47" i="8"/>
  <c r="AL46" i="8"/>
  <c r="AM46" i="8" s="1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AM45" i="8"/>
  <c r="AM44" i="8"/>
  <c r="AN44" i="8"/>
  <c r="AO44" i="8" s="1"/>
  <c r="AN43" i="8"/>
  <c r="AO43" i="8" s="1"/>
  <c r="AM43" i="8"/>
  <c r="AM42" i="8"/>
  <c r="AN42" i="8"/>
  <c r="AO42" i="8" s="1"/>
  <c r="AM41" i="8"/>
  <c r="AN41" i="8"/>
  <c r="AO41" i="8" s="1"/>
  <c r="AM40" i="8"/>
  <c r="AN40" i="8"/>
  <c r="AO40" i="8" s="1"/>
  <c r="AM39" i="8"/>
  <c r="AN39" i="8"/>
  <c r="AO39" i="8" s="1"/>
  <c r="AM38" i="8"/>
  <c r="AK37" i="8"/>
  <c r="AL33" i="8"/>
  <c r="AM33" i="8" s="1"/>
  <c r="AK33" i="8"/>
  <c r="AN32" i="8"/>
  <c r="AO32" i="8" s="1"/>
  <c r="AM32" i="8"/>
  <c r="AN31" i="8"/>
  <c r="AM31" i="8"/>
  <c r="X30" i="8"/>
  <c r="V30" i="8"/>
  <c r="U30" i="8"/>
  <c r="T30" i="8"/>
  <c r="R30" i="8"/>
  <c r="Q30" i="8"/>
  <c r="P30" i="8"/>
  <c r="O30" i="8"/>
  <c r="N30" i="8"/>
  <c r="N47" i="8" s="1"/>
  <c r="M30" i="8"/>
  <c r="L30" i="8"/>
  <c r="K30" i="8"/>
  <c r="J30" i="8"/>
  <c r="I30" i="8"/>
  <c r="H30" i="8"/>
  <c r="G30" i="8"/>
  <c r="F30" i="8"/>
  <c r="E30" i="8"/>
  <c r="AM29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M47" i="8" s="1"/>
  <c r="L28" i="8"/>
  <c r="K28" i="8"/>
  <c r="J28" i="8"/>
  <c r="I28" i="8"/>
  <c r="H28" i="8"/>
  <c r="G28" i="8"/>
  <c r="F28" i="8"/>
  <c r="E28" i="8"/>
  <c r="AN27" i="8"/>
  <c r="AO27" i="8" s="1"/>
  <c r="AM27" i="8"/>
  <c r="AM25" i="8"/>
  <c r="AN25" i="8"/>
  <c r="AO25" i="8" s="1"/>
  <c r="AN24" i="8"/>
  <c r="AO24" i="8" s="1"/>
  <c r="AM24" i="8"/>
  <c r="AL22" i="8"/>
  <c r="AM22" i="8" s="1"/>
  <c r="AK22" i="8"/>
  <c r="X22" i="8"/>
  <c r="V22" i="8"/>
  <c r="U22" i="8"/>
  <c r="T22" i="8"/>
  <c r="T47" i="8" s="1"/>
  <c r="R22" i="8"/>
  <c r="R47" i="8" s="1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AM21" i="8"/>
  <c r="AN20" i="8"/>
  <c r="AO20" i="8" s="1"/>
  <c r="AM20" i="8"/>
  <c r="AN19" i="8"/>
  <c r="AM19" i="8"/>
  <c r="AD18" i="8"/>
  <c r="AC18" i="8"/>
  <c r="AB18" i="8"/>
  <c r="AA18" i="8"/>
  <c r="Z18" i="8"/>
  <c r="Y18" i="8"/>
  <c r="X18" i="8"/>
  <c r="X47" i="8" s="1"/>
  <c r="W18" i="8"/>
  <c r="V18" i="8"/>
  <c r="U18" i="8"/>
  <c r="T18" i="8"/>
  <c r="S18" i="8"/>
  <c r="R18" i="8"/>
  <c r="Q18" i="8"/>
  <c r="Q47" i="8" s="1"/>
  <c r="P18" i="8"/>
  <c r="O18" i="8"/>
  <c r="N18" i="8"/>
  <c r="M18" i="8"/>
  <c r="L18" i="8"/>
  <c r="K18" i="8"/>
  <c r="K47" i="8" s="1"/>
  <c r="J18" i="8"/>
  <c r="I18" i="8"/>
  <c r="I47" i="8" s="1"/>
  <c r="H18" i="8"/>
  <c r="G18" i="8"/>
  <c r="F18" i="8"/>
  <c r="E18" i="8"/>
  <c r="E47" i="8" s="1"/>
  <c r="AM17" i="8"/>
  <c r="AN17" i="8"/>
  <c r="AO17" i="8" s="1"/>
  <c r="AN16" i="8"/>
  <c r="AO16" i="8" s="1"/>
  <c r="AM16" i="8"/>
  <c r="AM14" i="8"/>
  <c r="AM13" i="8"/>
  <c r="AM12" i="8"/>
  <c r="AN12" i="8"/>
  <c r="AO12" i="8" s="1"/>
  <c r="AO10" i="8"/>
  <c r="AN10" i="8"/>
  <c r="AM10" i="8"/>
  <c r="AN9" i="8"/>
  <c r="AO9" i="8" s="1"/>
  <c r="AM9" i="8"/>
  <c r="AM8" i="8"/>
  <c r="AM7" i="8"/>
  <c r="AN7" i="8"/>
  <c r="AO7" i="8" s="1"/>
  <c r="AN6" i="8"/>
  <c r="AO6" i="8" s="1"/>
  <c r="AM6" i="8"/>
  <c r="AO5" i="8"/>
  <c r="AM5" i="8"/>
  <c r="AN5" i="8"/>
  <c r="AM4" i="8"/>
  <c r="AN54" i="7"/>
  <c r="AO54" i="7" s="1"/>
  <c r="AM54" i="7"/>
  <c r="AM53" i="7"/>
  <c r="AN53" i="7"/>
  <c r="AO53" i="7" s="1"/>
  <c r="AM52" i="7"/>
  <c r="AN52" i="7"/>
  <c r="AO52" i="7" s="1"/>
  <c r="AM51" i="7"/>
  <c r="AN51" i="7"/>
  <c r="AO51" i="7" s="1"/>
  <c r="AN50" i="7"/>
  <c r="AO50" i="7" s="1"/>
  <c r="AM50" i="7"/>
  <c r="AN49" i="7"/>
  <c r="AO49" i="7" s="1"/>
  <c r="AM49" i="7"/>
  <c r="AM48" i="7"/>
  <c r="Q47" i="7"/>
  <c r="L47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AM45" i="7"/>
  <c r="AN45" i="7"/>
  <c r="AO45" i="7" s="1"/>
  <c r="AM43" i="7"/>
  <c r="AN42" i="7"/>
  <c r="AO42" i="7" s="1"/>
  <c r="AM42" i="7"/>
  <c r="AN41" i="7"/>
  <c r="AO41" i="7" s="1"/>
  <c r="AM41" i="7"/>
  <c r="AM40" i="7"/>
  <c r="AN40" i="7"/>
  <c r="AO40" i="7" s="1"/>
  <c r="AM39" i="7"/>
  <c r="AN39" i="7"/>
  <c r="AO39" i="7" s="1"/>
  <c r="AN38" i="7"/>
  <c r="AO38" i="7" s="1"/>
  <c r="AO36" i="7"/>
  <c r="AN36" i="7"/>
  <c r="AM36" i="7"/>
  <c r="AK37" i="7"/>
  <c r="AO32" i="7"/>
  <c r="AN32" i="7"/>
  <c r="AN31" i="7"/>
  <c r="AM31" i="7"/>
  <c r="AK33" i="7"/>
  <c r="AK30" i="7"/>
  <c r="X30" i="7"/>
  <c r="V30" i="7"/>
  <c r="U30" i="7"/>
  <c r="T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AN29" i="7"/>
  <c r="AN30" i="7" s="1"/>
  <c r="AO30" i="7" s="1"/>
  <c r="AK28" i="7"/>
  <c r="AD28" i="7"/>
  <c r="AC28" i="7"/>
  <c r="AB28" i="7"/>
  <c r="AA28" i="7"/>
  <c r="Z28" i="7"/>
  <c r="Y28" i="7"/>
  <c r="X28" i="7"/>
  <c r="W28" i="7"/>
  <c r="V28" i="7"/>
  <c r="V47" i="7" s="1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AM27" i="7"/>
  <c r="AM26" i="7"/>
  <c r="AL28" i="7"/>
  <c r="AM28" i="7" s="1"/>
  <c r="AO24" i="7"/>
  <c r="AN24" i="7"/>
  <c r="AM23" i="7"/>
  <c r="AN23" i="7"/>
  <c r="AK22" i="7"/>
  <c r="X22" i="7"/>
  <c r="V22" i="7"/>
  <c r="U22" i="7"/>
  <c r="T22" i="7"/>
  <c r="R22" i="7"/>
  <c r="Q22" i="7"/>
  <c r="P22" i="7"/>
  <c r="P47" i="7" s="1"/>
  <c r="O22" i="7"/>
  <c r="O47" i="7" s="1"/>
  <c r="N22" i="7"/>
  <c r="M22" i="7"/>
  <c r="L22" i="7"/>
  <c r="K22" i="7"/>
  <c r="J22" i="7"/>
  <c r="I22" i="7"/>
  <c r="H22" i="7"/>
  <c r="G22" i="7"/>
  <c r="G47" i="7" s="1"/>
  <c r="F22" i="7"/>
  <c r="E22" i="7"/>
  <c r="AM21" i="7"/>
  <c r="AN20" i="7"/>
  <c r="AO20" i="7" s="1"/>
  <c r="AM20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R47" i="7" s="1"/>
  <c r="Q18" i="7"/>
  <c r="P18" i="7"/>
  <c r="O18" i="7"/>
  <c r="N18" i="7"/>
  <c r="N47" i="7" s="1"/>
  <c r="M18" i="7"/>
  <c r="M47" i="7" s="1"/>
  <c r="L18" i="7"/>
  <c r="K18" i="7"/>
  <c r="J18" i="7"/>
  <c r="I18" i="7"/>
  <c r="I47" i="7" s="1"/>
  <c r="H18" i="7"/>
  <c r="H47" i="7" s="1"/>
  <c r="G18" i="7"/>
  <c r="F18" i="7"/>
  <c r="F47" i="7" s="1"/>
  <c r="E18" i="7"/>
  <c r="E47" i="7" s="1"/>
  <c r="AM17" i="7"/>
  <c r="AO16" i="7"/>
  <c r="AN16" i="7"/>
  <c r="AM15" i="7"/>
  <c r="AN15" i="7"/>
  <c r="AO15" i="7" s="1"/>
  <c r="AM14" i="7"/>
  <c r="AN14" i="7"/>
  <c r="AO14" i="7" s="1"/>
  <c r="AO13" i="7"/>
  <c r="AN13" i="7"/>
  <c r="AM12" i="7"/>
  <c r="AN12" i="7"/>
  <c r="AO12" i="7" s="1"/>
  <c r="AM11" i="7"/>
  <c r="AN11" i="7"/>
  <c r="AO11" i="7" s="1"/>
  <c r="AM10" i="7"/>
  <c r="AN10" i="7"/>
  <c r="AO10" i="7" s="1"/>
  <c r="AM9" i="7"/>
  <c r="AN8" i="7"/>
  <c r="AO8" i="7" s="1"/>
  <c r="AM8" i="7"/>
  <c r="AM7" i="7"/>
  <c r="AM6" i="7"/>
  <c r="AN6" i="7"/>
  <c r="AO6" i="7" s="1"/>
  <c r="AN5" i="7"/>
  <c r="AO5" i="7" s="1"/>
  <c r="AN4" i="7"/>
  <c r="AO4" i="7" s="1"/>
  <c r="AM3" i="7"/>
  <c r="AK18" i="7"/>
  <c r="AN55" i="6"/>
  <c r="AO55" i="6" s="1"/>
  <c r="AM55" i="6"/>
  <c r="AN54" i="6"/>
  <c r="AO54" i="6" s="1"/>
  <c r="AM54" i="6"/>
  <c r="AM53" i="6"/>
  <c r="AN53" i="6"/>
  <c r="AO53" i="6" s="1"/>
  <c r="AM52" i="6"/>
  <c r="AN52" i="6"/>
  <c r="AO52" i="6" s="1"/>
  <c r="AN51" i="6"/>
  <c r="AO51" i="6" s="1"/>
  <c r="AM51" i="6"/>
  <c r="AN50" i="6"/>
  <c r="AO50" i="6" s="1"/>
  <c r="AM50" i="6"/>
  <c r="AN49" i="6"/>
  <c r="AO49" i="6" s="1"/>
  <c r="AM49" i="6"/>
  <c r="AM48" i="6"/>
  <c r="H47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AM45" i="6"/>
  <c r="AN45" i="6"/>
  <c r="AO45" i="6" s="1"/>
  <c r="AO44" i="6"/>
  <c r="AM44" i="6"/>
  <c r="AN44" i="6"/>
  <c r="AM43" i="6"/>
  <c r="AN43" i="6"/>
  <c r="AO43" i="6" s="1"/>
  <c r="AN42" i="6"/>
  <c r="AO42" i="6" s="1"/>
  <c r="AM42" i="6"/>
  <c r="AM41" i="6"/>
  <c r="AM40" i="6"/>
  <c r="AN40" i="6"/>
  <c r="AO40" i="6" s="1"/>
  <c r="AN39" i="6"/>
  <c r="AO39" i="6" s="1"/>
  <c r="AL46" i="6"/>
  <c r="AM46" i="6" s="1"/>
  <c r="AO36" i="6"/>
  <c r="AM36" i="6"/>
  <c r="AN36" i="6"/>
  <c r="AL37" i="6"/>
  <c r="AM37" i="6" s="1"/>
  <c r="AN32" i="6"/>
  <c r="AO32" i="6" s="1"/>
  <c r="AM32" i="6"/>
  <c r="AK33" i="6"/>
  <c r="AM31" i="6"/>
  <c r="AN31" i="6"/>
  <c r="AO31" i="6" s="1"/>
  <c r="AM30" i="6"/>
  <c r="AL30" i="6"/>
  <c r="X30" i="6"/>
  <c r="V30" i="6"/>
  <c r="U30" i="6"/>
  <c r="T30" i="6"/>
  <c r="R30" i="6"/>
  <c r="Q30" i="6"/>
  <c r="Q47" i="6" s="1"/>
  <c r="P30" i="6"/>
  <c r="O30" i="6"/>
  <c r="N30" i="6"/>
  <c r="M30" i="6"/>
  <c r="L30" i="6"/>
  <c r="K30" i="6"/>
  <c r="J30" i="6"/>
  <c r="I30" i="6"/>
  <c r="H30" i="6"/>
  <c r="G30" i="6"/>
  <c r="F30" i="6"/>
  <c r="E30" i="6"/>
  <c r="AM29" i="6"/>
  <c r="AN29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E47" i="6" s="1"/>
  <c r="AM27" i="6"/>
  <c r="AN27" i="6"/>
  <c r="AO27" i="6" s="1"/>
  <c r="AO26" i="6"/>
  <c r="AN26" i="6"/>
  <c r="AM26" i="6"/>
  <c r="AM25" i="6"/>
  <c r="AN25" i="6"/>
  <c r="AO25" i="6" s="1"/>
  <c r="AO24" i="6"/>
  <c r="AN24" i="6"/>
  <c r="AM24" i="6"/>
  <c r="AM23" i="6"/>
  <c r="AL22" i="6"/>
  <c r="AM22" i="6" s="1"/>
  <c r="AK22" i="6"/>
  <c r="X22" i="6"/>
  <c r="X47" i="6" s="1"/>
  <c r="V22" i="6"/>
  <c r="U22" i="6"/>
  <c r="T22" i="6"/>
  <c r="R22" i="6"/>
  <c r="Q22" i="6"/>
  <c r="P22" i="6"/>
  <c r="O22" i="6"/>
  <c r="N22" i="6"/>
  <c r="M22" i="6"/>
  <c r="L22" i="6"/>
  <c r="L47" i="6" s="1"/>
  <c r="K22" i="6"/>
  <c r="J22" i="6"/>
  <c r="J47" i="6" s="1"/>
  <c r="I22" i="6"/>
  <c r="H22" i="6"/>
  <c r="G22" i="6"/>
  <c r="F22" i="6"/>
  <c r="E22" i="6"/>
  <c r="AM21" i="6"/>
  <c r="AN21" i="6"/>
  <c r="AO21" i="6" s="1"/>
  <c r="AN20" i="6"/>
  <c r="AO20" i="6" s="1"/>
  <c r="AM20" i="6"/>
  <c r="AN19" i="6"/>
  <c r="AO19" i="6" s="1"/>
  <c r="AM19" i="6"/>
  <c r="AD18" i="6"/>
  <c r="AC18" i="6"/>
  <c r="AB18" i="6"/>
  <c r="AA18" i="6"/>
  <c r="Z18" i="6"/>
  <c r="Y18" i="6"/>
  <c r="X18" i="6"/>
  <c r="W18" i="6"/>
  <c r="V18" i="6"/>
  <c r="U18" i="6"/>
  <c r="U47" i="6" s="1"/>
  <c r="T18" i="6"/>
  <c r="T47" i="6" s="1"/>
  <c r="S18" i="6"/>
  <c r="R18" i="6"/>
  <c r="Q18" i="6"/>
  <c r="P18" i="6"/>
  <c r="P47" i="6" s="1"/>
  <c r="O18" i="6"/>
  <c r="N18" i="6"/>
  <c r="M18" i="6"/>
  <c r="M47" i="6" s="1"/>
  <c r="L18" i="6"/>
  <c r="K18" i="6"/>
  <c r="J18" i="6"/>
  <c r="I18" i="6"/>
  <c r="I47" i="6" s="1"/>
  <c r="H18" i="6"/>
  <c r="G18" i="6"/>
  <c r="G47" i="6" s="1"/>
  <c r="F18" i="6"/>
  <c r="E18" i="6"/>
  <c r="AM17" i="6"/>
  <c r="AN17" i="6"/>
  <c r="AO17" i="6" s="1"/>
  <c r="AN16" i="6"/>
  <c r="AO16" i="6" s="1"/>
  <c r="AN15" i="6"/>
  <c r="AO15" i="6" s="1"/>
  <c r="AM14" i="6"/>
  <c r="AN14" i="6"/>
  <c r="AO14" i="6" s="1"/>
  <c r="AM13" i="6"/>
  <c r="AN13" i="6"/>
  <c r="AO13" i="6" s="1"/>
  <c r="AO12" i="6"/>
  <c r="AM12" i="6"/>
  <c r="AN12" i="6"/>
  <c r="AN11" i="6"/>
  <c r="AO11" i="6" s="1"/>
  <c r="AM11" i="6"/>
  <c r="AM10" i="6"/>
  <c r="AN10" i="6"/>
  <c r="AO10" i="6" s="1"/>
  <c r="AM9" i="6"/>
  <c r="AN9" i="6"/>
  <c r="AO9" i="6" s="1"/>
  <c r="AM8" i="6"/>
  <c r="AN8" i="6"/>
  <c r="AO8" i="6" s="1"/>
  <c r="AM7" i="6"/>
  <c r="AK18" i="6"/>
  <c r="AO6" i="6"/>
  <c r="AN6" i="6"/>
  <c r="AM6" i="6"/>
  <c r="AM5" i="6"/>
  <c r="AM4" i="6"/>
  <c r="AM3" i="6"/>
  <c r="AN3" i="6"/>
  <c r="AO3" i="6" s="1"/>
  <c r="AN55" i="5"/>
  <c r="AO55" i="5" s="1"/>
  <c r="AM55" i="5"/>
  <c r="AM54" i="5"/>
  <c r="AN53" i="5"/>
  <c r="AO53" i="5" s="1"/>
  <c r="AM53" i="5"/>
  <c r="AN52" i="5"/>
  <c r="AO52" i="5" s="1"/>
  <c r="AM52" i="5"/>
  <c r="AN51" i="5"/>
  <c r="AO51" i="5" s="1"/>
  <c r="AM51" i="5"/>
  <c r="AM50" i="5"/>
  <c r="AN49" i="5"/>
  <c r="AO49" i="5" s="1"/>
  <c r="AM49" i="5"/>
  <c r="AO48" i="5"/>
  <c r="AN48" i="5"/>
  <c r="AM48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O47" i="5" s="1"/>
  <c r="N46" i="5"/>
  <c r="M46" i="5"/>
  <c r="L46" i="5"/>
  <c r="K46" i="5"/>
  <c r="J46" i="5"/>
  <c r="I46" i="5"/>
  <c r="H46" i="5"/>
  <c r="G46" i="5"/>
  <c r="F46" i="5"/>
  <c r="F47" i="5" s="1"/>
  <c r="E46" i="5"/>
  <c r="AN45" i="5"/>
  <c r="AO45" i="5" s="1"/>
  <c r="AM45" i="5"/>
  <c r="AN44" i="5"/>
  <c r="AO44" i="5" s="1"/>
  <c r="AM44" i="5"/>
  <c r="AM43" i="5"/>
  <c r="AN43" i="5"/>
  <c r="AO43" i="5" s="1"/>
  <c r="AN42" i="5"/>
  <c r="AO42" i="5" s="1"/>
  <c r="AN41" i="5"/>
  <c r="AO41" i="5" s="1"/>
  <c r="AO40" i="5"/>
  <c r="AN40" i="5"/>
  <c r="AM40" i="5"/>
  <c r="AN39" i="5"/>
  <c r="AO39" i="5" s="1"/>
  <c r="AM38" i="5"/>
  <c r="AK46" i="5"/>
  <c r="AM36" i="5"/>
  <c r="AN36" i="5"/>
  <c r="AO36" i="5" s="1"/>
  <c r="AM35" i="5"/>
  <c r="AL37" i="5"/>
  <c r="AM37" i="5" s="1"/>
  <c r="AN35" i="5"/>
  <c r="AK33" i="5"/>
  <c r="AN32" i="5"/>
  <c r="AO32" i="5" s="1"/>
  <c r="AM32" i="5"/>
  <c r="AN31" i="5"/>
  <c r="AO31" i="5" s="1"/>
  <c r="AM31" i="5"/>
  <c r="AL33" i="5"/>
  <c r="AM33" i="5" s="1"/>
  <c r="AL30" i="5"/>
  <c r="AM30" i="5" s="1"/>
  <c r="AK30" i="5"/>
  <c r="X30" i="5"/>
  <c r="V30" i="5"/>
  <c r="U30" i="5"/>
  <c r="T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AM29" i="5"/>
  <c r="AN29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AM27" i="5"/>
  <c r="AN27" i="5"/>
  <c r="AO27" i="5" s="1"/>
  <c r="AM26" i="5"/>
  <c r="AN26" i="5"/>
  <c r="AO26" i="5" s="1"/>
  <c r="AM25" i="5"/>
  <c r="AK28" i="5"/>
  <c r="AN24" i="5"/>
  <c r="AO24" i="5" s="1"/>
  <c r="AM24" i="5"/>
  <c r="AN23" i="5"/>
  <c r="AL28" i="5"/>
  <c r="AM28" i="5" s="1"/>
  <c r="AL22" i="5"/>
  <c r="AM22" i="5" s="1"/>
  <c r="AK22" i="5"/>
  <c r="X22" i="5"/>
  <c r="V22" i="5"/>
  <c r="U22" i="5"/>
  <c r="T22" i="5"/>
  <c r="R22" i="5"/>
  <c r="Q22" i="5"/>
  <c r="P22" i="5"/>
  <c r="O22" i="5"/>
  <c r="N22" i="5"/>
  <c r="M22" i="5"/>
  <c r="M47" i="5" s="1"/>
  <c r="L22" i="5"/>
  <c r="K22" i="5"/>
  <c r="J22" i="5"/>
  <c r="I22" i="5"/>
  <c r="H22" i="5"/>
  <c r="G22" i="5"/>
  <c r="F22" i="5"/>
  <c r="E22" i="5"/>
  <c r="AM21" i="5"/>
  <c r="AN21" i="5"/>
  <c r="AO21" i="5" s="1"/>
  <c r="AM20" i="5"/>
  <c r="AN20" i="5"/>
  <c r="AO20" i="5" s="1"/>
  <c r="AM19" i="5"/>
  <c r="AN19" i="5"/>
  <c r="AD18" i="5"/>
  <c r="AC18" i="5"/>
  <c r="AB18" i="5"/>
  <c r="AA18" i="5"/>
  <c r="Z18" i="5"/>
  <c r="Y18" i="5"/>
  <c r="X18" i="5"/>
  <c r="X47" i="5" s="1"/>
  <c r="W18" i="5"/>
  <c r="V18" i="5"/>
  <c r="V47" i="5" s="1"/>
  <c r="U18" i="5"/>
  <c r="U47" i="5" s="1"/>
  <c r="T18" i="5"/>
  <c r="T47" i="5" s="1"/>
  <c r="S18" i="5"/>
  <c r="R18" i="5"/>
  <c r="R47" i="5" s="1"/>
  <c r="Q18" i="5"/>
  <c r="Q47" i="5" s="1"/>
  <c r="P18" i="5"/>
  <c r="O18" i="5"/>
  <c r="N18" i="5"/>
  <c r="N47" i="5" s="1"/>
  <c r="M18" i="5"/>
  <c r="L18" i="5"/>
  <c r="L47" i="5" s="1"/>
  <c r="K18" i="5"/>
  <c r="K47" i="5" s="1"/>
  <c r="J18" i="5"/>
  <c r="J47" i="5" s="1"/>
  <c r="I18" i="5"/>
  <c r="I47" i="5" s="1"/>
  <c r="H18" i="5"/>
  <c r="H47" i="5" s="1"/>
  <c r="G18" i="5"/>
  <c r="G47" i="5" s="1"/>
  <c r="F18" i="5"/>
  <c r="E18" i="5"/>
  <c r="E47" i="5" s="1"/>
  <c r="AM17" i="5"/>
  <c r="AN17" i="5"/>
  <c r="AO17" i="5" s="1"/>
  <c r="AN16" i="5"/>
  <c r="AO16" i="5" s="1"/>
  <c r="AM16" i="5"/>
  <c r="AN15" i="5"/>
  <c r="AO15" i="5" s="1"/>
  <c r="AM15" i="5"/>
  <c r="AM14" i="5"/>
  <c r="AN14" i="5"/>
  <c r="AO14" i="5" s="1"/>
  <c r="AN13" i="5"/>
  <c r="AO13" i="5" s="1"/>
  <c r="AM12" i="5"/>
  <c r="AN12" i="5"/>
  <c r="AO12" i="5" s="1"/>
  <c r="AN11" i="5"/>
  <c r="AO11" i="5" s="1"/>
  <c r="AM11" i="5"/>
  <c r="AN10" i="5"/>
  <c r="AO10" i="5" s="1"/>
  <c r="AM9" i="5"/>
  <c r="AO8" i="5"/>
  <c r="AN8" i="5"/>
  <c r="AM8" i="5"/>
  <c r="AM7" i="5"/>
  <c r="AN7" i="5"/>
  <c r="AO7" i="5" s="1"/>
  <c r="AM6" i="5"/>
  <c r="AN6" i="5"/>
  <c r="AO6" i="5" s="1"/>
  <c r="AM5" i="5"/>
  <c r="AN5" i="5"/>
  <c r="AO5" i="5" s="1"/>
  <c r="AN4" i="5"/>
  <c r="AM4" i="5"/>
  <c r="AN3" i="5"/>
  <c r="AO3" i="5" s="1"/>
  <c r="AL18" i="5"/>
  <c r="AK18" i="5"/>
  <c r="AJ59" i="4"/>
  <c r="AN55" i="4"/>
  <c r="AO55" i="4" s="1"/>
  <c r="AM55" i="4"/>
  <c r="AM54" i="4"/>
  <c r="AO53" i="4"/>
  <c r="AN53" i="4"/>
  <c r="AM53" i="4"/>
  <c r="AM52" i="4"/>
  <c r="AN52" i="4"/>
  <c r="AO52" i="4" s="1"/>
  <c r="AM51" i="4"/>
  <c r="AN51" i="4"/>
  <c r="AO51" i="4" s="1"/>
  <c r="AM50" i="4"/>
  <c r="AN50" i="4"/>
  <c r="AO50" i="4" s="1"/>
  <c r="AO49" i="4"/>
  <c r="AN49" i="4"/>
  <c r="AM49" i="4"/>
  <c r="AN48" i="4"/>
  <c r="AO48" i="4" s="1"/>
  <c r="AM48" i="4"/>
  <c r="O47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AN45" i="4"/>
  <c r="AO45" i="4" s="1"/>
  <c r="AM45" i="4"/>
  <c r="AM44" i="4"/>
  <c r="AN44" i="4"/>
  <c r="AO44" i="4" s="1"/>
  <c r="AN43" i="4"/>
  <c r="AO43" i="4" s="1"/>
  <c r="AM42" i="4"/>
  <c r="AK46" i="4"/>
  <c r="AN46" i="4" s="1"/>
  <c r="AO46" i="4" s="1"/>
  <c r="AN41" i="4"/>
  <c r="AO41" i="4" s="1"/>
  <c r="AM41" i="4"/>
  <c r="AN40" i="4"/>
  <c r="AO40" i="4" s="1"/>
  <c r="AL46" i="4"/>
  <c r="AM46" i="4" s="1"/>
  <c r="AM38" i="4"/>
  <c r="AN38" i="4"/>
  <c r="AO38" i="4" s="1"/>
  <c r="AL37" i="4"/>
  <c r="AM37" i="4" s="1"/>
  <c r="AK37" i="4"/>
  <c r="AM36" i="4"/>
  <c r="AN36" i="4"/>
  <c r="AO36" i="4" s="1"/>
  <c r="AM35" i="4"/>
  <c r="AN35" i="4"/>
  <c r="AN32" i="4"/>
  <c r="AO32" i="4" s="1"/>
  <c r="AM32" i="4"/>
  <c r="AM31" i="4"/>
  <c r="AL33" i="4"/>
  <c r="AM33" i="4" s="1"/>
  <c r="AK33" i="4"/>
  <c r="X30" i="4"/>
  <c r="W30" i="4"/>
  <c r="V30" i="4"/>
  <c r="U30" i="4"/>
  <c r="T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AN29" i="4"/>
  <c r="AK30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M47" i="4" s="1"/>
  <c r="L28" i="4"/>
  <c r="K28" i="4"/>
  <c r="J28" i="4"/>
  <c r="I28" i="4"/>
  <c r="H28" i="4"/>
  <c r="G28" i="4"/>
  <c r="F28" i="4"/>
  <c r="E28" i="4"/>
  <c r="AN27" i="4"/>
  <c r="AO27" i="4" s="1"/>
  <c r="AM26" i="4"/>
  <c r="AN26" i="4"/>
  <c r="AO26" i="4" s="1"/>
  <c r="AN25" i="4"/>
  <c r="AO25" i="4" s="1"/>
  <c r="AM25" i="4"/>
  <c r="AN24" i="4"/>
  <c r="AO24" i="4" s="1"/>
  <c r="AM23" i="4"/>
  <c r="X22" i="4"/>
  <c r="W22" i="4"/>
  <c r="V22" i="4"/>
  <c r="U22" i="4"/>
  <c r="T22" i="4"/>
  <c r="T47" i="4" s="1"/>
  <c r="R22" i="4"/>
  <c r="Q22" i="4"/>
  <c r="P22" i="4"/>
  <c r="O22" i="4"/>
  <c r="N22" i="4"/>
  <c r="N47" i="4" s="1"/>
  <c r="M22" i="4"/>
  <c r="L22" i="4"/>
  <c r="K22" i="4"/>
  <c r="J22" i="4"/>
  <c r="I22" i="4"/>
  <c r="H22" i="4"/>
  <c r="H47" i="4" s="1"/>
  <c r="G22" i="4"/>
  <c r="F22" i="4"/>
  <c r="E22" i="4"/>
  <c r="AM21" i="4"/>
  <c r="AN21" i="4"/>
  <c r="AO21" i="4" s="1"/>
  <c r="AM20" i="4"/>
  <c r="AN20" i="4"/>
  <c r="AO20" i="4" s="1"/>
  <c r="AM19" i="4"/>
  <c r="AL22" i="4"/>
  <c r="AM22" i="4" s="1"/>
  <c r="AN19" i="4"/>
  <c r="AD18" i="4"/>
  <c r="AC18" i="4"/>
  <c r="AB18" i="4"/>
  <c r="AA18" i="4"/>
  <c r="Z18" i="4"/>
  <c r="Y18" i="4"/>
  <c r="X18" i="4"/>
  <c r="X47" i="4" s="1"/>
  <c r="W18" i="4"/>
  <c r="W47" i="4" s="1"/>
  <c r="V18" i="4"/>
  <c r="V47" i="4" s="1"/>
  <c r="U18" i="4"/>
  <c r="U47" i="4" s="1"/>
  <c r="T18" i="4"/>
  <c r="S18" i="4"/>
  <c r="R18" i="4"/>
  <c r="R47" i="4" s="1"/>
  <c r="Q18" i="4"/>
  <c r="Q47" i="4" s="1"/>
  <c r="P18" i="4"/>
  <c r="P47" i="4" s="1"/>
  <c r="O18" i="4"/>
  <c r="N18" i="4"/>
  <c r="M18" i="4"/>
  <c r="L18" i="4"/>
  <c r="L47" i="4" s="1"/>
  <c r="K18" i="4"/>
  <c r="K47" i="4" s="1"/>
  <c r="J18" i="4"/>
  <c r="J47" i="4" s="1"/>
  <c r="I18" i="4"/>
  <c r="I47" i="4" s="1"/>
  <c r="H18" i="4"/>
  <c r="G18" i="4"/>
  <c r="G47" i="4" s="1"/>
  <c r="F18" i="4"/>
  <c r="F47" i="4" s="1"/>
  <c r="E18" i="4"/>
  <c r="E47" i="4" s="1"/>
  <c r="AM17" i="4"/>
  <c r="AN17" i="4"/>
  <c r="AO17" i="4" s="1"/>
  <c r="AM16" i="4"/>
  <c r="AN16" i="4"/>
  <c r="AO16" i="4" s="1"/>
  <c r="AO15" i="4"/>
  <c r="AN15" i="4"/>
  <c r="AM15" i="4"/>
  <c r="AN14" i="4"/>
  <c r="AO14" i="4" s="1"/>
  <c r="AM14" i="4"/>
  <c r="AM13" i="4"/>
  <c r="AN13" i="4"/>
  <c r="AO13" i="4" s="1"/>
  <c r="AN12" i="4"/>
  <c r="AO12" i="4" s="1"/>
  <c r="AM11" i="4"/>
  <c r="AN11" i="4"/>
  <c r="AO11" i="4" s="1"/>
  <c r="AN10" i="4"/>
  <c r="AO10" i="4" s="1"/>
  <c r="AM10" i="4"/>
  <c r="AN9" i="4"/>
  <c r="AO9" i="4" s="1"/>
  <c r="AM7" i="4"/>
  <c r="AN7" i="4"/>
  <c r="AO7" i="4" s="1"/>
  <c r="AM6" i="4"/>
  <c r="AN6" i="4"/>
  <c r="AO6" i="4" s="1"/>
  <c r="AM5" i="4"/>
  <c r="AN5" i="4"/>
  <c r="AO5" i="4" s="1"/>
  <c r="AM4" i="4"/>
  <c r="AN4" i="4"/>
  <c r="AO4" i="4" s="1"/>
  <c r="AO3" i="4"/>
  <c r="AN3" i="4"/>
  <c r="AM3" i="4"/>
  <c r="AO55" i="3"/>
  <c r="AN55" i="3"/>
  <c r="AM55" i="3"/>
  <c r="AN54" i="3"/>
  <c r="AO54" i="3" s="1"/>
  <c r="AM53" i="3"/>
  <c r="AN53" i="3"/>
  <c r="AO53" i="3" s="1"/>
  <c r="AN52" i="3"/>
  <c r="AO52" i="3" s="1"/>
  <c r="AM52" i="3"/>
  <c r="AN51" i="3"/>
  <c r="AO51" i="3" s="1"/>
  <c r="AO49" i="3"/>
  <c r="AN49" i="3"/>
  <c r="AM49" i="3"/>
  <c r="AM48" i="3"/>
  <c r="AN48" i="3"/>
  <c r="AO48" i="3" s="1"/>
  <c r="P47" i="3"/>
  <c r="F47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G47" i="3" s="1"/>
  <c r="F46" i="3"/>
  <c r="E46" i="3"/>
  <c r="AM45" i="3"/>
  <c r="AO44" i="3"/>
  <c r="AM44" i="3"/>
  <c r="AN44" i="3"/>
  <c r="AM43" i="3"/>
  <c r="AN43" i="3"/>
  <c r="AO43" i="3" s="1"/>
  <c r="AO42" i="3"/>
  <c r="AN42" i="3"/>
  <c r="AM42" i="3"/>
  <c r="AN41" i="3"/>
  <c r="AO41" i="3" s="1"/>
  <c r="AM41" i="3"/>
  <c r="AM40" i="3"/>
  <c r="AN40" i="3"/>
  <c r="AO40" i="3" s="1"/>
  <c r="AN39" i="3"/>
  <c r="AO39" i="3" s="1"/>
  <c r="AK37" i="3"/>
  <c r="AO36" i="3"/>
  <c r="AN36" i="3"/>
  <c r="AM35" i="3"/>
  <c r="AL37" i="3"/>
  <c r="AM37" i="3" s="1"/>
  <c r="AM32" i="3"/>
  <c r="AM31" i="3"/>
  <c r="AK30" i="3"/>
  <c r="X30" i="3"/>
  <c r="W30" i="3"/>
  <c r="V30" i="3"/>
  <c r="U30" i="3"/>
  <c r="T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M29" i="3"/>
  <c r="AL30" i="3"/>
  <c r="AM30" i="3" s="1"/>
  <c r="AN29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N47" i="3" s="1"/>
  <c r="M28" i="3"/>
  <c r="L28" i="3"/>
  <c r="K28" i="3"/>
  <c r="J28" i="3"/>
  <c r="I28" i="3"/>
  <c r="H28" i="3"/>
  <c r="G28" i="3"/>
  <c r="F28" i="3"/>
  <c r="E28" i="3"/>
  <c r="AM27" i="3"/>
  <c r="AN27" i="3"/>
  <c r="AO27" i="3" s="1"/>
  <c r="AO26" i="3"/>
  <c r="AN26" i="3"/>
  <c r="AM26" i="3"/>
  <c r="AN25" i="3"/>
  <c r="AO25" i="3" s="1"/>
  <c r="AM25" i="3"/>
  <c r="AM24" i="3"/>
  <c r="AK28" i="3"/>
  <c r="X22" i="3"/>
  <c r="W22" i="3"/>
  <c r="V22" i="3"/>
  <c r="U22" i="3"/>
  <c r="T22" i="3"/>
  <c r="R22" i="3"/>
  <c r="R47" i="3" s="1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AM21" i="3"/>
  <c r="AO20" i="3"/>
  <c r="AN20" i="3"/>
  <c r="AM20" i="3"/>
  <c r="AN19" i="3"/>
  <c r="AD18" i="3"/>
  <c r="AC18" i="3"/>
  <c r="AB18" i="3"/>
  <c r="AA18" i="3"/>
  <c r="Z18" i="3"/>
  <c r="Y18" i="3"/>
  <c r="X18" i="3"/>
  <c r="W18" i="3"/>
  <c r="W47" i="3" s="1"/>
  <c r="V18" i="3"/>
  <c r="U18" i="3"/>
  <c r="U47" i="3" s="1"/>
  <c r="T18" i="3"/>
  <c r="T47" i="3" s="1"/>
  <c r="S18" i="3"/>
  <c r="R18" i="3"/>
  <c r="Q18" i="3"/>
  <c r="P18" i="3"/>
  <c r="O18" i="3"/>
  <c r="O47" i="3" s="1"/>
  <c r="N18" i="3"/>
  <c r="M18" i="3"/>
  <c r="M47" i="3" s="1"/>
  <c r="L18" i="3"/>
  <c r="K18" i="3"/>
  <c r="J18" i="3"/>
  <c r="I18" i="3"/>
  <c r="I47" i="3" s="1"/>
  <c r="H18" i="3"/>
  <c r="H47" i="3" s="1"/>
  <c r="G18" i="3"/>
  <c r="F18" i="3"/>
  <c r="E18" i="3"/>
  <c r="AN17" i="3"/>
  <c r="AO17" i="3" s="1"/>
  <c r="AN16" i="3"/>
  <c r="AO16" i="3" s="1"/>
  <c r="AM16" i="3"/>
  <c r="AO15" i="3"/>
  <c r="AN15" i="3"/>
  <c r="AM15" i="3"/>
  <c r="AM14" i="3"/>
  <c r="AN14" i="3"/>
  <c r="AO14" i="3" s="1"/>
  <c r="AM13" i="3"/>
  <c r="AN13" i="3"/>
  <c r="AO13" i="3" s="1"/>
  <c r="AM12" i="3"/>
  <c r="AN12" i="3"/>
  <c r="AO12" i="3" s="1"/>
  <c r="AN11" i="3"/>
  <c r="AO11" i="3" s="1"/>
  <c r="AM11" i="3"/>
  <c r="AN10" i="3"/>
  <c r="AO10" i="3" s="1"/>
  <c r="AM10" i="3"/>
  <c r="AN9" i="3"/>
  <c r="AO9" i="3" s="1"/>
  <c r="AM8" i="3"/>
  <c r="AM7" i="3"/>
  <c r="AN7" i="3"/>
  <c r="AO7" i="3" s="1"/>
  <c r="AM6" i="3"/>
  <c r="AN4" i="3"/>
  <c r="AO4" i="3" s="1"/>
  <c r="AN3" i="3"/>
  <c r="AO3" i="3" s="1"/>
  <c r="AM3" i="3"/>
  <c r="AK18" i="3"/>
  <c r="AO55" i="2"/>
  <c r="AN55" i="2"/>
  <c r="AM55" i="2"/>
  <c r="AM54" i="2"/>
  <c r="AN54" i="2"/>
  <c r="AO54" i="2" s="1"/>
  <c r="AO53" i="2"/>
  <c r="AN53" i="2"/>
  <c r="AM53" i="2"/>
  <c r="AN52" i="2"/>
  <c r="AO52" i="2" s="1"/>
  <c r="AM52" i="2"/>
  <c r="AM51" i="2"/>
  <c r="AN51" i="2"/>
  <c r="AO51" i="2" s="1"/>
  <c r="AN50" i="2"/>
  <c r="AO50" i="2" s="1"/>
  <c r="AN49" i="2"/>
  <c r="AO49" i="2" s="1"/>
  <c r="AM49" i="2"/>
  <c r="AM48" i="2"/>
  <c r="AN48" i="2"/>
  <c r="AO48" i="2" s="1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AO45" i="2"/>
  <c r="AN45" i="2"/>
  <c r="AM45" i="2"/>
  <c r="AM44" i="2"/>
  <c r="AN44" i="2"/>
  <c r="AO44" i="2" s="1"/>
  <c r="AM43" i="2"/>
  <c r="AM42" i="2"/>
  <c r="AN42" i="2"/>
  <c r="AO42" i="2" s="1"/>
  <c r="AN41" i="2"/>
  <c r="AO41" i="2" s="1"/>
  <c r="AM41" i="2"/>
  <c r="AN40" i="2"/>
  <c r="AO40" i="2" s="1"/>
  <c r="AM40" i="2"/>
  <c r="AM39" i="2"/>
  <c r="AN39" i="2"/>
  <c r="AO39" i="2" s="1"/>
  <c r="AN38" i="2"/>
  <c r="AO38" i="2" s="1"/>
  <c r="AM36" i="2"/>
  <c r="AN36" i="2"/>
  <c r="AO36" i="2" s="1"/>
  <c r="AM35" i="2"/>
  <c r="AN34" i="2"/>
  <c r="AM32" i="2"/>
  <c r="AN32" i="2"/>
  <c r="AO32" i="2" s="1"/>
  <c r="V30" i="2"/>
  <c r="U30" i="2"/>
  <c r="T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AN29" i="2"/>
  <c r="AM29" i="2"/>
  <c r="AK30" i="2"/>
  <c r="E31" i="1" s="1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AM27" i="2"/>
  <c r="AN27" i="2"/>
  <c r="AO27" i="2" s="1"/>
  <c r="AM26" i="2"/>
  <c r="AN26" i="2"/>
  <c r="AO26" i="2" s="1"/>
  <c r="AO25" i="2"/>
  <c r="AM25" i="2"/>
  <c r="AN25" i="2"/>
  <c r="AN24" i="2"/>
  <c r="AO24" i="2" s="1"/>
  <c r="AM24" i="2"/>
  <c r="AM23" i="2"/>
  <c r="AN23" i="2"/>
  <c r="AK22" i="2"/>
  <c r="E29" i="1" s="1"/>
  <c r="V22" i="2"/>
  <c r="U22" i="2"/>
  <c r="T22" i="2"/>
  <c r="R22" i="2"/>
  <c r="Q22" i="2"/>
  <c r="P22" i="2"/>
  <c r="O22" i="2"/>
  <c r="N22" i="2"/>
  <c r="N47" i="2" s="1"/>
  <c r="M22" i="2"/>
  <c r="L22" i="2"/>
  <c r="K22" i="2"/>
  <c r="J22" i="2"/>
  <c r="I22" i="2"/>
  <c r="H22" i="2"/>
  <c r="G22" i="2"/>
  <c r="F22" i="2"/>
  <c r="E22" i="2"/>
  <c r="AN21" i="2"/>
  <c r="AO21" i="2" s="1"/>
  <c r="AM21" i="2"/>
  <c r="AN20" i="2"/>
  <c r="AO20" i="2" s="1"/>
  <c r="AM20" i="2"/>
  <c r="AM19" i="2"/>
  <c r="AN19" i="2"/>
  <c r="AD18" i="2"/>
  <c r="AC18" i="2"/>
  <c r="AB18" i="2"/>
  <c r="AA18" i="2"/>
  <c r="Z18" i="2"/>
  <c r="Y18" i="2"/>
  <c r="X18" i="2"/>
  <c r="W18" i="2"/>
  <c r="V18" i="2"/>
  <c r="V47" i="2" s="1"/>
  <c r="U18" i="2"/>
  <c r="U47" i="2" s="1"/>
  <c r="T18" i="2"/>
  <c r="T47" i="2" s="1"/>
  <c r="S18" i="2"/>
  <c r="R18" i="2"/>
  <c r="R47" i="2" s="1"/>
  <c r="Q18" i="2"/>
  <c r="Q47" i="2" s="1"/>
  <c r="P18" i="2"/>
  <c r="P47" i="2" s="1"/>
  <c r="O18" i="2"/>
  <c r="O47" i="2" s="1"/>
  <c r="N18" i="2"/>
  <c r="M18" i="2"/>
  <c r="L18" i="2"/>
  <c r="L47" i="2" s="1"/>
  <c r="K18" i="2"/>
  <c r="K47" i="2" s="1"/>
  <c r="J18" i="2"/>
  <c r="I18" i="2"/>
  <c r="I47" i="2" s="1"/>
  <c r="H18" i="2"/>
  <c r="H47" i="2" s="1"/>
  <c r="G18" i="2"/>
  <c r="G47" i="2" s="1"/>
  <c r="F18" i="2"/>
  <c r="F47" i="2" s="1"/>
  <c r="E18" i="2"/>
  <c r="E47" i="2" s="1"/>
  <c r="AM17" i="2"/>
  <c r="AN17" i="2"/>
  <c r="AO17" i="2" s="1"/>
  <c r="AM16" i="2"/>
  <c r="AN16" i="2"/>
  <c r="AO16" i="2" s="1"/>
  <c r="AO15" i="2"/>
  <c r="AN15" i="2"/>
  <c r="AM15" i="2"/>
  <c r="AN14" i="2"/>
  <c r="AO14" i="2" s="1"/>
  <c r="AM14" i="2"/>
  <c r="AN13" i="2"/>
  <c r="AO13" i="2" s="1"/>
  <c r="AM13" i="2"/>
  <c r="AM12" i="2"/>
  <c r="AN12" i="2"/>
  <c r="AO12" i="2" s="1"/>
  <c r="AM11" i="2"/>
  <c r="AN11" i="2"/>
  <c r="AO11" i="2" s="1"/>
  <c r="AO10" i="2"/>
  <c r="AM10" i="2"/>
  <c r="AN10" i="2"/>
  <c r="AM9" i="2"/>
  <c r="AN9" i="2"/>
  <c r="AO9" i="2" s="1"/>
  <c r="AN8" i="2"/>
  <c r="AO8" i="2" s="1"/>
  <c r="AM8" i="2"/>
  <c r="AN7" i="2"/>
  <c r="AO7" i="2" s="1"/>
  <c r="AM6" i="2"/>
  <c r="AN6" i="2"/>
  <c r="AO6" i="2" s="1"/>
  <c r="AM5" i="2"/>
  <c r="AN5" i="2"/>
  <c r="AO5" i="2" s="1"/>
  <c r="AM4" i="2"/>
  <c r="AN4" i="2"/>
  <c r="AO4" i="2" s="1"/>
  <c r="AN3" i="2"/>
  <c r="C134" i="1"/>
  <c r="D133" i="1"/>
  <c r="C133" i="1"/>
  <c r="G133" i="1" s="1"/>
  <c r="G132" i="1"/>
  <c r="D132" i="1"/>
  <c r="C132" i="1"/>
  <c r="F131" i="1"/>
  <c r="E131" i="1"/>
  <c r="D131" i="1"/>
  <c r="C131" i="1"/>
  <c r="G131" i="1" s="1"/>
  <c r="G130" i="1"/>
  <c r="D130" i="1"/>
  <c r="C130" i="1"/>
  <c r="D129" i="1"/>
  <c r="C129" i="1"/>
  <c r="G129" i="1" s="1"/>
  <c r="C128" i="1"/>
  <c r="C125" i="1"/>
  <c r="E124" i="1"/>
  <c r="C124" i="1"/>
  <c r="E123" i="1"/>
  <c r="C123" i="1"/>
  <c r="G122" i="1"/>
  <c r="D122" i="1"/>
  <c r="C122" i="1"/>
  <c r="E121" i="1"/>
  <c r="C121" i="1"/>
  <c r="G120" i="1"/>
  <c r="D120" i="1"/>
  <c r="C120" i="1"/>
  <c r="E119" i="1"/>
  <c r="C119" i="1"/>
  <c r="G118" i="1"/>
  <c r="D118" i="1"/>
  <c r="C118" i="1"/>
  <c r="C114" i="1"/>
  <c r="C113" i="1"/>
  <c r="G112" i="1"/>
  <c r="D112" i="1"/>
  <c r="C112" i="1"/>
  <c r="E111" i="1"/>
  <c r="C111" i="1"/>
  <c r="C115" i="1" s="1"/>
  <c r="C110" i="1"/>
  <c r="C109" i="1"/>
  <c r="C108" i="1"/>
  <c r="G104" i="1"/>
  <c r="D104" i="1"/>
  <c r="C104" i="1"/>
  <c r="E103" i="1"/>
  <c r="C103" i="1"/>
  <c r="H102" i="1"/>
  <c r="G102" i="1"/>
  <c r="F102" i="1"/>
  <c r="E102" i="1"/>
  <c r="D102" i="1"/>
  <c r="C102" i="1"/>
  <c r="C101" i="1"/>
  <c r="C100" i="1"/>
  <c r="F99" i="1"/>
  <c r="E99" i="1"/>
  <c r="D99" i="1"/>
  <c r="C99" i="1"/>
  <c r="G99" i="1" s="1"/>
  <c r="C98" i="1"/>
  <c r="C94" i="1"/>
  <c r="E93" i="1"/>
  <c r="C93" i="1"/>
  <c r="E92" i="1"/>
  <c r="C92" i="1"/>
  <c r="E91" i="1"/>
  <c r="C91" i="1"/>
  <c r="G90" i="1"/>
  <c r="F90" i="1"/>
  <c r="H90" i="1" s="1"/>
  <c r="E90" i="1"/>
  <c r="D90" i="1"/>
  <c r="C90" i="1"/>
  <c r="E89" i="1"/>
  <c r="C89" i="1"/>
  <c r="C95" i="1" s="1"/>
  <c r="E88" i="1"/>
  <c r="C88" i="1"/>
  <c r="G84" i="1"/>
  <c r="D84" i="1"/>
  <c r="C84" i="1"/>
  <c r="D83" i="1"/>
  <c r="C83" i="1"/>
  <c r="G83" i="1" s="1"/>
  <c r="E82" i="1"/>
  <c r="C82" i="1"/>
  <c r="D81" i="1"/>
  <c r="C81" i="1"/>
  <c r="G81" i="1" s="1"/>
  <c r="C80" i="1"/>
  <c r="F79" i="1"/>
  <c r="E79" i="1"/>
  <c r="D79" i="1"/>
  <c r="C79" i="1"/>
  <c r="G79" i="1" s="1"/>
  <c r="E78" i="1"/>
  <c r="C78" i="1"/>
  <c r="E74" i="1"/>
  <c r="C74" i="1"/>
  <c r="D73" i="1"/>
  <c r="C73" i="1"/>
  <c r="G73" i="1" s="1"/>
  <c r="G72" i="1"/>
  <c r="F72" i="1"/>
  <c r="H72" i="1" s="1"/>
  <c r="E72" i="1"/>
  <c r="D72" i="1"/>
  <c r="C72" i="1"/>
  <c r="F71" i="1"/>
  <c r="E71" i="1"/>
  <c r="D71" i="1"/>
  <c r="C71" i="1"/>
  <c r="G71" i="1" s="1"/>
  <c r="H70" i="1"/>
  <c r="G70" i="1"/>
  <c r="F70" i="1"/>
  <c r="E70" i="1"/>
  <c r="D70" i="1"/>
  <c r="C70" i="1"/>
  <c r="F69" i="1"/>
  <c r="E69" i="1"/>
  <c r="D69" i="1"/>
  <c r="C69" i="1"/>
  <c r="G69" i="1" s="1"/>
  <c r="G68" i="1"/>
  <c r="F68" i="1"/>
  <c r="E68" i="1"/>
  <c r="D68" i="1"/>
  <c r="C68" i="1"/>
  <c r="C64" i="1"/>
  <c r="D63" i="1"/>
  <c r="C63" i="1"/>
  <c r="G62" i="1"/>
  <c r="F62" i="1"/>
  <c r="H62" i="1" s="1"/>
  <c r="E62" i="1"/>
  <c r="D62" i="1"/>
  <c r="C62" i="1"/>
  <c r="E61" i="1"/>
  <c r="C61" i="1"/>
  <c r="C60" i="1"/>
  <c r="C59" i="1"/>
  <c r="C65" i="1" s="1"/>
  <c r="E58" i="1"/>
  <c r="C58" i="1"/>
  <c r="H54" i="1"/>
  <c r="G54" i="1"/>
  <c r="F54" i="1"/>
  <c r="E54" i="1"/>
  <c r="D54" i="1"/>
  <c r="C54" i="1"/>
  <c r="F53" i="1"/>
  <c r="E53" i="1"/>
  <c r="D53" i="1"/>
  <c r="C53" i="1"/>
  <c r="G53" i="1" s="1"/>
  <c r="G52" i="1"/>
  <c r="F52" i="1"/>
  <c r="H52" i="1" s="1"/>
  <c r="E52" i="1"/>
  <c r="D52" i="1"/>
  <c r="C52" i="1"/>
  <c r="E51" i="1"/>
  <c r="C51" i="1"/>
  <c r="C50" i="1"/>
  <c r="D49" i="1"/>
  <c r="C49" i="1"/>
  <c r="C48" i="1"/>
  <c r="C44" i="1"/>
  <c r="F43" i="1"/>
  <c r="H43" i="1" s="1"/>
  <c r="E43" i="1"/>
  <c r="D43" i="1"/>
  <c r="C43" i="1"/>
  <c r="G43" i="1" s="1"/>
  <c r="C42" i="1"/>
  <c r="F41" i="1"/>
  <c r="E41" i="1"/>
  <c r="D41" i="1"/>
  <c r="C41" i="1"/>
  <c r="G41" i="1" s="1"/>
  <c r="E40" i="1"/>
  <c r="C40" i="1"/>
  <c r="C39" i="1"/>
  <c r="E38" i="1"/>
  <c r="C38" i="1"/>
  <c r="C35" i="1"/>
  <c r="C34" i="1"/>
  <c r="C33" i="1"/>
  <c r="C32" i="1"/>
  <c r="C31" i="1"/>
  <c r="C20" i="1" s="1"/>
  <c r="C30" i="1"/>
  <c r="C29" i="1"/>
  <c r="C28" i="1"/>
  <c r="C23" i="1"/>
  <c r="C21" i="1"/>
  <c r="C19" i="1"/>
  <c r="C17" i="1"/>
  <c r="C13" i="1"/>
  <c r="C12" i="1"/>
  <c r="C11" i="1"/>
  <c r="C10" i="1"/>
  <c r="C14" i="1" s="1"/>
  <c r="C9" i="1"/>
  <c r="C8" i="1"/>
  <c r="C7" i="1"/>
  <c r="C6" i="1"/>
  <c r="L5" i="1"/>
  <c r="C5" i="1"/>
  <c r="C4" i="1"/>
  <c r="C3" i="1"/>
  <c r="H1" i="1"/>
  <c r="G63" i="1" l="1"/>
  <c r="C22" i="1"/>
  <c r="G49" i="1"/>
  <c r="C18" i="1"/>
  <c r="C24" i="1" s="1"/>
  <c r="C1" i="1" s="1"/>
  <c r="C55" i="1"/>
  <c r="H68" i="1"/>
  <c r="AN22" i="2"/>
  <c r="AO22" i="2" s="1"/>
  <c r="AO19" i="2"/>
  <c r="AO29" i="2"/>
  <c r="AN30" i="2"/>
  <c r="AO30" i="2" s="1"/>
  <c r="AL18" i="2"/>
  <c r="AN18" i="2"/>
  <c r="AO3" i="2"/>
  <c r="AN28" i="2"/>
  <c r="AO28" i="2" s="1"/>
  <c r="AO23" i="2"/>
  <c r="AN31" i="2"/>
  <c r="AM31" i="2"/>
  <c r="AL33" i="2"/>
  <c r="H71" i="1"/>
  <c r="AL28" i="2"/>
  <c r="C85" i="1"/>
  <c r="C105" i="1"/>
  <c r="H41" i="1"/>
  <c r="H79" i="1"/>
  <c r="H131" i="1"/>
  <c r="C45" i="1"/>
  <c r="H69" i="1"/>
  <c r="H99" i="1"/>
  <c r="C135" i="1"/>
  <c r="H53" i="1"/>
  <c r="C75" i="1"/>
  <c r="AK18" i="2"/>
  <c r="AN37" i="2"/>
  <c r="AO37" i="2" s="1"/>
  <c r="AK37" i="2"/>
  <c r="E33" i="1" s="1"/>
  <c r="AN35" i="2"/>
  <c r="AO35" i="2" s="1"/>
  <c r="AL30" i="2"/>
  <c r="AK33" i="2"/>
  <c r="E32" i="1" s="1"/>
  <c r="AM3" i="2"/>
  <c r="AL37" i="2"/>
  <c r="AM50" i="2"/>
  <c r="AN8" i="3"/>
  <c r="AO8" i="3" s="1"/>
  <c r="AL22" i="3"/>
  <c r="AN5" i="3"/>
  <c r="AO5" i="3" s="1"/>
  <c r="AM5" i="3"/>
  <c r="E47" i="3"/>
  <c r="Q47" i="3"/>
  <c r="AO35" i="4"/>
  <c r="AN37" i="4"/>
  <c r="AO37" i="4" s="1"/>
  <c r="AM18" i="5"/>
  <c r="AN43" i="2"/>
  <c r="AO43" i="2" s="1"/>
  <c r="AN21" i="3"/>
  <c r="AO21" i="3" s="1"/>
  <c r="AL28" i="3"/>
  <c r="AN23" i="3"/>
  <c r="AM23" i="3"/>
  <c r="AN32" i="3"/>
  <c r="AO32" i="3" s="1"/>
  <c r="AM8" i="4"/>
  <c r="AN8" i="4"/>
  <c r="AO8" i="4" s="1"/>
  <c r="AO35" i="5"/>
  <c r="AN37" i="5"/>
  <c r="AO37" i="5" s="1"/>
  <c r="AM9" i="3"/>
  <c r="AL18" i="3"/>
  <c r="AN45" i="3"/>
  <c r="AO45" i="3" s="1"/>
  <c r="AO29" i="6"/>
  <c r="AN30" i="6"/>
  <c r="AO30" i="6" s="1"/>
  <c r="AL22" i="2"/>
  <c r="AL46" i="2"/>
  <c r="AN6" i="3"/>
  <c r="AO6" i="3" s="1"/>
  <c r="AK46" i="3"/>
  <c r="AN38" i="3"/>
  <c r="AO38" i="3" s="1"/>
  <c r="J47" i="2"/>
  <c r="AM38" i="2"/>
  <c r="AK46" i="2"/>
  <c r="J47" i="3"/>
  <c r="V47" i="3"/>
  <c r="AN24" i="3"/>
  <c r="AO24" i="3" s="1"/>
  <c r="AL46" i="3"/>
  <c r="AO19" i="4"/>
  <c r="AN22" i="4"/>
  <c r="AO22" i="4" s="1"/>
  <c r="AO29" i="5"/>
  <c r="AN30" i="5"/>
  <c r="AO30" i="5" s="1"/>
  <c r="K47" i="3"/>
  <c r="AO23" i="7"/>
  <c r="AK28" i="2"/>
  <c r="E30" i="1" s="1"/>
  <c r="AN22" i="3"/>
  <c r="AO22" i="3" s="1"/>
  <c r="AM50" i="3"/>
  <c r="AN50" i="3"/>
  <c r="AO50" i="3" s="1"/>
  <c r="M47" i="2"/>
  <c r="AM4" i="3"/>
  <c r="AO19" i="3"/>
  <c r="AN35" i="3"/>
  <c r="AO19" i="5"/>
  <c r="AN22" i="5"/>
  <c r="AO22" i="5" s="1"/>
  <c r="AM7" i="2"/>
  <c r="X47" i="3"/>
  <c r="AN31" i="3"/>
  <c r="AK33" i="3"/>
  <c r="E42" i="1" s="1"/>
  <c r="AL18" i="4"/>
  <c r="L47" i="3"/>
  <c r="AK22" i="3"/>
  <c r="E39" i="1" s="1"/>
  <c r="AO29" i="3"/>
  <c r="AN30" i="3"/>
  <c r="AO30" i="3" s="1"/>
  <c r="AL33" i="3"/>
  <c r="AO29" i="4"/>
  <c r="AN30" i="4"/>
  <c r="AO30" i="4" s="1"/>
  <c r="AN23" i="4"/>
  <c r="AK28" i="4"/>
  <c r="E50" i="1" s="1"/>
  <c r="AN39" i="4"/>
  <c r="AO39" i="4" s="1"/>
  <c r="AN54" i="4"/>
  <c r="AO54" i="4" s="1"/>
  <c r="AO4" i="5"/>
  <c r="AN9" i="5"/>
  <c r="AO9" i="5" s="1"/>
  <c r="AN38" i="5"/>
  <c r="AO38" i="5" s="1"/>
  <c r="AN50" i="5"/>
  <c r="AO50" i="5" s="1"/>
  <c r="AN4" i="6"/>
  <c r="AO4" i="6" s="1"/>
  <c r="AL18" i="6"/>
  <c r="AM35" i="6"/>
  <c r="AM38" i="6"/>
  <c r="AM4" i="7"/>
  <c r="AL28" i="8"/>
  <c r="AN23" i="8"/>
  <c r="AL30" i="8"/>
  <c r="AM35" i="8"/>
  <c r="AN35" i="8"/>
  <c r="K47" i="9"/>
  <c r="AN20" i="9"/>
  <c r="AO20" i="9" s="1"/>
  <c r="AK22" i="9"/>
  <c r="E109" i="1" s="1"/>
  <c r="AM18" i="11"/>
  <c r="AK18" i="4"/>
  <c r="AL28" i="4"/>
  <c r="AN31" i="4"/>
  <c r="AN35" i="6"/>
  <c r="AM25" i="7"/>
  <c r="AL33" i="7"/>
  <c r="AN48" i="7"/>
  <c r="AO48" i="7" s="1"/>
  <c r="AN38" i="9"/>
  <c r="AO38" i="9" s="1"/>
  <c r="AL46" i="9"/>
  <c r="AM38" i="9"/>
  <c r="AO19" i="10"/>
  <c r="AN22" i="10"/>
  <c r="AO22" i="10" s="1"/>
  <c r="AM38" i="3"/>
  <c r="AM41" i="5"/>
  <c r="AN7" i="6"/>
  <c r="AO7" i="6" s="1"/>
  <c r="AM16" i="6"/>
  <c r="V47" i="6"/>
  <c r="AN22" i="6"/>
  <c r="AO22" i="6" s="1"/>
  <c r="AL46" i="7"/>
  <c r="AK46" i="7"/>
  <c r="AK46" i="9"/>
  <c r="AN42" i="4"/>
  <c r="AO42" i="4" s="1"/>
  <c r="AL46" i="5"/>
  <c r="AN46" i="5" s="1"/>
  <c r="AO46" i="5" s="1"/>
  <c r="K47" i="6"/>
  <c r="AM21" i="9"/>
  <c r="AN21" i="9"/>
  <c r="AO21" i="9" s="1"/>
  <c r="AN39" i="9"/>
  <c r="AO39" i="9" s="1"/>
  <c r="AM39" i="9"/>
  <c r="AK37" i="10"/>
  <c r="E63" i="1" s="1"/>
  <c r="F63" i="1" s="1"/>
  <c r="H63" i="1" s="1"/>
  <c r="AN35" i="10"/>
  <c r="AM17" i="3"/>
  <c r="AM19" i="3"/>
  <c r="AM36" i="3"/>
  <c r="AM51" i="3"/>
  <c r="AM9" i="4"/>
  <c r="AK22" i="4"/>
  <c r="E49" i="1" s="1"/>
  <c r="F49" i="1" s="1"/>
  <c r="H49" i="1" s="1"/>
  <c r="AM24" i="4"/>
  <c r="AM40" i="4"/>
  <c r="AM10" i="5"/>
  <c r="AN25" i="5"/>
  <c r="AO25" i="5" s="1"/>
  <c r="AN33" i="5"/>
  <c r="AO33" i="5" s="1"/>
  <c r="AK37" i="5"/>
  <c r="E73" i="1" s="1"/>
  <c r="F73" i="1" s="1"/>
  <c r="H73" i="1" s="1"/>
  <c r="AM39" i="5"/>
  <c r="AN5" i="6"/>
  <c r="AO5" i="6" s="1"/>
  <c r="AK30" i="6"/>
  <c r="E81" i="1" s="1"/>
  <c r="F81" i="1" s="1"/>
  <c r="H81" i="1" s="1"/>
  <c r="AM39" i="6"/>
  <c r="AM5" i="7"/>
  <c r="AL18" i="7"/>
  <c r="AN21" i="7"/>
  <c r="AO21" i="7" s="1"/>
  <c r="AN26" i="7"/>
  <c r="AO26" i="7" s="1"/>
  <c r="AM35" i="7"/>
  <c r="AL37" i="7"/>
  <c r="F47" i="8"/>
  <c r="AN29" i="8"/>
  <c r="AL37" i="8"/>
  <c r="AN30" i="9"/>
  <c r="AO30" i="9" s="1"/>
  <c r="AO29" i="9"/>
  <c r="AM3" i="5"/>
  <c r="P47" i="5"/>
  <c r="AM23" i="5"/>
  <c r="AN54" i="5"/>
  <c r="AO54" i="5" s="1"/>
  <c r="AL28" i="6"/>
  <c r="AN23" i="6"/>
  <c r="AK46" i="6"/>
  <c r="T47" i="7"/>
  <c r="AM29" i="7"/>
  <c r="AL30" i="7"/>
  <c r="AN35" i="7"/>
  <c r="AN14" i="8"/>
  <c r="AO14" i="8" s="1"/>
  <c r="AN38" i="8"/>
  <c r="AO38" i="8" s="1"/>
  <c r="AK46" i="8"/>
  <c r="AN17" i="9"/>
  <c r="AO17" i="9" s="1"/>
  <c r="AL30" i="4"/>
  <c r="N47" i="6"/>
  <c r="F47" i="6"/>
  <c r="R47" i="6"/>
  <c r="AL33" i="6"/>
  <c r="U47" i="7"/>
  <c r="AN25" i="9"/>
  <c r="AO25" i="9" s="1"/>
  <c r="AM25" i="9"/>
  <c r="AM39" i="3"/>
  <c r="AM54" i="3"/>
  <c r="AM12" i="4"/>
  <c r="AM27" i="4"/>
  <c r="AM29" i="4"/>
  <c r="AM43" i="4"/>
  <c r="AM13" i="5"/>
  <c r="AO23" i="5"/>
  <c r="AM42" i="5"/>
  <c r="O47" i="6"/>
  <c r="AK28" i="6"/>
  <c r="E80" i="1" s="1"/>
  <c r="AN33" i="6"/>
  <c r="AO33" i="6" s="1"/>
  <c r="AK37" i="6"/>
  <c r="E83" i="1" s="1"/>
  <c r="F83" i="1" s="1"/>
  <c r="H83" i="1" s="1"/>
  <c r="AN9" i="7"/>
  <c r="AO9" i="7" s="1"/>
  <c r="AO29" i="7"/>
  <c r="AN33" i="7"/>
  <c r="AO33" i="7" s="1"/>
  <c r="J47" i="8"/>
  <c r="V47" i="8"/>
  <c r="AN35" i="9"/>
  <c r="AK37" i="9"/>
  <c r="E113" i="1" s="1"/>
  <c r="AN3" i="7"/>
  <c r="K47" i="7"/>
  <c r="AN19" i="7"/>
  <c r="AL22" i="7"/>
  <c r="AN27" i="7"/>
  <c r="AO27" i="7" s="1"/>
  <c r="AO31" i="7"/>
  <c r="AM44" i="7"/>
  <c r="AN44" i="7"/>
  <c r="AO44" i="7" s="1"/>
  <c r="AN15" i="8"/>
  <c r="AO15" i="8" s="1"/>
  <c r="AM15" i="8"/>
  <c r="AM26" i="8"/>
  <c r="AN26" i="8"/>
  <c r="AO26" i="8" s="1"/>
  <c r="AN15" i="9"/>
  <c r="AO15" i="9" s="1"/>
  <c r="AL18" i="10"/>
  <c r="AN3" i="10"/>
  <c r="AM3" i="10"/>
  <c r="AM13" i="7"/>
  <c r="AM16" i="7"/>
  <c r="AM19" i="7"/>
  <c r="AM24" i="7"/>
  <c r="L47" i="8"/>
  <c r="AO3" i="9"/>
  <c r="AN38" i="10"/>
  <c r="AO38" i="10" s="1"/>
  <c r="AK46" i="10"/>
  <c r="AN38" i="6"/>
  <c r="AO38" i="6" s="1"/>
  <c r="AL18" i="8"/>
  <c r="AL22" i="9"/>
  <c r="AM36" i="9"/>
  <c r="AN36" i="9"/>
  <c r="AO36" i="9" s="1"/>
  <c r="AM39" i="4"/>
  <c r="AM15" i="6"/>
  <c r="AN41" i="6"/>
  <c r="AO41" i="6" s="1"/>
  <c r="AN48" i="6"/>
  <c r="AO48" i="6" s="1"/>
  <c r="AN7" i="7"/>
  <c r="AO7" i="7" s="1"/>
  <c r="AN17" i="7"/>
  <c r="AO17" i="7" s="1"/>
  <c r="AN25" i="7"/>
  <c r="AO25" i="7" s="1"/>
  <c r="AM32" i="7"/>
  <c r="AN4" i="8"/>
  <c r="AO4" i="8" s="1"/>
  <c r="AK18" i="8"/>
  <c r="AN11" i="8"/>
  <c r="AO11" i="8" s="1"/>
  <c r="AM11" i="8"/>
  <c r="AN22" i="9"/>
  <c r="AO22" i="9" s="1"/>
  <c r="AO19" i="9"/>
  <c r="AO23" i="9"/>
  <c r="AM27" i="9"/>
  <c r="AN27" i="9"/>
  <c r="AO27" i="9" s="1"/>
  <c r="AK33" i="9"/>
  <c r="E112" i="1" s="1"/>
  <c r="F112" i="1" s="1"/>
  <c r="H112" i="1" s="1"/>
  <c r="AN31" i="9"/>
  <c r="J47" i="7"/>
  <c r="AM38" i="7"/>
  <c r="AN8" i="8"/>
  <c r="AO8" i="8" s="1"/>
  <c r="AN13" i="8"/>
  <c r="AO13" i="8" s="1"/>
  <c r="AK30" i="8"/>
  <c r="E101" i="1" s="1"/>
  <c r="X47" i="9"/>
  <c r="AM19" i="9"/>
  <c r="AN5" i="10"/>
  <c r="AO5" i="10" s="1"/>
  <c r="AK22" i="10"/>
  <c r="E59" i="1" s="1"/>
  <c r="AM3" i="11"/>
  <c r="AM25" i="11"/>
  <c r="AL46" i="11"/>
  <c r="AN4" i="11"/>
  <c r="AO4" i="11" s="1"/>
  <c r="AO3" i="12"/>
  <c r="AN28" i="12"/>
  <c r="AO28" i="12" s="1"/>
  <c r="X47" i="7"/>
  <c r="AN51" i="9"/>
  <c r="AO51" i="9" s="1"/>
  <c r="AK28" i="10"/>
  <c r="E60" i="1" s="1"/>
  <c r="AL46" i="10"/>
  <c r="AM52" i="10"/>
  <c r="AN16" i="11"/>
  <c r="AO16" i="11" s="1"/>
  <c r="AL37" i="11"/>
  <c r="AN44" i="11"/>
  <c r="AO44" i="11" s="1"/>
  <c r="AL18" i="12"/>
  <c r="AL28" i="10"/>
  <c r="AK28" i="11"/>
  <c r="E120" i="1" s="1"/>
  <c r="F120" i="1" s="1"/>
  <c r="H120" i="1" s="1"/>
  <c r="AN23" i="11"/>
  <c r="AO35" i="12"/>
  <c r="AN37" i="12"/>
  <c r="AO37" i="12" s="1"/>
  <c r="AN17" i="10"/>
  <c r="AO17" i="10" s="1"/>
  <c r="AO23" i="10"/>
  <c r="AK18" i="12"/>
  <c r="AM3" i="8"/>
  <c r="O47" i="8"/>
  <c r="AO19" i="8"/>
  <c r="E47" i="9"/>
  <c r="Q47" i="9"/>
  <c r="AM44" i="10"/>
  <c r="AM7" i="11"/>
  <c r="AL22" i="11"/>
  <c r="AM23" i="11"/>
  <c r="AM29" i="11"/>
  <c r="AL30" i="11"/>
  <c r="AK33" i="11"/>
  <c r="E122" i="1" s="1"/>
  <c r="F122" i="1" s="1"/>
  <c r="H122" i="1" s="1"/>
  <c r="AN31" i="11"/>
  <c r="AN38" i="11"/>
  <c r="AO38" i="11" s="1"/>
  <c r="AN3" i="8"/>
  <c r="P47" i="8"/>
  <c r="AN52" i="8"/>
  <c r="AO52" i="8" s="1"/>
  <c r="F47" i="9"/>
  <c r="R47" i="9"/>
  <c r="AN36" i="10"/>
  <c r="AO36" i="10" s="1"/>
  <c r="X47" i="11"/>
  <c r="AM19" i="11"/>
  <c r="E47" i="11"/>
  <c r="Q47" i="11"/>
  <c r="AN24" i="11"/>
  <c r="AO24" i="11" s="1"/>
  <c r="AN29" i="11"/>
  <c r="AN4" i="10"/>
  <c r="AO4" i="10" s="1"/>
  <c r="AN24" i="10"/>
  <c r="AO24" i="10" s="1"/>
  <c r="AN29" i="10"/>
  <c r="AN48" i="10"/>
  <c r="AO48" i="10" s="1"/>
  <c r="AN19" i="11"/>
  <c r="AO31" i="12"/>
  <c r="AN33" i="12"/>
  <c r="AO33" i="12" s="1"/>
  <c r="AN33" i="8"/>
  <c r="AO33" i="8" s="1"/>
  <c r="AN45" i="8"/>
  <c r="AO45" i="8" s="1"/>
  <c r="AK28" i="9"/>
  <c r="E110" i="1" s="1"/>
  <c r="AM52" i="9"/>
  <c r="AN8" i="11"/>
  <c r="AO8" i="11" s="1"/>
  <c r="AM17" i="11"/>
  <c r="AN32" i="11"/>
  <c r="AO32" i="11" s="1"/>
  <c r="AK22" i="12"/>
  <c r="E129" i="1" s="1"/>
  <c r="F129" i="1" s="1"/>
  <c r="H129" i="1" s="1"/>
  <c r="AN19" i="12"/>
  <c r="AO31" i="8"/>
  <c r="AL28" i="9"/>
  <c r="AN42" i="10"/>
  <c r="AO42" i="10" s="1"/>
  <c r="O47" i="11"/>
  <c r="AN12" i="12"/>
  <c r="AO12" i="12" s="1"/>
  <c r="AN43" i="7"/>
  <c r="AO43" i="7" s="1"/>
  <c r="H47" i="8"/>
  <c r="AK28" i="8"/>
  <c r="E100" i="1" s="1"/>
  <c r="AK18" i="9"/>
  <c r="AM5" i="9"/>
  <c r="AN14" i="9"/>
  <c r="AO14" i="9" s="1"/>
  <c r="J47" i="9"/>
  <c r="AL30" i="9"/>
  <c r="AL30" i="10"/>
  <c r="AN49" i="10"/>
  <c r="AO49" i="10" s="1"/>
  <c r="AK18" i="11"/>
  <c r="AN3" i="11"/>
  <c r="P47" i="11"/>
  <c r="AN27" i="11"/>
  <c r="AO27" i="11" s="1"/>
  <c r="U47" i="8"/>
  <c r="AN21" i="8"/>
  <c r="AO21" i="8" s="1"/>
  <c r="AL18" i="9"/>
  <c r="AN26" i="9"/>
  <c r="AO26" i="9" s="1"/>
  <c r="AL37" i="9"/>
  <c r="AL22" i="10"/>
  <c r="AN33" i="10"/>
  <c r="AO33" i="10" s="1"/>
  <c r="J47" i="11"/>
  <c r="AN36" i="11"/>
  <c r="AO36" i="11" s="1"/>
  <c r="AN53" i="11"/>
  <c r="AO53" i="11" s="1"/>
  <c r="AK33" i="12"/>
  <c r="E132" i="1" s="1"/>
  <c r="F132" i="1" s="1"/>
  <c r="H132" i="1" s="1"/>
  <c r="AK46" i="12"/>
  <c r="AM19" i="12"/>
  <c r="AK37" i="12"/>
  <c r="E133" i="1" s="1"/>
  <c r="F133" i="1" s="1"/>
  <c r="H133" i="1" s="1"/>
  <c r="AL46" i="12"/>
  <c r="AK28" i="12"/>
  <c r="E130" i="1" s="1"/>
  <c r="F130" i="1" s="1"/>
  <c r="H130" i="1" s="1"/>
  <c r="AM48" i="12"/>
  <c r="AO31" i="11" l="1"/>
  <c r="AN33" i="11"/>
  <c r="AO33" i="11" s="1"/>
  <c r="AM37" i="11"/>
  <c r="D123" i="1"/>
  <c r="AO31" i="9"/>
  <c r="AN33" i="9"/>
  <c r="AO33" i="9" s="1"/>
  <c r="AN18" i="10"/>
  <c r="AO3" i="10"/>
  <c r="AO19" i="7"/>
  <c r="AN22" i="7"/>
  <c r="AO22" i="7" s="1"/>
  <c r="AO35" i="7"/>
  <c r="AN37" i="7"/>
  <c r="AO37" i="7" s="1"/>
  <c r="AN46" i="7"/>
  <c r="AO46" i="7" s="1"/>
  <c r="E94" i="1"/>
  <c r="E95" i="1" s="1"/>
  <c r="AM46" i="9"/>
  <c r="D114" i="1"/>
  <c r="AN46" i="3"/>
  <c r="AO46" i="3" s="1"/>
  <c r="E44" i="1"/>
  <c r="AL47" i="5"/>
  <c r="D33" i="1"/>
  <c r="AM37" i="2"/>
  <c r="D32" i="1"/>
  <c r="AM33" i="2"/>
  <c r="AN18" i="11"/>
  <c r="AO3" i="11"/>
  <c r="AK47" i="12"/>
  <c r="E128" i="1"/>
  <c r="AN46" i="10"/>
  <c r="AO46" i="10" s="1"/>
  <c r="E64" i="1"/>
  <c r="AL47" i="10"/>
  <c r="AM18" i="10"/>
  <c r="D58" i="1"/>
  <c r="AM30" i="7"/>
  <c r="D91" i="1"/>
  <c r="AM37" i="8"/>
  <c r="D103" i="1"/>
  <c r="AM46" i="7"/>
  <c r="D94" i="1"/>
  <c r="E45" i="1"/>
  <c r="AN18" i="5"/>
  <c r="AN18" i="3"/>
  <c r="AK47" i="11"/>
  <c r="E118" i="1"/>
  <c r="AM30" i="11"/>
  <c r="D121" i="1"/>
  <c r="E65" i="1"/>
  <c r="AN18" i="7"/>
  <c r="AO3" i="7"/>
  <c r="AO29" i="8"/>
  <c r="AN30" i="8"/>
  <c r="AO30" i="8" s="1"/>
  <c r="AN37" i="10"/>
  <c r="AO37" i="10" s="1"/>
  <c r="AO35" i="10"/>
  <c r="AN37" i="8"/>
  <c r="AO37" i="8" s="1"/>
  <c r="AO35" i="8"/>
  <c r="AK47" i="6"/>
  <c r="E21" i="1"/>
  <c r="AO31" i="2"/>
  <c r="AN33" i="2"/>
  <c r="AO33" i="2" s="1"/>
  <c r="AN28" i="10"/>
  <c r="AO28" i="10" s="1"/>
  <c r="AM46" i="10"/>
  <c r="D64" i="1"/>
  <c r="AK47" i="10"/>
  <c r="AM33" i="6"/>
  <c r="D82" i="1"/>
  <c r="AN18" i="6"/>
  <c r="AM33" i="7"/>
  <c r="D92" i="1"/>
  <c r="AL47" i="4"/>
  <c r="AM18" i="4"/>
  <c r="D48" i="1"/>
  <c r="D34" i="1"/>
  <c r="AM46" i="2"/>
  <c r="D31" i="1"/>
  <c r="AM30" i="2"/>
  <c r="AM30" i="10"/>
  <c r="D61" i="1"/>
  <c r="AM28" i="9"/>
  <c r="D110" i="1"/>
  <c r="AO35" i="9"/>
  <c r="AN37" i="9"/>
  <c r="AO37" i="9" s="1"/>
  <c r="AN46" i="6"/>
  <c r="AO46" i="6" s="1"/>
  <c r="E84" i="1"/>
  <c r="F84" i="1" s="1"/>
  <c r="H84" i="1" s="1"/>
  <c r="AM37" i="7"/>
  <c r="D93" i="1"/>
  <c r="AM30" i="8"/>
  <c r="D101" i="1"/>
  <c r="AM46" i="3"/>
  <c r="D44" i="1"/>
  <c r="AM22" i="2"/>
  <c r="D29" i="1"/>
  <c r="E75" i="1"/>
  <c r="AM22" i="10"/>
  <c r="D59" i="1"/>
  <c r="AM30" i="9"/>
  <c r="D111" i="1"/>
  <c r="AN37" i="11"/>
  <c r="AO37" i="11" s="1"/>
  <c r="AM22" i="11"/>
  <c r="D119" i="1"/>
  <c r="AN28" i="9"/>
  <c r="AO28" i="9" s="1"/>
  <c r="AN18" i="9"/>
  <c r="AN22" i="8"/>
  <c r="AO22" i="8" s="1"/>
  <c r="AO23" i="6"/>
  <c r="AN28" i="6"/>
  <c r="AO28" i="6" s="1"/>
  <c r="AN37" i="6"/>
  <c r="AO37" i="6" s="1"/>
  <c r="AO35" i="6"/>
  <c r="AN28" i="8"/>
  <c r="AO28" i="8" s="1"/>
  <c r="AO23" i="8"/>
  <c r="AN33" i="3"/>
  <c r="AO33" i="3" s="1"/>
  <c r="AO31" i="3"/>
  <c r="E22" i="1"/>
  <c r="E18" i="1"/>
  <c r="AM37" i="9"/>
  <c r="D113" i="1"/>
  <c r="AO19" i="12"/>
  <c r="AN22" i="12"/>
  <c r="AO22" i="12" s="1"/>
  <c r="AN22" i="11"/>
  <c r="AO22" i="11" s="1"/>
  <c r="AO19" i="11"/>
  <c r="AM28" i="6"/>
  <c r="D80" i="1"/>
  <c r="AN33" i="4"/>
  <c r="AO33" i="4" s="1"/>
  <c r="AO31" i="4"/>
  <c r="AM28" i="8"/>
  <c r="D100" i="1"/>
  <c r="AO23" i="3"/>
  <c r="AN28" i="3"/>
  <c r="AO28" i="3" s="1"/>
  <c r="AO23" i="11"/>
  <c r="AN28" i="11"/>
  <c r="AO28" i="11" s="1"/>
  <c r="AM30" i="4"/>
  <c r="D51" i="1"/>
  <c r="AM28" i="4"/>
  <c r="D50" i="1"/>
  <c r="AN28" i="4"/>
  <c r="AO28" i="4" s="1"/>
  <c r="AO23" i="4"/>
  <c r="E19" i="1"/>
  <c r="AN28" i="5"/>
  <c r="AO28" i="5" s="1"/>
  <c r="D40" i="1"/>
  <c r="AM28" i="3"/>
  <c r="AK47" i="5"/>
  <c r="AK47" i="2"/>
  <c r="E28" i="1"/>
  <c r="AO18" i="2"/>
  <c r="AM46" i="12"/>
  <c r="D134" i="1"/>
  <c r="AL47" i="9"/>
  <c r="AM18" i="9"/>
  <c r="D108" i="1"/>
  <c r="AO29" i="10"/>
  <c r="AN30" i="10"/>
  <c r="AO30" i="10" s="1"/>
  <c r="AL47" i="7"/>
  <c r="AM18" i="7"/>
  <c r="D88" i="1"/>
  <c r="AK47" i="4"/>
  <c r="E48" i="1"/>
  <c r="E55" i="1" s="1"/>
  <c r="AN28" i="7"/>
  <c r="AO28" i="7" s="1"/>
  <c r="AN46" i="2"/>
  <c r="AO46" i="2" s="1"/>
  <c r="E34" i="1"/>
  <c r="AN18" i="4"/>
  <c r="E20" i="1"/>
  <c r="AK47" i="9"/>
  <c r="E108" i="1"/>
  <c r="AM28" i="10"/>
  <c r="D60" i="1"/>
  <c r="AN18" i="12"/>
  <c r="AN46" i="8"/>
  <c r="AO46" i="8" s="1"/>
  <c r="E104" i="1"/>
  <c r="F104" i="1" s="1"/>
  <c r="H104" i="1" s="1"/>
  <c r="AM46" i="5"/>
  <c r="D74" i="1"/>
  <c r="AL47" i="11"/>
  <c r="AL47" i="3"/>
  <c r="D38" i="1"/>
  <c r="AM18" i="3"/>
  <c r="AK47" i="3"/>
  <c r="AM22" i="3"/>
  <c r="D39" i="1"/>
  <c r="D30" i="1"/>
  <c r="AM28" i="2"/>
  <c r="AO3" i="8"/>
  <c r="AN18" i="8"/>
  <c r="AM18" i="12"/>
  <c r="AL47" i="12"/>
  <c r="D128" i="1"/>
  <c r="AK47" i="8"/>
  <c r="E98" i="1"/>
  <c r="AM22" i="9"/>
  <c r="D109" i="1"/>
  <c r="AL47" i="6"/>
  <c r="AM18" i="6"/>
  <c r="D78" i="1"/>
  <c r="D42" i="1"/>
  <c r="AM33" i="3"/>
  <c r="AO35" i="3"/>
  <c r="AN37" i="3"/>
  <c r="AO37" i="3" s="1"/>
  <c r="D28" i="1"/>
  <c r="AM18" i="2"/>
  <c r="AL47" i="2"/>
  <c r="AN46" i="12"/>
  <c r="AO46" i="12" s="1"/>
  <c r="E134" i="1"/>
  <c r="AN30" i="11"/>
  <c r="AO30" i="11" s="1"/>
  <c r="AO29" i="11"/>
  <c r="AM46" i="11"/>
  <c r="D124" i="1"/>
  <c r="AN46" i="11"/>
  <c r="AO46" i="11" s="1"/>
  <c r="AM18" i="8"/>
  <c r="AL47" i="8"/>
  <c r="D98" i="1"/>
  <c r="AM22" i="7"/>
  <c r="D89" i="1"/>
  <c r="AN46" i="9"/>
  <c r="AO46" i="9" s="1"/>
  <c r="E114" i="1"/>
  <c r="AK47" i="7"/>
  <c r="G124" i="1" l="1"/>
  <c r="F124" i="1"/>
  <c r="H124" i="1" s="1"/>
  <c r="F42" i="1"/>
  <c r="H42" i="1" s="1"/>
  <c r="G42" i="1"/>
  <c r="G111" i="1"/>
  <c r="F111" i="1"/>
  <c r="H111" i="1" s="1"/>
  <c r="D23" i="1"/>
  <c r="G23" i="1" s="1"/>
  <c r="G34" i="1"/>
  <c r="F34" i="1"/>
  <c r="AN47" i="7"/>
  <c r="AO47" i="7" s="1"/>
  <c r="AO18" i="7"/>
  <c r="D85" i="1"/>
  <c r="G85" i="1" s="1"/>
  <c r="F78" i="1"/>
  <c r="G78" i="1"/>
  <c r="AK56" i="4"/>
  <c r="E5" i="1"/>
  <c r="AN47" i="2"/>
  <c r="AO47" i="2" s="1"/>
  <c r="G51" i="1"/>
  <c r="F51" i="1"/>
  <c r="H51" i="1" s="1"/>
  <c r="D55" i="1"/>
  <c r="G55" i="1" s="1"/>
  <c r="G48" i="1"/>
  <c r="F48" i="1"/>
  <c r="G91" i="1"/>
  <c r="F91" i="1"/>
  <c r="H91" i="1" s="1"/>
  <c r="D21" i="1"/>
  <c r="G21" i="1" s="1"/>
  <c r="F32" i="1"/>
  <c r="G32" i="1"/>
  <c r="D19" i="1"/>
  <c r="G19" i="1" s="1"/>
  <c r="G30" i="1"/>
  <c r="F30" i="1"/>
  <c r="AO18" i="12"/>
  <c r="AN47" i="12"/>
  <c r="AO47" i="12" s="1"/>
  <c r="D95" i="1"/>
  <c r="G95" i="1" s="1"/>
  <c r="G88" i="1"/>
  <c r="F88" i="1"/>
  <c r="E35" i="1"/>
  <c r="E17" i="1"/>
  <c r="G59" i="1"/>
  <c r="F59" i="1"/>
  <c r="H59" i="1" s="1"/>
  <c r="G121" i="1"/>
  <c r="F121" i="1"/>
  <c r="H121" i="1" s="1"/>
  <c r="AK56" i="7"/>
  <c r="E9" i="1"/>
  <c r="AM47" i="6"/>
  <c r="AL56" i="6"/>
  <c r="D8" i="1"/>
  <c r="G39" i="1"/>
  <c r="F39" i="1"/>
  <c r="H39" i="1" s="1"/>
  <c r="G60" i="1"/>
  <c r="F60" i="1"/>
  <c r="H60" i="1" s="1"/>
  <c r="AK56" i="2"/>
  <c r="E3" i="1"/>
  <c r="AL56" i="4"/>
  <c r="AM47" i="4"/>
  <c r="D5" i="1"/>
  <c r="D65" i="1"/>
  <c r="G65" i="1" s="1"/>
  <c r="G58" i="1"/>
  <c r="F58" i="1"/>
  <c r="G33" i="1"/>
  <c r="D22" i="1"/>
  <c r="G22" i="1" s="1"/>
  <c r="F33" i="1"/>
  <c r="G109" i="1"/>
  <c r="F109" i="1"/>
  <c r="H109" i="1" s="1"/>
  <c r="AM47" i="7"/>
  <c r="AL56" i="7"/>
  <c r="D9" i="1"/>
  <c r="AK56" i="5"/>
  <c r="E7" i="1"/>
  <c r="F92" i="1"/>
  <c r="H92" i="1" s="1"/>
  <c r="G92" i="1"/>
  <c r="AK56" i="6"/>
  <c r="E8" i="1"/>
  <c r="E125" i="1"/>
  <c r="F118" i="1"/>
  <c r="AM47" i="5"/>
  <c r="AL56" i="5"/>
  <c r="D7" i="1"/>
  <c r="AO18" i="10"/>
  <c r="AN47" i="10"/>
  <c r="AO47" i="10" s="1"/>
  <c r="AK56" i="3"/>
  <c r="E4" i="1"/>
  <c r="E115" i="1"/>
  <c r="G113" i="1"/>
  <c r="F113" i="1"/>
  <c r="H113" i="1" s="1"/>
  <c r="G29" i="1"/>
  <c r="D18" i="1"/>
  <c r="G18" i="1" s="1"/>
  <c r="F29" i="1"/>
  <c r="G110" i="1"/>
  <c r="F110" i="1"/>
  <c r="H110" i="1" s="1"/>
  <c r="AK56" i="11"/>
  <c r="E12" i="1"/>
  <c r="AL56" i="10"/>
  <c r="AM47" i="10"/>
  <c r="D6" i="1"/>
  <c r="G89" i="1"/>
  <c r="F89" i="1"/>
  <c r="H89" i="1" s="1"/>
  <c r="D3" i="1"/>
  <c r="AL56" i="2"/>
  <c r="AM47" i="2"/>
  <c r="E105" i="1"/>
  <c r="AK56" i="9"/>
  <c r="E11" i="1"/>
  <c r="F40" i="1"/>
  <c r="H40" i="1" s="1"/>
  <c r="G40" i="1"/>
  <c r="AN47" i="6"/>
  <c r="AO47" i="6" s="1"/>
  <c r="AO18" i="6"/>
  <c r="AN47" i="3"/>
  <c r="AO47" i="3" s="1"/>
  <c r="AO18" i="3"/>
  <c r="AK56" i="8"/>
  <c r="E10" i="1"/>
  <c r="D45" i="1"/>
  <c r="G45" i="1" s="1"/>
  <c r="G38" i="1"/>
  <c r="F38" i="1"/>
  <c r="D115" i="1"/>
  <c r="G115" i="1" s="1"/>
  <c r="G108" i="1"/>
  <c r="F108" i="1"/>
  <c r="G100" i="1"/>
  <c r="F100" i="1"/>
  <c r="H100" i="1" s="1"/>
  <c r="AN47" i="9"/>
  <c r="AO47" i="9" s="1"/>
  <c r="AO18" i="9"/>
  <c r="G44" i="1"/>
  <c r="F44" i="1"/>
  <c r="H44" i="1" s="1"/>
  <c r="G61" i="1"/>
  <c r="F61" i="1"/>
  <c r="H61" i="1" s="1"/>
  <c r="G82" i="1"/>
  <c r="F82" i="1"/>
  <c r="H82" i="1" s="1"/>
  <c r="AN47" i="5"/>
  <c r="AO47" i="5" s="1"/>
  <c r="AO18" i="5"/>
  <c r="G114" i="1"/>
  <c r="F114" i="1"/>
  <c r="H114" i="1" s="1"/>
  <c r="G123" i="1"/>
  <c r="F123" i="1"/>
  <c r="H123" i="1" s="1"/>
  <c r="D105" i="1"/>
  <c r="G105" i="1" s="1"/>
  <c r="G98" i="1"/>
  <c r="F98" i="1"/>
  <c r="D17" i="1"/>
  <c r="D35" i="1"/>
  <c r="G35" i="1" s="1"/>
  <c r="G28" i="1"/>
  <c r="F28" i="1"/>
  <c r="D135" i="1"/>
  <c r="G135" i="1" s="1"/>
  <c r="F128" i="1"/>
  <c r="G128" i="1"/>
  <c r="AM47" i="3"/>
  <c r="AL56" i="3"/>
  <c r="D4" i="1"/>
  <c r="AO18" i="4"/>
  <c r="AN47" i="4"/>
  <c r="AO47" i="4" s="1"/>
  <c r="E135" i="1"/>
  <c r="AL56" i="8"/>
  <c r="AM47" i="8"/>
  <c r="D10" i="1"/>
  <c r="AL56" i="12"/>
  <c r="AM47" i="12"/>
  <c r="D13" i="1"/>
  <c r="AL56" i="11"/>
  <c r="AM47" i="11"/>
  <c r="D12" i="1"/>
  <c r="E23" i="1"/>
  <c r="AL56" i="9"/>
  <c r="AM47" i="9"/>
  <c r="D11" i="1"/>
  <c r="G119" i="1"/>
  <c r="F119" i="1"/>
  <c r="H119" i="1" s="1"/>
  <c r="D125" i="1"/>
  <c r="G125" i="1" s="1"/>
  <c r="G101" i="1"/>
  <c r="F101" i="1"/>
  <c r="H101" i="1" s="1"/>
  <c r="AK56" i="10"/>
  <c r="E6" i="1"/>
  <c r="G94" i="1"/>
  <c r="F94" i="1"/>
  <c r="H94" i="1" s="1"/>
  <c r="AK56" i="12"/>
  <c r="E13" i="1"/>
  <c r="G74" i="1"/>
  <c r="F74" i="1"/>
  <c r="D75" i="1"/>
  <c r="G75" i="1" s="1"/>
  <c r="F134" i="1"/>
  <c r="H134" i="1" s="1"/>
  <c r="G134" i="1"/>
  <c r="G31" i="1"/>
  <c r="D20" i="1"/>
  <c r="G20" i="1" s="1"/>
  <c r="F31" i="1"/>
  <c r="G64" i="1"/>
  <c r="F64" i="1"/>
  <c r="H64" i="1" s="1"/>
  <c r="AN47" i="8"/>
  <c r="AO47" i="8" s="1"/>
  <c r="AO18" i="8"/>
  <c r="G50" i="1"/>
  <c r="F50" i="1"/>
  <c r="H50" i="1" s="1"/>
  <c r="F80" i="1"/>
  <c r="H80" i="1" s="1"/>
  <c r="G80" i="1"/>
  <c r="G93" i="1"/>
  <c r="F93" i="1"/>
  <c r="H93" i="1" s="1"/>
  <c r="G103" i="1"/>
  <c r="F103" i="1"/>
  <c r="H103" i="1" s="1"/>
  <c r="AN47" i="11"/>
  <c r="AO47" i="11" s="1"/>
  <c r="AO18" i="11"/>
  <c r="E85" i="1"/>
  <c r="H31" i="1" l="1"/>
  <c r="F20" i="1"/>
  <c r="H20" i="1" s="1"/>
  <c r="AM56" i="3"/>
  <c r="AN56" i="6"/>
  <c r="AO56" i="6" s="1"/>
  <c r="F95" i="1"/>
  <c r="H95" i="1" s="1"/>
  <c r="H88" i="1"/>
  <c r="AN56" i="10"/>
  <c r="AO56" i="10" s="1"/>
  <c r="G13" i="1"/>
  <c r="F13" i="1"/>
  <c r="H13" i="1" s="1"/>
  <c r="F6" i="1"/>
  <c r="H6" i="1" s="1"/>
  <c r="G6" i="1"/>
  <c r="F65" i="1"/>
  <c r="H65" i="1" s="1"/>
  <c r="H58" i="1"/>
  <c r="G8" i="1"/>
  <c r="F8" i="1"/>
  <c r="H8" i="1" s="1"/>
  <c r="F55" i="1"/>
  <c r="H55" i="1" s="1"/>
  <c r="H48" i="1"/>
  <c r="AM56" i="11"/>
  <c r="F135" i="1"/>
  <c r="H135" i="1" s="1"/>
  <c r="H128" i="1"/>
  <c r="AM56" i="6"/>
  <c r="H34" i="1"/>
  <c r="F23" i="1"/>
  <c r="H23" i="1" s="1"/>
  <c r="AM56" i="12"/>
  <c r="F115" i="1"/>
  <c r="H115" i="1" s="1"/>
  <c r="H108" i="1"/>
  <c r="AM56" i="10"/>
  <c r="AN56" i="3"/>
  <c r="AO56" i="3" s="1"/>
  <c r="G10" i="1"/>
  <c r="F10" i="1"/>
  <c r="H10" i="1" s="1"/>
  <c r="H28" i="1"/>
  <c r="F17" i="1"/>
  <c r="F35" i="1"/>
  <c r="H35" i="1" s="1"/>
  <c r="AN56" i="5"/>
  <c r="AO56" i="5" s="1"/>
  <c r="F5" i="1"/>
  <c r="H5" i="1" s="1"/>
  <c r="G5" i="1"/>
  <c r="AN56" i="7"/>
  <c r="AO56" i="7" s="1"/>
  <c r="H30" i="1"/>
  <c r="F19" i="1"/>
  <c r="H19" i="1" s="1"/>
  <c r="G11" i="1"/>
  <c r="F11" i="1"/>
  <c r="H11" i="1" s="1"/>
  <c r="AM56" i="4"/>
  <c r="D24" i="1"/>
  <c r="G24" i="1" s="1"/>
  <c r="G17" i="1"/>
  <c r="AM56" i="5"/>
  <c r="E14" i="1"/>
  <c r="G9" i="1"/>
  <c r="F9" i="1"/>
  <c r="H9" i="1" s="1"/>
  <c r="AN56" i="9"/>
  <c r="AO56" i="9" s="1"/>
  <c r="AM56" i="7"/>
  <c r="AN56" i="12"/>
  <c r="AO56" i="12" s="1"/>
  <c r="AM56" i="9"/>
  <c r="H98" i="1"/>
  <c r="F105" i="1"/>
  <c r="H105" i="1" s="1"/>
  <c r="H29" i="1"/>
  <c r="F18" i="1"/>
  <c r="H18" i="1" s="1"/>
  <c r="AN56" i="2"/>
  <c r="AO56" i="2" s="1"/>
  <c r="AN56" i="4"/>
  <c r="AO56" i="4" s="1"/>
  <c r="AN56" i="11"/>
  <c r="AO56" i="11" s="1"/>
  <c r="AM56" i="8"/>
  <c r="F45" i="1"/>
  <c r="H45" i="1" s="1"/>
  <c r="H38" i="1"/>
  <c r="AM56" i="2"/>
  <c r="F125" i="1"/>
  <c r="H125" i="1" s="1"/>
  <c r="H118" i="1"/>
  <c r="H32" i="1"/>
  <c r="F21" i="1"/>
  <c r="H21" i="1" s="1"/>
  <c r="H74" i="1"/>
  <c r="F75" i="1"/>
  <c r="H75" i="1" s="1"/>
  <c r="F7" i="1"/>
  <c r="H7" i="1" s="1"/>
  <c r="G7" i="1"/>
  <c r="G12" i="1"/>
  <c r="F12" i="1"/>
  <c r="H12" i="1" s="1"/>
  <c r="F4" i="1"/>
  <c r="H4" i="1" s="1"/>
  <c r="G4" i="1"/>
  <c r="AN56" i="8"/>
  <c r="AO56" i="8" s="1"/>
  <c r="D14" i="1"/>
  <c r="F3" i="1"/>
  <c r="G3" i="1"/>
  <c r="H33" i="1"/>
  <c r="F22" i="1"/>
  <c r="H22" i="1" s="1"/>
  <c r="E24" i="1"/>
  <c r="F85" i="1"/>
  <c r="H85" i="1" s="1"/>
  <c r="H78" i="1"/>
  <c r="E1" i="1" l="1"/>
  <c r="H3" i="1"/>
  <c r="F14" i="1"/>
  <c r="H17" i="1"/>
  <c r="F24" i="1"/>
  <c r="H24" i="1" s="1"/>
  <c r="G14" i="1"/>
  <c r="D1" i="1"/>
  <c r="H14" i="1" l="1"/>
  <c r="F1" i="1"/>
</calcChain>
</file>

<file path=xl/sharedStrings.xml><?xml version="1.0" encoding="utf-8"?>
<sst xmlns="http://schemas.openxmlformats.org/spreadsheetml/2006/main" count="2736" uniqueCount="188">
  <si>
    <t>Avance:</t>
  </si>
  <si>
    <t>Clase</t>
  </si>
  <si>
    <t>Meta</t>
  </si>
  <si>
    <t>Volumen Neto</t>
  </si>
  <si>
    <t>Pendientes</t>
  </si>
  <si>
    <t>Total</t>
  </si>
  <si>
    <t>Avance Facturado</t>
  </si>
  <si>
    <t>Avance Total</t>
  </si>
  <si>
    <t>HAMBURGUESAS</t>
  </si>
  <si>
    <t>Días Hábiles</t>
  </si>
  <si>
    <t>SALCHICHAS</t>
  </si>
  <si>
    <t>Días transc.</t>
  </si>
  <si>
    <t>UNTABLES</t>
  </si>
  <si>
    <t>Avance</t>
  </si>
  <si>
    <t>ATUN</t>
  </si>
  <si>
    <t>REBOZADOS DE CARNE</t>
  </si>
  <si>
    <t>REBOZADOS DE VEGETALES</t>
  </si>
  <si>
    <t>GRASA</t>
  </si>
  <si>
    <t>CARNE PICADA</t>
  </si>
  <si>
    <t>PAPAS</t>
  </si>
  <si>
    <t>CHORIZOS</t>
  </si>
  <si>
    <t>CORTES PORCIONADOS</t>
  </si>
  <si>
    <t>Resumen</t>
  </si>
  <si>
    <t>Meta Total</t>
  </si>
  <si>
    <t>Distribuidores Interior</t>
  </si>
  <si>
    <t>Regionales Interior</t>
  </si>
  <si>
    <t>Distribuidores GBA y Costa</t>
  </si>
  <si>
    <t>Regionales GBA, Costa y Patagonia</t>
  </si>
  <si>
    <t>Gastronomía</t>
  </si>
  <si>
    <t>Mayoristas</t>
  </si>
  <si>
    <t>Cadenas</t>
  </si>
  <si>
    <t xml:space="preserve">HAMBURGUESAS - ARG                                </t>
  </si>
  <si>
    <t>HAMBURGUESAS - ARG</t>
  </si>
  <si>
    <t>Área</t>
  </si>
  <si>
    <t>Jefe</t>
  </si>
  <si>
    <t>Ejecutivo</t>
  </si>
  <si>
    <t>Julio '23</t>
  </si>
  <si>
    <t>Agosto '23</t>
  </si>
  <si>
    <t>Septiembre '23</t>
  </si>
  <si>
    <t>Octubre '23</t>
  </si>
  <si>
    <t>Noviembre '23</t>
  </si>
  <si>
    <t>Diciembre '23</t>
  </si>
  <si>
    <t>Enero '24</t>
  </si>
  <si>
    <t>Febrero '24</t>
  </si>
  <si>
    <t>Marzo '24</t>
  </si>
  <si>
    <t>Abril '24</t>
  </si>
  <si>
    <t>Mayo '24</t>
  </si>
  <si>
    <t>Junio '24</t>
  </si>
  <si>
    <t>Julio '24</t>
  </si>
  <si>
    <t>Agosto '24</t>
  </si>
  <si>
    <t>Septiembre '24</t>
  </si>
  <si>
    <t>Octubre '24</t>
  </si>
  <si>
    <t>Noviembre '24</t>
  </si>
  <si>
    <t>Diciembre '24</t>
  </si>
  <si>
    <t>Enero '25</t>
  </si>
  <si>
    <t>Febrero '25</t>
  </si>
  <si>
    <t>Marzo '25</t>
  </si>
  <si>
    <t>Abril '25</t>
  </si>
  <si>
    <t>Mayo '25</t>
  </si>
  <si>
    <t>Junio '25</t>
  </si>
  <si>
    <t>Julio '25</t>
  </si>
  <si>
    <t>Agosto '25</t>
  </si>
  <si>
    <t>Septiembre '25</t>
  </si>
  <si>
    <t>Octubre '25</t>
  </si>
  <si>
    <t>Noviembre '25</t>
  </si>
  <si>
    <t>Diciembre '25</t>
  </si>
  <si>
    <t>Enero '26</t>
  </si>
  <si>
    <t>Meta Febrero '26</t>
  </si>
  <si>
    <t>Pendiente</t>
  </si>
  <si>
    <t>Ventas</t>
  </si>
  <si>
    <t>Avance Neto</t>
  </si>
  <si>
    <t>Rosario</t>
  </si>
  <si>
    <t xml:space="preserve">ADRIAN DALLA VERDE </t>
  </si>
  <si>
    <t>BESSONE JUAN MANUEL (VENDEDOR)</t>
  </si>
  <si>
    <t>Litoral</t>
  </si>
  <si>
    <t>FUNES ANDRES</t>
  </si>
  <si>
    <t>SCARAFIA YAMIL HERMES</t>
  </si>
  <si>
    <t>VAZQUEZ ALEJANDRO MARCELO</t>
  </si>
  <si>
    <t>GENTILE NICOLAS</t>
  </si>
  <si>
    <t>NOA</t>
  </si>
  <si>
    <t>PAZ CARRANZA EDUARDO</t>
  </si>
  <si>
    <t>APUD ALEXANDER DARIO</t>
  </si>
  <si>
    <t>NEA</t>
  </si>
  <si>
    <t>ROBLEDO JORGE LUIS</t>
  </si>
  <si>
    <t>SANCHEZ JUAN CARLOS</t>
  </si>
  <si>
    <t>Cuyo</t>
  </si>
  <si>
    <t>MARCELO VEGA</t>
  </si>
  <si>
    <t>VIVARES ABEL MAURICIO</t>
  </si>
  <si>
    <t>ANDINO FACUNDO NICOLAS</t>
  </si>
  <si>
    <t>Cordoba</t>
  </si>
  <si>
    <t>SCHAIGORODSKY IGNACIO</t>
  </si>
  <si>
    <t>FELLINI FERNANDO JOSE MARIA</t>
  </si>
  <si>
    <t/>
  </si>
  <si>
    <t>ORGAZ GUSTAVO EMANUEL</t>
  </si>
  <si>
    <t>Patagonia</t>
  </si>
  <si>
    <t>ALONSO GUSTAVO DANIEL</t>
  </si>
  <si>
    <t>VILOTTA SEBASTIAN</t>
  </si>
  <si>
    <t>Subtotal Distribuidores Interior</t>
  </si>
  <si>
    <t>Interior - Cadenas</t>
  </si>
  <si>
    <t>JUAN BESSONE</t>
  </si>
  <si>
    <t>CABARDOS CLAUDIO SANTIAGO</t>
  </si>
  <si>
    <t>MEINERI JOSE MARIA</t>
  </si>
  <si>
    <t>FERNANDEZ JORGE OSCAR</t>
  </si>
  <si>
    <t>Subtotal Regionales Interior</t>
  </si>
  <si>
    <t>Capital</t>
  </si>
  <si>
    <t>FEDERICO JACUM</t>
  </si>
  <si>
    <t>VELAZQUEZ JONATAN WALTER</t>
  </si>
  <si>
    <t>GBA (Oeste)</t>
  </si>
  <si>
    <t>TAPIA NERINA MARIELA</t>
  </si>
  <si>
    <t>GBA (Sur)</t>
  </si>
  <si>
    <t>VINCZE CINTIA LORENA</t>
  </si>
  <si>
    <t>GOMEZ OURAL ALBERTO</t>
  </si>
  <si>
    <t>Costa</t>
  </si>
  <si>
    <t>MARTINO FLAVIO</t>
  </si>
  <si>
    <t>Subtotal Distribuidores GBA y Costa</t>
  </si>
  <si>
    <t>Patagonia / Costa - Cadenas</t>
  </si>
  <si>
    <t>VAL JULIAN</t>
  </si>
  <si>
    <t>RAMOS LUCIANO ALEJANDRO</t>
  </si>
  <si>
    <t>Subtotal Regionales GBA, Costa y Patagonia</t>
  </si>
  <si>
    <t>Gastronomia</t>
  </si>
  <si>
    <t>HERNAN DUARTE</t>
  </si>
  <si>
    <t>RAMIREZ ARIEL SEBASTIAN</t>
  </si>
  <si>
    <t>DUARTE HERNAN</t>
  </si>
  <si>
    <t>VACANTE DIRECTO FOOD SERVICE IND</t>
  </si>
  <si>
    <t>Subtotal Gastronomía</t>
  </si>
  <si>
    <t xml:space="preserve">PABLO ANDREACCHIO </t>
  </si>
  <si>
    <t>ARUANNO PARODI MARIA NOEL</t>
  </si>
  <si>
    <t>MENDEZ NAVARRO MARIA ALEJANDRA</t>
  </si>
  <si>
    <t>RAMONDINO LEONARDO ERNESTO</t>
  </si>
  <si>
    <t>Subtotal Mayoristas</t>
  </si>
  <si>
    <t>GBA - Cadenas</t>
  </si>
  <si>
    <t>BRION SEBASTIAN</t>
  </si>
  <si>
    <t>DBU - BAS</t>
  </si>
  <si>
    <t>DELIVERY HERO E-COMMERCE S. A.</t>
  </si>
  <si>
    <t>COTO CENTRO INTEGRAL DE COMERCIALIZACON  S A</t>
  </si>
  <si>
    <t>S A IMPORTADORA Y EXPORTADORA DE LA PATAGONIA</t>
  </si>
  <si>
    <t>RODRIGUEZ JUDITH</t>
  </si>
  <si>
    <t>INC SOCIEDAD ANONIMA</t>
  </si>
  <si>
    <t>DIA ARGENTINA S.A.</t>
  </si>
  <si>
    <t>DORINKA S.R.L.</t>
  </si>
  <si>
    <t>CENCOSUD S A</t>
  </si>
  <si>
    <t>Subtotal Cadenas Nacionales</t>
  </si>
  <si>
    <t>Subtotal</t>
  </si>
  <si>
    <t>CORPORATIVO</t>
  </si>
  <si>
    <t>VILLEMUR EZEQUIEL</t>
  </si>
  <si>
    <t>FAST FOOD SUDAMERICANA S A</t>
  </si>
  <si>
    <t>VACANTE CORPO IND</t>
  </si>
  <si>
    <t>PALADINI S.A.</t>
  </si>
  <si>
    <t>MOSTAZA Y PAN S.A.</t>
  </si>
  <si>
    <t>AXIS LOGISTICA S.A.</t>
  </si>
  <si>
    <t>FINCA BALCARCE SA</t>
  </si>
  <si>
    <t>VENTA - ME</t>
  </si>
  <si>
    <t>ALEJANDRO SPATARO</t>
  </si>
  <si>
    <t>COM EXT</t>
  </si>
  <si>
    <t>SUAREZ MARCOS GABRIEL</t>
  </si>
  <si>
    <t>CONSUMIDOR FINAL E-COMMERCE</t>
  </si>
  <si>
    <t>PIZARRO ROCIO AZUCENA</t>
  </si>
  <si>
    <t>VARIOS</t>
  </si>
  <si>
    <t>TOTAL</t>
  </si>
  <si>
    <t>NC/DOCUMENTOS SIN VENDEDOR ASIGNADO</t>
  </si>
  <si>
    <t xml:space="preserve">SALCHICHAS - ARG                                  </t>
  </si>
  <si>
    <t>SALCHICHAS - ARG</t>
  </si>
  <si>
    <t>FINCA BALCARCE</t>
  </si>
  <si>
    <t>VENDEDOR TRANSFERENCIA</t>
  </si>
  <si>
    <t>NOTAS DE CREDITO SIN VENDEDOR ASIGNADO</t>
  </si>
  <si>
    <t>|</t>
  </si>
  <si>
    <t xml:space="preserve">UNTABLES - ARG                                    </t>
  </si>
  <si>
    <t>UNTABLES - ARG</t>
  </si>
  <si>
    <t>SIN CARGOS</t>
  </si>
  <si>
    <t>NAVAZA ALEJANDRO MAXIMILIANO</t>
  </si>
  <si>
    <t xml:space="preserve">REBOZADOS DE CARNE - ARG                          </t>
  </si>
  <si>
    <t>REBOZADOS DE CARNE - ARG</t>
  </si>
  <si>
    <t xml:space="preserve">REBOZADOS DE VEGETALES - ARG                      </t>
  </si>
  <si>
    <t>REBOZADOS DE VEGETALES - ARG</t>
  </si>
  <si>
    <t xml:space="preserve">GRASA REFINADA _x0013_  ARG                              </t>
  </si>
  <si>
    <t>GRASA REFINADA _x0013_  ARG</t>
  </si>
  <si>
    <t xml:space="preserve">MERCADO INTERNO                                   </t>
  </si>
  <si>
    <t>19</t>
  </si>
  <si>
    <t xml:space="preserve">CARNE BOVINA SEM OSSO                             </t>
  </si>
  <si>
    <t xml:space="preserve">PAPAS - ARG                                       </t>
  </si>
  <si>
    <t>PAPAS - ARG</t>
  </si>
  <si>
    <t xml:space="preserve">PESCADO                                           </t>
  </si>
  <si>
    <t>PESCADO</t>
  </si>
  <si>
    <t xml:space="preserve">CHORIZOS FRESCOS ARG                              </t>
  </si>
  <si>
    <t>CHORIZOS FRESCOS ARG</t>
  </si>
  <si>
    <t>AA - BEEF</t>
  </si>
  <si>
    <t>CORTES DIANTEIROS - RESFRIADOS</t>
  </si>
  <si>
    <t>CORTES TRASEIRO - RESFRIADO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</si>
</sst>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#,##0%"/>
    <numFmt numFmtId="167" formatCode="#.0#############E+###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sz val="8"/>
      <color theme="1" tint="0.249977111117893"/>
      <name val="Tahoma"/>
      <family val="2"/>
    </font>
    <font>
      <sz val="8"/>
      <color indexed="8"/>
      <name val="Tahoma"/>
      <family val="2"/>
    </font>
    <font>
      <b/>
      <sz val="8"/>
      <color theme="1" tint="0.249977111117893"/>
      <name val="Tahoma"/>
      <family val="2"/>
    </font>
    <font>
      <b/>
      <sz val="8"/>
      <color indexed="8"/>
      <name val="Tahoma"/>
      <family val="2"/>
    </font>
    <font>
      <b/>
      <sz val="8"/>
      <color theme="0"/>
      <name val="Tahoma"/>
      <family val="2"/>
    </font>
    <font>
      <sz val="10"/>
      <color theme="0"/>
      <name val="Arial"/>
      <family val="2"/>
    </font>
    <font>
      <b/>
      <u/>
      <sz val="10"/>
      <color theme="0"/>
      <name val="Arial"/>
      <family val="2"/>
    </font>
    <font>
      <sz val="11"/>
      <name val="Calibri"/>
      <family val="2"/>
    </font>
    <font>
      <b/>
      <sz val="8"/>
      <color indexed="63"/>
      <name val="Tahoma"/>
      <family val="2"/>
    </font>
    <font>
      <sz val="8"/>
      <name val="Tahoma"/>
      <family val="2"/>
    </font>
    <font>
      <b/>
      <sz val="10"/>
      <color theme="0"/>
      <name val="Arial"/>
      <family val="2"/>
    </font>
    <font>
      <sz val="8"/>
      <color rgb="FF333333"/>
      <name val="Tahoma"/>
      <family val="2"/>
    </font>
    <font>
      <sz val="8"/>
      <color theme="0"/>
      <name val="Tahoma"/>
      <family val="2"/>
    </font>
    <font>
      <sz val="8"/>
      <color theme="9" tint="0.79998168889431442"/>
      <name val="Tahoma"/>
      <family val="2"/>
    </font>
    <font>
      <sz val="10"/>
      <color theme="0"/>
      <name val="Tahoma"/>
      <family val="2"/>
    </font>
    <font>
      <sz val="10"/>
      <color theme="5" tint="-0.249977111117893"/>
      <name val="Tahoma"/>
      <family val="2"/>
    </font>
    <font>
      <sz val="10"/>
      <color rgb="FF00B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0" fontId="1" fillId="0" borderId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Alignment="1">
      <alignment vertical="center"/>
    </xf>
    <xf numFmtId="164" fontId="4" fillId="0" borderId="0" xfId="1" applyFont="1" applyBorder="1" applyAlignment="1">
      <alignment vertical="center"/>
    </xf>
    <xf numFmtId="9" fontId="5" fillId="0" borderId="0" xfId="2" applyFont="1" applyAlignment="1">
      <alignment horizontal="right" vertical="center"/>
    </xf>
    <xf numFmtId="9" fontId="5" fillId="0" borderId="0" xfId="2" applyFont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4" xfId="0" applyNumberFormat="1" applyFont="1" applyFill="1" applyBorder="1" applyAlignment="1" applyProtection="1">
      <alignment horizontal="center" vertical="center" wrapText="1"/>
      <protection locked="0"/>
    </xf>
    <xf numFmtId="165" fontId="0" fillId="0" borderId="0" xfId="1" applyNumberFormat="1" applyFont="1" applyAlignment="1">
      <alignment vertical="center"/>
    </xf>
    <xf numFmtId="49" fontId="7" fillId="0" borderId="5" xfId="0" applyNumberFormat="1" applyFont="1" applyBorder="1" applyAlignment="1" applyProtection="1">
      <alignment vertical="center"/>
      <protection locked="0"/>
    </xf>
    <xf numFmtId="3" fontId="8" fillId="0" borderId="6" xfId="0" applyNumberFormat="1" applyFont="1" applyBorder="1" applyAlignment="1" applyProtection="1">
      <alignment vertical="center"/>
      <protection locked="0"/>
    </xf>
    <xf numFmtId="166" fontId="8" fillId="0" borderId="6" xfId="0" applyNumberFormat="1" applyFont="1" applyBorder="1" applyAlignment="1" applyProtection="1">
      <alignment vertical="center"/>
      <protection locked="0"/>
    </xf>
    <xf numFmtId="166" fontId="8" fillId="0" borderId="7" xfId="0" applyNumberFormat="1" applyFont="1" applyBorder="1" applyAlignment="1" applyProtection="1">
      <alignment vertical="center"/>
      <protection locked="0"/>
    </xf>
    <xf numFmtId="0" fontId="0" fillId="0" borderId="8" xfId="0" applyBorder="1" applyAlignment="1">
      <alignment vertical="center"/>
    </xf>
    <xf numFmtId="0" fontId="0" fillId="0" borderId="9" xfId="0" applyBorder="1"/>
    <xf numFmtId="49" fontId="7" fillId="0" borderId="10" xfId="0" applyNumberFormat="1" applyFont="1" applyBorder="1" applyAlignment="1" applyProtection="1">
      <alignment vertical="center"/>
      <protection locked="0"/>
    </xf>
    <xf numFmtId="3" fontId="8" fillId="0" borderId="11" xfId="0" applyNumberFormat="1" applyFont="1" applyBorder="1" applyAlignment="1" applyProtection="1">
      <alignment vertical="center"/>
      <protection locked="0"/>
    </xf>
    <xf numFmtId="166" fontId="8" fillId="0" borderId="11" xfId="0" applyNumberFormat="1" applyFont="1" applyBorder="1" applyAlignment="1" applyProtection="1">
      <alignment vertical="center"/>
      <protection locked="0"/>
    </xf>
    <xf numFmtId="166" fontId="8" fillId="0" borderId="12" xfId="0" applyNumberFormat="1" applyFont="1" applyBorder="1" applyAlignment="1" applyProtection="1">
      <alignment vertical="center"/>
      <protection locked="0"/>
    </xf>
    <xf numFmtId="0" fontId="0" fillId="0" borderId="13" xfId="0" applyBorder="1" applyAlignment="1">
      <alignment vertical="center"/>
    </xf>
    <xf numFmtId="0" fontId="0" fillId="0" borderId="14" xfId="0" applyBorder="1"/>
    <xf numFmtId="0" fontId="0" fillId="0" borderId="15" xfId="0" applyBorder="1" applyAlignment="1">
      <alignment vertical="center"/>
    </xf>
    <xf numFmtId="9" fontId="0" fillId="0" borderId="16" xfId="2" applyFont="1" applyBorder="1" applyAlignment="1">
      <alignment vertical="center"/>
    </xf>
    <xf numFmtId="3" fontId="0" fillId="0" borderId="0" xfId="0" applyNumberFormat="1" applyAlignment="1">
      <alignment vertical="center"/>
    </xf>
    <xf numFmtId="49" fontId="7" fillId="0" borderId="17" xfId="0" applyNumberFormat="1" applyFont="1" applyBorder="1" applyAlignment="1" applyProtection="1">
      <alignment vertical="center"/>
      <protection locked="0"/>
    </xf>
    <xf numFmtId="3" fontId="8" fillId="0" borderId="18" xfId="0" applyNumberFormat="1" applyFont="1" applyBorder="1" applyAlignment="1" applyProtection="1">
      <alignment vertical="center"/>
      <protection locked="0"/>
    </xf>
    <xf numFmtId="166" fontId="8" fillId="0" borderId="18" xfId="0" applyNumberFormat="1" applyFont="1" applyBorder="1" applyAlignment="1" applyProtection="1">
      <alignment vertical="center"/>
      <protection locked="0"/>
    </xf>
    <xf numFmtId="166" fontId="8" fillId="0" borderId="19" xfId="0" applyNumberFormat="1" applyFont="1" applyBorder="1" applyAlignment="1" applyProtection="1">
      <alignment vertical="center"/>
      <protection locked="0"/>
    </xf>
    <xf numFmtId="49" fontId="9" fillId="0" borderId="20" xfId="0" applyNumberFormat="1" applyFont="1" applyBorder="1" applyAlignment="1" applyProtection="1">
      <alignment vertical="center"/>
      <protection locked="0"/>
    </xf>
    <xf numFmtId="3" fontId="10" fillId="0" borderId="21" xfId="0" applyNumberFormat="1" applyFont="1" applyBorder="1" applyAlignment="1" applyProtection="1">
      <alignment vertical="center"/>
      <protection locked="0"/>
    </xf>
    <xf numFmtId="166" fontId="10" fillId="0" borderId="21" xfId="0" applyNumberFormat="1" applyFont="1" applyBorder="1" applyAlignment="1" applyProtection="1">
      <alignment vertical="center"/>
      <protection locked="0"/>
    </xf>
    <xf numFmtId="166" fontId="10" fillId="0" borderId="22" xfId="0" applyNumberFormat="1" applyFont="1" applyBorder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5" fontId="5" fillId="0" borderId="0" xfId="1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3" fontId="10" fillId="0" borderId="0" xfId="0" applyNumberFormat="1" applyFont="1" applyAlignment="1" applyProtection="1">
      <alignment vertical="center"/>
      <protection locked="0"/>
    </xf>
    <xf numFmtId="166" fontId="10" fillId="0" borderId="0" xfId="0" applyNumberFormat="1" applyFont="1" applyAlignment="1" applyProtection="1">
      <alignment vertical="center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3" borderId="23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11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2" xfId="0" applyNumberFormat="1" applyFont="1" applyFill="1" applyBorder="1" applyAlignment="1" applyProtection="1">
      <alignment horizontal="center" vertical="center" wrapText="1"/>
      <protection locked="0"/>
    </xf>
    <xf numFmtId="49" fontId="6" fillId="4" borderId="23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/>
    <xf numFmtId="9" fontId="0" fillId="0" borderId="0" xfId="2" applyFont="1" applyBorder="1"/>
    <xf numFmtId="1" fontId="12" fillId="0" borderId="0" xfId="0" applyNumberFormat="1" applyFont="1"/>
    <xf numFmtId="1" fontId="12" fillId="0" borderId="0" xfId="2" applyNumberFormat="1" applyFont="1" applyFill="1" applyBorder="1"/>
    <xf numFmtId="0" fontId="12" fillId="0" borderId="0" xfId="0" applyFont="1" applyAlignment="1">
      <alignment horizontal="center" vertical="center" wrapText="1"/>
    </xf>
    <xf numFmtId="49" fontId="6" fillId="6" borderId="24" xfId="0" applyNumberFormat="1" applyFont="1" applyFill="1" applyBorder="1" applyAlignment="1">
      <alignment horizontal="center" vertical="center" wrapText="1"/>
    </xf>
    <xf numFmtId="49" fontId="6" fillId="6" borderId="25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 wrapText="1"/>
    </xf>
    <xf numFmtId="49" fontId="6" fillId="0" borderId="3" xfId="3" applyNumberFormat="1" applyFont="1" applyBorder="1" applyAlignment="1">
      <alignment horizontal="center" vertical="center" wrapText="1"/>
    </xf>
    <xf numFmtId="49" fontId="6" fillId="0" borderId="2" xfId="3" applyNumberFormat="1" applyFont="1" applyBorder="1" applyAlignment="1">
      <alignment horizontal="center" vertical="center" wrapText="1"/>
    </xf>
    <xf numFmtId="49" fontId="6" fillId="0" borderId="26" xfId="3" applyNumberFormat="1" applyFont="1" applyBorder="1" applyAlignment="1">
      <alignment horizontal="center" vertical="center" wrapText="1"/>
    </xf>
    <xf numFmtId="49" fontId="6" fillId="0" borderId="25" xfId="3" applyNumberFormat="1" applyFont="1" applyBorder="1" applyAlignment="1">
      <alignment horizontal="center" vertical="center" wrapText="1"/>
    </xf>
    <xf numFmtId="9" fontId="15" fillId="6" borderId="1" xfId="2" applyFont="1" applyFill="1" applyBorder="1" applyAlignment="1">
      <alignment horizontal="center" vertical="center" wrapText="1"/>
    </xf>
    <xf numFmtId="9" fontId="6" fillId="6" borderId="2" xfId="2" applyFont="1" applyFill="1" applyBorder="1" applyAlignment="1">
      <alignment horizontal="center" vertical="center" wrapText="1"/>
    </xf>
    <xf numFmtId="9" fontId="6" fillId="6" borderId="23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16" fillId="7" borderId="27" xfId="0" applyNumberFormat="1" applyFont="1" applyFill="1" applyBorder="1"/>
    <xf numFmtId="167" fontId="16" fillId="7" borderId="0" xfId="0" applyNumberFormat="1" applyFont="1" applyFill="1"/>
    <xf numFmtId="49" fontId="16" fillId="7" borderId="28" xfId="0" applyNumberFormat="1" applyFont="1" applyFill="1" applyBorder="1"/>
    <xf numFmtId="165" fontId="16" fillId="7" borderId="29" xfId="1" applyNumberFormat="1" applyFont="1" applyFill="1" applyBorder="1"/>
    <xf numFmtId="165" fontId="16" fillId="7" borderId="30" xfId="1" applyNumberFormat="1" applyFont="1" applyFill="1" applyBorder="1"/>
    <xf numFmtId="165" fontId="16" fillId="7" borderId="31" xfId="1" applyNumberFormat="1" applyFont="1" applyFill="1" applyBorder="1"/>
    <xf numFmtId="165" fontId="16" fillId="7" borderId="6" xfId="1" applyNumberFormat="1" applyFont="1" applyFill="1" applyBorder="1"/>
    <xf numFmtId="165" fontId="16" fillId="7" borderId="8" xfId="1" applyNumberFormat="1" applyFont="1" applyFill="1" applyBorder="1"/>
    <xf numFmtId="165" fontId="16" fillId="7" borderId="32" xfId="1" applyNumberFormat="1" applyFont="1" applyFill="1" applyBorder="1"/>
    <xf numFmtId="9" fontId="16" fillId="7" borderId="32" xfId="2" applyFont="1" applyFill="1" applyBorder="1"/>
    <xf numFmtId="9" fontId="16" fillId="7" borderId="9" xfId="2" applyFont="1" applyFill="1" applyBorder="1"/>
    <xf numFmtId="167" fontId="16" fillId="0" borderId="27" xfId="0" applyNumberFormat="1" applyFont="1" applyBorder="1"/>
    <xf numFmtId="167" fontId="16" fillId="0" borderId="0" xfId="0" applyNumberFormat="1" applyFont="1"/>
    <xf numFmtId="49" fontId="16" fillId="0" borderId="28" xfId="0" applyNumberFormat="1" applyFont="1" applyBorder="1"/>
    <xf numFmtId="165" fontId="16" fillId="0" borderId="33" xfId="1" applyNumberFormat="1" applyFont="1" applyFill="1" applyBorder="1"/>
    <xf numFmtId="165" fontId="16" fillId="0" borderId="34" xfId="1" applyNumberFormat="1" applyFont="1" applyFill="1" applyBorder="1"/>
    <xf numFmtId="165" fontId="16" fillId="0" borderId="35" xfId="1" applyNumberFormat="1" applyFont="1" applyFill="1" applyBorder="1"/>
    <xf numFmtId="165" fontId="16" fillId="0" borderId="11" xfId="1" applyNumberFormat="1" applyFont="1" applyFill="1" applyBorder="1"/>
    <xf numFmtId="165" fontId="16" fillId="0" borderId="13" xfId="1" applyNumberFormat="1" applyFont="1" applyFill="1" applyBorder="1"/>
    <xf numFmtId="9" fontId="16" fillId="0" borderId="34" xfId="2" applyFont="1" applyFill="1" applyBorder="1"/>
    <xf numFmtId="9" fontId="16" fillId="0" borderId="14" xfId="2" applyFont="1" applyFill="1" applyBorder="1"/>
    <xf numFmtId="165" fontId="0" fillId="0" borderId="0" xfId="0" applyNumberFormat="1"/>
    <xf numFmtId="165" fontId="16" fillId="7" borderId="33" xfId="1" applyNumberFormat="1" applyFont="1" applyFill="1" applyBorder="1"/>
    <xf numFmtId="165" fontId="16" fillId="7" borderId="34" xfId="1" applyNumberFormat="1" applyFont="1" applyFill="1" applyBorder="1"/>
    <xf numFmtId="165" fontId="16" fillId="7" borderId="35" xfId="1" applyNumberFormat="1" applyFont="1" applyFill="1" applyBorder="1"/>
    <xf numFmtId="165" fontId="16" fillId="7" borderId="11" xfId="1" applyNumberFormat="1" applyFont="1" applyFill="1" applyBorder="1"/>
    <xf numFmtId="165" fontId="16" fillId="7" borderId="13" xfId="1" applyNumberFormat="1" applyFont="1" applyFill="1" applyBorder="1"/>
    <xf numFmtId="9" fontId="16" fillId="7" borderId="34" xfId="2" applyFont="1" applyFill="1" applyBorder="1"/>
    <xf numFmtId="9" fontId="16" fillId="7" borderId="14" xfId="2" applyFont="1" applyFill="1" applyBorder="1"/>
    <xf numFmtId="165" fontId="16" fillId="0" borderId="36" xfId="1" applyNumberFormat="1" applyFont="1" applyFill="1" applyBorder="1"/>
    <xf numFmtId="165" fontId="16" fillId="0" borderId="15" xfId="1" applyNumberFormat="1" applyFont="1" applyFill="1" applyBorder="1"/>
    <xf numFmtId="165" fontId="16" fillId="0" borderId="37" xfId="1" applyNumberFormat="1" applyFont="1" applyFill="1" applyBorder="1"/>
    <xf numFmtId="9" fontId="16" fillId="0" borderId="37" xfId="2" applyFont="1" applyFill="1" applyBorder="1"/>
    <xf numFmtId="9" fontId="16" fillId="0" borderId="16" xfId="2" applyFont="1" applyFill="1" applyBorder="1"/>
    <xf numFmtId="167" fontId="11" fillId="8" borderId="24" xfId="0" applyNumberFormat="1" applyFont="1" applyFill="1" applyBorder="1"/>
    <xf numFmtId="167" fontId="11" fillId="8" borderId="25" xfId="0" applyNumberFormat="1" applyFont="1" applyFill="1" applyBorder="1"/>
    <xf numFmtId="49" fontId="11" fillId="8" borderId="4" xfId="0" applyNumberFormat="1" applyFont="1" applyFill="1" applyBorder="1"/>
    <xf numFmtId="165" fontId="11" fillId="8" borderId="3" xfId="1" applyNumberFormat="1" applyFont="1" applyFill="1" applyBorder="1"/>
    <xf numFmtId="165" fontId="11" fillId="8" borderId="2" xfId="1" applyNumberFormat="1" applyFont="1" applyFill="1" applyBorder="1"/>
    <xf numFmtId="165" fontId="11" fillId="8" borderId="26" xfId="1" applyNumberFormat="1" applyFont="1" applyFill="1" applyBorder="1"/>
    <xf numFmtId="165" fontId="11" fillId="8" borderId="25" xfId="1" applyNumberFormat="1" applyFont="1" applyFill="1" applyBorder="1"/>
    <xf numFmtId="165" fontId="11" fillId="8" borderId="1" xfId="1" applyNumberFormat="1" applyFont="1" applyFill="1" applyBorder="1"/>
    <xf numFmtId="9" fontId="11" fillId="8" borderId="2" xfId="2" applyFont="1" applyFill="1" applyBorder="1"/>
    <xf numFmtId="9" fontId="11" fillId="8" borderId="23" xfId="2" applyFont="1" applyFill="1" applyBorder="1"/>
    <xf numFmtId="0" fontId="17" fillId="0" borderId="0" xfId="0" applyFont="1"/>
    <xf numFmtId="0" fontId="5" fillId="0" borderId="0" xfId="0" applyFont="1"/>
    <xf numFmtId="165" fontId="18" fillId="9" borderId="38" xfId="1" applyNumberFormat="1" applyFont="1" applyFill="1" applyBorder="1"/>
    <xf numFmtId="9" fontId="16" fillId="7" borderId="30" xfId="2" applyFont="1" applyFill="1" applyBorder="1"/>
    <xf numFmtId="9" fontId="16" fillId="7" borderId="39" xfId="2" applyFont="1" applyFill="1" applyBorder="1"/>
    <xf numFmtId="167" fontId="16" fillId="10" borderId="0" xfId="0" applyNumberFormat="1" applyFont="1" applyFill="1"/>
    <xf numFmtId="165" fontId="18" fillId="0" borderId="13" xfId="1" applyNumberFormat="1" applyFont="1" applyFill="1" applyBorder="1"/>
    <xf numFmtId="165" fontId="18" fillId="9" borderId="13" xfId="1" applyNumberFormat="1" applyFont="1" applyFill="1" applyBorder="1"/>
    <xf numFmtId="165" fontId="16" fillId="0" borderId="29" xfId="1" applyNumberFormat="1" applyFont="1" applyFill="1" applyBorder="1"/>
    <xf numFmtId="165" fontId="16" fillId="0" borderId="30" xfId="1" applyNumberFormat="1" applyFont="1" applyFill="1" applyBorder="1"/>
    <xf numFmtId="165" fontId="16" fillId="0" borderId="31" xfId="1" applyNumberFormat="1" applyFont="1" applyFill="1" applyBorder="1"/>
    <xf numFmtId="165" fontId="16" fillId="0" borderId="6" xfId="1" applyNumberFormat="1" applyFont="1" applyFill="1" applyBorder="1"/>
    <xf numFmtId="165" fontId="18" fillId="0" borderId="38" xfId="1" applyNumberFormat="1" applyFont="1" applyFill="1" applyBorder="1"/>
    <xf numFmtId="9" fontId="16" fillId="0" borderId="30" xfId="2" applyFont="1" applyFill="1" applyBorder="1"/>
    <xf numFmtId="9" fontId="16" fillId="0" borderId="39" xfId="2" applyFont="1" applyFill="1" applyBorder="1"/>
    <xf numFmtId="165" fontId="16" fillId="7" borderId="40" xfId="1" applyNumberFormat="1" applyFont="1" applyFill="1" applyBorder="1"/>
    <xf numFmtId="165" fontId="16" fillId="7" borderId="41" xfId="1" applyNumberFormat="1" applyFont="1" applyFill="1" applyBorder="1"/>
    <xf numFmtId="165" fontId="16" fillId="7" borderId="36" xfId="1" applyNumberFormat="1" applyFont="1" applyFill="1" applyBorder="1"/>
    <xf numFmtId="165" fontId="16" fillId="7" borderId="42" xfId="1" applyNumberFormat="1" applyFont="1" applyFill="1" applyBorder="1"/>
    <xf numFmtId="165" fontId="18" fillId="9" borderId="43" xfId="1" applyNumberFormat="1" applyFont="1" applyFill="1" applyBorder="1"/>
    <xf numFmtId="9" fontId="16" fillId="7" borderId="41" xfId="2" applyFont="1" applyFill="1" applyBorder="1"/>
    <xf numFmtId="9" fontId="16" fillId="7" borderId="44" xfId="2" applyFont="1" applyFill="1" applyBorder="1"/>
    <xf numFmtId="165" fontId="16" fillId="0" borderId="10" xfId="1" applyNumberFormat="1" applyFont="1" applyFill="1" applyBorder="1"/>
    <xf numFmtId="165" fontId="16" fillId="0" borderId="32" xfId="1" applyNumberFormat="1" applyFont="1" applyFill="1" applyBorder="1"/>
    <xf numFmtId="9" fontId="12" fillId="0" borderId="0" xfId="2" applyFont="1" applyFill="1" applyBorder="1"/>
    <xf numFmtId="165" fontId="19" fillId="0" borderId="0" xfId="1" applyNumberFormat="1" applyFont="1" applyFill="1" applyBorder="1"/>
    <xf numFmtId="167" fontId="20" fillId="7" borderId="0" xfId="0" applyNumberFormat="1" applyFont="1" applyFill="1"/>
    <xf numFmtId="165" fontId="16" fillId="7" borderId="10" xfId="1" applyNumberFormat="1" applyFont="1" applyFill="1" applyBorder="1"/>
    <xf numFmtId="167" fontId="19" fillId="0" borderId="0" xfId="0" applyNumberFormat="1" applyFont="1"/>
    <xf numFmtId="165" fontId="16" fillId="7" borderId="45" xfId="1" applyNumberFormat="1" applyFont="1" applyFill="1" applyBorder="1"/>
    <xf numFmtId="165" fontId="16" fillId="7" borderId="37" xfId="1" applyNumberFormat="1" applyFont="1" applyFill="1" applyBorder="1"/>
    <xf numFmtId="2" fontId="12" fillId="0" borderId="0" xfId="0" applyNumberFormat="1" applyFont="1"/>
    <xf numFmtId="167" fontId="11" fillId="8" borderId="46" xfId="0" applyNumberFormat="1" applyFont="1" applyFill="1" applyBorder="1"/>
    <xf numFmtId="167" fontId="11" fillId="8" borderId="47" xfId="0" applyNumberFormat="1" applyFont="1" applyFill="1" applyBorder="1"/>
    <xf numFmtId="49" fontId="11" fillId="8" borderId="48" xfId="0" applyNumberFormat="1" applyFont="1" applyFill="1" applyBorder="1"/>
    <xf numFmtId="165" fontId="11" fillId="8" borderId="49" xfId="1" applyNumberFormat="1" applyFont="1" applyFill="1" applyBorder="1"/>
    <xf numFmtId="165" fontId="11" fillId="8" borderId="50" xfId="1" applyNumberFormat="1" applyFont="1" applyFill="1" applyBorder="1"/>
    <xf numFmtId="165" fontId="11" fillId="8" borderId="51" xfId="1" applyNumberFormat="1" applyFont="1" applyFill="1" applyBorder="1"/>
    <xf numFmtId="165" fontId="11" fillId="8" borderId="47" xfId="1" applyNumberFormat="1" applyFont="1" applyFill="1" applyBorder="1"/>
    <xf numFmtId="165" fontId="11" fillId="8" borderId="52" xfId="1" applyNumberFormat="1" applyFont="1" applyFill="1" applyBorder="1"/>
    <xf numFmtId="9" fontId="11" fillId="8" borderId="50" xfId="2" applyFont="1" applyFill="1" applyBorder="1"/>
    <xf numFmtId="9" fontId="11" fillId="8" borderId="53" xfId="2" applyFont="1" applyFill="1" applyBorder="1"/>
    <xf numFmtId="1" fontId="12" fillId="0" borderId="0" xfId="0" applyNumberFormat="1" applyFont="1" applyAlignment="1">
      <alignment horizontal="right"/>
    </xf>
    <xf numFmtId="49" fontId="11" fillId="11" borderId="24" xfId="0" applyNumberFormat="1" applyFont="1" applyFill="1" applyBorder="1"/>
    <xf numFmtId="49" fontId="11" fillId="11" borderId="25" xfId="0" applyNumberFormat="1" applyFont="1" applyFill="1" applyBorder="1"/>
    <xf numFmtId="49" fontId="11" fillId="11" borderId="4" xfId="0" applyNumberFormat="1" applyFont="1" applyFill="1" applyBorder="1"/>
    <xf numFmtId="165" fontId="11" fillId="11" borderId="3" xfId="1" applyNumberFormat="1" applyFont="1" applyFill="1" applyBorder="1"/>
    <xf numFmtId="165" fontId="11" fillId="11" borderId="2" xfId="1" applyNumberFormat="1" applyFont="1" applyFill="1" applyBorder="1"/>
    <xf numFmtId="165" fontId="11" fillId="11" borderId="26" xfId="1" applyNumberFormat="1" applyFont="1" applyFill="1" applyBorder="1"/>
    <xf numFmtId="165" fontId="11" fillId="11" borderId="49" xfId="1" applyNumberFormat="1" applyFont="1" applyFill="1" applyBorder="1"/>
    <xf numFmtId="165" fontId="11" fillId="11" borderId="50" xfId="1" applyNumberFormat="1" applyFont="1" applyFill="1" applyBorder="1"/>
    <xf numFmtId="165" fontId="11" fillId="11" borderId="51" xfId="1" applyNumberFormat="1" applyFont="1" applyFill="1" applyBorder="1"/>
    <xf numFmtId="165" fontId="11" fillId="11" borderId="52" xfId="1" applyNumberFormat="1" applyFont="1" applyFill="1" applyBorder="1"/>
    <xf numFmtId="9" fontId="11" fillId="11" borderId="50" xfId="2" applyFont="1" applyFill="1" applyBorder="1"/>
    <xf numFmtId="9" fontId="11" fillId="11" borderId="53" xfId="2" applyFont="1" applyFill="1" applyBorder="1"/>
    <xf numFmtId="49" fontId="16" fillId="0" borderId="0" xfId="0" applyNumberFormat="1" applyFont="1"/>
    <xf numFmtId="165" fontId="16" fillId="0" borderId="49" xfId="1" applyNumberFormat="1" applyFont="1" applyFill="1" applyBorder="1"/>
    <xf numFmtId="165" fontId="16" fillId="0" borderId="47" xfId="1" applyNumberFormat="1" applyFont="1" applyFill="1" applyBorder="1"/>
    <xf numFmtId="0" fontId="2" fillId="0" borderId="0" xfId="4" applyFont="1"/>
    <xf numFmtId="49" fontId="16" fillId="7" borderId="0" xfId="0" applyNumberFormat="1" applyFont="1" applyFill="1"/>
    <xf numFmtId="165" fontId="16" fillId="7" borderId="54" xfId="1" applyNumberFormat="1" applyFont="1" applyFill="1" applyBorder="1"/>
    <xf numFmtId="165" fontId="16" fillId="7" borderId="0" xfId="1" applyNumberFormat="1" applyFont="1" applyFill="1" applyBorder="1"/>
    <xf numFmtId="165" fontId="16" fillId="0" borderId="54" xfId="1" applyNumberFormat="1" applyFont="1" applyFill="1" applyBorder="1"/>
    <xf numFmtId="165" fontId="16" fillId="0" borderId="0" xfId="1" applyNumberFormat="1" applyFont="1" applyFill="1" applyBorder="1"/>
    <xf numFmtId="1" fontId="0" fillId="0" borderId="0" xfId="2" applyNumberFormat="1" applyFont="1" applyFill="1" applyBorder="1"/>
    <xf numFmtId="167" fontId="11" fillId="11" borderId="24" xfId="0" applyNumberFormat="1" applyFont="1" applyFill="1" applyBorder="1"/>
    <xf numFmtId="167" fontId="11" fillId="11" borderId="25" xfId="0" applyNumberFormat="1" applyFont="1" applyFill="1" applyBorder="1"/>
    <xf numFmtId="165" fontId="11" fillId="11" borderId="55" xfId="1" applyNumberFormat="1" applyFont="1" applyFill="1" applyBorder="1"/>
    <xf numFmtId="165" fontId="11" fillId="11" borderId="56" xfId="1" applyNumberFormat="1" applyFont="1" applyFill="1" applyBorder="1"/>
    <xf numFmtId="165" fontId="11" fillId="11" borderId="57" xfId="1" applyNumberFormat="1" applyFont="1" applyFill="1" applyBorder="1"/>
    <xf numFmtId="9" fontId="11" fillId="11" borderId="55" xfId="2" applyFont="1" applyFill="1" applyBorder="1"/>
    <xf numFmtId="9" fontId="11" fillId="11" borderId="58" xfId="2" applyFont="1" applyFill="1" applyBorder="1"/>
    <xf numFmtId="0" fontId="21" fillId="0" borderId="0" xfId="0" applyFont="1"/>
    <xf numFmtId="165" fontId="4" fillId="0" borderId="0" xfId="0" applyNumberFormat="1" applyFont="1"/>
    <xf numFmtId="165" fontId="21" fillId="0" borderId="0" xfId="1" applyNumberFormat="1" applyFont="1" applyBorder="1"/>
    <xf numFmtId="164" fontId="22" fillId="0" borderId="0" xfId="1" applyFont="1" applyBorder="1"/>
    <xf numFmtId="1" fontId="0" fillId="0" borderId="0" xfId="1" applyNumberFormat="1" applyFont="1" applyBorder="1"/>
    <xf numFmtId="0" fontId="4" fillId="0" borderId="0" xfId="0" applyFont="1"/>
    <xf numFmtId="49" fontId="19" fillId="0" borderId="0" xfId="0" applyNumberFormat="1" applyFont="1"/>
    <xf numFmtId="0" fontId="0" fillId="12" borderId="0" xfId="0" applyFill="1"/>
    <xf numFmtId="0" fontId="13" fillId="0" borderId="0" xfId="0" applyFont="1"/>
    <xf numFmtId="9" fontId="15" fillId="6" borderId="1" xfId="5" applyFont="1" applyFill="1" applyBorder="1" applyAlignment="1">
      <alignment horizontal="center" vertical="center" wrapText="1"/>
    </xf>
    <xf numFmtId="165" fontId="16" fillId="0" borderId="41" xfId="1" applyNumberFormat="1" applyFont="1" applyFill="1" applyBorder="1"/>
    <xf numFmtId="165" fontId="16" fillId="0" borderId="38" xfId="1" applyNumberFormat="1" applyFont="1" applyFill="1" applyBorder="1"/>
    <xf numFmtId="165" fontId="16" fillId="7" borderId="43" xfId="1" applyNumberFormat="1" applyFont="1" applyFill="1" applyBorder="1"/>
    <xf numFmtId="9" fontId="19" fillId="0" borderId="0" xfId="2" applyFont="1" applyFill="1" applyBorder="1"/>
    <xf numFmtId="165" fontId="11" fillId="11" borderId="47" xfId="1" applyNumberFormat="1" applyFont="1" applyFill="1" applyBorder="1"/>
    <xf numFmtId="165" fontId="21" fillId="0" borderId="0" xfId="1" applyNumberFormat="1" applyFont="1" applyBorder="1" applyAlignment="1"/>
    <xf numFmtId="164" fontId="22" fillId="0" borderId="0" xfId="1" applyFont="1" applyBorder="1" applyAlignment="1"/>
    <xf numFmtId="1" fontId="0" fillId="0" borderId="0" xfId="1" applyNumberFormat="1" applyFont="1" applyBorder="1" applyAlignment="1"/>
    <xf numFmtId="9" fontId="0" fillId="0" borderId="0" xfId="2" applyFont="1" applyBorder="1" applyAlignment="1"/>
    <xf numFmtId="9" fontId="6" fillId="6" borderId="26" xfId="2" applyFont="1" applyFill="1" applyBorder="1" applyAlignment="1">
      <alignment horizontal="center" vertical="center" wrapText="1"/>
    </xf>
    <xf numFmtId="167" fontId="16" fillId="7" borderId="20" xfId="0" applyNumberFormat="1" applyFont="1" applyFill="1" applyBorder="1"/>
    <xf numFmtId="167" fontId="16" fillId="7" borderId="21" xfId="0" applyNumberFormat="1" applyFont="1" applyFill="1" applyBorder="1"/>
    <xf numFmtId="49" fontId="16" fillId="7" borderId="21" xfId="0" applyNumberFormat="1" applyFont="1" applyFill="1" applyBorder="1"/>
    <xf numFmtId="165" fontId="16" fillId="7" borderId="55" xfId="1" applyNumberFormat="1" applyFont="1" applyFill="1" applyBorder="1"/>
    <xf numFmtId="9" fontId="16" fillId="7" borderId="55" xfId="2" applyFont="1" applyFill="1" applyBorder="1"/>
    <xf numFmtId="9" fontId="16" fillId="7" borderId="56" xfId="2" applyFont="1" applyFill="1" applyBorder="1"/>
    <xf numFmtId="9" fontId="6" fillId="6" borderId="3" xfId="2" applyFont="1" applyFill="1" applyBorder="1" applyAlignment="1">
      <alignment horizontal="center" vertical="center" wrapText="1"/>
    </xf>
    <xf numFmtId="9" fontId="6" fillId="6" borderId="25" xfId="2" applyFont="1" applyFill="1" applyBorder="1" applyAlignment="1">
      <alignment horizontal="center" vertical="center" wrapText="1"/>
    </xf>
    <xf numFmtId="0" fontId="23" fillId="0" borderId="0" xfId="0" applyFont="1"/>
    <xf numFmtId="165" fontId="11" fillId="8" borderId="25" xfId="0" applyNumberFormat="1" applyFont="1" applyFill="1" applyBorder="1"/>
    <xf numFmtId="49" fontId="11" fillId="8" borderId="25" xfId="0" applyNumberFormat="1" applyFont="1" applyFill="1" applyBorder="1"/>
    <xf numFmtId="165" fontId="11" fillId="11" borderId="25" xfId="0" applyNumberFormat="1" applyFont="1" applyFill="1" applyBorder="1"/>
    <xf numFmtId="9" fontId="12" fillId="0" borderId="0" xfId="2" applyFont="1" applyBorder="1"/>
    <xf numFmtId="9" fontId="6" fillId="6" borderId="1" xfId="2" applyFont="1" applyFill="1" applyBorder="1" applyAlignment="1">
      <alignment horizontal="center" vertical="center" wrapText="1"/>
    </xf>
    <xf numFmtId="165" fontId="16" fillId="7" borderId="59" xfId="1" applyNumberFormat="1" applyFont="1" applyFill="1" applyBorder="1"/>
    <xf numFmtId="165" fontId="16" fillId="0" borderId="60" xfId="1" applyNumberFormat="1" applyFont="1" applyFill="1" applyBorder="1"/>
    <xf numFmtId="167" fontId="11" fillId="8" borderId="24" xfId="0" applyNumberFormat="1" applyFont="1" applyFill="1" applyBorder="1" applyAlignment="1">
      <alignment horizontal="left"/>
    </xf>
  </cellXfs>
  <cellStyles count="6">
    <cellStyle name="Millares" xfId="1" builtinId="3"/>
    <cellStyle name="Normal" xfId="0" builtinId="0"/>
    <cellStyle name="Normal 154" xfId="4" xr:uid="{71BF430C-F06D-498B-8D4D-0ABBA9E031F5}"/>
    <cellStyle name="Normal 2" xfId="3" xr:uid="{5B2B9F70-B538-4032-ADCB-A1F87957E4C9}"/>
    <cellStyle name="Porcentaje 2 2" xfId="2" xr:uid="{A6EEADBB-A995-4902-A0BC-C803F96ED36D}"/>
    <cellStyle name="Porcentaje 2 2 2 2" xfId="5" xr:uid="{ACFEC267-F06B-4623-8F55-C368BD08FBCB}"/>
  </cellStyles>
  <dxfs count="56"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rgb="FFFF0000"/>
      </font>
    </dxf>
    <dxf>
      <font>
        <b/>
        <i val="0"/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ACB0-DD3D-4603-8F55-B65A48F73D66}">
  <dimension ref="B1:N135"/>
  <sheetViews>
    <sheetView showGridLines="0" tabSelected="1" zoomScaleNormal="100" workbookViewId="0">
      <selection activeCell="L10" sqref="L10"/>
    </sheetView>
  </sheetViews>
  <sheetFormatPr baseColWidth="10" defaultRowHeight="12.5" x14ac:dyDescent="0.25"/>
  <cols>
    <col min="1" max="1" width="2" style="1" customWidth="1"/>
    <col min="2" max="2" width="25.81640625" style="1" customWidth="1"/>
    <col min="3" max="8" width="10.90625" style="1"/>
    <col min="9" max="9" width="2.54296875" style="1" customWidth="1"/>
    <col min="10" max="10" width="3" style="1" customWidth="1"/>
    <col min="11" max="11" width="14.7265625" style="1" customWidth="1"/>
    <col min="12" max="16384" width="10.90625" style="1"/>
  </cols>
  <sheetData>
    <row r="1" spans="2:14" ht="13.5" thickBot="1" x14ac:dyDescent="0.3">
      <c r="C1" s="2" t="str">
        <f t="shared" ref="C1:F1" si="0">+IF(AND(C14-C24&lt;=0.01, C14-C24&gt;=-0.01), "", C14-C24)</f>
        <v/>
      </c>
      <c r="D1" s="1" t="str">
        <f t="shared" si="0"/>
        <v/>
      </c>
      <c r="E1" s="1" t="str">
        <f t="shared" si="0"/>
        <v/>
      </c>
      <c r="F1" s="1" t="str">
        <f t="shared" si="0"/>
        <v/>
      </c>
      <c r="G1" s="3" t="s">
        <v>0</v>
      </c>
      <c r="H1" s="4">
        <f>+L4/L3</f>
        <v>0.83333333333333337</v>
      </c>
    </row>
    <row r="2" spans="2:14" ht="20.5" thickBot="1" x14ac:dyDescent="0.3">
      <c r="B2" s="5" t="s">
        <v>1</v>
      </c>
      <c r="C2" s="6" t="s">
        <v>2</v>
      </c>
      <c r="D2" s="7" t="s">
        <v>3</v>
      </c>
      <c r="E2" s="6" t="s">
        <v>4</v>
      </c>
      <c r="F2" s="7" t="s">
        <v>5</v>
      </c>
      <c r="G2" s="6" t="s">
        <v>6</v>
      </c>
      <c r="H2" s="8" t="s">
        <v>7</v>
      </c>
      <c r="J2" s="9"/>
    </row>
    <row r="3" spans="2:14" x14ac:dyDescent="0.25">
      <c r="B3" s="10" t="s">
        <v>8</v>
      </c>
      <c r="C3" s="11">
        <f>+HG!AJ47</f>
        <v>1805000</v>
      </c>
      <c r="D3" s="11">
        <f>+HG!AL47</f>
        <v>1135327.3560000006</v>
      </c>
      <c r="E3" s="11">
        <f>+HG!AK47</f>
        <v>188098.81000000011</v>
      </c>
      <c r="F3" s="11">
        <f t="shared" ref="F3:F13" si="1">+D3+E3</f>
        <v>1323426.1660000007</v>
      </c>
      <c r="G3" s="12">
        <f t="shared" ref="G3:G14" si="2">IFERROR(+D3/C3,0)</f>
        <v>0.6289902249307483</v>
      </c>
      <c r="H3" s="13">
        <f t="shared" ref="H3:H14" si="3">IFERROR(+F3/C3,0)</f>
        <v>0.73320009196675939</v>
      </c>
      <c r="J3" s="9"/>
      <c r="K3" s="14" t="s">
        <v>9</v>
      </c>
      <c r="L3" s="15">
        <v>18</v>
      </c>
    </row>
    <row r="4" spans="2:14" x14ac:dyDescent="0.25">
      <c r="B4" s="16" t="s">
        <v>10</v>
      </c>
      <c r="C4" s="17">
        <f>+SCH!AJ47</f>
        <v>800000</v>
      </c>
      <c r="D4" s="17">
        <f>+SCH!AL47</f>
        <v>456617.04000000004</v>
      </c>
      <c r="E4" s="17">
        <f>+SCH!AK47</f>
        <v>124907.81999999998</v>
      </c>
      <c r="F4" s="17">
        <f t="shared" si="1"/>
        <v>581524.86</v>
      </c>
      <c r="G4" s="18">
        <f t="shared" si="2"/>
        <v>0.57077130000000009</v>
      </c>
      <c r="H4" s="19">
        <f t="shared" si="3"/>
        <v>0.72690607499999993</v>
      </c>
      <c r="J4" s="9"/>
      <c r="K4" s="20" t="s">
        <v>11</v>
      </c>
      <c r="L4" s="21">
        <v>15</v>
      </c>
    </row>
    <row r="5" spans="2:14" ht="13" thickBot="1" x14ac:dyDescent="0.3">
      <c r="B5" s="16" t="s">
        <v>12</v>
      </c>
      <c r="C5" s="17">
        <f>+UNT!AJ47</f>
        <v>911000</v>
      </c>
      <c r="D5" s="17">
        <f>+UNT!AL47</f>
        <v>477518.78399999999</v>
      </c>
      <c r="E5" s="17">
        <f>+UNT!AK47</f>
        <v>303845.06000000006</v>
      </c>
      <c r="F5" s="17">
        <f t="shared" si="1"/>
        <v>781363.84400000004</v>
      </c>
      <c r="G5" s="18">
        <f t="shared" si="2"/>
        <v>0.52416990559824372</v>
      </c>
      <c r="H5" s="19">
        <f t="shared" si="3"/>
        <v>0.8576990603732163</v>
      </c>
      <c r="J5" s="9"/>
      <c r="K5" s="22" t="s">
        <v>13</v>
      </c>
      <c r="L5" s="23">
        <f>+L4/L3</f>
        <v>0.83333333333333337</v>
      </c>
      <c r="N5" s="24"/>
    </row>
    <row r="6" spans="2:14" x14ac:dyDescent="0.25">
      <c r="B6" s="16" t="s">
        <v>14</v>
      </c>
      <c r="C6" s="17">
        <f>+ATUN!AJ47</f>
        <v>11000</v>
      </c>
      <c r="D6" s="17">
        <f>+ATUN!AL47</f>
        <v>3973.92</v>
      </c>
      <c r="E6" s="17">
        <f>+ATUN!AK47</f>
        <v>3541.4399999999996</v>
      </c>
      <c r="F6" s="17">
        <f t="shared" si="1"/>
        <v>7515.36</v>
      </c>
      <c r="G6" s="18">
        <f t="shared" si="2"/>
        <v>0.36126545454545456</v>
      </c>
      <c r="H6" s="19">
        <f t="shared" si="3"/>
        <v>0.68321454545454541</v>
      </c>
      <c r="J6" s="9"/>
    </row>
    <row r="7" spans="2:14" x14ac:dyDescent="0.25">
      <c r="B7" s="16" t="s">
        <v>15</v>
      </c>
      <c r="C7" s="17">
        <f>+RB!AJ47</f>
        <v>174000</v>
      </c>
      <c r="D7" s="17">
        <f>+RB!AL47</f>
        <v>101288.55999999997</v>
      </c>
      <c r="E7" s="17">
        <f>+RB!AK47</f>
        <v>26626.560000000005</v>
      </c>
      <c r="F7" s="17">
        <f t="shared" si="1"/>
        <v>127915.11999999997</v>
      </c>
      <c r="G7" s="18">
        <f t="shared" si="2"/>
        <v>0.58211816091954005</v>
      </c>
      <c r="H7" s="19">
        <f t="shared" si="3"/>
        <v>0.73514436781609172</v>
      </c>
      <c r="J7" s="9"/>
    </row>
    <row r="8" spans="2:14" x14ac:dyDescent="0.25">
      <c r="B8" s="16" t="s">
        <v>16</v>
      </c>
      <c r="C8" s="17">
        <f>+SJ!AJ47</f>
        <v>29000</v>
      </c>
      <c r="D8" s="17">
        <f>+SJ!AL47</f>
        <v>17342.399999999994</v>
      </c>
      <c r="E8" s="17">
        <f>+SJ!AK47</f>
        <v>4196.3999999999996</v>
      </c>
      <c r="F8" s="17">
        <f t="shared" si="1"/>
        <v>21538.799999999996</v>
      </c>
      <c r="G8" s="18">
        <f t="shared" si="2"/>
        <v>0.59801379310344804</v>
      </c>
      <c r="H8" s="19">
        <f t="shared" si="3"/>
        <v>0.74271724137931017</v>
      </c>
      <c r="J8" s="9"/>
    </row>
    <row r="9" spans="2:14" x14ac:dyDescent="0.25">
      <c r="B9" s="16" t="s">
        <v>17</v>
      </c>
      <c r="C9" s="17">
        <f>+GRASA!AJ47</f>
        <v>59000</v>
      </c>
      <c r="D9" s="17">
        <f>+GRASA!AL47</f>
        <v>26019</v>
      </c>
      <c r="E9" s="17">
        <f>+GRASA!AK47</f>
        <v>37944</v>
      </c>
      <c r="F9" s="17">
        <f t="shared" si="1"/>
        <v>63963</v>
      </c>
      <c r="G9" s="18">
        <f t="shared" si="2"/>
        <v>0.441</v>
      </c>
      <c r="H9" s="19">
        <f t="shared" si="3"/>
        <v>1.0841186440677966</v>
      </c>
      <c r="J9" s="9"/>
    </row>
    <row r="10" spans="2:14" x14ac:dyDescent="0.25">
      <c r="B10" s="16" t="s">
        <v>18</v>
      </c>
      <c r="C10" s="17">
        <f>+PICADA!AJ47</f>
        <v>18000</v>
      </c>
      <c r="D10" s="17">
        <f>+PICADA!AL47</f>
        <v>7412</v>
      </c>
      <c r="E10" s="17">
        <f>+PICADA!AK47</f>
        <v>4146</v>
      </c>
      <c r="F10" s="17">
        <f t="shared" si="1"/>
        <v>11558</v>
      </c>
      <c r="G10" s="18">
        <f t="shared" si="2"/>
        <v>0.4117777777777778</v>
      </c>
      <c r="H10" s="19">
        <f t="shared" si="3"/>
        <v>0.64211111111111108</v>
      </c>
      <c r="J10" s="9"/>
    </row>
    <row r="11" spans="2:14" x14ac:dyDescent="0.25">
      <c r="B11" s="16" t="s">
        <v>19</v>
      </c>
      <c r="C11" s="17">
        <f>+PAPAS!AJ47</f>
        <v>76000</v>
      </c>
      <c r="D11" s="17">
        <f>+PAPAS!AL47</f>
        <v>40067.999999999993</v>
      </c>
      <c r="E11" s="17">
        <f>+PAPAS!AK47</f>
        <v>5957</v>
      </c>
      <c r="F11" s="17">
        <f t="shared" si="1"/>
        <v>46024.999999999993</v>
      </c>
      <c r="G11" s="18">
        <f t="shared" si="2"/>
        <v>0.52721052631578935</v>
      </c>
      <c r="H11" s="19">
        <f t="shared" si="3"/>
        <v>0.60559210526315777</v>
      </c>
      <c r="J11" s="9"/>
    </row>
    <row r="12" spans="2:14" x14ac:dyDescent="0.25">
      <c r="B12" s="16" t="s">
        <v>20</v>
      </c>
      <c r="C12" s="17">
        <f>+CHORIZOS!AJ47</f>
        <v>10300</v>
      </c>
      <c r="D12" s="17">
        <f>+CHORIZOS!AL47</f>
        <v>3585.0399999999995</v>
      </c>
      <c r="E12" s="17">
        <f>+CHORIZOS!AK47</f>
        <v>1592</v>
      </c>
      <c r="F12" s="17">
        <f t="shared" si="1"/>
        <v>5177.0399999999991</v>
      </c>
      <c r="G12" s="18">
        <f t="shared" si="2"/>
        <v>0.34806213592233004</v>
      </c>
      <c r="H12" s="19">
        <f t="shared" si="3"/>
        <v>0.50262524271844655</v>
      </c>
      <c r="J12" s="9"/>
    </row>
    <row r="13" spans="2:14" ht="13" thickBot="1" x14ac:dyDescent="0.3">
      <c r="B13" s="25" t="s">
        <v>21</v>
      </c>
      <c r="C13" s="26">
        <f>+'CORTES PORC'!AJ47</f>
        <v>0</v>
      </c>
      <c r="D13" s="26">
        <f>+'CORTES PORC'!AL47</f>
        <v>0</v>
      </c>
      <c r="E13" s="26">
        <f>+'CORTES PORC'!AK47</f>
        <v>0</v>
      </c>
      <c r="F13" s="26">
        <f t="shared" si="1"/>
        <v>0</v>
      </c>
      <c r="G13" s="27">
        <f t="shared" si="2"/>
        <v>0</v>
      </c>
      <c r="H13" s="28">
        <f t="shared" si="3"/>
        <v>0</v>
      </c>
      <c r="J13" s="9"/>
    </row>
    <row r="14" spans="2:14" s="33" customFormat="1" ht="14" thickTop="1" thickBot="1" x14ac:dyDescent="0.3">
      <c r="B14" s="29" t="s">
        <v>5</v>
      </c>
      <c r="C14" s="30">
        <f>SUM(C3:C13)</f>
        <v>3893300</v>
      </c>
      <c r="D14" s="30">
        <f>SUM(D3:D13)</f>
        <v>2269152.1000000006</v>
      </c>
      <c r="E14" s="30">
        <f>SUM(E3:E13)</f>
        <v>700855.0900000002</v>
      </c>
      <c r="F14" s="30">
        <f>SUM(F3:F13)</f>
        <v>2970007.1900000004</v>
      </c>
      <c r="G14" s="31">
        <f t="shared" si="2"/>
        <v>0.58283515269822528</v>
      </c>
      <c r="H14" s="32">
        <f t="shared" si="3"/>
        <v>0.76285084375722401</v>
      </c>
      <c r="J14" s="34"/>
      <c r="K14" s="35"/>
      <c r="L14" s="35"/>
    </row>
    <row r="15" spans="2:14" s="33" customFormat="1" ht="13.5" thickBot="1" x14ac:dyDescent="0.3">
      <c r="B15" s="36"/>
      <c r="C15" s="37"/>
      <c r="D15" s="37"/>
      <c r="E15" s="37"/>
      <c r="F15" s="37"/>
      <c r="G15" s="38"/>
      <c r="H15" s="38"/>
      <c r="K15" s="35"/>
    </row>
    <row r="16" spans="2:14" ht="20.5" thickBot="1" x14ac:dyDescent="0.3">
      <c r="B16" s="39" t="s">
        <v>22</v>
      </c>
      <c r="C16" s="7" t="s">
        <v>23</v>
      </c>
      <c r="D16" s="6" t="s">
        <v>3</v>
      </c>
      <c r="E16" s="7" t="s">
        <v>4</v>
      </c>
      <c r="F16" s="6" t="s">
        <v>5</v>
      </c>
      <c r="G16" s="7" t="s">
        <v>6</v>
      </c>
      <c r="H16" s="40" t="s">
        <v>7</v>
      </c>
      <c r="K16" s="24"/>
    </row>
    <row r="17" spans="2:13" x14ac:dyDescent="0.25">
      <c r="B17" s="10" t="s">
        <v>24</v>
      </c>
      <c r="C17" s="11">
        <f t="shared" ref="C17:F23" si="4">+C28+C38+C48+C58+C68+C78+C88+C98+C108+C118+C128</f>
        <v>1477950</v>
      </c>
      <c r="D17" s="11">
        <f t="shared" si="4"/>
        <v>972618.25200000033</v>
      </c>
      <c r="E17" s="11">
        <f t="shared" si="4"/>
        <v>175595.03</v>
      </c>
      <c r="F17" s="11">
        <f t="shared" si="4"/>
        <v>1148213.2820000001</v>
      </c>
      <c r="G17" s="12">
        <f t="shared" ref="G17:G24" si="5">IFERROR(+D17/C17,0)</f>
        <v>0.65808603268040211</v>
      </c>
      <c r="H17" s="13">
        <f t="shared" ref="H17:H24" si="6">IFERROR(+F17/C17,0)</f>
        <v>0.77689589093000444</v>
      </c>
      <c r="K17" s="24"/>
    </row>
    <row r="18" spans="2:13" x14ac:dyDescent="0.25">
      <c r="B18" s="10" t="s">
        <v>25</v>
      </c>
      <c r="C18" s="11">
        <f t="shared" si="4"/>
        <v>339700</v>
      </c>
      <c r="D18" s="11">
        <f t="shared" si="4"/>
        <v>235521.44000000012</v>
      </c>
      <c r="E18" s="11">
        <f t="shared" si="4"/>
        <v>56081.420000000027</v>
      </c>
      <c r="F18" s="11">
        <f t="shared" si="4"/>
        <v>291602.86000000016</v>
      </c>
      <c r="G18" s="12">
        <f t="shared" si="5"/>
        <v>0.69332187224021236</v>
      </c>
      <c r="H18" s="13">
        <f t="shared" si="6"/>
        <v>0.85841289372976204</v>
      </c>
      <c r="K18" s="24"/>
    </row>
    <row r="19" spans="2:13" x14ac:dyDescent="0.25">
      <c r="B19" s="10" t="s">
        <v>26</v>
      </c>
      <c r="C19" s="11">
        <f t="shared" si="4"/>
        <v>563540</v>
      </c>
      <c r="D19" s="11">
        <f t="shared" si="4"/>
        <v>245564.28799999997</v>
      </c>
      <c r="E19" s="11">
        <f t="shared" si="4"/>
        <v>102871.53</v>
      </c>
      <c r="F19" s="11">
        <f t="shared" si="4"/>
        <v>348435.81799999997</v>
      </c>
      <c r="G19" s="12">
        <f t="shared" si="5"/>
        <v>0.43575307520317985</v>
      </c>
      <c r="H19" s="13">
        <f t="shared" si="6"/>
        <v>0.61829828938495934</v>
      </c>
      <c r="K19" s="24"/>
    </row>
    <row r="20" spans="2:13" x14ac:dyDescent="0.25">
      <c r="B20" s="10" t="s">
        <v>27</v>
      </c>
      <c r="C20" s="11">
        <f t="shared" si="4"/>
        <v>32810</v>
      </c>
      <c r="D20" s="11">
        <f t="shared" si="4"/>
        <v>6445.9999999999991</v>
      </c>
      <c r="E20" s="11">
        <f t="shared" si="4"/>
        <v>6182.53</v>
      </c>
      <c r="F20" s="11">
        <f t="shared" si="4"/>
        <v>12628.529999999999</v>
      </c>
      <c r="G20" s="12">
        <f t="shared" si="5"/>
        <v>0.19646449253276438</v>
      </c>
      <c r="H20" s="13">
        <f t="shared" si="6"/>
        <v>0.38489881133800669</v>
      </c>
      <c r="K20" s="24"/>
    </row>
    <row r="21" spans="2:13" x14ac:dyDescent="0.25">
      <c r="B21" s="10" t="s">
        <v>28</v>
      </c>
      <c r="C21" s="11">
        <f t="shared" si="4"/>
        <v>307300</v>
      </c>
      <c r="D21" s="11">
        <f t="shared" si="4"/>
        <v>242052.16000000006</v>
      </c>
      <c r="E21" s="11">
        <f t="shared" si="4"/>
        <v>26820.89</v>
      </c>
      <c r="F21" s="11">
        <f t="shared" si="4"/>
        <v>268873.0500000001</v>
      </c>
      <c r="G21" s="12">
        <f t="shared" si="5"/>
        <v>0.78767380410022803</v>
      </c>
      <c r="H21" s="13">
        <f t="shared" si="6"/>
        <v>0.87495297754637191</v>
      </c>
      <c r="K21" s="24"/>
    </row>
    <row r="22" spans="2:13" x14ac:dyDescent="0.25">
      <c r="B22" s="16" t="s">
        <v>29</v>
      </c>
      <c r="C22" s="11">
        <f t="shared" si="4"/>
        <v>350500</v>
      </c>
      <c r="D22" s="17">
        <f t="shared" si="4"/>
        <v>109886.22800000012</v>
      </c>
      <c r="E22" s="11">
        <f t="shared" si="4"/>
        <v>167562.59000000005</v>
      </c>
      <c r="F22" s="17">
        <f t="shared" si="4"/>
        <v>277448.81800000014</v>
      </c>
      <c r="G22" s="18">
        <f t="shared" si="5"/>
        <v>0.31351277603423716</v>
      </c>
      <c r="H22" s="19">
        <f t="shared" si="6"/>
        <v>0.79158007988587775</v>
      </c>
      <c r="K22" s="24"/>
    </row>
    <row r="23" spans="2:13" ht="13" thickBot="1" x14ac:dyDescent="0.3">
      <c r="B23" s="25" t="s">
        <v>30</v>
      </c>
      <c r="C23" s="26">
        <f t="shared" si="4"/>
        <v>821500</v>
      </c>
      <c r="D23" s="26">
        <f t="shared" si="4"/>
        <v>457063.73200000008</v>
      </c>
      <c r="E23" s="26">
        <f t="shared" si="4"/>
        <v>165741.10000000003</v>
      </c>
      <c r="F23" s="26">
        <f t="shared" si="4"/>
        <v>622804.83200000005</v>
      </c>
      <c r="G23" s="27">
        <f t="shared" si="5"/>
        <v>0.55637703225806456</v>
      </c>
      <c r="H23" s="28">
        <f t="shared" si="6"/>
        <v>0.75813126232501526</v>
      </c>
      <c r="M23" s="24"/>
    </row>
    <row r="24" spans="2:13" ht="13.5" thickTop="1" thickBot="1" x14ac:dyDescent="0.3">
      <c r="B24" s="29" t="s">
        <v>5</v>
      </c>
      <c r="C24" s="30">
        <f>SUM(C17:C23)</f>
        <v>3893300</v>
      </c>
      <c r="D24" s="30">
        <f>SUM(D17:D23)</f>
        <v>2269152.1000000006</v>
      </c>
      <c r="E24" s="30">
        <f>SUM(E17:E23)</f>
        <v>700855.09000000008</v>
      </c>
      <c r="F24" s="30">
        <f>SUM(F17:F23)</f>
        <v>2970007.1900000004</v>
      </c>
      <c r="G24" s="31">
        <f t="shared" si="5"/>
        <v>0.58283515269822528</v>
      </c>
      <c r="H24" s="32">
        <f t="shared" si="6"/>
        <v>0.76285084375722401</v>
      </c>
    </row>
    <row r="25" spans="2:13" x14ac:dyDescent="0.25">
      <c r="C25" s="24"/>
      <c r="E25" s="24"/>
    </row>
    <row r="26" spans="2:13" ht="13" thickBot="1" x14ac:dyDescent="0.3">
      <c r="D26" s="24"/>
    </row>
    <row r="27" spans="2:13" ht="20.5" thickBot="1" x14ac:dyDescent="0.3">
      <c r="B27" s="41" t="s">
        <v>8</v>
      </c>
      <c r="C27" s="42" t="s">
        <v>23</v>
      </c>
      <c r="D27" s="43" t="s">
        <v>3</v>
      </c>
      <c r="E27" s="42" t="s">
        <v>4</v>
      </c>
      <c r="F27" s="43" t="s">
        <v>5</v>
      </c>
      <c r="G27" s="42" t="s">
        <v>6</v>
      </c>
      <c r="H27" s="44" t="s">
        <v>7</v>
      </c>
    </row>
    <row r="28" spans="2:13" x14ac:dyDescent="0.25">
      <c r="B28" s="10" t="s">
        <v>24</v>
      </c>
      <c r="C28" s="11">
        <f>+HG!$AJ$18</f>
        <v>655000</v>
      </c>
      <c r="D28" s="11">
        <f>+HG!$AL$18</f>
        <v>487355.95200000034</v>
      </c>
      <c r="E28" s="11">
        <f>+HG!$AK$18</f>
        <v>37342.530000000006</v>
      </c>
      <c r="F28" s="11">
        <f>+D28+E28</f>
        <v>524698.48200000031</v>
      </c>
      <c r="G28" s="12">
        <f t="shared" ref="G28:G35" si="7">IFERROR(+D28/C28,0)</f>
        <v>0.74405488854961888</v>
      </c>
      <c r="H28" s="13">
        <f t="shared" ref="H28:H35" si="8">IFERROR(+F28/C28,0)</f>
        <v>0.80106638473282488</v>
      </c>
    </row>
    <row r="29" spans="2:13" x14ac:dyDescent="0.25">
      <c r="B29" s="10" t="s">
        <v>25</v>
      </c>
      <c r="C29" s="11">
        <f>+HG!$AJ$22</f>
        <v>115000</v>
      </c>
      <c r="D29" s="11">
        <f>+HG!$AL$22</f>
        <v>82063.584000000046</v>
      </c>
      <c r="E29" s="11">
        <f>+HG!$AK$22</f>
        <v>17739.300000000028</v>
      </c>
      <c r="F29" s="11">
        <f t="shared" ref="F29:F32" si="9">+D29+E29</f>
        <v>99802.884000000078</v>
      </c>
      <c r="G29" s="12">
        <f t="shared" si="7"/>
        <v>0.71359638260869607</v>
      </c>
      <c r="H29" s="13">
        <f t="shared" si="8"/>
        <v>0.86785116521739203</v>
      </c>
    </row>
    <row r="30" spans="2:13" x14ac:dyDescent="0.25">
      <c r="B30" s="10" t="s">
        <v>26</v>
      </c>
      <c r="C30" s="11">
        <f>+HG!$AJ$28</f>
        <v>275000</v>
      </c>
      <c r="D30" s="11">
        <f>+HG!$AL$28</f>
        <v>117366.99599999998</v>
      </c>
      <c r="E30" s="11">
        <f>+HG!$AK$28</f>
        <v>19352.400000000001</v>
      </c>
      <c r="F30" s="11">
        <f t="shared" si="9"/>
        <v>136719.39599999998</v>
      </c>
      <c r="G30" s="12">
        <f t="shared" si="7"/>
        <v>0.42678907636363633</v>
      </c>
      <c r="H30" s="13">
        <f t="shared" si="8"/>
        <v>0.4971614399999999</v>
      </c>
    </row>
    <row r="31" spans="2:13" x14ac:dyDescent="0.25">
      <c r="B31" s="10" t="s">
        <v>27</v>
      </c>
      <c r="C31" s="11">
        <f>+HG!$AJ$30</f>
        <v>15000</v>
      </c>
      <c r="D31" s="11">
        <f>+HG!$AL$30</f>
        <v>1979.7599999999984</v>
      </c>
      <c r="E31" s="11">
        <f>+HG!$AK$30</f>
        <v>2364.4899999999998</v>
      </c>
      <c r="F31" s="11">
        <f t="shared" si="9"/>
        <v>4344.2499999999982</v>
      </c>
      <c r="G31" s="12">
        <f t="shared" si="7"/>
        <v>0.13198399999999991</v>
      </c>
      <c r="H31" s="13">
        <f t="shared" si="8"/>
        <v>0.28961666666666652</v>
      </c>
    </row>
    <row r="32" spans="2:13" x14ac:dyDescent="0.25">
      <c r="B32" s="10" t="s">
        <v>28</v>
      </c>
      <c r="C32" s="11">
        <f>+HG!$AJ$33</f>
        <v>275000</v>
      </c>
      <c r="D32" s="11">
        <f>+HG!$AL$33</f>
        <v>220875.30000000008</v>
      </c>
      <c r="E32" s="11">
        <f>+HG!$AK$33</f>
        <v>21931.61</v>
      </c>
      <c r="F32" s="11">
        <f t="shared" si="9"/>
        <v>242806.91000000009</v>
      </c>
      <c r="G32" s="12">
        <f t="shared" si="7"/>
        <v>0.80318290909090939</v>
      </c>
      <c r="H32" s="13">
        <f t="shared" si="8"/>
        <v>0.8829342181818185</v>
      </c>
    </row>
    <row r="33" spans="2:11" x14ac:dyDescent="0.25">
      <c r="B33" s="16" t="s">
        <v>29</v>
      </c>
      <c r="C33" s="17">
        <f>+HG!$AJ$37</f>
        <v>100000</v>
      </c>
      <c r="D33" s="17">
        <f>+HG!$AL$37</f>
        <v>41774.232000000076</v>
      </c>
      <c r="E33" s="17">
        <f>+HG!$AK$37</f>
        <v>15018.280000000022</v>
      </c>
      <c r="F33" s="17">
        <f>+D33+E33</f>
        <v>56792.512000000097</v>
      </c>
      <c r="G33" s="18">
        <f t="shared" si="7"/>
        <v>0.41774232000000078</v>
      </c>
      <c r="H33" s="19">
        <f t="shared" si="8"/>
        <v>0.56792512000000095</v>
      </c>
    </row>
    <row r="34" spans="2:11" ht="13" thickBot="1" x14ac:dyDescent="0.3">
      <c r="B34" s="25" t="s">
        <v>30</v>
      </c>
      <c r="C34" s="26">
        <f>+HG!$AJ$46</f>
        <v>370000</v>
      </c>
      <c r="D34" s="26">
        <f>+HG!$AL$46</f>
        <v>183911.53200000006</v>
      </c>
      <c r="E34" s="26">
        <f>+HG!$AK$46</f>
        <v>74350.200000000041</v>
      </c>
      <c r="F34" s="26">
        <f>+D34+E34</f>
        <v>258261.73200000011</v>
      </c>
      <c r="G34" s="27">
        <f t="shared" si="7"/>
        <v>0.49705819459459477</v>
      </c>
      <c r="H34" s="28">
        <f t="shared" si="8"/>
        <v>0.69800468108108138</v>
      </c>
    </row>
    <row r="35" spans="2:11" ht="13.5" thickTop="1" thickBot="1" x14ac:dyDescent="0.3">
      <c r="B35" s="29" t="s">
        <v>5</v>
      </c>
      <c r="C35" s="30">
        <f>SUM(C28:C34)</f>
        <v>1805000</v>
      </c>
      <c r="D35" s="30">
        <f>SUM(D28:D34)</f>
        <v>1135327.3560000006</v>
      </c>
      <c r="E35" s="30">
        <f>SUM(E28:E34)</f>
        <v>188098.81000000011</v>
      </c>
      <c r="F35" s="30">
        <f>SUM(F28:F34)</f>
        <v>1323426.1660000007</v>
      </c>
      <c r="G35" s="31">
        <f t="shared" si="7"/>
        <v>0.6289902249307483</v>
      </c>
      <c r="H35" s="32">
        <f t="shared" si="8"/>
        <v>0.73320009196675939</v>
      </c>
    </row>
    <row r="36" spans="2:11" ht="13" thickBot="1" x14ac:dyDescent="0.3">
      <c r="K36" s="24"/>
    </row>
    <row r="37" spans="2:11" ht="20.5" thickBot="1" x14ac:dyDescent="0.3">
      <c r="B37" s="41" t="s">
        <v>10</v>
      </c>
      <c r="C37" s="42" t="s">
        <v>23</v>
      </c>
      <c r="D37" s="43" t="s">
        <v>3</v>
      </c>
      <c r="E37" s="42" t="s">
        <v>4</v>
      </c>
      <c r="F37" s="43" t="s">
        <v>5</v>
      </c>
      <c r="G37" s="42" t="s">
        <v>6</v>
      </c>
      <c r="H37" s="44" t="s">
        <v>7</v>
      </c>
    </row>
    <row r="38" spans="2:11" x14ac:dyDescent="0.25">
      <c r="B38" s="10" t="s">
        <v>24</v>
      </c>
      <c r="C38" s="11">
        <f>+SCH!$AJ$18</f>
        <v>343500</v>
      </c>
      <c r="D38" s="11">
        <f>+SCH!$AL$18</f>
        <v>200331.3</v>
      </c>
      <c r="E38" s="11">
        <f>+SCH!$AK$18</f>
        <v>54181.56</v>
      </c>
      <c r="F38" s="11">
        <f>+D38+E38</f>
        <v>254512.86</v>
      </c>
      <c r="G38" s="12">
        <f t="shared" ref="G38:G45" si="10">IFERROR(+D38/C38,0)</f>
        <v>0.58320611353711782</v>
      </c>
      <c r="H38" s="13">
        <f t="shared" ref="H38:H45" si="11">IFERROR(+F38/C38,0)</f>
        <v>0.74093991266375547</v>
      </c>
    </row>
    <row r="39" spans="2:11" x14ac:dyDescent="0.25">
      <c r="B39" s="10" t="s">
        <v>25</v>
      </c>
      <c r="C39" s="11">
        <f>+SCH!$AJ$22</f>
        <v>82500</v>
      </c>
      <c r="D39" s="11">
        <f>+SCH!$AL$22</f>
        <v>58047.360000000073</v>
      </c>
      <c r="E39" s="11">
        <f>+SCH!$AK$22</f>
        <v>15522.480000000001</v>
      </c>
      <c r="F39" s="11">
        <f t="shared" ref="F39:F42" si="12">+D39+E39</f>
        <v>73569.840000000069</v>
      </c>
      <c r="G39" s="12">
        <f t="shared" si="10"/>
        <v>0.70360436363636447</v>
      </c>
      <c r="H39" s="13">
        <f t="shared" si="11"/>
        <v>0.89175563636363719</v>
      </c>
    </row>
    <row r="40" spans="2:11" x14ac:dyDescent="0.25">
      <c r="B40" s="10" t="s">
        <v>26</v>
      </c>
      <c r="C40" s="11">
        <f>+SCH!$AJ$28</f>
        <v>100000</v>
      </c>
      <c r="D40" s="11">
        <f>+SCH!$AL$28</f>
        <v>61960.86</v>
      </c>
      <c r="E40" s="11">
        <f>+SCH!$AK$28</f>
        <v>5482.8</v>
      </c>
      <c r="F40" s="11">
        <f t="shared" si="12"/>
        <v>67443.66</v>
      </c>
      <c r="G40" s="12">
        <f t="shared" si="10"/>
        <v>0.61960859999999995</v>
      </c>
      <c r="H40" s="13">
        <f t="shared" si="11"/>
        <v>0.67443660000000005</v>
      </c>
    </row>
    <row r="41" spans="2:11" x14ac:dyDescent="0.25">
      <c r="B41" s="10" t="s">
        <v>27</v>
      </c>
      <c r="C41" s="11">
        <f>+SCH!$AJ$30</f>
        <v>7000</v>
      </c>
      <c r="D41" s="11">
        <f>+SCH!$AL$30</f>
        <v>1399.08</v>
      </c>
      <c r="E41" s="11">
        <f>+SCH!$AK$30</f>
        <v>1571.9999999999998</v>
      </c>
      <c r="F41" s="11">
        <f t="shared" si="12"/>
        <v>2971.08</v>
      </c>
      <c r="G41" s="12">
        <f t="shared" si="10"/>
        <v>0.19986857142857142</v>
      </c>
      <c r="H41" s="13">
        <f t="shared" si="11"/>
        <v>0.42443999999999998</v>
      </c>
    </row>
    <row r="42" spans="2:11" x14ac:dyDescent="0.25">
      <c r="B42" s="10" t="s">
        <v>28</v>
      </c>
      <c r="C42" s="11">
        <f>+SCH!$AJ$33</f>
        <v>17000</v>
      </c>
      <c r="D42" s="11">
        <f>+SCH!$AL$33</f>
        <v>11235.299999999997</v>
      </c>
      <c r="E42" s="11">
        <f>+SCH!$AK$33</f>
        <v>69.599999999999994</v>
      </c>
      <c r="F42" s="11">
        <f t="shared" si="12"/>
        <v>11304.899999999998</v>
      </c>
      <c r="G42" s="12">
        <f t="shared" si="10"/>
        <v>0.66089999999999982</v>
      </c>
      <c r="H42" s="13">
        <f t="shared" si="11"/>
        <v>0.66499411764705874</v>
      </c>
    </row>
    <row r="43" spans="2:11" x14ac:dyDescent="0.25">
      <c r="B43" s="16" t="s">
        <v>29</v>
      </c>
      <c r="C43" s="17">
        <f>+SCH!$AJ$37</f>
        <v>35000</v>
      </c>
      <c r="D43" s="17">
        <f>+SCH!$AL$37</f>
        <v>16530.659999999996</v>
      </c>
      <c r="E43" s="17">
        <f>+SCH!$AK$37</f>
        <v>4500.8400000000011</v>
      </c>
      <c r="F43" s="17">
        <f>+D43+E43</f>
        <v>21031.499999999996</v>
      </c>
      <c r="G43" s="18">
        <f t="shared" si="10"/>
        <v>0.4723045714285713</v>
      </c>
      <c r="H43" s="19">
        <f t="shared" si="11"/>
        <v>0.60089999999999988</v>
      </c>
    </row>
    <row r="44" spans="2:11" ht="13" thickBot="1" x14ac:dyDescent="0.3">
      <c r="B44" s="25" t="s">
        <v>30</v>
      </c>
      <c r="C44" s="26">
        <f>+SCH!$AJ$46</f>
        <v>215000</v>
      </c>
      <c r="D44" s="26">
        <f>+SCH!$AL$46</f>
        <v>107112.48</v>
      </c>
      <c r="E44" s="26">
        <f>+SCH!$AK$46</f>
        <v>43578.539999999986</v>
      </c>
      <c r="F44" s="26">
        <f>+D44+E44</f>
        <v>150691.01999999999</v>
      </c>
      <c r="G44" s="27">
        <f t="shared" si="10"/>
        <v>0.49819758139534881</v>
      </c>
      <c r="H44" s="28">
        <f t="shared" si="11"/>
        <v>0.700888465116279</v>
      </c>
    </row>
    <row r="45" spans="2:11" ht="13.5" thickTop="1" thickBot="1" x14ac:dyDescent="0.3">
      <c r="B45" s="29" t="s">
        <v>5</v>
      </c>
      <c r="C45" s="30">
        <f>SUM(C38:C44)</f>
        <v>800000</v>
      </c>
      <c r="D45" s="30">
        <f>SUM(D38:D44)</f>
        <v>456617.04000000004</v>
      </c>
      <c r="E45" s="30">
        <f>SUM(E38:E44)</f>
        <v>124907.81999999998</v>
      </c>
      <c r="F45" s="30">
        <f>SUM(F38:F44)</f>
        <v>581524.8600000001</v>
      </c>
      <c r="G45" s="31">
        <f t="shared" si="10"/>
        <v>0.57077130000000009</v>
      </c>
      <c r="H45" s="32">
        <f t="shared" si="11"/>
        <v>0.72690607500000015</v>
      </c>
    </row>
    <row r="46" spans="2:11" ht="13" thickBot="1" x14ac:dyDescent="0.3"/>
    <row r="47" spans="2:11" ht="20.5" thickBot="1" x14ac:dyDescent="0.3">
      <c r="B47" s="41" t="s">
        <v>12</v>
      </c>
      <c r="C47" s="42" t="s">
        <v>23</v>
      </c>
      <c r="D47" s="43" t="s">
        <v>3</v>
      </c>
      <c r="E47" s="42" t="s">
        <v>4</v>
      </c>
      <c r="F47" s="43" t="s">
        <v>5</v>
      </c>
      <c r="G47" s="42" t="s">
        <v>6</v>
      </c>
      <c r="H47" s="44" t="s">
        <v>7</v>
      </c>
    </row>
    <row r="48" spans="2:11" x14ac:dyDescent="0.25">
      <c r="B48" s="10" t="s">
        <v>24</v>
      </c>
      <c r="C48" s="11">
        <f>+UNT!$AJ$18</f>
        <v>340000</v>
      </c>
      <c r="D48" s="11">
        <f>+UNT!$AL$18</f>
        <v>217783.68000000002</v>
      </c>
      <c r="E48" s="11">
        <f>+UNT!$AK$18</f>
        <v>43955.06</v>
      </c>
      <c r="F48" s="11">
        <f>+D48+E48</f>
        <v>261738.74000000002</v>
      </c>
      <c r="G48" s="12">
        <f t="shared" ref="G48:G55" si="13">IFERROR(+D48/C48,0)</f>
        <v>0.64054023529411774</v>
      </c>
      <c r="H48" s="13">
        <f t="shared" ref="H48:H55" si="14">IFERROR(+F48/C48,0)</f>
        <v>0.76981982352941181</v>
      </c>
    </row>
    <row r="49" spans="2:8" x14ac:dyDescent="0.25">
      <c r="B49" s="10" t="s">
        <v>25</v>
      </c>
      <c r="C49" s="11">
        <f>+UNT!$AJ$22</f>
        <v>100000</v>
      </c>
      <c r="D49" s="11">
        <f>+UNT!$AL$22</f>
        <v>70355.73599999999</v>
      </c>
      <c r="E49" s="11">
        <f>+UNT!$AK$22</f>
        <v>12461.04</v>
      </c>
      <c r="F49" s="11">
        <f t="shared" ref="F49:F52" si="15">+D49+E49</f>
        <v>82816.775999999983</v>
      </c>
      <c r="G49" s="12">
        <f t="shared" si="13"/>
        <v>0.70355735999999991</v>
      </c>
      <c r="H49" s="13">
        <f t="shared" si="14"/>
        <v>0.82816775999999981</v>
      </c>
    </row>
    <row r="50" spans="2:8" x14ac:dyDescent="0.25">
      <c r="B50" s="10" t="s">
        <v>26</v>
      </c>
      <c r="C50" s="11">
        <f>+UNT!$AJ$28</f>
        <v>135000</v>
      </c>
      <c r="D50" s="11">
        <f>+UNT!$AL$28</f>
        <v>45429.552000000003</v>
      </c>
      <c r="E50" s="11">
        <f>+UNT!$AK$28</f>
        <v>75838.850000000006</v>
      </c>
      <c r="F50" s="11">
        <f t="shared" si="15"/>
        <v>121268.402</v>
      </c>
      <c r="G50" s="12">
        <f t="shared" si="13"/>
        <v>0.33651520000000001</v>
      </c>
      <c r="H50" s="13">
        <f t="shared" si="14"/>
        <v>0.89828445925925926</v>
      </c>
    </row>
    <row r="51" spans="2:8" x14ac:dyDescent="0.25">
      <c r="B51" s="10" t="s">
        <v>27</v>
      </c>
      <c r="C51" s="11">
        <f>+UNT!$AJ$30</f>
        <v>6000</v>
      </c>
      <c r="D51" s="11">
        <f>+UNT!$AL$30</f>
        <v>2282.04</v>
      </c>
      <c r="E51" s="11">
        <f>+UNT!$AK$30</f>
        <v>905.16000000000008</v>
      </c>
      <c r="F51" s="11">
        <f t="shared" si="15"/>
        <v>3187.2</v>
      </c>
      <c r="G51" s="12">
        <f t="shared" si="13"/>
        <v>0.38034000000000001</v>
      </c>
      <c r="H51" s="13">
        <f t="shared" si="14"/>
        <v>0.53120000000000001</v>
      </c>
    </row>
    <row r="52" spans="2:8" x14ac:dyDescent="0.25">
      <c r="B52" s="10" t="s">
        <v>28</v>
      </c>
      <c r="C52" s="11">
        <f>+UNT!$AJ$33</f>
        <v>0</v>
      </c>
      <c r="D52" s="11">
        <f>+UNT!$AL$33</f>
        <v>777.6</v>
      </c>
      <c r="E52" s="11">
        <f>+UNT!$AK$33</f>
        <v>3430.08</v>
      </c>
      <c r="F52" s="11">
        <f t="shared" si="15"/>
        <v>4207.68</v>
      </c>
      <c r="G52" s="12">
        <f t="shared" si="13"/>
        <v>0</v>
      </c>
      <c r="H52" s="13">
        <f t="shared" si="14"/>
        <v>0</v>
      </c>
    </row>
    <row r="53" spans="2:8" x14ac:dyDescent="0.25">
      <c r="B53" s="16" t="s">
        <v>29</v>
      </c>
      <c r="C53" s="17">
        <f>+UNT!$AJ$37</f>
        <v>180000</v>
      </c>
      <c r="D53" s="17">
        <f>+UNT!$AL$37</f>
        <v>34509.696000000025</v>
      </c>
      <c r="E53" s="17">
        <f>+UNT!$AK$37</f>
        <v>137099.11000000002</v>
      </c>
      <c r="F53" s="17">
        <f>+D53+E53</f>
        <v>171608.80600000004</v>
      </c>
      <c r="G53" s="18">
        <f t="shared" si="13"/>
        <v>0.19172053333333347</v>
      </c>
      <c r="H53" s="19">
        <f t="shared" si="14"/>
        <v>0.95338225555555578</v>
      </c>
    </row>
    <row r="54" spans="2:8" ht="13" thickBot="1" x14ac:dyDescent="0.3">
      <c r="B54" s="25" t="s">
        <v>30</v>
      </c>
      <c r="C54" s="26">
        <f>+UNT!$AJ$46</f>
        <v>150000</v>
      </c>
      <c r="D54" s="26">
        <f>+UNT!$AL$46</f>
        <v>106380.48</v>
      </c>
      <c r="E54" s="26">
        <f>+UNT!$AK$46</f>
        <v>30155.759999999998</v>
      </c>
      <c r="F54" s="26">
        <f>+D54+E54</f>
        <v>136536.24</v>
      </c>
      <c r="G54" s="27">
        <f t="shared" si="13"/>
        <v>0.70920319999999992</v>
      </c>
      <c r="H54" s="28">
        <f t="shared" si="14"/>
        <v>0.91024159999999998</v>
      </c>
    </row>
    <row r="55" spans="2:8" ht="13.5" thickTop="1" thickBot="1" x14ac:dyDescent="0.3">
      <c r="B55" s="29" t="s">
        <v>5</v>
      </c>
      <c r="C55" s="30">
        <f>SUM(C48:C54)</f>
        <v>911000</v>
      </c>
      <c r="D55" s="30">
        <f>SUM(D48:D54)</f>
        <v>477518.78399999999</v>
      </c>
      <c r="E55" s="30">
        <f>SUM(E48:E54)</f>
        <v>303845.06000000006</v>
      </c>
      <c r="F55" s="30">
        <f>SUM(F48:F54)</f>
        <v>781363.84400000004</v>
      </c>
      <c r="G55" s="31">
        <f t="shared" si="13"/>
        <v>0.52416990559824372</v>
      </c>
      <c r="H55" s="32">
        <f t="shared" si="14"/>
        <v>0.8576990603732163</v>
      </c>
    </row>
    <row r="56" spans="2:8" ht="13" thickBot="1" x14ac:dyDescent="0.3"/>
    <row r="57" spans="2:8" ht="20.5" thickBot="1" x14ac:dyDescent="0.3">
      <c r="B57" s="41" t="s">
        <v>14</v>
      </c>
      <c r="C57" s="42" t="s">
        <v>23</v>
      </c>
      <c r="D57" s="43" t="s">
        <v>3</v>
      </c>
      <c r="E57" s="42" t="s">
        <v>4</v>
      </c>
      <c r="F57" s="43" t="s">
        <v>5</v>
      </c>
      <c r="G57" s="42" t="s">
        <v>6</v>
      </c>
      <c r="H57" s="44" t="s">
        <v>7</v>
      </c>
    </row>
    <row r="58" spans="2:8" x14ac:dyDescent="0.25">
      <c r="B58" s="10" t="s">
        <v>24</v>
      </c>
      <c r="C58" s="11">
        <f>+ATUN!$AJ$18</f>
        <v>8450</v>
      </c>
      <c r="D58" s="11">
        <f>+ATUN!$AL$18</f>
        <v>2578.56</v>
      </c>
      <c r="E58" s="11">
        <f>+ATUN!$AK$18</f>
        <v>2725.4399999999996</v>
      </c>
      <c r="F58" s="11">
        <f>+D58+E58</f>
        <v>5304</v>
      </c>
      <c r="G58" s="12">
        <f t="shared" ref="G58:G65" si="16">IFERROR(+D58/C58,0)</f>
        <v>0.30515502958579882</v>
      </c>
      <c r="H58" s="13">
        <f t="shared" ref="H58:H65" si="17">IFERROR(+F58/C58,0)</f>
        <v>0.62769230769230766</v>
      </c>
    </row>
    <row r="59" spans="2:8" x14ac:dyDescent="0.25">
      <c r="B59" s="10" t="s">
        <v>25</v>
      </c>
      <c r="C59" s="11">
        <f>+ATUN!$AJ$22</f>
        <v>1000</v>
      </c>
      <c r="D59" s="11">
        <f>+ATUN!$AL$22</f>
        <v>693.6</v>
      </c>
      <c r="E59" s="11">
        <f>+ATUN!$AK$22</f>
        <v>816</v>
      </c>
      <c r="F59" s="11">
        <f t="shared" ref="F59:F62" si="18">+D59+E59</f>
        <v>1509.6</v>
      </c>
      <c r="G59" s="12">
        <f t="shared" si="16"/>
        <v>0.69359999999999999</v>
      </c>
      <c r="H59" s="13">
        <f t="shared" si="17"/>
        <v>1.5095999999999998</v>
      </c>
    </row>
    <row r="60" spans="2:8" x14ac:dyDescent="0.25">
      <c r="B60" s="10" t="s">
        <v>26</v>
      </c>
      <c r="C60" s="11">
        <f>+ATUN!$AJ$28</f>
        <v>1500</v>
      </c>
      <c r="D60" s="11">
        <f>+ATUN!$AL$28</f>
        <v>701.76</v>
      </c>
      <c r="E60" s="11">
        <f>+ATUN!$AK$28</f>
        <v>0</v>
      </c>
      <c r="F60" s="11">
        <f t="shared" si="18"/>
        <v>701.76</v>
      </c>
      <c r="G60" s="12">
        <f t="shared" si="16"/>
        <v>0.46783999999999998</v>
      </c>
      <c r="H60" s="13">
        <f t="shared" si="17"/>
        <v>0.46783999999999998</v>
      </c>
    </row>
    <row r="61" spans="2:8" x14ac:dyDescent="0.25">
      <c r="B61" s="10" t="s">
        <v>27</v>
      </c>
      <c r="C61" s="11">
        <f>+ATUN!$AJ$30</f>
        <v>50</v>
      </c>
      <c r="D61" s="11">
        <f>+ATUN!$AL$30</f>
        <v>0</v>
      </c>
      <c r="E61" s="11">
        <f>+ATUN!$AK$30</f>
        <v>0</v>
      </c>
      <c r="F61" s="11">
        <f t="shared" si="18"/>
        <v>0</v>
      </c>
      <c r="G61" s="12">
        <f t="shared" si="16"/>
        <v>0</v>
      </c>
      <c r="H61" s="13">
        <f t="shared" si="17"/>
        <v>0</v>
      </c>
    </row>
    <row r="62" spans="2:8" x14ac:dyDescent="0.25">
      <c r="B62" s="10" t="s">
        <v>28</v>
      </c>
      <c r="C62" s="11">
        <f>+ATUN!$AJ$33</f>
        <v>0</v>
      </c>
      <c r="D62" s="11">
        <f>+ATUN!$AL$33</f>
        <v>0</v>
      </c>
      <c r="E62" s="11">
        <f>+ATUN!$AK$33</f>
        <v>0</v>
      </c>
      <c r="F62" s="11">
        <f t="shared" si="18"/>
        <v>0</v>
      </c>
      <c r="G62" s="12">
        <f t="shared" si="16"/>
        <v>0</v>
      </c>
      <c r="H62" s="13">
        <f t="shared" si="17"/>
        <v>0</v>
      </c>
    </row>
    <row r="63" spans="2:8" x14ac:dyDescent="0.25">
      <c r="B63" s="16" t="s">
        <v>29</v>
      </c>
      <c r="C63" s="17">
        <f>+ATUN!$AJ$37</f>
        <v>0</v>
      </c>
      <c r="D63" s="17">
        <f>+ATUN!$AL$37</f>
        <v>0</v>
      </c>
      <c r="E63" s="17">
        <f>+ATUN!$AK$37</f>
        <v>0</v>
      </c>
      <c r="F63" s="17">
        <f>+D63+E63</f>
        <v>0</v>
      </c>
      <c r="G63" s="18">
        <f t="shared" si="16"/>
        <v>0</v>
      </c>
      <c r="H63" s="19">
        <f t="shared" si="17"/>
        <v>0</v>
      </c>
    </row>
    <row r="64" spans="2:8" ht="13" thickBot="1" x14ac:dyDescent="0.3">
      <c r="B64" s="25" t="s">
        <v>30</v>
      </c>
      <c r="C64" s="26">
        <f>+ATUN!$AJ$46</f>
        <v>0</v>
      </c>
      <c r="D64" s="26">
        <f>+ATUN!$AL$46</f>
        <v>0</v>
      </c>
      <c r="E64" s="26">
        <f>+ATUN!$AK$46</f>
        <v>0</v>
      </c>
      <c r="F64" s="26">
        <f>+D64+E64</f>
        <v>0</v>
      </c>
      <c r="G64" s="27">
        <f t="shared" si="16"/>
        <v>0</v>
      </c>
      <c r="H64" s="28">
        <f t="shared" si="17"/>
        <v>0</v>
      </c>
    </row>
    <row r="65" spans="2:8" ht="13.5" thickTop="1" thickBot="1" x14ac:dyDescent="0.3">
      <c r="B65" s="29" t="s">
        <v>5</v>
      </c>
      <c r="C65" s="30">
        <f>SUM(C58:C64)</f>
        <v>11000</v>
      </c>
      <c r="D65" s="30">
        <f>SUM(D58:D64)</f>
        <v>3973.92</v>
      </c>
      <c r="E65" s="30">
        <f>SUM(E58:E64)</f>
        <v>3541.4399999999996</v>
      </c>
      <c r="F65" s="30">
        <f>SUM(F58:F64)</f>
        <v>7515.3600000000006</v>
      </c>
      <c r="G65" s="31">
        <f t="shared" si="16"/>
        <v>0.36126545454545456</v>
      </c>
      <c r="H65" s="32">
        <f t="shared" si="17"/>
        <v>0.68321454545454552</v>
      </c>
    </row>
    <row r="66" spans="2:8" ht="13" thickBot="1" x14ac:dyDescent="0.3"/>
    <row r="67" spans="2:8" ht="20.5" thickBot="1" x14ac:dyDescent="0.3">
      <c r="B67" s="41" t="s">
        <v>15</v>
      </c>
      <c r="C67" s="42" t="s">
        <v>23</v>
      </c>
      <c r="D67" s="43" t="s">
        <v>3</v>
      </c>
      <c r="E67" s="42" t="s">
        <v>4</v>
      </c>
      <c r="F67" s="43" t="s">
        <v>5</v>
      </c>
      <c r="G67" s="42" t="s">
        <v>6</v>
      </c>
      <c r="H67" s="44" t="s">
        <v>7</v>
      </c>
    </row>
    <row r="68" spans="2:8" x14ac:dyDescent="0.25">
      <c r="B68" s="10" t="s">
        <v>24</v>
      </c>
      <c r="C68" s="11">
        <f>+RB!$AJ$18</f>
        <v>45000.000000000007</v>
      </c>
      <c r="D68" s="11">
        <f>+RB!$AL$18</f>
        <v>22024.319999999989</v>
      </c>
      <c r="E68" s="11">
        <f>+RB!$AK$18</f>
        <v>3449.44</v>
      </c>
      <c r="F68" s="11">
        <f>+D68+E68</f>
        <v>25473.759999999987</v>
      </c>
      <c r="G68" s="12">
        <f t="shared" ref="G68:G75" si="19">IFERROR(+D68/C68,0)</f>
        <v>0.48942933333333299</v>
      </c>
      <c r="H68" s="13">
        <f t="shared" ref="H68:H75" si="20">IFERROR(+F68/C68,0)</f>
        <v>0.56608355555555523</v>
      </c>
    </row>
    <row r="69" spans="2:8" x14ac:dyDescent="0.25">
      <c r="B69" s="10" t="s">
        <v>25</v>
      </c>
      <c r="C69" s="11">
        <f>+RB!$AJ$22</f>
        <v>19000</v>
      </c>
      <c r="D69" s="11">
        <f>+RB!$AL$22</f>
        <v>10716.559999999992</v>
      </c>
      <c r="E69" s="11">
        <f>+RB!$AK$22</f>
        <v>3621.1999999999971</v>
      </c>
      <c r="F69" s="11">
        <f t="shared" ref="F69:F72" si="21">+D69+E69</f>
        <v>14337.759999999989</v>
      </c>
      <c r="G69" s="12">
        <f t="shared" si="19"/>
        <v>0.56402947368421008</v>
      </c>
      <c r="H69" s="13">
        <f t="shared" si="20"/>
        <v>0.7546189473684205</v>
      </c>
    </row>
    <row r="70" spans="2:8" x14ac:dyDescent="0.25">
      <c r="B70" s="10" t="s">
        <v>26</v>
      </c>
      <c r="C70" s="11">
        <f>+RB!$AJ$28</f>
        <v>29000</v>
      </c>
      <c r="D70" s="11">
        <f>+RB!$AL$28</f>
        <v>11261.119999999999</v>
      </c>
      <c r="E70" s="11">
        <f>+RB!$AK$28</f>
        <v>1054.08</v>
      </c>
      <c r="F70" s="11">
        <f t="shared" si="21"/>
        <v>12315.199999999999</v>
      </c>
      <c r="G70" s="12">
        <f t="shared" si="19"/>
        <v>0.38831448275862063</v>
      </c>
      <c r="H70" s="13">
        <f t="shared" si="20"/>
        <v>0.42466206896551723</v>
      </c>
    </row>
    <row r="71" spans="2:8" x14ac:dyDescent="0.25">
      <c r="B71" s="10" t="s">
        <v>27</v>
      </c>
      <c r="C71" s="11">
        <f>+RB!$AJ$30</f>
        <v>3000</v>
      </c>
      <c r="D71" s="11">
        <f>+RB!$AL$30</f>
        <v>423.5200000000001</v>
      </c>
      <c r="E71" s="11">
        <f>+RB!$AK$30</f>
        <v>332.07999999999993</v>
      </c>
      <c r="F71" s="11">
        <f t="shared" si="21"/>
        <v>755.6</v>
      </c>
      <c r="G71" s="12">
        <f t="shared" si="19"/>
        <v>0.14117333333333337</v>
      </c>
      <c r="H71" s="13">
        <f t="shared" si="20"/>
        <v>0.25186666666666668</v>
      </c>
    </row>
    <row r="72" spans="2:8" x14ac:dyDescent="0.25">
      <c r="B72" s="10" t="s">
        <v>28</v>
      </c>
      <c r="C72" s="11">
        <f>+RB!$AJ$33</f>
        <v>10000</v>
      </c>
      <c r="D72" s="11">
        <f>+RB!$AL$33</f>
        <v>5106.5599999999995</v>
      </c>
      <c r="E72" s="11">
        <f>+RB!$AK$33</f>
        <v>1039.5999999999999</v>
      </c>
      <c r="F72" s="11">
        <f t="shared" si="21"/>
        <v>6146.16</v>
      </c>
      <c r="G72" s="12">
        <f t="shared" si="19"/>
        <v>0.510656</v>
      </c>
      <c r="H72" s="13">
        <f t="shared" si="20"/>
        <v>0.61461599999999994</v>
      </c>
    </row>
    <row r="73" spans="2:8" x14ac:dyDescent="0.25">
      <c r="B73" s="16" t="s">
        <v>29</v>
      </c>
      <c r="C73" s="17">
        <f>+RB!$AJ$37</f>
        <v>20000</v>
      </c>
      <c r="D73" s="17">
        <f>+RB!$AL$37</f>
        <v>10093.040000000012</v>
      </c>
      <c r="E73" s="17">
        <f>+RB!$AK$37</f>
        <v>7146.1600000000062</v>
      </c>
      <c r="F73" s="17">
        <f>+D73+E73</f>
        <v>17239.200000000019</v>
      </c>
      <c r="G73" s="18">
        <f t="shared" si="19"/>
        <v>0.50465200000000054</v>
      </c>
      <c r="H73" s="19">
        <f t="shared" si="20"/>
        <v>0.86196000000000095</v>
      </c>
    </row>
    <row r="74" spans="2:8" ht="13" thickBot="1" x14ac:dyDescent="0.3">
      <c r="B74" s="25" t="s">
        <v>30</v>
      </c>
      <c r="C74" s="26">
        <f>+RB!$AJ$46</f>
        <v>48000</v>
      </c>
      <c r="D74" s="26">
        <f>+RB!$AL$46</f>
        <v>41663.439999999981</v>
      </c>
      <c r="E74" s="26">
        <f>+RB!$AK$46</f>
        <v>9983.9999999999982</v>
      </c>
      <c r="F74" s="26">
        <f>+D74+E74</f>
        <v>51647.439999999981</v>
      </c>
      <c r="G74" s="27">
        <f t="shared" si="19"/>
        <v>0.86798833333333292</v>
      </c>
      <c r="H74" s="28">
        <f t="shared" si="20"/>
        <v>1.0759883333333329</v>
      </c>
    </row>
    <row r="75" spans="2:8" ht="13.5" thickTop="1" thickBot="1" x14ac:dyDescent="0.3">
      <c r="B75" s="29" t="s">
        <v>5</v>
      </c>
      <c r="C75" s="30">
        <f>SUM(C68:C74)</f>
        <v>174000</v>
      </c>
      <c r="D75" s="30">
        <f>SUM(D68:D74)</f>
        <v>101288.55999999997</v>
      </c>
      <c r="E75" s="30">
        <f>SUM(E68:E74)</f>
        <v>26626.560000000005</v>
      </c>
      <c r="F75" s="30">
        <f>SUM(F68:F74)</f>
        <v>127915.11999999997</v>
      </c>
      <c r="G75" s="31">
        <f t="shared" si="19"/>
        <v>0.58211816091954005</v>
      </c>
      <c r="H75" s="32">
        <f t="shared" si="20"/>
        <v>0.73514436781609172</v>
      </c>
    </row>
    <row r="76" spans="2:8" ht="13" thickBot="1" x14ac:dyDescent="0.3"/>
    <row r="77" spans="2:8" ht="20.5" thickBot="1" x14ac:dyDescent="0.3">
      <c r="B77" s="41" t="s">
        <v>16</v>
      </c>
      <c r="C77" s="42" t="s">
        <v>23</v>
      </c>
      <c r="D77" s="43" t="s">
        <v>3</v>
      </c>
      <c r="E77" s="42" t="s">
        <v>4</v>
      </c>
      <c r="F77" s="43" t="s">
        <v>5</v>
      </c>
      <c r="G77" s="42" t="s">
        <v>6</v>
      </c>
      <c r="H77" s="44" t="s">
        <v>7</v>
      </c>
    </row>
    <row r="78" spans="2:8" x14ac:dyDescent="0.25">
      <c r="B78" s="10" t="s">
        <v>24</v>
      </c>
      <c r="C78" s="11">
        <f>+SJ!$AJ$18</f>
        <v>9000</v>
      </c>
      <c r="D78" s="11">
        <f>+SJ!$AL$18</f>
        <v>6039.9999999999982</v>
      </c>
      <c r="E78" s="11">
        <f>+SJ!$AK$18</f>
        <v>1490.6000000000001</v>
      </c>
      <c r="F78" s="11">
        <f>+D78+E78</f>
        <v>7530.5999999999985</v>
      </c>
      <c r="G78" s="12">
        <f t="shared" ref="G78:G85" si="22">IFERROR(+D78/C78,0)</f>
        <v>0.67111111111111088</v>
      </c>
      <c r="H78" s="13">
        <f t="shared" ref="H78:H85" si="23">IFERROR(+F78/C78,0)</f>
        <v>0.83673333333333322</v>
      </c>
    </row>
    <row r="79" spans="2:8" x14ac:dyDescent="0.25">
      <c r="B79" s="10" t="s">
        <v>25</v>
      </c>
      <c r="C79" s="11">
        <f>+SJ!$AJ$22</f>
        <v>5000</v>
      </c>
      <c r="D79" s="11">
        <f>+SJ!$AL$22</f>
        <v>3952.5999999999972</v>
      </c>
      <c r="E79" s="11">
        <f>+SJ!$AK$22</f>
        <v>622.60000000000014</v>
      </c>
      <c r="F79" s="11">
        <f t="shared" ref="F79:F82" si="24">+D79+E79</f>
        <v>4575.1999999999971</v>
      </c>
      <c r="G79" s="12">
        <f t="shared" si="22"/>
        <v>0.79051999999999945</v>
      </c>
      <c r="H79" s="13">
        <f t="shared" si="23"/>
        <v>0.91503999999999941</v>
      </c>
    </row>
    <row r="80" spans="2:8" x14ac:dyDescent="0.25">
      <c r="B80" s="10" t="s">
        <v>26</v>
      </c>
      <c r="C80" s="11">
        <f>+SJ!$AJ$28</f>
        <v>3500</v>
      </c>
      <c r="D80" s="11">
        <f>+SJ!$AL$28</f>
        <v>1860.6000000000004</v>
      </c>
      <c r="E80" s="11">
        <f>+SJ!$AK$28</f>
        <v>256</v>
      </c>
      <c r="F80" s="11">
        <f t="shared" si="24"/>
        <v>2116.6000000000004</v>
      </c>
      <c r="G80" s="12">
        <f t="shared" si="22"/>
        <v>0.53160000000000007</v>
      </c>
      <c r="H80" s="13">
        <f t="shared" si="23"/>
        <v>0.60474285714285725</v>
      </c>
    </row>
    <row r="81" spans="2:8" x14ac:dyDescent="0.25">
      <c r="B81" s="10" t="s">
        <v>27</v>
      </c>
      <c r="C81" s="11">
        <f>+SJ!$AJ$30</f>
        <v>500</v>
      </c>
      <c r="D81" s="11">
        <f>+SJ!$AL$30</f>
        <v>42.599999999999994</v>
      </c>
      <c r="E81" s="11">
        <f>+SJ!$AK$30</f>
        <v>59</v>
      </c>
      <c r="F81" s="11">
        <f t="shared" si="24"/>
        <v>101.6</v>
      </c>
      <c r="G81" s="12">
        <f t="shared" si="22"/>
        <v>8.5199999999999984E-2</v>
      </c>
      <c r="H81" s="13">
        <f t="shared" si="23"/>
        <v>0.20319999999999999</v>
      </c>
    </row>
    <row r="82" spans="2:8" x14ac:dyDescent="0.25">
      <c r="B82" s="10" t="s">
        <v>28</v>
      </c>
      <c r="C82" s="11">
        <f>+SJ!$AJ$33</f>
        <v>0</v>
      </c>
      <c r="D82" s="11">
        <f>+SJ!$AL$33</f>
        <v>5.4</v>
      </c>
      <c r="E82" s="11">
        <f>+SJ!$AK$33</f>
        <v>0</v>
      </c>
      <c r="F82" s="11">
        <f t="shared" si="24"/>
        <v>5.4</v>
      </c>
      <c r="G82" s="12">
        <f t="shared" si="22"/>
        <v>0</v>
      </c>
      <c r="H82" s="13">
        <f t="shared" si="23"/>
        <v>0</v>
      </c>
    </row>
    <row r="83" spans="2:8" x14ac:dyDescent="0.25">
      <c r="B83" s="16" t="s">
        <v>29</v>
      </c>
      <c r="C83" s="17">
        <f>+SJ!$AJ$37</f>
        <v>2000</v>
      </c>
      <c r="D83" s="17">
        <f>+SJ!$AL$37</f>
        <v>814.8</v>
      </c>
      <c r="E83" s="17">
        <f>+SJ!$AK$37</f>
        <v>782</v>
      </c>
      <c r="F83" s="17">
        <f>+D83+E83</f>
        <v>1596.8</v>
      </c>
      <c r="G83" s="18">
        <f t="shared" si="22"/>
        <v>0.40739999999999998</v>
      </c>
      <c r="H83" s="19">
        <f t="shared" si="23"/>
        <v>0.7984</v>
      </c>
    </row>
    <row r="84" spans="2:8" ht="13" thickBot="1" x14ac:dyDescent="0.3">
      <c r="B84" s="25" t="s">
        <v>30</v>
      </c>
      <c r="C84" s="26">
        <f>+SJ!$AJ$46</f>
        <v>9000</v>
      </c>
      <c r="D84" s="26">
        <f>+SJ!$AL$46</f>
        <v>4626.3999999999987</v>
      </c>
      <c r="E84" s="26">
        <f>+SJ!$AK$46</f>
        <v>986.1999999999997</v>
      </c>
      <c r="F84" s="26">
        <f>+D84+E84</f>
        <v>5612.5999999999985</v>
      </c>
      <c r="G84" s="27">
        <f t="shared" si="22"/>
        <v>0.5140444444444443</v>
      </c>
      <c r="H84" s="28">
        <f t="shared" si="23"/>
        <v>0.62362222222222208</v>
      </c>
    </row>
    <row r="85" spans="2:8" ht="13.5" thickTop="1" thickBot="1" x14ac:dyDescent="0.3">
      <c r="B85" s="29" t="s">
        <v>5</v>
      </c>
      <c r="C85" s="30">
        <f>SUM(C78:C84)</f>
        <v>29000</v>
      </c>
      <c r="D85" s="30">
        <f>SUM(D78:D84)</f>
        <v>17342.399999999994</v>
      </c>
      <c r="E85" s="30">
        <f>SUM(E78:E84)</f>
        <v>4196.3999999999996</v>
      </c>
      <c r="F85" s="30">
        <f>SUM(F78:F84)</f>
        <v>21538.799999999996</v>
      </c>
      <c r="G85" s="31">
        <f t="shared" si="22"/>
        <v>0.59801379310344804</v>
      </c>
      <c r="H85" s="32">
        <f t="shared" si="23"/>
        <v>0.74271724137931017</v>
      </c>
    </row>
    <row r="86" spans="2:8" ht="13" thickBot="1" x14ac:dyDescent="0.3"/>
    <row r="87" spans="2:8" ht="20.5" thickBot="1" x14ac:dyDescent="0.3">
      <c r="B87" s="41" t="s">
        <v>17</v>
      </c>
      <c r="C87" s="42" t="s">
        <v>23</v>
      </c>
      <c r="D87" s="43" t="s">
        <v>3</v>
      </c>
      <c r="E87" s="42" t="s">
        <v>4</v>
      </c>
      <c r="F87" s="43" t="s">
        <v>5</v>
      </c>
      <c r="G87" s="42" t="s">
        <v>6</v>
      </c>
      <c r="H87" s="44" t="s">
        <v>7</v>
      </c>
    </row>
    <row r="88" spans="2:8" x14ac:dyDescent="0.25">
      <c r="B88" s="10" t="s">
        <v>24</v>
      </c>
      <c r="C88" s="11">
        <f>+GRASA!$AJ$18</f>
        <v>25000</v>
      </c>
      <c r="D88" s="11">
        <f>+GRASA!$AL$18</f>
        <v>13065</v>
      </c>
      <c r="E88" s="11">
        <f>+GRASA!$AK$18</f>
        <v>26355</v>
      </c>
      <c r="F88" s="11">
        <f>+D88+E88</f>
        <v>39420</v>
      </c>
      <c r="G88" s="12">
        <f t="shared" ref="G88:G95" si="25">IFERROR(+D88/C88,0)</f>
        <v>0.52259999999999995</v>
      </c>
      <c r="H88" s="13">
        <f t="shared" ref="H88:H95" si="26">IFERROR(+F88/C88,0)</f>
        <v>1.5768</v>
      </c>
    </row>
    <row r="89" spans="2:8" x14ac:dyDescent="0.25">
      <c r="B89" s="10" t="s">
        <v>25</v>
      </c>
      <c r="C89" s="11">
        <f>+GRASA!$AJ$22</f>
        <v>8000</v>
      </c>
      <c r="D89" s="11">
        <f>+GRASA!$AL$22</f>
        <v>4714</v>
      </c>
      <c r="E89" s="11">
        <f>+GRASA!$AK$22</f>
        <v>3831</v>
      </c>
      <c r="F89" s="11">
        <f t="shared" ref="F89:F92" si="27">+D89+E89</f>
        <v>8545</v>
      </c>
      <c r="G89" s="12">
        <f t="shared" si="25"/>
        <v>0.58925000000000005</v>
      </c>
      <c r="H89" s="13">
        <f t="shared" si="26"/>
        <v>1.068125</v>
      </c>
    </row>
    <row r="90" spans="2:8" x14ac:dyDescent="0.25">
      <c r="B90" s="10" t="s">
        <v>26</v>
      </c>
      <c r="C90" s="11">
        <f>+GRASA!$AJ$28</f>
        <v>3000</v>
      </c>
      <c r="D90" s="11">
        <f>+GRASA!$AL$28</f>
        <v>528</v>
      </c>
      <c r="E90" s="11">
        <f>+GRASA!$AK$28</f>
        <v>25</v>
      </c>
      <c r="F90" s="11">
        <f t="shared" si="27"/>
        <v>553</v>
      </c>
      <c r="G90" s="12">
        <f t="shared" si="25"/>
        <v>0.17599999999999999</v>
      </c>
      <c r="H90" s="13">
        <f t="shared" si="26"/>
        <v>0.18433333333333332</v>
      </c>
    </row>
    <row r="91" spans="2:8" x14ac:dyDescent="0.25">
      <c r="B91" s="10" t="s">
        <v>27</v>
      </c>
      <c r="C91" s="11">
        <f>+GRASA!$AJ$30</f>
        <v>1000</v>
      </c>
      <c r="D91" s="11">
        <f>+GRASA!$AL$30</f>
        <v>123</v>
      </c>
      <c r="E91" s="11">
        <f>+GRASA!$AK$30</f>
        <v>940</v>
      </c>
      <c r="F91" s="11">
        <f t="shared" si="27"/>
        <v>1063</v>
      </c>
      <c r="G91" s="12">
        <f t="shared" si="25"/>
        <v>0.123</v>
      </c>
      <c r="H91" s="13">
        <f t="shared" si="26"/>
        <v>1.0629999999999999</v>
      </c>
    </row>
    <row r="92" spans="2:8" x14ac:dyDescent="0.25">
      <c r="B92" s="10" t="s">
        <v>28</v>
      </c>
      <c r="C92" s="11">
        <f>+GRASA!$AJ$33</f>
        <v>0</v>
      </c>
      <c r="D92" s="11">
        <f>+GRASA!$AL$33</f>
        <v>0</v>
      </c>
      <c r="E92" s="11">
        <f>+GRASA!$AK$33</f>
        <v>0</v>
      </c>
      <c r="F92" s="11">
        <f t="shared" si="27"/>
        <v>0</v>
      </c>
      <c r="G92" s="12">
        <f t="shared" si="25"/>
        <v>0</v>
      </c>
      <c r="H92" s="13">
        <f t="shared" si="26"/>
        <v>0</v>
      </c>
    </row>
    <row r="93" spans="2:8" x14ac:dyDescent="0.25">
      <c r="B93" s="16" t="s">
        <v>29</v>
      </c>
      <c r="C93" s="17">
        <f>+GRASA!$AJ$37</f>
        <v>5000</v>
      </c>
      <c r="D93" s="17">
        <f>+GRASA!$AL$37</f>
        <v>3010</v>
      </c>
      <c r="E93" s="17">
        <f>+GRASA!$AK$37</f>
        <v>2155</v>
      </c>
      <c r="F93" s="17">
        <f>+D93+E93</f>
        <v>5165</v>
      </c>
      <c r="G93" s="18">
        <f t="shared" si="25"/>
        <v>0.60199999999999998</v>
      </c>
      <c r="H93" s="19">
        <f t="shared" si="26"/>
        <v>1.0329999999999999</v>
      </c>
    </row>
    <row r="94" spans="2:8" ht="13" thickBot="1" x14ac:dyDescent="0.3">
      <c r="B94" s="25" t="s">
        <v>30</v>
      </c>
      <c r="C94" s="26">
        <f>+GRASA!$AJ$46</f>
        <v>17000</v>
      </c>
      <c r="D94" s="26">
        <f>+GRASA!$AL$46</f>
        <v>4579</v>
      </c>
      <c r="E94" s="26">
        <f>+GRASA!$AK$46</f>
        <v>4638</v>
      </c>
      <c r="F94" s="26">
        <f>+D94+E94</f>
        <v>9217</v>
      </c>
      <c r="G94" s="27">
        <f t="shared" si="25"/>
        <v>0.26935294117647057</v>
      </c>
      <c r="H94" s="28">
        <f t="shared" si="26"/>
        <v>0.54217647058823526</v>
      </c>
    </row>
    <row r="95" spans="2:8" ht="13.5" thickTop="1" thickBot="1" x14ac:dyDescent="0.3">
      <c r="B95" s="29" t="s">
        <v>5</v>
      </c>
      <c r="C95" s="30">
        <f>SUM(C88:C94)</f>
        <v>59000</v>
      </c>
      <c r="D95" s="30">
        <f>SUM(D88:D94)</f>
        <v>26019</v>
      </c>
      <c r="E95" s="30">
        <f>SUM(E88:E94)</f>
        <v>37944</v>
      </c>
      <c r="F95" s="30">
        <f>SUM(F88:F94)</f>
        <v>63963</v>
      </c>
      <c r="G95" s="31">
        <f t="shared" si="25"/>
        <v>0.441</v>
      </c>
      <c r="H95" s="32">
        <f t="shared" si="26"/>
        <v>1.0841186440677966</v>
      </c>
    </row>
    <row r="96" spans="2:8" ht="13" thickBot="1" x14ac:dyDescent="0.3"/>
    <row r="97" spans="2:8" ht="20.5" thickBot="1" x14ac:dyDescent="0.3">
      <c r="B97" s="41" t="s">
        <v>18</v>
      </c>
      <c r="C97" s="42" t="s">
        <v>23</v>
      </c>
      <c r="D97" s="43" t="s">
        <v>3</v>
      </c>
      <c r="E97" s="42" t="s">
        <v>4</v>
      </c>
      <c r="F97" s="43" t="s">
        <v>5</v>
      </c>
      <c r="G97" s="42" t="s">
        <v>6</v>
      </c>
      <c r="H97" s="44" t="s">
        <v>7</v>
      </c>
    </row>
    <row r="98" spans="2:8" x14ac:dyDescent="0.25">
      <c r="B98" s="10" t="s">
        <v>24</v>
      </c>
      <c r="C98" s="11">
        <f>+PICADA!$AJ$18</f>
        <v>14000</v>
      </c>
      <c r="D98" s="11">
        <f>+PICADA!$AL$18</f>
        <v>6364</v>
      </c>
      <c r="E98" s="11">
        <f>+PICADA!$AK$18</f>
        <v>3966</v>
      </c>
      <c r="F98" s="11">
        <f>+D98+E98</f>
        <v>10330</v>
      </c>
      <c r="G98" s="12">
        <f t="shared" ref="G98:G105" si="28">IFERROR(+D98/C98,0)</f>
        <v>0.45457142857142857</v>
      </c>
      <c r="H98" s="13">
        <f t="shared" ref="H98:H105" si="29">IFERROR(+F98/C98,0)</f>
        <v>0.73785714285714288</v>
      </c>
    </row>
    <row r="99" spans="2:8" x14ac:dyDescent="0.25">
      <c r="B99" s="10" t="s">
        <v>25</v>
      </c>
      <c r="C99" s="11">
        <f>+PICADA!$AJ$22</f>
        <v>0</v>
      </c>
      <c r="D99" s="11">
        <f>+PICADA!$AL$22</f>
        <v>0</v>
      </c>
      <c r="E99" s="11">
        <f>+PICADA!$AK$22</f>
        <v>0</v>
      </c>
      <c r="F99" s="11">
        <f t="shared" ref="F99:F102" si="30">+D99+E99</f>
        <v>0</v>
      </c>
      <c r="G99" s="12">
        <f t="shared" si="28"/>
        <v>0</v>
      </c>
      <c r="H99" s="13">
        <f t="shared" si="29"/>
        <v>0</v>
      </c>
    </row>
    <row r="100" spans="2:8" x14ac:dyDescent="0.25">
      <c r="B100" s="10" t="s">
        <v>26</v>
      </c>
      <c r="C100" s="11">
        <f>+PICADA!$AJ$28</f>
        <v>3000</v>
      </c>
      <c r="D100" s="11">
        <f>+PICADA!$AL$28</f>
        <v>1048</v>
      </c>
      <c r="E100" s="11">
        <f>+PICADA!$AK$28</f>
        <v>180</v>
      </c>
      <c r="F100" s="11">
        <f t="shared" si="30"/>
        <v>1228</v>
      </c>
      <c r="G100" s="12">
        <f t="shared" si="28"/>
        <v>0.34933333333333333</v>
      </c>
      <c r="H100" s="13">
        <f t="shared" si="29"/>
        <v>0.40933333333333333</v>
      </c>
    </row>
    <row r="101" spans="2:8" x14ac:dyDescent="0.25">
      <c r="B101" s="10" t="s">
        <v>27</v>
      </c>
      <c r="C101" s="11">
        <f>+PICADA!$AJ$30</f>
        <v>0</v>
      </c>
      <c r="D101" s="11">
        <f>+PICADA!$AL$30</f>
        <v>0</v>
      </c>
      <c r="E101" s="11">
        <f>+PICADA!$AK$30</f>
        <v>0</v>
      </c>
      <c r="F101" s="11">
        <f t="shared" si="30"/>
        <v>0</v>
      </c>
      <c r="G101" s="12">
        <f t="shared" si="28"/>
        <v>0</v>
      </c>
      <c r="H101" s="13">
        <f t="shared" si="29"/>
        <v>0</v>
      </c>
    </row>
    <row r="102" spans="2:8" x14ac:dyDescent="0.25">
      <c r="B102" s="10" t="s">
        <v>28</v>
      </c>
      <c r="C102" s="11">
        <f>+PICADA!$AJ$33</f>
        <v>0</v>
      </c>
      <c r="D102" s="11">
        <f>+PICADA!$AL$33</f>
        <v>0</v>
      </c>
      <c r="E102" s="11">
        <f>+PICADA!$AK$33</f>
        <v>0</v>
      </c>
      <c r="F102" s="11">
        <f t="shared" si="30"/>
        <v>0</v>
      </c>
      <c r="G102" s="12">
        <f t="shared" si="28"/>
        <v>0</v>
      </c>
      <c r="H102" s="13">
        <f t="shared" si="29"/>
        <v>0</v>
      </c>
    </row>
    <row r="103" spans="2:8" x14ac:dyDescent="0.25">
      <c r="B103" s="16" t="s">
        <v>29</v>
      </c>
      <c r="C103" s="17">
        <f>+PICADA!$AJ$37</f>
        <v>0</v>
      </c>
      <c r="D103" s="17">
        <f>+PICADA!$AL$37</f>
        <v>0</v>
      </c>
      <c r="E103" s="17">
        <f>+PICADA!$AK$37</f>
        <v>0</v>
      </c>
      <c r="F103" s="17">
        <f>+D103+E103</f>
        <v>0</v>
      </c>
      <c r="G103" s="18">
        <f t="shared" si="28"/>
        <v>0</v>
      </c>
      <c r="H103" s="19">
        <f t="shared" si="29"/>
        <v>0</v>
      </c>
    </row>
    <row r="104" spans="2:8" ht="13" thickBot="1" x14ac:dyDescent="0.3">
      <c r="B104" s="25" t="s">
        <v>30</v>
      </c>
      <c r="C104" s="26">
        <f>+PICADA!$AJ$46</f>
        <v>1000</v>
      </c>
      <c r="D104" s="26">
        <f>+PICADA!$AL$46</f>
        <v>0</v>
      </c>
      <c r="E104" s="26">
        <f>+PICADA!$AK$46</f>
        <v>0</v>
      </c>
      <c r="F104" s="26">
        <f>+D104+E104</f>
        <v>0</v>
      </c>
      <c r="G104" s="27">
        <f t="shared" si="28"/>
        <v>0</v>
      </c>
      <c r="H104" s="28">
        <f t="shared" si="29"/>
        <v>0</v>
      </c>
    </row>
    <row r="105" spans="2:8" ht="13.5" thickTop="1" thickBot="1" x14ac:dyDescent="0.3">
      <c r="B105" s="29" t="s">
        <v>5</v>
      </c>
      <c r="C105" s="30">
        <f>SUM(C98:C104)</f>
        <v>18000</v>
      </c>
      <c r="D105" s="30">
        <f>SUM(D98:D104)</f>
        <v>7412</v>
      </c>
      <c r="E105" s="30">
        <f>SUM(E98:E104)</f>
        <v>4146</v>
      </c>
      <c r="F105" s="30">
        <f>SUM(F98:F104)</f>
        <v>11558</v>
      </c>
      <c r="G105" s="31">
        <f t="shared" si="28"/>
        <v>0.4117777777777778</v>
      </c>
      <c r="H105" s="32">
        <f t="shared" si="29"/>
        <v>0.64211111111111108</v>
      </c>
    </row>
    <row r="106" spans="2:8" ht="13" thickBot="1" x14ac:dyDescent="0.3"/>
    <row r="107" spans="2:8" ht="20.5" thickBot="1" x14ac:dyDescent="0.3">
      <c r="B107" s="41" t="s">
        <v>19</v>
      </c>
      <c r="C107" s="42" t="s">
        <v>23</v>
      </c>
      <c r="D107" s="43" t="s">
        <v>3</v>
      </c>
      <c r="E107" s="42" t="s">
        <v>4</v>
      </c>
      <c r="F107" s="43" t="s">
        <v>5</v>
      </c>
      <c r="G107" s="42" t="s">
        <v>6</v>
      </c>
      <c r="H107" s="44" t="s">
        <v>7</v>
      </c>
    </row>
    <row r="108" spans="2:8" x14ac:dyDescent="0.25">
      <c r="B108" s="10" t="s">
        <v>24</v>
      </c>
      <c r="C108" s="11">
        <f>+PAPAS!$AJ$18</f>
        <v>32000</v>
      </c>
      <c r="D108" s="11">
        <f>+PAPAS!$AL$18</f>
        <v>14532</v>
      </c>
      <c r="E108" s="11">
        <f>+PAPAS!$AK$18</f>
        <v>1737.4</v>
      </c>
      <c r="F108" s="11">
        <f>+D108+E108</f>
        <v>16269.4</v>
      </c>
      <c r="G108" s="12">
        <f t="shared" ref="G108:G115" si="31">IFERROR(+D108/C108,0)</f>
        <v>0.454125</v>
      </c>
      <c r="H108" s="13">
        <f t="shared" ref="H108:H115" si="32">IFERROR(+F108/C108,0)</f>
        <v>0.50841875000000003</v>
      </c>
    </row>
    <row r="109" spans="2:8" x14ac:dyDescent="0.25">
      <c r="B109" s="10" t="s">
        <v>25</v>
      </c>
      <c r="C109" s="11">
        <f>+PAPAS!$AJ$22</f>
        <v>8500</v>
      </c>
      <c r="D109" s="11">
        <f>+PAPAS!$AL$22</f>
        <v>4790.7999999999993</v>
      </c>
      <c r="E109" s="11">
        <f>+PAPAS!$AK$22</f>
        <v>1395.8</v>
      </c>
      <c r="F109" s="11">
        <f t="shared" ref="F109:F112" si="33">+D109+E109</f>
        <v>6186.5999999999995</v>
      </c>
      <c r="G109" s="12">
        <f t="shared" si="31"/>
        <v>0.56362352941176463</v>
      </c>
      <c r="H109" s="13">
        <f t="shared" si="32"/>
        <v>0.72783529411764702</v>
      </c>
    </row>
    <row r="110" spans="2:8" x14ac:dyDescent="0.25">
      <c r="B110" s="10" t="s">
        <v>26</v>
      </c>
      <c r="C110" s="11">
        <f>+PAPAS!$AJ$28</f>
        <v>12500</v>
      </c>
      <c r="D110" s="11">
        <f>+PAPAS!$AL$28</f>
        <v>5369</v>
      </c>
      <c r="E110" s="11">
        <f>+PAPAS!$AK$28</f>
        <v>644</v>
      </c>
      <c r="F110" s="11">
        <f t="shared" si="33"/>
        <v>6013</v>
      </c>
      <c r="G110" s="12">
        <f t="shared" si="31"/>
        <v>0.42952000000000001</v>
      </c>
      <c r="H110" s="13">
        <f t="shared" si="32"/>
        <v>0.48104000000000002</v>
      </c>
    </row>
    <row r="111" spans="2:8" x14ac:dyDescent="0.25">
      <c r="B111" s="10" t="s">
        <v>27</v>
      </c>
      <c r="C111" s="11">
        <f>+PAPAS!$AJ$30</f>
        <v>200</v>
      </c>
      <c r="D111" s="11">
        <f>+PAPAS!$AL$30</f>
        <v>196</v>
      </c>
      <c r="E111" s="11">
        <f>+PAPAS!$AK$30</f>
        <v>9.8000000000000007</v>
      </c>
      <c r="F111" s="11">
        <f t="shared" si="33"/>
        <v>205.8</v>
      </c>
      <c r="G111" s="12">
        <f t="shared" si="31"/>
        <v>0.98</v>
      </c>
      <c r="H111" s="13">
        <f t="shared" si="32"/>
        <v>1.0290000000000001</v>
      </c>
    </row>
    <row r="112" spans="2:8" x14ac:dyDescent="0.25">
      <c r="B112" s="10" t="s">
        <v>28</v>
      </c>
      <c r="C112" s="11">
        <f>+PAPAS!$AJ$33</f>
        <v>4800</v>
      </c>
      <c r="D112" s="11">
        <f>+PAPAS!$AL$33</f>
        <v>4004</v>
      </c>
      <c r="E112" s="11">
        <f>+PAPAS!$AK$33</f>
        <v>350</v>
      </c>
      <c r="F112" s="11">
        <f t="shared" si="33"/>
        <v>4354</v>
      </c>
      <c r="G112" s="12">
        <f t="shared" si="31"/>
        <v>0.83416666666666661</v>
      </c>
      <c r="H112" s="13">
        <f t="shared" si="32"/>
        <v>0.90708333333333335</v>
      </c>
    </row>
    <row r="113" spans="2:8" x14ac:dyDescent="0.25">
      <c r="B113" s="16" t="s">
        <v>29</v>
      </c>
      <c r="C113" s="17">
        <f>+PAPAS!$AJ$37</f>
        <v>8000</v>
      </c>
      <c r="D113" s="17">
        <f>+PAPAS!$AL$37</f>
        <v>2832.1999999999994</v>
      </c>
      <c r="E113" s="17">
        <f>+PAPAS!$AK$37</f>
        <v>803.60000000000025</v>
      </c>
      <c r="F113" s="17">
        <f>+D113+E113</f>
        <v>3635.7999999999997</v>
      </c>
      <c r="G113" s="18">
        <f t="shared" si="31"/>
        <v>0.35402499999999992</v>
      </c>
      <c r="H113" s="19">
        <f t="shared" si="32"/>
        <v>0.45447499999999996</v>
      </c>
    </row>
    <row r="114" spans="2:8" ht="13" thickBot="1" x14ac:dyDescent="0.3">
      <c r="B114" s="25" t="s">
        <v>30</v>
      </c>
      <c r="C114" s="26">
        <f>+PAPAS!$AJ$46</f>
        <v>10000</v>
      </c>
      <c r="D114" s="26">
        <f>+PAPAS!$AL$46</f>
        <v>8343.9999999999927</v>
      </c>
      <c r="E114" s="26">
        <f>+PAPAS!$AK$46</f>
        <v>1016.4</v>
      </c>
      <c r="F114" s="26">
        <f>+D114+E114</f>
        <v>9360.3999999999924</v>
      </c>
      <c r="G114" s="27">
        <f t="shared" si="31"/>
        <v>0.83439999999999925</v>
      </c>
      <c r="H114" s="28">
        <f t="shared" si="32"/>
        <v>0.93603999999999921</v>
      </c>
    </row>
    <row r="115" spans="2:8" ht="13.5" thickTop="1" thickBot="1" x14ac:dyDescent="0.3">
      <c r="B115" s="29" t="s">
        <v>5</v>
      </c>
      <c r="C115" s="30">
        <f>SUM(C108:C114)</f>
        <v>76000</v>
      </c>
      <c r="D115" s="30">
        <f>SUM(D108:D114)</f>
        <v>40067.999999999993</v>
      </c>
      <c r="E115" s="30">
        <f>SUM(E108:E114)</f>
        <v>5957</v>
      </c>
      <c r="F115" s="30">
        <f>SUM(F108:F114)</f>
        <v>46025</v>
      </c>
      <c r="G115" s="31">
        <f t="shared" si="31"/>
        <v>0.52721052631578935</v>
      </c>
      <c r="H115" s="32">
        <f t="shared" si="32"/>
        <v>0.60559210526315788</v>
      </c>
    </row>
    <row r="116" spans="2:8" ht="13" thickBot="1" x14ac:dyDescent="0.3"/>
    <row r="117" spans="2:8" ht="20.5" thickBot="1" x14ac:dyDescent="0.3">
      <c r="B117" s="41" t="s">
        <v>20</v>
      </c>
      <c r="C117" s="42" t="s">
        <v>23</v>
      </c>
      <c r="D117" s="43" t="s">
        <v>3</v>
      </c>
      <c r="E117" s="42" t="s">
        <v>4</v>
      </c>
      <c r="F117" s="43" t="s">
        <v>5</v>
      </c>
      <c r="G117" s="42" t="s">
        <v>6</v>
      </c>
      <c r="H117" s="44" t="s">
        <v>7</v>
      </c>
    </row>
    <row r="118" spans="2:8" x14ac:dyDescent="0.25">
      <c r="B118" s="10" t="s">
        <v>24</v>
      </c>
      <c r="C118" s="11">
        <f>+CHORIZOS!$AJ$18</f>
        <v>6000</v>
      </c>
      <c r="D118" s="11">
        <f>+CHORIZOS!$AL$18</f>
        <v>2543.4399999999996</v>
      </c>
      <c r="E118" s="11">
        <f>+CHORIZOS!$AK$18</f>
        <v>392</v>
      </c>
      <c r="F118" s="11">
        <f>+D118+E118</f>
        <v>2935.4399999999996</v>
      </c>
      <c r="G118" s="12">
        <f t="shared" ref="G118:G125" si="34">IFERROR(+D118/C118,0)</f>
        <v>0.4239066666666666</v>
      </c>
      <c r="H118" s="13">
        <f t="shared" ref="H118:H125" si="35">IFERROR(+F118/C118,0)</f>
        <v>0.48923999999999995</v>
      </c>
    </row>
    <row r="119" spans="2:8" x14ac:dyDescent="0.25">
      <c r="B119" s="10" t="s">
        <v>25</v>
      </c>
      <c r="C119" s="11">
        <f>+CHORIZOS!$AJ$22</f>
        <v>700</v>
      </c>
      <c r="D119" s="11">
        <f>+CHORIZOS!$AL$22</f>
        <v>187.2</v>
      </c>
      <c r="E119" s="11">
        <f>+CHORIZOS!$AK$22</f>
        <v>71.999999999999986</v>
      </c>
      <c r="F119" s="11">
        <f t="shared" ref="F119:F122" si="36">+D119+E119</f>
        <v>259.2</v>
      </c>
      <c r="G119" s="12">
        <f t="shared" si="34"/>
        <v>0.2674285714285714</v>
      </c>
      <c r="H119" s="13">
        <f t="shared" si="35"/>
        <v>0.37028571428571427</v>
      </c>
    </row>
    <row r="120" spans="2:8" x14ac:dyDescent="0.25">
      <c r="B120" s="10" t="s">
        <v>26</v>
      </c>
      <c r="C120" s="11">
        <f>+CHORIZOS!$AJ$28</f>
        <v>1040</v>
      </c>
      <c r="D120" s="11">
        <f>+CHORIZOS!$AL$28</f>
        <v>38.4</v>
      </c>
      <c r="E120" s="11">
        <f>+CHORIZOS!$AK$28</f>
        <v>38.4</v>
      </c>
      <c r="F120" s="11">
        <f t="shared" si="36"/>
        <v>76.8</v>
      </c>
      <c r="G120" s="12">
        <f t="shared" si="34"/>
        <v>3.692307692307692E-2</v>
      </c>
      <c r="H120" s="13">
        <f t="shared" si="35"/>
        <v>7.3846153846153839E-2</v>
      </c>
    </row>
    <row r="121" spans="2:8" x14ac:dyDescent="0.25">
      <c r="B121" s="10" t="s">
        <v>27</v>
      </c>
      <c r="C121" s="11">
        <f>+CHORIZOS!$AJ$30</f>
        <v>60</v>
      </c>
      <c r="D121" s="11">
        <f>+CHORIZOS!$AL$30</f>
        <v>0</v>
      </c>
      <c r="E121" s="11">
        <f>+CHORIZOS!$AK$30</f>
        <v>0</v>
      </c>
      <c r="F121" s="11">
        <f t="shared" si="36"/>
        <v>0</v>
      </c>
      <c r="G121" s="12">
        <f t="shared" si="34"/>
        <v>0</v>
      </c>
      <c r="H121" s="13">
        <f t="shared" si="35"/>
        <v>0</v>
      </c>
    </row>
    <row r="122" spans="2:8" x14ac:dyDescent="0.25">
      <c r="B122" s="10" t="s">
        <v>28</v>
      </c>
      <c r="C122" s="11">
        <f>+CHORIZOS!$AJ$33</f>
        <v>500</v>
      </c>
      <c r="D122" s="11">
        <f>+CHORIZOS!$AL$33</f>
        <v>48</v>
      </c>
      <c r="E122" s="11">
        <f>+CHORIZOS!$AK$33</f>
        <v>0</v>
      </c>
      <c r="F122" s="11">
        <f t="shared" si="36"/>
        <v>48</v>
      </c>
      <c r="G122" s="12">
        <f t="shared" si="34"/>
        <v>9.6000000000000002E-2</v>
      </c>
      <c r="H122" s="13">
        <f t="shared" si="35"/>
        <v>9.6000000000000002E-2</v>
      </c>
    </row>
    <row r="123" spans="2:8" x14ac:dyDescent="0.25">
      <c r="B123" s="16" t="s">
        <v>29</v>
      </c>
      <c r="C123" s="17">
        <f>+CHORIZOS!$AJ$37</f>
        <v>500</v>
      </c>
      <c r="D123" s="17">
        <f>+CHORIZOS!$AL$37</f>
        <v>321.60000000000002</v>
      </c>
      <c r="E123" s="17">
        <f>+CHORIZOS!$AK$37</f>
        <v>57.6</v>
      </c>
      <c r="F123" s="17">
        <f>+D123+E123</f>
        <v>379.20000000000005</v>
      </c>
      <c r="G123" s="18">
        <f t="shared" si="34"/>
        <v>0.64319999999999999</v>
      </c>
      <c r="H123" s="19">
        <f t="shared" si="35"/>
        <v>0.75840000000000007</v>
      </c>
    </row>
    <row r="124" spans="2:8" ht="13" thickBot="1" x14ac:dyDescent="0.3">
      <c r="B124" s="25" t="s">
        <v>30</v>
      </c>
      <c r="C124" s="26">
        <f>+CHORIZOS!$AJ$46</f>
        <v>1500</v>
      </c>
      <c r="D124" s="26">
        <f>+CHORIZOS!$AL$46</f>
        <v>446.40000000000003</v>
      </c>
      <c r="E124" s="26">
        <f>+CHORIZOS!$AK$46</f>
        <v>1032</v>
      </c>
      <c r="F124" s="26">
        <f>+D124+E124</f>
        <v>1478.4</v>
      </c>
      <c r="G124" s="27">
        <f t="shared" si="34"/>
        <v>0.29760000000000003</v>
      </c>
      <c r="H124" s="28">
        <f t="shared" si="35"/>
        <v>0.98560000000000003</v>
      </c>
    </row>
    <row r="125" spans="2:8" ht="13.5" thickTop="1" thickBot="1" x14ac:dyDescent="0.3">
      <c r="B125" s="29" t="s">
        <v>5</v>
      </c>
      <c r="C125" s="30">
        <f>SUM(C118:C124)</f>
        <v>10300</v>
      </c>
      <c r="D125" s="30">
        <f>SUM(D118:D124)</f>
        <v>3585.0399999999995</v>
      </c>
      <c r="E125" s="30">
        <f>SUM(E118:E124)</f>
        <v>1592</v>
      </c>
      <c r="F125" s="30">
        <f>SUM(F118:F124)</f>
        <v>5177.0399999999991</v>
      </c>
      <c r="G125" s="31">
        <f t="shared" si="34"/>
        <v>0.34806213592233004</v>
      </c>
      <c r="H125" s="32">
        <f t="shared" si="35"/>
        <v>0.50262524271844655</v>
      </c>
    </row>
    <row r="126" spans="2:8" ht="13" thickBot="1" x14ac:dyDescent="0.3"/>
    <row r="127" spans="2:8" ht="20.5" thickBot="1" x14ac:dyDescent="0.3">
      <c r="B127" s="41" t="s">
        <v>21</v>
      </c>
      <c r="C127" s="42" t="s">
        <v>23</v>
      </c>
      <c r="D127" s="43" t="s">
        <v>3</v>
      </c>
      <c r="E127" s="42" t="s">
        <v>4</v>
      </c>
      <c r="F127" s="43" t="s">
        <v>5</v>
      </c>
      <c r="G127" s="42" t="s">
        <v>6</v>
      </c>
      <c r="H127" s="44" t="s">
        <v>7</v>
      </c>
    </row>
    <row r="128" spans="2:8" x14ac:dyDescent="0.25">
      <c r="B128" s="10" t="s">
        <v>24</v>
      </c>
      <c r="C128" s="11">
        <f>+'CORTES PORC'!$AJ$18</f>
        <v>0</v>
      </c>
      <c r="D128" s="11">
        <f>+'CORTES PORC'!$AL$18</f>
        <v>0</v>
      </c>
      <c r="E128" s="11">
        <f>+'CORTES PORC'!$AK$18</f>
        <v>0</v>
      </c>
      <c r="F128" s="11">
        <f>+D128+E128</f>
        <v>0</v>
      </c>
      <c r="G128" s="12">
        <f t="shared" ref="G128:G135" si="37">IFERROR(+D128/C128,0)</f>
        <v>0</v>
      </c>
      <c r="H128" s="13">
        <f t="shared" ref="H128:H135" si="38">IFERROR(+F128/C128,0)</f>
        <v>0</v>
      </c>
    </row>
    <row r="129" spans="2:8" x14ac:dyDescent="0.25">
      <c r="B129" s="10" t="s">
        <v>25</v>
      </c>
      <c r="C129" s="11">
        <f>+'CORTES PORC'!$AJ$22</f>
        <v>0</v>
      </c>
      <c r="D129" s="11">
        <f>+'CORTES PORC'!$AL$22</f>
        <v>0</v>
      </c>
      <c r="E129" s="11">
        <f>+'CORTES PORC'!$AK$22</f>
        <v>0</v>
      </c>
      <c r="F129" s="11">
        <f t="shared" ref="F129:F132" si="39">+D129+E129</f>
        <v>0</v>
      </c>
      <c r="G129" s="12">
        <f t="shared" si="37"/>
        <v>0</v>
      </c>
      <c r="H129" s="13">
        <f t="shared" si="38"/>
        <v>0</v>
      </c>
    </row>
    <row r="130" spans="2:8" x14ac:dyDescent="0.25">
      <c r="B130" s="10" t="s">
        <v>26</v>
      </c>
      <c r="C130" s="11">
        <f>+'CORTES PORC'!$AJ$28</f>
        <v>0</v>
      </c>
      <c r="D130" s="11">
        <f>+'CORTES PORC'!$AL$28</f>
        <v>0</v>
      </c>
      <c r="E130" s="11">
        <f>+'CORTES PORC'!$AK$28</f>
        <v>0</v>
      </c>
      <c r="F130" s="11">
        <f t="shared" si="39"/>
        <v>0</v>
      </c>
      <c r="G130" s="12">
        <f t="shared" si="37"/>
        <v>0</v>
      </c>
      <c r="H130" s="13">
        <f t="shared" si="38"/>
        <v>0</v>
      </c>
    </row>
    <row r="131" spans="2:8" x14ac:dyDescent="0.25">
      <c r="B131" s="10" t="s">
        <v>27</v>
      </c>
      <c r="C131" s="11">
        <f>+'CORTES PORC'!$AJ$30</f>
        <v>0</v>
      </c>
      <c r="D131" s="11">
        <f>+'CORTES PORC'!$AL$30</f>
        <v>0</v>
      </c>
      <c r="E131" s="11">
        <f>+'CORTES PORC'!$AK$30</f>
        <v>0</v>
      </c>
      <c r="F131" s="11">
        <f t="shared" si="39"/>
        <v>0</v>
      </c>
      <c r="G131" s="12">
        <f t="shared" si="37"/>
        <v>0</v>
      </c>
      <c r="H131" s="13">
        <f t="shared" si="38"/>
        <v>0</v>
      </c>
    </row>
    <row r="132" spans="2:8" x14ac:dyDescent="0.25">
      <c r="B132" s="10" t="s">
        <v>28</v>
      </c>
      <c r="C132" s="11">
        <f>+'CORTES PORC'!$AJ$33</f>
        <v>0</v>
      </c>
      <c r="D132" s="11">
        <f>+'CORTES PORC'!$AL$33</f>
        <v>0</v>
      </c>
      <c r="E132" s="11">
        <f>+'CORTES PORC'!$AK$33</f>
        <v>0</v>
      </c>
      <c r="F132" s="11">
        <f t="shared" si="39"/>
        <v>0</v>
      </c>
      <c r="G132" s="12">
        <f t="shared" si="37"/>
        <v>0</v>
      </c>
      <c r="H132" s="13">
        <f t="shared" si="38"/>
        <v>0</v>
      </c>
    </row>
    <row r="133" spans="2:8" x14ac:dyDescent="0.25">
      <c r="B133" s="16" t="s">
        <v>29</v>
      </c>
      <c r="C133" s="17">
        <f>+'CORTES PORC'!$AJ$37</f>
        <v>0</v>
      </c>
      <c r="D133" s="17">
        <f>+'CORTES PORC'!$AL$37</f>
        <v>0</v>
      </c>
      <c r="E133" s="17">
        <f>+'CORTES PORC'!$AK$37</f>
        <v>0</v>
      </c>
      <c r="F133" s="17">
        <f>+D133+E133</f>
        <v>0</v>
      </c>
      <c r="G133" s="18">
        <f t="shared" si="37"/>
        <v>0</v>
      </c>
      <c r="H133" s="19">
        <f t="shared" si="38"/>
        <v>0</v>
      </c>
    </row>
    <row r="134" spans="2:8" ht="13" thickBot="1" x14ac:dyDescent="0.3">
      <c r="B134" s="25" t="s">
        <v>30</v>
      </c>
      <c r="C134" s="26">
        <f>+'CORTES PORC'!$AJ$46</f>
        <v>0</v>
      </c>
      <c r="D134" s="26">
        <f>+'CORTES PORC'!$AL$46</f>
        <v>0</v>
      </c>
      <c r="E134" s="26">
        <f>+'CORTES PORC'!$AK$46</f>
        <v>0</v>
      </c>
      <c r="F134" s="26">
        <f>+D134+E134</f>
        <v>0</v>
      </c>
      <c r="G134" s="27">
        <f t="shared" si="37"/>
        <v>0</v>
      </c>
      <c r="H134" s="28">
        <f t="shared" si="38"/>
        <v>0</v>
      </c>
    </row>
    <row r="135" spans="2:8" ht="13.5" thickTop="1" thickBot="1" x14ac:dyDescent="0.3">
      <c r="B135" s="29" t="s">
        <v>5</v>
      </c>
      <c r="C135" s="30">
        <f>SUM(C128:C134)</f>
        <v>0</v>
      </c>
      <c r="D135" s="30">
        <f>SUM(D128:D134)</f>
        <v>0</v>
      </c>
      <c r="E135" s="30">
        <f>SUM(E128:E134)</f>
        <v>0</v>
      </c>
      <c r="F135" s="30">
        <f>SUM(F128:F134)</f>
        <v>0</v>
      </c>
      <c r="G135" s="31">
        <f t="shared" si="37"/>
        <v>0</v>
      </c>
      <c r="H135" s="32">
        <f t="shared" si="38"/>
        <v>0</v>
      </c>
    </row>
  </sheetData>
  <conditionalFormatting sqref="G3:H15">
    <cfRule type="cellIs" dxfId="55" priority="37" stopIfTrue="1" operator="lessThan">
      <formula>$H$1</formula>
    </cfRule>
    <cfRule type="cellIs" dxfId="54" priority="38" stopIfTrue="1" operator="greaterThanOrEqual">
      <formula>$H$1</formula>
    </cfRule>
  </conditionalFormatting>
  <conditionalFormatting sqref="G14:H15">
    <cfRule type="cellIs" dxfId="53" priority="55" stopIfTrue="1" operator="lessThan">
      <formula>$H$1</formula>
    </cfRule>
    <cfRule type="cellIs" dxfId="52" priority="56" stopIfTrue="1" operator="greaterThanOrEqual">
      <formula>#REF!+$H$1</formula>
    </cfRule>
  </conditionalFormatting>
  <conditionalFormatting sqref="G17:H24 G28:H35 G38:H45 G48:H55 G68:H75 G78:H85 G88:H95 G98:H105">
    <cfRule type="cellIs" dxfId="51" priority="54" stopIfTrue="1" operator="greaterThanOrEqual">
      <formula>$H$1</formula>
    </cfRule>
  </conditionalFormatting>
  <conditionalFormatting sqref="G23:H23">
    <cfRule type="cellIs" dxfId="50" priority="42" stopIfTrue="1" operator="greaterThanOrEqual">
      <formula>$H$1</formula>
    </cfRule>
  </conditionalFormatting>
  <conditionalFormatting sqref="G23:H24">
    <cfRule type="cellIs" dxfId="49" priority="41" stopIfTrue="1" operator="lessThan">
      <formula>$H$1</formula>
    </cfRule>
  </conditionalFormatting>
  <conditionalFormatting sqref="G24:H24">
    <cfRule type="cellIs" dxfId="48" priority="43" stopIfTrue="1" operator="greaterThanOrEqual">
      <formula>#REF!+$H$1</formula>
    </cfRule>
  </conditionalFormatting>
  <conditionalFormatting sqref="G28:H35 G38:H45 G48:H55 G68:H75 G78:H85 G17:H24 G88:H95 G98:H105">
    <cfRule type="cellIs" dxfId="47" priority="53" stopIfTrue="1" operator="lessThan">
      <formula>$H$1</formula>
    </cfRule>
  </conditionalFormatting>
  <conditionalFormatting sqref="G34:H34">
    <cfRule type="cellIs" dxfId="46" priority="51" stopIfTrue="1" operator="greaterThanOrEqual">
      <formula>$H$1</formula>
    </cfRule>
  </conditionalFormatting>
  <conditionalFormatting sqref="G34:H35">
    <cfRule type="cellIs" dxfId="45" priority="50" stopIfTrue="1" operator="lessThan">
      <formula>$H$1</formula>
    </cfRule>
  </conditionalFormatting>
  <conditionalFormatting sqref="G35:H35">
    <cfRule type="cellIs" dxfId="44" priority="52" stopIfTrue="1" operator="greaterThanOrEqual">
      <formula>#REF!+$H$1</formula>
    </cfRule>
  </conditionalFormatting>
  <conditionalFormatting sqref="G44:H44">
    <cfRule type="cellIs" dxfId="43" priority="48" stopIfTrue="1" operator="greaterThanOrEqual">
      <formula>$H$1</formula>
    </cfRule>
  </conditionalFormatting>
  <conditionalFormatting sqref="G44:H45">
    <cfRule type="cellIs" dxfId="42" priority="47" stopIfTrue="1" operator="lessThan">
      <formula>$H$1</formula>
    </cfRule>
  </conditionalFormatting>
  <conditionalFormatting sqref="G45:H45">
    <cfRule type="cellIs" dxfId="41" priority="49" stopIfTrue="1" operator="greaterThanOrEqual">
      <formula>#REF!+$H$1</formula>
    </cfRule>
  </conditionalFormatting>
  <conditionalFormatting sqref="G54:H54">
    <cfRule type="cellIs" dxfId="40" priority="27" stopIfTrue="1" operator="greaterThanOrEqual">
      <formula>$H$1</formula>
    </cfRule>
  </conditionalFormatting>
  <conditionalFormatting sqref="G54:H55">
    <cfRule type="cellIs" dxfId="39" priority="26" stopIfTrue="1" operator="lessThan">
      <formula>$H$1</formula>
    </cfRule>
  </conditionalFormatting>
  <conditionalFormatting sqref="G55:H55">
    <cfRule type="cellIs" dxfId="38" priority="46" stopIfTrue="1" operator="greaterThanOrEqual">
      <formula>#REF!+$H$1</formula>
    </cfRule>
  </conditionalFormatting>
  <conditionalFormatting sqref="G58:H65">
    <cfRule type="cellIs" dxfId="37" priority="4" stopIfTrue="1" operator="lessThan">
      <formula>$H$1</formula>
    </cfRule>
    <cfRule type="cellIs" dxfId="36" priority="5" stopIfTrue="1" operator="greaterThanOrEqual">
      <formula>$H$1</formula>
    </cfRule>
  </conditionalFormatting>
  <conditionalFormatting sqref="G64:H64">
    <cfRule type="cellIs" dxfId="35" priority="2" stopIfTrue="1" operator="greaterThanOrEqual">
      <formula>$H$1</formula>
    </cfRule>
  </conditionalFormatting>
  <conditionalFormatting sqref="G64:H65">
    <cfRule type="cellIs" dxfId="34" priority="1" stopIfTrue="1" operator="lessThan">
      <formula>$H$1</formula>
    </cfRule>
  </conditionalFormatting>
  <conditionalFormatting sqref="G65:H65">
    <cfRule type="cellIs" dxfId="33" priority="3" stopIfTrue="1" operator="greaterThanOrEqual">
      <formula>#REF!+$H$1</formula>
    </cfRule>
  </conditionalFormatting>
  <conditionalFormatting sqref="G74:H74">
    <cfRule type="cellIs" dxfId="32" priority="25" stopIfTrue="1" operator="greaterThanOrEqual">
      <formula>$H$1</formula>
    </cfRule>
  </conditionalFormatting>
  <conditionalFormatting sqref="G74:H75">
    <cfRule type="cellIs" dxfId="31" priority="24" stopIfTrue="1" operator="lessThan">
      <formula>$H$1</formula>
    </cfRule>
  </conditionalFormatting>
  <conditionalFormatting sqref="G75:H75">
    <cfRule type="cellIs" dxfId="30" priority="45" stopIfTrue="1" operator="greaterThanOrEqual">
      <formula>#REF!+$H$1</formula>
    </cfRule>
  </conditionalFormatting>
  <conditionalFormatting sqref="G84:H84">
    <cfRule type="cellIs" dxfId="29" priority="23" stopIfTrue="1" operator="greaterThanOrEqual">
      <formula>$H$1</formula>
    </cfRule>
  </conditionalFormatting>
  <conditionalFormatting sqref="G84:H85">
    <cfRule type="cellIs" dxfId="28" priority="22" stopIfTrue="1" operator="lessThan">
      <formula>$H$1</formula>
    </cfRule>
  </conditionalFormatting>
  <conditionalFormatting sqref="G85:H85">
    <cfRule type="cellIs" dxfId="27" priority="44" stopIfTrue="1" operator="greaterThanOrEqual">
      <formula>#REF!+$H$1</formula>
    </cfRule>
  </conditionalFormatting>
  <conditionalFormatting sqref="G94:H94">
    <cfRule type="cellIs" dxfId="26" priority="9" stopIfTrue="1" operator="greaterThanOrEqual">
      <formula>$H$1</formula>
    </cfRule>
  </conditionalFormatting>
  <conditionalFormatting sqref="G94:H95">
    <cfRule type="cellIs" dxfId="25" priority="8" stopIfTrue="1" operator="lessThan">
      <formula>$H$1</formula>
    </cfRule>
  </conditionalFormatting>
  <conditionalFormatting sqref="G95:H95">
    <cfRule type="cellIs" dxfId="24" priority="40" stopIfTrue="1" operator="greaterThanOrEqual">
      <formula>#REF!+$H$1</formula>
    </cfRule>
  </conditionalFormatting>
  <conditionalFormatting sqref="G104:H104">
    <cfRule type="cellIs" dxfId="23" priority="7" stopIfTrue="1" operator="greaterThanOrEqual">
      <formula>$H$1</formula>
    </cfRule>
  </conditionalFormatting>
  <conditionalFormatting sqref="G104:H105">
    <cfRule type="cellIs" dxfId="22" priority="6" stopIfTrue="1" operator="lessThan">
      <formula>$H$1</formula>
    </cfRule>
  </conditionalFormatting>
  <conditionalFormatting sqref="G105:H105">
    <cfRule type="cellIs" dxfId="21" priority="39" stopIfTrue="1" operator="greaterThanOrEqual">
      <formula>#REF!+$H$1</formula>
    </cfRule>
  </conditionalFormatting>
  <conditionalFormatting sqref="G108:H114">
    <cfRule type="cellIs" dxfId="20" priority="21" stopIfTrue="1" operator="greaterThanOrEqual">
      <formula>$H$1</formula>
    </cfRule>
  </conditionalFormatting>
  <conditionalFormatting sqref="G108:H115">
    <cfRule type="cellIs" dxfId="19" priority="20" stopIfTrue="1" operator="lessThan">
      <formula>$H$1</formula>
    </cfRule>
  </conditionalFormatting>
  <conditionalFormatting sqref="G114:H114">
    <cfRule type="cellIs" dxfId="18" priority="18" stopIfTrue="1" operator="lessThan">
      <formula>$H$1</formula>
    </cfRule>
    <cfRule type="cellIs" dxfId="17" priority="19" stopIfTrue="1" operator="greaterThanOrEqual">
      <formula>$H$1</formula>
    </cfRule>
  </conditionalFormatting>
  <conditionalFormatting sqref="G115:H115">
    <cfRule type="cellIs" dxfId="16" priority="31" stopIfTrue="1" operator="greaterThanOrEqual">
      <formula>#REF!+$H$1</formula>
    </cfRule>
    <cfRule type="cellIs" dxfId="15" priority="32" stopIfTrue="1" operator="lessThan">
      <formula>$H$1</formula>
    </cfRule>
    <cfRule type="cellIs" dxfId="14" priority="33" stopIfTrue="1" operator="greaterThanOrEqual">
      <formula>$H$1</formula>
    </cfRule>
  </conditionalFormatting>
  <conditionalFormatting sqref="G118:H124">
    <cfRule type="cellIs" dxfId="13" priority="17" stopIfTrue="1" operator="greaterThanOrEqual">
      <formula>$H$1</formula>
    </cfRule>
  </conditionalFormatting>
  <conditionalFormatting sqref="G118:H125">
    <cfRule type="cellIs" dxfId="12" priority="16" stopIfTrue="1" operator="lessThan">
      <formula>$H$1</formula>
    </cfRule>
  </conditionalFormatting>
  <conditionalFormatting sqref="G124:H124">
    <cfRule type="cellIs" dxfId="11" priority="14" stopIfTrue="1" operator="lessThan">
      <formula>$H$1</formula>
    </cfRule>
    <cfRule type="cellIs" dxfId="10" priority="15" stopIfTrue="1" operator="greaterThanOrEqual">
      <formula>$H$1</formula>
    </cfRule>
  </conditionalFormatting>
  <conditionalFormatting sqref="G125:H125">
    <cfRule type="cellIs" dxfId="9" priority="28" stopIfTrue="1" operator="greaterThanOrEqual">
      <formula>#REF!+$H$1</formula>
    </cfRule>
    <cfRule type="cellIs" dxfId="8" priority="29" stopIfTrue="1" operator="lessThan">
      <formula>$H$1</formula>
    </cfRule>
    <cfRule type="cellIs" dxfId="7" priority="30" stopIfTrue="1" operator="greaterThanOrEqual">
      <formula>$H$1</formula>
    </cfRule>
  </conditionalFormatting>
  <conditionalFormatting sqref="G128:H134">
    <cfRule type="cellIs" dxfId="6" priority="13" stopIfTrue="1" operator="greaterThanOrEqual">
      <formula>$H$1</formula>
    </cfRule>
  </conditionalFormatting>
  <conditionalFormatting sqref="G128:H135">
    <cfRule type="cellIs" dxfId="5" priority="12" stopIfTrue="1" operator="lessThan">
      <formula>$H$1</formula>
    </cfRule>
  </conditionalFormatting>
  <conditionalFormatting sqref="G134:H134">
    <cfRule type="cellIs" dxfId="4" priority="10" stopIfTrue="1" operator="lessThan">
      <formula>$H$1</formula>
    </cfRule>
    <cfRule type="cellIs" dxfId="3" priority="11" stopIfTrue="1" operator="greaterThanOrEqual">
      <formula>$H$1</formula>
    </cfRule>
  </conditionalFormatting>
  <conditionalFormatting sqref="G135:H135">
    <cfRule type="cellIs" dxfId="2" priority="34" stopIfTrue="1" operator="greaterThanOrEqual">
      <formula>#REF!+$H$1</formula>
    </cfRule>
    <cfRule type="cellIs" dxfId="1" priority="35" stopIfTrue="1" operator="lessThan">
      <formula>$H$1</formula>
    </cfRule>
    <cfRule type="cellIs" dxfId="0" priority="36" stopIfTrue="1" operator="greaterThanOrEqual">
      <formula>$H$1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4331F-67F6-42E9-BA23-EBF8D5A6BD86}">
  <dimension ref="A1:AV122"/>
  <sheetViews>
    <sheetView showGridLines="0" zoomScale="85" zoomScaleNormal="85" workbookViewId="0">
      <pane xSplit="4" ySplit="2" topLeftCell="AH3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26953125" style="49" customWidth="1"/>
    <col min="44" max="44" width="3.26953125" style="47" customWidth="1"/>
    <col min="45" max="45" width="10.90625" style="47"/>
  </cols>
  <sheetData>
    <row r="1" spans="1:47" ht="13.5" thickBot="1" x14ac:dyDescent="0.35">
      <c r="B1" s="46" t="s">
        <v>31</v>
      </c>
      <c r="C1" s="47" t="s">
        <v>32</v>
      </c>
      <c r="AQ1" s="50"/>
    </row>
    <row r="2" spans="1:47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7" ht="12.75" customHeight="1" x14ac:dyDescent="0.25">
      <c r="B3" s="64" t="s">
        <v>71</v>
      </c>
      <c r="C3" s="65" t="s">
        <v>72</v>
      </c>
      <c r="D3" s="66" t="s">
        <v>73</v>
      </c>
      <c r="E3" s="67">
        <v>0</v>
      </c>
      <c r="F3" s="68">
        <v>0</v>
      </c>
      <c r="G3" s="68">
        <v>0</v>
      </c>
      <c r="H3" s="68">
        <v>0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62.4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>+AK3+AL3</f>
        <v>0</v>
      </c>
      <c r="AO3" s="74">
        <f t="shared" ref="AO3:AO33" si="1">IFERROR(+AN3/AJ3,0)</f>
        <v>0</v>
      </c>
      <c r="AP3" s="50"/>
      <c r="AQ3" s="50"/>
    </row>
    <row r="4" spans="1:47" ht="12.75" customHeight="1" x14ac:dyDescent="0.25">
      <c r="B4" s="75" t="s">
        <v>74</v>
      </c>
      <c r="C4" s="76" t="s">
        <v>72</v>
      </c>
      <c r="D4" s="77" t="s">
        <v>75</v>
      </c>
      <c r="E4" s="78">
        <v>54023.412000000033</v>
      </c>
      <c r="F4" s="79">
        <v>66871.644000000102</v>
      </c>
      <c r="G4" s="79">
        <v>59695.788000000044</v>
      </c>
      <c r="H4" s="79">
        <v>79388.675999999992</v>
      </c>
      <c r="I4" s="78">
        <v>69537.407999999996</v>
      </c>
      <c r="J4" s="79">
        <v>74386.884000000005</v>
      </c>
      <c r="K4" s="79">
        <v>62382.144</v>
      </c>
      <c r="L4" s="79">
        <v>56434.536000000073</v>
      </c>
      <c r="M4" s="79">
        <v>37536.960000000006</v>
      </c>
      <c r="N4" s="79">
        <v>54851.195999999938</v>
      </c>
      <c r="O4" s="79">
        <v>50930.700000000099</v>
      </c>
      <c r="P4" s="79">
        <v>57901.16399999999</v>
      </c>
      <c r="Q4" s="80">
        <v>71669.292000000059</v>
      </c>
      <c r="R4" s="79">
        <v>59149.08</v>
      </c>
      <c r="S4" s="78">
        <v>58956.168000000049</v>
      </c>
      <c r="T4" s="78">
        <v>68284.140000000014</v>
      </c>
      <c r="U4" s="78">
        <v>69382.992000000027</v>
      </c>
      <c r="V4" s="78">
        <v>80921.664000000033</v>
      </c>
      <c r="W4" s="78">
        <v>75468.28800000003</v>
      </c>
      <c r="X4" s="78">
        <v>74942.891999999993</v>
      </c>
      <c r="Y4" s="79">
        <v>76115.784000000058</v>
      </c>
      <c r="Z4" s="78">
        <v>72344.123999999996</v>
      </c>
      <c r="AA4" s="78">
        <v>70194.06000000007</v>
      </c>
      <c r="AB4" s="78">
        <v>67410.288000000131</v>
      </c>
      <c r="AC4" s="78">
        <v>74097.900000000067</v>
      </c>
      <c r="AD4" s="81">
        <v>69158.604000000036</v>
      </c>
      <c r="AE4" s="80">
        <v>65285.208000000071</v>
      </c>
      <c r="AF4" s="80">
        <v>73477.655999999959</v>
      </c>
      <c r="AG4" s="80">
        <v>73908.468000000066</v>
      </c>
      <c r="AH4" s="80">
        <v>83421.936000000074</v>
      </c>
      <c r="AI4" s="80">
        <v>77918.076000000015</v>
      </c>
      <c r="AJ4" s="82">
        <v>77000</v>
      </c>
      <c r="AK4" s="79">
        <v>0</v>
      </c>
      <c r="AL4" s="79">
        <v>66709.44000000009</v>
      </c>
      <c r="AM4" s="83">
        <f t="shared" si="0"/>
        <v>0.86635636363636481</v>
      </c>
      <c r="AN4" s="79">
        <f t="shared" ref="AN4" si="2">+AK4+AL4</f>
        <v>66709.44000000009</v>
      </c>
      <c r="AO4" s="84">
        <f t="shared" si="1"/>
        <v>0.86635636363636481</v>
      </c>
      <c r="AP4" s="50"/>
      <c r="AQ4" s="50"/>
      <c r="AS4"/>
      <c r="AU4" s="85"/>
    </row>
    <row r="5" spans="1:47" ht="12.75" customHeight="1" x14ac:dyDescent="0.25">
      <c r="B5" s="64" t="s">
        <v>74</v>
      </c>
      <c r="C5" s="65" t="s">
        <v>72</v>
      </c>
      <c r="D5" s="66" t="s">
        <v>76</v>
      </c>
      <c r="E5" s="86">
        <v>32344.32</v>
      </c>
      <c r="F5" s="87">
        <v>45905.064000000006</v>
      </c>
      <c r="G5" s="87">
        <v>40231.824000000015</v>
      </c>
      <c r="H5" s="87">
        <v>40556.064000000035</v>
      </c>
      <c r="I5" s="86">
        <v>34710.504000000001</v>
      </c>
      <c r="J5" s="87">
        <v>29321.567999999999</v>
      </c>
      <c r="K5" s="87">
        <v>47604.647999999986</v>
      </c>
      <c r="L5" s="87">
        <v>39854.868000000031</v>
      </c>
      <c r="M5" s="87">
        <v>26329.895999999982</v>
      </c>
      <c r="N5" s="87">
        <v>18569.988000000008</v>
      </c>
      <c r="O5" s="87">
        <v>24726.155999999995</v>
      </c>
      <c r="P5" s="87">
        <v>30948.708000000002</v>
      </c>
      <c r="Q5" s="88">
        <v>36496.872000000018</v>
      </c>
      <c r="R5" s="87">
        <v>29871.251999999993</v>
      </c>
      <c r="S5" s="86">
        <v>30824.315999999988</v>
      </c>
      <c r="T5" s="86">
        <v>39798.491999999991</v>
      </c>
      <c r="U5" s="86">
        <v>46100.520000000019</v>
      </c>
      <c r="V5" s="86">
        <v>53965.716000000051</v>
      </c>
      <c r="W5" s="86">
        <v>61071.276000000034</v>
      </c>
      <c r="X5" s="86">
        <v>59800.59599999999</v>
      </c>
      <c r="Y5" s="87">
        <v>58258.068000000021</v>
      </c>
      <c r="Z5" s="86">
        <v>43380.048000000003</v>
      </c>
      <c r="AA5" s="86">
        <v>59276.760000000031</v>
      </c>
      <c r="AB5" s="86">
        <v>52994.19600000004</v>
      </c>
      <c r="AC5" s="86">
        <v>55251.492000000013</v>
      </c>
      <c r="AD5" s="89">
        <v>64275.036000000007</v>
      </c>
      <c r="AE5" s="88">
        <v>66028.344000000012</v>
      </c>
      <c r="AF5" s="88">
        <v>33776.820000000014</v>
      </c>
      <c r="AG5" s="88">
        <v>51577.176000000007</v>
      </c>
      <c r="AH5" s="88">
        <v>58192.896000000008</v>
      </c>
      <c r="AI5" s="88">
        <v>77962.235999999917</v>
      </c>
      <c r="AJ5" s="90">
        <v>61000</v>
      </c>
      <c r="AK5" s="87">
        <v>0</v>
      </c>
      <c r="AL5" s="87">
        <v>29542.715999999979</v>
      </c>
      <c r="AM5" s="91">
        <f t="shared" si="0"/>
        <v>0.48430681967213079</v>
      </c>
      <c r="AN5" s="87">
        <f>+AK5+AL5</f>
        <v>29542.715999999979</v>
      </c>
      <c r="AO5" s="92">
        <f t="shared" si="1"/>
        <v>0.48430681967213079</v>
      </c>
      <c r="AP5" s="50" t="s">
        <v>77</v>
      </c>
      <c r="AQ5" s="50"/>
      <c r="AS5"/>
      <c r="AU5" s="85"/>
    </row>
    <row r="6" spans="1:47" ht="12.75" customHeight="1" x14ac:dyDescent="0.25">
      <c r="B6" s="75" t="s">
        <v>74</v>
      </c>
      <c r="C6" s="76" t="s">
        <v>72</v>
      </c>
      <c r="D6" s="77" t="s">
        <v>78</v>
      </c>
      <c r="E6" s="78">
        <v>29828.652000000009</v>
      </c>
      <c r="F6" s="79">
        <v>40491.732000000018</v>
      </c>
      <c r="G6" s="79">
        <v>34919.423999999985</v>
      </c>
      <c r="H6" s="79">
        <v>41725.920000000027</v>
      </c>
      <c r="I6" s="78">
        <v>41941.031999999985</v>
      </c>
      <c r="J6" s="79">
        <v>35425.86000000003</v>
      </c>
      <c r="K6" s="79">
        <v>31188.612000000016</v>
      </c>
      <c r="L6" s="79">
        <v>31869.780000000002</v>
      </c>
      <c r="M6" s="79">
        <v>27906.852000000021</v>
      </c>
      <c r="N6" s="79">
        <v>27344.928000000011</v>
      </c>
      <c r="O6" s="79">
        <v>27080.49600000001</v>
      </c>
      <c r="P6" s="79">
        <v>30229.284000000003</v>
      </c>
      <c r="Q6" s="80">
        <v>26633.868000000009</v>
      </c>
      <c r="R6" s="79">
        <v>33241.343999999997</v>
      </c>
      <c r="S6" s="78">
        <v>33425.460000000014</v>
      </c>
      <c r="T6" s="78">
        <v>35130.036000000022</v>
      </c>
      <c r="U6" s="78">
        <v>39285.276000000034</v>
      </c>
      <c r="V6" s="78">
        <v>39051.096000000027</v>
      </c>
      <c r="W6" s="78">
        <v>42752.327999999994</v>
      </c>
      <c r="X6" s="78">
        <v>39900.984000000011</v>
      </c>
      <c r="Y6" s="79">
        <v>41237.484000000026</v>
      </c>
      <c r="Z6" s="78">
        <v>39916.224000000038</v>
      </c>
      <c r="AA6" s="78">
        <v>36131.748000000014</v>
      </c>
      <c r="AB6" s="78">
        <v>28044.420000000002</v>
      </c>
      <c r="AC6" s="78">
        <v>35835.264000000017</v>
      </c>
      <c r="AD6" s="81">
        <v>34264.836000000003</v>
      </c>
      <c r="AE6" s="80">
        <v>25961.244000000006</v>
      </c>
      <c r="AF6" s="80">
        <v>48764.364000000023</v>
      </c>
      <c r="AG6" s="80">
        <v>42530.052000000062</v>
      </c>
      <c r="AH6" s="80">
        <v>51834.756000000016</v>
      </c>
      <c r="AI6" s="80">
        <v>43700.628000000033</v>
      </c>
      <c r="AJ6" s="82">
        <v>45000</v>
      </c>
      <c r="AK6" s="79">
        <v>3154.49</v>
      </c>
      <c r="AL6" s="79">
        <v>30158.304000000004</v>
      </c>
      <c r="AM6" s="83">
        <f t="shared" si="0"/>
        <v>0.67018453333333339</v>
      </c>
      <c r="AN6" s="79">
        <f>+AK6+AL6</f>
        <v>33312.794000000002</v>
      </c>
      <c r="AO6" s="84">
        <f t="shared" si="1"/>
        <v>0.74028431111111115</v>
      </c>
      <c r="AP6" s="50"/>
      <c r="AQ6" s="50"/>
      <c r="AS6"/>
      <c r="AU6" s="85"/>
    </row>
    <row r="7" spans="1:47" ht="12.75" customHeight="1" x14ac:dyDescent="0.25">
      <c r="B7" s="64" t="s">
        <v>79</v>
      </c>
      <c r="C7" s="65" t="s">
        <v>72</v>
      </c>
      <c r="D7" s="66" t="s">
        <v>80</v>
      </c>
      <c r="E7" s="86">
        <v>84565.680000000037</v>
      </c>
      <c r="F7" s="87">
        <v>85809.467999999979</v>
      </c>
      <c r="G7" s="87">
        <v>84546.947999999975</v>
      </c>
      <c r="H7" s="87">
        <v>89775.792000000161</v>
      </c>
      <c r="I7" s="86">
        <v>83980.175999999949</v>
      </c>
      <c r="J7" s="87">
        <v>81280.451999999932</v>
      </c>
      <c r="K7" s="87">
        <v>95285.0640000001</v>
      </c>
      <c r="L7" s="87">
        <v>84829.799999999828</v>
      </c>
      <c r="M7" s="87">
        <v>78425.364000000118</v>
      </c>
      <c r="N7" s="87">
        <v>80592.576000000074</v>
      </c>
      <c r="O7" s="87">
        <v>93610.907999999807</v>
      </c>
      <c r="P7" s="87">
        <v>41961.300000000054</v>
      </c>
      <c r="Q7" s="88">
        <v>45991.224000000031</v>
      </c>
      <c r="R7" s="87">
        <v>48329.304000000047</v>
      </c>
      <c r="S7" s="86">
        <v>44047.23600000015</v>
      </c>
      <c r="T7" s="86">
        <v>61483.74000000026</v>
      </c>
      <c r="U7" s="86">
        <v>63143.544000000169</v>
      </c>
      <c r="V7" s="86">
        <v>59391.960000000043</v>
      </c>
      <c r="W7" s="86">
        <v>40713.851999999984</v>
      </c>
      <c r="X7" s="86">
        <v>78437.172000000108</v>
      </c>
      <c r="Y7" s="87">
        <v>45768.648000000125</v>
      </c>
      <c r="Z7" s="86">
        <v>69783.096000000121</v>
      </c>
      <c r="AA7" s="86">
        <v>70747.943999999989</v>
      </c>
      <c r="AB7" s="86">
        <v>60234.168000000085</v>
      </c>
      <c r="AC7" s="86">
        <v>81973.068000000014</v>
      </c>
      <c r="AD7" s="89">
        <v>59574.132000000012</v>
      </c>
      <c r="AE7" s="88">
        <v>77077.200000000114</v>
      </c>
      <c r="AF7" s="88">
        <v>66892.272000000085</v>
      </c>
      <c r="AG7" s="88">
        <v>58670.688000000118</v>
      </c>
      <c r="AH7" s="88">
        <v>67720.751999999964</v>
      </c>
      <c r="AI7" s="88">
        <v>70521.600000000035</v>
      </c>
      <c r="AJ7" s="90">
        <v>69000</v>
      </c>
      <c r="AK7" s="87">
        <v>7721.35</v>
      </c>
      <c r="AL7" s="87">
        <v>59241.588000000134</v>
      </c>
      <c r="AM7" s="91">
        <f t="shared" si="0"/>
        <v>0.85857373913043677</v>
      </c>
      <c r="AN7" s="87">
        <f>+AK7+AL7</f>
        <v>66962.93800000014</v>
      </c>
      <c r="AO7" s="92">
        <f t="shared" si="1"/>
        <v>0.97047736231884263</v>
      </c>
      <c r="AP7" s="50"/>
      <c r="AQ7" s="50"/>
      <c r="AS7"/>
      <c r="AU7" s="85"/>
    </row>
    <row r="8" spans="1:47" ht="12.75" customHeight="1" x14ac:dyDescent="0.25"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57648.372000000018</v>
      </c>
      <c r="Q8" s="80">
        <v>68377.487999999983</v>
      </c>
      <c r="R8" s="79">
        <v>51019.619999999959</v>
      </c>
      <c r="S8" s="78">
        <v>48673.644</v>
      </c>
      <c r="T8" s="78">
        <v>81418.644000000058</v>
      </c>
      <c r="U8" s="78">
        <v>60838.824000000022</v>
      </c>
      <c r="V8" s="78">
        <v>72671.820000000022</v>
      </c>
      <c r="W8" s="78">
        <v>66298.452000000019</v>
      </c>
      <c r="X8" s="78">
        <v>91393.343999999983</v>
      </c>
      <c r="Y8" s="79">
        <v>80848.032000000007</v>
      </c>
      <c r="Z8" s="78">
        <v>89346.888000000006</v>
      </c>
      <c r="AA8" s="78">
        <v>90920.628000000026</v>
      </c>
      <c r="AB8" s="78">
        <v>96227.015999999901</v>
      </c>
      <c r="AC8" s="78">
        <v>90119.700000000026</v>
      </c>
      <c r="AD8" s="81">
        <v>92124.659999999974</v>
      </c>
      <c r="AE8" s="80">
        <v>87152.064000000013</v>
      </c>
      <c r="AF8" s="80">
        <v>84984.45600000002</v>
      </c>
      <c r="AG8" s="80">
        <v>84675.660000000076</v>
      </c>
      <c r="AH8" s="80">
        <v>89001.191999999995</v>
      </c>
      <c r="AI8" s="80">
        <v>89098.260000000213</v>
      </c>
      <c r="AJ8" s="82">
        <v>88000</v>
      </c>
      <c r="AK8" s="79">
        <v>4929.26</v>
      </c>
      <c r="AL8" s="79">
        <v>76841.987999999983</v>
      </c>
      <c r="AM8" s="83">
        <f t="shared" si="0"/>
        <v>0.87320440909090891</v>
      </c>
      <c r="AN8" s="79">
        <f t="shared" ref="AN8" si="3">+AK8+AL8</f>
        <v>81771.247999999978</v>
      </c>
      <c r="AO8" s="84">
        <f t="shared" si="1"/>
        <v>0.92921872727272703</v>
      </c>
      <c r="AP8" s="50"/>
      <c r="AQ8" s="50"/>
      <c r="AS8"/>
      <c r="AU8" s="85"/>
    </row>
    <row r="9" spans="1:47" ht="12.75" customHeight="1" x14ac:dyDescent="0.25">
      <c r="B9" s="64" t="s">
        <v>82</v>
      </c>
      <c r="C9" s="65" t="s">
        <v>72</v>
      </c>
      <c r="D9" s="66" t="s">
        <v>83</v>
      </c>
      <c r="E9" s="86">
        <v>26413.512000000006</v>
      </c>
      <c r="F9" s="87">
        <v>29079.360000000004</v>
      </c>
      <c r="G9" s="87">
        <v>21742.355999999996</v>
      </c>
      <c r="H9" s="87">
        <v>24827.603999999999</v>
      </c>
      <c r="I9" s="86">
        <v>27509.80799999999</v>
      </c>
      <c r="J9" s="87">
        <v>29238.02399999999</v>
      </c>
      <c r="K9" s="87">
        <v>33117.012000000002</v>
      </c>
      <c r="L9" s="87">
        <v>22371.444000000007</v>
      </c>
      <c r="M9" s="87">
        <v>20208.504000000012</v>
      </c>
      <c r="N9" s="87">
        <v>28795.115999999998</v>
      </c>
      <c r="O9" s="87">
        <v>26166.300000000003</v>
      </c>
      <c r="P9" s="87">
        <v>28760.72400000002</v>
      </c>
      <c r="Q9" s="88">
        <v>28327.895999999993</v>
      </c>
      <c r="R9" s="87">
        <v>31781.244000000002</v>
      </c>
      <c r="S9" s="86">
        <v>26621.291999999994</v>
      </c>
      <c r="T9" s="86">
        <v>35469.864000000031</v>
      </c>
      <c r="U9" s="86">
        <v>33930.000000000029</v>
      </c>
      <c r="V9" s="86">
        <v>39924.887999999999</v>
      </c>
      <c r="W9" s="86">
        <v>38704.84800000002</v>
      </c>
      <c r="X9" s="86">
        <v>36667.824000000015</v>
      </c>
      <c r="Y9" s="87">
        <v>43266.924000000006</v>
      </c>
      <c r="Z9" s="86">
        <v>34425.216000000008</v>
      </c>
      <c r="AA9" s="86">
        <v>31661.556000000011</v>
      </c>
      <c r="AB9" s="86">
        <v>35649.875999999989</v>
      </c>
      <c r="AC9" s="86">
        <v>43037.868000000009</v>
      </c>
      <c r="AD9" s="89">
        <v>43887.97199999998</v>
      </c>
      <c r="AE9" s="88">
        <v>39990.635999999984</v>
      </c>
      <c r="AF9" s="88">
        <v>39370.872000000025</v>
      </c>
      <c r="AG9" s="88">
        <v>41871.924000000014</v>
      </c>
      <c r="AH9" s="88">
        <v>45102</v>
      </c>
      <c r="AI9" s="88">
        <v>46599.695999999996</v>
      </c>
      <c r="AJ9" s="90">
        <v>45500</v>
      </c>
      <c r="AK9" s="87">
        <v>148.51</v>
      </c>
      <c r="AL9" s="87">
        <v>36164.423999999992</v>
      </c>
      <c r="AM9" s="91">
        <f t="shared" si="0"/>
        <v>0.79482250549450528</v>
      </c>
      <c r="AN9" s="87">
        <f>+AK9+AL9</f>
        <v>36312.933999999994</v>
      </c>
      <c r="AO9" s="92">
        <f t="shared" si="1"/>
        <v>0.79808646153846141</v>
      </c>
      <c r="AP9" s="50"/>
      <c r="AQ9" s="50"/>
      <c r="AS9"/>
      <c r="AU9" s="85"/>
    </row>
    <row r="10" spans="1:47" ht="12.75" customHeight="1" x14ac:dyDescent="0.25">
      <c r="B10" s="75" t="s">
        <v>82</v>
      </c>
      <c r="C10" s="76" t="s">
        <v>72</v>
      </c>
      <c r="D10" s="77" t="s">
        <v>84</v>
      </c>
      <c r="E10" s="78">
        <v>26059.019999999997</v>
      </c>
      <c r="F10" s="79">
        <v>24381.923999999999</v>
      </c>
      <c r="G10" s="79">
        <v>26818.127999999979</v>
      </c>
      <c r="H10" s="79">
        <v>22993.835999999999</v>
      </c>
      <c r="I10" s="78">
        <v>29871.863999999987</v>
      </c>
      <c r="J10" s="79">
        <v>32663.628000000001</v>
      </c>
      <c r="K10" s="79">
        <v>29563.187999999976</v>
      </c>
      <c r="L10" s="79">
        <v>22781.472000000002</v>
      </c>
      <c r="M10" s="79">
        <v>17335.680000000008</v>
      </c>
      <c r="N10" s="79">
        <v>23189.832000000009</v>
      </c>
      <c r="O10" s="79">
        <v>23627.051999999985</v>
      </c>
      <c r="P10" s="79">
        <v>23566.92</v>
      </c>
      <c r="Q10" s="80">
        <v>25677.432000000008</v>
      </c>
      <c r="R10" s="79">
        <v>25310.064000000009</v>
      </c>
      <c r="S10" s="78">
        <v>27807.455999999991</v>
      </c>
      <c r="T10" s="78">
        <v>27517.16399999999</v>
      </c>
      <c r="U10" s="78">
        <v>33962.831999999995</v>
      </c>
      <c r="V10" s="78">
        <v>26590.763999999988</v>
      </c>
      <c r="W10" s="78">
        <v>33914.100000000006</v>
      </c>
      <c r="X10" s="78">
        <v>31566.336000000003</v>
      </c>
      <c r="Y10" s="79">
        <v>38964.432000000001</v>
      </c>
      <c r="Z10" s="78">
        <v>34453.020000000011</v>
      </c>
      <c r="AA10" s="78">
        <v>29991.695999999993</v>
      </c>
      <c r="AB10" s="78">
        <v>33008.927999999993</v>
      </c>
      <c r="AC10" s="78">
        <v>35097.911999999997</v>
      </c>
      <c r="AD10" s="81">
        <v>34078.644000000008</v>
      </c>
      <c r="AE10" s="80">
        <v>34104.876000000004</v>
      </c>
      <c r="AF10" s="80">
        <v>25508.423999999992</v>
      </c>
      <c r="AG10" s="80">
        <v>27845.555999999982</v>
      </c>
      <c r="AH10" s="80">
        <v>25577.507999999991</v>
      </c>
      <c r="AI10" s="80">
        <v>35409.887999999984</v>
      </c>
      <c r="AJ10" s="82">
        <v>34500</v>
      </c>
      <c r="AK10" s="79">
        <v>390.13</v>
      </c>
      <c r="AL10" s="79">
        <v>22738.704000000002</v>
      </c>
      <c r="AM10" s="83">
        <f t="shared" si="0"/>
        <v>0.6590928695652174</v>
      </c>
      <c r="AN10" s="79">
        <f>+AK10+AL10</f>
        <v>23128.834000000003</v>
      </c>
      <c r="AO10" s="84">
        <f t="shared" si="1"/>
        <v>0.67040098550724647</v>
      </c>
      <c r="AP10" s="50"/>
      <c r="AQ10" s="50"/>
      <c r="AS10"/>
      <c r="AU10" s="85"/>
    </row>
    <row r="11" spans="1:47" ht="12.75" customHeight="1" x14ac:dyDescent="0.25">
      <c r="B11" s="64" t="s">
        <v>85</v>
      </c>
      <c r="C11" s="65" t="s">
        <v>86</v>
      </c>
      <c r="D11" s="66" t="s">
        <v>87</v>
      </c>
      <c r="E11" s="86">
        <v>19622.880000000012</v>
      </c>
      <c r="F11" s="87">
        <v>20468.952000000005</v>
      </c>
      <c r="G11" s="87">
        <v>16898.700000000004</v>
      </c>
      <c r="H11" s="87">
        <v>19258.044000000005</v>
      </c>
      <c r="I11" s="86">
        <v>20219.267999999993</v>
      </c>
      <c r="J11" s="87">
        <v>21562.980000000014</v>
      </c>
      <c r="K11" s="87">
        <v>19187.988000000012</v>
      </c>
      <c r="L11" s="87">
        <v>20701.716</v>
      </c>
      <c r="M11" s="87">
        <v>15292.680000000013</v>
      </c>
      <c r="N11" s="87">
        <v>13887.264000000016</v>
      </c>
      <c r="O11" s="87">
        <v>14345.832000000004</v>
      </c>
      <c r="P11" s="87">
        <v>16029.88800000001</v>
      </c>
      <c r="Q11" s="88">
        <v>18950.483999999997</v>
      </c>
      <c r="R11" s="87">
        <v>19757.616000000013</v>
      </c>
      <c r="S11" s="86">
        <v>21269.123999999985</v>
      </c>
      <c r="T11" s="86">
        <v>21891.384000000013</v>
      </c>
      <c r="U11" s="86">
        <v>28209.624000000018</v>
      </c>
      <c r="V11" s="86">
        <v>28961.772000000008</v>
      </c>
      <c r="W11" s="86">
        <v>27771.360000000019</v>
      </c>
      <c r="X11" s="86">
        <v>26485.284000000007</v>
      </c>
      <c r="Y11" s="87">
        <v>25513.344000000023</v>
      </c>
      <c r="Z11" s="86">
        <v>27463.427999999982</v>
      </c>
      <c r="AA11" s="86">
        <v>30246.25200000003</v>
      </c>
      <c r="AB11" s="86">
        <v>30219.432000000008</v>
      </c>
      <c r="AC11" s="86">
        <v>31862.85600000004</v>
      </c>
      <c r="AD11" s="89">
        <v>30680.340000000026</v>
      </c>
      <c r="AE11" s="88">
        <v>29009.640000000018</v>
      </c>
      <c r="AF11" s="88">
        <v>33060.443999999996</v>
      </c>
      <c r="AG11" s="88">
        <v>38319.683999999994</v>
      </c>
      <c r="AH11" s="88">
        <v>38171.844000000005</v>
      </c>
      <c r="AI11" s="88">
        <v>35634.672000000028</v>
      </c>
      <c r="AJ11" s="90">
        <v>32500</v>
      </c>
      <c r="AK11" s="87">
        <v>2116.9699999999998</v>
      </c>
      <c r="AL11" s="87">
        <v>20664.432000000008</v>
      </c>
      <c r="AM11" s="91">
        <f t="shared" si="0"/>
        <v>0.63582867692307721</v>
      </c>
      <c r="AN11" s="87">
        <f t="shared" ref="AN11:AN15" si="4">+AK11+AL11</f>
        <v>22781.402000000009</v>
      </c>
      <c r="AO11" s="92">
        <f t="shared" si="1"/>
        <v>0.70096621538461568</v>
      </c>
      <c r="AP11" s="50"/>
      <c r="AQ11" s="50"/>
      <c r="AS11"/>
      <c r="AU11" s="85"/>
    </row>
    <row r="12" spans="1:47" ht="12.75" customHeight="1" x14ac:dyDescent="0.25">
      <c r="B12" s="75" t="s">
        <v>85</v>
      </c>
      <c r="C12" s="76" t="s">
        <v>86</v>
      </c>
      <c r="D12" s="77" t="s">
        <v>88</v>
      </c>
      <c r="E12" s="78">
        <v>31655.160000000003</v>
      </c>
      <c r="F12" s="79">
        <v>28563.432000000012</v>
      </c>
      <c r="G12" s="79">
        <v>28647.300000000003</v>
      </c>
      <c r="H12" s="79">
        <v>22871.604000000003</v>
      </c>
      <c r="I12" s="78">
        <v>28876.044000000005</v>
      </c>
      <c r="J12" s="79">
        <v>31561.824000000001</v>
      </c>
      <c r="K12" s="79">
        <v>23623.740000000009</v>
      </c>
      <c r="L12" s="79">
        <v>29498.568000000014</v>
      </c>
      <c r="M12" s="79">
        <v>22222.415999999997</v>
      </c>
      <c r="N12" s="79">
        <v>18013.272000000004</v>
      </c>
      <c r="O12" s="79">
        <v>14102.616</v>
      </c>
      <c r="P12" s="79">
        <v>16101.360000000006</v>
      </c>
      <c r="Q12" s="80">
        <v>18314.820000000003</v>
      </c>
      <c r="R12" s="79">
        <v>16637.076000000012</v>
      </c>
      <c r="S12" s="78">
        <v>18568.536000000004</v>
      </c>
      <c r="T12" s="78">
        <v>21631.104000000007</v>
      </c>
      <c r="U12" s="78">
        <v>19852.163999999997</v>
      </c>
      <c r="V12" s="78">
        <v>21227.136000000024</v>
      </c>
      <c r="W12" s="78">
        <v>26773.068000000017</v>
      </c>
      <c r="X12" s="78">
        <v>28614.515999999996</v>
      </c>
      <c r="Y12" s="79">
        <v>24336.060000000012</v>
      </c>
      <c r="Z12" s="78">
        <v>28258.091999999993</v>
      </c>
      <c r="AA12" s="78">
        <v>28343.615999999995</v>
      </c>
      <c r="AB12" s="78">
        <v>28488.000000000004</v>
      </c>
      <c r="AC12" s="78">
        <v>29349.168000000009</v>
      </c>
      <c r="AD12" s="81">
        <v>29035.488000000001</v>
      </c>
      <c r="AE12" s="80">
        <v>28639.920000000027</v>
      </c>
      <c r="AF12" s="80">
        <v>26564.675999999996</v>
      </c>
      <c r="AG12" s="80">
        <v>26192.952000000023</v>
      </c>
      <c r="AH12" s="80">
        <v>30267.780000000039</v>
      </c>
      <c r="AI12" s="80">
        <v>33070.488000000012</v>
      </c>
      <c r="AJ12" s="82">
        <v>29500</v>
      </c>
      <c r="AK12" s="79">
        <v>4283.5800000000008</v>
      </c>
      <c r="AL12" s="79">
        <v>26172.588000000007</v>
      </c>
      <c r="AM12" s="83">
        <f t="shared" si="0"/>
        <v>0.88720637288135618</v>
      </c>
      <c r="AN12" s="79">
        <f t="shared" si="4"/>
        <v>30456.168000000009</v>
      </c>
      <c r="AO12" s="84">
        <f t="shared" si="1"/>
        <v>1.0324124745762715</v>
      </c>
      <c r="AP12" s="50"/>
      <c r="AQ12" s="50"/>
      <c r="AS12"/>
      <c r="AU12" s="85"/>
    </row>
    <row r="13" spans="1:47" ht="12.75" customHeight="1" x14ac:dyDescent="0.25">
      <c r="B13" s="64" t="s">
        <v>89</v>
      </c>
      <c r="C13" s="65" t="s">
        <v>86</v>
      </c>
      <c r="D13" s="66" t="s">
        <v>90</v>
      </c>
      <c r="E13" s="86">
        <v>6177.0840000000017</v>
      </c>
      <c r="F13" s="87">
        <v>3040.4879999999994</v>
      </c>
      <c r="G13" s="87"/>
      <c r="H13" s="87"/>
      <c r="I13" s="86"/>
      <c r="J13" s="87"/>
      <c r="K13" s="87">
        <v>17424.08400000001</v>
      </c>
      <c r="L13" s="87">
        <v>15885.348000000005</v>
      </c>
      <c r="M13" s="87">
        <v>14900.928000000016</v>
      </c>
      <c r="N13" s="87">
        <v>14429.663999999997</v>
      </c>
      <c r="O13" s="87">
        <v>17983.836000000003</v>
      </c>
      <c r="P13" s="87">
        <v>14730.78000000001</v>
      </c>
      <c r="Q13" s="88">
        <v>18029.123999999989</v>
      </c>
      <c r="R13" s="87">
        <v>16854.900000000001</v>
      </c>
      <c r="S13" s="86">
        <v>18539.808000000012</v>
      </c>
      <c r="T13" s="86">
        <v>21747.336000000007</v>
      </c>
      <c r="U13" s="86">
        <v>24091.943999999996</v>
      </c>
      <c r="V13" s="86">
        <v>27284.772000000015</v>
      </c>
      <c r="W13" s="86">
        <v>38046.756000000008</v>
      </c>
      <c r="X13" s="86">
        <v>30801.516000000011</v>
      </c>
      <c r="Y13" s="87">
        <v>23472.50399999999</v>
      </c>
      <c r="Z13" s="86">
        <v>31131.024000000001</v>
      </c>
      <c r="AA13" s="86">
        <v>31200.396000000022</v>
      </c>
      <c r="AB13" s="86">
        <v>27626.364000000012</v>
      </c>
      <c r="AC13" s="86">
        <v>30766.716000000011</v>
      </c>
      <c r="AD13" s="89">
        <v>29420.38800000001</v>
      </c>
      <c r="AE13" s="88">
        <v>27535.224000000006</v>
      </c>
      <c r="AF13" s="88">
        <v>33759.071999999986</v>
      </c>
      <c r="AG13" s="88">
        <v>34800.132000000027</v>
      </c>
      <c r="AH13" s="88">
        <v>37243.212000000029</v>
      </c>
      <c r="AI13" s="88">
        <v>43001.340000000004</v>
      </c>
      <c r="AJ13" s="90">
        <v>34000</v>
      </c>
      <c r="AK13" s="87">
        <v>807.34</v>
      </c>
      <c r="AL13" s="87">
        <v>28084.548000000003</v>
      </c>
      <c r="AM13" s="91">
        <f t="shared" si="0"/>
        <v>0.82601611764705885</v>
      </c>
      <c r="AN13" s="87">
        <f t="shared" si="4"/>
        <v>28891.888000000003</v>
      </c>
      <c r="AO13" s="92">
        <f t="shared" si="1"/>
        <v>0.84976141176470599</v>
      </c>
      <c r="AP13" s="50"/>
      <c r="AQ13" s="50"/>
      <c r="AS13"/>
      <c r="AU13" s="85"/>
    </row>
    <row r="14" spans="1:47" ht="12.75" hidden="1" customHeight="1" x14ac:dyDescent="0.25">
      <c r="B14" s="75" t="s">
        <v>89</v>
      </c>
      <c r="C14" s="76" t="s">
        <v>86</v>
      </c>
      <c r="D14" s="77" t="s">
        <v>91</v>
      </c>
      <c r="E14" s="78">
        <v>16428.876000000007</v>
      </c>
      <c r="F14" s="79">
        <v>18913.044000000009</v>
      </c>
      <c r="G14" s="79">
        <v>18901.080000000009</v>
      </c>
      <c r="H14" s="79">
        <v>21754.908000000032</v>
      </c>
      <c r="I14" s="78">
        <v>22757.244000000021</v>
      </c>
      <c r="J14" s="79">
        <v>21504.456000000017</v>
      </c>
      <c r="K14" s="79">
        <v>16503.323999999997</v>
      </c>
      <c r="L14" s="79">
        <v>13441.188000000016</v>
      </c>
      <c r="M14" s="79">
        <v>7701.3000000000038</v>
      </c>
      <c r="N14" s="79">
        <v>8954.880000000001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4"/>
        <v>0</v>
      </c>
      <c r="AO14" s="84">
        <f t="shared" si="1"/>
        <v>0</v>
      </c>
      <c r="AP14" s="50"/>
      <c r="AQ14" s="50"/>
      <c r="AS14"/>
      <c r="AU14" s="85"/>
    </row>
    <row r="15" spans="1:47" ht="12.75" customHeight="1" x14ac:dyDescent="0.25">
      <c r="B15" s="75" t="s">
        <v>89</v>
      </c>
      <c r="C15" s="76" t="s">
        <v>86</v>
      </c>
      <c r="D15" s="77" t="s">
        <v>93</v>
      </c>
      <c r="E15" s="78">
        <v>21415.896000000019</v>
      </c>
      <c r="F15" s="79">
        <v>27814.499999999996</v>
      </c>
      <c r="G15" s="79">
        <v>21434.531999999996</v>
      </c>
      <c r="H15" s="79">
        <v>27302.676000000007</v>
      </c>
      <c r="I15" s="78">
        <v>32519.07599999999</v>
      </c>
      <c r="J15" s="79">
        <v>19189.296000000009</v>
      </c>
      <c r="K15" s="79">
        <v>21019.524000000009</v>
      </c>
      <c r="L15" s="79">
        <v>16016.256000000012</v>
      </c>
      <c r="M15" s="79">
        <v>17611.440000000002</v>
      </c>
      <c r="N15" s="79">
        <v>11539.931999999997</v>
      </c>
      <c r="O15" s="79">
        <v>16663.152000000009</v>
      </c>
      <c r="P15" s="79">
        <v>21320.616000000005</v>
      </c>
      <c r="Q15" s="80">
        <v>19834.740000000016</v>
      </c>
      <c r="R15" s="79">
        <v>19699.403999999995</v>
      </c>
      <c r="S15" s="78">
        <v>21783.731999999985</v>
      </c>
      <c r="T15" s="78">
        <v>30427.236000000001</v>
      </c>
      <c r="U15" s="78">
        <v>25294.788000000004</v>
      </c>
      <c r="V15" s="78">
        <v>29663.459999999988</v>
      </c>
      <c r="W15" s="78">
        <v>26398.404000000017</v>
      </c>
      <c r="X15" s="78">
        <v>30273.396000000008</v>
      </c>
      <c r="Y15" s="79">
        <v>26406.864000000009</v>
      </c>
      <c r="Z15" s="78">
        <v>28239.659999999996</v>
      </c>
      <c r="AA15" s="78">
        <v>30347.712000000007</v>
      </c>
      <c r="AB15" s="78">
        <v>28031.748000000018</v>
      </c>
      <c r="AC15" s="78">
        <v>32834.315999999992</v>
      </c>
      <c r="AD15" s="81">
        <v>28567.704000000012</v>
      </c>
      <c r="AE15" s="80">
        <v>33573.108000000007</v>
      </c>
      <c r="AF15" s="80">
        <v>23342.339999999997</v>
      </c>
      <c r="AG15" s="80">
        <v>27226.008000000013</v>
      </c>
      <c r="AH15" s="80">
        <v>37710.108000000015</v>
      </c>
      <c r="AI15" s="80">
        <v>35367.396000000037</v>
      </c>
      <c r="AJ15" s="82">
        <v>33000</v>
      </c>
      <c r="AK15" s="79">
        <v>1565.5099999999998</v>
      </c>
      <c r="AL15" s="79">
        <v>20986.008000000009</v>
      </c>
      <c r="AM15" s="83">
        <f t="shared" si="0"/>
        <v>0.6359396363636366</v>
      </c>
      <c r="AN15" s="79">
        <f t="shared" si="4"/>
        <v>22551.518000000007</v>
      </c>
      <c r="AO15" s="84">
        <f t="shared" si="1"/>
        <v>0.68337933333333356</v>
      </c>
      <c r="AP15" s="50"/>
      <c r="AQ15" s="50"/>
      <c r="AS15"/>
      <c r="AU15" s="85"/>
    </row>
    <row r="16" spans="1:47" ht="12.75" customHeight="1" x14ac:dyDescent="0.25">
      <c r="B16" s="64" t="s">
        <v>94</v>
      </c>
      <c r="C16" s="65" t="s">
        <v>86</v>
      </c>
      <c r="D16" s="66" t="s">
        <v>95</v>
      </c>
      <c r="E16" s="86">
        <v>34303.896000000015</v>
      </c>
      <c r="F16" s="87">
        <v>36177.563999999998</v>
      </c>
      <c r="G16" s="87">
        <v>31297.76400000001</v>
      </c>
      <c r="H16" s="87">
        <v>30369.551999999992</v>
      </c>
      <c r="I16" s="86">
        <v>27988.356000000011</v>
      </c>
      <c r="J16" s="87">
        <v>29764.404000000006</v>
      </c>
      <c r="K16" s="87">
        <v>34140.972000000031</v>
      </c>
      <c r="L16" s="87">
        <v>30358.956000000006</v>
      </c>
      <c r="M16" s="87">
        <v>27330.444000000014</v>
      </c>
      <c r="N16" s="87">
        <v>20178.167999999994</v>
      </c>
      <c r="O16" s="87">
        <v>23466.420000000006</v>
      </c>
      <c r="P16" s="87">
        <v>24507.900000000009</v>
      </c>
      <c r="Q16" s="88">
        <v>27907.524000000005</v>
      </c>
      <c r="R16" s="87">
        <v>26742.612000000008</v>
      </c>
      <c r="S16" s="86">
        <v>28593.827999999994</v>
      </c>
      <c r="T16" s="86">
        <v>31728.767999999996</v>
      </c>
      <c r="U16" s="86">
        <v>35308.043999999994</v>
      </c>
      <c r="V16" s="86">
        <v>42318.780000000021</v>
      </c>
      <c r="W16" s="86">
        <v>42158.939999999988</v>
      </c>
      <c r="X16" s="86">
        <v>36387.912000000018</v>
      </c>
      <c r="Y16" s="87">
        <v>48951.276000000442</v>
      </c>
      <c r="Z16" s="86">
        <v>52579.308000000339</v>
      </c>
      <c r="AA16" s="86">
        <v>53343.144000000793</v>
      </c>
      <c r="AB16" s="86">
        <v>43186.668000000158</v>
      </c>
      <c r="AC16" s="86">
        <v>52897.236000000354</v>
      </c>
      <c r="AD16" s="89">
        <v>40676.160000000062</v>
      </c>
      <c r="AE16" s="88">
        <v>44996.640000000225</v>
      </c>
      <c r="AF16" s="88">
        <v>46959.51600000036</v>
      </c>
      <c r="AG16" s="88">
        <v>39968.736000000084</v>
      </c>
      <c r="AH16" s="88">
        <v>64584.720000000532</v>
      </c>
      <c r="AI16" s="88">
        <v>53037.444000000323</v>
      </c>
      <c r="AJ16" s="90">
        <v>49500</v>
      </c>
      <c r="AK16" s="87">
        <v>9266.4000000000087</v>
      </c>
      <c r="AL16" s="87">
        <v>26892.564000000013</v>
      </c>
      <c r="AM16" s="91">
        <f>IFERROR(AL16/AJ16,0)</f>
        <v>0.54328412121212144</v>
      </c>
      <c r="AN16" s="87">
        <f>+AK16+AL16</f>
        <v>36158.964000000022</v>
      </c>
      <c r="AO16" s="92">
        <f>IFERROR(+AN16/AJ16,0)</f>
        <v>0.7304841212121217</v>
      </c>
      <c r="AP16" s="50"/>
      <c r="AQ16" s="50"/>
      <c r="AS16"/>
      <c r="AU16" s="85"/>
    </row>
    <row r="17" spans="1:47" ht="12.75" customHeight="1" thickBot="1" x14ac:dyDescent="0.3">
      <c r="B17" s="75" t="s">
        <v>94</v>
      </c>
      <c r="C17" s="76" t="s">
        <v>86</v>
      </c>
      <c r="D17" s="77" t="s">
        <v>96</v>
      </c>
      <c r="E17" s="78">
        <v>53055.828000000009</v>
      </c>
      <c r="F17" s="79">
        <v>65495.304000000018</v>
      </c>
      <c r="G17" s="79">
        <v>32182.488000000016</v>
      </c>
      <c r="H17" s="79">
        <v>57687.743999999977</v>
      </c>
      <c r="I17" s="78">
        <v>37634.724000000002</v>
      </c>
      <c r="J17" s="79">
        <v>61934.928000000022</v>
      </c>
      <c r="K17" s="79">
        <v>51277.968000000015</v>
      </c>
      <c r="L17" s="79">
        <v>47225.819999999992</v>
      </c>
      <c r="M17" s="79">
        <v>29263.824000000001</v>
      </c>
      <c r="N17" s="79">
        <v>41223.300000000025</v>
      </c>
      <c r="O17" s="79">
        <v>45292.512000000017</v>
      </c>
      <c r="P17" s="79">
        <v>48059.772000000106</v>
      </c>
      <c r="Q17" s="80">
        <v>70928.040000000095</v>
      </c>
      <c r="R17" s="79">
        <v>49189.32</v>
      </c>
      <c r="S17" s="78">
        <v>58125.912000000011</v>
      </c>
      <c r="T17" s="78">
        <v>74590.62000000001</v>
      </c>
      <c r="U17" s="78">
        <v>58504.824000000022</v>
      </c>
      <c r="V17" s="78">
        <v>53668.896000000037</v>
      </c>
      <c r="W17" s="78">
        <v>58993.163999999975</v>
      </c>
      <c r="X17" s="78">
        <v>56183.376000000004</v>
      </c>
      <c r="Y17" s="79">
        <v>54426.348000000005</v>
      </c>
      <c r="Z17" s="78">
        <v>67204.608000000051</v>
      </c>
      <c r="AA17" s="78">
        <v>52915.824000000001</v>
      </c>
      <c r="AB17" s="78">
        <v>52810.188000000009</v>
      </c>
      <c r="AC17" s="78">
        <v>67680.383999999991</v>
      </c>
      <c r="AD17" s="81">
        <v>51392.256000000008</v>
      </c>
      <c r="AE17" s="93">
        <v>46525.763999999996</v>
      </c>
      <c r="AF17" s="93">
        <v>56809.272000000004</v>
      </c>
      <c r="AG17" s="93">
        <v>43432.584000000017</v>
      </c>
      <c r="AH17" s="93">
        <v>76389.720000000088</v>
      </c>
      <c r="AI17" s="93">
        <v>67066.835999999967</v>
      </c>
      <c r="AJ17" s="94">
        <v>56500</v>
      </c>
      <c r="AK17" s="95">
        <v>2958.9900000000002</v>
      </c>
      <c r="AL17" s="95">
        <v>43158.648000000037</v>
      </c>
      <c r="AM17" s="96">
        <f>IFERROR(AL17/AJ17,0)</f>
        <v>0.76386987610619539</v>
      </c>
      <c r="AN17" s="95">
        <f t="shared" ref="AN17" si="5">+AK17+AL17</f>
        <v>46117.638000000035</v>
      </c>
      <c r="AO17" s="97">
        <f>IFERROR(+AN17/AJ17,0)</f>
        <v>0.81624138053097406</v>
      </c>
      <c r="AP17" s="50"/>
      <c r="AQ17" s="50"/>
      <c r="AS17"/>
      <c r="AU17" s="85"/>
    </row>
    <row r="18" spans="1:47" s="109" customFormat="1" ht="12.75" customHeight="1" thickBot="1" x14ac:dyDescent="0.35">
      <c r="A18" s="45"/>
      <c r="B18" s="98"/>
      <c r="C18" s="99"/>
      <c r="D18" s="100" t="s">
        <v>97</v>
      </c>
      <c r="E18" s="101">
        <f t="shared" ref="E18:AD18" si="6">+SUM(E3:E17)</f>
        <v>435894.21600000001</v>
      </c>
      <c r="F18" s="102">
        <f t="shared" si="6"/>
        <v>493012.47600000014</v>
      </c>
      <c r="G18" s="102">
        <f t="shared" si="6"/>
        <v>417316.33200000005</v>
      </c>
      <c r="H18" s="102">
        <f t="shared" si="6"/>
        <v>478512.42000000027</v>
      </c>
      <c r="I18" s="102">
        <f t="shared" si="6"/>
        <v>457545.5039999999</v>
      </c>
      <c r="J18" s="102">
        <f t="shared" si="6"/>
        <v>467834.30400000006</v>
      </c>
      <c r="K18" s="102">
        <f t="shared" si="6"/>
        <v>482318.26800000016</v>
      </c>
      <c r="L18" s="102">
        <f t="shared" si="6"/>
        <v>431269.75200000004</v>
      </c>
      <c r="M18" s="102">
        <f t="shared" si="6"/>
        <v>342066.28800000023</v>
      </c>
      <c r="N18" s="102">
        <f t="shared" si="6"/>
        <v>361570.1160000001</v>
      </c>
      <c r="O18" s="102">
        <f t="shared" si="6"/>
        <v>377995.97999999986</v>
      </c>
      <c r="P18" s="102">
        <f t="shared" si="6"/>
        <v>411829.18800000026</v>
      </c>
      <c r="Q18" s="103">
        <f t="shared" si="6"/>
        <v>477138.80400000018</v>
      </c>
      <c r="R18" s="102">
        <f t="shared" si="6"/>
        <v>427582.83600000007</v>
      </c>
      <c r="S18" s="101">
        <f t="shared" si="6"/>
        <v>437236.51200000016</v>
      </c>
      <c r="T18" s="101">
        <f t="shared" si="6"/>
        <v>551118.5280000004</v>
      </c>
      <c r="U18" s="101">
        <f t="shared" si="6"/>
        <v>537905.3760000004</v>
      </c>
      <c r="V18" s="101">
        <f t="shared" si="6"/>
        <v>575642.72400000016</v>
      </c>
      <c r="W18" s="101">
        <f t="shared" si="6"/>
        <v>579064.83600000013</v>
      </c>
      <c r="X18" s="101">
        <f t="shared" si="6"/>
        <v>621455.14800000016</v>
      </c>
      <c r="Y18" s="102">
        <f t="shared" si="6"/>
        <v>587565.76800000074</v>
      </c>
      <c r="Z18" s="101">
        <f t="shared" si="6"/>
        <v>618524.73600000038</v>
      </c>
      <c r="AA18" s="101">
        <f t="shared" si="6"/>
        <v>615321.33600000094</v>
      </c>
      <c r="AB18" s="101">
        <f t="shared" si="6"/>
        <v>583931.29200000037</v>
      </c>
      <c r="AC18" s="101">
        <f t="shared" si="6"/>
        <v>660803.88000000059</v>
      </c>
      <c r="AD18" s="104">
        <f t="shared" si="6"/>
        <v>607136.2200000002</v>
      </c>
      <c r="AE18" s="103">
        <v>605879.86800000048</v>
      </c>
      <c r="AF18" s="103">
        <v>593270.18400000047</v>
      </c>
      <c r="AG18" s="103">
        <v>591019.62000000058</v>
      </c>
      <c r="AH18" s="103">
        <v>705218.4240000007</v>
      </c>
      <c r="AI18" s="103">
        <v>708388.56000000064</v>
      </c>
      <c r="AJ18" s="105">
        <v>655000</v>
      </c>
      <c r="AK18" s="102">
        <f t="shared" ref="AK18:AN18" si="7">+SUM(AK3:AK17)</f>
        <v>37342.530000000006</v>
      </c>
      <c r="AL18" s="102">
        <f t="shared" si="7"/>
        <v>487355.95200000034</v>
      </c>
      <c r="AM18" s="106">
        <f t="shared" si="0"/>
        <v>0.74405488854961888</v>
      </c>
      <c r="AN18" s="102">
        <f t="shared" si="7"/>
        <v>524698.48200000031</v>
      </c>
      <c r="AO18" s="107">
        <f t="shared" si="1"/>
        <v>0.80106638473282488</v>
      </c>
      <c r="AP18" s="49"/>
      <c r="AQ18" s="49"/>
      <c r="AR18" s="108"/>
      <c r="AS18"/>
      <c r="AT18"/>
      <c r="AU18" s="85"/>
    </row>
    <row r="19" spans="1:47" ht="12.75" customHeight="1" x14ac:dyDescent="0.25">
      <c r="A19" s="45" t="s">
        <v>31</v>
      </c>
      <c r="B19" s="64" t="s">
        <v>98</v>
      </c>
      <c r="C19" s="65" t="s">
        <v>99</v>
      </c>
      <c r="D19" s="66" t="s">
        <v>100</v>
      </c>
      <c r="E19" s="67">
        <v>14394.012000000013</v>
      </c>
      <c r="F19" s="68">
        <v>10808.940000000013</v>
      </c>
      <c r="G19" s="68">
        <v>16067.856000000034</v>
      </c>
      <c r="H19" s="68">
        <v>16709.544000000009</v>
      </c>
      <c r="I19" s="68">
        <v>19013.59200000003</v>
      </c>
      <c r="J19" s="68">
        <v>12985.236000000008</v>
      </c>
      <c r="K19" s="68">
        <v>13868.136000000046</v>
      </c>
      <c r="L19" s="68">
        <v>13402.680000000031</v>
      </c>
      <c r="M19" s="68">
        <v>15104.364000000016</v>
      </c>
      <c r="N19" s="68">
        <v>15014.784000000007</v>
      </c>
      <c r="O19" s="68">
        <v>20522.400000000063</v>
      </c>
      <c r="P19" s="68">
        <v>23385.563999999991</v>
      </c>
      <c r="Q19" s="69">
        <v>20128.268000000015</v>
      </c>
      <c r="R19" s="68">
        <v>19132.963999999996</v>
      </c>
      <c r="S19" s="67">
        <v>18282.032000000017</v>
      </c>
      <c r="T19" s="67">
        <v>25154.624000000014</v>
      </c>
      <c r="U19" s="67">
        <v>20852.144000000033</v>
      </c>
      <c r="V19" s="67">
        <v>16976.376000000033</v>
      </c>
      <c r="W19" s="67">
        <v>23453.771999999983</v>
      </c>
      <c r="X19" s="67">
        <v>19247.788</v>
      </c>
      <c r="Y19" s="68">
        <v>17819.776000000009</v>
      </c>
      <c r="Z19" s="67">
        <v>18919.776000000002</v>
      </c>
      <c r="AA19" s="67">
        <v>19628.492000000013</v>
      </c>
      <c r="AB19" s="67">
        <v>15610.568000000023</v>
      </c>
      <c r="AC19" s="67">
        <v>16379.052000000027</v>
      </c>
      <c r="AD19" s="70">
        <v>11140.164000000008</v>
      </c>
      <c r="AE19" s="69">
        <v>14836.260000000038</v>
      </c>
      <c r="AF19" s="69">
        <v>16590.708000000021</v>
      </c>
      <c r="AG19" s="69">
        <v>15145.452000000025</v>
      </c>
      <c r="AH19" s="69">
        <v>13916.016000000014</v>
      </c>
      <c r="AI19" s="69">
        <v>15123.216000000046</v>
      </c>
      <c r="AJ19" s="110">
        <v>15000</v>
      </c>
      <c r="AK19" s="68">
        <v>113.52000000000002</v>
      </c>
      <c r="AL19" s="68">
        <v>12078.612000000021</v>
      </c>
      <c r="AM19" s="111">
        <f>IFERROR(AL19/AJ19,0)</f>
        <v>0.80524080000000142</v>
      </c>
      <c r="AN19" s="68">
        <f>+AK19+AL19</f>
        <v>12192.132000000021</v>
      </c>
      <c r="AO19" s="112">
        <f>IFERROR(+AN19/AJ19,0)</f>
        <v>0.81280880000000144</v>
      </c>
      <c r="AP19" s="50"/>
      <c r="AQ19" s="50"/>
      <c r="AS19"/>
      <c r="AU19" s="85"/>
    </row>
    <row r="20" spans="1:47" ht="12.75" customHeight="1" x14ac:dyDescent="0.25">
      <c r="A20" s="45" t="s">
        <v>31</v>
      </c>
      <c r="B20" s="75" t="s">
        <v>98</v>
      </c>
      <c r="C20" s="113" t="s">
        <v>99</v>
      </c>
      <c r="D20" s="77" t="s">
        <v>101</v>
      </c>
      <c r="E20" s="78">
        <v>44996.544000000082</v>
      </c>
      <c r="F20" s="79">
        <v>39480.4200000001</v>
      </c>
      <c r="G20" s="79">
        <v>45771.648000000074</v>
      </c>
      <c r="H20" s="79">
        <v>58366.284000000218</v>
      </c>
      <c r="I20" s="79">
        <v>58128.564000000275</v>
      </c>
      <c r="J20" s="79">
        <v>43762.344000000063</v>
      </c>
      <c r="K20" s="79">
        <v>39276.600000000144</v>
      </c>
      <c r="L20" s="79">
        <v>43583.820000000065</v>
      </c>
      <c r="M20" s="79">
        <v>26979.492000000031</v>
      </c>
      <c r="N20" s="79">
        <v>47609.42400000005</v>
      </c>
      <c r="O20" s="79">
        <v>35252.340000000033</v>
      </c>
      <c r="P20" s="79">
        <v>41727.096000000027</v>
      </c>
      <c r="Q20" s="80">
        <v>57838.944000000141</v>
      </c>
      <c r="R20" s="79">
        <v>41085.57600000019</v>
      </c>
      <c r="S20" s="78">
        <v>49270.788000000102</v>
      </c>
      <c r="T20" s="78">
        <v>60134.568000000138</v>
      </c>
      <c r="U20" s="78">
        <v>51173.652000000198</v>
      </c>
      <c r="V20" s="78">
        <v>61287.816000000159</v>
      </c>
      <c r="W20" s="78">
        <v>61017.024000000172</v>
      </c>
      <c r="X20" s="78">
        <v>59233.128000000186</v>
      </c>
      <c r="Y20" s="79">
        <v>57233.760000000053</v>
      </c>
      <c r="Z20" s="78">
        <v>53085.108000000073</v>
      </c>
      <c r="AA20" s="78">
        <v>41769.864000000074</v>
      </c>
      <c r="AB20" s="78">
        <v>51292.044000000002</v>
      </c>
      <c r="AC20" s="78">
        <v>62547.120000000141</v>
      </c>
      <c r="AD20" s="81">
        <v>43823.483999999975</v>
      </c>
      <c r="AE20" s="80">
        <v>56094.984000000142</v>
      </c>
      <c r="AF20" s="80">
        <v>57355.668000000027</v>
      </c>
      <c r="AG20" s="80">
        <v>54858.672000000101</v>
      </c>
      <c r="AH20" s="80">
        <v>50298.288000000182</v>
      </c>
      <c r="AI20" s="80">
        <v>59233.068000000188</v>
      </c>
      <c r="AJ20" s="114">
        <v>57000</v>
      </c>
      <c r="AK20" s="79">
        <v>6884.4600000000019</v>
      </c>
      <c r="AL20" s="79">
        <v>41557.632000000005</v>
      </c>
      <c r="AM20" s="83">
        <f>IFERROR(AL20/AJ20,0)</f>
        <v>0.72908126315789479</v>
      </c>
      <c r="AN20" s="79">
        <f>+AK20+AL20</f>
        <v>48442.092000000004</v>
      </c>
      <c r="AO20" s="84">
        <f>IFERROR(+AN20/AJ20,0)</f>
        <v>0.84986126315789479</v>
      </c>
      <c r="AP20" s="50"/>
      <c r="AQ20" s="50"/>
      <c r="AS20"/>
      <c r="AU20" s="85"/>
    </row>
    <row r="21" spans="1:47" ht="12.75" customHeight="1" thickBot="1" x14ac:dyDescent="0.3">
      <c r="A21" s="45" t="s">
        <v>31</v>
      </c>
      <c r="B21" s="64" t="s">
        <v>98</v>
      </c>
      <c r="C21" s="65" t="s">
        <v>99</v>
      </c>
      <c r="D21" s="66" t="s">
        <v>102</v>
      </c>
      <c r="E21" s="86">
        <v>32791.680000000058</v>
      </c>
      <c r="F21" s="87">
        <v>29817.444000000025</v>
      </c>
      <c r="G21" s="87">
        <v>39361.87200000009</v>
      </c>
      <c r="H21" s="87">
        <v>39582.804000000186</v>
      </c>
      <c r="I21" s="87">
        <v>47346.552000000302</v>
      </c>
      <c r="J21" s="87">
        <v>37615.356000000087</v>
      </c>
      <c r="K21" s="87">
        <v>30963.372000000134</v>
      </c>
      <c r="L21" s="87">
        <v>38261.520000000019</v>
      </c>
      <c r="M21" s="87">
        <v>24286.776000000016</v>
      </c>
      <c r="N21" s="87">
        <v>29028.851999999984</v>
      </c>
      <c r="O21" s="87">
        <v>33805.739999999991</v>
      </c>
      <c r="P21" s="87">
        <v>33580.81200000002</v>
      </c>
      <c r="Q21" s="88">
        <v>44358.468000000168</v>
      </c>
      <c r="R21" s="87">
        <v>36327.420000000107</v>
      </c>
      <c r="S21" s="86">
        <v>32324.28000000001</v>
      </c>
      <c r="T21" s="86">
        <v>36421.151999999733</v>
      </c>
      <c r="U21" s="86">
        <v>37393.09200000015</v>
      </c>
      <c r="V21" s="86">
        <v>46655.687999999995</v>
      </c>
      <c r="W21" s="86">
        <v>48644.904000000242</v>
      </c>
      <c r="X21" s="86">
        <v>41729.459999999963</v>
      </c>
      <c r="Y21" s="87">
        <v>35188.22399999998</v>
      </c>
      <c r="Z21" s="86">
        <v>42460.344000000085</v>
      </c>
      <c r="AA21" s="86">
        <v>50863.560000000143</v>
      </c>
      <c r="AB21" s="86">
        <v>38732.015999999938</v>
      </c>
      <c r="AC21" s="86">
        <v>41781.948000000266</v>
      </c>
      <c r="AD21" s="89">
        <v>36555.804000000047</v>
      </c>
      <c r="AE21" s="88">
        <v>46178.172000000181</v>
      </c>
      <c r="AF21" s="88">
        <v>38135.628000000062</v>
      </c>
      <c r="AG21" s="88">
        <v>36461.48400000012</v>
      </c>
      <c r="AH21" s="88">
        <v>44655.048000000163</v>
      </c>
      <c r="AI21" s="88">
        <v>38337.684000000096</v>
      </c>
      <c r="AJ21" s="115">
        <v>43000</v>
      </c>
      <c r="AK21" s="87">
        <v>10741.320000000027</v>
      </c>
      <c r="AL21" s="87">
        <v>28427.340000000022</v>
      </c>
      <c r="AM21" s="91">
        <f>IFERROR(AL21/AJ21,0)</f>
        <v>0.66110093023255867</v>
      </c>
      <c r="AN21" s="87">
        <f>+AK21+AL21</f>
        <v>39168.660000000047</v>
      </c>
      <c r="AO21" s="92">
        <f>IFERROR(+AN21/AJ21,0)</f>
        <v>0.91089906976744295</v>
      </c>
      <c r="AP21" s="50"/>
      <c r="AQ21" s="50"/>
      <c r="AS21"/>
      <c r="AU21" s="85"/>
    </row>
    <row r="22" spans="1:47" s="109" customFormat="1" ht="12.75" customHeight="1" thickBot="1" x14ac:dyDescent="0.35">
      <c r="A22" s="45"/>
      <c r="B22" s="98"/>
      <c r="C22" s="99"/>
      <c r="D22" s="100" t="s">
        <v>103</v>
      </c>
      <c r="E22" s="101">
        <f t="shared" ref="E22:V22" si="8">+SUM(E19:E21)</f>
        <v>92182.23600000015</v>
      </c>
      <c r="F22" s="102">
        <f t="shared" si="8"/>
        <v>80106.804000000149</v>
      </c>
      <c r="G22" s="102">
        <f t="shared" si="8"/>
        <v>101201.37600000019</v>
      </c>
      <c r="H22" s="102">
        <f t="shared" si="8"/>
        <v>114658.63200000042</v>
      </c>
      <c r="I22" s="102">
        <f t="shared" si="8"/>
        <v>124488.70800000061</v>
      </c>
      <c r="J22" s="102">
        <f t="shared" si="8"/>
        <v>94362.936000000162</v>
      </c>
      <c r="K22" s="102">
        <f t="shared" si="8"/>
        <v>84108.108000000328</v>
      </c>
      <c r="L22" s="102">
        <f t="shared" si="8"/>
        <v>95248.020000000106</v>
      </c>
      <c r="M22" s="102">
        <f t="shared" si="8"/>
        <v>66370.632000000056</v>
      </c>
      <c r="N22" s="102">
        <f t="shared" si="8"/>
        <v>91653.060000000041</v>
      </c>
      <c r="O22" s="102">
        <f t="shared" si="8"/>
        <v>89580.480000000083</v>
      </c>
      <c r="P22" s="102">
        <f t="shared" si="8"/>
        <v>98693.472000000038</v>
      </c>
      <c r="Q22" s="103">
        <f t="shared" si="8"/>
        <v>122325.68000000033</v>
      </c>
      <c r="R22" s="102">
        <f t="shared" si="8"/>
        <v>96545.960000000283</v>
      </c>
      <c r="S22" s="101">
        <v>99877.100000000137</v>
      </c>
      <c r="T22" s="101">
        <f t="shared" si="8"/>
        <v>121710.3439999999</v>
      </c>
      <c r="U22" s="101">
        <f t="shared" si="8"/>
        <v>109418.88800000038</v>
      </c>
      <c r="V22" s="101">
        <f t="shared" si="8"/>
        <v>124919.88000000018</v>
      </c>
      <c r="W22" s="101">
        <v>133115.70000000039</v>
      </c>
      <c r="X22" s="101">
        <v>120210.37600000015</v>
      </c>
      <c r="Y22" s="102">
        <v>110241.76000000004</v>
      </c>
      <c r="Z22" s="101">
        <v>114465.22800000016</v>
      </c>
      <c r="AA22" s="101">
        <v>112261.91600000023</v>
      </c>
      <c r="AB22" s="101">
        <v>105634.62799999997</v>
      </c>
      <c r="AC22" s="101">
        <v>120708.12000000043</v>
      </c>
      <c r="AD22" s="104">
        <v>91519.452000000034</v>
      </c>
      <c r="AE22" s="103">
        <v>117109.41600000036</v>
      </c>
      <c r="AF22" s="103">
        <v>112082.0040000001</v>
      </c>
      <c r="AG22" s="103">
        <v>106465.60800000024</v>
      </c>
      <c r="AH22" s="103">
        <v>108869.35200000036</v>
      </c>
      <c r="AI22" s="103">
        <v>112693.96800000033</v>
      </c>
      <c r="AJ22" s="105">
        <v>115000</v>
      </c>
      <c r="AK22" s="102">
        <f t="shared" ref="AK22:AN22" si="9">+SUM(AK19:AK21)</f>
        <v>17739.300000000028</v>
      </c>
      <c r="AL22" s="102">
        <f t="shared" si="9"/>
        <v>82063.584000000046</v>
      </c>
      <c r="AM22" s="106">
        <f t="shared" ref="AM22:AM30" si="10">IFERROR(AL22/AJ22,0)</f>
        <v>0.71359638260869607</v>
      </c>
      <c r="AN22" s="102">
        <f t="shared" si="9"/>
        <v>99802.884000000078</v>
      </c>
      <c r="AO22" s="107">
        <f t="shared" ref="AO22:AO30" si="11">IFERROR(+AN22/AJ22,0)</f>
        <v>0.86785116521739203</v>
      </c>
      <c r="AP22" s="49"/>
      <c r="AQ22" s="49"/>
      <c r="AR22" s="108"/>
      <c r="AS22"/>
      <c r="AT22"/>
      <c r="AU22" s="85"/>
    </row>
    <row r="23" spans="1:47" ht="12.75" customHeight="1" x14ac:dyDescent="0.25">
      <c r="B23" s="64" t="s">
        <v>104</v>
      </c>
      <c r="C23" s="65" t="s">
        <v>105</v>
      </c>
      <c r="D23" s="66" t="s">
        <v>106</v>
      </c>
      <c r="E23" s="86">
        <v>25444.404000000013</v>
      </c>
      <c r="F23" s="87">
        <v>22801.692000000017</v>
      </c>
      <c r="G23" s="87">
        <v>25589.952000000001</v>
      </c>
      <c r="H23" s="87">
        <v>28938.612000000005</v>
      </c>
      <c r="I23" s="86">
        <v>28839.648000000008</v>
      </c>
      <c r="J23" s="87">
        <v>27527.303999999996</v>
      </c>
      <c r="K23" s="87">
        <v>21137.292000000005</v>
      </c>
      <c r="L23" s="87">
        <v>20476.908000000003</v>
      </c>
      <c r="M23" s="87">
        <v>15593.556000000008</v>
      </c>
      <c r="N23" s="87">
        <v>10615.356000000003</v>
      </c>
      <c r="O23" s="87">
        <v>29975.004000000008</v>
      </c>
      <c r="P23" s="87">
        <v>37129.835999999981</v>
      </c>
      <c r="Q23" s="88">
        <v>36304.715999999986</v>
      </c>
      <c r="R23" s="87">
        <v>33405.132000000005</v>
      </c>
      <c r="S23" s="86">
        <v>31198.572000000018</v>
      </c>
      <c r="T23" s="86">
        <v>34466.736000000004</v>
      </c>
      <c r="U23" s="86">
        <v>41724.887999999984</v>
      </c>
      <c r="V23" s="86">
        <v>39542.580000000024</v>
      </c>
      <c r="W23" s="86">
        <v>40754.136000000013</v>
      </c>
      <c r="X23" s="86">
        <v>44946.983999999997</v>
      </c>
      <c r="Y23" s="87">
        <v>39794.580000000009</v>
      </c>
      <c r="Z23" s="86">
        <v>40955.543999999973</v>
      </c>
      <c r="AA23" s="86">
        <v>41600.099999999991</v>
      </c>
      <c r="AB23" s="86">
        <v>34471.740000000013</v>
      </c>
      <c r="AC23" s="86">
        <v>27943.836000000014</v>
      </c>
      <c r="AD23" s="89">
        <v>48252.588000000011</v>
      </c>
      <c r="AE23" s="88">
        <v>35510.556000000011</v>
      </c>
      <c r="AF23" s="88">
        <v>37762.176000000007</v>
      </c>
      <c r="AG23" s="88">
        <v>22358.352000000006</v>
      </c>
      <c r="AH23" s="88">
        <v>41155.451999999997</v>
      </c>
      <c r="AI23" s="88">
        <v>45954.600000000006</v>
      </c>
      <c r="AJ23" s="115">
        <v>45000</v>
      </c>
      <c r="AK23" s="87">
        <v>3810.3799999999997</v>
      </c>
      <c r="AL23" s="87">
        <v>21704.195999999989</v>
      </c>
      <c r="AM23" s="91">
        <f>IFERROR(AL23/AJ23,0)</f>
        <v>0.48231546666666641</v>
      </c>
      <c r="AN23" s="87">
        <f>+AK23+AL23</f>
        <v>25514.57599999999</v>
      </c>
      <c r="AO23" s="92">
        <f>IFERROR(+AN23/AJ23,0)</f>
        <v>0.5669905777777775</v>
      </c>
      <c r="AP23" s="50"/>
      <c r="AQ23" s="50"/>
      <c r="AS23"/>
      <c r="AU23" s="85"/>
    </row>
    <row r="24" spans="1:47" ht="12.75" customHeight="1" x14ac:dyDescent="0.25">
      <c r="B24" s="75" t="s">
        <v>107</v>
      </c>
      <c r="C24" s="76" t="s">
        <v>105</v>
      </c>
      <c r="D24" s="77" t="s">
        <v>108</v>
      </c>
      <c r="E24" s="78">
        <v>39896.339999999997</v>
      </c>
      <c r="F24" s="79">
        <v>36053.724000000002</v>
      </c>
      <c r="G24" s="79">
        <v>35099.291999999994</v>
      </c>
      <c r="H24" s="79">
        <v>49687.175999999992</v>
      </c>
      <c r="I24" s="78">
        <v>49040.73599999999</v>
      </c>
      <c r="J24" s="79">
        <v>44439.707999999984</v>
      </c>
      <c r="K24" s="79">
        <v>45320.255999999994</v>
      </c>
      <c r="L24" s="79">
        <v>50924.964000000022</v>
      </c>
      <c r="M24" s="79">
        <v>46518.756000000001</v>
      </c>
      <c r="N24" s="79">
        <v>41593.692000000003</v>
      </c>
      <c r="O24" s="79">
        <v>30182.760000000009</v>
      </c>
      <c r="P24" s="79">
        <v>36510.767999999982</v>
      </c>
      <c r="Q24" s="80">
        <v>29647.908000000007</v>
      </c>
      <c r="R24" s="79">
        <v>32796.203999999998</v>
      </c>
      <c r="S24" s="78">
        <v>30827.784000000003</v>
      </c>
      <c r="T24" s="78">
        <v>38065.607999999986</v>
      </c>
      <c r="U24" s="78">
        <v>35656.499999999993</v>
      </c>
      <c r="V24" s="78">
        <v>39149.975999999995</v>
      </c>
      <c r="W24" s="78">
        <v>42315.000000000015</v>
      </c>
      <c r="X24" s="78">
        <v>44714.75999999998</v>
      </c>
      <c r="Y24" s="79">
        <v>33056.675999999999</v>
      </c>
      <c r="Z24" s="78">
        <v>44671.619999999981</v>
      </c>
      <c r="AA24" s="78">
        <v>41430.119999999974</v>
      </c>
      <c r="AB24" s="78">
        <v>38840.868000000002</v>
      </c>
      <c r="AC24" s="78">
        <v>43524.131999999991</v>
      </c>
      <c r="AD24" s="81">
        <v>41315.148000000001</v>
      </c>
      <c r="AE24" s="80">
        <v>36880.260000000017</v>
      </c>
      <c r="AF24" s="80">
        <v>35325.803999999989</v>
      </c>
      <c r="AG24" s="80">
        <v>39117.108000000022</v>
      </c>
      <c r="AH24" s="80">
        <v>35328.324000000008</v>
      </c>
      <c r="AI24" s="80">
        <v>43383.671999999999</v>
      </c>
      <c r="AJ24" s="114">
        <v>46000</v>
      </c>
      <c r="AK24" s="79">
        <v>4707.9399999999996</v>
      </c>
      <c r="AL24" s="79">
        <v>14661.408000000003</v>
      </c>
      <c r="AM24" s="83">
        <f t="shared" si="10"/>
        <v>0.31872626086956529</v>
      </c>
      <c r="AN24" s="79">
        <f>+AK24+AL24</f>
        <v>19369.348000000002</v>
      </c>
      <c r="AO24" s="84">
        <f t="shared" si="11"/>
        <v>0.42107278260869568</v>
      </c>
      <c r="AP24" s="50"/>
      <c r="AQ24" s="50"/>
      <c r="AS24"/>
      <c r="AU24" s="85"/>
    </row>
    <row r="25" spans="1:47" ht="12.75" customHeight="1" x14ac:dyDescent="0.25">
      <c r="B25" s="64" t="s">
        <v>109</v>
      </c>
      <c r="C25" s="65" t="s">
        <v>105</v>
      </c>
      <c r="D25" s="66" t="s">
        <v>110</v>
      </c>
      <c r="E25" s="86">
        <v>41631.024000000012</v>
      </c>
      <c r="F25" s="87">
        <v>42882.191999999981</v>
      </c>
      <c r="G25" s="87">
        <v>34617.600000000006</v>
      </c>
      <c r="H25" s="87">
        <v>52666.511999999973</v>
      </c>
      <c r="I25" s="86">
        <v>45618.527999999984</v>
      </c>
      <c r="J25" s="87">
        <v>54597.671999999984</v>
      </c>
      <c r="K25" s="87">
        <v>42382.991999999991</v>
      </c>
      <c r="L25" s="87">
        <v>43339.296000000002</v>
      </c>
      <c r="M25" s="87">
        <v>38377.296000000009</v>
      </c>
      <c r="N25" s="87">
        <v>38980.92</v>
      </c>
      <c r="O25" s="87">
        <v>41456.928</v>
      </c>
      <c r="P25" s="87">
        <v>34736.207999999999</v>
      </c>
      <c r="Q25" s="88">
        <v>38190.287999999986</v>
      </c>
      <c r="R25" s="87">
        <v>41829.287999999971</v>
      </c>
      <c r="S25" s="86">
        <v>41083.919999999984</v>
      </c>
      <c r="T25" s="86">
        <v>50763.155999999974</v>
      </c>
      <c r="U25" s="86">
        <v>47362.859999999964</v>
      </c>
      <c r="V25" s="86">
        <v>55751.20799999997</v>
      </c>
      <c r="W25" s="86">
        <v>63285.887999999992</v>
      </c>
      <c r="X25" s="86">
        <v>60964.583999999959</v>
      </c>
      <c r="Y25" s="87">
        <v>57355.199999999983</v>
      </c>
      <c r="Z25" s="86">
        <v>50909.135999999977</v>
      </c>
      <c r="AA25" s="86">
        <v>50087.015999999981</v>
      </c>
      <c r="AB25" s="86">
        <v>49992.731999999989</v>
      </c>
      <c r="AC25" s="86">
        <v>39418.152000000009</v>
      </c>
      <c r="AD25" s="89">
        <v>47060.531999999985</v>
      </c>
      <c r="AE25" s="88">
        <v>33056.952000000005</v>
      </c>
      <c r="AF25" s="88">
        <v>46363.415999999968</v>
      </c>
      <c r="AG25" s="88">
        <v>42912.828000000001</v>
      </c>
      <c r="AH25" s="88">
        <v>48746.73599999999</v>
      </c>
      <c r="AI25" s="88">
        <v>52292.939999999981</v>
      </c>
      <c r="AJ25" s="115">
        <v>57000</v>
      </c>
      <c r="AK25" s="87">
        <v>5144.8599999999997</v>
      </c>
      <c r="AL25" s="87">
        <v>31536.239999999998</v>
      </c>
      <c r="AM25" s="91">
        <f t="shared" si="10"/>
        <v>0.55326736842105262</v>
      </c>
      <c r="AN25" s="87">
        <f>+AK25+AL25</f>
        <v>36681.1</v>
      </c>
      <c r="AO25" s="92">
        <f t="shared" si="11"/>
        <v>0.64352807017543856</v>
      </c>
      <c r="AP25" s="50"/>
      <c r="AQ25" s="50"/>
      <c r="AS25"/>
      <c r="AU25" s="85"/>
    </row>
    <row r="26" spans="1:47" ht="12.75" customHeight="1" x14ac:dyDescent="0.25">
      <c r="B26" s="75" t="s">
        <v>109</v>
      </c>
      <c r="C26" s="76" t="s">
        <v>105</v>
      </c>
      <c r="D26" s="77" t="s">
        <v>111</v>
      </c>
      <c r="E26" s="78">
        <v>42608.736000000012</v>
      </c>
      <c r="F26" s="79">
        <v>40658.039999999994</v>
      </c>
      <c r="G26" s="79">
        <v>40753.200000000004</v>
      </c>
      <c r="H26" s="79">
        <v>54164.015999999996</v>
      </c>
      <c r="I26" s="78">
        <v>60652.559999999983</v>
      </c>
      <c r="J26" s="79">
        <v>53156.040000000008</v>
      </c>
      <c r="K26" s="79">
        <v>53504.639999999992</v>
      </c>
      <c r="L26" s="79">
        <v>58702.487999999983</v>
      </c>
      <c r="M26" s="79">
        <v>53663.747999999992</v>
      </c>
      <c r="N26" s="79">
        <v>50250.444000000003</v>
      </c>
      <c r="O26" s="79">
        <v>26226.432000000004</v>
      </c>
      <c r="P26" s="79">
        <v>43098.036</v>
      </c>
      <c r="Q26" s="80">
        <v>38138.567999999999</v>
      </c>
      <c r="R26" s="79">
        <v>35085.192000000003</v>
      </c>
      <c r="S26" s="78">
        <v>36889.031999999999</v>
      </c>
      <c r="T26" s="78">
        <v>53046.347999999991</v>
      </c>
      <c r="U26" s="78">
        <v>57091.583999999995</v>
      </c>
      <c r="V26" s="78">
        <v>70822.116000000009</v>
      </c>
      <c r="W26" s="78">
        <v>65671.763999999996</v>
      </c>
      <c r="X26" s="78">
        <v>67939.175999999992</v>
      </c>
      <c r="Y26" s="79">
        <v>62495.723999999995</v>
      </c>
      <c r="Z26" s="78">
        <v>68273.483999999982</v>
      </c>
      <c r="AA26" s="78">
        <v>65681.544000000009</v>
      </c>
      <c r="AB26" s="78">
        <v>56992.44</v>
      </c>
      <c r="AC26" s="78">
        <v>57195.312000000005</v>
      </c>
      <c r="AD26" s="81">
        <v>56317.859999999971</v>
      </c>
      <c r="AE26" s="80">
        <v>53216.939999999988</v>
      </c>
      <c r="AF26" s="80">
        <v>54902.136000000006</v>
      </c>
      <c r="AG26" s="80">
        <v>57551.615999999995</v>
      </c>
      <c r="AH26" s="80">
        <v>53437.823999999986</v>
      </c>
      <c r="AI26" s="80">
        <v>67969.895999999993</v>
      </c>
      <c r="AJ26" s="114">
        <v>67000</v>
      </c>
      <c r="AK26" s="79">
        <v>2202.33</v>
      </c>
      <c r="AL26" s="79">
        <v>22784.904000000006</v>
      </c>
      <c r="AM26" s="83">
        <f t="shared" si="10"/>
        <v>0.34007319402985081</v>
      </c>
      <c r="AN26" s="79">
        <f>+AK26+AL26</f>
        <v>24987.234000000004</v>
      </c>
      <c r="AO26" s="84">
        <f t="shared" si="11"/>
        <v>0.37294379104477615</v>
      </c>
      <c r="AP26" s="50"/>
      <c r="AQ26" s="50"/>
      <c r="AS26"/>
      <c r="AU26" s="85"/>
    </row>
    <row r="27" spans="1:47" ht="12.75" customHeight="1" thickBot="1" x14ac:dyDescent="0.3">
      <c r="B27" s="64" t="s">
        <v>112</v>
      </c>
      <c r="C27" s="65" t="s">
        <v>105</v>
      </c>
      <c r="D27" s="66" t="s">
        <v>113</v>
      </c>
      <c r="E27" s="86">
        <v>27321.072000000004</v>
      </c>
      <c r="F27" s="87">
        <v>46597.031999999977</v>
      </c>
      <c r="G27" s="87">
        <v>40010.423999999999</v>
      </c>
      <c r="H27" s="87">
        <v>55177.752</v>
      </c>
      <c r="I27" s="86">
        <v>54211.104000000007</v>
      </c>
      <c r="J27" s="87">
        <v>53525.363999999994</v>
      </c>
      <c r="K27" s="87">
        <v>80668.055999999982</v>
      </c>
      <c r="L27" s="87">
        <v>27143.448000000008</v>
      </c>
      <c r="M27" s="87">
        <v>34352.447999999997</v>
      </c>
      <c r="N27" s="87">
        <v>33644.616000000002</v>
      </c>
      <c r="O27" s="87">
        <v>38508.959999999999</v>
      </c>
      <c r="P27" s="87">
        <v>27273.216000000004</v>
      </c>
      <c r="Q27" s="88">
        <v>34627.319999999992</v>
      </c>
      <c r="R27" s="87">
        <v>25722.216000000008</v>
      </c>
      <c r="S27" s="86">
        <v>35620.296000000002</v>
      </c>
      <c r="T27" s="86">
        <v>41686.403999999995</v>
      </c>
      <c r="U27" s="86">
        <v>48110.808000000012</v>
      </c>
      <c r="V27" s="86">
        <v>66748.127999999997</v>
      </c>
      <c r="W27" s="86">
        <v>83628.060000000027</v>
      </c>
      <c r="X27" s="86">
        <v>56188.919999999976</v>
      </c>
      <c r="Y27" s="87">
        <v>42981.167999999983</v>
      </c>
      <c r="Z27" s="86">
        <v>47867.520000000004</v>
      </c>
      <c r="AA27" s="86">
        <v>45860.255999999972</v>
      </c>
      <c r="AB27" s="86">
        <v>39179.328000000001</v>
      </c>
      <c r="AC27" s="86">
        <v>44726.831999999995</v>
      </c>
      <c r="AD27" s="89">
        <v>41509.691999999988</v>
      </c>
      <c r="AE27" s="88">
        <v>40148.387999999992</v>
      </c>
      <c r="AF27" s="88">
        <v>40901.747999999985</v>
      </c>
      <c r="AG27" s="88">
        <v>61599.563999999984</v>
      </c>
      <c r="AH27" s="88">
        <v>74525.135999999999</v>
      </c>
      <c r="AI27" s="88">
        <v>80400.575999999972</v>
      </c>
      <c r="AJ27" s="115">
        <v>60000</v>
      </c>
      <c r="AK27" s="87">
        <v>3486.8900000000003</v>
      </c>
      <c r="AL27" s="87">
        <v>26680.247999999996</v>
      </c>
      <c r="AM27" s="91">
        <f t="shared" si="10"/>
        <v>0.44467079999999992</v>
      </c>
      <c r="AN27" s="87">
        <f>+AK27+AL27</f>
        <v>30167.137999999995</v>
      </c>
      <c r="AO27" s="92">
        <f t="shared" si="11"/>
        <v>0.50278563333333326</v>
      </c>
      <c r="AP27" s="50"/>
      <c r="AQ27" s="50"/>
      <c r="AS27"/>
      <c r="AU27" s="85"/>
    </row>
    <row r="28" spans="1:47" s="109" customFormat="1" ht="12.75" customHeight="1" thickBot="1" x14ac:dyDescent="0.35">
      <c r="A28" s="45"/>
      <c r="B28" s="98"/>
      <c r="C28" s="99"/>
      <c r="D28" s="100" t="s">
        <v>114</v>
      </c>
      <c r="E28" s="101">
        <f t="shared" ref="E28:AD28" si="12">+SUM(E23:E27)</f>
        <v>176901.57600000003</v>
      </c>
      <c r="F28" s="102">
        <f t="shared" si="12"/>
        <v>188992.67999999996</v>
      </c>
      <c r="G28" s="102">
        <f t="shared" si="12"/>
        <v>176070.46799999999</v>
      </c>
      <c r="H28" s="102">
        <f t="shared" si="12"/>
        <v>240634.068</v>
      </c>
      <c r="I28" s="102">
        <f t="shared" si="12"/>
        <v>238362.57599999994</v>
      </c>
      <c r="J28" s="102">
        <f t="shared" si="12"/>
        <v>233246.08799999999</v>
      </c>
      <c r="K28" s="102">
        <f t="shared" si="12"/>
        <v>243013.23599999995</v>
      </c>
      <c r="L28" s="102">
        <f t="shared" si="12"/>
        <v>200587.10400000002</v>
      </c>
      <c r="M28" s="102">
        <f t="shared" si="12"/>
        <v>188505.804</v>
      </c>
      <c r="N28" s="102">
        <f t="shared" si="12"/>
        <v>175085.02800000002</v>
      </c>
      <c r="O28" s="102">
        <f t="shared" si="12"/>
        <v>166350.084</v>
      </c>
      <c r="P28" s="102">
        <f t="shared" si="12"/>
        <v>178748.06399999998</v>
      </c>
      <c r="Q28" s="103">
        <f t="shared" si="12"/>
        <v>176908.79999999999</v>
      </c>
      <c r="R28" s="102">
        <f t="shared" si="12"/>
        <v>168838.03200000001</v>
      </c>
      <c r="S28" s="101">
        <f t="shared" si="12"/>
        <v>175619.60400000002</v>
      </c>
      <c r="T28" s="101">
        <f t="shared" si="12"/>
        <v>218028.25199999992</v>
      </c>
      <c r="U28" s="101">
        <f t="shared" si="12"/>
        <v>229946.63999999996</v>
      </c>
      <c r="V28" s="101">
        <f t="shared" si="12"/>
        <v>272014.00799999997</v>
      </c>
      <c r="W28" s="101">
        <f t="shared" si="12"/>
        <v>295654.84800000006</v>
      </c>
      <c r="X28" s="101">
        <f t="shared" si="12"/>
        <v>274754.42399999988</v>
      </c>
      <c r="Y28" s="102">
        <f t="shared" si="12"/>
        <v>235683.34799999997</v>
      </c>
      <c r="Z28" s="101">
        <f t="shared" si="12"/>
        <v>252677.30399999995</v>
      </c>
      <c r="AA28" s="101">
        <f t="shared" si="12"/>
        <v>244659.03599999993</v>
      </c>
      <c r="AB28" s="101">
        <f t="shared" si="12"/>
        <v>219477.10800000001</v>
      </c>
      <c r="AC28" s="101">
        <f t="shared" si="12"/>
        <v>212808.26400000002</v>
      </c>
      <c r="AD28" s="104">
        <f t="shared" si="12"/>
        <v>234455.81999999995</v>
      </c>
      <c r="AE28" s="103">
        <v>198813.09600000002</v>
      </c>
      <c r="AF28" s="103">
        <v>215255.27999999997</v>
      </c>
      <c r="AG28" s="103">
        <v>223539.46800000002</v>
      </c>
      <c r="AH28" s="103">
        <v>253193.47199999998</v>
      </c>
      <c r="AI28" s="103">
        <v>290001.68399999989</v>
      </c>
      <c r="AJ28" s="105">
        <v>275000</v>
      </c>
      <c r="AK28" s="102">
        <f>+SUM(AK23:AK27)</f>
        <v>19352.400000000001</v>
      </c>
      <c r="AL28" s="102">
        <f>+SUM(AL23:AL27)</f>
        <v>117366.99599999998</v>
      </c>
      <c r="AM28" s="106">
        <f t="shared" si="10"/>
        <v>0.42678907636363633</v>
      </c>
      <c r="AN28" s="102">
        <f>+SUM(AN23:AN27)</f>
        <v>136719.39600000001</v>
      </c>
      <c r="AO28" s="107">
        <f t="shared" si="11"/>
        <v>0.49716144000000001</v>
      </c>
      <c r="AP28" s="49"/>
      <c r="AQ28" s="49"/>
      <c r="AR28" s="108"/>
      <c r="AS28"/>
      <c r="AT28"/>
      <c r="AU28" s="85"/>
    </row>
    <row r="29" spans="1:47" ht="12.75" customHeight="1" thickBot="1" x14ac:dyDescent="0.3">
      <c r="A29" s="45" t="s">
        <v>31</v>
      </c>
      <c r="B29" s="64" t="s">
        <v>115</v>
      </c>
      <c r="C29" s="65" t="s">
        <v>105</v>
      </c>
      <c r="D29" s="66" t="s">
        <v>116</v>
      </c>
      <c r="E29" s="86">
        <v>32901.732000000062</v>
      </c>
      <c r="F29" s="87">
        <v>31274.61600000006</v>
      </c>
      <c r="G29" s="87">
        <v>45687.096000000383</v>
      </c>
      <c r="H29" s="87">
        <v>37409.628000000179</v>
      </c>
      <c r="I29" s="86">
        <v>41505.384000000187</v>
      </c>
      <c r="J29" s="87">
        <v>37217.232000000215</v>
      </c>
      <c r="K29" s="87">
        <v>61799.880000000463</v>
      </c>
      <c r="L29" s="87">
        <v>32925.228000000134</v>
      </c>
      <c r="M29" s="87">
        <v>26580.600000000042</v>
      </c>
      <c r="N29" s="87">
        <v>25086.024000000034</v>
      </c>
      <c r="O29" s="87">
        <v>36801.960000000065</v>
      </c>
      <c r="P29" s="87">
        <v>37285.980000000025</v>
      </c>
      <c r="Q29" s="88">
        <v>38010.948000000164</v>
      </c>
      <c r="R29" s="87">
        <v>42650.268000000178</v>
      </c>
      <c r="S29" s="86">
        <v>40100.124000000171</v>
      </c>
      <c r="T29" s="86">
        <v>55673.952000000929</v>
      </c>
      <c r="U29" s="86">
        <v>40574.004000000226</v>
      </c>
      <c r="V29" s="86">
        <v>33235.284000000029</v>
      </c>
      <c r="W29" s="86">
        <v>64816.680000000852</v>
      </c>
      <c r="X29" s="86">
        <v>38451.984000000273</v>
      </c>
      <c r="Y29" s="87">
        <v>15047.399999999974</v>
      </c>
      <c r="Z29" s="86">
        <v>23269.115999999813</v>
      </c>
      <c r="AA29" s="86">
        <v>8000.964000000009</v>
      </c>
      <c r="AB29" s="86">
        <v>4828.4279999999999</v>
      </c>
      <c r="AC29" s="86">
        <v>20786.784000000021</v>
      </c>
      <c r="AD29" s="89">
        <v>11660.940000000035</v>
      </c>
      <c r="AE29" s="88">
        <v>6270.2280000000101</v>
      </c>
      <c r="AF29" s="88">
        <v>7725.4560000000056</v>
      </c>
      <c r="AG29" s="88">
        <v>6161.8560000000016</v>
      </c>
      <c r="AH29" s="88">
        <v>13906.151999999996</v>
      </c>
      <c r="AI29" s="88">
        <v>14033.424000000017</v>
      </c>
      <c r="AJ29" s="115">
        <v>15000</v>
      </c>
      <c r="AK29" s="87">
        <v>2364.4899999999998</v>
      </c>
      <c r="AL29" s="87">
        <v>1979.7599999999984</v>
      </c>
      <c r="AM29" s="91">
        <f t="shared" si="10"/>
        <v>0.13198399999999991</v>
      </c>
      <c r="AN29" s="87">
        <f>+AK29+AL29</f>
        <v>4344.2499999999982</v>
      </c>
      <c r="AO29" s="92">
        <f t="shared" si="11"/>
        <v>0.28961666666666652</v>
      </c>
      <c r="AP29" s="50">
        <v>100088964</v>
      </c>
      <c r="AQ29" s="50" t="s">
        <v>117</v>
      </c>
      <c r="AS29"/>
      <c r="AU29" s="85"/>
    </row>
    <row r="30" spans="1:47" s="109" customFormat="1" ht="12.75" customHeight="1" thickBot="1" x14ac:dyDescent="0.35">
      <c r="A30" s="45"/>
      <c r="B30" s="98"/>
      <c r="C30" s="99"/>
      <c r="D30" s="100" t="s">
        <v>118</v>
      </c>
      <c r="E30" s="102">
        <f t="shared" ref="E30:AK30" si="13">+SUM(E29)</f>
        <v>32901.732000000062</v>
      </c>
      <c r="F30" s="102">
        <f t="shared" si="13"/>
        <v>31274.61600000006</v>
      </c>
      <c r="G30" s="102">
        <f t="shared" si="13"/>
        <v>45687.096000000383</v>
      </c>
      <c r="H30" s="102">
        <f t="shared" si="13"/>
        <v>37409.628000000179</v>
      </c>
      <c r="I30" s="102">
        <f t="shared" si="13"/>
        <v>41505.384000000187</v>
      </c>
      <c r="J30" s="102">
        <f t="shared" si="13"/>
        <v>37217.232000000215</v>
      </c>
      <c r="K30" s="102">
        <f t="shared" si="13"/>
        <v>61799.880000000463</v>
      </c>
      <c r="L30" s="102">
        <f t="shared" si="13"/>
        <v>32925.228000000134</v>
      </c>
      <c r="M30" s="102">
        <f t="shared" si="13"/>
        <v>26580.600000000042</v>
      </c>
      <c r="N30" s="102">
        <f t="shared" si="13"/>
        <v>25086.024000000034</v>
      </c>
      <c r="O30" s="102">
        <f t="shared" si="13"/>
        <v>36801.960000000065</v>
      </c>
      <c r="P30" s="102">
        <f t="shared" si="13"/>
        <v>37285.980000000025</v>
      </c>
      <c r="Q30" s="102">
        <f t="shared" si="13"/>
        <v>38010.948000000164</v>
      </c>
      <c r="R30" s="102">
        <f t="shared" si="13"/>
        <v>42650.268000000178</v>
      </c>
      <c r="S30" s="102">
        <v>40100.124000000171</v>
      </c>
      <c r="T30" s="102">
        <f t="shared" si="13"/>
        <v>55673.952000000929</v>
      </c>
      <c r="U30" s="102">
        <f t="shared" si="13"/>
        <v>40574.004000000226</v>
      </c>
      <c r="V30" s="102">
        <f t="shared" si="13"/>
        <v>33235.284000000029</v>
      </c>
      <c r="W30" s="102">
        <v>64816.680000000852</v>
      </c>
      <c r="X30" s="102">
        <v>38451.984000000273</v>
      </c>
      <c r="Y30" s="102">
        <v>15047.399999999974</v>
      </c>
      <c r="Z30" s="102">
        <v>23269.115999999813</v>
      </c>
      <c r="AA30" s="102">
        <v>8000.964000000009</v>
      </c>
      <c r="AB30" s="102">
        <v>4828.4279999999999</v>
      </c>
      <c r="AC30" s="102">
        <v>20786.784000000021</v>
      </c>
      <c r="AD30" s="103">
        <v>11660.940000000035</v>
      </c>
      <c r="AE30" s="103">
        <v>6270.2280000000101</v>
      </c>
      <c r="AF30" s="103">
        <v>7725.4560000000056</v>
      </c>
      <c r="AG30" s="103">
        <v>6161.8560000000016</v>
      </c>
      <c r="AH30" s="103">
        <v>13906.151999999996</v>
      </c>
      <c r="AI30" s="103">
        <v>14033.424000000017</v>
      </c>
      <c r="AJ30" s="105">
        <v>15000</v>
      </c>
      <c r="AK30" s="102">
        <f t="shared" si="13"/>
        <v>2364.4899999999998</v>
      </c>
      <c r="AL30" s="102">
        <f>+SUM(AL29)</f>
        <v>1979.7599999999984</v>
      </c>
      <c r="AM30" s="106">
        <f t="shared" si="10"/>
        <v>0.13198399999999991</v>
      </c>
      <c r="AN30" s="102">
        <f>+SUM(AN29)</f>
        <v>4344.2499999999982</v>
      </c>
      <c r="AO30" s="107">
        <f t="shared" si="11"/>
        <v>0.28961666666666652</v>
      </c>
      <c r="AP30" s="49"/>
      <c r="AQ30" s="49"/>
      <c r="AR30" s="108"/>
      <c r="AS30"/>
      <c r="AT30"/>
      <c r="AU30" s="85"/>
    </row>
    <row r="31" spans="1:47" ht="12.75" customHeight="1" x14ac:dyDescent="0.25">
      <c r="B31" s="75" t="s">
        <v>119</v>
      </c>
      <c r="C31" s="76" t="s">
        <v>120</v>
      </c>
      <c r="D31" s="77" t="s">
        <v>121</v>
      </c>
      <c r="E31" s="116">
        <v>127614.04800000001</v>
      </c>
      <c r="F31" s="117">
        <v>141972.12000000005</v>
      </c>
      <c r="G31" s="117">
        <v>90537.252000000008</v>
      </c>
      <c r="H31" s="117">
        <v>114916.43999999999</v>
      </c>
      <c r="I31" s="117">
        <v>127815.15599999996</v>
      </c>
      <c r="J31" s="117">
        <v>152858.75999999995</v>
      </c>
      <c r="K31" s="117">
        <v>132010.20000000004</v>
      </c>
      <c r="L31" s="117">
        <v>103073.36399999999</v>
      </c>
      <c r="M31" s="117">
        <v>111614.436</v>
      </c>
      <c r="N31" s="117">
        <v>62509.584000000003</v>
      </c>
      <c r="O31" s="117">
        <v>87337.787999999986</v>
      </c>
      <c r="P31" s="117">
        <v>109997.70000000001</v>
      </c>
      <c r="Q31" s="118">
        <v>144201.30000000005</v>
      </c>
      <c r="R31" s="117">
        <v>117628.58399999999</v>
      </c>
      <c r="S31" s="116">
        <v>158566.84800000006</v>
      </c>
      <c r="T31" s="116">
        <v>189733.34400000007</v>
      </c>
      <c r="U31" s="116">
        <v>180948.79200000004</v>
      </c>
      <c r="V31" s="116">
        <v>182759.88</v>
      </c>
      <c r="W31" s="116">
        <v>190890.99600000016</v>
      </c>
      <c r="X31" s="116">
        <v>151933.04400000005</v>
      </c>
      <c r="Y31" s="117">
        <v>106500.06000000003</v>
      </c>
      <c r="Z31" s="116">
        <v>161914.11600000004</v>
      </c>
      <c r="AA31" s="116">
        <v>179834.85600000009</v>
      </c>
      <c r="AB31" s="116">
        <v>196855.32000000009</v>
      </c>
      <c r="AC31" s="116">
        <v>232244.3160000002</v>
      </c>
      <c r="AD31" s="119">
        <v>249978.52800000017</v>
      </c>
      <c r="AE31" s="118">
        <v>256968.92400000014</v>
      </c>
      <c r="AF31" s="118">
        <v>150988.06800000003</v>
      </c>
      <c r="AG31" s="118">
        <v>193590.19199999998</v>
      </c>
      <c r="AH31" s="118">
        <v>198439.66799999998</v>
      </c>
      <c r="AI31" s="118">
        <v>321295.18799999991</v>
      </c>
      <c r="AJ31" s="120">
        <v>266300</v>
      </c>
      <c r="AK31" s="117">
        <v>21931.61</v>
      </c>
      <c r="AL31" s="117">
        <v>216448.20000000007</v>
      </c>
      <c r="AM31" s="121">
        <f t="shared" si="0"/>
        <v>0.81279834772812642</v>
      </c>
      <c r="AN31" s="117">
        <f t="shared" ref="AN31:AN55" si="14">+AK31+AL31</f>
        <v>238379.81000000006</v>
      </c>
      <c r="AO31" s="122">
        <f t="shared" si="1"/>
        <v>0.89515512579797241</v>
      </c>
      <c r="AP31" s="50"/>
      <c r="AQ31" s="50"/>
      <c r="AS31"/>
      <c r="AU31" s="85"/>
    </row>
    <row r="32" spans="1:47" ht="12.75" customHeight="1" thickBot="1" x14ac:dyDescent="0.3">
      <c r="B32" s="64" t="s">
        <v>119</v>
      </c>
      <c r="C32" s="65" t="s">
        <v>120</v>
      </c>
      <c r="D32" s="66" t="s">
        <v>122</v>
      </c>
      <c r="E32" s="123">
        <v>15563.688000000002</v>
      </c>
      <c r="F32" s="124">
        <v>6529.6800000000012</v>
      </c>
      <c r="G32" s="124">
        <v>13596.119999999999</v>
      </c>
      <c r="H32" s="124">
        <v>14678.46</v>
      </c>
      <c r="I32" s="124">
        <v>9463.5600000000013</v>
      </c>
      <c r="J32" s="124">
        <v>14593.560000000001</v>
      </c>
      <c r="K32" s="124">
        <v>9291.42</v>
      </c>
      <c r="L32" s="124">
        <v>16646.448000000004</v>
      </c>
      <c r="M32" s="124">
        <v>9742.4399999999987</v>
      </c>
      <c r="N32" s="124">
        <v>10288.692000000001</v>
      </c>
      <c r="O32" s="124">
        <v>12602.867999999999</v>
      </c>
      <c r="P32" s="124">
        <v>7746.1799999999994</v>
      </c>
      <c r="Q32" s="125">
        <v>8890.2960000000003</v>
      </c>
      <c r="R32" s="124">
        <v>11056.5</v>
      </c>
      <c r="S32" s="123">
        <v>10023.036</v>
      </c>
      <c r="T32" s="123">
        <v>8287.14</v>
      </c>
      <c r="U32" s="123">
        <v>7792.2719999999999</v>
      </c>
      <c r="V32" s="123">
        <v>5665.2360000000008</v>
      </c>
      <c r="W32" s="123">
        <v>9906.8880000000008</v>
      </c>
      <c r="X32" s="123">
        <v>8386.1640000000007</v>
      </c>
      <c r="Y32" s="124">
        <v>6911.304000000001</v>
      </c>
      <c r="Z32" s="123">
        <v>8870.2799999999988</v>
      </c>
      <c r="AA32" s="123">
        <v>4398.0599999999995</v>
      </c>
      <c r="AB32" s="123">
        <v>0</v>
      </c>
      <c r="AC32" s="123">
        <v>0</v>
      </c>
      <c r="AD32" s="126">
        <v>0</v>
      </c>
      <c r="AE32" s="125">
        <v>9707.5079999999998</v>
      </c>
      <c r="AF32" s="125">
        <v>3791.9399999999996</v>
      </c>
      <c r="AG32" s="125">
        <v>5824.0919999999996</v>
      </c>
      <c r="AH32" s="125">
        <v>8138.7480000000014</v>
      </c>
      <c r="AI32" s="125">
        <v>4231.7400000000007</v>
      </c>
      <c r="AJ32" s="127">
        <v>8700</v>
      </c>
      <c r="AK32" s="124">
        <v>0</v>
      </c>
      <c r="AL32" s="124">
        <v>4427.1000000000004</v>
      </c>
      <c r="AM32" s="128">
        <f t="shared" si="0"/>
        <v>0.50886206896551733</v>
      </c>
      <c r="AN32" s="124">
        <f>+AK32+AL32</f>
        <v>4427.1000000000004</v>
      </c>
      <c r="AO32" s="129">
        <f t="shared" si="1"/>
        <v>0.50886206896551733</v>
      </c>
      <c r="AP32" s="50" t="s">
        <v>123</v>
      </c>
      <c r="AQ32" s="50"/>
      <c r="AS32"/>
      <c r="AU32" s="85"/>
    </row>
    <row r="33" spans="1:48" ht="12.75" customHeight="1" thickBot="1" x14ac:dyDescent="0.3">
      <c r="B33" s="98"/>
      <c r="C33" s="99"/>
      <c r="D33" s="100" t="s">
        <v>124</v>
      </c>
      <c r="E33" s="101">
        <v>143177.736</v>
      </c>
      <c r="F33" s="102">
        <v>148501.80000000005</v>
      </c>
      <c r="G33" s="102">
        <v>104133.372</v>
      </c>
      <c r="H33" s="102">
        <v>129594.9</v>
      </c>
      <c r="I33" s="102">
        <v>137278.71599999996</v>
      </c>
      <c r="J33" s="102">
        <v>167452.31999999995</v>
      </c>
      <c r="K33" s="102">
        <v>141301.62000000005</v>
      </c>
      <c r="L33" s="102">
        <v>119719.81199999999</v>
      </c>
      <c r="M33" s="102">
        <v>121356.876</v>
      </c>
      <c r="N33" s="102">
        <v>72798.275999999998</v>
      </c>
      <c r="O33" s="102">
        <v>99940.655999999988</v>
      </c>
      <c r="P33" s="102">
        <v>117743.88</v>
      </c>
      <c r="Q33" s="103">
        <v>153091.59600000005</v>
      </c>
      <c r="R33" s="102">
        <v>128685.08399999999</v>
      </c>
      <c r="S33" s="101">
        <v>168589.88400000005</v>
      </c>
      <c r="T33" s="101">
        <v>198020.48400000005</v>
      </c>
      <c r="U33" s="101">
        <v>188741.06400000004</v>
      </c>
      <c r="V33" s="101">
        <v>188425.11600000001</v>
      </c>
      <c r="W33" s="101">
        <v>200797.88400000017</v>
      </c>
      <c r="X33" s="101">
        <v>160319.20800000004</v>
      </c>
      <c r="Y33" s="102">
        <v>113411.36400000003</v>
      </c>
      <c r="Z33" s="101">
        <v>170784.39600000004</v>
      </c>
      <c r="AA33" s="101">
        <v>184232.91600000008</v>
      </c>
      <c r="AB33" s="101">
        <v>196855.32000000009</v>
      </c>
      <c r="AC33" s="101">
        <v>232244.3160000002</v>
      </c>
      <c r="AD33" s="104">
        <v>249978.52800000017</v>
      </c>
      <c r="AE33" s="103">
        <v>266676.43200000015</v>
      </c>
      <c r="AF33" s="103">
        <v>154780.00800000003</v>
      </c>
      <c r="AG33" s="103">
        <v>199414.28399999999</v>
      </c>
      <c r="AH33" s="103">
        <v>206578.41599999997</v>
      </c>
      <c r="AI33" s="103">
        <v>325526.9279999999</v>
      </c>
      <c r="AJ33" s="105">
        <v>275000</v>
      </c>
      <c r="AK33" s="102">
        <f>+AK31+AK32</f>
        <v>21931.61</v>
      </c>
      <c r="AL33" s="102">
        <f>+AL31+AL32</f>
        <v>220875.30000000008</v>
      </c>
      <c r="AM33" s="106">
        <f t="shared" si="0"/>
        <v>0.80318290909090939</v>
      </c>
      <c r="AN33" s="102">
        <f>+AN31+AN32</f>
        <v>242806.91000000006</v>
      </c>
      <c r="AO33" s="107">
        <f t="shared" si="1"/>
        <v>0.88293421818181839</v>
      </c>
      <c r="AP33" s="50"/>
      <c r="AQ33" s="50"/>
      <c r="AS33"/>
      <c r="AU33" s="85"/>
    </row>
    <row r="34" spans="1:48" ht="12.75" hidden="1" customHeight="1" thickBot="1" x14ac:dyDescent="0.3"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>
        <v>0</v>
      </c>
      <c r="X34" s="116">
        <v>0</v>
      </c>
      <c r="Y34" s="117"/>
      <c r="Z34" s="116"/>
      <c r="AA34" s="116"/>
      <c r="AB34" s="116"/>
      <c r="AC34" s="116">
        <v>0</v>
      </c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>
        <f>+AK34+AL34</f>
        <v>0</v>
      </c>
      <c r="AO34" s="122"/>
      <c r="AP34" s="50"/>
      <c r="AQ34" s="50"/>
      <c r="AS34"/>
      <c r="AU34" s="85"/>
    </row>
    <row r="35" spans="1:48" ht="12.75" customHeight="1" x14ac:dyDescent="0.25">
      <c r="B35" s="75" t="s">
        <v>29</v>
      </c>
      <c r="C35" s="76" t="s">
        <v>126</v>
      </c>
      <c r="D35" s="77" t="s">
        <v>127</v>
      </c>
      <c r="E35" s="78">
        <v>58746.467999999993</v>
      </c>
      <c r="F35" s="79">
        <v>57023.544000000002</v>
      </c>
      <c r="G35" s="79">
        <v>90976.271999999866</v>
      </c>
      <c r="H35" s="79">
        <v>111856.44399999974</v>
      </c>
      <c r="I35" s="79">
        <v>92409.444000000236</v>
      </c>
      <c r="J35" s="79">
        <v>88479.456000000238</v>
      </c>
      <c r="K35" s="79">
        <v>75440.027999999846</v>
      </c>
      <c r="L35" s="79">
        <v>63665.844000000092</v>
      </c>
      <c r="M35" s="79">
        <v>74915.724000000118</v>
      </c>
      <c r="N35" s="79">
        <v>24370.128000000004</v>
      </c>
      <c r="O35" s="79">
        <v>46470.27600000002</v>
      </c>
      <c r="P35" s="79">
        <v>34516.812000000005</v>
      </c>
      <c r="Q35" s="80">
        <v>54635.124000000287</v>
      </c>
      <c r="R35" s="79">
        <v>53945.244000000115</v>
      </c>
      <c r="S35" s="78">
        <v>38589.323999999986</v>
      </c>
      <c r="T35" s="78">
        <v>58083.76800000012</v>
      </c>
      <c r="U35" s="78">
        <v>20922.936000000002</v>
      </c>
      <c r="V35" s="78">
        <v>102486.76800000011</v>
      </c>
      <c r="W35" s="78">
        <v>105518.29200000009</v>
      </c>
      <c r="X35" s="78">
        <v>39292.332000000031</v>
      </c>
      <c r="Y35" s="79">
        <v>93564.780000000319</v>
      </c>
      <c r="Z35" s="78">
        <v>81737.052000000665</v>
      </c>
      <c r="AA35" s="78">
        <v>78446.436000000438</v>
      </c>
      <c r="AB35" s="78">
        <v>67737.504000000321</v>
      </c>
      <c r="AC35" s="78">
        <v>71218.968000000066</v>
      </c>
      <c r="AD35" s="81">
        <v>60476.652000000489</v>
      </c>
      <c r="AE35" s="80">
        <v>78366.960000000297</v>
      </c>
      <c r="AF35" s="80">
        <v>66031.980000000112</v>
      </c>
      <c r="AG35" s="80">
        <v>82937.508000000176</v>
      </c>
      <c r="AH35" s="80">
        <v>69418.296000000395</v>
      </c>
      <c r="AI35" s="80">
        <v>108291.25200000039</v>
      </c>
      <c r="AJ35" s="114">
        <v>91100</v>
      </c>
      <c r="AK35" s="79">
        <v>12875.670000000022</v>
      </c>
      <c r="AL35" s="79">
        <v>40627.032000000079</v>
      </c>
      <c r="AM35" s="83">
        <f>IFERROR(AL35/AJ35,0)</f>
        <v>0.44596083424807992</v>
      </c>
      <c r="AN35" s="79">
        <f>+AK35+AL35</f>
        <v>53502.702000000099</v>
      </c>
      <c r="AO35" s="84">
        <f>IFERROR(+AN35/AJ35,0)</f>
        <v>0.58729639956092317</v>
      </c>
      <c r="AP35" s="50"/>
      <c r="AQ35" s="50"/>
      <c r="AS35"/>
      <c r="AU35" s="85"/>
    </row>
    <row r="36" spans="1:48" ht="12.75" customHeight="1" thickBot="1" x14ac:dyDescent="0.3"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5404.2</v>
      </c>
      <c r="U36" s="123">
        <v>6574.3079999999982</v>
      </c>
      <c r="V36" s="123">
        <v>2935.08</v>
      </c>
      <c r="W36" s="123">
        <v>7699.4519999999993</v>
      </c>
      <c r="X36" s="123">
        <v>8911.0440000000017</v>
      </c>
      <c r="Y36" s="124">
        <v>3157.0079999999994</v>
      </c>
      <c r="Z36" s="123">
        <v>5592.72</v>
      </c>
      <c r="AA36" s="123">
        <v>1784.1</v>
      </c>
      <c r="AB36" s="123">
        <v>6885.9480000000012</v>
      </c>
      <c r="AC36" s="123">
        <v>2200.6319999999996</v>
      </c>
      <c r="AD36" s="126">
        <v>4866.6599999999989</v>
      </c>
      <c r="AE36" s="125">
        <v>-66.239999999999995</v>
      </c>
      <c r="AF36" s="125">
        <v>7975.7400000000016</v>
      </c>
      <c r="AG36" s="125">
        <v>5524.9199999999992</v>
      </c>
      <c r="AH36" s="125">
        <v>7387.2000000000016</v>
      </c>
      <c r="AI36" s="125">
        <v>3492.66</v>
      </c>
      <c r="AJ36" s="127">
        <v>8900</v>
      </c>
      <c r="AK36" s="124">
        <v>2142.61</v>
      </c>
      <c r="AL36" s="124">
        <v>1147.1999999999998</v>
      </c>
      <c r="AM36" s="128">
        <f>IFERROR(AL36/AJ36,0)</f>
        <v>0.12889887640449435</v>
      </c>
      <c r="AN36" s="124">
        <f>+AK36+AL36</f>
        <v>3289.81</v>
      </c>
      <c r="AO36" s="129">
        <f>IFERROR(+AN36/AJ36,0)</f>
        <v>0.36964157303370787</v>
      </c>
      <c r="AP36" s="50">
        <v>100002258</v>
      </c>
      <c r="AQ36" s="50"/>
      <c r="AS36"/>
      <c r="AU36" s="85"/>
    </row>
    <row r="37" spans="1:48" s="109" customFormat="1" ht="12.75" customHeight="1" thickBot="1" x14ac:dyDescent="0.35">
      <c r="A37" s="45"/>
      <c r="B37" s="98"/>
      <c r="C37" s="99"/>
      <c r="D37" s="100" t="s">
        <v>129</v>
      </c>
      <c r="E37" s="101">
        <v>58746.467999999993</v>
      </c>
      <c r="F37" s="102">
        <v>57023.544000000002</v>
      </c>
      <c r="G37" s="102">
        <v>90976.271999999866</v>
      </c>
      <c r="H37" s="102">
        <v>111856.44399999974</v>
      </c>
      <c r="I37" s="102">
        <v>92409.444000000236</v>
      </c>
      <c r="J37" s="102">
        <v>88479.456000000238</v>
      </c>
      <c r="K37" s="102">
        <v>75440.027999999846</v>
      </c>
      <c r="L37" s="102">
        <v>63665.844000000092</v>
      </c>
      <c r="M37" s="102">
        <v>74915.724000000118</v>
      </c>
      <c r="N37" s="102">
        <v>24370.128000000004</v>
      </c>
      <c r="O37" s="102">
        <v>46470.27600000002</v>
      </c>
      <c r="P37" s="102">
        <v>34516.812000000005</v>
      </c>
      <c r="Q37" s="103">
        <v>54635.124000000287</v>
      </c>
      <c r="R37" s="102">
        <v>53945.244000000115</v>
      </c>
      <c r="S37" s="101">
        <v>38589.323999999986</v>
      </c>
      <c r="T37" s="101">
        <v>63487.968000000117</v>
      </c>
      <c r="U37" s="101">
        <v>27497.243999999999</v>
      </c>
      <c r="V37" s="101">
        <v>105421.84800000011</v>
      </c>
      <c r="W37" s="101">
        <v>113217.74400000009</v>
      </c>
      <c r="X37" s="101">
        <v>48203.376000000033</v>
      </c>
      <c r="Y37" s="102">
        <v>96721.788000000321</v>
      </c>
      <c r="Z37" s="101">
        <v>87329.772000000667</v>
      </c>
      <c r="AA37" s="101">
        <v>80230.536000000444</v>
      </c>
      <c r="AB37" s="101">
        <v>74623.452000000325</v>
      </c>
      <c r="AC37" s="101">
        <v>73419.600000000064</v>
      </c>
      <c r="AD37" s="104">
        <v>65343.312000000486</v>
      </c>
      <c r="AE37" s="103">
        <v>78300.720000000292</v>
      </c>
      <c r="AF37" s="103">
        <v>74007.720000000118</v>
      </c>
      <c r="AG37" s="103">
        <v>88462.428000000175</v>
      </c>
      <c r="AH37" s="103">
        <v>76805.496000000392</v>
      </c>
      <c r="AI37" s="103">
        <v>111783.91200000039</v>
      </c>
      <c r="AJ37" s="105">
        <v>100000</v>
      </c>
      <c r="AK37" s="102">
        <f t="shared" ref="AK37:AN37" si="15">+SUM(AK34:AK36)</f>
        <v>15018.280000000022</v>
      </c>
      <c r="AL37" s="102">
        <f t="shared" si="15"/>
        <v>41774.232000000076</v>
      </c>
      <c r="AM37" s="106">
        <f t="shared" ref="AM37:AM56" si="16">IFERROR(AL37/AJ37,0)</f>
        <v>0.41774232000000078</v>
      </c>
      <c r="AN37" s="102">
        <f t="shared" si="15"/>
        <v>56792.512000000097</v>
      </c>
      <c r="AO37" s="107">
        <f t="shared" ref="AO37:AO56" si="17">IFERROR(+AN37/AJ37,0)</f>
        <v>0.56792512000000095</v>
      </c>
      <c r="AP37" s="49"/>
      <c r="AQ37" s="49"/>
      <c r="AR37" s="108"/>
      <c r="AS37"/>
      <c r="AT37"/>
      <c r="AU37" s="85"/>
    </row>
    <row r="38" spans="1:48" ht="12.75" customHeight="1" x14ac:dyDescent="0.25">
      <c r="A38" s="47" t="s">
        <v>31</v>
      </c>
      <c r="B38" s="75" t="s">
        <v>130</v>
      </c>
      <c r="C38" s="76" t="s">
        <v>126</v>
      </c>
      <c r="D38" s="77" t="s">
        <v>131</v>
      </c>
      <c r="E38" s="130">
        <v>6828.8159999999998</v>
      </c>
      <c r="F38" s="131">
        <v>11209.151999999998</v>
      </c>
      <c r="G38" s="79">
        <v>4714.8839999999982</v>
      </c>
      <c r="H38" s="79">
        <v>3087.371999999998</v>
      </c>
      <c r="I38" s="79">
        <v>1034.1599999999999</v>
      </c>
      <c r="J38" s="79">
        <v>2732.9639999999999</v>
      </c>
      <c r="K38" s="79">
        <v>1778.9159999999979</v>
      </c>
      <c r="L38" s="79">
        <v>1883.7599999999995</v>
      </c>
      <c r="M38" s="79">
        <v>1166.5919999999999</v>
      </c>
      <c r="N38" s="79">
        <v>1410.647999999999</v>
      </c>
      <c r="O38" s="79">
        <v>1180.8719999999994</v>
      </c>
      <c r="P38" s="79">
        <v>1241.4719999999998</v>
      </c>
      <c r="Q38" s="79">
        <v>2444.7239999999979</v>
      </c>
      <c r="R38" s="79">
        <v>719.66399999999885</v>
      </c>
      <c r="S38" s="79">
        <v>907.86000000000035</v>
      </c>
      <c r="T38" s="80">
        <v>1968.3599999999985</v>
      </c>
      <c r="U38" s="80">
        <v>1924.0319999999995</v>
      </c>
      <c r="V38" s="80">
        <v>2972.5200000000091</v>
      </c>
      <c r="W38" s="80">
        <v>244.93199999999942</v>
      </c>
      <c r="X38" s="80">
        <v>2170.0079999999984</v>
      </c>
      <c r="Y38" s="80">
        <v>1813.4879999999998</v>
      </c>
      <c r="Z38" s="79">
        <v>1982.2799999999986</v>
      </c>
      <c r="AA38" s="78">
        <v>1381.6439999999989</v>
      </c>
      <c r="AB38" s="79">
        <v>1540.3079999999995</v>
      </c>
      <c r="AC38" s="78">
        <v>2274.4679999999971</v>
      </c>
      <c r="AD38" s="81">
        <v>1670.7479999999991</v>
      </c>
      <c r="AE38" s="80">
        <v>1081.3319999999999</v>
      </c>
      <c r="AF38" s="80">
        <v>1841.9999999999986</v>
      </c>
      <c r="AG38" s="80">
        <v>1591.2839999999994</v>
      </c>
      <c r="AH38" s="80">
        <v>2789.6279999999992</v>
      </c>
      <c r="AI38" s="80">
        <v>1020.0359999999997</v>
      </c>
      <c r="AJ38" s="114">
        <v>2300</v>
      </c>
      <c r="AK38" s="79">
        <v>595.54999999999984</v>
      </c>
      <c r="AL38" s="79">
        <v>1024.7759999999994</v>
      </c>
      <c r="AM38" s="83">
        <f t="shared" si="16"/>
        <v>0.44555478260869541</v>
      </c>
      <c r="AN38" s="79">
        <f>+AK38+AL38</f>
        <v>1620.3259999999991</v>
      </c>
      <c r="AO38" s="84">
        <f t="shared" si="17"/>
        <v>0.70448956521739092</v>
      </c>
      <c r="AP38" s="132">
        <v>100001914</v>
      </c>
      <c r="AQ38" s="132">
        <v>100001979</v>
      </c>
      <c r="AR38" s="133">
        <v>100086833</v>
      </c>
      <c r="AS38"/>
      <c r="AU38" s="85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>
        <v>4400.6399999999994</v>
      </c>
      <c r="P39" s="87">
        <v>2039.04</v>
      </c>
      <c r="Q39" s="87">
        <v>3346.56</v>
      </c>
      <c r="R39" s="87">
        <v>7438.08</v>
      </c>
      <c r="S39" s="87">
        <v>1396.8</v>
      </c>
      <c r="T39" s="88">
        <v>1933.4399999999998</v>
      </c>
      <c r="U39" s="88"/>
      <c r="V39" s="88"/>
      <c r="W39" s="88"/>
      <c r="X39" s="88"/>
      <c r="Y39" s="88"/>
      <c r="Z39" s="87"/>
      <c r="AA39" s="86"/>
      <c r="AB39" s="87"/>
      <c r="AC39" s="86"/>
      <c r="AD39" s="89">
        <v>1401.6</v>
      </c>
      <c r="AE39" s="88">
        <v>3310.08</v>
      </c>
      <c r="AF39" s="88">
        <v>253.44</v>
      </c>
      <c r="AG39" s="88">
        <v>1228.8</v>
      </c>
      <c r="AH39" s="88">
        <v>0</v>
      </c>
      <c r="AI39" s="88">
        <v>3640.3200000000006</v>
      </c>
      <c r="AJ39" s="115">
        <v>1500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si="17"/>
        <v>0</v>
      </c>
      <c r="AP39" s="132"/>
      <c r="AQ39" s="132"/>
      <c r="AR39" s="133"/>
      <c r="AS39"/>
      <c r="AU39" s="85"/>
    </row>
    <row r="40" spans="1:48" ht="12.75" customHeight="1" x14ac:dyDescent="0.25">
      <c r="A40" s="47" t="s">
        <v>31</v>
      </c>
      <c r="B40" s="75" t="s">
        <v>132</v>
      </c>
      <c r="C40" s="136" t="s">
        <v>128</v>
      </c>
      <c r="D40" s="77" t="s">
        <v>134</v>
      </c>
      <c r="E40" s="130">
        <v>42352.368000000097</v>
      </c>
      <c r="F40" s="79">
        <v>22323.88799999997</v>
      </c>
      <c r="G40" s="79">
        <v>79115.255999999688</v>
      </c>
      <c r="H40" s="79">
        <v>69215.471999999747</v>
      </c>
      <c r="I40" s="79">
        <v>69992.700000000041</v>
      </c>
      <c r="J40" s="79">
        <v>91216.115999999762</v>
      </c>
      <c r="K40" s="79">
        <v>29227.368000000028</v>
      </c>
      <c r="L40" s="79">
        <v>54321.852000000043</v>
      </c>
      <c r="M40" s="79">
        <v>43936.559999999939</v>
      </c>
      <c r="N40" s="79">
        <v>50221.212000000371</v>
      </c>
      <c r="O40" s="79">
        <v>38284.284000000036</v>
      </c>
      <c r="P40" s="79">
        <v>67121.36400000022</v>
      </c>
      <c r="Q40" s="79">
        <v>45965.663999999975</v>
      </c>
      <c r="R40" s="79">
        <v>42092.676000000036</v>
      </c>
      <c r="S40" s="79">
        <v>46653.384000000056</v>
      </c>
      <c r="T40" s="80">
        <v>58176.084000000134</v>
      </c>
      <c r="U40" s="80">
        <v>54262.320000000218</v>
      </c>
      <c r="V40" s="80">
        <v>53165.92800000008</v>
      </c>
      <c r="W40" s="80">
        <v>67400.976000000141</v>
      </c>
      <c r="X40" s="80">
        <v>57838.188000000286</v>
      </c>
      <c r="Y40" s="80">
        <v>54039.408000000331</v>
      </c>
      <c r="Z40" s="79">
        <v>55744.18799999934</v>
      </c>
      <c r="AA40" s="78">
        <v>69680.58</v>
      </c>
      <c r="AB40" s="79">
        <v>48901.968000000161</v>
      </c>
      <c r="AC40" s="78">
        <v>52931.508000000176</v>
      </c>
      <c r="AD40" s="81">
        <v>39339.971999999958</v>
      </c>
      <c r="AE40" s="80">
        <v>45105.888000000137</v>
      </c>
      <c r="AF40" s="80">
        <v>57024.84000000004</v>
      </c>
      <c r="AG40" s="80">
        <v>37582.211999999963</v>
      </c>
      <c r="AH40" s="80">
        <v>77756.735999999932</v>
      </c>
      <c r="AI40" s="80">
        <v>62541.60000000002</v>
      </c>
      <c r="AJ40" s="82">
        <v>68000</v>
      </c>
      <c r="AK40" s="79">
        <v>17559.830000000031</v>
      </c>
      <c r="AL40" s="79">
        <v>16527.143999999975</v>
      </c>
      <c r="AM40" s="83">
        <f t="shared" si="16"/>
        <v>0.24304623529411729</v>
      </c>
      <c r="AN40" s="79">
        <f>+AK40+AL40</f>
        <v>34086.974000000002</v>
      </c>
      <c r="AO40" s="84">
        <f t="shared" si="17"/>
        <v>0.50127902941176472</v>
      </c>
      <c r="AP40" s="132"/>
      <c r="AQ40" s="132"/>
      <c r="AR40" s="133"/>
      <c r="AS40"/>
      <c r="AU40" s="85"/>
    </row>
    <row r="41" spans="1:48" ht="12.75" customHeight="1" x14ac:dyDescent="0.25">
      <c r="A41" s="47" t="s">
        <v>31</v>
      </c>
      <c r="B41" s="64" t="s">
        <v>132</v>
      </c>
      <c r="C41" s="134" t="s">
        <v>131</v>
      </c>
      <c r="D41" s="66" t="s">
        <v>135</v>
      </c>
      <c r="E41" s="135">
        <v>47024.159999999996</v>
      </c>
      <c r="F41" s="87">
        <v>62071.367999999966</v>
      </c>
      <c r="G41" s="87">
        <v>70259.66399999999</v>
      </c>
      <c r="H41" s="87">
        <v>70352.975999999995</v>
      </c>
      <c r="I41" s="87">
        <v>86185.823999999979</v>
      </c>
      <c r="J41" s="87">
        <v>106367.61599999998</v>
      </c>
      <c r="K41" s="87">
        <v>91276.632000000027</v>
      </c>
      <c r="L41" s="87">
        <v>66325.799999999988</v>
      </c>
      <c r="M41" s="87">
        <v>74856.911999999997</v>
      </c>
      <c r="N41" s="87">
        <v>94745.4</v>
      </c>
      <c r="O41" s="87">
        <v>53886.264000000003</v>
      </c>
      <c r="P41" s="87">
        <v>55169.471999999987</v>
      </c>
      <c r="Q41" s="87">
        <v>98224.967999999979</v>
      </c>
      <c r="R41" s="87">
        <v>62883.647999999986</v>
      </c>
      <c r="S41" s="87">
        <v>100892.56800000001</v>
      </c>
      <c r="T41" s="88">
        <v>97680.168000000005</v>
      </c>
      <c r="U41" s="88">
        <v>104697.60000000003</v>
      </c>
      <c r="V41" s="88">
        <v>92087.183999999994</v>
      </c>
      <c r="W41" s="88">
        <v>90462.695999999982</v>
      </c>
      <c r="X41" s="88">
        <v>103485.95999999998</v>
      </c>
      <c r="Y41" s="88">
        <v>87284.112000000008</v>
      </c>
      <c r="Z41" s="87">
        <v>108524.54400000001</v>
      </c>
      <c r="AA41" s="86">
        <v>92184.528000000006</v>
      </c>
      <c r="AB41" s="87">
        <v>91129.103999999992</v>
      </c>
      <c r="AC41" s="86">
        <v>65830.439999999988</v>
      </c>
      <c r="AD41" s="89">
        <v>72110.591999999975</v>
      </c>
      <c r="AE41" s="88">
        <v>63241.463999999993</v>
      </c>
      <c r="AF41" s="88">
        <v>62660.831999999995</v>
      </c>
      <c r="AG41" s="88">
        <v>80310.695999999982</v>
      </c>
      <c r="AH41" s="88">
        <v>77073.324000000008</v>
      </c>
      <c r="AI41" s="88">
        <v>87907.511999999973</v>
      </c>
      <c r="AJ41" s="115">
        <v>87000</v>
      </c>
      <c r="AK41" s="87">
        <v>24624.960000000006</v>
      </c>
      <c r="AL41" s="87">
        <v>63637.103999999985</v>
      </c>
      <c r="AM41" s="91">
        <f t="shared" si="16"/>
        <v>0.73146096551724116</v>
      </c>
      <c r="AN41" s="87">
        <f t="shared" si="14"/>
        <v>88262.063999999984</v>
      </c>
      <c r="AO41" s="92">
        <f t="shared" si="17"/>
        <v>1.0145064827586205</v>
      </c>
      <c r="AP41" s="132"/>
      <c r="AQ41" s="132"/>
      <c r="AR41" s="133"/>
      <c r="AS41"/>
      <c r="AU41" s="85"/>
    </row>
    <row r="42" spans="1:48" ht="12.75" customHeight="1" x14ac:dyDescent="0.25">
      <c r="A42" s="47" t="s">
        <v>31</v>
      </c>
      <c r="B42" s="75" t="s">
        <v>132</v>
      </c>
      <c r="C42" s="136" t="s">
        <v>136</v>
      </c>
      <c r="D42" s="77" t="s">
        <v>137</v>
      </c>
      <c r="E42" s="130">
        <v>74309.16</v>
      </c>
      <c r="F42" s="79">
        <v>87425.183999999921</v>
      </c>
      <c r="G42" s="79">
        <v>65631.875999999975</v>
      </c>
      <c r="H42" s="79">
        <v>115627.52399999979</v>
      </c>
      <c r="I42" s="79">
        <v>120082.56</v>
      </c>
      <c r="J42" s="79">
        <v>89946.119999999937</v>
      </c>
      <c r="K42" s="79">
        <v>146977.37999999977</v>
      </c>
      <c r="L42" s="79">
        <v>64860.996000000072</v>
      </c>
      <c r="M42" s="79">
        <v>44974.008000000023</v>
      </c>
      <c r="N42" s="79">
        <v>60609.852000000064</v>
      </c>
      <c r="O42" s="79">
        <v>52481.952000000078</v>
      </c>
      <c r="P42" s="79">
        <v>61783.104000000087</v>
      </c>
      <c r="Q42" s="79">
        <v>99067.512000000002</v>
      </c>
      <c r="R42" s="79">
        <v>89857.00799999974</v>
      </c>
      <c r="S42" s="79">
        <v>71760.036000000095</v>
      </c>
      <c r="T42" s="80">
        <v>121057.43999999992</v>
      </c>
      <c r="U42" s="80">
        <v>99828.563999999955</v>
      </c>
      <c r="V42" s="80">
        <v>108129.97199999973</v>
      </c>
      <c r="W42" s="80">
        <v>105245.40000000008</v>
      </c>
      <c r="X42" s="80">
        <v>101755.99199999993</v>
      </c>
      <c r="Y42" s="80">
        <v>119505.51600000002</v>
      </c>
      <c r="Z42" s="79">
        <v>79451.952000000136</v>
      </c>
      <c r="AA42" s="78">
        <v>62549.400000000009</v>
      </c>
      <c r="AB42" s="79">
        <v>86782.704000000187</v>
      </c>
      <c r="AC42" s="78">
        <v>106590.43199999994</v>
      </c>
      <c r="AD42" s="81">
        <v>71628.204000000245</v>
      </c>
      <c r="AE42" s="80">
        <v>95563.68000000008</v>
      </c>
      <c r="AF42" s="80">
        <v>76259.100000000151</v>
      </c>
      <c r="AG42" s="80">
        <v>103143.40800000004</v>
      </c>
      <c r="AH42" s="80">
        <v>83936.628000000215</v>
      </c>
      <c r="AI42" s="80">
        <v>102763.94400000015</v>
      </c>
      <c r="AJ42" s="82">
        <v>106000</v>
      </c>
      <c r="AK42" s="79">
        <v>16933.709999999995</v>
      </c>
      <c r="AL42" s="79">
        <v>45034.956000000078</v>
      </c>
      <c r="AM42" s="83">
        <f t="shared" si="16"/>
        <v>0.42485807547169885</v>
      </c>
      <c r="AN42" s="79">
        <f t="shared" si="14"/>
        <v>61968.66600000007</v>
      </c>
      <c r="AO42" s="84">
        <f t="shared" si="17"/>
        <v>0.5846100566037743</v>
      </c>
      <c r="AP42" s="132"/>
      <c r="AQ42" s="132"/>
      <c r="AR42" s="133"/>
      <c r="AS42"/>
      <c r="AU42" s="85"/>
    </row>
    <row r="43" spans="1:48" ht="12.75" customHeight="1" x14ac:dyDescent="0.25">
      <c r="A43" s="47" t="s">
        <v>31</v>
      </c>
      <c r="B43" s="64" t="s">
        <v>132</v>
      </c>
      <c r="C43" s="134" t="s">
        <v>136</v>
      </c>
      <c r="D43" s="66" t="s">
        <v>138</v>
      </c>
      <c r="E43" s="135">
        <v>40306.559999999976</v>
      </c>
      <c r="F43" s="87">
        <v>27803.519999999997</v>
      </c>
      <c r="G43" s="87">
        <v>26319.360000000001</v>
      </c>
      <c r="H43" s="87">
        <v>-633.6</v>
      </c>
      <c r="I43" s="87">
        <v>-633.6</v>
      </c>
      <c r="J43" s="87">
        <v>0</v>
      </c>
      <c r="K43" s="87">
        <v>-86.831999999999994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14024.255999999999</v>
      </c>
      <c r="S43" s="87">
        <v>28838.544000000002</v>
      </c>
      <c r="T43" s="88">
        <v>25573.104000000003</v>
      </c>
      <c r="U43" s="88">
        <v>41931.647999999986</v>
      </c>
      <c r="V43" s="88">
        <v>22734.96000000001</v>
      </c>
      <c r="W43" s="88">
        <v>49704.767999999996</v>
      </c>
      <c r="X43" s="88">
        <v>45015.695999999996</v>
      </c>
      <c r="Y43" s="88">
        <v>41734.847999999991</v>
      </c>
      <c r="Z43" s="87">
        <v>35038.703999999998</v>
      </c>
      <c r="AA43" s="86">
        <v>39213.647999999994</v>
      </c>
      <c r="AB43" s="87">
        <v>43529.51999999999</v>
      </c>
      <c r="AC43" s="86">
        <v>76422.191999999981</v>
      </c>
      <c r="AD43" s="89">
        <v>44203.19999999999</v>
      </c>
      <c r="AE43" s="88">
        <v>23546.304000000004</v>
      </c>
      <c r="AF43" s="88">
        <v>42546.335999999981</v>
      </c>
      <c r="AG43" s="88">
        <v>32524.848000000009</v>
      </c>
      <c r="AH43" s="88">
        <v>54066.335999999981</v>
      </c>
      <c r="AI43" s="88">
        <v>73738.895999999964</v>
      </c>
      <c r="AJ43" s="115">
        <v>55000</v>
      </c>
      <c r="AK43" s="87">
        <v>610.56000000000006</v>
      </c>
      <c r="AL43" s="87">
        <v>46405.247999999985</v>
      </c>
      <c r="AM43" s="91">
        <f t="shared" si="16"/>
        <v>0.84373178181818154</v>
      </c>
      <c r="AN43" s="87">
        <f t="shared" si="14"/>
        <v>47015.807999999983</v>
      </c>
      <c r="AO43" s="92">
        <f t="shared" si="17"/>
        <v>0.85483287272727237</v>
      </c>
      <c r="AP43" s="132"/>
      <c r="AQ43" s="132"/>
      <c r="AR43" s="133"/>
      <c r="AS43"/>
      <c r="AU43" s="85"/>
    </row>
    <row r="44" spans="1:48" ht="12.75" customHeight="1" x14ac:dyDescent="0.25">
      <c r="A44" s="47" t="s">
        <v>31</v>
      </c>
      <c r="B44" s="75" t="s">
        <v>132</v>
      </c>
      <c r="C44" s="136" t="s">
        <v>131</v>
      </c>
      <c r="D44" s="77" t="s">
        <v>139</v>
      </c>
      <c r="E44" s="130">
        <v>12542.688</v>
      </c>
      <c r="F44" s="79">
        <v>24315.672000000006</v>
      </c>
      <c r="G44" s="79">
        <v>28942.775999999998</v>
      </c>
      <c r="H44" s="79">
        <v>28987.980000000003</v>
      </c>
      <c r="I44" s="79">
        <v>-76.176000000000002</v>
      </c>
      <c r="J44" s="79">
        <v>16182.96</v>
      </c>
      <c r="K44" s="79">
        <v>38874.767999999989</v>
      </c>
      <c r="L44" s="79">
        <v>32670.011999999992</v>
      </c>
      <c r="M44" s="79">
        <v>26004.180000000004</v>
      </c>
      <c r="N44" s="79">
        <v>13659.672</v>
      </c>
      <c r="O44" s="79">
        <v>20958.564000000006</v>
      </c>
      <c r="P44" s="79">
        <v>13737.635999999991</v>
      </c>
      <c r="Q44" s="79">
        <v>66737.7</v>
      </c>
      <c r="R44" s="79">
        <v>21894.899999999998</v>
      </c>
      <c r="S44" s="79">
        <v>22883.100000000002</v>
      </c>
      <c r="T44" s="80">
        <v>21136.296000000002</v>
      </c>
      <c r="U44" s="80">
        <v>54060.792000000009</v>
      </c>
      <c r="V44" s="80">
        <v>68111.627999999982</v>
      </c>
      <c r="W44" s="80">
        <v>45738.180000000008</v>
      </c>
      <c r="X44" s="80">
        <v>28811.892</v>
      </c>
      <c r="Y44" s="80">
        <v>27454.152000000006</v>
      </c>
      <c r="Z44" s="79">
        <v>49574.964000000007</v>
      </c>
      <c r="AA44" s="78">
        <v>28774.45199999999</v>
      </c>
      <c r="AB44" s="79">
        <v>16537.752</v>
      </c>
      <c r="AC44" s="78">
        <v>19344.323999999997</v>
      </c>
      <c r="AD44" s="81">
        <v>22471.716</v>
      </c>
      <c r="AE44" s="80">
        <v>54054.671999999991</v>
      </c>
      <c r="AF44" s="80">
        <v>16933.595999999998</v>
      </c>
      <c r="AG44" s="80">
        <v>30539.448</v>
      </c>
      <c r="AH44" s="80">
        <v>27977.723999999998</v>
      </c>
      <c r="AI44" s="80">
        <v>62215.968000000001</v>
      </c>
      <c r="AJ44" s="82">
        <v>32200</v>
      </c>
      <c r="AK44" s="79">
        <v>10751.99</v>
      </c>
      <c r="AL44" s="79">
        <v>1074.5879999999997</v>
      </c>
      <c r="AM44" s="83">
        <f t="shared" si="16"/>
        <v>3.3372298136645953E-2</v>
      </c>
      <c r="AN44" s="79">
        <f t="shared" si="14"/>
        <v>11826.578</v>
      </c>
      <c r="AO44" s="84">
        <f t="shared" si="17"/>
        <v>0.3672850310559006</v>
      </c>
      <c r="AP44" s="132"/>
      <c r="AQ44" s="132"/>
      <c r="AR44" s="133"/>
      <c r="AS44"/>
      <c r="AU44" s="85"/>
    </row>
    <row r="45" spans="1:48" ht="12.75" customHeight="1" thickBot="1" x14ac:dyDescent="0.3">
      <c r="A45" s="47" t="s">
        <v>31</v>
      </c>
      <c r="B45" s="64" t="s">
        <v>132</v>
      </c>
      <c r="C45" s="134" t="s">
        <v>128</v>
      </c>
      <c r="D45" s="66" t="s">
        <v>140</v>
      </c>
      <c r="E45" s="137">
        <v>12403.23600000005</v>
      </c>
      <c r="F45" s="138">
        <v>16345.080000000067</v>
      </c>
      <c r="G45" s="124">
        <v>21106.572000000018</v>
      </c>
      <c r="H45" s="124">
        <v>23388.840000000058</v>
      </c>
      <c r="I45" s="124">
        <v>23509.475999999995</v>
      </c>
      <c r="J45" s="124">
        <v>20029.992000000024</v>
      </c>
      <c r="K45" s="124">
        <v>20434.116000000002</v>
      </c>
      <c r="L45" s="124">
        <v>16447.896000000004</v>
      </c>
      <c r="M45" s="124">
        <v>16827.30000000005</v>
      </c>
      <c r="N45" s="124">
        <v>15609.996000000019</v>
      </c>
      <c r="O45" s="124">
        <v>13676.496000000039</v>
      </c>
      <c r="P45" s="124">
        <v>13738.896000000039</v>
      </c>
      <c r="Q45" s="124">
        <v>15048.360000000053</v>
      </c>
      <c r="R45" s="124">
        <v>11584.092000000041</v>
      </c>
      <c r="S45" s="124">
        <v>15103.944000000054</v>
      </c>
      <c r="T45" s="125">
        <v>16499.052000000072</v>
      </c>
      <c r="U45" s="125">
        <v>19408.392000000069</v>
      </c>
      <c r="V45" s="125">
        <v>24219.168000000045</v>
      </c>
      <c r="W45" s="125">
        <v>19572.432000000092</v>
      </c>
      <c r="X45" s="125">
        <v>16604.880000000037</v>
      </c>
      <c r="Y45" s="125">
        <v>17764.392000000051</v>
      </c>
      <c r="Z45" s="124">
        <v>19178.268000000055</v>
      </c>
      <c r="AA45" s="123">
        <v>16058.052000000045</v>
      </c>
      <c r="AB45" s="124">
        <v>17006.076000000081</v>
      </c>
      <c r="AC45" s="123">
        <v>15366.732000000045</v>
      </c>
      <c r="AD45" s="126">
        <v>13835.100000000046</v>
      </c>
      <c r="AE45" s="125">
        <v>14474.88000000005</v>
      </c>
      <c r="AF45" s="125">
        <v>12023.004000000039</v>
      </c>
      <c r="AG45" s="125">
        <v>13377.636000000068</v>
      </c>
      <c r="AH45" s="125">
        <v>19032.096000000041</v>
      </c>
      <c r="AI45" s="125">
        <v>16413.44400000004</v>
      </c>
      <c r="AJ45" s="127">
        <v>18000</v>
      </c>
      <c r="AK45" s="124">
        <v>3273.5999999999995</v>
      </c>
      <c r="AL45" s="124">
        <v>10207.716000000029</v>
      </c>
      <c r="AM45" s="128">
        <f t="shared" si="16"/>
        <v>0.56709533333333495</v>
      </c>
      <c r="AN45" s="124">
        <f t="shared" si="14"/>
        <v>13481.316000000028</v>
      </c>
      <c r="AO45" s="129">
        <f t="shared" si="17"/>
        <v>0.74896200000000157</v>
      </c>
      <c r="AP45" s="139"/>
      <c r="AQ45" s="132"/>
      <c r="AR45" s="133"/>
      <c r="AS45"/>
      <c r="AU45" s="85"/>
    </row>
    <row r="46" spans="1:48" s="109" customFormat="1" ht="12.75" customHeight="1" thickBot="1" x14ac:dyDescent="0.35">
      <c r="A46" s="45" t="s">
        <v>31</v>
      </c>
      <c r="B46" s="140"/>
      <c r="C46" s="141"/>
      <c r="D46" s="142" t="s">
        <v>141</v>
      </c>
      <c r="E46" s="143">
        <f t="shared" ref="E46:AD46" si="18">+SUM(E38:E45)</f>
        <v>235766.98800000013</v>
      </c>
      <c r="F46" s="144">
        <f t="shared" si="18"/>
        <v>251493.86399999994</v>
      </c>
      <c r="G46" s="144">
        <f t="shared" si="18"/>
        <v>296090.38799999969</v>
      </c>
      <c r="H46" s="144">
        <f t="shared" si="18"/>
        <v>310026.56399999961</v>
      </c>
      <c r="I46" s="144">
        <f t="shared" si="18"/>
        <v>300094.94400000002</v>
      </c>
      <c r="J46" s="144">
        <f t="shared" si="18"/>
        <v>326475.76799999969</v>
      </c>
      <c r="K46" s="144">
        <f t="shared" si="18"/>
        <v>328482.34799999982</v>
      </c>
      <c r="L46" s="144">
        <f t="shared" si="18"/>
        <v>236510.31600000011</v>
      </c>
      <c r="M46" s="144">
        <f t="shared" si="18"/>
        <v>207765.552</v>
      </c>
      <c r="N46" s="144">
        <f t="shared" si="18"/>
        <v>236256.78000000044</v>
      </c>
      <c r="O46" s="144">
        <f t="shared" si="18"/>
        <v>184869.07200000016</v>
      </c>
      <c r="P46" s="144">
        <f t="shared" si="18"/>
        <v>214830.98400000032</v>
      </c>
      <c r="Q46" s="145">
        <f t="shared" si="18"/>
        <v>330835.48800000001</v>
      </c>
      <c r="R46" s="144">
        <f t="shared" si="18"/>
        <v>250494.32399999979</v>
      </c>
      <c r="S46" s="143">
        <f t="shared" si="18"/>
        <v>288436.23600000021</v>
      </c>
      <c r="T46" s="143">
        <f t="shared" si="18"/>
        <v>344023.94400000019</v>
      </c>
      <c r="U46" s="143">
        <f t="shared" si="18"/>
        <v>376113.34800000029</v>
      </c>
      <c r="V46" s="143">
        <f t="shared" si="18"/>
        <v>371421.35999999987</v>
      </c>
      <c r="W46" s="143">
        <f t="shared" si="18"/>
        <v>378369.38400000025</v>
      </c>
      <c r="X46" s="143">
        <f t="shared" si="18"/>
        <v>355682.61600000021</v>
      </c>
      <c r="Y46" s="144">
        <f t="shared" si="18"/>
        <v>349595.91600000038</v>
      </c>
      <c r="Z46" s="143">
        <f t="shared" si="18"/>
        <v>349494.89999999956</v>
      </c>
      <c r="AA46" s="143">
        <f t="shared" si="18"/>
        <v>309842.304</v>
      </c>
      <c r="AB46" s="143">
        <f t="shared" si="18"/>
        <v>305427.43200000032</v>
      </c>
      <c r="AC46" s="143">
        <f t="shared" si="18"/>
        <v>338760.09600000014</v>
      </c>
      <c r="AD46" s="146">
        <f t="shared" si="18"/>
        <v>266661.13200000016</v>
      </c>
      <c r="AE46" s="145">
        <v>300378.30000000022</v>
      </c>
      <c r="AF46" s="145">
        <v>269543.14800000016</v>
      </c>
      <c r="AG46" s="145">
        <v>300298.33199999999</v>
      </c>
      <c r="AH46" s="145">
        <v>342632.47200000013</v>
      </c>
      <c r="AI46" s="145">
        <v>410241.72000000009</v>
      </c>
      <c r="AJ46" s="147">
        <v>370000</v>
      </c>
      <c r="AK46" s="144">
        <f>SUM(AK38:AK45)</f>
        <v>74350.200000000041</v>
      </c>
      <c r="AL46" s="144">
        <f>SUM(AL38:AL45)</f>
        <v>183911.53200000006</v>
      </c>
      <c r="AM46" s="148">
        <f t="shared" si="16"/>
        <v>0.49705819459459477</v>
      </c>
      <c r="AN46" s="144">
        <f t="shared" si="14"/>
        <v>258261.73200000011</v>
      </c>
      <c r="AO46" s="149">
        <f t="shared" si="17"/>
        <v>0.69800468108108138</v>
      </c>
      <c r="AP46" s="150"/>
      <c r="AQ46" s="150"/>
      <c r="AR46" s="108"/>
      <c r="AS46" s="108"/>
    </row>
    <row r="47" spans="1:48" ht="12.75" customHeight="1" thickBot="1" x14ac:dyDescent="0.3">
      <c r="A47" s="45" t="s">
        <v>31</v>
      </c>
      <c r="B47" s="151" t="s">
        <v>142</v>
      </c>
      <c r="C47" s="152"/>
      <c r="D47" s="153" t="s">
        <v>5</v>
      </c>
      <c r="E47" s="154">
        <f t="shared" ref="E47:R47" si="19">+E18+E22+E28+E30+E33+E37+E46</f>
        <v>1175570.9520000005</v>
      </c>
      <c r="F47" s="155">
        <f t="shared" si="19"/>
        <v>1250405.7840000002</v>
      </c>
      <c r="G47" s="155">
        <f t="shared" si="19"/>
        <v>1231475.304</v>
      </c>
      <c r="H47" s="155">
        <f t="shared" si="19"/>
        <v>1422692.6560000002</v>
      </c>
      <c r="I47" s="155">
        <f t="shared" si="19"/>
        <v>1391685.2760000005</v>
      </c>
      <c r="J47" s="155">
        <f t="shared" si="19"/>
        <v>1415068.1040000003</v>
      </c>
      <c r="K47" s="155">
        <f t="shared" si="19"/>
        <v>1416463.4880000006</v>
      </c>
      <c r="L47" s="155">
        <f t="shared" si="19"/>
        <v>1179926.0760000004</v>
      </c>
      <c r="M47" s="155">
        <f t="shared" si="19"/>
        <v>1027561.4760000006</v>
      </c>
      <c r="N47" s="155">
        <f t="shared" si="19"/>
        <v>986819.41200000048</v>
      </c>
      <c r="O47" s="155">
        <f t="shared" si="19"/>
        <v>1002008.5080000003</v>
      </c>
      <c r="P47" s="155">
        <f t="shared" si="19"/>
        <v>1093648.3800000006</v>
      </c>
      <c r="Q47" s="156">
        <f t="shared" si="19"/>
        <v>1352946.4400000009</v>
      </c>
      <c r="R47" s="155">
        <f t="shared" si="19"/>
        <v>1168741.7480000004</v>
      </c>
      <c r="S47" s="154">
        <v>1248448.7840000009</v>
      </c>
      <c r="T47" s="154">
        <f>+T18+T22+T28+T30+T33+T37+T46</f>
        <v>1552063.4720000017</v>
      </c>
      <c r="U47" s="154">
        <f>+U18+U22+U28+U30+U33+U37+U46</f>
        <v>1510196.5640000012</v>
      </c>
      <c r="V47" s="154">
        <f>+V18+V22+V28+V30+V33+V37+V46</f>
        <v>1671080.2200000002</v>
      </c>
      <c r="W47" s="157">
        <v>1765037.0760000017</v>
      </c>
      <c r="X47" s="157">
        <v>1619077.1320000007</v>
      </c>
      <c r="Y47" s="158">
        <v>1508267.3440000017</v>
      </c>
      <c r="Z47" s="158">
        <v>1616545.4520000005</v>
      </c>
      <c r="AA47" s="158">
        <v>1554549.0080000018</v>
      </c>
      <c r="AB47" s="158">
        <v>1490777.6600000011</v>
      </c>
      <c r="AC47" s="158">
        <v>1659531.0600000015</v>
      </c>
      <c r="AD47" s="159">
        <v>1526755.404000001</v>
      </c>
      <c r="AE47" s="159">
        <v>1573428.0600000015</v>
      </c>
      <c r="AF47" s="159">
        <v>1426663.8000000007</v>
      </c>
      <c r="AG47" s="159">
        <v>1515361.5960000008</v>
      </c>
      <c r="AH47" s="159">
        <v>1707203.7840000014</v>
      </c>
      <c r="AI47" s="159">
        <v>1972670.1960000014</v>
      </c>
      <c r="AJ47" s="160">
        <v>1805000</v>
      </c>
      <c r="AK47" s="158">
        <f>+AK18+AK22+AK28+AK30+AK33+AK37+AK46</f>
        <v>188098.81000000011</v>
      </c>
      <c r="AL47" s="158">
        <f>+AL18+AL22+AL28+AL30+AL33+AL37+AL46</f>
        <v>1135327.3560000006</v>
      </c>
      <c r="AM47" s="161">
        <f t="shared" si="16"/>
        <v>0.6289902249307483</v>
      </c>
      <c r="AN47" s="158">
        <f>+AN18+AN22+AN28+AN30+AN33+AN37+AN46</f>
        <v>1323426.1660000004</v>
      </c>
      <c r="AO47" s="162">
        <f t="shared" si="17"/>
        <v>0.73320009196675928</v>
      </c>
      <c r="AP47" s="150"/>
      <c r="AQ47" s="150"/>
    </row>
    <row r="48" spans="1:48" ht="12.75" hidden="1" customHeight="1" x14ac:dyDescent="0.35">
      <c r="A48" s="45" t="s">
        <v>31</v>
      </c>
      <c r="B48" s="75" t="s">
        <v>143</v>
      </c>
      <c r="C48" s="136" t="s">
        <v>144</v>
      </c>
      <c r="D48" s="163" t="s">
        <v>145</v>
      </c>
      <c r="E48" s="164">
        <v>98077.2</v>
      </c>
      <c r="F48" s="164">
        <v>88389.6</v>
      </c>
      <c r="G48" s="164">
        <v>122397.6</v>
      </c>
      <c r="H48" s="164">
        <v>120619.19999999998</v>
      </c>
      <c r="I48" s="164">
        <v>106750.8</v>
      </c>
      <c r="J48" s="164">
        <v>15802.8</v>
      </c>
      <c r="K48" s="164">
        <v>113958</v>
      </c>
      <c r="L48" s="164">
        <v>30841.199999999997</v>
      </c>
      <c r="M48" s="164">
        <v>41028</v>
      </c>
      <c r="N48" s="164">
        <v>55910.399999999994</v>
      </c>
      <c r="O48" s="164"/>
      <c r="P48" s="164"/>
      <c r="Q48" s="164"/>
      <c r="R48" s="164"/>
      <c r="S48" s="165"/>
      <c r="T48" s="165">
        <v>0</v>
      </c>
      <c r="U48" s="165">
        <v>33087.599999999999</v>
      </c>
      <c r="V48" s="165">
        <v>99387.599999999991</v>
      </c>
      <c r="W48" s="79">
        <v>108466.79999999999</v>
      </c>
      <c r="X48" s="79">
        <v>54366</v>
      </c>
      <c r="Y48" s="79">
        <v>18922.8</v>
      </c>
      <c r="Z48" s="79">
        <v>0</v>
      </c>
      <c r="AA48" s="79">
        <v>0</v>
      </c>
      <c r="AB48" s="79">
        <v>0</v>
      </c>
      <c r="AC48" s="79">
        <v>0</v>
      </c>
      <c r="AD48" s="79">
        <v>88998</v>
      </c>
      <c r="AE48" s="79">
        <v>53383.199999999997</v>
      </c>
      <c r="AF48" s="79">
        <v>0</v>
      </c>
      <c r="AG48" s="79">
        <v>0</v>
      </c>
      <c r="AH48" s="79">
        <v>0</v>
      </c>
      <c r="AI48" s="80">
        <v>22448.400000000001</v>
      </c>
      <c r="AJ48" s="82">
        <v>11000</v>
      </c>
      <c r="AK48" s="79">
        <v>0</v>
      </c>
      <c r="AL48" s="79">
        <v>22464</v>
      </c>
      <c r="AM48" s="83">
        <f t="shared" si="16"/>
        <v>2.0421818181818181</v>
      </c>
      <c r="AN48" s="79">
        <f t="shared" si="14"/>
        <v>22464</v>
      </c>
      <c r="AO48" s="84">
        <f t="shared" si="17"/>
        <v>2.0421818181818181</v>
      </c>
      <c r="AP48" s="49" t="s">
        <v>144</v>
      </c>
      <c r="AQ48" s="166" t="s">
        <v>146</v>
      </c>
    </row>
    <row r="49" spans="1:47" ht="12.75" hidden="1" customHeight="1" x14ac:dyDescent="0.35">
      <c r="A49" s="45" t="s">
        <v>31</v>
      </c>
      <c r="B49" s="64" t="s">
        <v>143</v>
      </c>
      <c r="C49" s="134" t="s">
        <v>144</v>
      </c>
      <c r="D49" s="167" t="s">
        <v>147</v>
      </c>
      <c r="E49" s="168">
        <v>128415.12000000001</v>
      </c>
      <c r="F49" s="168">
        <v>0</v>
      </c>
      <c r="G49" s="168">
        <v>-2404.8000000000002</v>
      </c>
      <c r="H49" s="168">
        <v>0</v>
      </c>
      <c r="I49" s="168">
        <v>0</v>
      </c>
      <c r="J49" s="168">
        <v>21635.808000000001</v>
      </c>
      <c r="K49" s="168">
        <v>60683.303999999989</v>
      </c>
      <c r="L49" s="168">
        <v>90085.8</v>
      </c>
      <c r="M49" s="168">
        <v>55172.928</v>
      </c>
      <c r="N49" s="168">
        <v>16654.031999999999</v>
      </c>
      <c r="O49" s="168"/>
      <c r="P49" s="168"/>
      <c r="Q49" s="168"/>
      <c r="R49" s="168"/>
      <c r="S49" s="169"/>
      <c r="T49" s="169">
        <v>0</v>
      </c>
      <c r="U49" s="169">
        <v>18888</v>
      </c>
      <c r="V49" s="169">
        <v>63846.48000000001</v>
      </c>
      <c r="W49" s="87">
        <v>12197.759999999998</v>
      </c>
      <c r="X49" s="87">
        <v>36926.400000000001</v>
      </c>
      <c r="Y49" s="87">
        <v>66998.447999999989</v>
      </c>
      <c r="Z49" s="87">
        <v>59553.599999999999</v>
      </c>
      <c r="AA49" s="87">
        <v>31569.599999999999</v>
      </c>
      <c r="AB49" s="87">
        <v>33364.800000000003</v>
      </c>
      <c r="AC49" s="87">
        <v>0</v>
      </c>
      <c r="AD49" s="87">
        <v>37392</v>
      </c>
      <c r="AE49" s="87">
        <v>30667.200000000001</v>
      </c>
      <c r="AF49" s="87">
        <v>70684.800000000003</v>
      </c>
      <c r="AG49" s="87">
        <v>62014.415999999997</v>
      </c>
      <c r="AH49" s="87">
        <v>19128</v>
      </c>
      <c r="AI49" s="88">
        <v>45456</v>
      </c>
      <c r="AJ49" s="90">
        <v>60000</v>
      </c>
      <c r="AK49" s="87">
        <v>0</v>
      </c>
      <c r="AL49" s="87">
        <v>9342.768</v>
      </c>
      <c r="AM49" s="91">
        <f t="shared" si="16"/>
        <v>0.15571280000000001</v>
      </c>
      <c r="AN49" s="87">
        <f>+AK49+AL49</f>
        <v>9342.768</v>
      </c>
      <c r="AO49" s="92">
        <f t="shared" si="17"/>
        <v>0.15571280000000001</v>
      </c>
      <c r="AP49" s="49" t="s">
        <v>144</v>
      </c>
      <c r="AQ49" s="166" t="s">
        <v>146</v>
      </c>
    </row>
    <row r="50" spans="1:47" ht="12.75" hidden="1" customHeight="1" x14ac:dyDescent="0.35">
      <c r="A50" s="45" t="s">
        <v>31</v>
      </c>
      <c r="B50" s="75" t="s">
        <v>143</v>
      </c>
      <c r="C50" s="136" t="s">
        <v>144</v>
      </c>
      <c r="D50" s="163" t="s">
        <v>148</v>
      </c>
      <c r="E50" s="170">
        <v>249295.19999999995</v>
      </c>
      <c r="F50" s="170">
        <v>17372.079999999998</v>
      </c>
      <c r="G50" s="170">
        <v>268071.75999999995</v>
      </c>
      <c r="H50" s="170">
        <v>252288.08</v>
      </c>
      <c r="I50" s="170">
        <v>289607.12</v>
      </c>
      <c r="J50" s="170">
        <v>176663.51999999996</v>
      </c>
      <c r="K50" s="170">
        <v>143240.24</v>
      </c>
      <c r="L50" s="170">
        <v>214484.16</v>
      </c>
      <c r="M50" s="170">
        <v>281988.3</v>
      </c>
      <c r="N50" s="170">
        <v>166830.84</v>
      </c>
      <c r="O50" s="170"/>
      <c r="P50" s="170"/>
      <c r="Q50" s="170"/>
      <c r="R50" s="170"/>
      <c r="S50" s="171"/>
      <c r="T50" s="171">
        <v>205124.47999999998</v>
      </c>
      <c r="U50" s="171">
        <v>207952.35999999993</v>
      </c>
      <c r="V50" s="171">
        <v>196775.91999999998</v>
      </c>
      <c r="W50" s="79">
        <v>341340.55999999994</v>
      </c>
      <c r="X50" s="79">
        <v>241447.57999999996</v>
      </c>
      <c r="Y50" s="79">
        <v>393013.27999999997</v>
      </c>
      <c r="Z50" s="79">
        <v>367496.35999999993</v>
      </c>
      <c r="AA50" s="79">
        <v>268066.92</v>
      </c>
      <c r="AB50" s="79">
        <v>268893.89999999997</v>
      </c>
      <c r="AC50" s="79">
        <v>132571.34</v>
      </c>
      <c r="AD50" s="79">
        <v>0</v>
      </c>
      <c r="AE50" s="79">
        <v>144761.75999999998</v>
      </c>
      <c r="AF50" s="79">
        <v>176290.84000000003</v>
      </c>
      <c r="AG50" s="79">
        <v>20734.559999999998</v>
      </c>
      <c r="AH50" s="79">
        <v>0</v>
      </c>
      <c r="AI50" s="80">
        <v>0</v>
      </c>
      <c r="AJ50" s="82">
        <v>200000</v>
      </c>
      <c r="AK50" s="79">
        <v>18922.18</v>
      </c>
      <c r="AL50" s="79">
        <v>146854.79999999999</v>
      </c>
      <c r="AM50" s="83">
        <f t="shared" si="16"/>
        <v>0.73427399999999998</v>
      </c>
      <c r="AN50" s="79">
        <f>+AK50+AL50</f>
        <v>165776.97999999998</v>
      </c>
      <c r="AO50" s="84">
        <f t="shared" si="17"/>
        <v>0.82888489999999992</v>
      </c>
      <c r="AP50" s="49" t="s">
        <v>144</v>
      </c>
      <c r="AQ50" s="166" t="s">
        <v>146</v>
      </c>
      <c r="AR50" s="49" t="s">
        <v>149</v>
      </c>
    </row>
    <row r="51" spans="1:47" ht="12.75" hidden="1" customHeight="1" x14ac:dyDescent="0.35">
      <c r="A51" s="47"/>
      <c r="B51" s="64" t="s">
        <v>143</v>
      </c>
      <c r="C51" s="134" t="s">
        <v>144</v>
      </c>
      <c r="D51" s="66" t="s">
        <v>150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24722.879999999997</v>
      </c>
      <c r="AB51" s="87">
        <v>21000.959999999999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17"/>
        <v>0</v>
      </c>
      <c r="AP51" s="132" t="s">
        <v>144</v>
      </c>
      <c r="AQ51" s="166" t="s">
        <v>146</v>
      </c>
      <c r="AR51" s="133"/>
      <c r="AU51" s="85"/>
    </row>
    <row r="52" spans="1:47" ht="12.75" hidden="1" customHeight="1" x14ac:dyDescent="0.25">
      <c r="A52" s="45" t="s">
        <v>31</v>
      </c>
      <c r="B52" s="75" t="s">
        <v>151</v>
      </c>
      <c r="C52" s="136" t="s">
        <v>152</v>
      </c>
      <c r="D52" s="163" t="s">
        <v>151</v>
      </c>
      <c r="E52" s="170">
        <v>46229.4</v>
      </c>
      <c r="F52" s="170">
        <v>44896.679999999993</v>
      </c>
      <c r="G52" s="170">
        <v>31181.327999999998</v>
      </c>
      <c r="H52" s="170">
        <v>0</v>
      </c>
      <c r="I52" s="170">
        <v>35108.28</v>
      </c>
      <c r="J52" s="170">
        <v>62056.08</v>
      </c>
      <c r="K52" s="170">
        <v>12792.6</v>
      </c>
      <c r="L52" s="170">
        <v>47657.64</v>
      </c>
      <c r="M52" s="170">
        <v>17971.2</v>
      </c>
      <c r="N52" s="170">
        <v>0</v>
      </c>
      <c r="O52" s="170"/>
      <c r="P52" s="170"/>
      <c r="Q52" s="170"/>
      <c r="R52" s="170"/>
      <c r="S52" s="171"/>
      <c r="T52" s="171">
        <v>18473.400000000001</v>
      </c>
      <c r="U52" s="171">
        <v>41438.28</v>
      </c>
      <c r="V52" s="171">
        <v>30580.560000000005</v>
      </c>
      <c r="W52" s="79">
        <v>0</v>
      </c>
      <c r="X52" s="79">
        <v>19353.599999999999</v>
      </c>
      <c r="Y52" s="79">
        <v>43369.823999999993</v>
      </c>
      <c r="Z52" s="79">
        <v>21278.579999999998</v>
      </c>
      <c r="AA52" s="79">
        <v>32770.727999999996</v>
      </c>
      <c r="AB52" s="79">
        <v>49842.6</v>
      </c>
      <c r="AC52" s="79">
        <v>44092.079999999994</v>
      </c>
      <c r="AD52" s="79">
        <v>15120</v>
      </c>
      <c r="AE52" s="79">
        <v>39859.199999999997</v>
      </c>
      <c r="AF52" s="79">
        <v>39648</v>
      </c>
      <c r="AG52" s="79">
        <v>14817.600000000002</v>
      </c>
      <c r="AH52" s="79">
        <v>18316.8</v>
      </c>
      <c r="AI52" s="80">
        <v>20966.399999999998</v>
      </c>
      <c r="AJ52" s="82">
        <v>31600.799999999999</v>
      </c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7" ht="12.75" hidden="1" customHeight="1" x14ac:dyDescent="0.25">
      <c r="A53" s="45" t="s">
        <v>31</v>
      </c>
      <c r="B53" s="64" t="s">
        <v>143</v>
      </c>
      <c r="C53" s="134" t="s">
        <v>154</v>
      </c>
      <c r="D53" s="167" t="s">
        <v>155</v>
      </c>
      <c r="E53" s="168">
        <v>117.30000000000001</v>
      </c>
      <c r="F53" s="168">
        <v>1218.1179999999997</v>
      </c>
      <c r="G53" s="168">
        <v>395.67200000000008</v>
      </c>
      <c r="H53" s="168">
        <v>539.95799999999986</v>
      </c>
      <c r="I53" s="168">
        <v>760.59800000000007</v>
      </c>
      <c r="J53" s="168">
        <v>2209.2820000000011</v>
      </c>
      <c r="K53" s="168">
        <v>1023.1639999999994</v>
      </c>
      <c r="L53" s="168">
        <v>50.783999999999999</v>
      </c>
      <c r="M53" s="168">
        <v>1341.5959999999991</v>
      </c>
      <c r="N53" s="168">
        <v>372.7000000000001</v>
      </c>
      <c r="O53" s="168"/>
      <c r="P53" s="168"/>
      <c r="Q53" s="168"/>
      <c r="R53" s="168"/>
      <c r="S53" s="169"/>
      <c r="T53" s="169">
        <v>200.47799999999998</v>
      </c>
      <c r="U53" s="169">
        <v>251.70000000000005</v>
      </c>
      <c r="V53" s="169">
        <v>551.91199999999992</v>
      </c>
      <c r="W53" s="87">
        <v>250.31399999999996</v>
      </c>
      <c r="X53" s="87">
        <v>136.32900000000004</v>
      </c>
      <c r="Y53" s="87">
        <v>317.46800000000002</v>
      </c>
      <c r="Z53" s="87">
        <v>309.16400000000004</v>
      </c>
      <c r="AA53" s="87">
        <v>197.74099999999999</v>
      </c>
      <c r="AB53" s="87">
        <v>294.15599999999995</v>
      </c>
      <c r="AC53" s="87">
        <v>140.40200000000002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si="17"/>
        <v>0</v>
      </c>
      <c r="AP53" s="50" t="s">
        <v>154</v>
      </c>
      <c r="AQ53" s="50"/>
    </row>
    <row r="54" spans="1:47" ht="12.75" hidden="1" customHeight="1" x14ac:dyDescent="0.25">
      <c r="A54" s="45" t="s">
        <v>31</v>
      </c>
      <c r="B54" s="75" t="s">
        <v>143</v>
      </c>
      <c r="C54" s="136" t="s">
        <v>156</v>
      </c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1">
        <v>0</v>
      </c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4"/>
        <v>0</v>
      </c>
      <c r="AO54" s="84">
        <f t="shared" si="17"/>
        <v>0</v>
      </c>
      <c r="AP54" s="49" t="s">
        <v>156</v>
      </c>
    </row>
    <row r="55" spans="1:47" ht="12.75" hidden="1" customHeight="1" thickBot="1" x14ac:dyDescent="0.3">
      <c r="A55" s="45" t="s">
        <v>31</v>
      </c>
      <c r="B55" s="64" t="s">
        <v>143</v>
      </c>
      <c r="C55" s="134"/>
      <c r="D55" s="167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9">
        <v>0</v>
      </c>
      <c r="U55" s="169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16"/>
        <v>0</v>
      </c>
      <c r="AN55" s="87">
        <f t="shared" si="14"/>
        <v>0</v>
      </c>
      <c r="AO55" s="92">
        <f t="shared" si="17"/>
        <v>0</v>
      </c>
      <c r="AP55" s="172"/>
      <c r="AQ55" s="172"/>
      <c r="AR55"/>
      <c r="AS55"/>
    </row>
    <row r="56" spans="1:47" ht="12.75" hidden="1" customHeight="1" thickBot="1" x14ac:dyDescent="0.3">
      <c r="A56" s="45" t="s">
        <v>31</v>
      </c>
      <c r="B56" s="173"/>
      <c r="C56" s="174"/>
      <c r="D56" s="152" t="s">
        <v>158</v>
      </c>
      <c r="E56" s="155">
        <v>1697705.1720000003</v>
      </c>
      <c r="F56" s="155">
        <v>1402282.2620000003</v>
      </c>
      <c r="G56" s="155">
        <v>1651116.8639999989</v>
      </c>
      <c r="H56" s="155">
        <v>1796139.8939999996</v>
      </c>
      <c r="I56" s="155">
        <v>1823912.074000001</v>
      </c>
      <c r="J56" s="155">
        <v>1693435.5940000003</v>
      </c>
      <c r="K56" s="155">
        <v>1748160.7960000003</v>
      </c>
      <c r="L56" s="155">
        <v>1563045.659999999</v>
      </c>
      <c r="M56" s="155">
        <v>1425063.5000000002</v>
      </c>
      <c r="N56" s="155">
        <v>1226587.3840000003</v>
      </c>
      <c r="O56" s="155"/>
      <c r="P56" s="155"/>
      <c r="Q56" s="155"/>
      <c r="R56" s="155"/>
      <c r="S56" s="155"/>
      <c r="T56" s="155">
        <v>1775861.8300000012</v>
      </c>
      <c r="U56" s="155">
        <v>1811814.5040000009</v>
      </c>
      <c r="V56" s="155">
        <v>2062222.6920000005</v>
      </c>
      <c r="W56" s="175">
        <v>2227292.5100000016</v>
      </c>
      <c r="X56" s="175">
        <v>1971307.0410000007</v>
      </c>
      <c r="Y56" s="175">
        <v>2030889.164000002</v>
      </c>
      <c r="Z56" s="175">
        <v>2065183.1560000007</v>
      </c>
      <c r="AA56" s="175">
        <v>1911876.8770000015</v>
      </c>
      <c r="AB56" s="175">
        <v>1864174.076000001</v>
      </c>
      <c r="AC56" s="175">
        <v>1700649.4060000016</v>
      </c>
      <c r="AD56" s="175">
        <v>1668265.404000001</v>
      </c>
      <c r="AE56" s="176">
        <v>1842099.4200000013</v>
      </c>
      <c r="AF56" s="175">
        <v>1713287.4400000009</v>
      </c>
      <c r="AG56" s="175">
        <v>1612928.172000001</v>
      </c>
      <c r="AH56" s="175">
        <v>1744648.5840000014</v>
      </c>
      <c r="AI56" s="176">
        <v>2061540.9960000012</v>
      </c>
      <c r="AJ56" s="177">
        <v>2107600.7999999998</v>
      </c>
      <c r="AK56" s="175">
        <f>SUM(AK47:AK55)</f>
        <v>207020.99000000011</v>
      </c>
      <c r="AL56" s="175">
        <f>SUM(AL47:AL55)</f>
        <v>1313988.9240000006</v>
      </c>
      <c r="AM56" s="178">
        <f t="shared" si="16"/>
        <v>0.62345246974664303</v>
      </c>
      <c r="AN56" s="175">
        <f>+AK56+AL56</f>
        <v>1521009.9140000008</v>
      </c>
      <c r="AO56" s="179">
        <f t="shared" si="17"/>
        <v>0.72167837191938855</v>
      </c>
      <c r="AP56" s="50"/>
      <c r="AQ56" s="50"/>
    </row>
    <row r="57" spans="1:47" x14ac:dyDescent="0.25">
      <c r="B57" s="47" t="s">
        <v>149</v>
      </c>
      <c r="C57" s="47"/>
      <c r="D57" s="180" t="s">
        <v>159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2"/>
      <c r="AK57" s="183">
        <v>-1.7171259969472885E-9</v>
      </c>
      <c r="AL57" s="183">
        <v>3.9581209421157837E-8</v>
      </c>
      <c r="AM57" s="184"/>
    </row>
    <row r="58" spans="1:47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9D67-FABD-4C02-B6DF-3526826553D4}">
  <dimension ref="A1:AV122"/>
  <sheetViews>
    <sheetView showGridLines="0" zoomScale="80" zoomScaleNormal="80" workbookViewId="0">
      <pane xSplit="4" ySplit="2" topLeftCell="AG37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160</v>
      </c>
      <c r="C1" s="47" t="s">
        <v>161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6" t="s">
        <v>63</v>
      </c>
      <c r="AG2" s="57" t="s">
        <v>64</v>
      </c>
      <c r="AH2" s="57" t="s">
        <v>65</v>
      </c>
      <c r="AI2" s="57" t="s">
        <v>66</v>
      </c>
      <c r="AJ2" s="18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5" t="s">
        <v>160</v>
      </c>
      <c r="B3" s="64" t="s">
        <v>71</v>
      </c>
      <c r="C3" s="65" t="s">
        <v>72</v>
      </c>
      <c r="D3" s="66" t="s">
        <v>73</v>
      </c>
      <c r="E3" s="67">
        <v>0</v>
      </c>
      <c r="F3" s="68">
        <v>75.600000000000009</v>
      </c>
      <c r="G3" s="68">
        <v>0</v>
      </c>
      <c r="H3" s="68">
        <v>0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8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33" si="2">IFERROR(+AN3/AJ3,0)</f>
        <v>0</v>
      </c>
      <c r="AP3" s="50"/>
      <c r="AQ3" s="50"/>
    </row>
    <row r="4" spans="1:45" ht="12.75" customHeight="1" x14ac:dyDescent="0.25">
      <c r="A4" s="45" t="s">
        <v>160</v>
      </c>
      <c r="B4" s="75" t="s">
        <v>74</v>
      </c>
      <c r="C4" s="76" t="s">
        <v>72</v>
      </c>
      <c r="D4" s="77" t="s">
        <v>75</v>
      </c>
      <c r="E4" s="78">
        <v>24108.659999999996</v>
      </c>
      <c r="F4" s="79">
        <v>22633.740000000023</v>
      </c>
      <c r="G4" s="79">
        <v>24910.020000000019</v>
      </c>
      <c r="H4" s="79">
        <v>30240.060000000041</v>
      </c>
      <c r="I4" s="78">
        <v>31872.960000000028</v>
      </c>
      <c r="J4" s="79">
        <v>28224.300000000025</v>
      </c>
      <c r="K4" s="79">
        <v>20769.780000000028</v>
      </c>
      <c r="L4" s="79">
        <v>19455.299999999992</v>
      </c>
      <c r="M4" s="79">
        <v>12584.279999999997</v>
      </c>
      <c r="N4" s="79">
        <v>20253.900000000016</v>
      </c>
      <c r="O4" s="79">
        <v>20549.640000000025</v>
      </c>
      <c r="P4" s="79">
        <v>17699.879999999994</v>
      </c>
      <c r="Q4" s="80">
        <v>15123.479999999998</v>
      </c>
      <c r="R4" s="79">
        <v>18707.579999999998</v>
      </c>
      <c r="S4" s="78">
        <v>16854.059999999998</v>
      </c>
      <c r="T4" s="78">
        <v>16622.579999999991</v>
      </c>
      <c r="U4" s="78">
        <v>14593.919999999987</v>
      </c>
      <c r="V4" s="78">
        <v>15767.819999999989</v>
      </c>
      <c r="W4" s="78">
        <v>12558.29999999999</v>
      </c>
      <c r="X4" s="78">
        <v>11684.58</v>
      </c>
      <c r="Y4" s="79">
        <v>10805.27999999999</v>
      </c>
      <c r="Z4" s="78">
        <v>13638.479999999996</v>
      </c>
      <c r="AA4" s="78">
        <v>16983.899999999998</v>
      </c>
      <c r="AB4" s="78">
        <v>18412.800000000007</v>
      </c>
      <c r="AC4" s="78">
        <v>17069.579999999998</v>
      </c>
      <c r="AD4" s="81">
        <v>18114.120000000003</v>
      </c>
      <c r="AE4" s="80">
        <v>15295.919999999995</v>
      </c>
      <c r="AF4" s="79">
        <v>18650.819999999992</v>
      </c>
      <c r="AG4" s="80">
        <v>18278.999999999993</v>
      </c>
      <c r="AH4" s="80">
        <v>16471.739999999994</v>
      </c>
      <c r="AI4" s="80">
        <v>16948.679999999989</v>
      </c>
      <c r="AJ4" s="82">
        <v>17000</v>
      </c>
      <c r="AK4" s="79">
        <v>0</v>
      </c>
      <c r="AL4" s="79">
        <v>14891.279999999977</v>
      </c>
      <c r="AM4" s="83">
        <f t="shared" si="0"/>
        <v>0.87595764705882218</v>
      </c>
      <c r="AN4" s="79">
        <f t="shared" si="1"/>
        <v>14891.279999999977</v>
      </c>
      <c r="AO4" s="84">
        <f t="shared" si="2"/>
        <v>0.87595764705882218</v>
      </c>
      <c r="AP4" s="50"/>
      <c r="AQ4" s="50"/>
    </row>
    <row r="5" spans="1:45" ht="12.75" customHeight="1" x14ac:dyDescent="0.25">
      <c r="A5" s="45" t="s">
        <v>160</v>
      </c>
      <c r="B5" s="64" t="s">
        <v>74</v>
      </c>
      <c r="C5" s="65" t="s">
        <v>72</v>
      </c>
      <c r="D5" s="66" t="s">
        <v>76</v>
      </c>
      <c r="E5" s="86">
        <v>15103.380000000001</v>
      </c>
      <c r="F5" s="87">
        <v>20743.140000000007</v>
      </c>
      <c r="G5" s="87">
        <v>19718.82</v>
      </c>
      <c r="H5" s="87">
        <v>23346.3</v>
      </c>
      <c r="I5" s="86">
        <v>25255.320000000007</v>
      </c>
      <c r="J5" s="87">
        <v>15919.499999999996</v>
      </c>
      <c r="K5" s="87">
        <v>23695.860000000015</v>
      </c>
      <c r="L5" s="87">
        <v>17165.34</v>
      </c>
      <c r="M5" s="87">
        <v>15483.239999999996</v>
      </c>
      <c r="N5" s="87">
        <v>11336.159999999994</v>
      </c>
      <c r="O5" s="87">
        <v>14090.999999999996</v>
      </c>
      <c r="P5" s="87">
        <v>13200.659999999993</v>
      </c>
      <c r="Q5" s="88">
        <v>14660.700000000004</v>
      </c>
      <c r="R5" s="87">
        <v>18184.500000000007</v>
      </c>
      <c r="S5" s="86">
        <v>16954.38</v>
      </c>
      <c r="T5" s="86">
        <v>20997.780000000002</v>
      </c>
      <c r="U5" s="86">
        <v>21534.84</v>
      </c>
      <c r="V5" s="86">
        <v>27432.000000000007</v>
      </c>
      <c r="W5" s="86">
        <v>22627.320000000003</v>
      </c>
      <c r="X5" s="86">
        <v>16615.140000000007</v>
      </c>
      <c r="Y5" s="87">
        <v>20764.080000000005</v>
      </c>
      <c r="Z5" s="86">
        <v>20138.580000000002</v>
      </c>
      <c r="AA5" s="86">
        <v>24981.060000000005</v>
      </c>
      <c r="AB5" s="86">
        <v>20143.620000000003</v>
      </c>
      <c r="AC5" s="86">
        <v>25873.200000000001</v>
      </c>
      <c r="AD5" s="89">
        <v>26592.3</v>
      </c>
      <c r="AE5" s="88">
        <v>27670.799999999999</v>
      </c>
      <c r="AF5" s="87">
        <v>16728.359999999997</v>
      </c>
      <c r="AG5" s="88">
        <v>28760.099999999995</v>
      </c>
      <c r="AH5" s="88">
        <v>14224.740000000003</v>
      </c>
      <c r="AI5" s="88">
        <v>30829.019999999986</v>
      </c>
      <c r="AJ5" s="90">
        <v>25000</v>
      </c>
      <c r="AK5" s="87">
        <v>0</v>
      </c>
      <c r="AL5" s="87">
        <v>12424.800000000007</v>
      </c>
      <c r="AM5" s="91">
        <f>IFERROR(AL5/AJ5,0)</f>
        <v>0.49699200000000027</v>
      </c>
      <c r="AN5" s="87">
        <f>+AK5+AL5</f>
        <v>12424.800000000007</v>
      </c>
      <c r="AO5" s="92">
        <f>IFERROR(+AN5/AJ5,0)</f>
        <v>0.49699200000000027</v>
      </c>
      <c r="AP5" s="50" t="s">
        <v>77</v>
      </c>
      <c r="AQ5" s="50"/>
    </row>
    <row r="6" spans="1:45" ht="12.75" customHeight="1" x14ac:dyDescent="0.25">
      <c r="A6" s="45" t="s">
        <v>160</v>
      </c>
      <c r="B6" s="75" t="s">
        <v>74</v>
      </c>
      <c r="C6" s="76" t="s">
        <v>72</v>
      </c>
      <c r="D6" s="77" t="s">
        <v>78</v>
      </c>
      <c r="E6" s="78">
        <v>8658.4200000000037</v>
      </c>
      <c r="F6" s="79">
        <v>10024.019999999997</v>
      </c>
      <c r="G6" s="79">
        <v>10887.239999999994</v>
      </c>
      <c r="H6" s="79">
        <v>12059.580000000002</v>
      </c>
      <c r="I6" s="78">
        <v>13487.45999999999</v>
      </c>
      <c r="J6" s="79">
        <v>13616.760000000002</v>
      </c>
      <c r="K6" s="79">
        <v>10472.219999999999</v>
      </c>
      <c r="L6" s="79">
        <v>10333.139999999998</v>
      </c>
      <c r="M6" s="79">
        <v>11575.799999999997</v>
      </c>
      <c r="N6" s="79">
        <v>8632.0799999999963</v>
      </c>
      <c r="O6" s="79">
        <v>9925.6199999999953</v>
      </c>
      <c r="P6" s="79">
        <v>9022.4400000000023</v>
      </c>
      <c r="Q6" s="80">
        <v>6756.9600000000009</v>
      </c>
      <c r="R6" s="79">
        <v>9143.2199999999993</v>
      </c>
      <c r="S6" s="78">
        <v>7995.7799999999988</v>
      </c>
      <c r="T6" s="78">
        <v>8715.2999999999975</v>
      </c>
      <c r="U6" s="78">
        <v>9550.08</v>
      </c>
      <c r="V6" s="78">
        <v>9668.58</v>
      </c>
      <c r="W6" s="78">
        <v>7714.079999999999</v>
      </c>
      <c r="X6" s="78">
        <v>6403.62</v>
      </c>
      <c r="Y6" s="79">
        <v>8012.7600000000011</v>
      </c>
      <c r="Z6" s="78">
        <v>7659.659999999998</v>
      </c>
      <c r="AA6" s="78">
        <v>5113.739999999998</v>
      </c>
      <c r="AB6" s="78">
        <v>3773.2800000000007</v>
      </c>
      <c r="AC6" s="78">
        <v>4565.88</v>
      </c>
      <c r="AD6" s="81">
        <v>5133.18</v>
      </c>
      <c r="AE6" s="80">
        <v>3270.7199999999993</v>
      </c>
      <c r="AF6" s="79">
        <v>9102.9599999999937</v>
      </c>
      <c r="AG6" s="80">
        <v>8057.0999999999995</v>
      </c>
      <c r="AH6" s="80">
        <v>7046.5199999999995</v>
      </c>
      <c r="AI6" s="80">
        <v>5381.2800000000007</v>
      </c>
      <c r="AJ6" s="82">
        <v>7000</v>
      </c>
      <c r="AK6" s="79">
        <v>689.94000000000017</v>
      </c>
      <c r="AL6" s="79">
        <v>2995.8599999999988</v>
      </c>
      <c r="AM6" s="83">
        <f>IFERROR(AL6/AJ6,0)</f>
        <v>0.42797999999999981</v>
      </c>
      <c r="AN6" s="79">
        <f>+AK6+AL6</f>
        <v>3685.7999999999988</v>
      </c>
      <c r="AO6" s="84">
        <f>IFERROR(+AN6/AJ6,0)</f>
        <v>0.52654285714285698</v>
      </c>
      <c r="AP6" s="50"/>
      <c r="AQ6" s="50"/>
    </row>
    <row r="7" spans="1:45" ht="12.75" customHeight="1" x14ac:dyDescent="0.25">
      <c r="A7" s="45" t="s">
        <v>160</v>
      </c>
      <c r="B7" s="64" t="s">
        <v>79</v>
      </c>
      <c r="C7" s="65" t="s">
        <v>72</v>
      </c>
      <c r="D7" s="66" t="s">
        <v>80</v>
      </c>
      <c r="E7" s="86">
        <v>121781.69999999992</v>
      </c>
      <c r="F7" s="87">
        <v>93161.459999999992</v>
      </c>
      <c r="G7" s="87">
        <v>134368.85999999987</v>
      </c>
      <c r="H7" s="87">
        <v>118969.97999999986</v>
      </c>
      <c r="I7" s="86">
        <v>136866</v>
      </c>
      <c r="J7" s="87">
        <v>141951.41999999987</v>
      </c>
      <c r="K7" s="87">
        <v>143845.67999999993</v>
      </c>
      <c r="L7" s="87">
        <v>115080.35999999983</v>
      </c>
      <c r="M7" s="87">
        <v>118642.37999999984</v>
      </c>
      <c r="N7" s="87">
        <v>134159.93999999986</v>
      </c>
      <c r="O7" s="87">
        <v>105465.95999999986</v>
      </c>
      <c r="P7" s="87">
        <v>91560.119999999923</v>
      </c>
      <c r="Q7" s="88">
        <v>75716.819999999992</v>
      </c>
      <c r="R7" s="87">
        <v>93010.800000000017</v>
      </c>
      <c r="S7" s="86">
        <v>85629.60000000002</v>
      </c>
      <c r="T7" s="86">
        <v>94794.120000000039</v>
      </c>
      <c r="U7" s="86">
        <v>81800.639999999956</v>
      </c>
      <c r="V7" s="86">
        <v>61785.72000000003</v>
      </c>
      <c r="W7" s="86">
        <v>66731.340000000026</v>
      </c>
      <c r="X7" s="86">
        <v>35859.30000000001</v>
      </c>
      <c r="Y7" s="87">
        <v>48290.100000000028</v>
      </c>
      <c r="Z7" s="86">
        <v>84400.5</v>
      </c>
      <c r="AA7" s="86">
        <v>80711.399999999921</v>
      </c>
      <c r="AB7" s="86">
        <v>43374.360000000015</v>
      </c>
      <c r="AC7" s="86">
        <v>36401.82</v>
      </c>
      <c r="AD7" s="89">
        <v>104234.99999999996</v>
      </c>
      <c r="AE7" s="88">
        <v>40066.380000000019</v>
      </c>
      <c r="AF7" s="87">
        <v>55931.520000000033</v>
      </c>
      <c r="AG7" s="88">
        <v>30480.780000000002</v>
      </c>
      <c r="AH7" s="88">
        <v>74215.379999999946</v>
      </c>
      <c r="AI7" s="88">
        <v>53428.50000000008</v>
      </c>
      <c r="AJ7" s="90">
        <v>51000</v>
      </c>
      <c r="AK7" s="87">
        <v>3197.3999999999992</v>
      </c>
      <c r="AL7" s="87">
        <v>14461.319999999989</v>
      </c>
      <c r="AM7" s="91">
        <f>IFERROR(AL7/AJ7,0)</f>
        <v>0.28355529411764685</v>
      </c>
      <c r="AN7" s="87">
        <f>+AK7+AL7</f>
        <v>17658.719999999987</v>
      </c>
      <c r="AO7" s="92">
        <f>IFERROR(+AN7/AJ7,0)</f>
        <v>0.34624941176470564</v>
      </c>
      <c r="AP7" s="50"/>
      <c r="AQ7" s="50"/>
    </row>
    <row r="8" spans="1:45" ht="12.75" customHeight="1" x14ac:dyDescent="0.25">
      <c r="A8" s="45" t="s">
        <v>160</v>
      </c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94679.939999999973</v>
      </c>
      <c r="Q8" s="80">
        <v>70382.340000000011</v>
      </c>
      <c r="R8" s="79">
        <v>92919.299999999959</v>
      </c>
      <c r="S8" s="78">
        <v>93068.999999999956</v>
      </c>
      <c r="T8" s="78">
        <v>81088.259999999966</v>
      </c>
      <c r="U8" s="78">
        <v>88628.459999999992</v>
      </c>
      <c r="V8" s="78">
        <v>67316.160000000033</v>
      </c>
      <c r="W8" s="78">
        <v>63020.700000000012</v>
      </c>
      <c r="X8" s="78">
        <v>63951.720000000023</v>
      </c>
      <c r="Y8" s="79">
        <v>64174.979999999981</v>
      </c>
      <c r="Z8" s="78">
        <v>82422.959999999963</v>
      </c>
      <c r="AA8" s="78">
        <v>90669.839999999953</v>
      </c>
      <c r="AB8" s="78">
        <v>95089.920000000056</v>
      </c>
      <c r="AC8" s="78">
        <v>102778.56000000001</v>
      </c>
      <c r="AD8" s="81">
        <v>107429.04</v>
      </c>
      <c r="AE8" s="80">
        <v>99682.86</v>
      </c>
      <c r="AF8" s="79">
        <v>92547.96</v>
      </c>
      <c r="AG8" s="80">
        <v>111474.00000000006</v>
      </c>
      <c r="AH8" s="80">
        <v>95802.780000000042</v>
      </c>
      <c r="AI8" s="80">
        <v>72352.679999999964</v>
      </c>
      <c r="AJ8" s="82">
        <v>88000</v>
      </c>
      <c r="AK8" s="79">
        <v>22544.640000000003</v>
      </c>
      <c r="AL8" s="79">
        <v>51848.46</v>
      </c>
      <c r="AM8" s="83">
        <f t="shared" ref="AM8" si="3">IFERROR(AL8/AJ8,0)</f>
        <v>0.58918704545454548</v>
      </c>
      <c r="AN8" s="79">
        <f t="shared" ref="AN8" si="4">+AK8+AL8</f>
        <v>74393.100000000006</v>
      </c>
      <c r="AO8" s="84">
        <f t="shared" ref="AO8" si="5">IFERROR(+AN8/AJ8,0)</f>
        <v>0.8453761363636364</v>
      </c>
      <c r="AP8" s="50"/>
      <c r="AQ8" s="50"/>
    </row>
    <row r="9" spans="1:45" ht="12.75" customHeight="1" x14ac:dyDescent="0.25">
      <c r="A9" s="45" t="s">
        <v>160</v>
      </c>
      <c r="B9" s="64" t="s">
        <v>82</v>
      </c>
      <c r="C9" s="65" t="s">
        <v>72</v>
      </c>
      <c r="D9" s="66" t="s">
        <v>83</v>
      </c>
      <c r="E9" s="86">
        <v>15329.519999999997</v>
      </c>
      <c r="F9" s="87">
        <v>16691.759999999998</v>
      </c>
      <c r="G9" s="87">
        <v>15189.359999999999</v>
      </c>
      <c r="H9" s="87">
        <v>14861.159999999998</v>
      </c>
      <c r="I9" s="86">
        <v>21444.240000000009</v>
      </c>
      <c r="J9" s="87">
        <v>20481.600000000002</v>
      </c>
      <c r="K9" s="87">
        <v>22579.319999999996</v>
      </c>
      <c r="L9" s="87">
        <v>22794.18</v>
      </c>
      <c r="M9" s="87">
        <v>17228.52</v>
      </c>
      <c r="N9" s="87">
        <v>16800.060000000001</v>
      </c>
      <c r="O9" s="87">
        <v>12590.519999999995</v>
      </c>
      <c r="P9" s="87">
        <v>14342.039999999997</v>
      </c>
      <c r="Q9" s="88">
        <v>20449.920000000002</v>
      </c>
      <c r="R9" s="87">
        <v>17418.96</v>
      </c>
      <c r="S9" s="86">
        <v>24911.340000000007</v>
      </c>
      <c r="T9" s="86">
        <v>19725.060000000005</v>
      </c>
      <c r="U9" s="86">
        <v>23083.259999999995</v>
      </c>
      <c r="V9" s="86">
        <v>22660.140000000007</v>
      </c>
      <c r="W9" s="86">
        <v>17932.019999999997</v>
      </c>
      <c r="X9" s="86">
        <v>6482.0999999999976</v>
      </c>
      <c r="Y9" s="87">
        <v>11489.460000000003</v>
      </c>
      <c r="Z9" s="86">
        <v>10743.839999999997</v>
      </c>
      <c r="AA9" s="86">
        <v>14865.059999999998</v>
      </c>
      <c r="AB9" s="86">
        <v>14688.359999999995</v>
      </c>
      <c r="AC9" s="86">
        <v>14591.699999999999</v>
      </c>
      <c r="AD9" s="89">
        <v>17657.759999999991</v>
      </c>
      <c r="AE9" s="88">
        <v>15536.579999999996</v>
      </c>
      <c r="AF9" s="87">
        <v>14564.880000000001</v>
      </c>
      <c r="AG9" s="88">
        <v>12946.379999999997</v>
      </c>
      <c r="AH9" s="88">
        <v>11291.16</v>
      </c>
      <c r="AI9" s="88">
        <v>10190.639999999998</v>
      </c>
      <c r="AJ9" s="90">
        <v>11000</v>
      </c>
      <c r="AK9" s="87">
        <v>122.4</v>
      </c>
      <c r="AL9" s="87">
        <v>3997.8000000000006</v>
      </c>
      <c r="AM9" s="91">
        <f>IFERROR(AL9/AJ9,0)</f>
        <v>0.36343636363636367</v>
      </c>
      <c r="AN9" s="87">
        <f>+AK9+AL9</f>
        <v>4120.2000000000007</v>
      </c>
      <c r="AO9" s="92">
        <f>IFERROR(+AN9/AJ9,0)</f>
        <v>0.37456363636363643</v>
      </c>
      <c r="AP9" s="50"/>
      <c r="AQ9" s="50"/>
    </row>
    <row r="10" spans="1:45" ht="12.75" customHeight="1" x14ac:dyDescent="0.25">
      <c r="A10" s="45" t="s">
        <v>160</v>
      </c>
      <c r="B10" s="75" t="s">
        <v>82</v>
      </c>
      <c r="C10" s="76" t="s">
        <v>72</v>
      </c>
      <c r="D10" s="77" t="s">
        <v>84</v>
      </c>
      <c r="E10" s="78">
        <v>14713.98</v>
      </c>
      <c r="F10" s="79">
        <v>23047.38</v>
      </c>
      <c r="G10" s="79">
        <v>13735.38</v>
      </c>
      <c r="H10" s="79">
        <v>17490.66</v>
      </c>
      <c r="I10" s="78">
        <v>19685.940000000002</v>
      </c>
      <c r="J10" s="79">
        <v>22175.46000000001</v>
      </c>
      <c r="K10" s="79">
        <v>16218.419999999996</v>
      </c>
      <c r="L10" s="79">
        <v>13295.640000000001</v>
      </c>
      <c r="M10" s="79">
        <v>19132.19999999999</v>
      </c>
      <c r="N10" s="79">
        <v>15445.259999999997</v>
      </c>
      <c r="O10" s="79">
        <v>9205.08</v>
      </c>
      <c r="P10" s="79">
        <v>13179.9</v>
      </c>
      <c r="Q10" s="80">
        <v>9309.48</v>
      </c>
      <c r="R10" s="79">
        <v>14797.379999999997</v>
      </c>
      <c r="S10" s="78">
        <v>15426.839999999998</v>
      </c>
      <c r="T10" s="78">
        <v>13053.239999999993</v>
      </c>
      <c r="U10" s="78">
        <v>13530.839999999991</v>
      </c>
      <c r="V10" s="78">
        <v>15404.219999999996</v>
      </c>
      <c r="W10" s="78">
        <v>9252.179999999993</v>
      </c>
      <c r="X10" s="78">
        <v>3912.3599999999992</v>
      </c>
      <c r="Y10" s="79">
        <v>12997.559999999992</v>
      </c>
      <c r="Z10" s="78">
        <v>8162.2200000000021</v>
      </c>
      <c r="AA10" s="78">
        <v>8972.34</v>
      </c>
      <c r="AB10" s="78">
        <v>9909.119999999999</v>
      </c>
      <c r="AC10" s="78">
        <v>11996.339999999998</v>
      </c>
      <c r="AD10" s="81">
        <v>12193.259999999997</v>
      </c>
      <c r="AE10" s="80">
        <v>10635.419999999998</v>
      </c>
      <c r="AF10" s="79">
        <v>9952.3799999999992</v>
      </c>
      <c r="AG10" s="80">
        <v>9442.98</v>
      </c>
      <c r="AH10" s="80">
        <v>8078.9400000000005</v>
      </c>
      <c r="AI10" s="80">
        <v>8094.06</v>
      </c>
      <c r="AJ10" s="82">
        <v>8000</v>
      </c>
      <c r="AK10" s="79">
        <v>68.88</v>
      </c>
      <c r="AL10" s="79">
        <v>4928.4000000000005</v>
      </c>
      <c r="AM10" s="83">
        <f>IFERROR(AL10/AJ10,0)</f>
        <v>0.6160500000000001</v>
      </c>
      <c r="AN10" s="79">
        <f>+AK10+AL10</f>
        <v>4997.2800000000007</v>
      </c>
      <c r="AO10" s="84">
        <f>IFERROR(+AN10/AJ10,0)</f>
        <v>0.6246600000000001</v>
      </c>
      <c r="AP10" s="50"/>
      <c r="AQ10" s="50"/>
    </row>
    <row r="11" spans="1:45" ht="12.75" customHeight="1" x14ac:dyDescent="0.25">
      <c r="A11" s="45" t="s">
        <v>160</v>
      </c>
      <c r="B11" s="64" t="s">
        <v>85</v>
      </c>
      <c r="C11" s="65" t="s">
        <v>86</v>
      </c>
      <c r="D11" s="66" t="s">
        <v>87</v>
      </c>
      <c r="E11" s="86">
        <v>27637.139999999996</v>
      </c>
      <c r="F11" s="87">
        <v>29325.48000000001</v>
      </c>
      <c r="G11" s="87">
        <v>30682.860000000008</v>
      </c>
      <c r="H11" s="87">
        <v>31534.020000000008</v>
      </c>
      <c r="I11" s="86">
        <v>35376.420000000013</v>
      </c>
      <c r="J11" s="87">
        <v>35028.780000000013</v>
      </c>
      <c r="K11" s="87">
        <v>31582.080000000002</v>
      </c>
      <c r="L11" s="87">
        <v>36465.72</v>
      </c>
      <c r="M11" s="87">
        <v>31919.340000000007</v>
      </c>
      <c r="N11" s="87">
        <v>29048.76</v>
      </c>
      <c r="O11" s="87">
        <v>26449.439999999995</v>
      </c>
      <c r="P11" s="87">
        <v>34260.179999999993</v>
      </c>
      <c r="Q11" s="88">
        <v>34501.439999999995</v>
      </c>
      <c r="R11" s="87">
        <v>34702.86</v>
      </c>
      <c r="S11" s="86">
        <v>35525.220000000023</v>
      </c>
      <c r="T11" s="86">
        <v>40237.859999999986</v>
      </c>
      <c r="U11" s="86">
        <v>47833.560000000019</v>
      </c>
      <c r="V11" s="86">
        <v>41671.920000000006</v>
      </c>
      <c r="W11" s="86">
        <v>33442.680000000008</v>
      </c>
      <c r="X11" s="86">
        <v>33961.500000000007</v>
      </c>
      <c r="Y11" s="87">
        <v>30053.100000000002</v>
      </c>
      <c r="Z11" s="86">
        <v>33944.819999999985</v>
      </c>
      <c r="AA11" s="86">
        <v>28700.039999999997</v>
      </c>
      <c r="AB11" s="86">
        <v>35888.640000000007</v>
      </c>
      <c r="AC11" s="86">
        <v>39205.800000000017</v>
      </c>
      <c r="AD11" s="89">
        <v>43779.299999999988</v>
      </c>
      <c r="AE11" s="88">
        <v>43991.880000000026</v>
      </c>
      <c r="AF11" s="87">
        <v>46566.54</v>
      </c>
      <c r="AG11" s="88">
        <v>44158.560000000027</v>
      </c>
      <c r="AH11" s="88">
        <v>48110.640000000036</v>
      </c>
      <c r="AI11" s="88">
        <v>46149.599999999984</v>
      </c>
      <c r="AJ11" s="90">
        <v>40000</v>
      </c>
      <c r="AK11" s="87">
        <v>3891.9000000000005</v>
      </c>
      <c r="AL11" s="87">
        <v>32438.100000000013</v>
      </c>
      <c r="AM11" s="91">
        <f t="shared" si="0"/>
        <v>0.8109525000000003</v>
      </c>
      <c r="AN11" s="87">
        <f t="shared" si="1"/>
        <v>36330.000000000015</v>
      </c>
      <c r="AO11" s="92">
        <f t="shared" si="2"/>
        <v>0.90825000000000033</v>
      </c>
      <c r="AP11" s="50"/>
      <c r="AQ11" s="50"/>
    </row>
    <row r="12" spans="1:45" ht="12.75" customHeight="1" x14ac:dyDescent="0.25">
      <c r="A12" s="45" t="s">
        <v>160</v>
      </c>
      <c r="B12" s="75" t="s">
        <v>85</v>
      </c>
      <c r="C12" s="76" t="s">
        <v>86</v>
      </c>
      <c r="D12" s="77" t="s">
        <v>88</v>
      </c>
      <c r="E12" s="78">
        <v>46322.520000000011</v>
      </c>
      <c r="F12" s="79">
        <v>65058.720000000008</v>
      </c>
      <c r="G12" s="79">
        <v>61570.440000000017</v>
      </c>
      <c r="H12" s="79">
        <v>86626.25999999998</v>
      </c>
      <c r="I12" s="78">
        <v>98400.780000000028</v>
      </c>
      <c r="J12" s="79">
        <v>84139.32</v>
      </c>
      <c r="K12" s="79">
        <v>85330.32</v>
      </c>
      <c r="L12" s="79">
        <v>82663.319999999978</v>
      </c>
      <c r="M12" s="79">
        <v>49031.040000000001</v>
      </c>
      <c r="N12" s="79">
        <v>47202.18</v>
      </c>
      <c r="O12" s="79">
        <v>38210.280000000006</v>
      </c>
      <c r="P12" s="79">
        <v>33873.300000000003</v>
      </c>
      <c r="Q12" s="80">
        <v>35561.820000000007</v>
      </c>
      <c r="R12" s="79">
        <v>45199.199999999997</v>
      </c>
      <c r="S12" s="78">
        <v>44487.05999999999</v>
      </c>
      <c r="T12" s="78">
        <v>46150.8</v>
      </c>
      <c r="U12" s="78">
        <v>48358.98</v>
      </c>
      <c r="V12" s="78">
        <v>49637.88</v>
      </c>
      <c r="W12" s="78">
        <v>31524.960000000003</v>
      </c>
      <c r="X12" s="78">
        <v>46328.04</v>
      </c>
      <c r="Y12" s="79">
        <v>35789.880000000005</v>
      </c>
      <c r="Z12" s="78">
        <v>41146.559999999998</v>
      </c>
      <c r="AA12" s="78">
        <v>39683.700000000004</v>
      </c>
      <c r="AB12" s="78">
        <v>33630.480000000003</v>
      </c>
      <c r="AC12" s="78">
        <v>46105.560000000034</v>
      </c>
      <c r="AD12" s="81">
        <v>54321.660000000025</v>
      </c>
      <c r="AE12" s="80">
        <v>46139.87999999999</v>
      </c>
      <c r="AF12" s="79">
        <v>40783.619999999974</v>
      </c>
      <c r="AG12" s="80">
        <v>36939.600000000006</v>
      </c>
      <c r="AH12" s="80">
        <v>43611.179999999986</v>
      </c>
      <c r="AI12" s="80">
        <v>41325.539999999994</v>
      </c>
      <c r="AJ12" s="82">
        <v>36000</v>
      </c>
      <c r="AK12" s="79">
        <v>8494.8000000000011</v>
      </c>
      <c r="AL12" s="79">
        <v>29040.420000000002</v>
      </c>
      <c r="AM12" s="83">
        <f t="shared" si="0"/>
        <v>0.80667833333333339</v>
      </c>
      <c r="AN12" s="79">
        <f t="shared" si="1"/>
        <v>37535.22</v>
      </c>
      <c r="AO12" s="84">
        <f t="shared" si="2"/>
        <v>1.042645</v>
      </c>
      <c r="AP12" s="50"/>
      <c r="AQ12" s="50"/>
    </row>
    <row r="13" spans="1:45" ht="12.75" customHeight="1" x14ac:dyDescent="0.25">
      <c r="A13" s="45" t="s">
        <v>160</v>
      </c>
      <c r="B13" s="64" t="s">
        <v>89</v>
      </c>
      <c r="C13" s="65" t="s">
        <v>86</v>
      </c>
      <c r="D13" s="66" t="s">
        <v>90</v>
      </c>
      <c r="E13" s="86">
        <v>5892.3</v>
      </c>
      <c r="F13" s="87">
        <v>5781.6</v>
      </c>
      <c r="G13" s="87"/>
      <c r="H13" s="87"/>
      <c r="I13" s="86"/>
      <c r="J13" s="87"/>
      <c r="K13" s="87">
        <v>26452.2</v>
      </c>
      <c r="L13" s="87">
        <v>26087.040000000008</v>
      </c>
      <c r="M13" s="87">
        <v>18984.899999999998</v>
      </c>
      <c r="N13" s="87">
        <v>16883.459999999995</v>
      </c>
      <c r="O13" s="87">
        <v>14484.72</v>
      </c>
      <c r="P13" s="87">
        <v>13258.860000000004</v>
      </c>
      <c r="Q13" s="88">
        <v>17522.88</v>
      </c>
      <c r="R13" s="87">
        <v>15472.68</v>
      </c>
      <c r="S13" s="86">
        <v>19191.480000000003</v>
      </c>
      <c r="T13" s="86">
        <v>19549.980000000003</v>
      </c>
      <c r="U13" s="86">
        <v>17115.66</v>
      </c>
      <c r="V13" s="86">
        <v>17339.46</v>
      </c>
      <c r="W13" s="86">
        <v>17663.04</v>
      </c>
      <c r="X13" s="86">
        <v>14652.840000000002</v>
      </c>
      <c r="Y13" s="87">
        <v>11751.299999999996</v>
      </c>
      <c r="Z13" s="86">
        <v>13281.3</v>
      </c>
      <c r="AA13" s="86">
        <v>13125.959999999997</v>
      </c>
      <c r="AB13" s="86">
        <v>14229.3</v>
      </c>
      <c r="AC13" s="86">
        <v>15896.339999999998</v>
      </c>
      <c r="AD13" s="89">
        <v>15235.380000000003</v>
      </c>
      <c r="AE13" s="88">
        <v>17443.740000000005</v>
      </c>
      <c r="AF13" s="87">
        <v>14765.039999999997</v>
      </c>
      <c r="AG13" s="88">
        <v>19492.980000000018</v>
      </c>
      <c r="AH13" s="88">
        <v>18415.2</v>
      </c>
      <c r="AI13" s="88">
        <v>20278.799999999992</v>
      </c>
      <c r="AJ13" s="90">
        <v>18500</v>
      </c>
      <c r="AK13" s="87">
        <v>658.2</v>
      </c>
      <c r="AL13" s="87">
        <v>10618.26</v>
      </c>
      <c r="AM13" s="91">
        <f t="shared" si="0"/>
        <v>0.57396000000000003</v>
      </c>
      <c r="AN13" s="87">
        <f t="shared" si="1"/>
        <v>11276.460000000001</v>
      </c>
      <c r="AO13" s="92">
        <f t="shared" si="2"/>
        <v>0.60953837837837843</v>
      </c>
      <c r="AP13" s="50"/>
      <c r="AQ13" s="50"/>
    </row>
    <row r="14" spans="1:45" ht="12.75" hidden="1" customHeight="1" x14ac:dyDescent="0.25">
      <c r="A14" s="45" t="s">
        <v>160</v>
      </c>
      <c r="B14" s="75" t="s">
        <v>89</v>
      </c>
      <c r="C14" s="76" t="s">
        <v>86</v>
      </c>
      <c r="D14" s="77" t="s">
        <v>91</v>
      </c>
      <c r="E14" s="78">
        <v>18197.28</v>
      </c>
      <c r="F14" s="79">
        <v>22976.760000000002</v>
      </c>
      <c r="G14" s="79">
        <v>24127.680000000008</v>
      </c>
      <c r="H14" s="79">
        <v>28387.920000000006</v>
      </c>
      <c r="I14" s="78">
        <v>28483.679999999997</v>
      </c>
      <c r="J14" s="79">
        <v>28884.240000000002</v>
      </c>
      <c r="K14" s="79">
        <v>8377.8599999999988</v>
      </c>
      <c r="L14" s="79">
        <v>7841.1599999999989</v>
      </c>
      <c r="M14" s="79">
        <v>4745.5800000000017</v>
      </c>
      <c r="N14" s="79">
        <v>4101.5999999999995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79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A15" s="45" t="s">
        <v>160</v>
      </c>
      <c r="B15" s="75" t="s">
        <v>89</v>
      </c>
      <c r="C15" s="76" t="s">
        <v>86</v>
      </c>
      <c r="D15" s="77" t="s">
        <v>93</v>
      </c>
      <c r="E15" s="78">
        <v>16125.779999999992</v>
      </c>
      <c r="F15" s="79">
        <v>18862.500000000007</v>
      </c>
      <c r="G15" s="79">
        <v>23089.500000000007</v>
      </c>
      <c r="H15" s="79">
        <v>22665.900000000016</v>
      </c>
      <c r="I15" s="78">
        <v>24702.959999999995</v>
      </c>
      <c r="J15" s="79">
        <v>23432.999999999985</v>
      </c>
      <c r="K15" s="79">
        <v>19851.239999999987</v>
      </c>
      <c r="L15" s="79">
        <v>23094.059999999994</v>
      </c>
      <c r="M15" s="79">
        <v>21710.400000000009</v>
      </c>
      <c r="N15" s="79">
        <v>14686.680000000002</v>
      </c>
      <c r="O15" s="79">
        <v>11909.94</v>
      </c>
      <c r="P15" s="79">
        <v>13068</v>
      </c>
      <c r="Q15" s="80">
        <v>11361.539999999999</v>
      </c>
      <c r="R15" s="79">
        <v>12243.600000000002</v>
      </c>
      <c r="S15" s="78">
        <v>12833.099999999993</v>
      </c>
      <c r="T15" s="78">
        <v>11784.300000000001</v>
      </c>
      <c r="U15" s="78">
        <v>10847.039999999997</v>
      </c>
      <c r="V15" s="78">
        <v>10782.9</v>
      </c>
      <c r="W15" s="78">
        <v>9351.9</v>
      </c>
      <c r="X15" s="78">
        <v>8717.4</v>
      </c>
      <c r="Y15" s="79">
        <v>7497.7199999999993</v>
      </c>
      <c r="Z15" s="78">
        <v>9632.7000000000007</v>
      </c>
      <c r="AA15" s="78">
        <v>10764.659999999996</v>
      </c>
      <c r="AB15" s="78">
        <v>9675.5999999999967</v>
      </c>
      <c r="AC15" s="78">
        <v>13000.739999999996</v>
      </c>
      <c r="AD15" s="81">
        <v>13274.339999999997</v>
      </c>
      <c r="AE15" s="80">
        <v>12940.44</v>
      </c>
      <c r="AF15" s="79">
        <v>10750.320000000002</v>
      </c>
      <c r="AG15" s="80">
        <v>10433.999999999998</v>
      </c>
      <c r="AH15" s="80">
        <v>14943.239999999996</v>
      </c>
      <c r="AI15" s="80">
        <v>11704.2</v>
      </c>
      <c r="AJ15" s="82">
        <v>12000</v>
      </c>
      <c r="AK15" s="79">
        <v>1206.5999999999999</v>
      </c>
      <c r="AL15" s="79">
        <v>6744.9600000000009</v>
      </c>
      <c r="AM15" s="83">
        <f t="shared" si="0"/>
        <v>0.56208000000000002</v>
      </c>
      <c r="AN15" s="79">
        <f t="shared" si="1"/>
        <v>7951.5600000000013</v>
      </c>
      <c r="AO15" s="84">
        <f t="shared" si="2"/>
        <v>0.66263000000000016</v>
      </c>
      <c r="AP15" s="50"/>
      <c r="AQ15" s="50"/>
    </row>
    <row r="16" spans="1:45" ht="12.75" customHeight="1" x14ac:dyDescent="0.25">
      <c r="A16" s="45" t="s">
        <v>160</v>
      </c>
      <c r="B16" s="64" t="s">
        <v>94</v>
      </c>
      <c r="C16" s="65" t="s">
        <v>86</v>
      </c>
      <c r="D16" s="66" t="s">
        <v>95</v>
      </c>
      <c r="E16" s="86">
        <v>14359.320000000003</v>
      </c>
      <c r="F16" s="87">
        <v>12635.939999999999</v>
      </c>
      <c r="G16" s="87">
        <v>13629.54</v>
      </c>
      <c r="H16" s="87">
        <v>13588.259999999998</v>
      </c>
      <c r="I16" s="86">
        <v>13229.4</v>
      </c>
      <c r="J16" s="87">
        <v>9262.68</v>
      </c>
      <c r="K16" s="87">
        <v>17165.82</v>
      </c>
      <c r="L16" s="87">
        <v>11389.139999999996</v>
      </c>
      <c r="M16" s="87">
        <v>10668.780000000002</v>
      </c>
      <c r="N16" s="87">
        <v>7878.5400000000018</v>
      </c>
      <c r="O16" s="87">
        <v>11687.999999999998</v>
      </c>
      <c r="P16" s="87">
        <v>10839.6</v>
      </c>
      <c r="Q16" s="88">
        <v>10080.719999999996</v>
      </c>
      <c r="R16" s="87">
        <v>9074.5199999999986</v>
      </c>
      <c r="S16" s="86">
        <v>13909.799999999997</v>
      </c>
      <c r="T16" s="86">
        <v>8820.24</v>
      </c>
      <c r="U16" s="86">
        <v>12358.019999999999</v>
      </c>
      <c r="V16" s="86">
        <v>12453.539999999999</v>
      </c>
      <c r="W16" s="86">
        <v>9154.0199999999986</v>
      </c>
      <c r="X16" s="86">
        <v>9284.2799999999988</v>
      </c>
      <c r="Y16" s="87">
        <v>11646.240000000013</v>
      </c>
      <c r="Z16" s="86">
        <v>22392.60000000006</v>
      </c>
      <c r="AA16" s="86">
        <v>16379.819999999951</v>
      </c>
      <c r="AB16" s="86">
        <v>29137.020000000033</v>
      </c>
      <c r="AC16" s="86">
        <v>22409.879999999997</v>
      </c>
      <c r="AD16" s="89">
        <v>20832.479999999996</v>
      </c>
      <c r="AE16" s="88">
        <v>19343.88</v>
      </c>
      <c r="AF16" s="87">
        <v>12864.83999999998</v>
      </c>
      <c r="AG16" s="88">
        <v>15241.680000000004</v>
      </c>
      <c r="AH16" s="88">
        <v>20159.459999999995</v>
      </c>
      <c r="AI16" s="88">
        <v>24903.54000000003</v>
      </c>
      <c r="AJ16" s="90">
        <v>18200</v>
      </c>
      <c r="AK16" s="87">
        <v>12442.8</v>
      </c>
      <c r="AL16" s="87">
        <v>4616.3399999999983</v>
      </c>
      <c r="AM16" s="91">
        <f>IFERROR(AL16/AJ16,0)</f>
        <v>0.25364505494505485</v>
      </c>
      <c r="AN16" s="87">
        <f>+AK16+AL16</f>
        <v>17059.14</v>
      </c>
      <c r="AO16" s="92">
        <f>IFERROR(+AN16/AJ16,0)</f>
        <v>0.93731538461538455</v>
      </c>
      <c r="AP16" s="50"/>
      <c r="AQ16" s="50"/>
    </row>
    <row r="17" spans="1:45" ht="12.75" customHeight="1" thickBot="1" x14ac:dyDescent="0.3">
      <c r="A17" s="45" t="s">
        <v>160</v>
      </c>
      <c r="B17" s="75" t="s">
        <v>94</v>
      </c>
      <c r="C17" s="76" t="s">
        <v>86</v>
      </c>
      <c r="D17" s="77" t="s">
        <v>96</v>
      </c>
      <c r="E17" s="78">
        <v>19920.240000000005</v>
      </c>
      <c r="F17" s="79">
        <v>16483.980000000003</v>
      </c>
      <c r="G17" s="79">
        <v>10390.199999999999</v>
      </c>
      <c r="H17" s="79">
        <v>15990.600000000002</v>
      </c>
      <c r="I17" s="78">
        <v>14114.820000000002</v>
      </c>
      <c r="J17" s="79">
        <v>14092.8</v>
      </c>
      <c r="K17" s="79">
        <v>15500.939999999999</v>
      </c>
      <c r="L17" s="79">
        <v>14364.299999999994</v>
      </c>
      <c r="M17" s="79">
        <v>9168.0000000000018</v>
      </c>
      <c r="N17" s="79">
        <v>12051.419999999996</v>
      </c>
      <c r="O17" s="79">
        <v>17702.579999999994</v>
      </c>
      <c r="P17" s="79">
        <v>16041.119999999997</v>
      </c>
      <c r="Q17" s="80">
        <v>13771.919999999998</v>
      </c>
      <c r="R17" s="79">
        <v>8993.8200000000015</v>
      </c>
      <c r="S17" s="78">
        <v>15219.119999999997</v>
      </c>
      <c r="T17" s="78">
        <v>13536.359999999999</v>
      </c>
      <c r="U17" s="78">
        <v>12578.520000000006</v>
      </c>
      <c r="V17" s="78">
        <v>12655.020000000004</v>
      </c>
      <c r="W17" s="78">
        <v>7431.54</v>
      </c>
      <c r="X17" s="78">
        <v>11242.679999999998</v>
      </c>
      <c r="Y17" s="79">
        <v>10719.9</v>
      </c>
      <c r="Z17" s="78">
        <v>13547.100000000004</v>
      </c>
      <c r="AA17" s="78">
        <v>12042.9</v>
      </c>
      <c r="AB17" s="78">
        <v>11889.900000000001</v>
      </c>
      <c r="AC17" s="78">
        <v>9909.3000000000011</v>
      </c>
      <c r="AD17" s="81">
        <v>13209.480000000003</v>
      </c>
      <c r="AE17" s="93">
        <v>11904.360000000002</v>
      </c>
      <c r="AF17" s="190">
        <v>11997.480000000003</v>
      </c>
      <c r="AG17" s="93">
        <v>8639.8799999999992</v>
      </c>
      <c r="AH17" s="93">
        <v>14560.200000000006</v>
      </c>
      <c r="AI17" s="93">
        <v>12274.439999999999</v>
      </c>
      <c r="AJ17" s="94">
        <v>11800</v>
      </c>
      <c r="AK17" s="95">
        <v>864</v>
      </c>
      <c r="AL17" s="95">
        <v>11325.300000000001</v>
      </c>
      <c r="AM17" s="96">
        <f>IFERROR(AL17/AJ17,0)</f>
        <v>0.95977118644067805</v>
      </c>
      <c r="AN17" s="95">
        <f t="shared" ref="AN17" si="6">+AK17+AL17</f>
        <v>12189.300000000001</v>
      </c>
      <c r="AO17" s="97">
        <f>IFERROR(+AN17/AJ17,0)</f>
        <v>1.032991525423729</v>
      </c>
      <c r="AP17" s="50"/>
      <c r="AQ17" s="50"/>
    </row>
    <row r="18" spans="1:45" s="109" customFormat="1" ht="12.75" customHeight="1" thickBot="1" x14ac:dyDescent="0.35">
      <c r="A18" s="45" t="s">
        <v>160</v>
      </c>
      <c r="B18" s="98"/>
      <c r="C18" s="99"/>
      <c r="D18" s="100" t="s">
        <v>97</v>
      </c>
      <c r="E18" s="101">
        <f t="shared" ref="E18:AD18" si="7">+SUM(E3:E17)</f>
        <v>348150.23999999987</v>
      </c>
      <c r="F18" s="102">
        <f t="shared" si="7"/>
        <v>357502.08</v>
      </c>
      <c r="G18" s="102">
        <f t="shared" si="7"/>
        <v>382299.89999999991</v>
      </c>
      <c r="H18" s="102">
        <f t="shared" si="7"/>
        <v>415760.6999999999</v>
      </c>
      <c r="I18" s="102">
        <f t="shared" si="7"/>
        <v>462919.98000000016</v>
      </c>
      <c r="J18" s="102">
        <f t="shared" si="7"/>
        <v>437209.85999999993</v>
      </c>
      <c r="K18" s="102">
        <f t="shared" si="7"/>
        <v>441841.74</v>
      </c>
      <c r="L18" s="102">
        <f t="shared" si="7"/>
        <v>400028.69999999978</v>
      </c>
      <c r="M18" s="102">
        <f t="shared" si="7"/>
        <v>340874.4599999999</v>
      </c>
      <c r="N18" s="102">
        <f t="shared" si="7"/>
        <v>338480.03999999986</v>
      </c>
      <c r="O18" s="102">
        <f t="shared" si="7"/>
        <v>292272.77999999985</v>
      </c>
      <c r="P18" s="102">
        <f t="shared" si="7"/>
        <v>375026.03999999986</v>
      </c>
      <c r="Q18" s="103">
        <f t="shared" si="7"/>
        <v>335200.01999999996</v>
      </c>
      <c r="R18" s="102">
        <f t="shared" si="7"/>
        <v>389868.42</v>
      </c>
      <c r="S18" s="101">
        <f t="shared" si="7"/>
        <v>402006.77999999991</v>
      </c>
      <c r="T18" s="101">
        <f t="shared" si="7"/>
        <v>395075.87999999989</v>
      </c>
      <c r="U18" s="101">
        <f t="shared" si="7"/>
        <v>401813.81999999995</v>
      </c>
      <c r="V18" s="101">
        <f t="shared" si="7"/>
        <v>364575.3600000001</v>
      </c>
      <c r="W18" s="101">
        <f t="shared" si="7"/>
        <v>308404.08000000007</v>
      </c>
      <c r="X18" s="101">
        <f t="shared" si="7"/>
        <v>269095.56000000006</v>
      </c>
      <c r="Y18" s="102">
        <f t="shared" si="7"/>
        <v>283992.36000000004</v>
      </c>
      <c r="Z18" s="101">
        <f t="shared" si="7"/>
        <v>361111.31999999995</v>
      </c>
      <c r="AA18" s="101">
        <f t="shared" si="7"/>
        <v>362994.41999999987</v>
      </c>
      <c r="AB18" s="101">
        <f t="shared" si="7"/>
        <v>339842.40000000008</v>
      </c>
      <c r="AC18" s="101">
        <f t="shared" si="7"/>
        <v>359804.70000000007</v>
      </c>
      <c r="AD18" s="104">
        <f t="shared" si="7"/>
        <v>452007.29999999993</v>
      </c>
      <c r="AE18" s="103">
        <v>363922.86</v>
      </c>
      <c r="AF18" s="102">
        <v>355206.72</v>
      </c>
      <c r="AG18" s="103">
        <v>354347.04000000015</v>
      </c>
      <c r="AH18" s="103">
        <v>386931.18000000005</v>
      </c>
      <c r="AI18" s="103">
        <v>353860.98000000004</v>
      </c>
      <c r="AJ18" s="105">
        <v>343500</v>
      </c>
      <c r="AK18" s="102">
        <f t="shared" ref="AK18:AN18" si="8">+SUM(AK3:AK17)</f>
        <v>54181.56</v>
      </c>
      <c r="AL18" s="102">
        <f t="shared" si="8"/>
        <v>200331.3</v>
      </c>
      <c r="AM18" s="106">
        <f t="shared" si="0"/>
        <v>0.58320611353711782</v>
      </c>
      <c r="AN18" s="102">
        <f t="shared" si="8"/>
        <v>254512.86</v>
      </c>
      <c r="AO18" s="107">
        <f t="shared" si="2"/>
        <v>0.74093991266375547</v>
      </c>
      <c r="AP18" s="49"/>
      <c r="AQ18" s="49"/>
      <c r="AR18" s="108"/>
      <c r="AS18" s="47"/>
    </row>
    <row r="19" spans="1:45" ht="12.75" customHeight="1" x14ac:dyDescent="0.25">
      <c r="A19" s="45" t="s">
        <v>160</v>
      </c>
      <c r="B19" s="64" t="s">
        <v>98</v>
      </c>
      <c r="C19" s="65" t="s">
        <v>99</v>
      </c>
      <c r="D19" s="66" t="s">
        <v>100</v>
      </c>
      <c r="E19" s="67">
        <v>6894.9600000000055</v>
      </c>
      <c r="F19" s="68">
        <v>10291.56</v>
      </c>
      <c r="G19" s="68">
        <v>9117.7800000000061</v>
      </c>
      <c r="H19" s="68">
        <v>10687.980000000005</v>
      </c>
      <c r="I19" s="68">
        <v>9906.3000000000047</v>
      </c>
      <c r="J19" s="68">
        <v>6731.8799999999947</v>
      </c>
      <c r="K19" s="68">
        <v>4937.6399999999994</v>
      </c>
      <c r="L19" s="68">
        <v>5550.18</v>
      </c>
      <c r="M19" s="68">
        <v>7282.98</v>
      </c>
      <c r="N19" s="68">
        <v>7478.0399999999981</v>
      </c>
      <c r="O19" s="68">
        <v>8269.56</v>
      </c>
      <c r="P19" s="68">
        <v>6914.3999999999924</v>
      </c>
      <c r="Q19" s="69">
        <v>7848.9800000000014</v>
      </c>
      <c r="R19" s="68">
        <v>7367.4800000000059</v>
      </c>
      <c r="S19" s="67">
        <v>6472.82</v>
      </c>
      <c r="T19" s="67">
        <v>5889.9199999999992</v>
      </c>
      <c r="U19" s="67">
        <v>6885.2</v>
      </c>
      <c r="V19" s="67">
        <v>4616.8799999999956</v>
      </c>
      <c r="W19" s="67">
        <v>4554.4199999999964</v>
      </c>
      <c r="X19" s="67">
        <v>4150.6600000000008</v>
      </c>
      <c r="Y19" s="68">
        <v>3592.6599999999989</v>
      </c>
      <c r="Z19" s="67">
        <v>6205.7399999999971</v>
      </c>
      <c r="AA19" s="67">
        <v>5483.42</v>
      </c>
      <c r="AB19" s="67">
        <v>4602.4399999999978</v>
      </c>
      <c r="AC19" s="67">
        <v>5465.7600000000066</v>
      </c>
      <c r="AD19" s="70">
        <v>3934.4999999999973</v>
      </c>
      <c r="AE19" s="69">
        <v>4772.1000000000004</v>
      </c>
      <c r="AF19" s="68">
        <v>3254.9999999999982</v>
      </c>
      <c r="AG19" s="69">
        <v>3275.3399999999997</v>
      </c>
      <c r="AH19" s="69">
        <v>3875.9999999999968</v>
      </c>
      <c r="AI19" s="69">
        <v>3748.6199999999976</v>
      </c>
      <c r="AJ19" s="110">
        <v>4500</v>
      </c>
      <c r="AK19" s="68">
        <v>46.08</v>
      </c>
      <c r="AL19" s="68">
        <v>3212.2199999999957</v>
      </c>
      <c r="AM19" s="111">
        <f>IFERROR(AL19/AJ19,0)</f>
        <v>0.71382666666666572</v>
      </c>
      <c r="AN19" s="68">
        <f>+AK19+AL19</f>
        <v>3258.2999999999956</v>
      </c>
      <c r="AO19" s="112">
        <f>IFERROR(+AN19/AJ19,0)</f>
        <v>0.72406666666666575</v>
      </c>
      <c r="AP19" s="50"/>
      <c r="AQ19" s="50"/>
    </row>
    <row r="20" spans="1:45" ht="12.75" customHeight="1" x14ac:dyDescent="0.25">
      <c r="A20" s="45" t="s">
        <v>160</v>
      </c>
      <c r="B20" s="75" t="s">
        <v>98</v>
      </c>
      <c r="C20" s="113" t="s">
        <v>99</v>
      </c>
      <c r="D20" s="77" t="s">
        <v>101</v>
      </c>
      <c r="E20" s="78">
        <v>44528.280000000115</v>
      </c>
      <c r="F20" s="79">
        <v>39764.340000000047</v>
      </c>
      <c r="G20" s="79">
        <v>48175.9200000001</v>
      </c>
      <c r="H20" s="79">
        <v>66296.58000000006</v>
      </c>
      <c r="I20" s="79">
        <v>53476.620000000163</v>
      </c>
      <c r="J20" s="79">
        <v>34486.980000000069</v>
      </c>
      <c r="K20" s="79">
        <v>30798.539999999994</v>
      </c>
      <c r="L20" s="79">
        <v>47363.880000000056</v>
      </c>
      <c r="M20" s="79">
        <v>35907.299999999945</v>
      </c>
      <c r="N20" s="79">
        <v>41012.760000000097</v>
      </c>
      <c r="O20" s="79">
        <v>46329.600000000064</v>
      </c>
      <c r="P20" s="79">
        <v>45846.120000000024</v>
      </c>
      <c r="Q20" s="80">
        <v>44187.780000000021</v>
      </c>
      <c r="R20" s="79">
        <v>48106.020000000099</v>
      </c>
      <c r="S20" s="78">
        <v>29608.20000000003</v>
      </c>
      <c r="T20" s="78">
        <v>54589.260000000111</v>
      </c>
      <c r="U20" s="78">
        <v>35370.600000000042</v>
      </c>
      <c r="V20" s="78">
        <v>41635.080000000038</v>
      </c>
      <c r="W20" s="78">
        <v>49810.02000000007</v>
      </c>
      <c r="X20" s="78">
        <v>35403.060000000019</v>
      </c>
      <c r="Y20" s="79">
        <v>34372.080000000082</v>
      </c>
      <c r="Z20" s="78">
        <v>35988.480000000098</v>
      </c>
      <c r="AA20" s="78">
        <v>33899.460000000079</v>
      </c>
      <c r="AB20" s="78">
        <v>46604.160000000047</v>
      </c>
      <c r="AC20" s="78">
        <v>34787.820000000058</v>
      </c>
      <c r="AD20" s="81">
        <v>37246.379999999983</v>
      </c>
      <c r="AE20" s="80">
        <v>32108.699999999993</v>
      </c>
      <c r="AF20" s="79">
        <v>29480.40000000006</v>
      </c>
      <c r="AG20" s="80">
        <v>31524.780000000057</v>
      </c>
      <c r="AH20" s="80">
        <v>24128.340000000029</v>
      </c>
      <c r="AI20" s="80">
        <v>30706.20000000007</v>
      </c>
      <c r="AJ20" s="114">
        <v>33000</v>
      </c>
      <c r="AK20" s="79">
        <v>7231.260000000002</v>
      </c>
      <c r="AL20" s="79">
        <v>16863.12</v>
      </c>
      <c r="AM20" s="83">
        <f>IFERROR(AL20/AJ20,0)</f>
        <v>0.51100363636363633</v>
      </c>
      <c r="AN20" s="79">
        <f>+AK20+AL20</f>
        <v>24094.38</v>
      </c>
      <c r="AO20" s="84">
        <f>IFERROR(+AN20/AJ20,0)</f>
        <v>0.73013272727272727</v>
      </c>
      <c r="AP20" s="50"/>
      <c r="AQ20" s="50"/>
    </row>
    <row r="21" spans="1:45" ht="12.75" customHeight="1" thickBot="1" x14ac:dyDescent="0.3">
      <c r="A21" s="45" t="s">
        <v>160</v>
      </c>
      <c r="B21" s="64" t="s">
        <v>98</v>
      </c>
      <c r="C21" s="65" t="s">
        <v>99</v>
      </c>
      <c r="D21" s="66" t="s">
        <v>102</v>
      </c>
      <c r="E21" s="86">
        <v>32935.979999999981</v>
      </c>
      <c r="F21" s="87">
        <v>27450.180000000037</v>
      </c>
      <c r="G21" s="87">
        <v>35359.560000000085</v>
      </c>
      <c r="H21" s="87">
        <v>40495.140000000029</v>
      </c>
      <c r="I21" s="87">
        <v>40494.959999999999</v>
      </c>
      <c r="J21" s="87">
        <v>23206.980000000021</v>
      </c>
      <c r="K21" s="87">
        <v>30261.360000000157</v>
      </c>
      <c r="L21" s="87">
        <v>24660.180000000037</v>
      </c>
      <c r="M21" s="87">
        <v>48618.06000000015</v>
      </c>
      <c r="N21" s="87">
        <v>57384.540000000183</v>
      </c>
      <c r="O21" s="87">
        <v>36990.780000000232</v>
      </c>
      <c r="P21" s="87">
        <v>49652.880000000172</v>
      </c>
      <c r="Q21" s="88">
        <v>48138.420000000122</v>
      </c>
      <c r="R21" s="87">
        <v>41774.640000000094</v>
      </c>
      <c r="S21" s="86">
        <v>72205.800000000061</v>
      </c>
      <c r="T21" s="86">
        <v>46319.820000000087</v>
      </c>
      <c r="U21" s="86">
        <v>53755.080000000096</v>
      </c>
      <c r="V21" s="86">
        <v>65037.96000000005</v>
      </c>
      <c r="W21" s="86">
        <v>51697.200000000012</v>
      </c>
      <c r="X21" s="86">
        <v>33644.220000000088</v>
      </c>
      <c r="Y21" s="87">
        <v>43958.400000000074</v>
      </c>
      <c r="Z21" s="86">
        <v>70777.560000000085</v>
      </c>
      <c r="AA21" s="86">
        <v>52361.76000000006</v>
      </c>
      <c r="AB21" s="86">
        <v>55555.740000000093</v>
      </c>
      <c r="AC21" s="86">
        <v>48139.860000000037</v>
      </c>
      <c r="AD21" s="89">
        <v>36960.120000000075</v>
      </c>
      <c r="AE21" s="88">
        <v>41638.200000000223</v>
      </c>
      <c r="AF21" s="87">
        <v>32034.180000000109</v>
      </c>
      <c r="AG21" s="88">
        <v>30394.740000000067</v>
      </c>
      <c r="AH21" s="88">
        <v>47464.680000000088</v>
      </c>
      <c r="AI21" s="88">
        <v>51663.180000000037</v>
      </c>
      <c r="AJ21" s="115">
        <v>45000</v>
      </c>
      <c r="AK21" s="87">
        <v>8245.14</v>
      </c>
      <c r="AL21" s="87">
        <v>37972.020000000077</v>
      </c>
      <c r="AM21" s="91">
        <f>IFERROR(AL21/AJ21,0)</f>
        <v>0.84382266666666839</v>
      </c>
      <c r="AN21" s="87">
        <f>+AK21+AL21</f>
        <v>46217.160000000076</v>
      </c>
      <c r="AO21" s="92">
        <f>IFERROR(+AN21/AJ21,0)</f>
        <v>1.0270480000000017</v>
      </c>
      <c r="AP21" s="50"/>
      <c r="AQ21" s="50"/>
    </row>
    <row r="22" spans="1:45" s="109" customFormat="1" ht="12.75" customHeight="1" thickBot="1" x14ac:dyDescent="0.35">
      <c r="A22" s="45" t="s">
        <v>160</v>
      </c>
      <c r="B22" s="98"/>
      <c r="C22" s="99"/>
      <c r="D22" s="100" t="s">
        <v>103</v>
      </c>
      <c r="E22" s="101">
        <f t="shared" ref="E22:X22" si="9">+SUM(E19:E21)</f>
        <v>84359.220000000103</v>
      </c>
      <c r="F22" s="102">
        <f t="shared" si="9"/>
        <v>77506.080000000075</v>
      </c>
      <c r="G22" s="102">
        <f t="shared" si="9"/>
        <v>92653.260000000184</v>
      </c>
      <c r="H22" s="102">
        <f t="shared" si="9"/>
        <v>117479.7000000001</v>
      </c>
      <c r="I22" s="102">
        <f t="shared" si="9"/>
        <v>103877.88000000016</v>
      </c>
      <c r="J22" s="102">
        <f t="shared" si="9"/>
        <v>64425.840000000084</v>
      </c>
      <c r="K22" s="102">
        <f t="shared" si="9"/>
        <v>65997.540000000154</v>
      </c>
      <c r="L22" s="102">
        <f t="shared" si="9"/>
        <v>77574.240000000093</v>
      </c>
      <c r="M22" s="102">
        <f t="shared" si="9"/>
        <v>91808.340000000084</v>
      </c>
      <c r="N22" s="102">
        <f t="shared" si="9"/>
        <v>105875.34000000029</v>
      </c>
      <c r="O22" s="102">
        <f t="shared" si="9"/>
        <v>91589.940000000293</v>
      </c>
      <c r="P22" s="102">
        <f t="shared" si="9"/>
        <v>102413.4000000002</v>
      </c>
      <c r="Q22" s="103">
        <f t="shared" si="9"/>
        <v>100175.18000000014</v>
      </c>
      <c r="R22" s="102">
        <f t="shared" si="9"/>
        <v>97248.140000000189</v>
      </c>
      <c r="S22" s="101">
        <v>108286.82000000009</v>
      </c>
      <c r="T22" s="101">
        <f t="shared" si="9"/>
        <v>106799.0000000002</v>
      </c>
      <c r="U22" s="101">
        <f t="shared" si="9"/>
        <v>96010.880000000136</v>
      </c>
      <c r="V22" s="101">
        <f t="shared" si="9"/>
        <v>111289.92000000009</v>
      </c>
      <c r="W22" s="101">
        <f t="shared" si="9"/>
        <v>106061.64000000007</v>
      </c>
      <c r="X22" s="101">
        <f t="shared" si="9"/>
        <v>73197.940000000119</v>
      </c>
      <c r="Y22" s="102">
        <v>81923.140000000159</v>
      </c>
      <c r="Z22" s="101">
        <v>112971.78000000017</v>
      </c>
      <c r="AA22" s="101">
        <v>91744.64000000013</v>
      </c>
      <c r="AB22" s="101">
        <v>106762.34000000014</v>
      </c>
      <c r="AC22" s="101">
        <v>88393.440000000104</v>
      </c>
      <c r="AD22" s="104">
        <v>78141.000000000058</v>
      </c>
      <c r="AE22" s="103">
        <v>78519.000000000218</v>
      </c>
      <c r="AF22" s="102">
        <v>64769.580000000169</v>
      </c>
      <c r="AG22" s="103">
        <v>65194.860000000117</v>
      </c>
      <c r="AH22" s="103">
        <v>75469.020000000106</v>
      </c>
      <c r="AI22" s="103">
        <v>86118.000000000102</v>
      </c>
      <c r="AJ22" s="105">
        <v>82500</v>
      </c>
      <c r="AK22" s="102">
        <f t="shared" ref="AK22:AN22" si="10">+SUM(AK19:AK21)</f>
        <v>15522.480000000001</v>
      </c>
      <c r="AL22" s="102">
        <f t="shared" si="10"/>
        <v>58047.360000000073</v>
      </c>
      <c r="AM22" s="106">
        <f t="shared" ref="AM22:AM28" si="11">IFERROR(AL22/AJ22,0)</f>
        <v>0.70360436363636447</v>
      </c>
      <c r="AN22" s="102">
        <f t="shared" si="10"/>
        <v>73569.840000000069</v>
      </c>
      <c r="AO22" s="107">
        <f t="shared" ref="AO22:AO28" si="12">IFERROR(+AN22/AJ22,0)</f>
        <v>0.89175563636363719</v>
      </c>
      <c r="AP22" s="49"/>
      <c r="AQ22" s="49"/>
      <c r="AR22" s="108"/>
      <c r="AS22" s="47"/>
    </row>
    <row r="23" spans="1:45" ht="12.75" customHeight="1" x14ac:dyDescent="0.25">
      <c r="A23" s="45" t="s">
        <v>160</v>
      </c>
      <c r="B23" s="64" t="s">
        <v>104</v>
      </c>
      <c r="C23" s="65" t="s">
        <v>105</v>
      </c>
      <c r="D23" s="66" t="s">
        <v>106</v>
      </c>
      <c r="E23" s="86">
        <v>16294.56</v>
      </c>
      <c r="F23" s="87">
        <v>9241.3799999999992</v>
      </c>
      <c r="G23" s="87">
        <v>15490.5</v>
      </c>
      <c r="H23" s="87">
        <v>16985.46</v>
      </c>
      <c r="I23" s="86">
        <v>16565.219999999998</v>
      </c>
      <c r="J23" s="87">
        <v>17875.679999999997</v>
      </c>
      <c r="K23" s="87">
        <v>11751.420000000002</v>
      </c>
      <c r="L23" s="87">
        <v>11667.239999999996</v>
      </c>
      <c r="M23" s="87">
        <v>11146.8</v>
      </c>
      <c r="N23" s="87">
        <v>10342.380000000001</v>
      </c>
      <c r="O23" s="87">
        <v>24960.480000000003</v>
      </c>
      <c r="P23" s="87">
        <v>18172.68</v>
      </c>
      <c r="Q23" s="88">
        <v>17166.240000000002</v>
      </c>
      <c r="R23" s="87">
        <v>27058.320000000003</v>
      </c>
      <c r="S23" s="86">
        <v>21648.9</v>
      </c>
      <c r="T23" s="86">
        <v>18600.540000000005</v>
      </c>
      <c r="U23" s="86">
        <v>20401.080000000002</v>
      </c>
      <c r="V23" s="86">
        <v>19218.120000000003</v>
      </c>
      <c r="W23" s="86">
        <v>11779.679999999998</v>
      </c>
      <c r="X23" s="86">
        <v>14412.479999999998</v>
      </c>
      <c r="Y23" s="87">
        <v>14059.679999999998</v>
      </c>
      <c r="Z23" s="86">
        <v>11002.860000000004</v>
      </c>
      <c r="AA23" s="86">
        <v>13530.3</v>
      </c>
      <c r="AB23" s="86">
        <v>13140.72</v>
      </c>
      <c r="AC23" s="86">
        <v>11240.400000000001</v>
      </c>
      <c r="AD23" s="89">
        <v>21079.800000000003</v>
      </c>
      <c r="AE23" s="88">
        <v>12360.720000000001</v>
      </c>
      <c r="AF23" s="87">
        <v>16173.599999999999</v>
      </c>
      <c r="AG23" s="88">
        <v>9893.2200000000012</v>
      </c>
      <c r="AH23" s="88">
        <v>13930.02</v>
      </c>
      <c r="AI23" s="88">
        <v>13167.06</v>
      </c>
      <c r="AJ23" s="90">
        <v>14000</v>
      </c>
      <c r="AK23" s="87">
        <v>486</v>
      </c>
      <c r="AL23" s="87">
        <v>10015.08</v>
      </c>
      <c r="AM23" s="91">
        <f>IFERROR(AL23/AJ23,0)</f>
        <v>0.71536285714285719</v>
      </c>
      <c r="AN23" s="87">
        <f t="shared" ref="AN23" si="13">+AK23+AL23</f>
        <v>10501.08</v>
      </c>
      <c r="AO23" s="92">
        <f>IFERROR(+AN23/AJ23,0)</f>
        <v>0.75007714285714289</v>
      </c>
      <c r="AP23" s="50"/>
      <c r="AQ23" s="50"/>
    </row>
    <row r="24" spans="1:45" ht="12.75" customHeight="1" x14ac:dyDescent="0.25">
      <c r="A24" s="45" t="s">
        <v>160</v>
      </c>
      <c r="B24" s="75" t="s">
        <v>107</v>
      </c>
      <c r="C24" s="76" t="s">
        <v>105</v>
      </c>
      <c r="D24" s="77" t="s">
        <v>108</v>
      </c>
      <c r="E24" s="78">
        <v>23863.02</v>
      </c>
      <c r="F24" s="79">
        <v>17484.299999999996</v>
      </c>
      <c r="G24" s="79">
        <v>24630.600000000002</v>
      </c>
      <c r="H24" s="79">
        <v>28144.920000000006</v>
      </c>
      <c r="I24" s="78">
        <v>29195.400000000005</v>
      </c>
      <c r="J24" s="79">
        <v>32785.08</v>
      </c>
      <c r="K24" s="79">
        <v>38384.819999999992</v>
      </c>
      <c r="L24" s="79">
        <v>42660.360000000015</v>
      </c>
      <c r="M24" s="79">
        <v>32899.079999999994</v>
      </c>
      <c r="N24" s="79">
        <v>31105.200000000004</v>
      </c>
      <c r="O24" s="79">
        <v>26337.600000000002</v>
      </c>
      <c r="P24" s="79">
        <v>26986.679999999997</v>
      </c>
      <c r="Q24" s="80">
        <v>19220.400000000005</v>
      </c>
      <c r="R24" s="79">
        <v>26098.32</v>
      </c>
      <c r="S24" s="78">
        <v>26501.399999999998</v>
      </c>
      <c r="T24" s="78">
        <v>17000.159999999996</v>
      </c>
      <c r="U24" s="78">
        <v>22110.720000000001</v>
      </c>
      <c r="V24" s="78">
        <v>23864.039999999997</v>
      </c>
      <c r="W24" s="78">
        <v>16470.359999999997</v>
      </c>
      <c r="X24" s="78">
        <v>14477.399999999998</v>
      </c>
      <c r="Y24" s="79">
        <v>14336.460000000001</v>
      </c>
      <c r="Z24" s="78">
        <v>15027.6</v>
      </c>
      <c r="AA24" s="78">
        <v>16119</v>
      </c>
      <c r="AB24" s="78">
        <v>17880.239999999998</v>
      </c>
      <c r="AC24" s="78">
        <v>21265.98</v>
      </c>
      <c r="AD24" s="81">
        <v>17800.68</v>
      </c>
      <c r="AE24" s="80">
        <v>15460.439999999999</v>
      </c>
      <c r="AF24" s="79">
        <v>18051.120000000006</v>
      </c>
      <c r="AG24" s="80">
        <v>14053.92</v>
      </c>
      <c r="AH24" s="80">
        <v>21255.600000000002</v>
      </c>
      <c r="AI24" s="80">
        <v>17125.980000000003</v>
      </c>
      <c r="AJ24" s="82">
        <v>16800</v>
      </c>
      <c r="AK24" s="79">
        <v>648</v>
      </c>
      <c r="AL24" s="79">
        <v>9897.6</v>
      </c>
      <c r="AM24" s="83">
        <f t="shared" si="11"/>
        <v>0.58914285714285719</v>
      </c>
      <c r="AN24" s="79">
        <f>+AK24+AL24</f>
        <v>10545.6</v>
      </c>
      <c r="AO24" s="84">
        <f t="shared" si="12"/>
        <v>0.62771428571428578</v>
      </c>
      <c r="AP24" s="50"/>
      <c r="AQ24" s="50"/>
    </row>
    <row r="25" spans="1:45" ht="12.75" customHeight="1" x14ac:dyDescent="0.25">
      <c r="A25" s="45" t="s">
        <v>160</v>
      </c>
      <c r="B25" s="64" t="s">
        <v>109</v>
      </c>
      <c r="C25" s="65" t="s">
        <v>105</v>
      </c>
      <c r="D25" s="66" t="s">
        <v>110</v>
      </c>
      <c r="E25" s="86">
        <v>34882.800000000003</v>
      </c>
      <c r="F25" s="87">
        <v>29839.200000000004</v>
      </c>
      <c r="G25" s="87">
        <v>37211.400000000009</v>
      </c>
      <c r="H25" s="87">
        <v>37233.599999999991</v>
      </c>
      <c r="I25" s="86">
        <v>33715.020000000004</v>
      </c>
      <c r="J25" s="87">
        <v>41355.240000000013</v>
      </c>
      <c r="K25" s="87">
        <v>35703.299999999996</v>
      </c>
      <c r="L25" s="87">
        <v>35063.100000000006</v>
      </c>
      <c r="M25" s="87">
        <v>41224.80000000001</v>
      </c>
      <c r="N25" s="87">
        <v>35248.200000000004</v>
      </c>
      <c r="O25" s="87">
        <v>37397.159999999996</v>
      </c>
      <c r="P25" s="87">
        <v>30973.98</v>
      </c>
      <c r="Q25" s="88">
        <v>32100.060000000012</v>
      </c>
      <c r="R25" s="87">
        <v>36486.300000000025</v>
      </c>
      <c r="S25" s="86">
        <v>39498.18</v>
      </c>
      <c r="T25" s="86">
        <v>29474.16</v>
      </c>
      <c r="U25" s="86">
        <v>38307.419999999991</v>
      </c>
      <c r="V25" s="86">
        <v>39212.700000000004</v>
      </c>
      <c r="W25" s="86">
        <v>31365.599999999995</v>
      </c>
      <c r="X25" s="86">
        <v>35002.800000000003</v>
      </c>
      <c r="Y25" s="87">
        <v>25739.879999999997</v>
      </c>
      <c r="Z25" s="86">
        <v>34239.599999999999</v>
      </c>
      <c r="AA25" s="86">
        <v>36015.539999999994</v>
      </c>
      <c r="AB25" s="86">
        <v>26154.599999999995</v>
      </c>
      <c r="AC25" s="86">
        <v>28405.199999999997</v>
      </c>
      <c r="AD25" s="89">
        <v>24042</v>
      </c>
      <c r="AE25" s="88">
        <v>22510.199999999997</v>
      </c>
      <c r="AF25" s="87">
        <v>29057.399999999994</v>
      </c>
      <c r="AG25" s="88">
        <v>28823.399999999998</v>
      </c>
      <c r="AH25" s="88">
        <v>23829.84</v>
      </c>
      <c r="AI25" s="88">
        <v>25597.56</v>
      </c>
      <c r="AJ25" s="90">
        <v>25500</v>
      </c>
      <c r="AK25" s="87">
        <v>3427.2</v>
      </c>
      <c r="AL25" s="87">
        <v>14088.72</v>
      </c>
      <c r="AM25" s="91">
        <f t="shared" si="11"/>
        <v>0.55249882352941171</v>
      </c>
      <c r="AN25" s="87">
        <f>+AK25+AL25</f>
        <v>17515.919999999998</v>
      </c>
      <c r="AO25" s="92">
        <f t="shared" si="12"/>
        <v>0.68689882352941167</v>
      </c>
      <c r="AP25" s="50"/>
      <c r="AQ25" s="50"/>
    </row>
    <row r="26" spans="1:45" ht="12.75" customHeight="1" x14ac:dyDescent="0.25">
      <c r="A26" s="45" t="s">
        <v>160</v>
      </c>
      <c r="B26" s="75" t="s">
        <v>109</v>
      </c>
      <c r="C26" s="76" t="s">
        <v>105</v>
      </c>
      <c r="D26" s="77" t="s">
        <v>111</v>
      </c>
      <c r="E26" s="78">
        <v>35685.600000000006</v>
      </c>
      <c r="F26" s="79">
        <v>33638.400000000001</v>
      </c>
      <c r="G26" s="79">
        <v>34844.400000000009</v>
      </c>
      <c r="H26" s="79">
        <v>33789.899999999994</v>
      </c>
      <c r="I26" s="78">
        <v>40828.200000000004</v>
      </c>
      <c r="J26" s="79">
        <v>38242.200000000004</v>
      </c>
      <c r="K26" s="79">
        <v>52590.960000000006</v>
      </c>
      <c r="L26" s="79">
        <v>46155.960000000006</v>
      </c>
      <c r="M26" s="79">
        <v>43379.519999999997</v>
      </c>
      <c r="N26" s="79">
        <v>40274.04</v>
      </c>
      <c r="O26" s="79">
        <v>36596.400000000001</v>
      </c>
      <c r="P26" s="79">
        <v>34023.600000000006</v>
      </c>
      <c r="Q26" s="80">
        <v>22079.4</v>
      </c>
      <c r="R26" s="79">
        <v>35971.200000000004</v>
      </c>
      <c r="S26" s="78">
        <v>31178.400000000005</v>
      </c>
      <c r="T26" s="78">
        <v>24830.400000000001</v>
      </c>
      <c r="U26" s="78">
        <v>33460.800000000003</v>
      </c>
      <c r="V26" s="78">
        <v>26541.600000000006</v>
      </c>
      <c r="W26" s="78">
        <v>29010.6</v>
      </c>
      <c r="X26" s="78">
        <v>25492.200000000004</v>
      </c>
      <c r="Y26" s="79">
        <v>23043.600000000002</v>
      </c>
      <c r="Z26" s="78">
        <v>28103.4</v>
      </c>
      <c r="AA26" s="78">
        <v>23828.28</v>
      </c>
      <c r="AB26" s="78">
        <v>22274.400000000001</v>
      </c>
      <c r="AC26" s="78">
        <v>26706.600000000002</v>
      </c>
      <c r="AD26" s="81">
        <v>21070.2</v>
      </c>
      <c r="AE26" s="80">
        <v>24311.4</v>
      </c>
      <c r="AF26" s="79">
        <v>22680.000000000004</v>
      </c>
      <c r="AG26" s="80">
        <v>17565</v>
      </c>
      <c r="AH26" s="80">
        <v>25228.320000000003</v>
      </c>
      <c r="AI26" s="80">
        <v>21525.599999999999</v>
      </c>
      <c r="AJ26" s="82">
        <v>22900</v>
      </c>
      <c r="AK26" s="79">
        <v>432</v>
      </c>
      <c r="AL26" s="79">
        <v>13577.519999999999</v>
      </c>
      <c r="AM26" s="83">
        <f t="shared" si="11"/>
        <v>0.59290480349344976</v>
      </c>
      <c r="AN26" s="79">
        <f>+AK26+AL26</f>
        <v>14009.519999999999</v>
      </c>
      <c r="AO26" s="84">
        <f t="shared" si="12"/>
        <v>0.61176943231441039</v>
      </c>
      <c r="AP26" s="50"/>
      <c r="AQ26" s="50"/>
    </row>
    <row r="27" spans="1:45" ht="12.75" customHeight="1" thickBot="1" x14ac:dyDescent="0.3">
      <c r="A27" s="45" t="s">
        <v>160</v>
      </c>
      <c r="B27" s="64" t="s">
        <v>112</v>
      </c>
      <c r="C27" s="65" t="s">
        <v>105</v>
      </c>
      <c r="D27" s="66" t="s">
        <v>113</v>
      </c>
      <c r="E27" s="86">
        <v>13495.8</v>
      </c>
      <c r="F27" s="87">
        <v>15040.8</v>
      </c>
      <c r="G27" s="87">
        <v>11033.1</v>
      </c>
      <c r="H27" s="87">
        <v>14846.1</v>
      </c>
      <c r="I27" s="86">
        <v>14973.9</v>
      </c>
      <c r="J27" s="87">
        <v>18412.140000000003</v>
      </c>
      <c r="K27" s="87">
        <v>31243.980000000003</v>
      </c>
      <c r="L27" s="87">
        <v>19176.12</v>
      </c>
      <c r="M27" s="87">
        <v>16669.8</v>
      </c>
      <c r="N27" s="87">
        <v>13496.279999999999</v>
      </c>
      <c r="O27" s="87">
        <v>17167.2</v>
      </c>
      <c r="P27" s="87">
        <v>18609.3</v>
      </c>
      <c r="Q27" s="88">
        <v>15474.899999999998</v>
      </c>
      <c r="R27" s="87">
        <v>10677.359999999999</v>
      </c>
      <c r="S27" s="86">
        <v>17160.3</v>
      </c>
      <c r="T27" s="86">
        <v>13631.58</v>
      </c>
      <c r="U27" s="86">
        <v>14991.6</v>
      </c>
      <c r="V27" s="86">
        <v>18290.879999999997</v>
      </c>
      <c r="W27" s="86">
        <v>26546.220000000005</v>
      </c>
      <c r="X27" s="86">
        <v>16558.560000000001</v>
      </c>
      <c r="Y27" s="87">
        <v>11161.14</v>
      </c>
      <c r="Z27" s="86">
        <v>12504</v>
      </c>
      <c r="AA27" s="86">
        <v>11700.119999999999</v>
      </c>
      <c r="AB27" s="86">
        <v>14082.000000000002</v>
      </c>
      <c r="AC27" s="86">
        <v>13680.3</v>
      </c>
      <c r="AD27" s="89">
        <v>13205.7</v>
      </c>
      <c r="AE27" s="88">
        <v>12126</v>
      </c>
      <c r="AF27" s="87">
        <v>13617.300000000003</v>
      </c>
      <c r="AG27" s="88">
        <v>12336.959999999997</v>
      </c>
      <c r="AH27" s="88">
        <v>22847.640000000003</v>
      </c>
      <c r="AI27" s="88">
        <v>27250.379999999997</v>
      </c>
      <c r="AJ27" s="90">
        <v>20800</v>
      </c>
      <c r="AK27" s="87">
        <v>489.6</v>
      </c>
      <c r="AL27" s="87">
        <v>14381.939999999999</v>
      </c>
      <c r="AM27" s="91">
        <f t="shared" si="11"/>
        <v>0.69143942307692297</v>
      </c>
      <c r="AN27" s="87">
        <f>+AK27+AL27</f>
        <v>14871.539999999999</v>
      </c>
      <c r="AO27" s="92">
        <f t="shared" si="12"/>
        <v>0.71497788461538458</v>
      </c>
      <c r="AP27" s="50"/>
      <c r="AQ27" s="50"/>
    </row>
    <row r="28" spans="1:45" s="109" customFormat="1" ht="12.75" customHeight="1" thickBot="1" x14ac:dyDescent="0.35">
      <c r="A28" s="45" t="s">
        <v>160</v>
      </c>
      <c r="B28" s="98"/>
      <c r="C28" s="99"/>
      <c r="D28" s="100" t="s">
        <v>114</v>
      </c>
      <c r="E28" s="101">
        <f t="shared" ref="E28:AD28" si="14">+SUM(E23:E27)</f>
        <v>124221.78000000001</v>
      </c>
      <c r="F28" s="102">
        <f t="shared" si="14"/>
        <v>105244.08</v>
      </c>
      <c r="G28" s="102">
        <f t="shared" si="14"/>
        <v>123210.00000000003</v>
      </c>
      <c r="H28" s="102">
        <f t="shared" si="14"/>
        <v>130999.98</v>
      </c>
      <c r="I28" s="102">
        <f t="shared" si="14"/>
        <v>135277.74000000002</v>
      </c>
      <c r="J28" s="102">
        <f t="shared" si="14"/>
        <v>148670.34000000003</v>
      </c>
      <c r="K28" s="102">
        <f t="shared" si="14"/>
        <v>169674.48</v>
      </c>
      <c r="L28" s="102">
        <f t="shared" si="14"/>
        <v>154722.78000000003</v>
      </c>
      <c r="M28" s="102">
        <f t="shared" si="14"/>
        <v>145319.99999999997</v>
      </c>
      <c r="N28" s="102">
        <f t="shared" si="14"/>
        <v>130466.1</v>
      </c>
      <c r="O28" s="102">
        <f t="shared" si="14"/>
        <v>142458.84</v>
      </c>
      <c r="P28" s="102">
        <f t="shared" si="14"/>
        <v>128766.24</v>
      </c>
      <c r="Q28" s="103">
        <f t="shared" si="14"/>
        <v>106041</v>
      </c>
      <c r="R28" s="102">
        <f t="shared" si="14"/>
        <v>136291.50000000003</v>
      </c>
      <c r="S28" s="101">
        <f t="shared" si="14"/>
        <v>135987.18000000002</v>
      </c>
      <c r="T28" s="101">
        <f t="shared" si="14"/>
        <v>103536.84000000001</v>
      </c>
      <c r="U28" s="101">
        <f t="shared" si="14"/>
        <v>129271.62000000001</v>
      </c>
      <c r="V28" s="101">
        <f t="shared" si="14"/>
        <v>127127.34000000003</v>
      </c>
      <c r="W28" s="101">
        <f t="shared" si="14"/>
        <v>115172.45999999999</v>
      </c>
      <c r="X28" s="101">
        <f t="shared" si="14"/>
        <v>105943.44</v>
      </c>
      <c r="Y28" s="102">
        <f t="shared" si="14"/>
        <v>88340.76</v>
      </c>
      <c r="Z28" s="101">
        <f t="shared" si="14"/>
        <v>100877.46</v>
      </c>
      <c r="AA28" s="101">
        <f t="shared" si="14"/>
        <v>101193.23999999999</v>
      </c>
      <c r="AB28" s="101">
        <f t="shared" si="14"/>
        <v>93531.959999999992</v>
      </c>
      <c r="AC28" s="101">
        <f t="shared" si="14"/>
        <v>101298.48000000001</v>
      </c>
      <c r="AD28" s="104">
        <f t="shared" si="14"/>
        <v>97198.38</v>
      </c>
      <c r="AE28" s="103">
        <v>86768.760000000009</v>
      </c>
      <c r="AF28" s="102">
        <v>99579.42</v>
      </c>
      <c r="AG28" s="103">
        <v>82672.499999999985</v>
      </c>
      <c r="AH28" s="103">
        <v>107091.42000000001</v>
      </c>
      <c r="AI28" s="103">
        <v>104666.58000000002</v>
      </c>
      <c r="AJ28" s="105">
        <v>100000</v>
      </c>
      <c r="AK28" s="102">
        <f>+SUM(AK23:AK27)</f>
        <v>5482.8</v>
      </c>
      <c r="AL28" s="102">
        <f>+SUM(AL23:AL27)</f>
        <v>61960.86</v>
      </c>
      <c r="AM28" s="106">
        <f t="shared" si="11"/>
        <v>0.61960859999999995</v>
      </c>
      <c r="AN28" s="102">
        <f>+SUM(AN23:AN27)</f>
        <v>67443.659999999989</v>
      </c>
      <c r="AO28" s="107">
        <f t="shared" si="12"/>
        <v>0.67443659999999994</v>
      </c>
      <c r="AP28" s="49"/>
      <c r="AQ28" s="49"/>
      <c r="AR28" s="108"/>
      <c r="AS28" s="47"/>
    </row>
    <row r="29" spans="1:45" ht="12.75" customHeight="1" thickBot="1" x14ac:dyDescent="0.3">
      <c r="A29" s="45" t="s">
        <v>160</v>
      </c>
      <c r="B29" s="64" t="s">
        <v>115</v>
      </c>
      <c r="C29" s="65" t="s">
        <v>105</v>
      </c>
      <c r="D29" s="66" t="s">
        <v>116</v>
      </c>
      <c r="E29" s="86">
        <v>21260.340000000033</v>
      </c>
      <c r="F29" s="87">
        <v>11622.660000000002</v>
      </c>
      <c r="G29" s="87">
        <v>13211.639999999978</v>
      </c>
      <c r="H29" s="87">
        <v>15844.200000000008</v>
      </c>
      <c r="I29" s="86">
        <v>19666.380000000034</v>
      </c>
      <c r="J29" s="87">
        <v>8502.0599999999922</v>
      </c>
      <c r="K29" s="87">
        <v>29082.660000000036</v>
      </c>
      <c r="L29" s="87">
        <v>14613.41999999998</v>
      </c>
      <c r="M29" s="87">
        <v>31068.540000000121</v>
      </c>
      <c r="N29" s="87">
        <v>49595.040000000168</v>
      </c>
      <c r="O29" s="87">
        <v>42512.520000000019</v>
      </c>
      <c r="P29" s="87">
        <v>9172.0799999999927</v>
      </c>
      <c r="Q29" s="88">
        <v>27431.340000000131</v>
      </c>
      <c r="R29" s="87">
        <v>22879.500000000091</v>
      </c>
      <c r="S29" s="86">
        <v>26528.339999999993</v>
      </c>
      <c r="T29" s="86">
        <v>18256.980000000014</v>
      </c>
      <c r="U29" s="86">
        <v>20328.300000000047</v>
      </c>
      <c r="V29" s="86">
        <v>19045.139999999989</v>
      </c>
      <c r="W29" s="86">
        <v>31285.380000000176</v>
      </c>
      <c r="X29" s="86">
        <v>12915.299999999985</v>
      </c>
      <c r="Y29" s="87">
        <v>6096.1200000000017</v>
      </c>
      <c r="Z29" s="86">
        <v>13529.040000000019</v>
      </c>
      <c r="AA29" s="86">
        <v>5658.8400000000065</v>
      </c>
      <c r="AB29" s="86">
        <v>2255.5199999999991</v>
      </c>
      <c r="AC29" s="86">
        <v>13742.040000000012</v>
      </c>
      <c r="AD29" s="89">
        <v>8105.5199999999995</v>
      </c>
      <c r="AE29" s="88">
        <v>2156.8799999999987</v>
      </c>
      <c r="AF29" s="87">
        <v>2792.04</v>
      </c>
      <c r="AG29" s="88">
        <v>1474.9199999999996</v>
      </c>
      <c r="AH29" s="88">
        <v>2677.3199999999997</v>
      </c>
      <c r="AI29" s="88">
        <v>3992.6399999999994</v>
      </c>
      <c r="AJ29" s="90">
        <v>7000</v>
      </c>
      <c r="AK29" s="87">
        <v>1571.9999999999998</v>
      </c>
      <c r="AL29" s="87">
        <v>1399.08</v>
      </c>
      <c r="AM29" s="91">
        <f>IFERROR(AL29/AJ29,0)</f>
        <v>0.19986857142857142</v>
      </c>
      <c r="AN29" s="87">
        <f>+AK29+AL29</f>
        <v>2971.08</v>
      </c>
      <c r="AO29" s="92">
        <f>IFERROR(+AN29/AJ29,0)</f>
        <v>0.42443999999999998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 t="s">
        <v>160</v>
      </c>
      <c r="B30" s="98"/>
      <c r="C30" s="99"/>
      <c r="D30" s="100" t="s">
        <v>118</v>
      </c>
      <c r="E30" s="102">
        <f t="shared" ref="E30:AK30" si="15">+SUM(E29)</f>
        <v>21260.340000000033</v>
      </c>
      <c r="F30" s="102">
        <f t="shared" si="15"/>
        <v>11622.660000000002</v>
      </c>
      <c r="G30" s="102">
        <f t="shared" si="15"/>
        <v>13211.639999999978</v>
      </c>
      <c r="H30" s="102">
        <f t="shared" si="15"/>
        <v>15844.200000000008</v>
      </c>
      <c r="I30" s="102">
        <f t="shared" si="15"/>
        <v>19666.380000000034</v>
      </c>
      <c r="J30" s="102">
        <f t="shared" si="15"/>
        <v>8502.0599999999922</v>
      </c>
      <c r="K30" s="102">
        <f t="shared" si="15"/>
        <v>29082.660000000036</v>
      </c>
      <c r="L30" s="102">
        <f t="shared" si="15"/>
        <v>14613.41999999998</v>
      </c>
      <c r="M30" s="102">
        <f t="shared" si="15"/>
        <v>31068.540000000121</v>
      </c>
      <c r="N30" s="102">
        <f t="shared" si="15"/>
        <v>49595.040000000168</v>
      </c>
      <c r="O30" s="102">
        <f t="shared" si="15"/>
        <v>42512.520000000019</v>
      </c>
      <c r="P30" s="102">
        <f t="shared" si="15"/>
        <v>9172.0799999999927</v>
      </c>
      <c r="Q30" s="102">
        <f t="shared" si="15"/>
        <v>27431.340000000131</v>
      </c>
      <c r="R30" s="102">
        <f t="shared" si="15"/>
        <v>22879.500000000091</v>
      </c>
      <c r="S30" s="102">
        <v>26528.339999999993</v>
      </c>
      <c r="T30" s="102">
        <f t="shared" si="15"/>
        <v>18256.980000000014</v>
      </c>
      <c r="U30" s="102">
        <f t="shared" si="15"/>
        <v>20328.300000000047</v>
      </c>
      <c r="V30" s="102">
        <f t="shared" si="15"/>
        <v>19045.139999999989</v>
      </c>
      <c r="W30" s="102">
        <f t="shared" si="15"/>
        <v>31285.380000000176</v>
      </c>
      <c r="X30" s="102">
        <f t="shared" si="15"/>
        <v>12915.299999999985</v>
      </c>
      <c r="Y30" s="102">
        <v>6096.1200000000017</v>
      </c>
      <c r="Z30" s="102">
        <v>13529.040000000019</v>
      </c>
      <c r="AA30" s="102">
        <v>5658.8400000000065</v>
      </c>
      <c r="AB30" s="102">
        <v>2255.5199999999991</v>
      </c>
      <c r="AC30" s="102">
        <v>13742.040000000012</v>
      </c>
      <c r="AD30" s="103">
        <v>8105.5199999999995</v>
      </c>
      <c r="AE30" s="103">
        <v>2156.8799999999987</v>
      </c>
      <c r="AF30" s="102">
        <v>2792.04</v>
      </c>
      <c r="AG30" s="103">
        <v>1474.9199999999996</v>
      </c>
      <c r="AH30" s="103">
        <v>2677.3199999999997</v>
      </c>
      <c r="AI30" s="103">
        <v>3992.6399999999994</v>
      </c>
      <c r="AJ30" s="105">
        <v>7000</v>
      </c>
      <c r="AK30" s="102">
        <f t="shared" si="15"/>
        <v>1571.9999999999998</v>
      </c>
      <c r="AL30" s="102">
        <f>+SUM(AL29)</f>
        <v>1399.08</v>
      </c>
      <c r="AM30" s="106">
        <f t="shared" ref="AM30" si="16">IFERROR(AL30/AJ30,0)</f>
        <v>0.19986857142857142</v>
      </c>
      <c r="AN30" s="102">
        <f>+SUM(AN29)</f>
        <v>2971.08</v>
      </c>
      <c r="AO30" s="107">
        <f t="shared" ref="AO30" si="17">IFERROR(+AN30/AJ30,0)</f>
        <v>0.42443999999999998</v>
      </c>
      <c r="AP30" s="49"/>
      <c r="AQ30" s="49"/>
      <c r="AR30" s="108"/>
      <c r="AS30" s="47"/>
    </row>
    <row r="31" spans="1:45" ht="12.75" customHeight="1" x14ac:dyDescent="0.25">
      <c r="A31" s="45" t="s">
        <v>160</v>
      </c>
      <c r="B31" s="75" t="s">
        <v>119</v>
      </c>
      <c r="C31" s="76" t="s">
        <v>120</v>
      </c>
      <c r="D31" s="77" t="s">
        <v>121</v>
      </c>
      <c r="E31" s="116">
        <v>12591.6</v>
      </c>
      <c r="F31" s="117">
        <v>16058.399999999994</v>
      </c>
      <c r="G31" s="117">
        <v>15248.399999999996</v>
      </c>
      <c r="H31" s="117">
        <v>14897.999999999995</v>
      </c>
      <c r="I31" s="117">
        <v>18070.5</v>
      </c>
      <c r="J31" s="117">
        <v>14485.379999999997</v>
      </c>
      <c r="K31" s="117">
        <v>13435.92</v>
      </c>
      <c r="L31" s="117">
        <v>14706.899999999996</v>
      </c>
      <c r="M31" s="117">
        <v>9854.9999999999982</v>
      </c>
      <c r="N31" s="117">
        <v>10754.879999999997</v>
      </c>
      <c r="O31" s="117">
        <v>11392.499999999998</v>
      </c>
      <c r="P31" s="117">
        <v>9655.8599999999988</v>
      </c>
      <c r="Q31" s="118">
        <v>13420.379999999994</v>
      </c>
      <c r="R31" s="117">
        <v>16200.659999999993</v>
      </c>
      <c r="S31" s="116">
        <v>15079.799999999994</v>
      </c>
      <c r="T31" s="116">
        <v>9947.5799999999981</v>
      </c>
      <c r="U31" s="116">
        <v>18678.899999999994</v>
      </c>
      <c r="V31" s="116">
        <v>13146.299999999996</v>
      </c>
      <c r="W31" s="116">
        <v>17089.259999999995</v>
      </c>
      <c r="X31" s="116">
        <v>10561.619999999999</v>
      </c>
      <c r="Y31" s="117">
        <v>7427.6999999999989</v>
      </c>
      <c r="Z31" s="116">
        <v>12121.619999999995</v>
      </c>
      <c r="AA31" s="116">
        <v>11395.679999999995</v>
      </c>
      <c r="AB31" s="116">
        <v>8671.32</v>
      </c>
      <c r="AC31" s="116">
        <v>10780.199999999997</v>
      </c>
      <c r="AD31" s="119">
        <v>13828.499999999996</v>
      </c>
      <c r="AE31" s="118">
        <v>11162.519999999999</v>
      </c>
      <c r="AF31" s="117">
        <v>12324.839999999998</v>
      </c>
      <c r="AG31" s="118">
        <v>13814.099999999995</v>
      </c>
      <c r="AH31" s="118">
        <v>15566.999999999998</v>
      </c>
      <c r="AI31" s="118">
        <v>14679.779999999995</v>
      </c>
      <c r="AJ31" s="191">
        <v>16500</v>
      </c>
      <c r="AK31" s="117">
        <v>69.599999999999994</v>
      </c>
      <c r="AL31" s="117">
        <v>11073.299999999997</v>
      </c>
      <c r="AM31" s="121">
        <f>IFERROR(AL31/AJ31,0)</f>
        <v>0.67110909090909077</v>
      </c>
      <c r="AN31" s="117">
        <f t="shared" ref="AN31:AN55" si="18">+AK31+AL31</f>
        <v>11142.899999999998</v>
      </c>
      <c r="AO31" s="122">
        <f>IFERROR(+AN31/AJ31,0)</f>
        <v>0.67532727272727255</v>
      </c>
      <c r="AP31" s="50"/>
      <c r="AQ31" s="50"/>
    </row>
    <row r="32" spans="1:45" ht="12.75" customHeight="1" thickBot="1" x14ac:dyDescent="0.3">
      <c r="A32" s="45" t="s">
        <v>160</v>
      </c>
      <c r="B32" s="64" t="s">
        <v>119</v>
      </c>
      <c r="C32" s="65" t="s">
        <v>120</v>
      </c>
      <c r="D32" s="66" t="s">
        <v>122</v>
      </c>
      <c r="E32" s="123">
        <v>3108</v>
      </c>
      <c r="F32" s="124">
        <v>1501.2</v>
      </c>
      <c r="G32" s="124">
        <v>1121.3999999999999</v>
      </c>
      <c r="H32" s="124">
        <v>502.8</v>
      </c>
      <c r="I32" s="124">
        <v>4821.8999999999996</v>
      </c>
      <c r="J32" s="124">
        <v>10696.5</v>
      </c>
      <c r="K32" s="124">
        <v>4887.8999999999996</v>
      </c>
      <c r="L32" s="124">
        <v>1191.9000000000001</v>
      </c>
      <c r="M32" s="124">
        <v>1629.9</v>
      </c>
      <c r="N32" s="124">
        <v>984.90000000000009</v>
      </c>
      <c r="O32" s="124">
        <v>831.59999999999991</v>
      </c>
      <c r="P32" s="124">
        <v>578.1</v>
      </c>
      <c r="Q32" s="125">
        <v>787.5</v>
      </c>
      <c r="R32" s="124">
        <v>473.70000000000005</v>
      </c>
      <c r="S32" s="123">
        <v>1004.4</v>
      </c>
      <c r="T32" s="123">
        <v>276.89999999999998</v>
      </c>
      <c r="U32" s="123">
        <v>487.49999999999994</v>
      </c>
      <c r="V32" s="123">
        <v>504</v>
      </c>
      <c r="W32" s="123">
        <v>523.80000000000007</v>
      </c>
      <c r="X32" s="123">
        <v>1004.0999999999999</v>
      </c>
      <c r="Y32" s="124">
        <v>384.89999999999992</v>
      </c>
      <c r="Z32" s="123">
        <v>465</v>
      </c>
      <c r="AA32" s="123">
        <v>642.59999999999991</v>
      </c>
      <c r="AB32" s="123">
        <v>0</v>
      </c>
      <c r="AC32" s="123">
        <v>0</v>
      </c>
      <c r="AD32" s="126">
        <v>0</v>
      </c>
      <c r="AE32" s="125">
        <v>459.6</v>
      </c>
      <c r="AF32" s="124">
        <v>270</v>
      </c>
      <c r="AG32" s="125">
        <v>564.29999999999995</v>
      </c>
      <c r="AH32" s="125">
        <v>186.3</v>
      </c>
      <c r="AI32" s="125">
        <v>453.6</v>
      </c>
      <c r="AJ32" s="192">
        <v>500</v>
      </c>
      <c r="AK32" s="124">
        <v>0</v>
      </c>
      <c r="AL32" s="124">
        <v>162</v>
      </c>
      <c r="AM32" s="128">
        <f>IFERROR(AL32/AJ32,0)</f>
        <v>0.32400000000000001</v>
      </c>
      <c r="AN32" s="124">
        <f>+AK32+AL32</f>
        <v>162</v>
      </c>
      <c r="AO32" s="129">
        <f>IFERROR(+AN32/AJ32,0)</f>
        <v>0.32400000000000001</v>
      </c>
      <c r="AP32" s="50" t="s">
        <v>123</v>
      </c>
      <c r="AQ32" s="50"/>
    </row>
    <row r="33" spans="1:48" ht="12.75" customHeight="1" thickBot="1" x14ac:dyDescent="0.3">
      <c r="A33" s="45" t="s">
        <v>160</v>
      </c>
      <c r="B33" s="98"/>
      <c r="C33" s="99"/>
      <c r="D33" s="100" t="s">
        <v>124</v>
      </c>
      <c r="E33" s="101">
        <v>15699.6</v>
      </c>
      <c r="F33" s="102">
        <v>17559.599999999995</v>
      </c>
      <c r="G33" s="102">
        <v>16369.799999999996</v>
      </c>
      <c r="H33" s="102">
        <v>15400.799999999994</v>
      </c>
      <c r="I33" s="102">
        <v>22892.400000000001</v>
      </c>
      <c r="J33" s="102">
        <v>25181.879999999997</v>
      </c>
      <c r="K33" s="102">
        <v>18323.82</v>
      </c>
      <c r="L33" s="102">
        <v>15898.799999999996</v>
      </c>
      <c r="M33" s="102">
        <v>11484.899999999998</v>
      </c>
      <c r="N33" s="102">
        <v>11739.779999999997</v>
      </c>
      <c r="O33" s="102">
        <v>12224.099999999999</v>
      </c>
      <c r="P33" s="102">
        <v>10233.959999999999</v>
      </c>
      <c r="Q33" s="103">
        <v>14207.879999999994</v>
      </c>
      <c r="R33" s="102">
        <v>16674.359999999993</v>
      </c>
      <c r="S33" s="101">
        <v>16084.199999999993</v>
      </c>
      <c r="T33" s="101">
        <v>10224.479999999998</v>
      </c>
      <c r="U33" s="101">
        <v>19166.399999999994</v>
      </c>
      <c r="V33" s="101">
        <v>13650.299999999996</v>
      </c>
      <c r="W33" s="101">
        <v>17613.059999999994</v>
      </c>
      <c r="X33" s="101">
        <v>11565.72</v>
      </c>
      <c r="Y33" s="102">
        <v>7812.5999999999985</v>
      </c>
      <c r="Z33" s="101">
        <v>12586.619999999995</v>
      </c>
      <c r="AA33" s="101">
        <v>12038.279999999995</v>
      </c>
      <c r="AB33" s="101">
        <v>8671.32</v>
      </c>
      <c r="AC33" s="101">
        <v>10780.199999999997</v>
      </c>
      <c r="AD33" s="104">
        <v>13828.499999999996</v>
      </c>
      <c r="AE33" s="103">
        <v>11622.119999999999</v>
      </c>
      <c r="AF33" s="102">
        <v>12594.839999999998</v>
      </c>
      <c r="AG33" s="103">
        <v>14378.399999999994</v>
      </c>
      <c r="AH33" s="103">
        <v>15753.299999999997</v>
      </c>
      <c r="AI33" s="103">
        <v>15133.379999999996</v>
      </c>
      <c r="AJ33" s="105">
        <v>17000</v>
      </c>
      <c r="AK33" s="102">
        <f>+AK31+AK32</f>
        <v>69.599999999999994</v>
      </c>
      <c r="AL33" s="102">
        <f>+AL31+AL32</f>
        <v>11235.299999999997</v>
      </c>
      <c r="AM33" s="106">
        <f t="shared" si="0"/>
        <v>0.66089999999999982</v>
      </c>
      <c r="AN33" s="102">
        <f>+AN31+AN32</f>
        <v>11304.899999999998</v>
      </c>
      <c r="AO33" s="107">
        <f t="shared" si="2"/>
        <v>0.66499411764705874</v>
      </c>
      <c r="AP33" s="50"/>
      <c r="AQ33" s="50"/>
    </row>
    <row r="34" spans="1:48" ht="12.75" hidden="1" customHeight="1" thickBot="1" x14ac:dyDescent="0.3">
      <c r="A34" s="45" t="s">
        <v>160</v>
      </c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>
        <v>0</v>
      </c>
      <c r="AD34" s="119"/>
      <c r="AE34" s="118"/>
      <c r="AF34" s="117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5" t="s">
        <v>160</v>
      </c>
      <c r="B35" s="75" t="s">
        <v>29</v>
      </c>
      <c r="C35" s="76" t="s">
        <v>126</v>
      </c>
      <c r="D35" s="77" t="s">
        <v>127</v>
      </c>
      <c r="E35" s="78">
        <v>25042.800000000028</v>
      </c>
      <c r="F35" s="79">
        <v>21382.07999999998</v>
      </c>
      <c r="G35" s="79">
        <v>34121.759999999995</v>
      </c>
      <c r="H35" s="79">
        <v>26597.040000000045</v>
      </c>
      <c r="I35" s="79" t="s">
        <v>126</v>
      </c>
      <c r="J35" s="79">
        <v>33213.90000000006</v>
      </c>
      <c r="K35" s="79">
        <v>27179.820000000003</v>
      </c>
      <c r="L35" s="79">
        <v>24902.400000000005</v>
      </c>
      <c r="M35" s="79">
        <v>29004.359999999993</v>
      </c>
      <c r="N35" s="79">
        <v>14703.299999999994</v>
      </c>
      <c r="O35" s="79">
        <v>17911.139999999967</v>
      </c>
      <c r="P35" s="79">
        <v>23341.620000000014</v>
      </c>
      <c r="Q35" s="80">
        <v>14046</v>
      </c>
      <c r="R35" s="79">
        <v>19015.019999999979</v>
      </c>
      <c r="S35" s="78">
        <v>19422.659999999996</v>
      </c>
      <c r="T35" s="78">
        <v>13547.46</v>
      </c>
      <c r="U35" s="78">
        <v>11330.400000000003</v>
      </c>
      <c r="V35" s="78">
        <v>26665.320000000022</v>
      </c>
      <c r="W35" s="78">
        <v>25310.700000000059</v>
      </c>
      <c r="X35" s="78">
        <v>14732.21999999999</v>
      </c>
      <c r="Y35" s="79">
        <v>17439.660000000007</v>
      </c>
      <c r="Z35" s="78">
        <v>25054.140000000079</v>
      </c>
      <c r="AA35" s="78">
        <v>20149.739999999932</v>
      </c>
      <c r="AB35" s="78">
        <v>13330.739999999987</v>
      </c>
      <c r="AC35" s="78">
        <v>17334.900000000009</v>
      </c>
      <c r="AD35" s="81">
        <v>27416.039999999979</v>
      </c>
      <c r="AE35" s="80">
        <v>19582.439999999995</v>
      </c>
      <c r="AF35" s="79">
        <v>22380.180000000022</v>
      </c>
      <c r="AG35" s="80">
        <v>27803.040000000059</v>
      </c>
      <c r="AH35" s="80">
        <v>39218.700000000084</v>
      </c>
      <c r="AI35" s="80">
        <v>23992.140000000021</v>
      </c>
      <c r="AJ35" s="114">
        <v>32400</v>
      </c>
      <c r="AK35" s="79">
        <v>3729.2400000000007</v>
      </c>
      <c r="AL35" s="79">
        <v>15933.059999999996</v>
      </c>
      <c r="AM35" s="83">
        <f t="shared" ref="AM35" si="19">IFERROR(AL35/AJ35,0)</f>
        <v>0.49176111111111098</v>
      </c>
      <c r="AN35" s="79">
        <f t="shared" ref="AN35:AN36" si="20">+AK35+AL35</f>
        <v>19662.299999999996</v>
      </c>
      <c r="AO35" s="84">
        <f>IFERROR(+AN35/AJ35,0)</f>
        <v>0.60686111111111096</v>
      </c>
      <c r="AP35" s="50"/>
      <c r="AQ35" s="50"/>
    </row>
    <row r="36" spans="1:48" ht="12.75" customHeight="1" thickBot="1" x14ac:dyDescent="0.3">
      <c r="A36" s="45" t="s">
        <v>160</v>
      </c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2138.7599999999998</v>
      </c>
      <c r="U36" s="123">
        <v>4185.3599999999997</v>
      </c>
      <c r="V36" s="123">
        <v>1608.3000000000002</v>
      </c>
      <c r="W36" s="123">
        <v>2026.8000000000004</v>
      </c>
      <c r="X36" s="123">
        <v>3105.9000000000005</v>
      </c>
      <c r="Y36" s="124">
        <v>1364.1000000000001</v>
      </c>
      <c r="Z36" s="123">
        <v>1602.3000000000002</v>
      </c>
      <c r="AA36" s="123">
        <v>2038.9199999999996</v>
      </c>
      <c r="AB36" s="123">
        <v>1803.7799999999997</v>
      </c>
      <c r="AC36" s="123">
        <v>2243.88</v>
      </c>
      <c r="AD36" s="126">
        <v>1545.3</v>
      </c>
      <c r="AE36" s="125">
        <v>1761</v>
      </c>
      <c r="AF36" s="124">
        <v>3037.2</v>
      </c>
      <c r="AG36" s="125">
        <v>4597.3799999999992</v>
      </c>
      <c r="AH36" s="125">
        <v>1563</v>
      </c>
      <c r="AI36" s="125">
        <v>109.8</v>
      </c>
      <c r="AJ36" s="127">
        <v>2600</v>
      </c>
      <c r="AK36" s="124">
        <v>771.6</v>
      </c>
      <c r="AL36" s="124">
        <v>597.6</v>
      </c>
      <c r="AM36" s="128">
        <f>IFERROR(AL36/AJ36,0)</f>
        <v>0.22984615384615387</v>
      </c>
      <c r="AN36" s="124">
        <f t="shared" si="20"/>
        <v>1369.2</v>
      </c>
      <c r="AO36" s="129">
        <f>IFERROR(+AN36/AJ36,0)</f>
        <v>0.5266153846153846</v>
      </c>
      <c r="AP36" s="50">
        <v>100002258</v>
      </c>
      <c r="AQ36" s="50"/>
    </row>
    <row r="37" spans="1:48" s="109" customFormat="1" ht="12.75" customHeight="1" thickBot="1" x14ac:dyDescent="0.35">
      <c r="A37" s="45" t="s">
        <v>160</v>
      </c>
      <c r="B37" s="98"/>
      <c r="C37" s="99"/>
      <c r="D37" s="100" t="s">
        <v>129</v>
      </c>
      <c r="E37" s="101">
        <v>25042.800000000028</v>
      </c>
      <c r="F37" s="102">
        <v>21382.07999999998</v>
      </c>
      <c r="G37" s="102">
        <v>34121.759999999995</v>
      </c>
      <c r="H37" s="102">
        <v>26597.040000000045</v>
      </c>
      <c r="I37" s="102">
        <v>34455.660000000033</v>
      </c>
      <c r="J37" s="102">
        <v>33213.90000000006</v>
      </c>
      <c r="K37" s="102">
        <v>27179.820000000003</v>
      </c>
      <c r="L37" s="102">
        <v>24902.400000000005</v>
      </c>
      <c r="M37" s="102">
        <v>29004.359999999993</v>
      </c>
      <c r="N37" s="102">
        <v>14703.299999999994</v>
      </c>
      <c r="O37" s="102">
        <v>17911.139999999967</v>
      </c>
      <c r="P37" s="102">
        <v>23341.620000000014</v>
      </c>
      <c r="Q37" s="103">
        <v>14046</v>
      </c>
      <c r="R37" s="102">
        <v>19015.019999999979</v>
      </c>
      <c r="S37" s="101">
        <v>19422.659999999996</v>
      </c>
      <c r="T37" s="101">
        <v>15686.22</v>
      </c>
      <c r="U37" s="101">
        <v>15515.760000000002</v>
      </c>
      <c r="V37" s="101">
        <v>28273.620000000021</v>
      </c>
      <c r="W37" s="101">
        <v>27337.500000000058</v>
      </c>
      <c r="X37" s="101">
        <v>17838.119999999992</v>
      </c>
      <c r="Y37" s="102">
        <v>18803.760000000006</v>
      </c>
      <c r="Z37" s="101">
        <v>26656.440000000079</v>
      </c>
      <c r="AA37" s="101">
        <v>22188.659999999931</v>
      </c>
      <c r="AB37" s="101">
        <v>15134.519999999986</v>
      </c>
      <c r="AC37" s="101">
        <v>19578.78000000001</v>
      </c>
      <c r="AD37" s="104">
        <v>28961.339999999978</v>
      </c>
      <c r="AE37" s="103">
        <v>21343.439999999995</v>
      </c>
      <c r="AF37" s="102">
        <v>25417.380000000023</v>
      </c>
      <c r="AG37" s="103">
        <v>32400.420000000056</v>
      </c>
      <c r="AH37" s="103">
        <v>40781.700000000084</v>
      </c>
      <c r="AI37" s="103">
        <v>24101.940000000021</v>
      </c>
      <c r="AJ37" s="105">
        <v>35000</v>
      </c>
      <c r="AK37" s="105">
        <f t="shared" ref="AK37:AL37" si="21">+SUM(AK34:AK36)</f>
        <v>4500.8400000000011</v>
      </c>
      <c r="AL37" s="105">
        <f t="shared" si="21"/>
        <v>16530.659999999996</v>
      </c>
      <c r="AM37" s="106">
        <f t="shared" ref="AM37:AM56" si="22">IFERROR(AL37/AJ37,0)</f>
        <v>0.4723045714285713</v>
      </c>
      <c r="AN37" s="105">
        <f t="shared" ref="AN37" si="23">+SUM(AN34:AN36)</f>
        <v>21031.499999999996</v>
      </c>
      <c r="AO37" s="107">
        <f t="shared" ref="AO37:AO51" si="24">IFERROR(+AN37/AJ37,0)</f>
        <v>0.60089999999999988</v>
      </c>
      <c r="AP37" s="49"/>
      <c r="AQ37" s="49"/>
      <c r="AR37" s="108"/>
      <c r="AS37" s="47"/>
    </row>
    <row r="38" spans="1:48" ht="12.75" customHeight="1" x14ac:dyDescent="0.25">
      <c r="A38" s="47" t="s">
        <v>160</v>
      </c>
      <c r="B38" s="75" t="s">
        <v>130</v>
      </c>
      <c r="C38" s="76" t="s">
        <v>126</v>
      </c>
      <c r="D38" s="77" t="s">
        <v>131</v>
      </c>
      <c r="E38" s="130">
        <v>1209.6000000000004</v>
      </c>
      <c r="F38" s="131">
        <v>3018.66</v>
      </c>
      <c r="G38" s="79">
        <v>3248.2799999999997</v>
      </c>
      <c r="H38" s="79">
        <v>2685.18</v>
      </c>
      <c r="I38" s="79">
        <v>3187.4399999999996</v>
      </c>
      <c r="J38" s="79">
        <v>771.96000000000015</v>
      </c>
      <c r="K38" s="79">
        <v>802.19999999999936</v>
      </c>
      <c r="L38" s="79">
        <v>866.69999999999948</v>
      </c>
      <c r="M38" s="79">
        <v>844.07999999999959</v>
      </c>
      <c r="N38" s="79">
        <v>1152.24</v>
      </c>
      <c r="O38" s="79">
        <v>531.17999999999984</v>
      </c>
      <c r="P38" s="79">
        <v>781.0200000000001</v>
      </c>
      <c r="Q38" s="79">
        <v>1159.08</v>
      </c>
      <c r="R38" s="79">
        <v>271.02</v>
      </c>
      <c r="S38" s="79">
        <v>368.40000000000009</v>
      </c>
      <c r="T38" s="80">
        <v>788.75999999999976</v>
      </c>
      <c r="U38" s="80">
        <v>869.27999999999975</v>
      </c>
      <c r="V38" s="80">
        <v>1662.2999999999997</v>
      </c>
      <c r="W38" s="80">
        <v>-319.86</v>
      </c>
      <c r="X38" s="80">
        <v>1148.8199999999993</v>
      </c>
      <c r="Y38" s="80">
        <v>572.04000000000008</v>
      </c>
      <c r="Z38" s="79">
        <v>862.7999999999995</v>
      </c>
      <c r="AA38" s="78">
        <v>725.63999999999987</v>
      </c>
      <c r="AB38" s="79">
        <v>808.37999999999977</v>
      </c>
      <c r="AC38" s="78">
        <v>1362.9599999999998</v>
      </c>
      <c r="AD38" s="81">
        <v>907.4399999999996</v>
      </c>
      <c r="AE38" s="80">
        <v>458.16</v>
      </c>
      <c r="AF38" s="79">
        <v>405.78000000000009</v>
      </c>
      <c r="AG38" s="80">
        <v>380.82</v>
      </c>
      <c r="AH38" s="80">
        <v>562.56000000000006</v>
      </c>
      <c r="AI38" s="80">
        <v>505.86</v>
      </c>
      <c r="AJ38" s="114">
        <v>700</v>
      </c>
      <c r="AK38" s="79">
        <v>298.2</v>
      </c>
      <c r="AL38" s="79">
        <v>176.58000000000004</v>
      </c>
      <c r="AM38" s="83">
        <f t="shared" si="22"/>
        <v>0.2522571428571429</v>
      </c>
      <c r="AN38" s="79">
        <f>+AK38+AL38</f>
        <v>474.78000000000003</v>
      </c>
      <c r="AO38" s="84">
        <f t="shared" si="24"/>
        <v>0.67825714285714289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>
        <v>1404</v>
      </c>
      <c r="P39" s="87">
        <v>1852.1999999999998</v>
      </c>
      <c r="Q39" s="87">
        <v>3310.2000000000007</v>
      </c>
      <c r="R39" s="87">
        <v>1134</v>
      </c>
      <c r="S39" s="87">
        <v>1512</v>
      </c>
      <c r="T39" s="88">
        <v>2808</v>
      </c>
      <c r="U39" s="88"/>
      <c r="V39" s="88"/>
      <c r="W39" s="88"/>
      <c r="X39" s="88"/>
      <c r="Y39" s="88"/>
      <c r="Z39" s="87"/>
      <c r="AA39" s="86"/>
      <c r="AB39" s="87"/>
      <c r="AC39" s="86"/>
      <c r="AD39" s="89">
        <v>1296</v>
      </c>
      <c r="AE39" s="88">
        <v>4819.8</v>
      </c>
      <c r="AF39" s="87">
        <v>3446.4</v>
      </c>
      <c r="AG39" s="88">
        <v>4500</v>
      </c>
      <c r="AH39" s="88">
        <v>0</v>
      </c>
      <c r="AI39" s="88">
        <v>4831.2</v>
      </c>
      <c r="AJ39" s="115">
        <v>3000</v>
      </c>
      <c r="AK39" s="87">
        <v>0</v>
      </c>
      <c r="AL39" s="87">
        <v>0</v>
      </c>
      <c r="AM39" s="91">
        <f t="shared" si="22"/>
        <v>0</v>
      </c>
      <c r="AN39" s="87">
        <f>+AK39+AL39</f>
        <v>0</v>
      </c>
      <c r="AO39" s="92">
        <f t="shared" si="24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160</v>
      </c>
      <c r="B40" s="75" t="s">
        <v>132</v>
      </c>
      <c r="C40" s="136" t="s">
        <v>128</v>
      </c>
      <c r="D40" s="77" t="s">
        <v>134</v>
      </c>
      <c r="E40" s="130">
        <v>24764.160000000018</v>
      </c>
      <c r="F40" s="79">
        <v>24565.320000000051</v>
      </c>
      <c r="G40" s="79">
        <v>24808.55999999995</v>
      </c>
      <c r="H40" s="79">
        <v>25222.799999999996</v>
      </c>
      <c r="I40" s="79">
        <v>40113.480000000025</v>
      </c>
      <c r="J40" s="79">
        <v>25088.639999999952</v>
      </c>
      <c r="K40" s="79">
        <v>38189.879999999983</v>
      </c>
      <c r="L40" s="79">
        <v>35272.44000000001</v>
      </c>
      <c r="M40" s="79">
        <v>35551.200000000055</v>
      </c>
      <c r="N40" s="79">
        <v>11322.839999999998</v>
      </c>
      <c r="O40" s="79">
        <v>32581.55999999995</v>
      </c>
      <c r="P40" s="79">
        <v>29809.439999999944</v>
      </c>
      <c r="Q40" s="79">
        <v>34379.520000000077</v>
      </c>
      <c r="R40" s="79">
        <v>24919.560000000016</v>
      </c>
      <c r="S40" s="79">
        <v>36422.879999999997</v>
      </c>
      <c r="T40" s="80">
        <v>31748.52</v>
      </c>
      <c r="U40" s="80">
        <v>9195.7200000000103</v>
      </c>
      <c r="V40" s="80">
        <v>39167.639999999985</v>
      </c>
      <c r="W40" s="80">
        <v>37036.319999999992</v>
      </c>
      <c r="X40" s="80">
        <v>34138.560000000005</v>
      </c>
      <c r="Y40" s="80">
        <v>31411.19999999999</v>
      </c>
      <c r="Z40" s="79">
        <v>39752.640000000036</v>
      </c>
      <c r="AA40" s="78">
        <v>39984.119999999995</v>
      </c>
      <c r="AB40" s="79">
        <v>34160.040000000015</v>
      </c>
      <c r="AC40" s="78">
        <v>33776.400000000023</v>
      </c>
      <c r="AD40" s="81">
        <v>35218.439999999988</v>
      </c>
      <c r="AE40" s="80">
        <v>26233.559999999994</v>
      </c>
      <c r="AF40" s="79">
        <v>32479.559999999979</v>
      </c>
      <c r="AG40" s="80">
        <v>33224.39999999998</v>
      </c>
      <c r="AH40" s="80">
        <v>37089.479999999981</v>
      </c>
      <c r="AI40" s="80">
        <v>31259.040000000012</v>
      </c>
      <c r="AJ40" s="82">
        <v>40000</v>
      </c>
      <c r="AK40" s="79">
        <v>15857.039999999992</v>
      </c>
      <c r="AL40" s="79">
        <v>13709.159999999971</v>
      </c>
      <c r="AM40" s="83">
        <f t="shared" si="22"/>
        <v>0.34272899999999928</v>
      </c>
      <c r="AN40" s="79">
        <f>+AK40+AL40</f>
        <v>29566.199999999961</v>
      </c>
      <c r="AO40" s="84">
        <f t="shared" si="24"/>
        <v>0.73915499999999901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160</v>
      </c>
      <c r="B41" s="64" t="s">
        <v>132</v>
      </c>
      <c r="C41" s="134" t="s">
        <v>131</v>
      </c>
      <c r="D41" s="66" t="s">
        <v>135</v>
      </c>
      <c r="E41" s="135">
        <v>81878.400000000009</v>
      </c>
      <c r="F41" s="87">
        <v>68408.399999999994</v>
      </c>
      <c r="G41" s="87">
        <v>69857.399999999994</v>
      </c>
      <c r="H41" s="87">
        <v>75880.799999999974</v>
      </c>
      <c r="I41" s="87">
        <v>65015.759999999995</v>
      </c>
      <c r="J41" s="87">
        <v>82951.8</v>
      </c>
      <c r="K41" s="87">
        <v>60844.200000000012</v>
      </c>
      <c r="L41" s="87">
        <v>57835.920000000013</v>
      </c>
      <c r="M41" s="87">
        <v>51594.84</v>
      </c>
      <c r="N41" s="87">
        <v>62608.68</v>
      </c>
      <c r="O41" s="87">
        <v>36556.68</v>
      </c>
      <c r="P41" s="87">
        <v>49097.4</v>
      </c>
      <c r="Q41" s="87">
        <v>59064.959999999992</v>
      </c>
      <c r="R41" s="87">
        <v>56295.600000000006</v>
      </c>
      <c r="S41" s="87">
        <v>50976</v>
      </c>
      <c r="T41" s="88">
        <v>37929</v>
      </c>
      <c r="U41" s="88">
        <v>77350.919999999984</v>
      </c>
      <c r="V41" s="88">
        <v>42454.8</v>
      </c>
      <c r="W41" s="88">
        <v>56537.16</v>
      </c>
      <c r="X41" s="88">
        <v>24000.600000000002</v>
      </c>
      <c r="Y41" s="88">
        <v>60479.399999999987</v>
      </c>
      <c r="Z41" s="87">
        <v>32119.799999999996</v>
      </c>
      <c r="AA41" s="86">
        <v>36052.200000000004</v>
      </c>
      <c r="AB41" s="87">
        <v>29443.8</v>
      </c>
      <c r="AC41" s="86">
        <v>54745.68</v>
      </c>
      <c r="AD41" s="89">
        <v>40506</v>
      </c>
      <c r="AE41" s="88">
        <v>34583.64</v>
      </c>
      <c r="AF41" s="87">
        <v>40678.799999999996</v>
      </c>
      <c r="AG41" s="88">
        <v>32277.599999999999</v>
      </c>
      <c r="AH41" s="88">
        <v>35574.599999999991</v>
      </c>
      <c r="AI41" s="88">
        <v>43084.080000000009</v>
      </c>
      <c r="AJ41" s="115">
        <v>47000</v>
      </c>
      <c r="AK41" s="87">
        <v>5945.4</v>
      </c>
      <c r="AL41" s="87">
        <v>14242.800000000001</v>
      </c>
      <c r="AM41" s="91">
        <f t="shared" si="22"/>
        <v>0.30303829787234043</v>
      </c>
      <c r="AN41" s="87">
        <f t="shared" si="18"/>
        <v>20188.2</v>
      </c>
      <c r="AO41" s="92">
        <f t="shared" si="24"/>
        <v>0.42953617021276597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160</v>
      </c>
      <c r="B42" s="75" t="s">
        <v>132</v>
      </c>
      <c r="C42" s="136" t="s">
        <v>136</v>
      </c>
      <c r="D42" s="77" t="s">
        <v>137</v>
      </c>
      <c r="E42" s="130">
        <v>150971.5199999999</v>
      </c>
      <c r="F42" s="79">
        <v>161858.63999999996</v>
      </c>
      <c r="G42" s="79">
        <v>209351.69999999984</v>
      </c>
      <c r="H42" s="79">
        <v>183002.52</v>
      </c>
      <c r="I42" s="79">
        <v>163219.56000000006</v>
      </c>
      <c r="J42" s="79">
        <v>72648.84</v>
      </c>
      <c r="K42" s="79">
        <v>169910.75999999995</v>
      </c>
      <c r="L42" s="79">
        <v>67831.799999999945</v>
      </c>
      <c r="M42" s="79">
        <v>91606.079999999871</v>
      </c>
      <c r="N42" s="79">
        <v>74141.219999999972</v>
      </c>
      <c r="O42" s="79">
        <v>109685.33999999991</v>
      </c>
      <c r="P42" s="79">
        <v>55186.98</v>
      </c>
      <c r="Q42" s="79">
        <v>78151.319999999963</v>
      </c>
      <c r="R42" s="79">
        <v>79346.039999999979</v>
      </c>
      <c r="S42" s="79">
        <v>69597.179999999993</v>
      </c>
      <c r="T42" s="80">
        <v>78020.45999999989</v>
      </c>
      <c r="U42" s="80">
        <v>104964.05999999985</v>
      </c>
      <c r="V42" s="80">
        <v>82202.339999999909</v>
      </c>
      <c r="W42" s="80">
        <v>73998.779999999926</v>
      </c>
      <c r="X42" s="80">
        <v>65037.720000000008</v>
      </c>
      <c r="Y42" s="80">
        <v>81906.539999999935</v>
      </c>
      <c r="Z42" s="79">
        <v>108346.55999999972</v>
      </c>
      <c r="AA42" s="78">
        <v>71630.099999999948</v>
      </c>
      <c r="AB42" s="79">
        <v>62892.299999999981</v>
      </c>
      <c r="AC42" s="78">
        <v>85002.899999999878</v>
      </c>
      <c r="AD42" s="81">
        <v>84247.859999999928</v>
      </c>
      <c r="AE42" s="80">
        <v>105781.0799999998</v>
      </c>
      <c r="AF42" s="79">
        <v>81562.679999999993</v>
      </c>
      <c r="AG42" s="80">
        <v>45075.840000000026</v>
      </c>
      <c r="AH42" s="80">
        <v>64833.119999999974</v>
      </c>
      <c r="AI42" s="80">
        <v>52826.22000000003</v>
      </c>
      <c r="AJ42" s="82">
        <v>61700</v>
      </c>
      <c r="AK42" s="79">
        <v>10636.86</v>
      </c>
      <c r="AL42" s="79">
        <v>43052.340000000033</v>
      </c>
      <c r="AM42" s="83">
        <f t="shared" si="22"/>
        <v>0.69776888168557594</v>
      </c>
      <c r="AN42" s="79">
        <f t="shared" si="18"/>
        <v>53689.200000000033</v>
      </c>
      <c r="AO42" s="84">
        <f t="shared" si="24"/>
        <v>0.87016531604538139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160</v>
      </c>
      <c r="B43" s="64" t="s">
        <v>132</v>
      </c>
      <c r="C43" s="134" t="s">
        <v>136</v>
      </c>
      <c r="D43" s="66" t="s">
        <v>138</v>
      </c>
      <c r="E43" s="135">
        <v>66894.000000000015</v>
      </c>
      <c r="F43" s="87">
        <v>50381.400000000009</v>
      </c>
      <c r="G43" s="87">
        <v>16467.599999999999</v>
      </c>
      <c r="H43" s="87">
        <v>-10.8</v>
      </c>
      <c r="I43" s="87">
        <v>0</v>
      </c>
      <c r="J43" s="87">
        <v>0</v>
      </c>
      <c r="K43" s="87">
        <v>-40.68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8640</v>
      </c>
      <c r="S43" s="87">
        <v>23754.6</v>
      </c>
      <c r="T43" s="88">
        <v>35802</v>
      </c>
      <c r="U43" s="88">
        <v>17490.600000000002</v>
      </c>
      <c r="V43" s="88">
        <v>30574.800000000003</v>
      </c>
      <c r="W43" s="88">
        <v>15552.000000000002</v>
      </c>
      <c r="X43" s="88">
        <v>5626.8000000000011</v>
      </c>
      <c r="Y43" s="88">
        <v>31498.199999999997</v>
      </c>
      <c r="Z43" s="87">
        <v>50976.000000000015</v>
      </c>
      <c r="AA43" s="86">
        <v>29863.199999999997</v>
      </c>
      <c r="AB43" s="87">
        <v>25590.6</v>
      </c>
      <c r="AC43" s="86">
        <v>29014.32</v>
      </c>
      <c r="AD43" s="89">
        <v>37432.800000000003</v>
      </c>
      <c r="AE43" s="88">
        <v>41320.800000000003</v>
      </c>
      <c r="AF43" s="87">
        <v>32833.199999999997</v>
      </c>
      <c r="AG43" s="88">
        <v>28591.199999999993</v>
      </c>
      <c r="AH43" s="88">
        <v>28421.759999999998</v>
      </c>
      <c r="AI43" s="88">
        <v>38431.320000000007</v>
      </c>
      <c r="AJ43" s="115">
        <v>44000</v>
      </c>
      <c r="AK43" s="87">
        <v>3669.6000000000004</v>
      </c>
      <c r="AL43" s="87">
        <v>26190.719999999998</v>
      </c>
      <c r="AM43" s="91">
        <f t="shared" si="22"/>
        <v>0.59524363636363631</v>
      </c>
      <c r="AN43" s="87">
        <f t="shared" si="18"/>
        <v>29860.32</v>
      </c>
      <c r="AO43" s="92">
        <f t="shared" si="24"/>
        <v>0.67864363636363634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160</v>
      </c>
      <c r="B44" s="75" t="s">
        <v>132</v>
      </c>
      <c r="C44" s="136" t="s">
        <v>131</v>
      </c>
      <c r="D44" s="77" t="s">
        <v>139</v>
      </c>
      <c r="E44" s="130">
        <v>45872.51999999999</v>
      </c>
      <c r="F44" s="79">
        <v>27620.519999999997</v>
      </c>
      <c r="G44" s="79">
        <v>53287.799999999996</v>
      </c>
      <c r="H44" s="79">
        <v>48101.159999999989</v>
      </c>
      <c r="I44" s="79">
        <v>18217.2</v>
      </c>
      <c r="J44" s="79">
        <v>37481.520000000004</v>
      </c>
      <c r="K44" s="79">
        <v>32553.719999999998</v>
      </c>
      <c r="L44" s="79">
        <v>15594.599999999999</v>
      </c>
      <c r="M44" s="79">
        <v>26876.639999999992</v>
      </c>
      <c r="N44" s="79">
        <v>19580.520000000004</v>
      </c>
      <c r="O44" s="79">
        <v>13905.959999999995</v>
      </c>
      <c r="P44" s="79">
        <v>22827.600000000006</v>
      </c>
      <c r="Q44" s="79">
        <v>25286.519999999997</v>
      </c>
      <c r="R44" s="79">
        <v>14444.52</v>
      </c>
      <c r="S44" s="79">
        <v>13377.48</v>
      </c>
      <c r="T44" s="80">
        <v>12446.399999999998</v>
      </c>
      <c r="U44" s="80">
        <v>24021.72</v>
      </c>
      <c r="V44" s="80">
        <v>14725.8</v>
      </c>
      <c r="W44" s="80">
        <v>12432.84</v>
      </c>
      <c r="X44" s="80">
        <v>3997.92</v>
      </c>
      <c r="Y44" s="80">
        <v>11211.12</v>
      </c>
      <c r="Z44" s="79">
        <v>14211.6</v>
      </c>
      <c r="AA44" s="78">
        <v>17045.400000000001</v>
      </c>
      <c r="AB44" s="79">
        <v>3862.0800000000008</v>
      </c>
      <c r="AC44" s="78">
        <v>7636.2000000000016</v>
      </c>
      <c r="AD44" s="81">
        <v>13923.840000000002</v>
      </c>
      <c r="AE44" s="80">
        <v>0</v>
      </c>
      <c r="AF44" s="79">
        <v>8299.7999999999993</v>
      </c>
      <c r="AG44" s="80">
        <v>6143.4000000000015</v>
      </c>
      <c r="AH44" s="80">
        <v>3648.6000000000004</v>
      </c>
      <c r="AI44" s="80">
        <v>11187.12</v>
      </c>
      <c r="AJ44" s="82">
        <v>10000</v>
      </c>
      <c r="AK44" s="79">
        <v>6254.8799999999992</v>
      </c>
      <c r="AL44" s="79">
        <v>5840.2800000000007</v>
      </c>
      <c r="AM44" s="83">
        <f t="shared" si="22"/>
        <v>0.5840280000000001</v>
      </c>
      <c r="AN44" s="79">
        <f t="shared" si="18"/>
        <v>12095.16</v>
      </c>
      <c r="AO44" s="84">
        <f t="shared" si="24"/>
        <v>1.209516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160</v>
      </c>
      <c r="B45" s="64" t="s">
        <v>132</v>
      </c>
      <c r="C45" s="134" t="s">
        <v>128</v>
      </c>
      <c r="D45" s="66" t="s">
        <v>140</v>
      </c>
      <c r="E45" s="137">
        <v>6422.8799999999947</v>
      </c>
      <c r="F45" s="138">
        <v>8508.4800000000014</v>
      </c>
      <c r="G45" s="124">
        <v>8767.6800000000094</v>
      </c>
      <c r="H45" s="124">
        <v>11823.720000000012</v>
      </c>
      <c r="I45" s="124">
        <v>11847.600000000004</v>
      </c>
      <c r="J45" s="124">
        <v>6110.6399999999976</v>
      </c>
      <c r="K45" s="124">
        <v>8908.9200000000037</v>
      </c>
      <c r="L45" s="124">
        <v>9549.7200000000048</v>
      </c>
      <c r="M45" s="124">
        <v>7608.1200000000099</v>
      </c>
      <c r="N45" s="124">
        <v>7092.6000000000067</v>
      </c>
      <c r="O45" s="124">
        <v>7494.7200000000057</v>
      </c>
      <c r="P45" s="124">
        <v>7923.9600000000119</v>
      </c>
      <c r="Q45" s="124">
        <v>6848.1600000000053</v>
      </c>
      <c r="R45" s="124">
        <v>5315.0399999999991</v>
      </c>
      <c r="S45" s="124">
        <v>6279.3600000000024</v>
      </c>
      <c r="T45" s="125">
        <v>6375.6000000000076</v>
      </c>
      <c r="U45" s="125">
        <v>9030.4800000000068</v>
      </c>
      <c r="V45" s="125">
        <v>7520.5200000000041</v>
      </c>
      <c r="W45" s="125">
        <v>6184.6799999999994</v>
      </c>
      <c r="X45" s="125">
        <v>8902.8000000000065</v>
      </c>
      <c r="Y45" s="125">
        <v>8479.5600000000049</v>
      </c>
      <c r="Z45" s="124">
        <v>10137.119999999997</v>
      </c>
      <c r="AA45" s="123">
        <v>6610.2000000000089</v>
      </c>
      <c r="AB45" s="124">
        <v>7748.0400000000063</v>
      </c>
      <c r="AC45" s="123">
        <v>5114.400000000006</v>
      </c>
      <c r="AD45" s="126">
        <v>6795.1200000000072</v>
      </c>
      <c r="AE45" s="125">
        <v>8190.2400000000107</v>
      </c>
      <c r="AF45" s="124">
        <v>4874.7600000000029</v>
      </c>
      <c r="AG45" s="125">
        <v>6409.0800000000054</v>
      </c>
      <c r="AH45" s="125">
        <v>5515.6800000000012</v>
      </c>
      <c r="AI45" s="125">
        <v>8070.7200000000166</v>
      </c>
      <c r="AJ45" s="127">
        <v>8600</v>
      </c>
      <c r="AK45" s="124">
        <v>916.55999999999972</v>
      </c>
      <c r="AL45" s="124">
        <v>3900.5999999999976</v>
      </c>
      <c r="AM45" s="128">
        <f t="shared" si="22"/>
        <v>0.45355813953488344</v>
      </c>
      <c r="AN45" s="124">
        <f t="shared" si="18"/>
        <v>4817.1599999999971</v>
      </c>
      <c r="AO45" s="129">
        <f t="shared" si="24"/>
        <v>0.5601348837209299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160</v>
      </c>
      <c r="B46" s="98"/>
      <c r="C46" s="99"/>
      <c r="D46" s="100" t="s">
        <v>141</v>
      </c>
      <c r="E46" s="101">
        <f t="shared" ref="E46:AD46" si="25">+SUM(E38:E45)</f>
        <v>378013.07999999996</v>
      </c>
      <c r="F46" s="102">
        <f t="shared" si="25"/>
        <v>344361.42000000004</v>
      </c>
      <c r="G46" s="102">
        <f t="shared" si="25"/>
        <v>385789.01999999973</v>
      </c>
      <c r="H46" s="102">
        <f t="shared" si="25"/>
        <v>346705.37999999995</v>
      </c>
      <c r="I46" s="102">
        <f t="shared" si="25"/>
        <v>301601.0400000001</v>
      </c>
      <c r="J46" s="102">
        <f t="shared" si="25"/>
        <v>225053.39999999994</v>
      </c>
      <c r="K46" s="102">
        <f t="shared" si="25"/>
        <v>311168.99999999988</v>
      </c>
      <c r="L46" s="102">
        <f t="shared" si="25"/>
        <v>186951.18</v>
      </c>
      <c r="M46" s="102">
        <f t="shared" si="25"/>
        <v>214080.9599999999</v>
      </c>
      <c r="N46" s="102">
        <f t="shared" si="25"/>
        <v>175898.1</v>
      </c>
      <c r="O46" s="102">
        <f t="shared" si="25"/>
        <v>202159.43999999986</v>
      </c>
      <c r="P46" s="102">
        <f t="shared" si="25"/>
        <v>167478.59999999998</v>
      </c>
      <c r="Q46" s="103">
        <f t="shared" si="25"/>
        <v>208199.76</v>
      </c>
      <c r="R46" s="102">
        <f t="shared" si="25"/>
        <v>190365.78</v>
      </c>
      <c r="S46" s="101">
        <f t="shared" si="25"/>
        <v>202287.90000000002</v>
      </c>
      <c r="T46" s="101">
        <f t="shared" si="25"/>
        <v>205918.73999999987</v>
      </c>
      <c r="U46" s="101">
        <f t="shared" si="25"/>
        <v>242922.77999999988</v>
      </c>
      <c r="V46" s="101">
        <f t="shared" si="25"/>
        <v>218308.1999999999</v>
      </c>
      <c r="W46" s="101">
        <f t="shared" si="25"/>
        <v>201421.9199999999</v>
      </c>
      <c r="X46" s="101">
        <f t="shared" si="25"/>
        <v>142853.22000000003</v>
      </c>
      <c r="Y46" s="102">
        <f t="shared" si="25"/>
        <v>225558.05999999994</v>
      </c>
      <c r="Z46" s="101">
        <f t="shared" si="25"/>
        <v>256406.51999999976</v>
      </c>
      <c r="AA46" s="101">
        <f t="shared" si="25"/>
        <v>201910.85999999996</v>
      </c>
      <c r="AB46" s="101">
        <f t="shared" si="25"/>
        <v>164505.24</v>
      </c>
      <c r="AC46" s="101">
        <f t="shared" si="25"/>
        <v>216652.8599999999</v>
      </c>
      <c r="AD46" s="104">
        <f t="shared" si="25"/>
        <v>220327.49999999991</v>
      </c>
      <c r="AE46" s="103">
        <v>221387.27999999982</v>
      </c>
      <c r="AF46" s="102">
        <v>204580.97999999998</v>
      </c>
      <c r="AG46" s="103">
        <v>156602.34</v>
      </c>
      <c r="AH46" s="103">
        <v>175645.79999999996</v>
      </c>
      <c r="AI46" s="103">
        <v>190195.56000000008</v>
      </c>
      <c r="AJ46" s="105">
        <v>215000</v>
      </c>
      <c r="AK46" s="102">
        <f>SUM(AK38:AK45)</f>
        <v>43578.539999999986</v>
      </c>
      <c r="AL46" s="102">
        <f>SUM(AL38:AL45)</f>
        <v>107112.48</v>
      </c>
      <c r="AM46" s="106">
        <f t="shared" si="22"/>
        <v>0.49819758139534881</v>
      </c>
      <c r="AN46" s="102">
        <f t="shared" si="18"/>
        <v>150691.01999999999</v>
      </c>
      <c r="AO46" s="107">
        <f t="shared" si="24"/>
        <v>0.700888465116279</v>
      </c>
      <c r="AP46" s="150"/>
      <c r="AQ46" s="150"/>
      <c r="AR46" s="108"/>
      <c r="AS46" s="47"/>
    </row>
    <row r="47" spans="1:48" ht="12.75" customHeight="1" thickBot="1" x14ac:dyDescent="0.3">
      <c r="A47" s="45" t="s">
        <v>160</v>
      </c>
      <c r="B47" s="151" t="s">
        <v>142</v>
      </c>
      <c r="C47" s="152"/>
      <c r="D47" s="153" t="s">
        <v>5</v>
      </c>
      <c r="E47" s="154">
        <f t="shared" ref="E47:X47" si="26">+E18+E22+E28+E30+E33+E37+E46</f>
        <v>996747.06</v>
      </c>
      <c r="F47" s="155">
        <f t="shared" si="26"/>
        <v>935178.00000000012</v>
      </c>
      <c r="G47" s="155">
        <f t="shared" si="26"/>
        <v>1047655.3799999999</v>
      </c>
      <c r="H47" s="155">
        <f t="shared" si="26"/>
        <v>1068787.8</v>
      </c>
      <c r="I47" s="155">
        <f t="shared" si="26"/>
        <v>1080691.0800000005</v>
      </c>
      <c r="J47" s="155">
        <f t="shared" si="26"/>
        <v>942257.27999999991</v>
      </c>
      <c r="K47" s="155">
        <f t="shared" si="26"/>
        <v>1063269.06</v>
      </c>
      <c r="L47" s="155">
        <f t="shared" si="26"/>
        <v>874691.52</v>
      </c>
      <c r="M47" s="155">
        <f t="shared" si="26"/>
        <v>863641.56</v>
      </c>
      <c r="N47" s="155">
        <f t="shared" si="26"/>
        <v>826757.7000000003</v>
      </c>
      <c r="O47" s="155">
        <f t="shared" si="26"/>
        <v>801128.76</v>
      </c>
      <c r="P47" s="155">
        <f t="shared" si="26"/>
        <v>816431.94</v>
      </c>
      <c r="Q47" s="156">
        <f t="shared" si="26"/>
        <v>805301.18000000017</v>
      </c>
      <c r="R47" s="155">
        <f t="shared" si="26"/>
        <v>872342.72000000032</v>
      </c>
      <c r="S47" s="154">
        <v>910603.88</v>
      </c>
      <c r="T47" s="154">
        <f t="shared" si="26"/>
        <v>855498.1399999999</v>
      </c>
      <c r="U47" s="154">
        <f t="shared" si="26"/>
        <v>925029.56</v>
      </c>
      <c r="V47" s="154">
        <f t="shared" si="26"/>
        <v>882269.88000000012</v>
      </c>
      <c r="W47" s="157">
        <f t="shared" si="26"/>
        <v>807296.04000000027</v>
      </c>
      <c r="X47" s="157">
        <f t="shared" si="26"/>
        <v>633409.30000000016</v>
      </c>
      <c r="Y47" s="158">
        <v>712526.8</v>
      </c>
      <c r="Z47" s="157">
        <v>884139.18000000017</v>
      </c>
      <c r="AA47" s="157">
        <v>797728.93999999983</v>
      </c>
      <c r="AB47" s="157">
        <v>730703.30000000016</v>
      </c>
      <c r="AC47" s="157">
        <v>810250.50000000012</v>
      </c>
      <c r="AD47" s="194">
        <v>898569.53999999992</v>
      </c>
      <c r="AE47" s="159">
        <v>785720.34</v>
      </c>
      <c r="AF47" s="158">
        <v>764940.96000000008</v>
      </c>
      <c r="AG47" s="159">
        <v>707070.48000000021</v>
      </c>
      <c r="AH47" s="159">
        <v>804349.74000000022</v>
      </c>
      <c r="AI47" s="159">
        <v>778069.08000000031</v>
      </c>
      <c r="AJ47" s="160">
        <v>800000</v>
      </c>
      <c r="AK47" s="158">
        <f>+AK18+AK22+AK28+AK30+AK33+AK37+AK46</f>
        <v>124907.81999999998</v>
      </c>
      <c r="AL47" s="158">
        <f>+AL18+AL22+AL28+AL30+AL33+AL37+AL46</f>
        <v>456617.04000000004</v>
      </c>
      <c r="AM47" s="161">
        <f t="shared" si="22"/>
        <v>0.57077130000000009</v>
      </c>
      <c r="AN47" s="158">
        <f>+AN18+AN22+AN28+AN30+AN33+AN37+AN46</f>
        <v>581524.8600000001</v>
      </c>
      <c r="AO47" s="162">
        <f t="shared" si="24"/>
        <v>0.72690607500000015</v>
      </c>
      <c r="AP47" s="150"/>
      <c r="AQ47" s="150"/>
    </row>
    <row r="48" spans="1:48" ht="12.75" hidden="1" customHeight="1" x14ac:dyDescent="0.25">
      <c r="A48" s="45" t="s">
        <v>160</v>
      </c>
      <c r="B48" s="75" t="s">
        <v>143</v>
      </c>
      <c r="C48" s="76"/>
      <c r="D48" s="163" t="s">
        <v>145</v>
      </c>
      <c r="E48" s="170">
        <v>0</v>
      </c>
      <c r="F48" s="170">
        <v>0</v>
      </c>
      <c r="G48" s="170">
        <v>0</v>
      </c>
      <c r="H48" s="170">
        <v>0</v>
      </c>
      <c r="I48" s="170">
        <v>0</v>
      </c>
      <c r="J48" s="170">
        <v>0</v>
      </c>
      <c r="K48" s="170">
        <v>0</v>
      </c>
      <c r="L48" s="170">
        <v>0</v>
      </c>
      <c r="M48" s="170">
        <v>0</v>
      </c>
      <c r="N48" s="170">
        <v>0</v>
      </c>
      <c r="O48" s="170"/>
      <c r="P48" s="170"/>
      <c r="Q48" s="170"/>
      <c r="R48" s="170"/>
      <c r="S48" s="171"/>
      <c r="T48" s="170">
        <v>0</v>
      </c>
      <c r="U48" s="170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22"/>
        <v>0</v>
      </c>
      <c r="AN48" s="79">
        <f t="shared" si="18"/>
        <v>0</v>
      </c>
      <c r="AO48" s="84">
        <f t="shared" si="24"/>
        <v>0</v>
      </c>
      <c r="AP48" s="49" t="s">
        <v>144</v>
      </c>
    </row>
    <row r="49" spans="1:46" ht="12.75" hidden="1" customHeight="1" x14ac:dyDescent="0.25">
      <c r="A49" s="45" t="s">
        <v>160</v>
      </c>
      <c r="B49" s="64" t="s">
        <v>143</v>
      </c>
      <c r="C49" s="65"/>
      <c r="D49" s="167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8">
        <v>0</v>
      </c>
      <c r="U49" s="168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22"/>
        <v>0</v>
      </c>
      <c r="AN49" s="87">
        <f t="shared" si="18"/>
        <v>0</v>
      </c>
      <c r="AO49" s="92">
        <f t="shared" si="24"/>
        <v>0</v>
      </c>
      <c r="AP49" s="49" t="s">
        <v>144</v>
      </c>
    </row>
    <row r="50" spans="1:46" ht="12.75" hidden="1" customHeight="1" x14ac:dyDescent="0.25">
      <c r="A50" s="45" t="s">
        <v>160</v>
      </c>
      <c r="B50" s="75" t="s">
        <v>143</v>
      </c>
      <c r="C50" s="76"/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0">
        <v>0</v>
      </c>
      <c r="U50" s="170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22"/>
        <v>0</v>
      </c>
      <c r="AN50" s="79">
        <f>+AK50+AL50</f>
        <v>0</v>
      </c>
      <c r="AO50" s="84">
        <f t="shared" si="24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7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22"/>
        <v>0</v>
      </c>
      <c r="AN51" s="87">
        <f>+AK51+AL51</f>
        <v>0</v>
      </c>
      <c r="AO51" s="92">
        <f t="shared" si="24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5" t="s">
        <v>160</v>
      </c>
      <c r="B52" s="75" t="s">
        <v>151</v>
      </c>
      <c r="C52" s="76"/>
      <c r="D52" s="163" t="s">
        <v>151</v>
      </c>
      <c r="E52" s="170">
        <v>0</v>
      </c>
      <c r="F52" s="170">
        <v>0</v>
      </c>
      <c r="G52" s="170">
        <v>0</v>
      </c>
      <c r="H52" s="170">
        <v>0</v>
      </c>
      <c r="I52" s="170">
        <v>0</v>
      </c>
      <c r="J52" s="170">
        <v>0</v>
      </c>
      <c r="K52" s="170">
        <v>0</v>
      </c>
      <c r="L52" s="170">
        <v>0</v>
      </c>
      <c r="M52" s="170">
        <v>0</v>
      </c>
      <c r="N52" s="170">
        <v>0</v>
      </c>
      <c r="O52" s="170"/>
      <c r="P52" s="170"/>
      <c r="Q52" s="170"/>
      <c r="R52" s="170"/>
      <c r="S52" s="171"/>
      <c r="T52" s="170">
        <v>0</v>
      </c>
      <c r="U52" s="170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160</v>
      </c>
      <c r="B53" s="64" t="s">
        <v>143</v>
      </c>
      <c r="C53" s="65" t="s">
        <v>154</v>
      </c>
      <c r="D53" s="167" t="s">
        <v>155</v>
      </c>
      <c r="E53" s="168">
        <v>72.449999999999989</v>
      </c>
      <c r="F53" s="168">
        <v>156.60000000000002</v>
      </c>
      <c r="G53" s="168">
        <v>9.4500000000000011</v>
      </c>
      <c r="H53" s="168">
        <v>55.800000000000004</v>
      </c>
      <c r="I53" s="168">
        <v>128.70000000000002</v>
      </c>
      <c r="J53" s="168">
        <v>96.975000000000023</v>
      </c>
      <c r="K53" s="168">
        <v>238.27500000000003</v>
      </c>
      <c r="L53" s="168">
        <v>10.8</v>
      </c>
      <c r="M53" s="168">
        <v>157.50000000000003</v>
      </c>
      <c r="N53" s="168">
        <v>31.949999999999996</v>
      </c>
      <c r="O53" s="168"/>
      <c r="P53" s="168"/>
      <c r="Q53" s="168"/>
      <c r="R53" s="168"/>
      <c r="S53" s="169"/>
      <c r="T53" s="168">
        <v>24.524999999999999</v>
      </c>
      <c r="U53" s="168">
        <v>39.15</v>
      </c>
      <c r="V53" s="169">
        <v>79.650000000000006</v>
      </c>
      <c r="W53" s="87">
        <v>29.700000000000003</v>
      </c>
      <c r="X53" s="87">
        <v>0.45</v>
      </c>
      <c r="Y53" s="87">
        <v>5.4</v>
      </c>
      <c r="Z53" s="87">
        <v>28.35</v>
      </c>
      <c r="AA53" s="87">
        <v>23.85</v>
      </c>
      <c r="AB53" s="87">
        <v>21.75</v>
      </c>
      <c r="AC53" s="87">
        <v>1.575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22"/>
        <v>0</v>
      </c>
      <c r="AN53" s="87">
        <f>+AK53+AL53</f>
        <v>0</v>
      </c>
      <c r="AO53" s="92">
        <f t="shared" ref="AO53:AO55" si="27">IFERROR(+AN53/AJ53,0)</f>
        <v>0</v>
      </c>
      <c r="AP53" s="50" t="s">
        <v>154</v>
      </c>
      <c r="AQ53" s="50"/>
    </row>
    <row r="54" spans="1:46" ht="12.75" hidden="1" customHeight="1" x14ac:dyDescent="0.25">
      <c r="A54" s="45" t="s">
        <v>160</v>
      </c>
      <c r="B54" s="75" t="s">
        <v>143</v>
      </c>
      <c r="C54" s="76"/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0">
        <v>0</v>
      </c>
      <c r="U54" s="170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22"/>
        <v>0</v>
      </c>
      <c r="AN54" s="79">
        <f t="shared" si="18"/>
        <v>0</v>
      </c>
      <c r="AO54" s="84">
        <f t="shared" si="27"/>
        <v>0</v>
      </c>
      <c r="AP54" s="49" t="s">
        <v>156</v>
      </c>
    </row>
    <row r="55" spans="1:46" ht="12.75" hidden="1" customHeight="1" thickBot="1" x14ac:dyDescent="0.3">
      <c r="A55" s="45" t="s">
        <v>160</v>
      </c>
      <c r="B55" s="64" t="s">
        <v>143</v>
      </c>
      <c r="C55" s="65"/>
      <c r="D55" s="167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8">
        <v>0</v>
      </c>
      <c r="U55" s="168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22"/>
        <v>0</v>
      </c>
      <c r="AN55" s="87">
        <f t="shared" si="18"/>
        <v>0</v>
      </c>
      <c r="AO55" s="92">
        <f t="shared" si="27"/>
        <v>0</v>
      </c>
      <c r="AP55" s="50"/>
      <c r="AQ55" s="50"/>
    </row>
    <row r="56" spans="1:46" ht="12.75" hidden="1" customHeight="1" thickBot="1" x14ac:dyDescent="0.3">
      <c r="A56" s="45" t="s">
        <v>160</v>
      </c>
      <c r="B56" s="173"/>
      <c r="C56" s="174"/>
      <c r="D56" s="152" t="s">
        <v>158</v>
      </c>
      <c r="E56" s="155">
        <v>996819.50999999978</v>
      </c>
      <c r="F56" s="155">
        <v>935334.60000000021</v>
      </c>
      <c r="G56" s="155">
        <v>1047664.8299999998</v>
      </c>
      <c r="H56" s="155">
        <v>1068843.6000000001</v>
      </c>
      <c r="I56" s="155">
        <v>1080819.7800000003</v>
      </c>
      <c r="J56" s="155">
        <v>942354.25500000035</v>
      </c>
      <c r="K56" s="155">
        <v>1063507.335</v>
      </c>
      <c r="L56" s="155">
        <v>874702.32000000018</v>
      </c>
      <c r="M56" s="155">
        <v>863799.06</v>
      </c>
      <c r="N56" s="155">
        <v>826789.65000000026</v>
      </c>
      <c r="O56" s="155"/>
      <c r="P56" s="155"/>
      <c r="Q56" s="155"/>
      <c r="R56" s="155"/>
      <c r="S56" s="155"/>
      <c r="T56" s="175">
        <v>855522.66500000004</v>
      </c>
      <c r="U56" s="175">
        <v>925068.71</v>
      </c>
      <c r="V56" s="175">
        <v>882349.53000000014</v>
      </c>
      <c r="W56" s="175">
        <v>807325.74000000022</v>
      </c>
      <c r="X56" s="175">
        <v>633409.75000000012</v>
      </c>
      <c r="Y56" s="175">
        <v>712532.20000000007</v>
      </c>
      <c r="Z56" s="175">
        <v>884167.53000000014</v>
      </c>
      <c r="AA56" s="175">
        <v>797752.7899999998</v>
      </c>
      <c r="AB56" s="175">
        <v>730725.05000000016</v>
      </c>
      <c r="AC56" s="175">
        <v>722797.875</v>
      </c>
      <c r="AD56" s="175">
        <v>898569.53999999992</v>
      </c>
      <c r="AE56" s="175">
        <v>785720.34</v>
      </c>
      <c r="AF56" s="175">
        <v>764940.96000000008</v>
      </c>
      <c r="AG56" s="175">
        <v>707070.48000000021</v>
      </c>
      <c r="AH56" s="175">
        <v>804349.74000000022</v>
      </c>
      <c r="AI56" s="176">
        <v>778069.08000000031</v>
      </c>
      <c r="AJ56" s="177">
        <v>800000</v>
      </c>
      <c r="AK56" s="175">
        <f>+AK47+SUM(AK48:AK55)</f>
        <v>124907.81999999998</v>
      </c>
      <c r="AL56" s="175">
        <f>SUM(AL47:AL55)</f>
        <v>456617.04000000004</v>
      </c>
      <c r="AM56" s="178">
        <f t="shared" si="22"/>
        <v>0.57077130000000009</v>
      </c>
      <c r="AN56" s="175">
        <f>+AK56+AL56</f>
        <v>581524.86</v>
      </c>
      <c r="AO56" s="179">
        <f>IFERROR(+AN56/AJ56,0)</f>
        <v>0.72690607499999993</v>
      </c>
      <c r="AP56" s="50"/>
      <c r="AQ56" s="50"/>
    </row>
    <row r="57" spans="1:46" x14ac:dyDescent="0.25">
      <c r="B57" s="47" t="s">
        <v>163</v>
      </c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2"/>
      <c r="AK57" s="183">
        <v>-7.1304384618997574E-10</v>
      </c>
      <c r="AL57" s="183">
        <v>-1.6880221664905548E-9</v>
      </c>
      <c r="AM57" s="184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 t="s">
        <v>165</v>
      </c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EEC9E-B086-4DB2-ACAA-0DD26F448C3A}">
  <dimension ref="A1:AV123"/>
  <sheetViews>
    <sheetView showGridLines="0" zoomScale="85" zoomScaleNormal="85" workbookViewId="0">
      <pane xSplit="4" ySplit="2" topLeftCell="AD4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166</v>
      </c>
      <c r="C1" s="47" t="s">
        <v>167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B3" s="64" t="s">
        <v>71</v>
      </c>
      <c r="C3" s="65" t="s">
        <v>72</v>
      </c>
      <c r="D3" s="66" t="s">
        <v>73</v>
      </c>
      <c r="E3" s="67">
        <v>35134.559999999998</v>
      </c>
      <c r="F3" s="68">
        <v>8331.1200000000008</v>
      </c>
      <c r="G3" s="68">
        <v>148627.43999999997</v>
      </c>
      <c r="H3" s="68">
        <v>40171.680000000008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56.160000000000004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51.84</v>
      </c>
      <c r="AC3" s="67">
        <v>51.84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33" si="2">IFERROR(+AN3/AJ3,0)</f>
        <v>0</v>
      </c>
      <c r="AP3" s="50"/>
      <c r="AQ3" s="50"/>
    </row>
    <row r="4" spans="1:45" ht="12.75" customHeight="1" x14ac:dyDescent="0.25">
      <c r="B4" s="75" t="s">
        <v>74</v>
      </c>
      <c r="C4" s="76" t="s">
        <v>72</v>
      </c>
      <c r="D4" s="77" t="s">
        <v>75</v>
      </c>
      <c r="E4" s="78">
        <v>23569.368000000013</v>
      </c>
      <c r="F4" s="79">
        <v>40688.760000000031</v>
      </c>
      <c r="G4" s="79">
        <v>23805.504000000004</v>
      </c>
      <c r="H4" s="79">
        <v>38459.544000000024</v>
      </c>
      <c r="I4" s="78">
        <v>34940.688000000009</v>
      </c>
      <c r="J4" s="79">
        <v>31840.223999999973</v>
      </c>
      <c r="K4" s="79">
        <v>31154.303999999982</v>
      </c>
      <c r="L4" s="79">
        <v>25208.087999999992</v>
      </c>
      <c r="M4" s="79">
        <v>19174.919999999998</v>
      </c>
      <c r="N4" s="79">
        <v>32197.223999999995</v>
      </c>
      <c r="O4" s="79">
        <v>34163.063999999991</v>
      </c>
      <c r="P4" s="79">
        <v>17554.920000000002</v>
      </c>
      <c r="Q4" s="80">
        <v>18427.199999999986</v>
      </c>
      <c r="R4" s="79">
        <v>20383.655999999999</v>
      </c>
      <c r="S4" s="78">
        <v>11013.336000000001</v>
      </c>
      <c r="T4" s="78">
        <v>24683.495999999992</v>
      </c>
      <c r="U4" s="78">
        <v>23466.312000000034</v>
      </c>
      <c r="V4" s="78">
        <v>16838.42400000001</v>
      </c>
      <c r="W4" s="78">
        <v>16788.024000000001</v>
      </c>
      <c r="X4" s="78">
        <v>23961.695999999982</v>
      </c>
      <c r="Y4" s="79">
        <v>24849.696000000018</v>
      </c>
      <c r="Z4" s="78">
        <v>21091.919999999991</v>
      </c>
      <c r="AA4" s="78">
        <v>23334.384000000013</v>
      </c>
      <c r="AB4" s="78">
        <v>20433.504000000004</v>
      </c>
      <c r="AC4" s="78">
        <v>25944.815999999992</v>
      </c>
      <c r="AD4" s="81">
        <v>18744.191999999988</v>
      </c>
      <c r="AE4" s="80">
        <v>19016.736000000001</v>
      </c>
      <c r="AF4" s="80">
        <v>19530.887999999999</v>
      </c>
      <c r="AG4" s="80">
        <v>19464.528000000002</v>
      </c>
      <c r="AH4" s="80">
        <v>24553.343999999997</v>
      </c>
      <c r="AI4" s="80">
        <v>31100.927999999989</v>
      </c>
      <c r="AJ4" s="82">
        <v>22000</v>
      </c>
      <c r="AK4" s="79">
        <v>0</v>
      </c>
      <c r="AL4" s="79">
        <v>12366.744000000001</v>
      </c>
      <c r="AM4" s="83">
        <f t="shared" si="0"/>
        <v>0.56212472727272733</v>
      </c>
      <c r="AN4" s="79">
        <f t="shared" si="1"/>
        <v>12366.744000000001</v>
      </c>
      <c r="AO4" s="84">
        <f t="shared" si="2"/>
        <v>0.56212472727272733</v>
      </c>
      <c r="AP4" s="50"/>
      <c r="AQ4" s="50"/>
    </row>
    <row r="5" spans="1:45" ht="12.75" customHeight="1" x14ac:dyDescent="0.25">
      <c r="B5" s="64" t="s">
        <v>74</v>
      </c>
      <c r="C5" s="65" t="s">
        <v>72</v>
      </c>
      <c r="D5" s="66" t="s">
        <v>76</v>
      </c>
      <c r="E5" s="86">
        <v>10178.087999999998</v>
      </c>
      <c r="F5" s="87">
        <v>15492.527999999998</v>
      </c>
      <c r="G5" s="87">
        <v>12045.216000000004</v>
      </c>
      <c r="H5" s="87">
        <v>16342.008000000007</v>
      </c>
      <c r="I5" s="86">
        <v>8966.3039999999964</v>
      </c>
      <c r="J5" s="87">
        <v>24765.359999999997</v>
      </c>
      <c r="K5" s="87">
        <v>11692.823999999993</v>
      </c>
      <c r="L5" s="87">
        <v>7666.4159999999983</v>
      </c>
      <c r="M5" s="87">
        <v>4410.9359999999997</v>
      </c>
      <c r="N5" s="87">
        <v>8743.0320000000011</v>
      </c>
      <c r="O5" s="87">
        <v>5756.9520000000002</v>
      </c>
      <c r="P5" s="87">
        <v>4724.6400000000003</v>
      </c>
      <c r="Q5" s="88">
        <v>10323.815999999995</v>
      </c>
      <c r="R5" s="87">
        <v>6092.1839999999993</v>
      </c>
      <c r="S5" s="86">
        <v>4838.0399999999981</v>
      </c>
      <c r="T5" s="86">
        <v>11387.087999999998</v>
      </c>
      <c r="U5" s="86">
        <v>13198.007999999998</v>
      </c>
      <c r="V5" s="86">
        <v>5109.047999999998</v>
      </c>
      <c r="W5" s="86">
        <v>8025.8399999999992</v>
      </c>
      <c r="X5" s="86">
        <v>6750.6719999999996</v>
      </c>
      <c r="Y5" s="87">
        <v>8952.6479999999974</v>
      </c>
      <c r="Z5" s="86">
        <v>11542.703999999996</v>
      </c>
      <c r="AA5" s="86">
        <v>12518.543999999998</v>
      </c>
      <c r="AB5" s="86">
        <v>17217.527999999998</v>
      </c>
      <c r="AC5" s="86">
        <v>16758.455999999995</v>
      </c>
      <c r="AD5" s="89">
        <v>18652.344000000001</v>
      </c>
      <c r="AE5" s="88">
        <v>18542.376000000004</v>
      </c>
      <c r="AF5" s="88">
        <v>8095.0079999999971</v>
      </c>
      <c r="AG5" s="88">
        <v>6948.887999999999</v>
      </c>
      <c r="AH5" s="88">
        <v>16079.999999999996</v>
      </c>
      <c r="AI5" s="88">
        <v>12037.17599999999</v>
      </c>
      <c r="AJ5" s="90">
        <v>14000</v>
      </c>
      <c r="AK5" s="87">
        <v>0</v>
      </c>
      <c r="AL5" s="87">
        <v>5767.5360000000001</v>
      </c>
      <c r="AM5" s="91">
        <f t="shared" si="0"/>
        <v>0.41196685714285713</v>
      </c>
      <c r="AN5" s="87">
        <f t="shared" si="1"/>
        <v>5767.5360000000001</v>
      </c>
      <c r="AO5" s="92">
        <f t="shared" si="2"/>
        <v>0.41196685714285713</v>
      </c>
      <c r="AP5" s="50" t="s">
        <v>77</v>
      </c>
      <c r="AQ5" s="50"/>
    </row>
    <row r="6" spans="1:45" ht="12.75" customHeight="1" x14ac:dyDescent="0.25">
      <c r="B6" s="75" t="s">
        <v>74</v>
      </c>
      <c r="C6" s="76" t="s">
        <v>72</v>
      </c>
      <c r="D6" s="77" t="s">
        <v>78</v>
      </c>
      <c r="E6" s="78">
        <v>8102.52</v>
      </c>
      <c r="F6" s="79">
        <v>10768.824000000001</v>
      </c>
      <c r="G6" s="79">
        <v>16385.016000000003</v>
      </c>
      <c r="H6" s="79">
        <v>14737.848</v>
      </c>
      <c r="I6" s="78">
        <v>18283.608000000007</v>
      </c>
      <c r="J6" s="79">
        <v>13167.551999999998</v>
      </c>
      <c r="K6" s="79">
        <v>9747.5759999999991</v>
      </c>
      <c r="L6" s="79">
        <v>13961.640000000005</v>
      </c>
      <c r="M6" s="79">
        <v>14174.52</v>
      </c>
      <c r="N6" s="79">
        <v>18969.023999999994</v>
      </c>
      <c r="O6" s="79">
        <v>20981.376000000004</v>
      </c>
      <c r="P6" s="79">
        <v>10280.544000000002</v>
      </c>
      <c r="Q6" s="80">
        <v>12631.128000000001</v>
      </c>
      <c r="R6" s="79">
        <v>14064.935999999998</v>
      </c>
      <c r="S6" s="78">
        <v>12496.704000000005</v>
      </c>
      <c r="T6" s="78">
        <v>23848.031999999992</v>
      </c>
      <c r="U6" s="78">
        <v>13875.552000000001</v>
      </c>
      <c r="V6" s="78">
        <v>4369.5839999999998</v>
      </c>
      <c r="W6" s="78">
        <v>18353.280000000002</v>
      </c>
      <c r="X6" s="78">
        <v>9697.9680000000026</v>
      </c>
      <c r="Y6" s="79">
        <v>9038.3520000000008</v>
      </c>
      <c r="Z6" s="78">
        <v>13492.296000000002</v>
      </c>
      <c r="AA6" s="78">
        <v>11440.656000000004</v>
      </c>
      <c r="AB6" s="78">
        <v>8895.5759999999991</v>
      </c>
      <c r="AC6" s="78">
        <v>12638.999999999998</v>
      </c>
      <c r="AD6" s="81">
        <v>11490.696000000002</v>
      </c>
      <c r="AE6" s="80">
        <v>4231.68</v>
      </c>
      <c r="AF6" s="80">
        <v>14968.271999999999</v>
      </c>
      <c r="AG6" s="80">
        <v>22163.448000000008</v>
      </c>
      <c r="AH6" s="80">
        <v>4976.4239999999954</v>
      </c>
      <c r="AI6" s="80">
        <v>15353.855999999998</v>
      </c>
      <c r="AJ6" s="82">
        <v>17000</v>
      </c>
      <c r="AK6" s="79">
        <v>1000.9200000000001</v>
      </c>
      <c r="AL6" s="79">
        <v>7414.9440000000013</v>
      </c>
      <c r="AM6" s="83">
        <f t="shared" si="0"/>
        <v>0.43617317647058829</v>
      </c>
      <c r="AN6" s="79">
        <f t="shared" si="1"/>
        <v>8415.8640000000014</v>
      </c>
      <c r="AO6" s="84">
        <f t="shared" si="2"/>
        <v>0.49505082352941182</v>
      </c>
      <c r="AP6" s="50"/>
      <c r="AQ6" s="50"/>
    </row>
    <row r="7" spans="1:45" ht="12.75" customHeight="1" x14ac:dyDescent="0.25">
      <c r="B7" s="64" t="s">
        <v>79</v>
      </c>
      <c r="C7" s="65" t="s">
        <v>72</v>
      </c>
      <c r="D7" s="66" t="s">
        <v>80</v>
      </c>
      <c r="E7" s="86">
        <v>195408.96000000005</v>
      </c>
      <c r="F7" s="87">
        <v>133921.32</v>
      </c>
      <c r="G7" s="87">
        <v>237067.60800000001</v>
      </c>
      <c r="H7" s="87">
        <v>205196.37600000016</v>
      </c>
      <c r="I7" s="86">
        <v>244901.88</v>
      </c>
      <c r="J7" s="87">
        <v>108689.04000000001</v>
      </c>
      <c r="K7" s="87">
        <v>142981.19999999998</v>
      </c>
      <c r="L7" s="87">
        <v>141698.68799999999</v>
      </c>
      <c r="M7" s="87">
        <v>172798.8</v>
      </c>
      <c r="N7" s="87">
        <v>136438.56</v>
      </c>
      <c r="O7" s="87">
        <v>138747.6</v>
      </c>
      <c r="P7" s="87">
        <v>185842.08000000002</v>
      </c>
      <c r="Q7" s="88">
        <v>150173.32800000004</v>
      </c>
      <c r="R7" s="87">
        <v>150443.25599999996</v>
      </c>
      <c r="S7" s="86">
        <v>131472.71999999997</v>
      </c>
      <c r="T7" s="86">
        <v>89973.168000000005</v>
      </c>
      <c r="U7" s="86">
        <v>119959.68000000002</v>
      </c>
      <c r="V7" s="86">
        <v>204407.92800000004</v>
      </c>
      <c r="W7" s="86">
        <v>134298.96000000002</v>
      </c>
      <c r="X7" s="86">
        <v>93628.632000000012</v>
      </c>
      <c r="Y7" s="87">
        <v>51299.184000000008</v>
      </c>
      <c r="Z7" s="86">
        <v>128629.91999999998</v>
      </c>
      <c r="AA7" s="86">
        <v>131665.55999999997</v>
      </c>
      <c r="AB7" s="86">
        <v>80844.936000000016</v>
      </c>
      <c r="AC7" s="86">
        <v>103172.11200000002</v>
      </c>
      <c r="AD7" s="89">
        <v>159237.35999999996</v>
      </c>
      <c r="AE7" s="88">
        <v>93521.4</v>
      </c>
      <c r="AF7" s="88">
        <v>114478.32000000004</v>
      </c>
      <c r="AG7" s="88">
        <v>163488.52800000005</v>
      </c>
      <c r="AH7" s="88">
        <v>116215.65600000005</v>
      </c>
      <c r="AI7" s="88">
        <v>90972.384000000049</v>
      </c>
      <c r="AJ7" s="90">
        <v>90000</v>
      </c>
      <c r="AK7" s="87">
        <v>19051.200000000004</v>
      </c>
      <c r="AL7" s="87">
        <v>107293.44000000002</v>
      </c>
      <c r="AM7" s="91">
        <f t="shared" si="0"/>
        <v>1.1921493333333335</v>
      </c>
      <c r="AN7" s="87">
        <f t="shared" si="1"/>
        <v>126344.64000000001</v>
      </c>
      <c r="AO7" s="92">
        <f t="shared" si="2"/>
        <v>1.4038293333333336</v>
      </c>
      <c r="AP7" s="50"/>
      <c r="AQ7" s="50"/>
    </row>
    <row r="8" spans="1:45" ht="12.75" customHeight="1" x14ac:dyDescent="0.25"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11633.28</v>
      </c>
      <c r="Q8" s="80">
        <v>31360.68</v>
      </c>
      <c r="R8" s="79">
        <v>17604.960000000017</v>
      </c>
      <c r="S8" s="78">
        <v>14405.880000000003</v>
      </c>
      <c r="T8" s="78">
        <v>27186</v>
      </c>
      <c r="U8" s="78">
        <v>21768.120000000003</v>
      </c>
      <c r="V8" s="78">
        <v>29883</v>
      </c>
      <c r="W8" s="78">
        <v>9716.8799999999992</v>
      </c>
      <c r="X8" s="78">
        <v>33755.424000000006</v>
      </c>
      <c r="Y8" s="79">
        <v>11175.336000000003</v>
      </c>
      <c r="Z8" s="78">
        <v>17541.96</v>
      </c>
      <c r="AA8" s="78">
        <v>21915.192000000003</v>
      </c>
      <c r="AB8" s="78">
        <v>60882.624000000003</v>
      </c>
      <c r="AC8" s="78">
        <v>38957.880000000012</v>
      </c>
      <c r="AD8" s="81">
        <v>50408.520000000004</v>
      </c>
      <c r="AE8" s="80">
        <v>42464.280000000006</v>
      </c>
      <c r="AF8" s="80">
        <v>32781.864000000001</v>
      </c>
      <c r="AG8" s="80">
        <v>22912.032000000007</v>
      </c>
      <c r="AH8" s="80">
        <v>27673.800000000003</v>
      </c>
      <c r="AI8" s="80">
        <v>16968.768</v>
      </c>
      <c r="AJ8" s="82">
        <v>32000</v>
      </c>
      <c r="AK8" s="79">
        <v>0</v>
      </c>
      <c r="AL8" s="79">
        <v>729.00000000000023</v>
      </c>
      <c r="AM8" s="83">
        <f t="shared" si="0"/>
        <v>2.2781250000000006E-2</v>
      </c>
      <c r="AN8" s="79">
        <f t="shared" si="1"/>
        <v>729.00000000000023</v>
      </c>
      <c r="AO8" s="84">
        <f t="shared" si="2"/>
        <v>2.2781250000000006E-2</v>
      </c>
      <c r="AP8" s="50"/>
      <c r="AQ8" s="50"/>
    </row>
    <row r="9" spans="1:45" ht="12.75" customHeight="1" x14ac:dyDescent="0.25">
      <c r="B9" s="64" t="s">
        <v>82</v>
      </c>
      <c r="C9" s="65" t="s">
        <v>72</v>
      </c>
      <c r="D9" s="66" t="s">
        <v>83</v>
      </c>
      <c r="E9" s="86">
        <v>21615.648000000005</v>
      </c>
      <c r="F9" s="87">
        <v>38279.807999999997</v>
      </c>
      <c r="G9" s="87">
        <v>20757.12</v>
      </c>
      <c r="H9" s="87">
        <v>30192.336000000003</v>
      </c>
      <c r="I9" s="86">
        <v>30322.943999999996</v>
      </c>
      <c r="J9" s="87">
        <v>33319.295999999988</v>
      </c>
      <c r="K9" s="87">
        <v>26508.815999999995</v>
      </c>
      <c r="L9" s="87">
        <v>27658.920000000006</v>
      </c>
      <c r="M9" s="87">
        <v>20270.640000000003</v>
      </c>
      <c r="N9" s="87">
        <v>54489.12000000001</v>
      </c>
      <c r="O9" s="87">
        <v>26462.52</v>
      </c>
      <c r="P9" s="87">
        <v>19166.063999999998</v>
      </c>
      <c r="Q9" s="88">
        <v>31283.039999999997</v>
      </c>
      <c r="R9" s="87">
        <v>49586.759999999995</v>
      </c>
      <c r="S9" s="86">
        <v>40437</v>
      </c>
      <c r="T9" s="86">
        <v>33828.407999999996</v>
      </c>
      <c r="U9" s="86">
        <v>4527.2879999999986</v>
      </c>
      <c r="V9" s="86">
        <v>2115.4559999999992</v>
      </c>
      <c r="W9" s="86">
        <v>18792.72</v>
      </c>
      <c r="X9" s="86">
        <v>27435.72</v>
      </c>
      <c r="Y9" s="87">
        <v>24577.320000000007</v>
      </c>
      <c r="Z9" s="86">
        <v>15877.607999999998</v>
      </c>
      <c r="AA9" s="86">
        <v>22014.840000000004</v>
      </c>
      <c r="AB9" s="86">
        <v>28765.800000000003</v>
      </c>
      <c r="AC9" s="86">
        <v>89150.399999999994</v>
      </c>
      <c r="AD9" s="89">
        <v>33743.736000000012</v>
      </c>
      <c r="AE9" s="88">
        <v>22353.84</v>
      </c>
      <c r="AF9" s="88">
        <v>29578.320000000011</v>
      </c>
      <c r="AG9" s="88">
        <v>2136.5999999999995</v>
      </c>
      <c r="AH9" s="88">
        <v>27107.423999999999</v>
      </c>
      <c r="AI9" s="88">
        <v>29041.19999999999</v>
      </c>
      <c r="AJ9" s="90">
        <v>28000</v>
      </c>
      <c r="AK9" s="87">
        <v>9331.2000000000007</v>
      </c>
      <c r="AL9" s="87">
        <v>3878.3039999999996</v>
      </c>
      <c r="AM9" s="91">
        <f t="shared" si="0"/>
        <v>0.13851085714285713</v>
      </c>
      <c r="AN9" s="87">
        <f t="shared" si="1"/>
        <v>13209.504000000001</v>
      </c>
      <c r="AO9" s="92">
        <f t="shared" si="2"/>
        <v>0.47176800000000002</v>
      </c>
      <c r="AP9" s="50"/>
      <c r="AQ9" s="50"/>
    </row>
    <row r="10" spans="1:45" ht="12.75" customHeight="1" x14ac:dyDescent="0.25">
      <c r="B10" s="75" t="s">
        <v>82</v>
      </c>
      <c r="C10" s="76" t="s">
        <v>72</v>
      </c>
      <c r="D10" s="77" t="s">
        <v>84</v>
      </c>
      <c r="E10" s="78">
        <v>101457.12000000002</v>
      </c>
      <c r="F10" s="79">
        <v>87950.880000000019</v>
      </c>
      <c r="G10" s="79">
        <v>49970.520000000011</v>
      </c>
      <c r="H10" s="79">
        <v>80390.640000000043</v>
      </c>
      <c r="I10" s="78">
        <v>97414.800000000032</v>
      </c>
      <c r="J10" s="79">
        <v>89334.167999999991</v>
      </c>
      <c r="K10" s="79">
        <v>64221.239999999991</v>
      </c>
      <c r="L10" s="79">
        <v>63905.880000000005</v>
      </c>
      <c r="M10" s="79">
        <v>46002.720000000008</v>
      </c>
      <c r="N10" s="79">
        <v>66211.680000000022</v>
      </c>
      <c r="O10" s="79">
        <v>61067.16</v>
      </c>
      <c r="P10" s="79">
        <v>78577.200000000026</v>
      </c>
      <c r="Q10" s="80">
        <v>62570.280000000006</v>
      </c>
      <c r="R10" s="79">
        <v>68957.136000000028</v>
      </c>
      <c r="S10" s="78">
        <v>63850.559999999998</v>
      </c>
      <c r="T10" s="78">
        <v>53432.399999999994</v>
      </c>
      <c r="U10" s="78">
        <v>59752.176000000014</v>
      </c>
      <c r="V10" s="78">
        <v>55964.639999999999</v>
      </c>
      <c r="W10" s="78">
        <v>66532.800000000003</v>
      </c>
      <c r="X10" s="78">
        <v>61366.847999999991</v>
      </c>
      <c r="Y10" s="79">
        <v>66688.847999999998</v>
      </c>
      <c r="Z10" s="78">
        <v>55254.48</v>
      </c>
      <c r="AA10" s="78">
        <v>47304.72</v>
      </c>
      <c r="AB10" s="78">
        <v>50011.584000000003</v>
      </c>
      <c r="AC10" s="78">
        <v>71816.760000000009</v>
      </c>
      <c r="AD10" s="81">
        <v>55529.255999999979</v>
      </c>
      <c r="AE10" s="80">
        <v>43455.815999999999</v>
      </c>
      <c r="AF10" s="80">
        <v>51108.288000000008</v>
      </c>
      <c r="AG10" s="80">
        <v>52531.44000000001</v>
      </c>
      <c r="AH10" s="80">
        <v>24051.504000000001</v>
      </c>
      <c r="AI10" s="80">
        <v>55201.872000000003</v>
      </c>
      <c r="AJ10" s="82">
        <v>49000</v>
      </c>
      <c r="AK10" s="79">
        <v>0</v>
      </c>
      <c r="AL10" s="79">
        <v>19750.632000000001</v>
      </c>
      <c r="AM10" s="83">
        <f t="shared" si="0"/>
        <v>0.40307412244897961</v>
      </c>
      <c r="AN10" s="79">
        <f t="shared" si="1"/>
        <v>19750.632000000001</v>
      </c>
      <c r="AO10" s="84">
        <f t="shared" si="2"/>
        <v>0.40307412244897961</v>
      </c>
      <c r="AP10" s="50"/>
      <c r="AQ10" s="50"/>
    </row>
    <row r="11" spans="1:45" ht="12.75" customHeight="1" x14ac:dyDescent="0.25">
      <c r="B11" s="64" t="s">
        <v>85</v>
      </c>
      <c r="C11" s="65" t="s">
        <v>86</v>
      </c>
      <c r="D11" s="66" t="s">
        <v>87</v>
      </c>
      <c r="E11" s="86">
        <v>22442.471999999998</v>
      </c>
      <c r="F11" s="87">
        <v>35196.215999999993</v>
      </c>
      <c r="G11" s="87">
        <v>34041.552000000003</v>
      </c>
      <c r="H11" s="87">
        <v>46231.56</v>
      </c>
      <c r="I11" s="86">
        <v>38794.68</v>
      </c>
      <c r="J11" s="87">
        <v>39446.639999999999</v>
      </c>
      <c r="K11" s="87">
        <v>26998.727999999999</v>
      </c>
      <c r="L11" s="87">
        <v>35661.240000000005</v>
      </c>
      <c r="M11" s="87">
        <v>16688.544000000013</v>
      </c>
      <c r="N11" s="87">
        <v>20750.16</v>
      </c>
      <c r="O11" s="87">
        <v>16009.440000000006</v>
      </c>
      <c r="P11" s="87">
        <v>16563.719999999998</v>
      </c>
      <c r="Q11" s="88">
        <v>14792.207999999999</v>
      </c>
      <c r="R11" s="87">
        <v>16736.496000000003</v>
      </c>
      <c r="S11" s="86">
        <v>16036.392000000002</v>
      </c>
      <c r="T11" s="86">
        <v>16618.944</v>
      </c>
      <c r="U11" s="86">
        <v>15940.344000000014</v>
      </c>
      <c r="V11" s="86">
        <v>16713.72</v>
      </c>
      <c r="W11" s="86">
        <v>19580.400000000005</v>
      </c>
      <c r="X11" s="86">
        <v>17037.864000000005</v>
      </c>
      <c r="Y11" s="87">
        <v>18115.080000000002</v>
      </c>
      <c r="Z11" s="86">
        <v>18423.12</v>
      </c>
      <c r="AA11" s="86">
        <v>17468.976000000002</v>
      </c>
      <c r="AB11" s="86">
        <v>18804.192000000006</v>
      </c>
      <c r="AC11" s="86">
        <v>20132.784000000003</v>
      </c>
      <c r="AD11" s="89">
        <v>19930.055999999993</v>
      </c>
      <c r="AE11" s="88">
        <v>22656.311999999998</v>
      </c>
      <c r="AF11" s="88">
        <v>25501.559999999979</v>
      </c>
      <c r="AG11" s="88">
        <v>24075.983999999986</v>
      </c>
      <c r="AH11" s="88">
        <v>23979.191999999995</v>
      </c>
      <c r="AI11" s="88">
        <v>27778.488000000005</v>
      </c>
      <c r="AJ11" s="90">
        <v>25000</v>
      </c>
      <c r="AK11" s="87">
        <v>5424.72</v>
      </c>
      <c r="AL11" s="87">
        <v>21897.719999999994</v>
      </c>
      <c r="AM11" s="91">
        <f t="shared" si="0"/>
        <v>0.87590879999999971</v>
      </c>
      <c r="AN11" s="87">
        <f t="shared" si="1"/>
        <v>27322.439999999995</v>
      </c>
      <c r="AO11" s="92">
        <f t="shared" si="2"/>
        <v>1.0928975999999997</v>
      </c>
      <c r="AP11" s="50"/>
      <c r="AQ11" s="50"/>
    </row>
    <row r="12" spans="1:45" ht="12.75" customHeight="1" x14ac:dyDescent="0.25">
      <c r="B12" s="75" t="s">
        <v>85</v>
      </c>
      <c r="C12" s="76" t="s">
        <v>86</v>
      </c>
      <c r="D12" s="77" t="s">
        <v>88</v>
      </c>
      <c r="E12" s="78">
        <v>26213.784000000007</v>
      </c>
      <c r="F12" s="79">
        <v>27063.023999999994</v>
      </c>
      <c r="G12" s="79">
        <v>21649.559999999998</v>
      </c>
      <c r="H12" s="79">
        <v>36280.84800000002</v>
      </c>
      <c r="I12" s="78">
        <v>32207.376</v>
      </c>
      <c r="J12" s="79">
        <v>29258.904000000002</v>
      </c>
      <c r="K12" s="79">
        <v>27378.023999999998</v>
      </c>
      <c r="L12" s="79">
        <v>28722.12</v>
      </c>
      <c r="M12" s="79">
        <v>10996.680000000002</v>
      </c>
      <c r="N12" s="79">
        <v>13529.640000000001</v>
      </c>
      <c r="O12" s="79">
        <v>12562.440000000002</v>
      </c>
      <c r="P12" s="79">
        <v>17053.080000000002</v>
      </c>
      <c r="Q12" s="80">
        <v>13659.84</v>
      </c>
      <c r="R12" s="79">
        <v>3868.5600000000009</v>
      </c>
      <c r="S12" s="78">
        <v>15003.36</v>
      </c>
      <c r="T12" s="78">
        <v>14596.104000000007</v>
      </c>
      <c r="U12" s="78">
        <v>19306.944000000003</v>
      </c>
      <c r="V12" s="78">
        <v>16014.43200000001</v>
      </c>
      <c r="W12" s="78">
        <v>11806.392000000005</v>
      </c>
      <c r="X12" s="78">
        <v>15290.472000000003</v>
      </c>
      <c r="Y12" s="79">
        <v>14894.400000000005</v>
      </c>
      <c r="Z12" s="78">
        <v>14575.608</v>
      </c>
      <c r="AA12" s="78">
        <v>13541.087999999996</v>
      </c>
      <c r="AB12" s="78">
        <v>10399.176000000003</v>
      </c>
      <c r="AC12" s="78">
        <v>17530.440000000006</v>
      </c>
      <c r="AD12" s="81">
        <v>16288.776</v>
      </c>
      <c r="AE12" s="80">
        <v>17081.183999999997</v>
      </c>
      <c r="AF12" s="80">
        <v>16507.560000000001</v>
      </c>
      <c r="AG12" s="80">
        <v>20228.999999999989</v>
      </c>
      <c r="AH12" s="80">
        <v>18394.056000000008</v>
      </c>
      <c r="AI12" s="80">
        <v>20637.479999999996</v>
      </c>
      <c r="AJ12" s="82">
        <v>19000</v>
      </c>
      <c r="AK12" s="79">
        <v>4743.3599999999997</v>
      </c>
      <c r="AL12" s="79">
        <v>10039.992000000004</v>
      </c>
      <c r="AM12" s="83">
        <f t="shared" si="0"/>
        <v>0.52842063157894759</v>
      </c>
      <c r="AN12" s="79">
        <f t="shared" si="1"/>
        <v>14783.352000000003</v>
      </c>
      <c r="AO12" s="84">
        <f t="shared" si="2"/>
        <v>0.77807115789473702</v>
      </c>
      <c r="AP12" s="50"/>
      <c r="AQ12" s="50"/>
    </row>
    <row r="13" spans="1:45" ht="12.75" customHeight="1" x14ac:dyDescent="0.25">
      <c r="B13" s="64" t="s">
        <v>89</v>
      </c>
      <c r="C13" s="65" t="s">
        <v>86</v>
      </c>
      <c r="D13" s="66" t="s">
        <v>90</v>
      </c>
      <c r="E13" s="86">
        <v>703.05600000000004</v>
      </c>
      <c r="F13" s="87">
        <v>903.14400000000035</v>
      </c>
      <c r="G13" s="87"/>
      <c r="H13" s="87"/>
      <c r="I13" s="86"/>
      <c r="J13" s="87"/>
      <c r="K13" s="87">
        <v>4705.8</v>
      </c>
      <c r="L13" s="87">
        <v>4249.5600000000004</v>
      </c>
      <c r="M13" s="87">
        <v>1630.3200000000002</v>
      </c>
      <c r="N13" s="87">
        <v>10512.288000000002</v>
      </c>
      <c r="O13" s="87">
        <v>12996.072000000002</v>
      </c>
      <c r="P13" s="87">
        <v>4226.4959999999992</v>
      </c>
      <c r="Q13" s="88">
        <v>9994.2720000000027</v>
      </c>
      <c r="R13" s="87">
        <v>5726.0640000000012</v>
      </c>
      <c r="S13" s="86">
        <v>3148.8480000000004</v>
      </c>
      <c r="T13" s="86">
        <v>10691.808000000001</v>
      </c>
      <c r="U13" s="86">
        <v>8634.2880000000005</v>
      </c>
      <c r="V13" s="86">
        <v>5085.6000000000004</v>
      </c>
      <c r="W13" s="86">
        <v>13087.632000000001</v>
      </c>
      <c r="X13" s="86">
        <v>10454.352000000014</v>
      </c>
      <c r="Y13" s="87">
        <v>2360.4239999999995</v>
      </c>
      <c r="Z13" s="86">
        <v>8576.2080000000042</v>
      </c>
      <c r="AA13" s="86">
        <v>7789.9440000000004</v>
      </c>
      <c r="AB13" s="86">
        <v>8574.7199999999993</v>
      </c>
      <c r="AC13" s="86">
        <v>8722.5840000000007</v>
      </c>
      <c r="AD13" s="89">
        <v>8567.5680000000048</v>
      </c>
      <c r="AE13" s="88">
        <v>8056.1280000000015</v>
      </c>
      <c r="AF13" s="88">
        <v>5177.7840000000024</v>
      </c>
      <c r="AG13" s="88">
        <v>8103.2640000000001</v>
      </c>
      <c r="AH13" s="88">
        <v>14297.567999999997</v>
      </c>
      <c r="AI13" s="88">
        <v>13133.135999999997</v>
      </c>
      <c r="AJ13" s="90">
        <v>8500</v>
      </c>
      <c r="AK13" s="87">
        <v>43.2</v>
      </c>
      <c r="AL13" s="87">
        <v>5576.7119999999986</v>
      </c>
      <c r="AM13" s="91">
        <f t="shared" si="0"/>
        <v>0.65608376470588214</v>
      </c>
      <c r="AN13" s="87">
        <f t="shared" si="1"/>
        <v>5619.9119999999984</v>
      </c>
      <c r="AO13" s="92">
        <f t="shared" si="2"/>
        <v>0.66116611764705868</v>
      </c>
      <c r="AP13" s="50"/>
      <c r="AQ13" s="50"/>
    </row>
    <row r="14" spans="1:45" ht="12.75" hidden="1" customHeight="1" x14ac:dyDescent="0.25">
      <c r="B14" s="75" t="s">
        <v>89</v>
      </c>
      <c r="C14" s="76" t="s">
        <v>86</v>
      </c>
      <c r="D14" s="77" t="s">
        <v>91</v>
      </c>
      <c r="E14" s="78">
        <v>3677.7600000000007</v>
      </c>
      <c r="F14" s="79">
        <v>4069.9199999999996</v>
      </c>
      <c r="G14" s="79">
        <v>3690.0479999999989</v>
      </c>
      <c r="H14" s="79">
        <v>5531.7599999999993</v>
      </c>
      <c r="I14" s="78">
        <v>4939.9199999999992</v>
      </c>
      <c r="J14" s="79">
        <v>8911.7999999999993</v>
      </c>
      <c r="K14" s="79">
        <v>4211.8799999999992</v>
      </c>
      <c r="L14" s="79">
        <v>2977.2959999999998</v>
      </c>
      <c r="M14" s="79">
        <v>7983.2159999999994</v>
      </c>
      <c r="N14" s="79">
        <v>6202.9680000000008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B15" s="75" t="s">
        <v>89</v>
      </c>
      <c r="C15" s="76" t="s">
        <v>86</v>
      </c>
      <c r="D15" s="77" t="s">
        <v>93</v>
      </c>
      <c r="E15" s="78">
        <v>16360.008000000002</v>
      </c>
      <c r="F15" s="79">
        <v>16373.927999999998</v>
      </c>
      <c r="G15" s="79">
        <v>16196.496000000003</v>
      </c>
      <c r="H15" s="79">
        <v>24970.392000000003</v>
      </c>
      <c r="I15" s="78">
        <v>25745.544000000002</v>
      </c>
      <c r="J15" s="79">
        <v>25993.200000000001</v>
      </c>
      <c r="K15" s="79">
        <v>17002.511999999999</v>
      </c>
      <c r="L15" s="79">
        <v>17548.583999999999</v>
      </c>
      <c r="M15" s="79">
        <v>18886.032000000003</v>
      </c>
      <c r="N15" s="79">
        <v>20565.840000000007</v>
      </c>
      <c r="O15" s="79">
        <v>17564.280000000002</v>
      </c>
      <c r="P15" s="79">
        <v>25984.968000000001</v>
      </c>
      <c r="Q15" s="80">
        <v>16137</v>
      </c>
      <c r="R15" s="79">
        <v>14021.328000000001</v>
      </c>
      <c r="S15" s="78">
        <v>16589.16</v>
      </c>
      <c r="T15" s="78">
        <v>11495.760000000002</v>
      </c>
      <c r="U15" s="78">
        <v>3300.2159999999994</v>
      </c>
      <c r="V15" s="78">
        <v>2625</v>
      </c>
      <c r="W15" s="78">
        <v>4861.344000000001</v>
      </c>
      <c r="X15" s="78">
        <v>9909.3599999999988</v>
      </c>
      <c r="Y15" s="79">
        <v>12244.080000000002</v>
      </c>
      <c r="Z15" s="78">
        <v>11335.056</v>
      </c>
      <c r="AA15" s="78">
        <v>16350.480000000001</v>
      </c>
      <c r="AB15" s="78">
        <v>17876.328000000001</v>
      </c>
      <c r="AC15" s="78">
        <v>6457.68</v>
      </c>
      <c r="AD15" s="81">
        <v>16352.472000000002</v>
      </c>
      <c r="AE15" s="80">
        <v>16186.584000000003</v>
      </c>
      <c r="AF15" s="80">
        <v>14648.784</v>
      </c>
      <c r="AG15" s="80">
        <v>12799.008000000002</v>
      </c>
      <c r="AH15" s="80">
        <v>3450.4320000000002</v>
      </c>
      <c r="AI15" s="80">
        <v>13509.456</v>
      </c>
      <c r="AJ15" s="82">
        <v>13500</v>
      </c>
      <c r="AK15" s="79">
        <v>323.53999999999996</v>
      </c>
      <c r="AL15" s="79">
        <v>5908.9439999999977</v>
      </c>
      <c r="AM15" s="83">
        <f t="shared" si="0"/>
        <v>0.4376995555555554</v>
      </c>
      <c r="AN15" s="79">
        <f t="shared" si="1"/>
        <v>6232.4839999999976</v>
      </c>
      <c r="AO15" s="84">
        <f t="shared" si="2"/>
        <v>0.46166548148148129</v>
      </c>
      <c r="AP15" s="50"/>
      <c r="AQ15" s="50"/>
    </row>
    <row r="16" spans="1:45" ht="12.75" customHeight="1" x14ac:dyDescent="0.25">
      <c r="B16" s="64" t="s">
        <v>94</v>
      </c>
      <c r="C16" s="65" t="s">
        <v>86</v>
      </c>
      <c r="D16" s="66" t="s">
        <v>95</v>
      </c>
      <c r="E16" s="86">
        <v>5692.344000000001</v>
      </c>
      <c r="F16" s="87">
        <v>5828.9280000000008</v>
      </c>
      <c r="G16" s="87">
        <v>4233.3600000000006</v>
      </c>
      <c r="H16" s="87">
        <v>8198.16</v>
      </c>
      <c r="I16" s="86">
        <v>4085.28</v>
      </c>
      <c r="J16" s="87">
        <v>3355.08</v>
      </c>
      <c r="K16" s="87">
        <v>7166.376000000002</v>
      </c>
      <c r="L16" s="87">
        <v>6887.1839999999993</v>
      </c>
      <c r="M16" s="87">
        <v>6415.8959999999997</v>
      </c>
      <c r="N16" s="87">
        <v>5845.079999999999</v>
      </c>
      <c r="O16" s="87">
        <v>4608.9359999999997</v>
      </c>
      <c r="P16" s="87">
        <v>3759.3360000000007</v>
      </c>
      <c r="Q16" s="88">
        <v>5916.9120000000003</v>
      </c>
      <c r="R16" s="87">
        <v>6938.8079999999991</v>
      </c>
      <c r="S16" s="86">
        <v>5046.9600000000009</v>
      </c>
      <c r="T16" s="86">
        <v>5049.7439999999997</v>
      </c>
      <c r="U16" s="86">
        <v>925.99200000000008</v>
      </c>
      <c r="V16" s="86">
        <v>3892.9679999999998</v>
      </c>
      <c r="W16" s="86">
        <v>3725.4</v>
      </c>
      <c r="X16" s="86">
        <v>4718.16</v>
      </c>
      <c r="Y16" s="87">
        <v>9873.0000000000018</v>
      </c>
      <c r="Z16" s="86">
        <v>10079.423999999999</v>
      </c>
      <c r="AA16" s="86">
        <v>10118.040000000003</v>
      </c>
      <c r="AB16" s="86">
        <v>4099.5839999999998</v>
      </c>
      <c r="AC16" s="86">
        <v>8179.5360000000028</v>
      </c>
      <c r="AD16" s="89">
        <v>10296.552000000007</v>
      </c>
      <c r="AE16" s="88">
        <v>11849.928000000002</v>
      </c>
      <c r="AF16" s="88">
        <v>12199.247999999996</v>
      </c>
      <c r="AG16" s="88">
        <v>2327.8319999999985</v>
      </c>
      <c r="AH16" s="88">
        <v>11962.967999999999</v>
      </c>
      <c r="AI16" s="88">
        <v>11594.328</v>
      </c>
      <c r="AJ16" s="90">
        <v>12000</v>
      </c>
      <c r="AK16" s="87">
        <v>1617.72</v>
      </c>
      <c r="AL16" s="87">
        <v>5614.8480000000009</v>
      </c>
      <c r="AM16" s="91">
        <f>IFERROR(AL16/AJ16,0)</f>
        <v>0.4679040000000001</v>
      </c>
      <c r="AN16" s="87">
        <f>+AK16+AL16</f>
        <v>7232.5680000000011</v>
      </c>
      <c r="AO16" s="92">
        <f>IFERROR(+AN16/AJ16,0)</f>
        <v>0.60271400000000008</v>
      </c>
      <c r="AP16" s="50"/>
      <c r="AQ16" s="50"/>
    </row>
    <row r="17" spans="1:45" ht="12.75" customHeight="1" thickBot="1" x14ac:dyDescent="0.3">
      <c r="B17" s="75" t="s">
        <v>94</v>
      </c>
      <c r="C17" s="76" t="s">
        <v>86</v>
      </c>
      <c r="D17" s="77" t="s">
        <v>96</v>
      </c>
      <c r="E17" s="78">
        <v>16550.880000000005</v>
      </c>
      <c r="F17" s="79">
        <v>12888.528</v>
      </c>
      <c r="G17" s="79">
        <v>8553.6</v>
      </c>
      <c r="H17" s="79">
        <v>9115.247999999996</v>
      </c>
      <c r="I17" s="78">
        <v>8864.76</v>
      </c>
      <c r="J17" s="79">
        <v>13957.416000000001</v>
      </c>
      <c r="K17" s="79">
        <v>9142.6800000000021</v>
      </c>
      <c r="L17" s="79">
        <v>10555.439999999999</v>
      </c>
      <c r="M17" s="79">
        <v>13752.672</v>
      </c>
      <c r="N17" s="79">
        <v>19733.879999999997</v>
      </c>
      <c r="O17" s="79">
        <v>41352.768000000011</v>
      </c>
      <c r="P17" s="79">
        <v>36388.008000000002</v>
      </c>
      <c r="Q17" s="80">
        <v>57665.520000000011</v>
      </c>
      <c r="R17" s="79">
        <v>28457.040000000001</v>
      </c>
      <c r="S17" s="78">
        <v>41893.199999999997</v>
      </c>
      <c r="T17" s="78">
        <v>46555.056000000004</v>
      </c>
      <c r="U17" s="78">
        <v>29976.864000000012</v>
      </c>
      <c r="V17" s="78">
        <v>7646.8800000000019</v>
      </c>
      <c r="W17" s="78">
        <v>2477.5440000000003</v>
      </c>
      <c r="X17" s="78">
        <v>10212.239999999998</v>
      </c>
      <c r="Y17" s="79">
        <v>7230.3600000000006</v>
      </c>
      <c r="Z17" s="78">
        <v>10514.544000000002</v>
      </c>
      <c r="AA17" s="78">
        <v>5708.3520000000017</v>
      </c>
      <c r="AB17" s="78">
        <v>8078.5200000000013</v>
      </c>
      <c r="AC17" s="78">
        <v>10135.128000000001</v>
      </c>
      <c r="AD17" s="81">
        <v>8467.9439999999959</v>
      </c>
      <c r="AE17" s="93">
        <v>11678.760000000006</v>
      </c>
      <c r="AF17" s="93">
        <v>9653.3279999999922</v>
      </c>
      <c r="AG17" s="93">
        <v>8333.5679999999993</v>
      </c>
      <c r="AH17" s="93">
        <v>11628.24</v>
      </c>
      <c r="AI17" s="93">
        <v>11131.848000000002</v>
      </c>
      <c r="AJ17" s="94">
        <v>10000</v>
      </c>
      <c r="AK17" s="95">
        <v>2419.1999999999998</v>
      </c>
      <c r="AL17" s="95">
        <v>11544.864000000001</v>
      </c>
      <c r="AM17" s="96">
        <f>IFERROR(AL17/AJ17,0)</f>
        <v>1.1544864000000001</v>
      </c>
      <c r="AN17" s="95">
        <f>+AK17+AL17</f>
        <v>13964.064000000002</v>
      </c>
      <c r="AO17" s="97">
        <f>IFERROR(+AN17/AJ17,0)</f>
        <v>1.3964064000000003</v>
      </c>
      <c r="AP17" s="50"/>
      <c r="AQ17" s="50"/>
    </row>
    <row r="18" spans="1:45" s="109" customFormat="1" ht="12.75" customHeight="1" thickBot="1" x14ac:dyDescent="0.35">
      <c r="A18" s="45"/>
      <c r="B18" s="98"/>
      <c r="C18" s="99"/>
      <c r="D18" s="100" t="s">
        <v>97</v>
      </c>
      <c r="E18" s="101">
        <f t="shared" ref="E18:AD18" si="3">+SUM(E3:E17)</f>
        <v>487106.56800000003</v>
      </c>
      <c r="F18" s="102">
        <f t="shared" si="3"/>
        <v>437756.92800000007</v>
      </c>
      <c r="G18" s="102">
        <f t="shared" si="3"/>
        <v>597023.04</v>
      </c>
      <c r="H18" s="102">
        <f t="shared" si="3"/>
        <v>555818.40000000037</v>
      </c>
      <c r="I18" s="102">
        <f t="shared" si="3"/>
        <v>549467.7840000001</v>
      </c>
      <c r="J18" s="102">
        <f t="shared" si="3"/>
        <v>422038.68</v>
      </c>
      <c r="K18" s="102">
        <f t="shared" si="3"/>
        <v>382911.9599999999</v>
      </c>
      <c r="L18" s="102">
        <f t="shared" si="3"/>
        <v>386701.05599999992</v>
      </c>
      <c r="M18" s="102">
        <f t="shared" si="3"/>
        <v>353185.89600000007</v>
      </c>
      <c r="N18" s="102">
        <f t="shared" si="3"/>
        <v>414188.49600000004</v>
      </c>
      <c r="O18" s="102">
        <f t="shared" si="3"/>
        <v>392272.60800000001</v>
      </c>
      <c r="P18" s="102">
        <f t="shared" si="3"/>
        <v>431810.49600000004</v>
      </c>
      <c r="Q18" s="103">
        <f t="shared" si="3"/>
        <v>434935.22400000005</v>
      </c>
      <c r="R18" s="102">
        <f t="shared" si="3"/>
        <v>402881.18400000001</v>
      </c>
      <c r="S18" s="101">
        <f t="shared" si="3"/>
        <v>376232.16</v>
      </c>
      <c r="T18" s="101">
        <f t="shared" si="3"/>
        <v>369346.00799999997</v>
      </c>
      <c r="U18" s="101">
        <f t="shared" si="3"/>
        <v>334631.78400000016</v>
      </c>
      <c r="V18" s="101">
        <f t="shared" si="3"/>
        <v>370666.68000000005</v>
      </c>
      <c r="W18" s="101">
        <f t="shared" si="3"/>
        <v>328047.21600000001</v>
      </c>
      <c r="X18" s="101">
        <f t="shared" si="3"/>
        <v>324219.408</v>
      </c>
      <c r="Y18" s="102">
        <f t="shared" si="3"/>
        <v>261298.728</v>
      </c>
      <c r="Z18" s="101">
        <f t="shared" si="3"/>
        <v>336934.84799999994</v>
      </c>
      <c r="AA18" s="101">
        <f t="shared" si="3"/>
        <v>341170.77599999995</v>
      </c>
      <c r="AB18" s="101">
        <f t="shared" si="3"/>
        <v>334935.91199999989</v>
      </c>
      <c r="AC18" s="101">
        <f t="shared" si="3"/>
        <v>429649.41600000003</v>
      </c>
      <c r="AD18" s="104">
        <f t="shared" si="3"/>
        <v>427709.47200000007</v>
      </c>
      <c r="AE18" s="103">
        <v>331095.02400000003</v>
      </c>
      <c r="AF18" s="103">
        <v>354229.22400000005</v>
      </c>
      <c r="AG18" s="103">
        <v>365514.12000000011</v>
      </c>
      <c r="AH18" s="103">
        <v>324370.60799999995</v>
      </c>
      <c r="AI18" s="103">
        <v>348460.92</v>
      </c>
      <c r="AJ18" s="105">
        <v>340000</v>
      </c>
      <c r="AK18" s="102">
        <f t="shared" ref="AK18:AN18" si="4">+SUM(AK3:AK17)</f>
        <v>43955.06</v>
      </c>
      <c r="AL18" s="102">
        <f t="shared" si="4"/>
        <v>217783.68000000002</v>
      </c>
      <c r="AM18" s="106">
        <f t="shared" si="0"/>
        <v>0.64054023529411774</v>
      </c>
      <c r="AN18" s="102">
        <f t="shared" si="4"/>
        <v>261738.74000000005</v>
      </c>
      <c r="AO18" s="107">
        <f t="shared" si="2"/>
        <v>0.76981982352941192</v>
      </c>
      <c r="AP18" s="49"/>
      <c r="AQ18" s="49"/>
      <c r="AR18" s="108"/>
      <c r="AS18" s="47"/>
    </row>
    <row r="19" spans="1:45" ht="12.75" customHeight="1" x14ac:dyDescent="0.25">
      <c r="A19" s="45" t="s">
        <v>166</v>
      </c>
      <c r="B19" s="64" t="s">
        <v>98</v>
      </c>
      <c r="C19" s="65" t="s">
        <v>99</v>
      </c>
      <c r="D19" s="66" t="s">
        <v>100</v>
      </c>
      <c r="E19" s="67">
        <v>4397.6160000000018</v>
      </c>
      <c r="F19" s="68">
        <v>7733.0880000000006</v>
      </c>
      <c r="G19" s="68">
        <v>5304.8399999999983</v>
      </c>
      <c r="H19" s="68">
        <v>7235.0880000000016</v>
      </c>
      <c r="I19" s="68">
        <v>6588.2640000000029</v>
      </c>
      <c r="J19" s="68">
        <v>2104.1519999999991</v>
      </c>
      <c r="K19" s="68">
        <v>4970.0640000000021</v>
      </c>
      <c r="L19" s="68">
        <v>1012.9200000000002</v>
      </c>
      <c r="M19" s="68">
        <v>6163.5599999999977</v>
      </c>
      <c r="N19" s="68">
        <v>1705.4159999999993</v>
      </c>
      <c r="O19" s="68">
        <v>14457.552000000007</v>
      </c>
      <c r="P19" s="68">
        <v>10431</v>
      </c>
      <c r="Q19" s="69">
        <v>30727.328000000009</v>
      </c>
      <c r="R19" s="68">
        <v>29968.664000000004</v>
      </c>
      <c r="S19" s="67">
        <v>4628.7680000000009</v>
      </c>
      <c r="T19" s="67">
        <v>23503.735999999997</v>
      </c>
      <c r="U19" s="67">
        <v>12294.896000000015</v>
      </c>
      <c r="V19" s="67">
        <v>23040.984000000004</v>
      </c>
      <c r="W19" s="67">
        <v>1591.3439999999989</v>
      </c>
      <c r="X19" s="67">
        <v>7526.2480000000032</v>
      </c>
      <c r="Y19" s="68">
        <v>2014.8399999999983</v>
      </c>
      <c r="Z19" s="67">
        <v>22727.880000000005</v>
      </c>
      <c r="AA19" s="67">
        <v>27688.016000000036</v>
      </c>
      <c r="AB19" s="67">
        <v>20709.8</v>
      </c>
      <c r="AC19" s="67">
        <v>26108.784000000003</v>
      </c>
      <c r="AD19" s="70">
        <v>-19335.671999999999</v>
      </c>
      <c r="AE19" s="69">
        <v>23156.903999999999</v>
      </c>
      <c r="AF19" s="69">
        <v>14418.840000000002</v>
      </c>
      <c r="AG19" s="69">
        <v>5004.7680000000009</v>
      </c>
      <c r="AH19" s="69">
        <v>13954.728000000005</v>
      </c>
      <c r="AI19" s="69">
        <v>2539.0319999999988</v>
      </c>
      <c r="AJ19" s="110">
        <v>14000</v>
      </c>
      <c r="AK19" s="68">
        <v>48.499999999999993</v>
      </c>
      <c r="AL19" s="68">
        <v>2080.9679999999994</v>
      </c>
      <c r="AM19" s="111">
        <f>IFERROR(AL19/AJ19,0)</f>
        <v>0.14864057142857137</v>
      </c>
      <c r="AN19" s="68">
        <f>+AK19+AL19</f>
        <v>2129.4679999999994</v>
      </c>
      <c r="AO19" s="112">
        <f>IFERROR(+AN19/AJ19,0)</f>
        <v>0.1521048571428571</v>
      </c>
      <c r="AP19" s="50"/>
      <c r="AQ19" s="50"/>
    </row>
    <row r="20" spans="1:45" ht="12.75" customHeight="1" x14ac:dyDescent="0.25">
      <c r="A20" s="45" t="s">
        <v>166</v>
      </c>
      <c r="B20" s="75" t="s">
        <v>98</v>
      </c>
      <c r="C20" s="113" t="s">
        <v>99</v>
      </c>
      <c r="D20" s="77" t="s">
        <v>101</v>
      </c>
      <c r="E20" s="78">
        <v>41083.752</v>
      </c>
      <c r="F20" s="79">
        <v>20634.191999999992</v>
      </c>
      <c r="G20" s="79">
        <v>28239.047999999988</v>
      </c>
      <c r="H20" s="79">
        <v>55186.632000000005</v>
      </c>
      <c r="I20" s="79">
        <v>57596.063999999969</v>
      </c>
      <c r="J20" s="79">
        <v>74147.856000000014</v>
      </c>
      <c r="K20" s="79">
        <v>41058.768000000011</v>
      </c>
      <c r="L20" s="79">
        <v>58901.328000000023</v>
      </c>
      <c r="M20" s="79">
        <v>27511.343999999994</v>
      </c>
      <c r="N20" s="79">
        <v>61118.399999999987</v>
      </c>
      <c r="O20" s="79">
        <v>56336.543999999994</v>
      </c>
      <c r="P20" s="79">
        <v>51229.151999999995</v>
      </c>
      <c r="Q20" s="80">
        <v>36048.528000000013</v>
      </c>
      <c r="R20" s="79">
        <v>15465.528000000002</v>
      </c>
      <c r="S20" s="78">
        <v>33824.088000000003</v>
      </c>
      <c r="T20" s="78">
        <v>50548.296000000017</v>
      </c>
      <c r="U20" s="78">
        <v>28566.43199999999</v>
      </c>
      <c r="V20" s="78">
        <v>39466.968000000001</v>
      </c>
      <c r="W20" s="78">
        <v>45337.103999999999</v>
      </c>
      <c r="X20" s="78">
        <v>24611.400000000005</v>
      </c>
      <c r="Y20" s="79">
        <v>30666.407999999996</v>
      </c>
      <c r="Z20" s="78">
        <v>45691.200000000033</v>
      </c>
      <c r="AA20" s="78">
        <v>37685.495999999985</v>
      </c>
      <c r="AB20" s="78">
        <v>42416.088000000011</v>
      </c>
      <c r="AC20" s="78">
        <v>25552.439999999995</v>
      </c>
      <c r="AD20" s="81">
        <v>25512.191999999985</v>
      </c>
      <c r="AE20" s="80">
        <v>43505.616000000002</v>
      </c>
      <c r="AF20" s="80">
        <v>41502.384000000005</v>
      </c>
      <c r="AG20" s="80">
        <v>40203.19200000001</v>
      </c>
      <c r="AH20" s="80">
        <v>32985.599999999991</v>
      </c>
      <c r="AI20" s="80">
        <v>60615.335999999967</v>
      </c>
      <c r="AJ20" s="114">
        <v>43000</v>
      </c>
      <c r="AK20" s="79">
        <v>7319.7400000000007</v>
      </c>
      <c r="AL20" s="79">
        <v>36555.071999999986</v>
      </c>
      <c r="AM20" s="83">
        <f>IFERROR(AL20/AJ20,0)</f>
        <v>0.85011795348837171</v>
      </c>
      <c r="AN20" s="79">
        <f>+AK20+AL20</f>
        <v>43874.811999999984</v>
      </c>
      <c r="AO20" s="84">
        <f>IFERROR(+AN20/AJ20,0)</f>
        <v>1.0203444651162787</v>
      </c>
      <c r="AP20" s="50"/>
      <c r="AQ20" s="50"/>
    </row>
    <row r="21" spans="1:45" ht="12.75" customHeight="1" thickBot="1" x14ac:dyDescent="0.3">
      <c r="A21" s="45" t="s">
        <v>166</v>
      </c>
      <c r="B21" s="64" t="s">
        <v>98</v>
      </c>
      <c r="C21" s="65" t="s">
        <v>99</v>
      </c>
      <c r="D21" s="66" t="s">
        <v>102</v>
      </c>
      <c r="E21" s="86">
        <v>14767.080000000004</v>
      </c>
      <c r="F21" s="87">
        <v>38347.487999999998</v>
      </c>
      <c r="G21" s="87">
        <v>11655.888000000001</v>
      </c>
      <c r="H21" s="87">
        <v>31498.440000000002</v>
      </c>
      <c r="I21" s="87">
        <v>42333.551999999996</v>
      </c>
      <c r="J21" s="87">
        <v>72375.503999999986</v>
      </c>
      <c r="K21" s="87">
        <v>31568.160000000007</v>
      </c>
      <c r="L21" s="87">
        <v>10372.32</v>
      </c>
      <c r="M21" s="87">
        <v>25690.943999999996</v>
      </c>
      <c r="N21" s="87">
        <v>66011.83199999998</v>
      </c>
      <c r="O21" s="87">
        <v>68463.024000000005</v>
      </c>
      <c r="P21" s="87">
        <v>29214.743999999995</v>
      </c>
      <c r="Q21" s="88">
        <v>41746.152000000002</v>
      </c>
      <c r="R21" s="87">
        <v>58927.464000000007</v>
      </c>
      <c r="S21" s="86">
        <v>49810.19999999999</v>
      </c>
      <c r="T21" s="86">
        <v>46271.16</v>
      </c>
      <c r="U21" s="86">
        <v>36680.088000000003</v>
      </c>
      <c r="V21" s="86">
        <v>55158.719999999979</v>
      </c>
      <c r="W21" s="86">
        <v>69846.60000000002</v>
      </c>
      <c r="X21" s="86">
        <v>54946.799999999981</v>
      </c>
      <c r="Y21" s="87">
        <v>57291.624000000003</v>
      </c>
      <c r="Z21" s="86">
        <v>57577.799999999974</v>
      </c>
      <c r="AA21" s="86">
        <v>65394.119999999988</v>
      </c>
      <c r="AB21" s="86">
        <v>43345.752000000008</v>
      </c>
      <c r="AC21" s="86">
        <v>36038.591999999997</v>
      </c>
      <c r="AD21" s="89">
        <v>27638.135999999995</v>
      </c>
      <c r="AE21" s="88">
        <v>57486.072000000007</v>
      </c>
      <c r="AF21" s="88">
        <v>19503</v>
      </c>
      <c r="AG21" s="88">
        <v>72438.48</v>
      </c>
      <c r="AH21" s="88">
        <v>37938.936000000009</v>
      </c>
      <c r="AI21" s="88">
        <v>70138.775999999998</v>
      </c>
      <c r="AJ21" s="115">
        <v>43000</v>
      </c>
      <c r="AK21" s="87">
        <v>5092.7999999999993</v>
      </c>
      <c r="AL21" s="87">
        <v>31719.696</v>
      </c>
      <c r="AM21" s="91">
        <f>IFERROR(AL21/AJ21,0)</f>
        <v>0.7376673488372093</v>
      </c>
      <c r="AN21" s="87">
        <f>+AK21+AL21</f>
        <v>36812.495999999999</v>
      </c>
      <c r="AO21" s="92">
        <f>IFERROR(+AN21/AJ21,0)</f>
        <v>0.8561045581395349</v>
      </c>
      <c r="AP21" s="50"/>
      <c r="AQ21" s="50"/>
    </row>
    <row r="22" spans="1:45" s="109" customFormat="1" ht="12.75" customHeight="1" thickBot="1" x14ac:dyDescent="0.35">
      <c r="A22" s="45"/>
      <c r="B22" s="98"/>
      <c r="C22" s="99"/>
      <c r="D22" s="100" t="s">
        <v>103</v>
      </c>
      <c r="E22" s="101">
        <f t="shared" ref="E22:X22" si="5">+SUM(E19:E21)</f>
        <v>60248.448000000004</v>
      </c>
      <c r="F22" s="102">
        <f t="shared" si="5"/>
        <v>66714.767999999982</v>
      </c>
      <c r="G22" s="102">
        <f t="shared" si="5"/>
        <v>45199.775999999983</v>
      </c>
      <c r="H22" s="102">
        <f t="shared" si="5"/>
        <v>93920.16</v>
      </c>
      <c r="I22" s="102">
        <f t="shared" si="5"/>
        <v>106517.87999999998</v>
      </c>
      <c r="J22" s="102">
        <f t="shared" si="5"/>
        <v>148627.51199999999</v>
      </c>
      <c r="K22" s="102">
        <f t="shared" si="5"/>
        <v>77596.992000000013</v>
      </c>
      <c r="L22" s="102">
        <f t="shared" si="5"/>
        <v>70286.568000000028</v>
      </c>
      <c r="M22" s="102">
        <f t="shared" si="5"/>
        <v>59365.847999999991</v>
      </c>
      <c r="N22" s="102">
        <f t="shared" si="5"/>
        <v>128835.64799999996</v>
      </c>
      <c r="O22" s="102">
        <f t="shared" si="5"/>
        <v>139257.12</v>
      </c>
      <c r="P22" s="102">
        <f t="shared" si="5"/>
        <v>90874.895999999993</v>
      </c>
      <c r="Q22" s="103">
        <f t="shared" si="5"/>
        <v>108522.00800000003</v>
      </c>
      <c r="R22" s="102">
        <f t="shared" si="5"/>
        <v>104361.65600000002</v>
      </c>
      <c r="S22" s="101">
        <v>88263.055999999997</v>
      </c>
      <c r="T22" s="101">
        <f t="shared" si="5"/>
        <v>120323.19200000001</v>
      </c>
      <c r="U22" s="101">
        <f t="shared" si="5"/>
        <v>77541.416000000012</v>
      </c>
      <c r="V22" s="101">
        <f t="shared" si="5"/>
        <v>117666.67199999999</v>
      </c>
      <c r="W22" s="101">
        <f t="shared" si="5"/>
        <v>116775.04800000001</v>
      </c>
      <c r="X22" s="101">
        <f t="shared" si="5"/>
        <v>87084.447999999989</v>
      </c>
      <c r="Y22" s="102">
        <v>89972.872000000003</v>
      </c>
      <c r="Z22" s="101">
        <v>125996.88000000002</v>
      </c>
      <c r="AA22" s="101">
        <v>130767.63200000001</v>
      </c>
      <c r="AB22" s="101">
        <v>106471.64000000001</v>
      </c>
      <c r="AC22" s="101">
        <v>87699.815999999992</v>
      </c>
      <c r="AD22" s="104">
        <v>33814.655999999981</v>
      </c>
      <c r="AE22" s="103">
        <v>124148.592</v>
      </c>
      <c r="AF22" s="103">
        <v>75424.224000000017</v>
      </c>
      <c r="AG22" s="103">
        <v>117646.44</v>
      </c>
      <c r="AH22" s="103">
        <v>84879.263999999996</v>
      </c>
      <c r="AI22" s="103">
        <v>133293.14399999997</v>
      </c>
      <c r="AJ22" s="105">
        <v>100000</v>
      </c>
      <c r="AK22" s="102">
        <f t="shared" ref="AK22:AN22" si="6">+SUM(AK19:AK21)</f>
        <v>12461.04</v>
      </c>
      <c r="AL22" s="102">
        <f t="shared" si="6"/>
        <v>70355.73599999999</v>
      </c>
      <c r="AM22" s="106">
        <f t="shared" ref="AM22:AM28" si="7">IFERROR(AL22/AJ22,0)</f>
        <v>0.70355735999999991</v>
      </c>
      <c r="AN22" s="102">
        <f t="shared" si="6"/>
        <v>82816.775999999983</v>
      </c>
      <c r="AO22" s="107">
        <f t="shared" ref="AO22:AO28" si="8">IFERROR(+AN22/AJ22,0)</f>
        <v>0.82816775999999981</v>
      </c>
      <c r="AP22" s="49"/>
      <c r="AQ22" s="49"/>
      <c r="AR22" s="108"/>
      <c r="AS22" s="47"/>
    </row>
    <row r="23" spans="1:45" ht="12.75" customHeight="1" x14ac:dyDescent="0.25">
      <c r="B23" s="64" t="s">
        <v>104</v>
      </c>
      <c r="C23" s="65" t="s">
        <v>105</v>
      </c>
      <c r="D23" s="66" t="s">
        <v>106</v>
      </c>
      <c r="E23" s="86">
        <v>16219.512000000006</v>
      </c>
      <c r="F23" s="87">
        <v>14105.519999999995</v>
      </c>
      <c r="G23" s="87">
        <v>15879.935999999994</v>
      </c>
      <c r="H23" s="87">
        <v>22817.231999999989</v>
      </c>
      <c r="I23" s="86">
        <v>20304.527999999998</v>
      </c>
      <c r="J23" s="87">
        <v>28615.824000000004</v>
      </c>
      <c r="K23" s="87">
        <v>12076.800000000003</v>
      </c>
      <c r="L23" s="87">
        <v>14334.960000000001</v>
      </c>
      <c r="M23" s="87">
        <v>13860.240000000002</v>
      </c>
      <c r="N23" s="87">
        <v>17407.248</v>
      </c>
      <c r="O23" s="87">
        <v>46025.616000000009</v>
      </c>
      <c r="P23" s="87">
        <v>19253.64</v>
      </c>
      <c r="Q23" s="88">
        <v>16558.272000000001</v>
      </c>
      <c r="R23" s="87">
        <v>18399.143999999997</v>
      </c>
      <c r="S23" s="86">
        <v>19637.135999999995</v>
      </c>
      <c r="T23" s="86">
        <v>7107.4559999999974</v>
      </c>
      <c r="U23" s="86">
        <v>19524.768000000007</v>
      </c>
      <c r="V23" s="86">
        <v>18612.815999999999</v>
      </c>
      <c r="W23" s="86">
        <v>17863.535999999993</v>
      </c>
      <c r="X23" s="86">
        <v>25654.752</v>
      </c>
      <c r="Y23" s="87">
        <v>15018.048000000006</v>
      </c>
      <c r="Z23" s="86">
        <v>19221.335999999999</v>
      </c>
      <c r="AA23" s="86">
        <v>29728.487999999998</v>
      </c>
      <c r="AB23" s="86">
        <v>33720.311999999998</v>
      </c>
      <c r="AC23" s="86">
        <v>14296.008000000016</v>
      </c>
      <c r="AD23" s="89">
        <v>36444.215999999993</v>
      </c>
      <c r="AE23" s="88">
        <v>15982.967999999993</v>
      </c>
      <c r="AF23" s="88">
        <v>26872.727999999988</v>
      </c>
      <c r="AG23" s="88">
        <v>20182.151999999991</v>
      </c>
      <c r="AH23" s="88">
        <v>29337.983999999997</v>
      </c>
      <c r="AI23" s="88">
        <v>22112.832000000002</v>
      </c>
      <c r="AJ23" s="115">
        <v>25100</v>
      </c>
      <c r="AK23" s="87">
        <v>7203.89</v>
      </c>
      <c r="AL23" s="87">
        <v>19403.208000000013</v>
      </c>
      <c r="AM23" s="91">
        <f>IFERROR(AL23/AJ23,0)</f>
        <v>0.77303617529880531</v>
      </c>
      <c r="AN23" s="87">
        <f t="shared" ref="AN23" si="9">+AK23+AL23</f>
        <v>26607.098000000013</v>
      </c>
      <c r="AO23" s="92">
        <f>IFERROR(+AN23/AJ23,0)</f>
        <v>1.0600437450199207</v>
      </c>
      <c r="AP23" s="50"/>
      <c r="AQ23" s="50"/>
    </row>
    <row r="24" spans="1:45" ht="12.75" customHeight="1" x14ac:dyDescent="0.25">
      <c r="B24" s="75" t="s">
        <v>107</v>
      </c>
      <c r="C24" s="76" t="s">
        <v>105</v>
      </c>
      <c r="D24" s="77" t="s">
        <v>108</v>
      </c>
      <c r="E24" s="78">
        <v>33293.040000000008</v>
      </c>
      <c r="F24" s="79">
        <v>30226.080000000005</v>
      </c>
      <c r="G24" s="79">
        <v>35007.936000000002</v>
      </c>
      <c r="H24" s="79">
        <v>39306</v>
      </c>
      <c r="I24" s="78">
        <v>42535.488000000005</v>
      </c>
      <c r="J24" s="79">
        <v>34454.016000000003</v>
      </c>
      <c r="K24" s="79">
        <v>43364.880000000012</v>
      </c>
      <c r="L24" s="79">
        <v>41086.199999999997</v>
      </c>
      <c r="M24" s="79">
        <v>39548.160000000003</v>
      </c>
      <c r="N24" s="79">
        <v>62059.967999999993</v>
      </c>
      <c r="O24" s="79">
        <v>30652.319999999996</v>
      </c>
      <c r="P24" s="79">
        <v>45852.479999999996</v>
      </c>
      <c r="Q24" s="80">
        <v>20670.288</v>
      </c>
      <c r="R24" s="79">
        <v>43096.032000000007</v>
      </c>
      <c r="S24" s="78">
        <v>36350.159999999996</v>
      </c>
      <c r="T24" s="78">
        <v>34274.639999999999</v>
      </c>
      <c r="U24" s="78">
        <v>20377.439999999999</v>
      </c>
      <c r="V24" s="78">
        <v>33024.480000000003</v>
      </c>
      <c r="W24" s="78">
        <v>37519.968000000001</v>
      </c>
      <c r="X24" s="78">
        <v>40722.840000000004</v>
      </c>
      <c r="Y24" s="79">
        <v>38003.904000000002</v>
      </c>
      <c r="Z24" s="78">
        <v>33151.344000000012</v>
      </c>
      <c r="AA24" s="78">
        <v>57534.096000000012</v>
      </c>
      <c r="AB24" s="78">
        <v>48036.912000000004</v>
      </c>
      <c r="AC24" s="78">
        <v>48850.320000000022</v>
      </c>
      <c r="AD24" s="81">
        <v>44555.688000000016</v>
      </c>
      <c r="AE24" s="80">
        <v>45173.328000000001</v>
      </c>
      <c r="AF24" s="80">
        <v>34369.439999999995</v>
      </c>
      <c r="AG24" s="80">
        <v>47212.752</v>
      </c>
      <c r="AH24" s="80">
        <v>53355.768000000004</v>
      </c>
      <c r="AI24" s="80">
        <v>56694.095999999998</v>
      </c>
      <c r="AJ24" s="114">
        <v>45100</v>
      </c>
      <c r="AK24" s="79">
        <v>41418.960000000006</v>
      </c>
      <c r="AL24" s="79">
        <v>12689.759999999997</v>
      </c>
      <c r="AM24" s="83">
        <f t="shared" si="7"/>
        <v>0.28136940133037686</v>
      </c>
      <c r="AN24" s="79">
        <f>+AK24+AL24</f>
        <v>54108.72</v>
      </c>
      <c r="AO24" s="84">
        <f t="shared" si="8"/>
        <v>1.1997498891352549</v>
      </c>
      <c r="AP24" s="50"/>
      <c r="AQ24" s="50"/>
    </row>
    <row r="25" spans="1:45" ht="12.75" customHeight="1" x14ac:dyDescent="0.25">
      <c r="B25" s="64" t="s">
        <v>109</v>
      </c>
      <c r="C25" s="65" t="s">
        <v>105</v>
      </c>
      <c r="D25" s="66" t="s">
        <v>110</v>
      </c>
      <c r="E25" s="86">
        <v>18564.143999999997</v>
      </c>
      <c r="F25" s="87">
        <v>16516.416000000001</v>
      </c>
      <c r="G25" s="87">
        <v>16643.760000000006</v>
      </c>
      <c r="H25" s="87">
        <v>21629.280000000006</v>
      </c>
      <c r="I25" s="86">
        <v>25209.239999999998</v>
      </c>
      <c r="J25" s="87">
        <v>22904.304</v>
      </c>
      <c r="K25" s="87">
        <v>18891.504000000004</v>
      </c>
      <c r="L25" s="87">
        <v>21171.623999999996</v>
      </c>
      <c r="M25" s="87">
        <v>21256.128000000015</v>
      </c>
      <c r="N25" s="87">
        <v>31989</v>
      </c>
      <c r="O25" s="87">
        <v>29537.304000000007</v>
      </c>
      <c r="P25" s="87">
        <v>23708.159999999996</v>
      </c>
      <c r="Q25" s="88">
        <v>18380.400000000001</v>
      </c>
      <c r="R25" s="87">
        <v>24587.879999999994</v>
      </c>
      <c r="S25" s="86">
        <v>22723.680000000004</v>
      </c>
      <c r="T25" s="86">
        <v>16182.696000000002</v>
      </c>
      <c r="U25" s="86">
        <v>20652.671999999999</v>
      </c>
      <c r="V25" s="86">
        <v>25174.415999999997</v>
      </c>
      <c r="W25" s="86">
        <v>24207</v>
      </c>
      <c r="X25" s="86">
        <v>25226.760000000013</v>
      </c>
      <c r="Y25" s="87">
        <v>11341.560000000003</v>
      </c>
      <c r="Z25" s="86">
        <v>35298.479999999989</v>
      </c>
      <c r="AA25" s="86">
        <v>29638.560000000001</v>
      </c>
      <c r="AB25" s="86">
        <v>29938.560000000009</v>
      </c>
      <c r="AC25" s="86">
        <v>37499.928</v>
      </c>
      <c r="AD25" s="89">
        <v>38198.95199999999</v>
      </c>
      <c r="AE25" s="88">
        <v>11354.04</v>
      </c>
      <c r="AF25" s="88">
        <v>36716.280000000006</v>
      </c>
      <c r="AG25" s="88">
        <v>35803.128000000004</v>
      </c>
      <c r="AH25" s="88">
        <v>13033.200000000004</v>
      </c>
      <c r="AI25" s="88">
        <v>51400.607999999986</v>
      </c>
      <c r="AJ25" s="115">
        <v>29100</v>
      </c>
      <c r="AK25" s="87">
        <v>0</v>
      </c>
      <c r="AL25" s="87">
        <v>8921.0879999999979</v>
      </c>
      <c r="AM25" s="91">
        <f t="shared" si="7"/>
        <v>0.30656659793814428</v>
      </c>
      <c r="AN25" s="87">
        <f>+AK25+AL25</f>
        <v>8921.0879999999979</v>
      </c>
      <c r="AO25" s="92">
        <f t="shared" si="8"/>
        <v>0.30656659793814428</v>
      </c>
      <c r="AP25" s="50"/>
      <c r="AQ25" s="50"/>
    </row>
    <row r="26" spans="1:45" ht="12.75" customHeight="1" x14ac:dyDescent="0.25">
      <c r="B26" s="75" t="s">
        <v>109</v>
      </c>
      <c r="C26" s="76" t="s">
        <v>105</v>
      </c>
      <c r="D26" s="77" t="s">
        <v>111</v>
      </c>
      <c r="E26" s="78">
        <v>21033.383999999998</v>
      </c>
      <c r="F26" s="79">
        <v>21661.680000000004</v>
      </c>
      <c r="G26" s="79">
        <v>20735.928</v>
      </c>
      <c r="H26" s="79">
        <v>21583.128000000004</v>
      </c>
      <c r="I26" s="78">
        <v>23634.648000000005</v>
      </c>
      <c r="J26" s="79">
        <v>18972.672000000002</v>
      </c>
      <c r="K26" s="79">
        <v>48630.40800000001</v>
      </c>
      <c r="L26" s="79">
        <v>35693.808000000005</v>
      </c>
      <c r="M26" s="79">
        <v>31570.584000000003</v>
      </c>
      <c r="N26" s="79">
        <v>32871.216000000008</v>
      </c>
      <c r="O26" s="79">
        <v>15910.440000000002</v>
      </c>
      <c r="P26" s="79">
        <v>19813.487999999998</v>
      </c>
      <c r="Q26" s="80">
        <v>1694.3520000000001</v>
      </c>
      <c r="R26" s="79">
        <v>35382.768000000004</v>
      </c>
      <c r="S26" s="78">
        <v>33237.840000000004</v>
      </c>
      <c r="T26" s="78">
        <v>19785.960000000003</v>
      </c>
      <c r="U26" s="78">
        <v>5173.4400000000005</v>
      </c>
      <c r="V26" s="78">
        <v>21564.552</v>
      </c>
      <c r="W26" s="78">
        <v>18905.52</v>
      </c>
      <c r="X26" s="78">
        <v>20451.599999999999</v>
      </c>
      <c r="Y26" s="79">
        <v>33347.520000000004</v>
      </c>
      <c r="Z26" s="78">
        <v>3308.4000000000005</v>
      </c>
      <c r="AA26" s="78">
        <v>40146.720000000001</v>
      </c>
      <c r="AB26" s="78">
        <v>28703.88</v>
      </c>
      <c r="AC26" s="78">
        <v>24443.64</v>
      </c>
      <c r="AD26" s="81">
        <v>13183.416000000001</v>
      </c>
      <c r="AE26" s="80">
        <v>16537.560000000001</v>
      </c>
      <c r="AF26" s="80">
        <v>31187.544000000002</v>
      </c>
      <c r="AG26" s="80">
        <v>32078.160000000003</v>
      </c>
      <c r="AH26" s="80">
        <v>20502.288000000004</v>
      </c>
      <c r="AI26" s="80">
        <v>31023.984</v>
      </c>
      <c r="AJ26" s="114">
        <v>27600</v>
      </c>
      <c r="AK26" s="79">
        <v>27216</v>
      </c>
      <c r="AL26" s="79">
        <v>488.25599999999997</v>
      </c>
      <c r="AM26" s="83">
        <f t="shared" si="7"/>
        <v>1.7690434782608695E-2</v>
      </c>
      <c r="AN26" s="79">
        <f>+AK26+AL26</f>
        <v>27704.256000000001</v>
      </c>
      <c r="AO26" s="84">
        <f t="shared" si="8"/>
        <v>1.003777391304348</v>
      </c>
      <c r="AP26" s="50"/>
      <c r="AQ26" s="50"/>
    </row>
    <row r="27" spans="1:45" ht="12.75" customHeight="1" thickBot="1" x14ac:dyDescent="0.3">
      <c r="B27" s="64" t="s">
        <v>112</v>
      </c>
      <c r="C27" s="65" t="s">
        <v>105</v>
      </c>
      <c r="D27" s="66" t="s">
        <v>113</v>
      </c>
      <c r="E27" s="86">
        <v>1591.92</v>
      </c>
      <c r="F27" s="87">
        <v>1582.2719999999999</v>
      </c>
      <c r="G27" s="87">
        <v>1512</v>
      </c>
      <c r="H27" s="87">
        <v>2987.328</v>
      </c>
      <c r="I27" s="86">
        <v>388.8</v>
      </c>
      <c r="J27" s="87">
        <v>2830.6559999999999</v>
      </c>
      <c r="K27" s="87">
        <v>3633.0720000000006</v>
      </c>
      <c r="L27" s="87">
        <v>14774.4</v>
      </c>
      <c r="M27" s="87">
        <v>5486.4</v>
      </c>
      <c r="N27" s="87">
        <v>4467.3600000000006</v>
      </c>
      <c r="O27" s="87">
        <v>10476.768</v>
      </c>
      <c r="P27" s="87">
        <v>3799.68</v>
      </c>
      <c r="Q27" s="88">
        <v>5371.7759999999998</v>
      </c>
      <c r="R27" s="87">
        <v>3482.4960000000001</v>
      </c>
      <c r="S27" s="86">
        <v>4820.4000000000005</v>
      </c>
      <c r="T27" s="86">
        <v>864</v>
      </c>
      <c r="U27" s="86">
        <v>3773.5200000000004</v>
      </c>
      <c r="V27" s="86">
        <v>818.6400000000001</v>
      </c>
      <c r="W27" s="86">
        <v>8659.8000000000011</v>
      </c>
      <c r="X27" s="86">
        <v>3280.8</v>
      </c>
      <c r="Y27" s="87">
        <v>3196.7999999999997</v>
      </c>
      <c r="Z27" s="86">
        <v>2275.2719999999999</v>
      </c>
      <c r="AA27" s="86">
        <v>2942.3039999999996</v>
      </c>
      <c r="AB27" s="86">
        <v>5178.2400000000007</v>
      </c>
      <c r="AC27" s="86">
        <v>4574.1599999999989</v>
      </c>
      <c r="AD27" s="89">
        <v>4108.5839999999998</v>
      </c>
      <c r="AE27" s="88">
        <v>3611.8319999999994</v>
      </c>
      <c r="AF27" s="88">
        <v>10028.280000000001</v>
      </c>
      <c r="AG27" s="88">
        <v>8742.9600000000009</v>
      </c>
      <c r="AH27" s="88">
        <v>9245.6160000000018</v>
      </c>
      <c r="AI27" s="88">
        <v>6934.7999999999984</v>
      </c>
      <c r="AJ27" s="115">
        <v>8100</v>
      </c>
      <c r="AK27" s="87">
        <v>0</v>
      </c>
      <c r="AL27" s="87">
        <v>3927.2400000000002</v>
      </c>
      <c r="AM27" s="91">
        <f t="shared" si="7"/>
        <v>0.48484444444444447</v>
      </c>
      <c r="AN27" s="87">
        <f t="shared" ref="AN27" si="10">+AK27+AL27</f>
        <v>3927.2400000000002</v>
      </c>
      <c r="AO27" s="92">
        <f t="shared" si="8"/>
        <v>0.48484444444444447</v>
      </c>
      <c r="AP27" s="50"/>
      <c r="AQ27" s="50"/>
    </row>
    <row r="28" spans="1:45" s="109" customFormat="1" ht="12.75" customHeight="1" thickBot="1" x14ac:dyDescent="0.35">
      <c r="A28" s="45"/>
      <c r="B28" s="98"/>
      <c r="C28" s="99"/>
      <c r="D28" s="100" t="s">
        <v>114</v>
      </c>
      <c r="E28" s="101">
        <f t="shared" ref="E28:AD28" si="11">+SUM(E23:E27)</f>
        <v>90702.000000000015</v>
      </c>
      <c r="F28" s="102">
        <f t="shared" si="11"/>
        <v>84091.968000000008</v>
      </c>
      <c r="G28" s="102">
        <f t="shared" si="11"/>
        <v>89779.56</v>
      </c>
      <c r="H28" s="102">
        <f t="shared" si="11"/>
        <v>108322.96799999998</v>
      </c>
      <c r="I28" s="102">
        <f t="shared" si="11"/>
        <v>112072.704</v>
      </c>
      <c r="J28" s="102">
        <f t="shared" si="11"/>
        <v>107777.47200000002</v>
      </c>
      <c r="K28" s="102">
        <f t="shared" si="11"/>
        <v>126596.66400000003</v>
      </c>
      <c r="L28" s="102">
        <f t="shared" si="11"/>
        <v>127060.99199999998</v>
      </c>
      <c r="M28" s="102">
        <f t="shared" si="11"/>
        <v>111721.51200000002</v>
      </c>
      <c r="N28" s="102">
        <f t="shared" si="11"/>
        <v>148794.79200000002</v>
      </c>
      <c r="O28" s="102">
        <f t="shared" si="11"/>
        <v>132602.448</v>
      </c>
      <c r="P28" s="102">
        <f t="shared" si="11"/>
        <v>112427.44799999999</v>
      </c>
      <c r="Q28" s="103">
        <f t="shared" si="11"/>
        <v>62675.087999999996</v>
      </c>
      <c r="R28" s="102">
        <f t="shared" si="11"/>
        <v>124948.31999999999</v>
      </c>
      <c r="S28" s="101">
        <f t="shared" si="11"/>
        <v>116769.21599999999</v>
      </c>
      <c r="T28" s="101">
        <f t="shared" si="11"/>
        <v>78214.752000000008</v>
      </c>
      <c r="U28" s="101">
        <f t="shared" si="11"/>
        <v>69501.840000000011</v>
      </c>
      <c r="V28" s="101">
        <f t="shared" si="11"/>
        <v>99194.903999999995</v>
      </c>
      <c r="W28" s="101">
        <f t="shared" si="11"/>
        <v>107155.82399999999</v>
      </c>
      <c r="X28" s="101">
        <f t="shared" si="11"/>
        <v>115336.75200000002</v>
      </c>
      <c r="Y28" s="102">
        <f t="shared" si="11"/>
        <v>100907.83200000001</v>
      </c>
      <c r="Z28" s="101">
        <f t="shared" si="11"/>
        <v>93254.831999999995</v>
      </c>
      <c r="AA28" s="101">
        <f t="shared" si="11"/>
        <v>159990.16800000001</v>
      </c>
      <c r="AB28" s="101">
        <f t="shared" si="11"/>
        <v>145577.90400000001</v>
      </c>
      <c r="AC28" s="101">
        <f t="shared" si="11"/>
        <v>129664.05600000004</v>
      </c>
      <c r="AD28" s="104">
        <f t="shared" si="11"/>
        <v>136490.856</v>
      </c>
      <c r="AE28" s="103">
        <v>92659.727999999988</v>
      </c>
      <c r="AF28" s="103">
        <v>139174.272</v>
      </c>
      <c r="AG28" s="103">
        <v>144019.152</v>
      </c>
      <c r="AH28" s="103">
        <v>125474.85600000003</v>
      </c>
      <c r="AI28" s="103">
        <v>168166.31999999998</v>
      </c>
      <c r="AJ28" s="105">
        <v>135000</v>
      </c>
      <c r="AK28" s="102">
        <f>+SUM(AK23:AK27)</f>
        <v>75838.850000000006</v>
      </c>
      <c r="AL28" s="102">
        <f>+SUM(AL23:AL27)</f>
        <v>45429.552000000003</v>
      </c>
      <c r="AM28" s="106">
        <f t="shared" si="7"/>
        <v>0.33651520000000001</v>
      </c>
      <c r="AN28" s="102">
        <f>+SUM(AN23:AN27)</f>
        <v>121268.40200000002</v>
      </c>
      <c r="AO28" s="107">
        <f t="shared" si="8"/>
        <v>0.89828445925925937</v>
      </c>
      <c r="AP28" s="49"/>
      <c r="AQ28" s="49"/>
      <c r="AR28" s="108"/>
      <c r="AS28" s="47"/>
    </row>
    <row r="29" spans="1:45" ht="12.75" customHeight="1" thickBot="1" x14ac:dyDescent="0.3">
      <c r="A29" s="45" t="s">
        <v>166</v>
      </c>
      <c r="B29" s="64" t="s">
        <v>115</v>
      </c>
      <c r="C29" s="65" t="s">
        <v>105</v>
      </c>
      <c r="D29" s="66" t="s">
        <v>116</v>
      </c>
      <c r="E29" s="86">
        <v>9932.351999999999</v>
      </c>
      <c r="F29" s="87">
        <v>10315.272000000001</v>
      </c>
      <c r="G29" s="87">
        <v>8794.5600000000013</v>
      </c>
      <c r="H29" s="87">
        <v>12493.415999999997</v>
      </c>
      <c r="I29" s="86">
        <v>4386.7920000000004</v>
      </c>
      <c r="J29" s="87">
        <v>23216.136000000002</v>
      </c>
      <c r="K29" s="87">
        <v>7944.7439999999997</v>
      </c>
      <c r="L29" s="87">
        <v>12335.135999999999</v>
      </c>
      <c r="M29" s="87">
        <v>13568.304</v>
      </c>
      <c r="N29" s="87">
        <v>31112.232000000011</v>
      </c>
      <c r="O29" s="87">
        <v>27752.952000000008</v>
      </c>
      <c r="P29" s="87">
        <v>17182.464000000007</v>
      </c>
      <c r="Q29" s="88">
        <v>17571.456000000002</v>
      </c>
      <c r="R29" s="87">
        <v>26735.232</v>
      </c>
      <c r="S29" s="86">
        <v>21074.808000000001</v>
      </c>
      <c r="T29" s="86">
        <v>28529.208000000006</v>
      </c>
      <c r="U29" s="86">
        <v>22902.840000000004</v>
      </c>
      <c r="V29" s="86">
        <v>6353.16</v>
      </c>
      <c r="W29" s="86">
        <v>17872.8</v>
      </c>
      <c r="X29" s="86">
        <v>14191.152</v>
      </c>
      <c r="Y29" s="87">
        <v>4119</v>
      </c>
      <c r="Z29" s="86">
        <v>6014.04</v>
      </c>
      <c r="AA29" s="86">
        <v>1801.92</v>
      </c>
      <c r="AB29" s="86">
        <v>6798.9599999999991</v>
      </c>
      <c r="AC29" s="86">
        <v>9352.0079999999998</v>
      </c>
      <c r="AD29" s="89">
        <v>1833.048</v>
      </c>
      <c r="AE29" s="88">
        <v>2266.56</v>
      </c>
      <c r="AF29" s="88">
        <v>2416.1999999999994</v>
      </c>
      <c r="AG29" s="88">
        <v>4737.2880000000005</v>
      </c>
      <c r="AH29" s="88">
        <v>4104.5039999999999</v>
      </c>
      <c r="AI29" s="88">
        <v>8605.68</v>
      </c>
      <c r="AJ29" s="115">
        <v>6000</v>
      </c>
      <c r="AK29" s="87">
        <v>905.16000000000008</v>
      </c>
      <c r="AL29" s="87">
        <v>2282.04</v>
      </c>
      <c r="AM29" s="91">
        <f>IFERROR(AL29/AJ29,0)</f>
        <v>0.38034000000000001</v>
      </c>
      <c r="AN29" s="87">
        <f>+AK29+AL29</f>
        <v>3187.2</v>
      </c>
      <c r="AO29" s="92">
        <f>IFERROR(+AN29/AJ29,0)</f>
        <v>0.53120000000000001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/>
      <c r="B30" s="98"/>
      <c r="C30" s="99"/>
      <c r="D30" s="100" t="s">
        <v>118</v>
      </c>
      <c r="E30" s="102">
        <f t="shared" ref="E30:AK30" si="12">+SUM(E29)</f>
        <v>9932.351999999999</v>
      </c>
      <c r="F30" s="102">
        <f t="shared" si="12"/>
        <v>10315.272000000001</v>
      </c>
      <c r="G30" s="102">
        <f t="shared" si="12"/>
        <v>8794.5600000000013</v>
      </c>
      <c r="H30" s="102">
        <f t="shared" si="12"/>
        <v>12493.415999999997</v>
      </c>
      <c r="I30" s="102">
        <f t="shared" si="12"/>
        <v>4386.7920000000004</v>
      </c>
      <c r="J30" s="102">
        <f t="shared" si="12"/>
        <v>23216.136000000002</v>
      </c>
      <c r="K30" s="102">
        <f t="shared" si="12"/>
        <v>7944.7439999999997</v>
      </c>
      <c r="L30" s="102">
        <f t="shared" si="12"/>
        <v>12335.135999999999</v>
      </c>
      <c r="M30" s="102">
        <f t="shared" si="12"/>
        <v>13568.304</v>
      </c>
      <c r="N30" s="102">
        <f t="shared" si="12"/>
        <v>31112.232000000011</v>
      </c>
      <c r="O30" s="102">
        <f t="shared" si="12"/>
        <v>27752.952000000008</v>
      </c>
      <c r="P30" s="102">
        <f t="shared" si="12"/>
        <v>17182.464000000007</v>
      </c>
      <c r="Q30" s="102">
        <f t="shared" si="12"/>
        <v>17571.456000000002</v>
      </c>
      <c r="R30" s="102">
        <f t="shared" si="12"/>
        <v>26735.232</v>
      </c>
      <c r="S30" s="102">
        <v>21074.808000000001</v>
      </c>
      <c r="T30" s="102">
        <f t="shared" si="12"/>
        <v>28529.208000000006</v>
      </c>
      <c r="U30" s="102">
        <f t="shared" si="12"/>
        <v>22902.840000000004</v>
      </c>
      <c r="V30" s="102">
        <f t="shared" si="12"/>
        <v>6353.16</v>
      </c>
      <c r="W30" s="102">
        <f t="shared" si="12"/>
        <v>17872.8</v>
      </c>
      <c r="X30" s="102">
        <f t="shared" si="12"/>
        <v>14191.152</v>
      </c>
      <c r="Y30" s="102">
        <v>4119</v>
      </c>
      <c r="Z30" s="102">
        <v>6014.04</v>
      </c>
      <c r="AA30" s="102">
        <v>1801.92</v>
      </c>
      <c r="AB30" s="102">
        <v>6798.9599999999991</v>
      </c>
      <c r="AC30" s="102">
        <v>9352.0079999999998</v>
      </c>
      <c r="AD30" s="103">
        <v>1833.048</v>
      </c>
      <c r="AE30" s="103">
        <v>2266.56</v>
      </c>
      <c r="AF30" s="103">
        <v>2416.1999999999994</v>
      </c>
      <c r="AG30" s="103">
        <v>4737.2880000000005</v>
      </c>
      <c r="AH30" s="103">
        <v>4104.5039999999999</v>
      </c>
      <c r="AI30" s="103">
        <v>8605.68</v>
      </c>
      <c r="AJ30" s="105">
        <v>6000</v>
      </c>
      <c r="AK30" s="102">
        <f t="shared" si="12"/>
        <v>905.16000000000008</v>
      </c>
      <c r="AL30" s="102">
        <f>+SUM(AL29)</f>
        <v>2282.04</v>
      </c>
      <c r="AM30" s="106">
        <f t="shared" ref="AM30" si="13">IFERROR(AL30/AJ30,0)</f>
        <v>0.38034000000000001</v>
      </c>
      <c r="AN30" s="102">
        <f>+SUM(AN29)</f>
        <v>3187.2</v>
      </c>
      <c r="AO30" s="107">
        <f t="shared" ref="AO30" si="14">IFERROR(+AN30/AJ30,0)</f>
        <v>0.53120000000000001</v>
      </c>
      <c r="AP30" s="49"/>
      <c r="AQ30" s="49"/>
      <c r="AR30" s="108"/>
      <c r="AS30" s="47"/>
    </row>
    <row r="31" spans="1:45" ht="12.75" customHeight="1" x14ac:dyDescent="0.25">
      <c r="B31" s="75" t="s">
        <v>119</v>
      </c>
      <c r="C31" s="76" t="s">
        <v>120</v>
      </c>
      <c r="D31" s="77" t="s">
        <v>121</v>
      </c>
      <c r="E31" s="116">
        <v>1773.3600000000001</v>
      </c>
      <c r="F31" s="117">
        <v>0</v>
      </c>
      <c r="G31" s="117">
        <v>0</v>
      </c>
      <c r="H31" s="117">
        <v>8.64</v>
      </c>
      <c r="I31" s="117">
        <v>272.16000000000003</v>
      </c>
      <c r="J31" s="117">
        <v>0</v>
      </c>
      <c r="K31" s="117">
        <v>0</v>
      </c>
      <c r="L31" s="117">
        <v>0</v>
      </c>
      <c r="M31" s="117">
        <v>0</v>
      </c>
      <c r="N31" s="117">
        <v>4.32</v>
      </c>
      <c r="O31" s="117">
        <v>0</v>
      </c>
      <c r="P31" s="117">
        <v>0</v>
      </c>
      <c r="Q31" s="118">
        <v>0</v>
      </c>
      <c r="R31" s="117">
        <v>0</v>
      </c>
      <c r="S31" s="116">
        <v>0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7">
        <v>0</v>
      </c>
      <c r="Z31" s="116">
        <v>0</v>
      </c>
      <c r="AA31" s="116">
        <v>108</v>
      </c>
      <c r="AB31" s="116">
        <v>4.32</v>
      </c>
      <c r="AC31" s="116">
        <v>2674.08</v>
      </c>
      <c r="AD31" s="119">
        <v>3602.8800000000006</v>
      </c>
      <c r="AE31" s="118">
        <v>0</v>
      </c>
      <c r="AF31" s="118">
        <v>0</v>
      </c>
      <c r="AG31" s="118">
        <v>0</v>
      </c>
      <c r="AH31" s="118">
        <v>0</v>
      </c>
      <c r="AI31" s="118">
        <v>0</v>
      </c>
      <c r="AJ31" s="120">
        <v>0</v>
      </c>
      <c r="AK31" s="117">
        <v>2652.48</v>
      </c>
      <c r="AL31" s="117">
        <v>0</v>
      </c>
      <c r="AM31" s="121">
        <f t="shared" si="0"/>
        <v>0</v>
      </c>
      <c r="AN31" s="117">
        <f t="shared" ref="AN31:AN55" si="15">+AK31+AL31</f>
        <v>2652.48</v>
      </c>
      <c r="AO31" s="122">
        <f t="shared" si="2"/>
        <v>0</v>
      </c>
      <c r="AP31" s="50"/>
      <c r="AQ31" s="50"/>
    </row>
    <row r="32" spans="1:45" ht="12.75" customHeight="1" thickBot="1" x14ac:dyDescent="0.3">
      <c r="B32" s="64" t="s">
        <v>119</v>
      </c>
      <c r="C32" s="65" t="s">
        <v>120</v>
      </c>
      <c r="D32" s="66" t="s">
        <v>122</v>
      </c>
      <c r="E32" s="123">
        <v>0</v>
      </c>
      <c r="F32" s="124">
        <v>0</v>
      </c>
      <c r="G32" s="124">
        <v>0</v>
      </c>
      <c r="H32" s="124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4663.4400000000005</v>
      </c>
      <c r="P32" s="124">
        <v>0</v>
      </c>
      <c r="Q32" s="125">
        <v>0</v>
      </c>
      <c r="R32" s="124">
        <v>0</v>
      </c>
      <c r="S32" s="123">
        <v>0</v>
      </c>
      <c r="T32" s="123">
        <v>0</v>
      </c>
      <c r="U32" s="123">
        <v>0</v>
      </c>
      <c r="V32" s="123">
        <v>2652.48</v>
      </c>
      <c r="W32" s="123">
        <v>2652.4800000000005</v>
      </c>
      <c r="X32" s="123">
        <v>0</v>
      </c>
      <c r="Y32" s="124">
        <v>691.2</v>
      </c>
      <c r="Z32" s="123">
        <v>0</v>
      </c>
      <c r="AA32" s="123">
        <v>2652.4800000000005</v>
      </c>
      <c r="AB32" s="123">
        <v>0</v>
      </c>
      <c r="AC32" s="123">
        <v>0</v>
      </c>
      <c r="AD32" s="126">
        <v>0</v>
      </c>
      <c r="AE32" s="125">
        <v>2652.4800000000005</v>
      </c>
      <c r="AF32" s="125">
        <v>2652.4800000000005</v>
      </c>
      <c r="AG32" s="125">
        <v>2652.4800000000005</v>
      </c>
      <c r="AH32" s="125">
        <v>2652.4800000000005</v>
      </c>
      <c r="AI32" s="125">
        <v>2652.48</v>
      </c>
      <c r="AJ32" s="127">
        <v>0</v>
      </c>
      <c r="AK32" s="124">
        <v>777.6</v>
      </c>
      <c r="AL32" s="124">
        <v>777.6</v>
      </c>
      <c r="AM32" s="128">
        <f t="shared" si="0"/>
        <v>0</v>
      </c>
      <c r="AN32" s="124">
        <f>+AK32+AL32</f>
        <v>1555.2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B33" s="98"/>
      <c r="C33" s="99"/>
      <c r="D33" s="100" t="s">
        <v>124</v>
      </c>
      <c r="E33" s="101">
        <v>1773.3600000000001</v>
      </c>
      <c r="F33" s="102">
        <v>0</v>
      </c>
      <c r="G33" s="102">
        <v>0</v>
      </c>
      <c r="H33" s="102">
        <v>8.64</v>
      </c>
      <c r="I33" s="102">
        <v>272.16000000000003</v>
      </c>
      <c r="J33" s="102">
        <v>0</v>
      </c>
      <c r="K33" s="102">
        <v>0</v>
      </c>
      <c r="L33" s="102">
        <v>0</v>
      </c>
      <c r="M33" s="102">
        <v>0</v>
      </c>
      <c r="N33" s="102">
        <v>4.32</v>
      </c>
      <c r="O33" s="102">
        <v>4663.4400000000005</v>
      </c>
      <c r="P33" s="102">
        <v>0</v>
      </c>
      <c r="Q33" s="103">
        <v>0</v>
      </c>
      <c r="R33" s="102">
        <v>0</v>
      </c>
      <c r="S33" s="101">
        <v>0</v>
      </c>
      <c r="T33" s="101">
        <v>0</v>
      </c>
      <c r="U33" s="101">
        <v>0</v>
      </c>
      <c r="V33" s="101">
        <v>2652.48</v>
      </c>
      <c r="W33" s="101">
        <v>2652.4800000000005</v>
      </c>
      <c r="X33" s="101">
        <v>0</v>
      </c>
      <c r="Y33" s="102">
        <v>691.2</v>
      </c>
      <c r="Z33" s="101">
        <v>0</v>
      </c>
      <c r="AA33" s="101">
        <v>2760.4800000000005</v>
      </c>
      <c r="AB33" s="101">
        <v>4.32</v>
      </c>
      <c r="AC33" s="101">
        <v>2674.08</v>
      </c>
      <c r="AD33" s="104">
        <v>3602.8800000000006</v>
      </c>
      <c r="AE33" s="103">
        <v>2652.4800000000005</v>
      </c>
      <c r="AF33" s="103">
        <v>2652.4800000000005</v>
      </c>
      <c r="AG33" s="103">
        <v>2652.4800000000005</v>
      </c>
      <c r="AH33" s="103">
        <v>2652.4800000000005</v>
      </c>
      <c r="AI33" s="103">
        <v>2652.48</v>
      </c>
      <c r="AJ33" s="105">
        <v>0</v>
      </c>
      <c r="AK33" s="102">
        <f>+AK31+AK32</f>
        <v>3430.08</v>
      </c>
      <c r="AL33" s="102">
        <f>+AL31+AL32</f>
        <v>777.6</v>
      </c>
      <c r="AM33" s="106">
        <f t="shared" si="0"/>
        <v>0</v>
      </c>
      <c r="AN33" s="102">
        <f>+AN31+AN32</f>
        <v>4207.68</v>
      </c>
      <c r="AO33" s="107">
        <f t="shared" si="2"/>
        <v>0</v>
      </c>
      <c r="AP33" s="50"/>
      <c r="AQ33" s="50"/>
    </row>
    <row r="34" spans="1:48" ht="12.75" hidden="1" customHeight="1" thickBot="1" x14ac:dyDescent="0.3"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B35" s="75" t="s">
        <v>29</v>
      </c>
      <c r="C35" s="76" t="s">
        <v>126</v>
      </c>
      <c r="D35" s="77" t="s">
        <v>127</v>
      </c>
      <c r="E35" s="78">
        <v>128708.88</v>
      </c>
      <c r="F35" s="79">
        <v>211918.65599999999</v>
      </c>
      <c r="G35" s="79">
        <v>212149.56000000011</v>
      </c>
      <c r="H35" s="79">
        <v>234575.88</v>
      </c>
      <c r="I35" s="79">
        <v>221326.08000000007</v>
      </c>
      <c r="J35" s="79">
        <v>212943.9840000002</v>
      </c>
      <c r="K35" s="79">
        <v>87041.279999999999</v>
      </c>
      <c r="L35" s="79">
        <v>269200.00799999957</v>
      </c>
      <c r="M35" s="79">
        <v>119781.84000000008</v>
      </c>
      <c r="N35" s="79">
        <v>67784.400000000038</v>
      </c>
      <c r="O35" s="79">
        <v>103164.38400000001</v>
      </c>
      <c r="P35" s="79">
        <v>95461.824000000081</v>
      </c>
      <c r="Q35" s="80">
        <v>59860.560000000049</v>
      </c>
      <c r="R35" s="79">
        <v>119559.16800000001</v>
      </c>
      <c r="S35" s="78">
        <v>51611.808000000012</v>
      </c>
      <c r="T35" s="78">
        <v>80483.183999999936</v>
      </c>
      <c r="U35" s="78">
        <v>20416.175999999999</v>
      </c>
      <c r="V35" s="78">
        <v>170428.08000000025</v>
      </c>
      <c r="W35" s="78">
        <v>110072.73600000002</v>
      </c>
      <c r="X35" s="78">
        <v>171847.56000000008</v>
      </c>
      <c r="Y35" s="79">
        <v>194005.36800000002</v>
      </c>
      <c r="Z35" s="78">
        <v>170036.59199999995</v>
      </c>
      <c r="AA35" s="78">
        <v>194967.07200000004</v>
      </c>
      <c r="AB35" s="78">
        <v>114325.24800000001</v>
      </c>
      <c r="AC35" s="78">
        <v>34623.60000000002</v>
      </c>
      <c r="AD35" s="81">
        <v>137934.96000000005</v>
      </c>
      <c r="AE35" s="80">
        <v>134457.04800000001</v>
      </c>
      <c r="AF35" s="80">
        <v>148591.41600000017</v>
      </c>
      <c r="AG35" s="80">
        <v>198839.90400000033</v>
      </c>
      <c r="AH35" s="80">
        <v>152785.84800000009</v>
      </c>
      <c r="AI35" s="80">
        <v>117864.38399999996</v>
      </c>
      <c r="AJ35" s="114">
        <v>159600</v>
      </c>
      <c r="AK35" s="79">
        <v>101170.73000000003</v>
      </c>
      <c r="AL35" s="79">
        <v>35481.696000000025</v>
      </c>
      <c r="AM35" s="83">
        <f t="shared" ref="AM35:AM56" si="16">IFERROR(AL35/AJ35,0)</f>
        <v>0.22231639097744377</v>
      </c>
      <c r="AN35" s="79">
        <f t="shared" ref="AN35:AN36" si="17">+AK35+AL35</f>
        <v>136652.42600000004</v>
      </c>
      <c r="AO35" s="84">
        <f t="shared" ref="AO35:AO51" si="18">IFERROR(+AN35/AJ35,0)</f>
        <v>0.85621820802005033</v>
      </c>
      <c r="AP35" s="50"/>
      <c r="AQ35" s="50"/>
    </row>
    <row r="36" spans="1:48" ht="12.75" customHeight="1" thickBot="1" x14ac:dyDescent="0.3"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-2.1120000000000001</v>
      </c>
      <c r="U36" s="123">
        <v>19174.175999999996</v>
      </c>
      <c r="V36" s="123">
        <v>0</v>
      </c>
      <c r="W36" s="123">
        <v>23809.176000000003</v>
      </c>
      <c r="X36" s="123">
        <v>21162.527999999995</v>
      </c>
      <c r="Y36" s="124">
        <v>20364.096000000005</v>
      </c>
      <c r="Z36" s="123">
        <v>23982.864000000001</v>
      </c>
      <c r="AA36" s="123">
        <v>43417.56</v>
      </c>
      <c r="AB36" s="123">
        <v>28076.472000000002</v>
      </c>
      <c r="AC36" s="123">
        <v>11830.08</v>
      </c>
      <c r="AD36" s="126">
        <v>28646.400000000001</v>
      </c>
      <c r="AE36" s="125">
        <v>0</v>
      </c>
      <c r="AF36" s="125">
        <v>20111.904000000006</v>
      </c>
      <c r="AG36" s="125">
        <v>27823.296000000002</v>
      </c>
      <c r="AH36" s="125">
        <v>19692.72</v>
      </c>
      <c r="AI36" s="125">
        <v>0</v>
      </c>
      <c r="AJ36" s="127">
        <v>20400</v>
      </c>
      <c r="AK36" s="124">
        <v>35928.379999999997</v>
      </c>
      <c r="AL36" s="124">
        <v>-972.00000000000011</v>
      </c>
      <c r="AM36" s="128">
        <f t="shared" si="16"/>
        <v>-4.7647058823529417E-2</v>
      </c>
      <c r="AN36" s="124">
        <f t="shared" si="17"/>
        <v>34956.379999999997</v>
      </c>
      <c r="AO36" s="129">
        <f t="shared" si="18"/>
        <v>1.7135480392156861</v>
      </c>
      <c r="AP36" s="50">
        <v>100002258</v>
      </c>
      <c r="AQ36" s="50"/>
    </row>
    <row r="37" spans="1:48" s="109" customFormat="1" ht="12.75" customHeight="1" thickBot="1" x14ac:dyDescent="0.35">
      <c r="A37" s="45" t="s">
        <v>166</v>
      </c>
      <c r="B37" s="98"/>
      <c r="C37" s="99"/>
      <c r="D37" s="100" t="s">
        <v>129</v>
      </c>
      <c r="E37" s="101">
        <v>128708.88</v>
      </c>
      <c r="F37" s="102">
        <v>211918.65599999999</v>
      </c>
      <c r="G37" s="102">
        <v>212149.56000000011</v>
      </c>
      <c r="H37" s="102">
        <v>234575.88</v>
      </c>
      <c r="I37" s="102">
        <v>221326.08000000007</v>
      </c>
      <c r="J37" s="102">
        <v>212943.9840000002</v>
      </c>
      <c r="K37" s="102">
        <v>87041.279999999999</v>
      </c>
      <c r="L37" s="102">
        <v>269200.00799999957</v>
      </c>
      <c r="M37" s="102">
        <v>119781.84000000008</v>
      </c>
      <c r="N37" s="102">
        <v>67784.400000000038</v>
      </c>
      <c r="O37" s="102">
        <v>103164.38400000001</v>
      </c>
      <c r="P37" s="102">
        <v>95461.824000000081</v>
      </c>
      <c r="Q37" s="103">
        <v>59860.560000000049</v>
      </c>
      <c r="R37" s="102">
        <v>119559.16800000001</v>
      </c>
      <c r="S37" s="101">
        <v>51611.808000000012</v>
      </c>
      <c r="T37" s="101">
        <v>80481.071999999942</v>
      </c>
      <c r="U37" s="101">
        <v>39590.351999999999</v>
      </c>
      <c r="V37" s="101">
        <v>170428.08000000025</v>
      </c>
      <c r="W37" s="101">
        <v>133881.91200000001</v>
      </c>
      <c r="X37" s="101">
        <v>193010.08800000008</v>
      </c>
      <c r="Y37" s="102">
        <v>214369.46400000004</v>
      </c>
      <c r="Z37" s="101">
        <v>194019.45599999995</v>
      </c>
      <c r="AA37" s="101">
        <v>238384.63200000004</v>
      </c>
      <c r="AB37" s="101">
        <v>142401.72</v>
      </c>
      <c r="AC37" s="101">
        <v>46453.680000000022</v>
      </c>
      <c r="AD37" s="104">
        <v>166581.36000000004</v>
      </c>
      <c r="AE37" s="103">
        <v>134457.04800000001</v>
      </c>
      <c r="AF37" s="103">
        <v>168703.32000000018</v>
      </c>
      <c r="AG37" s="103">
        <v>226663.20000000033</v>
      </c>
      <c r="AH37" s="103">
        <v>172478.56800000009</v>
      </c>
      <c r="AI37" s="103">
        <v>117864.38399999996</v>
      </c>
      <c r="AJ37" s="105">
        <v>180000</v>
      </c>
      <c r="AK37" s="105">
        <f t="shared" ref="AK37:AL37" si="19">+SUM(AK34:AK36)</f>
        <v>137099.11000000002</v>
      </c>
      <c r="AL37" s="105">
        <f t="shared" si="19"/>
        <v>34509.696000000025</v>
      </c>
      <c r="AM37" s="106">
        <f t="shared" si="16"/>
        <v>0.19172053333333347</v>
      </c>
      <c r="AN37" s="105">
        <f t="shared" ref="AN37" si="20">+SUM(AN34:AN36)</f>
        <v>171608.80600000004</v>
      </c>
      <c r="AO37" s="107">
        <f t="shared" si="18"/>
        <v>0.95338225555555578</v>
      </c>
      <c r="AP37" s="49"/>
      <c r="AQ37" s="49"/>
      <c r="AR37" s="108"/>
      <c r="AS37" s="47"/>
    </row>
    <row r="38" spans="1:48" ht="12.75" customHeight="1" x14ac:dyDescent="0.25">
      <c r="A38" s="47" t="s">
        <v>166</v>
      </c>
      <c r="B38" s="75" t="s">
        <v>130</v>
      </c>
      <c r="C38" s="76" t="s">
        <v>126</v>
      </c>
      <c r="D38" s="77" t="s">
        <v>131</v>
      </c>
      <c r="E38" s="130">
        <v>539.52</v>
      </c>
      <c r="F38" s="131">
        <v>654.96</v>
      </c>
      <c r="G38" s="79">
        <v>102.816</v>
      </c>
      <c r="H38" s="79">
        <v>676.08000000000015</v>
      </c>
      <c r="I38" s="79">
        <v>1857.6000000000001</v>
      </c>
      <c r="J38" s="79">
        <v>-2.16</v>
      </c>
      <c r="K38" s="79">
        <v>240.50399999999999</v>
      </c>
      <c r="L38" s="79">
        <v>600.59999999999991</v>
      </c>
      <c r="M38" s="79">
        <v>192.72000000000003</v>
      </c>
      <c r="N38" s="79">
        <v>453.21600000000001</v>
      </c>
      <c r="O38" s="79">
        <v>0</v>
      </c>
      <c r="P38" s="79">
        <v>431.04000000000008</v>
      </c>
      <c r="Q38" s="79">
        <v>493.36800000000017</v>
      </c>
      <c r="R38" s="79">
        <v>327.096</v>
      </c>
      <c r="S38" s="79">
        <v>70.896000000000001</v>
      </c>
      <c r="T38" s="80">
        <v>1035.0719999999999</v>
      </c>
      <c r="U38" s="80">
        <v>1096.104</v>
      </c>
      <c r="V38" s="80">
        <v>715.89600000000007</v>
      </c>
      <c r="W38" s="80">
        <v>-50.616</v>
      </c>
      <c r="X38" s="80">
        <v>107.18400000000001</v>
      </c>
      <c r="Y38" s="80">
        <v>156.45600000000002</v>
      </c>
      <c r="Z38" s="79">
        <v>1098.7919999999999</v>
      </c>
      <c r="AA38" s="78">
        <v>163.46400000000003</v>
      </c>
      <c r="AB38" s="79">
        <v>0</v>
      </c>
      <c r="AC38" s="78">
        <v>515.04000000000008</v>
      </c>
      <c r="AD38" s="81">
        <v>648.48</v>
      </c>
      <c r="AE38" s="80">
        <v>432.86400000000003</v>
      </c>
      <c r="AF38" s="80">
        <v>289.44000000000005</v>
      </c>
      <c r="AG38" s="80">
        <v>462</v>
      </c>
      <c r="AH38" s="80">
        <v>281.78400000000005</v>
      </c>
      <c r="AI38" s="80">
        <v>188.28</v>
      </c>
      <c r="AJ38" s="114">
        <v>300</v>
      </c>
      <c r="AK38" s="79">
        <v>0</v>
      </c>
      <c r="AL38" s="79">
        <v>153.48000000000002</v>
      </c>
      <c r="AM38" s="83">
        <f t="shared" si="16"/>
        <v>0.51160000000000005</v>
      </c>
      <c r="AN38" s="79">
        <f>+AK38+AL38</f>
        <v>153.48000000000002</v>
      </c>
      <c r="AO38" s="84">
        <f>IFERROR(+AN38/AJ38,0)</f>
        <v>0.51160000000000005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>
        <v>183.6</v>
      </c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ref="AO39" si="21">IFERROR(+AN39/AJ39,0)</f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166</v>
      </c>
      <c r="B40" s="75" t="s">
        <v>132</v>
      </c>
      <c r="C40" s="136" t="s">
        <v>128</v>
      </c>
      <c r="D40" s="77" t="s">
        <v>134</v>
      </c>
      <c r="E40" s="130">
        <v>42871.68</v>
      </c>
      <c r="F40" s="79">
        <v>33610.800000000003</v>
      </c>
      <c r="G40" s="79">
        <v>27108</v>
      </c>
      <c r="H40" s="79">
        <v>46104.36</v>
      </c>
      <c r="I40" s="79">
        <v>29080.080000000002</v>
      </c>
      <c r="J40" s="79">
        <v>80996.879999999976</v>
      </c>
      <c r="K40" s="79">
        <v>27177.120000000003</v>
      </c>
      <c r="L40" s="79">
        <v>13217.04</v>
      </c>
      <c r="M40" s="79">
        <v>18662.400000000001</v>
      </c>
      <c r="N40" s="79">
        <v>37320.479999999996</v>
      </c>
      <c r="O40" s="79">
        <v>13787.28</v>
      </c>
      <c r="P40" s="79">
        <v>18480.960000000003</v>
      </c>
      <c r="Q40" s="79">
        <v>18662.400000000001</v>
      </c>
      <c r="R40" s="79">
        <v>43798.080000000002</v>
      </c>
      <c r="S40" s="79">
        <v>0</v>
      </c>
      <c r="T40" s="80">
        <v>26590.464</v>
      </c>
      <c r="U40" s="80">
        <v>12502.560000000001</v>
      </c>
      <c r="V40" s="80">
        <v>41199.455999999998</v>
      </c>
      <c r="W40" s="80">
        <v>45977.880000000005</v>
      </c>
      <c r="X40" s="80">
        <v>17549.400000000005</v>
      </c>
      <c r="Y40" s="80">
        <v>30116.760000000002</v>
      </c>
      <c r="Z40" s="79">
        <v>30636.6</v>
      </c>
      <c r="AA40" s="78">
        <v>15195.600000000002</v>
      </c>
      <c r="AB40" s="79">
        <v>10906.368000000002</v>
      </c>
      <c r="AC40" s="78">
        <v>28605.600000000002</v>
      </c>
      <c r="AD40" s="81">
        <v>-2198.88</v>
      </c>
      <c r="AE40" s="80">
        <v>41990.400000000001</v>
      </c>
      <c r="AF40" s="80">
        <v>0</v>
      </c>
      <c r="AG40" s="80">
        <v>0</v>
      </c>
      <c r="AH40" s="80">
        <v>40599.360000000001</v>
      </c>
      <c r="AI40" s="80">
        <v>4166.6400000000003</v>
      </c>
      <c r="AJ40" s="82">
        <v>18000</v>
      </c>
      <c r="AK40" s="79">
        <v>0</v>
      </c>
      <c r="AL40" s="79">
        <v>26659.440000000002</v>
      </c>
      <c r="AM40" s="83">
        <f t="shared" si="16"/>
        <v>1.4810800000000002</v>
      </c>
      <c r="AN40" s="79">
        <f>+AK40+AL40</f>
        <v>26659.440000000002</v>
      </c>
      <c r="AO40" s="84">
        <f t="shared" si="18"/>
        <v>1.4810800000000002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166</v>
      </c>
      <c r="B41" s="64" t="s">
        <v>132</v>
      </c>
      <c r="C41" s="134" t="s">
        <v>131</v>
      </c>
      <c r="D41" s="66" t="s">
        <v>135</v>
      </c>
      <c r="E41" s="135">
        <v>25374.839999999997</v>
      </c>
      <c r="F41" s="87">
        <v>16886.16</v>
      </c>
      <c r="G41" s="87">
        <v>9727.1999999999989</v>
      </c>
      <c r="H41" s="87">
        <v>0</v>
      </c>
      <c r="I41" s="87">
        <v>41943.648000000001</v>
      </c>
      <c r="J41" s="87">
        <v>28197.119999999999</v>
      </c>
      <c r="K41" s="87">
        <v>25014</v>
      </c>
      <c r="L41" s="87">
        <v>23245.08</v>
      </c>
      <c r="M41" s="87">
        <v>13740.527999999998</v>
      </c>
      <c r="N41" s="87">
        <v>47543.999999999985</v>
      </c>
      <c r="O41" s="87">
        <v>24288.239999999991</v>
      </c>
      <c r="P41" s="87">
        <v>17230.079999999998</v>
      </c>
      <c r="Q41" s="87">
        <v>36166.199999999997</v>
      </c>
      <c r="R41" s="87">
        <v>21376.32</v>
      </c>
      <c r="S41" s="87">
        <v>41381.279999999992</v>
      </c>
      <c r="T41" s="88">
        <v>29806.560000000001</v>
      </c>
      <c r="U41" s="88">
        <v>16539.359999999997</v>
      </c>
      <c r="V41" s="88">
        <v>33634.511999999995</v>
      </c>
      <c r="W41" s="88">
        <v>20868.815999999995</v>
      </c>
      <c r="X41" s="88">
        <v>25239.96</v>
      </c>
      <c r="Y41" s="88">
        <v>30729.599999999995</v>
      </c>
      <c r="Z41" s="87">
        <v>24893.640000000007</v>
      </c>
      <c r="AA41" s="86">
        <v>24408</v>
      </c>
      <c r="AB41" s="87">
        <v>20880.288</v>
      </c>
      <c r="AC41" s="86">
        <v>21528.095999999998</v>
      </c>
      <c r="AD41" s="89">
        <v>12966.480000000003</v>
      </c>
      <c r="AE41" s="88">
        <v>21023.280000000006</v>
      </c>
      <c r="AF41" s="88">
        <v>14335.92</v>
      </c>
      <c r="AG41" s="88">
        <v>29008.391999999996</v>
      </c>
      <c r="AH41" s="88">
        <v>18152.471999999998</v>
      </c>
      <c r="AI41" s="88">
        <v>36454.511999999981</v>
      </c>
      <c r="AJ41" s="115">
        <v>20400</v>
      </c>
      <c r="AK41" s="87">
        <v>13364.4</v>
      </c>
      <c r="AL41" s="87">
        <v>-2.04</v>
      </c>
      <c r="AM41" s="91">
        <f t="shared" si="16"/>
        <v>-1E-4</v>
      </c>
      <c r="AN41" s="87">
        <f t="shared" si="15"/>
        <v>13362.359999999999</v>
      </c>
      <c r="AO41" s="92">
        <f t="shared" si="18"/>
        <v>0.65501764705882348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166</v>
      </c>
      <c r="B42" s="75" t="s">
        <v>132</v>
      </c>
      <c r="C42" s="136" t="s">
        <v>136</v>
      </c>
      <c r="D42" s="77" t="s">
        <v>137</v>
      </c>
      <c r="E42" s="130">
        <v>152688.24000000002</v>
      </c>
      <c r="F42" s="79">
        <v>19998.335999999999</v>
      </c>
      <c r="G42" s="79">
        <v>41870.376000000011</v>
      </c>
      <c r="H42" s="79">
        <v>86501.232000000004</v>
      </c>
      <c r="I42" s="79">
        <v>114671.51999999999</v>
      </c>
      <c r="J42" s="79">
        <v>23695.200000000004</v>
      </c>
      <c r="K42" s="79">
        <v>156717.50399999996</v>
      </c>
      <c r="L42" s="79">
        <v>112808.16</v>
      </c>
      <c r="M42" s="79">
        <v>0</v>
      </c>
      <c r="N42" s="79">
        <v>77520.24000000002</v>
      </c>
      <c r="O42" s="79">
        <v>42977.520000000004</v>
      </c>
      <c r="P42" s="79">
        <v>85142.87999999999</v>
      </c>
      <c r="Q42" s="79">
        <v>102569.75999999998</v>
      </c>
      <c r="R42" s="79">
        <v>65143.44000000001</v>
      </c>
      <c r="S42" s="79">
        <v>20167.920000000002</v>
      </c>
      <c r="T42" s="80">
        <v>39290.400000000001</v>
      </c>
      <c r="U42" s="80">
        <v>124896.91200000001</v>
      </c>
      <c r="V42" s="80">
        <v>24932.784000000007</v>
      </c>
      <c r="W42" s="80">
        <v>39176.856000000014</v>
      </c>
      <c r="X42" s="80">
        <v>32242.272000000004</v>
      </c>
      <c r="Y42" s="80">
        <v>42103.296000000009</v>
      </c>
      <c r="Z42" s="79">
        <v>30448.271999999997</v>
      </c>
      <c r="AA42" s="78">
        <v>38101.295999999995</v>
      </c>
      <c r="AB42" s="79">
        <v>35305.08</v>
      </c>
      <c r="AC42" s="78">
        <v>100024.60799999998</v>
      </c>
      <c r="AD42" s="81">
        <v>51393.503999999935</v>
      </c>
      <c r="AE42" s="80">
        <v>34344.240000000005</v>
      </c>
      <c r="AF42" s="80">
        <v>70744.871999999974</v>
      </c>
      <c r="AG42" s="80">
        <v>51252.119999999995</v>
      </c>
      <c r="AH42" s="80">
        <v>32567.88</v>
      </c>
      <c r="AI42" s="80">
        <v>119215.68000000004</v>
      </c>
      <c r="AJ42" s="82">
        <v>53600</v>
      </c>
      <c r="AK42" s="79">
        <v>12858.96</v>
      </c>
      <c r="AL42" s="79">
        <v>33671.159999999989</v>
      </c>
      <c r="AM42" s="83">
        <f t="shared" si="16"/>
        <v>0.62819328358208937</v>
      </c>
      <c r="AN42" s="79">
        <f t="shared" si="15"/>
        <v>46530.119999999988</v>
      </c>
      <c r="AO42" s="84">
        <f t="shared" si="18"/>
        <v>0.86809925373134311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166</v>
      </c>
      <c r="B43" s="64" t="s">
        <v>132</v>
      </c>
      <c r="C43" s="134" t="s">
        <v>136</v>
      </c>
      <c r="D43" s="66" t="s">
        <v>138</v>
      </c>
      <c r="E43" s="135">
        <v>38905.919999999969</v>
      </c>
      <c r="F43" s="87">
        <v>27088.559999999987</v>
      </c>
      <c r="G43" s="87">
        <v>19563.12</v>
      </c>
      <c r="H43" s="87">
        <v>3110.4</v>
      </c>
      <c r="I43" s="87">
        <v>60006.960000000014</v>
      </c>
      <c r="J43" s="87">
        <v>35361.360000000001</v>
      </c>
      <c r="K43" s="87">
        <v>51321.600000000013</v>
      </c>
      <c r="L43" s="87">
        <v>24757.920000000002</v>
      </c>
      <c r="M43" s="87">
        <v>31691.519999999993</v>
      </c>
      <c r="N43" s="87">
        <v>54794.879999999976</v>
      </c>
      <c r="O43" s="87">
        <v>25114.319999999989</v>
      </c>
      <c r="P43" s="87">
        <v>14230.080000000004</v>
      </c>
      <c r="Q43" s="87">
        <v>19617.120000000003</v>
      </c>
      <c r="R43" s="87">
        <v>22502.880000000001</v>
      </c>
      <c r="S43" s="87">
        <v>25557.119999999992</v>
      </c>
      <c r="T43" s="88">
        <v>15178.320000000003</v>
      </c>
      <c r="U43" s="88">
        <v>19656</v>
      </c>
      <c r="V43" s="88">
        <v>16042.320000000005</v>
      </c>
      <c r="W43" s="88">
        <v>18846.000000000004</v>
      </c>
      <c r="X43" s="88">
        <v>26803.439999999999</v>
      </c>
      <c r="Y43" s="88">
        <v>8298.7199999999993</v>
      </c>
      <c r="Z43" s="87">
        <v>29311.19999999999</v>
      </c>
      <c r="AA43" s="86">
        <v>35881.919999999984</v>
      </c>
      <c r="AB43" s="87">
        <v>21211.200000000001</v>
      </c>
      <c r="AC43" s="86">
        <v>15552.000000000004</v>
      </c>
      <c r="AD43" s="89">
        <v>24662.879999999997</v>
      </c>
      <c r="AE43" s="88">
        <v>5006.880000000001</v>
      </c>
      <c r="AF43" s="88">
        <v>41891.039999999972</v>
      </c>
      <c r="AG43" s="88">
        <v>3913.92</v>
      </c>
      <c r="AH43" s="88">
        <v>28555.19999999999</v>
      </c>
      <c r="AI43" s="88">
        <v>32719.679999999993</v>
      </c>
      <c r="AJ43" s="115">
        <v>24700</v>
      </c>
      <c r="AK43" s="87">
        <v>0</v>
      </c>
      <c r="AL43" s="87">
        <v>25122.959999999992</v>
      </c>
      <c r="AM43" s="91">
        <f t="shared" si="16"/>
        <v>1.0171238866396757</v>
      </c>
      <c r="AN43" s="87">
        <f t="shared" si="15"/>
        <v>25122.959999999992</v>
      </c>
      <c r="AO43" s="92">
        <f t="shared" si="18"/>
        <v>1.0171238866396757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166</v>
      </c>
      <c r="B44" s="75" t="s">
        <v>132</v>
      </c>
      <c r="C44" s="136" t="s">
        <v>131</v>
      </c>
      <c r="D44" s="77" t="s">
        <v>139</v>
      </c>
      <c r="E44" s="130">
        <v>14893.824000000002</v>
      </c>
      <c r="F44" s="79">
        <v>33824.591999999997</v>
      </c>
      <c r="G44" s="79">
        <v>12243.192000000001</v>
      </c>
      <c r="H44" s="79">
        <v>50034.864000000016</v>
      </c>
      <c r="I44" s="79">
        <v>38277.360000000001</v>
      </c>
      <c r="J44" s="79">
        <v>19904.400000000001</v>
      </c>
      <c r="K44" s="79">
        <v>72370.080000000002</v>
      </c>
      <c r="L44" s="79">
        <v>56389.056000000011</v>
      </c>
      <c r="M44" s="79">
        <v>60447.6</v>
      </c>
      <c r="N44" s="79">
        <v>14572.656000000003</v>
      </c>
      <c r="O44" s="79">
        <v>11965.272000000001</v>
      </c>
      <c r="P44" s="79">
        <v>15848.616000000002</v>
      </c>
      <c r="Q44" s="79">
        <v>29334.095999999994</v>
      </c>
      <c r="R44" s="79">
        <v>16109.423999999999</v>
      </c>
      <c r="S44" s="79">
        <v>38030.088000000011</v>
      </c>
      <c r="T44" s="80">
        <v>24241.896000000008</v>
      </c>
      <c r="U44" s="80">
        <v>32552.520000000004</v>
      </c>
      <c r="V44" s="80">
        <v>37877.423999999999</v>
      </c>
      <c r="W44" s="80">
        <v>43102.152000000002</v>
      </c>
      <c r="X44" s="80">
        <v>27770.496000000003</v>
      </c>
      <c r="Y44" s="80">
        <v>29934.624000000003</v>
      </c>
      <c r="Z44" s="79">
        <v>24379.872000000007</v>
      </c>
      <c r="AA44" s="78">
        <v>18615.527999999998</v>
      </c>
      <c r="AB44" s="79">
        <v>11238.671999999999</v>
      </c>
      <c r="AC44" s="78">
        <v>30452.376000000011</v>
      </c>
      <c r="AD44" s="81">
        <v>17986.079999999998</v>
      </c>
      <c r="AE44" s="80">
        <v>28060.632000000001</v>
      </c>
      <c r="AF44" s="80">
        <v>0</v>
      </c>
      <c r="AG44" s="80">
        <v>28857.360000000004</v>
      </c>
      <c r="AH44" s="80">
        <v>31208.208000000002</v>
      </c>
      <c r="AI44" s="80">
        <v>44940.719999999994</v>
      </c>
      <c r="AJ44" s="82">
        <v>30400</v>
      </c>
      <c r="AK44" s="79">
        <v>2877.74</v>
      </c>
      <c r="AL44" s="79">
        <v>20492.112000000005</v>
      </c>
      <c r="AM44" s="83">
        <f t="shared" si="16"/>
        <v>0.67408263157894754</v>
      </c>
      <c r="AN44" s="79">
        <f t="shared" si="15"/>
        <v>23369.852000000006</v>
      </c>
      <c r="AO44" s="84">
        <f t="shared" si="18"/>
        <v>0.76874513157894753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166</v>
      </c>
      <c r="B45" s="64" t="s">
        <v>132</v>
      </c>
      <c r="C45" s="134" t="s">
        <v>128</v>
      </c>
      <c r="D45" s="66" t="s">
        <v>140</v>
      </c>
      <c r="E45" s="137">
        <v>10498.584000000001</v>
      </c>
      <c r="F45" s="138">
        <v>-5494.6320000000014</v>
      </c>
      <c r="G45" s="124">
        <v>2936.16</v>
      </c>
      <c r="H45" s="124">
        <v>8342.3040000000019</v>
      </c>
      <c r="I45" s="124">
        <v>6865.1039999999994</v>
      </c>
      <c r="J45" s="124">
        <v>17089.920000000002</v>
      </c>
      <c r="K45" s="124">
        <v>13242.240000000002</v>
      </c>
      <c r="L45" s="124">
        <v>1301.7600000000002</v>
      </c>
      <c r="M45" s="124">
        <v>0</v>
      </c>
      <c r="N45" s="124">
        <v>0</v>
      </c>
      <c r="O45" s="124">
        <v>11240.496000000001</v>
      </c>
      <c r="P45" s="124">
        <v>0</v>
      </c>
      <c r="Q45" s="124">
        <v>3329.8560000000002</v>
      </c>
      <c r="R45" s="124">
        <v>13092.552000000001</v>
      </c>
      <c r="S45" s="124">
        <v>451.00800000000004</v>
      </c>
      <c r="T45" s="125">
        <v>2678.424</v>
      </c>
      <c r="U45" s="125">
        <v>3823.2000000000003</v>
      </c>
      <c r="V45" s="125">
        <v>8457.5999999999985</v>
      </c>
      <c r="W45" s="125">
        <v>4891.1040000000003</v>
      </c>
      <c r="X45" s="125">
        <v>1710.72</v>
      </c>
      <c r="Y45" s="125">
        <v>2631.7440000000001</v>
      </c>
      <c r="Z45" s="124">
        <v>11648.160000000003</v>
      </c>
      <c r="AA45" s="123">
        <v>-3344.7360000000003</v>
      </c>
      <c r="AB45" s="124">
        <v>4666.0320000000011</v>
      </c>
      <c r="AC45" s="123">
        <v>-3794.9760000000001</v>
      </c>
      <c r="AD45" s="126">
        <v>1798.56</v>
      </c>
      <c r="AE45" s="125">
        <v>4066.2720000000008</v>
      </c>
      <c r="AF45" s="125">
        <v>1162.6559999999999</v>
      </c>
      <c r="AG45" s="125">
        <v>4286.5920000000006</v>
      </c>
      <c r="AH45" s="125">
        <v>0</v>
      </c>
      <c r="AI45" s="125">
        <v>9381.5040000000008</v>
      </c>
      <c r="AJ45" s="127">
        <v>2600</v>
      </c>
      <c r="AK45" s="124">
        <v>1054.6600000000001</v>
      </c>
      <c r="AL45" s="124">
        <v>283.36799999999999</v>
      </c>
      <c r="AM45" s="128">
        <f t="shared" si="16"/>
        <v>0.1089876923076923</v>
      </c>
      <c r="AN45" s="124">
        <f t="shared" si="15"/>
        <v>1338.028</v>
      </c>
      <c r="AO45" s="129">
        <f t="shared" si="18"/>
        <v>0.51462615384615384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166</v>
      </c>
      <c r="B46" s="140"/>
      <c r="C46" s="141"/>
      <c r="D46" s="142" t="s">
        <v>141</v>
      </c>
      <c r="E46" s="143">
        <f t="shared" ref="E46:AD46" si="22">+SUM(E38:E45)</f>
        <v>285772.60800000001</v>
      </c>
      <c r="F46" s="144">
        <f t="shared" si="22"/>
        <v>126568.77599999997</v>
      </c>
      <c r="G46" s="144">
        <f t="shared" si="22"/>
        <v>113550.864</v>
      </c>
      <c r="H46" s="144">
        <f t="shared" si="22"/>
        <v>194769.24000000005</v>
      </c>
      <c r="I46" s="144">
        <f t="shared" si="22"/>
        <v>292702.272</v>
      </c>
      <c r="J46" s="144">
        <f t="shared" si="22"/>
        <v>205242.71999999997</v>
      </c>
      <c r="K46" s="144">
        <f t="shared" si="22"/>
        <v>346083.04799999995</v>
      </c>
      <c r="L46" s="144">
        <f t="shared" si="22"/>
        <v>232319.61600000004</v>
      </c>
      <c r="M46" s="144">
        <f t="shared" si="22"/>
        <v>124734.76799999998</v>
      </c>
      <c r="N46" s="144">
        <f t="shared" si="22"/>
        <v>232205.47199999995</v>
      </c>
      <c r="O46" s="144">
        <f t="shared" si="22"/>
        <v>129373.12799999998</v>
      </c>
      <c r="P46" s="144">
        <f t="shared" si="22"/>
        <v>151363.65600000002</v>
      </c>
      <c r="Q46" s="145">
        <f t="shared" si="22"/>
        <v>210172.79999999996</v>
      </c>
      <c r="R46" s="144">
        <f t="shared" si="22"/>
        <v>182533.39200000002</v>
      </c>
      <c r="S46" s="143">
        <f t="shared" si="22"/>
        <v>125658.31200000001</v>
      </c>
      <c r="T46" s="143">
        <f t="shared" si="22"/>
        <v>138821.13600000003</v>
      </c>
      <c r="U46" s="143">
        <f t="shared" si="22"/>
        <v>211066.65600000002</v>
      </c>
      <c r="V46" s="143">
        <f t="shared" si="22"/>
        <v>162859.99200000003</v>
      </c>
      <c r="W46" s="143">
        <f t="shared" si="22"/>
        <v>172812.19200000001</v>
      </c>
      <c r="X46" s="143">
        <f t="shared" si="22"/>
        <v>131423.47200000001</v>
      </c>
      <c r="Y46" s="144">
        <f t="shared" si="22"/>
        <v>143971.20000000001</v>
      </c>
      <c r="Z46" s="143">
        <f t="shared" si="22"/>
        <v>152416.53599999999</v>
      </c>
      <c r="AA46" s="143">
        <f t="shared" si="22"/>
        <v>129021.07199999996</v>
      </c>
      <c r="AB46" s="143">
        <f t="shared" si="22"/>
        <v>104207.64000000001</v>
      </c>
      <c r="AC46" s="143">
        <f t="shared" si="22"/>
        <v>192882.74400000001</v>
      </c>
      <c r="AD46" s="146">
        <f t="shared" si="22"/>
        <v>107257.10399999993</v>
      </c>
      <c r="AE46" s="145">
        <v>134924.56800000003</v>
      </c>
      <c r="AF46" s="145">
        <v>128423.92799999994</v>
      </c>
      <c r="AG46" s="145">
        <v>117780.38399999999</v>
      </c>
      <c r="AH46" s="145">
        <v>151364.90400000001</v>
      </c>
      <c r="AI46" s="145">
        <v>247067.016</v>
      </c>
      <c r="AJ46" s="147">
        <v>150000</v>
      </c>
      <c r="AK46" s="144">
        <f>SUM(AK38:AK45)</f>
        <v>30155.759999999998</v>
      </c>
      <c r="AL46" s="144">
        <f>SUM(AL38:AL45)</f>
        <v>106380.48</v>
      </c>
      <c r="AM46" s="148">
        <f t="shared" si="16"/>
        <v>0.70920319999999992</v>
      </c>
      <c r="AN46" s="144">
        <f t="shared" si="15"/>
        <v>136536.24</v>
      </c>
      <c r="AO46" s="149">
        <f t="shared" si="18"/>
        <v>0.91024159999999998</v>
      </c>
      <c r="AP46" s="150"/>
      <c r="AQ46" s="150"/>
      <c r="AR46" s="108"/>
      <c r="AS46" s="47"/>
    </row>
    <row r="47" spans="1:48" ht="12.5" customHeight="1" thickBot="1" x14ac:dyDescent="0.3">
      <c r="A47" s="45" t="s">
        <v>166</v>
      </c>
      <c r="B47" s="151" t="s">
        <v>142</v>
      </c>
      <c r="C47" s="152"/>
      <c r="D47" s="153" t="s">
        <v>5</v>
      </c>
      <c r="E47" s="154">
        <f t="shared" ref="E47:X47" si="23">+E18+E22+E28+E30+E33+E37+E46</f>
        <v>1064244.216</v>
      </c>
      <c r="F47" s="155">
        <f t="shared" si="23"/>
        <v>937366.36800000002</v>
      </c>
      <c r="G47" s="155">
        <f t="shared" si="23"/>
        <v>1066497.3600000001</v>
      </c>
      <c r="H47" s="155">
        <f t="shared" si="23"/>
        <v>1199908.7040000004</v>
      </c>
      <c r="I47" s="155">
        <f t="shared" si="23"/>
        <v>1286745.6720000003</v>
      </c>
      <c r="J47" s="155">
        <f t="shared" si="23"/>
        <v>1119846.5040000002</v>
      </c>
      <c r="K47" s="155">
        <f t="shared" si="23"/>
        <v>1028174.6879999998</v>
      </c>
      <c r="L47" s="155">
        <f t="shared" si="23"/>
        <v>1097903.3759999995</v>
      </c>
      <c r="M47" s="155">
        <f t="shared" si="23"/>
        <v>782358.16800000006</v>
      </c>
      <c r="N47" s="155">
        <f t="shared" si="23"/>
        <v>1022925.3599999999</v>
      </c>
      <c r="O47" s="155">
        <f t="shared" si="23"/>
        <v>929086.08</v>
      </c>
      <c r="P47" s="155">
        <f t="shared" si="23"/>
        <v>899120.78400000022</v>
      </c>
      <c r="Q47" s="156">
        <f t="shared" si="23"/>
        <v>893737.13600000006</v>
      </c>
      <c r="R47" s="155">
        <f t="shared" si="23"/>
        <v>961018.95200000005</v>
      </c>
      <c r="S47" s="154">
        <v>779609.35999999987</v>
      </c>
      <c r="T47" s="154">
        <f t="shared" si="23"/>
        <v>815715.3679999999</v>
      </c>
      <c r="U47" s="154">
        <f t="shared" si="23"/>
        <v>755234.88800000027</v>
      </c>
      <c r="V47" s="154">
        <f t="shared" si="23"/>
        <v>929821.96800000034</v>
      </c>
      <c r="W47" s="157">
        <f t="shared" si="23"/>
        <v>879197.47200000007</v>
      </c>
      <c r="X47" s="157">
        <f t="shared" si="23"/>
        <v>865265.32000000007</v>
      </c>
      <c r="Y47" s="158">
        <v>815330.29600000009</v>
      </c>
      <c r="Z47" s="157">
        <v>908636.59199999983</v>
      </c>
      <c r="AA47" s="157">
        <v>1003896.6799999999</v>
      </c>
      <c r="AB47" s="157">
        <v>840398.09599999979</v>
      </c>
      <c r="AC47" s="157">
        <v>898375.8</v>
      </c>
      <c r="AD47" s="194">
        <v>877289.37599999981</v>
      </c>
      <c r="AE47" s="159">
        <v>822204</v>
      </c>
      <c r="AF47" s="159">
        <v>871023.64800000016</v>
      </c>
      <c r="AG47" s="159">
        <v>979013.06400000025</v>
      </c>
      <c r="AH47" s="159">
        <v>865325.18400000001</v>
      </c>
      <c r="AI47" s="159">
        <v>1026109.9439999999</v>
      </c>
      <c r="AJ47" s="160">
        <v>911000</v>
      </c>
      <c r="AK47" s="158">
        <f>+AK18+AK22+AK28+AK30+AK33+AK37+AK46</f>
        <v>303845.06000000006</v>
      </c>
      <c r="AL47" s="158">
        <f>+AL18+AL22+AL28+AL30+AL33+AL37+AL46</f>
        <v>477518.78399999999</v>
      </c>
      <c r="AM47" s="161">
        <f t="shared" si="16"/>
        <v>0.52416990559824372</v>
      </c>
      <c r="AN47" s="158">
        <f>+AN18+AN22+AN28+AN30+AN33+AN37+AN46</f>
        <v>781363.84400000004</v>
      </c>
      <c r="AO47" s="162">
        <f t="shared" si="18"/>
        <v>0.8576990603732163</v>
      </c>
      <c r="AP47" s="150"/>
      <c r="AQ47" s="150"/>
    </row>
    <row r="48" spans="1:48" ht="12.75" hidden="1" customHeight="1" x14ac:dyDescent="0.25">
      <c r="A48" s="45" t="s">
        <v>166</v>
      </c>
      <c r="B48" s="75" t="s">
        <v>143</v>
      </c>
      <c r="C48" s="76" t="s">
        <v>144</v>
      </c>
      <c r="D48" s="163" t="s">
        <v>145</v>
      </c>
      <c r="E48" s="164">
        <v>0</v>
      </c>
      <c r="F48" s="164">
        <v>0</v>
      </c>
      <c r="G48" s="164">
        <v>0</v>
      </c>
      <c r="H48" s="164">
        <v>0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0</v>
      </c>
      <c r="O48" s="164"/>
      <c r="P48" s="164"/>
      <c r="Q48" s="164"/>
      <c r="R48" s="164"/>
      <c r="S48" s="165"/>
      <c r="T48" s="165">
        <v>0</v>
      </c>
      <c r="U48" s="165">
        <v>0</v>
      </c>
      <c r="V48" s="165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6"/>
        <v>0</v>
      </c>
      <c r="AN48" s="79">
        <f t="shared" si="15"/>
        <v>0</v>
      </c>
      <c r="AO48" s="84">
        <f t="shared" si="18"/>
        <v>0</v>
      </c>
      <c r="AP48" s="49" t="s">
        <v>144</v>
      </c>
    </row>
    <row r="49" spans="1:46" ht="12.75" hidden="1" customHeight="1" x14ac:dyDescent="0.25">
      <c r="A49" s="45" t="s">
        <v>166</v>
      </c>
      <c r="B49" s="64" t="s">
        <v>143</v>
      </c>
      <c r="C49" s="65" t="s">
        <v>144</v>
      </c>
      <c r="D49" s="167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9">
        <v>0</v>
      </c>
      <c r="U49" s="169">
        <v>77142.240000000005</v>
      </c>
      <c r="V49" s="169">
        <v>6419.52</v>
      </c>
      <c r="W49" s="87">
        <v>123478.56000000001</v>
      </c>
      <c r="X49" s="87">
        <v>5693.76</v>
      </c>
      <c r="Y49" s="87">
        <v>0</v>
      </c>
      <c r="Z49" s="87">
        <v>0</v>
      </c>
      <c r="AA49" s="87">
        <v>35663.760000000002</v>
      </c>
      <c r="AB49" s="87">
        <v>2993.76</v>
      </c>
      <c r="AC49" s="87">
        <v>0</v>
      </c>
      <c r="AD49" s="87">
        <v>0</v>
      </c>
      <c r="AE49" s="87">
        <v>0</v>
      </c>
      <c r="AF49" s="87">
        <v>21816.000000000004</v>
      </c>
      <c r="AG49" s="87">
        <v>24941.520000000004</v>
      </c>
      <c r="AH49" s="87">
        <v>60652.800000000003</v>
      </c>
      <c r="AI49" s="88">
        <v>31838.400000000001</v>
      </c>
      <c r="AJ49" s="90"/>
      <c r="AK49" s="87">
        <v>0</v>
      </c>
      <c r="AL49" s="87">
        <v>0</v>
      </c>
      <c r="AM49" s="91">
        <f t="shared" si="16"/>
        <v>0</v>
      </c>
      <c r="AN49" s="87">
        <f t="shared" si="15"/>
        <v>0</v>
      </c>
      <c r="AO49" s="92">
        <f t="shared" si="18"/>
        <v>0</v>
      </c>
      <c r="AP49" s="49" t="s">
        <v>144</v>
      </c>
    </row>
    <row r="50" spans="1:46" ht="12.75" hidden="1" customHeight="1" x14ac:dyDescent="0.25">
      <c r="A50" s="45" t="s">
        <v>166</v>
      </c>
      <c r="B50" s="75" t="s">
        <v>143</v>
      </c>
      <c r="C50" s="76" t="s">
        <v>144</v>
      </c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1">
        <v>0</v>
      </c>
      <c r="U50" s="171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6"/>
        <v>0</v>
      </c>
      <c r="AN50" s="79">
        <f>+AK50+AL50</f>
        <v>0</v>
      </c>
      <c r="AO50" s="84">
        <f t="shared" si="18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18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5" t="s">
        <v>166</v>
      </c>
      <c r="B52" s="75" t="s">
        <v>151</v>
      </c>
      <c r="C52" s="76" t="s">
        <v>152</v>
      </c>
      <c r="D52" s="163" t="s">
        <v>151</v>
      </c>
      <c r="E52" s="170">
        <v>21600</v>
      </c>
      <c r="F52" s="170">
        <v>21600</v>
      </c>
      <c r="G52" s="170">
        <v>0</v>
      </c>
      <c r="H52" s="170">
        <v>43200</v>
      </c>
      <c r="I52" s="170">
        <v>41275.440000000002</v>
      </c>
      <c r="J52" s="170">
        <v>21600</v>
      </c>
      <c r="K52" s="170">
        <v>78701.760000000009</v>
      </c>
      <c r="L52" s="170">
        <v>62691.839999999997</v>
      </c>
      <c r="M52" s="170">
        <v>86400</v>
      </c>
      <c r="N52" s="170">
        <v>64800</v>
      </c>
      <c r="O52" s="170"/>
      <c r="P52" s="170"/>
      <c r="Q52" s="170"/>
      <c r="R52" s="170"/>
      <c r="S52" s="171"/>
      <c r="T52" s="171">
        <v>86400</v>
      </c>
      <c r="U52" s="171">
        <v>64478.16</v>
      </c>
      <c r="V52" s="171">
        <v>64800</v>
      </c>
      <c r="W52" s="79">
        <v>85281.12</v>
      </c>
      <c r="X52" s="79">
        <v>85017.600000000006</v>
      </c>
      <c r="Y52" s="79">
        <v>64800</v>
      </c>
      <c r="Z52" s="79">
        <v>60413.04</v>
      </c>
      <c r="AA52" s="79">
        <v>64800</v>
      </c>
      <c r="AB52" s="79">
        <v>86400</v>
      </c>
      <c r="AC52" s="79">
        <v>64800</v>
      </c>
      <c r="AD52" s="79">
        <v>86076</v>
      </c>
      <c r="AE52" s="79">
        <v>21600</v>
      </c>
      <c r="AF52" s="79">
        <v>43200</v>
      </c>
      <c r="AG52" s="79">
        <v>43200</v>
      </c>
      <c r="AH52" s="79">
        <v>64800</v>
      </c>
      <c r="AI52" s="80">
        <v>28900.799999999999</v>
      </c>
      <c r="AJ52" s="82">
        <v>64800</v>
      </c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166</v>
      </c>
      <c r="B53" s="64" t="s">
        <v>143</v>
      </c>
      <c r="C53" s="65" t="s">
        <v>154</v>
      </c>
      <c r="D53" s="167" t="s">
        <v>155</v>
      </c>
      <c r="E53" s="168">
        <v>28.069000000000003</v>
      </c>
      <c r="F53" s="168">
        <v>4686.0900000000092</v>
      </c>
      <c r="G53" s="168">
        <v>1555.4549999999988</v>
      </c>
      <c r="H53" s="168">
        <v>3174.2500000000059</v>
      </c>
      <c r="I53" s="168">
        <v>1785.2610000000004</v>
      </c>
      <c r="J53" s="168">
        <v>60.947999999999993</v>
      </c>
      <c r="K53" s="168">
        <v>89.263999999999996</v>
      </c>
      <c r="L53" s="168">
        <v>8.64</v>
      </c>
      <c r="M53" s="168">
        <v>273.42</v>
      </c>
      <c r="N53" s="168">
        <v>120.40800000000003</v>
      </c>
      <c r="O53" s="168"/>
      <c r="P53" s="168"/>
      <c r="Q53" s="168"/>
      <c r="R53" s="168"/>
      <c r="S53" s="169"/>
      <c r="T53" s="169">
        <v>3.0960000000000001</v>
      </c>
      <c r="U53" s="169">
        <v>2.5030000000000001</v>
      </c>
      <c r="V53" s="169">
        <v>23.828000000000038</v>
      </c>
      <c r="W53" s="87">
        <v>17.263000000000005</v>
      </c>
      <c r="X53" s="87">
        <v>0.25800000000000001</v>
      </c>
      <c r="Y53" s="87">
        <v>7.2530000000000001</v>
      </c>
      <c r="Z53" s="87">
        <v>39.168999999999997</v>
      </c>
      <c r="AA53" s="87">
        <v>67.737000000000009</v>
      </c>
      <c r="AB53" s="87">
        <v>43.624999999999993</v>
      </c>
      <c r="AC53" s="87">
        <v>4.5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ref="AO53:AO55" si="24">IFERROR(+AN53/AJ53,0)</f>
        <v>0</v>
      </c>
      <c r="AP53" s="50" t="s">
        <v>154</v>
      </c>
      <c r="AQ53" s="50"/>
    </row>
    <row r="54" spans="1:46" ht="12.75" hidden="1" customHeight="1" x14ac:dyDescent="0.25">
      <c r="A54" s="45" t="s">
        <v>166</v>
      </c>
      <c r="B54" s="75" t="s">
        <v>143</v>
      </c>
      <c r="C54" s="76" t="s">
        <v>156</v>
      </c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1">
        <v>0</v>
      </c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5"/>
        <v>0</v>
      </c>
      <c r="AO54" s="84">
        <f t="shared" si="24"/>
        <v>0</v>
      </c>
      <c r="AP54" s="49" t="s">
        <v>156</v>
      </c>
    </row>
    <row r="55" spans="1:46" ht="12.75" hidden="1" customHeight="1" thickBot="1" x14ac:dyDescent="0.3">
      <c r="A55" s="45" t="s">
        <v>166</v>
      </c>
      <c r="B55" s="64" t="s">
        <v>143</v>
      </c>
      <c r="C55" s="65"/>
      <c r="D55" s="167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9">
        <v>0</v>
      </c>
      <c r="U55" s="169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16"/>
        <v>0</v>
      </c>
      <c r="AN55" s="87">
        <f t="shared" si="15"/>
        <v>0</v>
      </c>
      <c r="AO55" s="92">
        <f t="shared" si="24"/>
        <v>0</v>
      </c>
      <c r="AP55" s="50"/>
      <c r="AQ55" s="50"/>
    </row>
    <row r="56" spans="1:46" ht="12.75" hidden="1" customHeight="1" thickBot="1" x14ac:dyDescent="0.3">
      <c r="A56" s="45" t="s">
        <v>166</v>
      </c>
      <c r="B56" s="173"/>
      <c r="C56" s="174"/>
      <c r="D56" s="152" t="s">
        <v>158</v>
      </c>
      <c r="E56" s="155">
        <v>1085872.2850000001</v>
      </c>
      <c r="F56" s="155">
        <v>963652.45799999998</v>
      </c>
      <c r="G56" s="155">
        <v>1068052.8150000002</v>
      </c>
      <c r="H56" s="155">
        <v>1246282.9540000001</v>
      </c>
      <c r="I56" s="155">
        <v>1329806.3729999999</v>
      </c>
      <c r="J56" s="155">
        <v>1141507.4520000003</v>
      </c>
      <c r="K56" s="155">
        <v>1106965.7119999998</v>
      </c>
      <c r="L56" s="155">
        <v>1160603.8559999997</v>
      </c>
      <c r="M56" s="155">
        <v>869031.58800000022</v>
      </c>
      <c r="N56" s="155">
        <v>1087845.7680000002</v>
      </c>
      <c r="O56" s="155"/>
      <c r="P56" s="155"/>
      <c r="Q56" s="155"/>
      <c r="R56" s="155"/>
      <c r="S56" s="155"/>
      <c r="T56" s="155">
        <v>902118.46399999992</v>
      </c>
      <c r="U56" s="155">
        <v>896857.79100000032</v>
      </c>
      <c r="V56" s="155">
        <v>1001065.3160000003</v>
      </c>
      <c r="W56" s="175">
        <v>1087974.415</v>
      </c>
      <c r="X56" s="175">
        <v>955976.93800000008</v>
      </c>
      <c r="Y56" s="175">
        <v>880137.54900000012</v>
      </c>
      <c r="Z56" s="175">
        <v>969088.80099999986</v>
      </c>
      <c r="AA56" s="175">
        <v>1104428.1769999999</v>
      </c>
      <c r="AB56" s="175">
        <v>929835.4809999998</v>
      </c>
      <c r="AC56" s="175">
        <v>800432.076</v>
      </c>
      <c r="AD56" s="175">
        <v>963365.37599999981</v>
      </c>
      <c r="AE56" s="175">
        <v>843804</v>
      </c>
      <c r="AF56" s="175">
        <v>936039.64800000016</v>
      </c>
      <c r="AG56" s="175">
        <v>1047154.5840000003</v>
      </c>
      <c r="AH56" s="175">
        <v>990777.98400000005</v>
      </c>
      <c r="AI56" s="176">
        <v>1086849.1439999999</v>
      </c>
      <c r="AJ56" s="177">
        <v>975800</v>
      </c>
      <c r="AK56" s="175">
        <f>+AK47+SUM(AK48:AK55)</f>
        <v>303845.06000000006</v>
      </c>
      <c r="AL56" s="175">
        <f>SUM(AL47:AL55)</f>
        <v>477518.78399999999</v>
      </c>
      <c r="AM56" s="178">
        <f t="shared" si="16"/>
        <v>0.48936132814101246</v>
      </c>
      <c r="AN56" s="175">
        <f>+AK56+AL56</f>
        <v>781363.84400000004</v>
      </c>
      <c r="AO56" s="179">
        <f>IFERROR(+AN56/AJ56,0)</f>
        <v>0.80074179544988733</v>
      </c>
      <c r="AP56" s="50"/>
      <c r="AQ56" s="50"/>
    </row>
    <row r="57" spans="1:46" x14ac:dyDescent="0.25">
      <c r="A57" s="47" t="s">
        <v>166</v>
      </c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-2.9103830456733704E-10</v>
      </c>
      <c r="AL57" s="196">
        <v>-1.2223608791828156E-9</v>
      </c>
      <c r="AM57" s="197"/>
      <c r="AO57" s="198"/>
    </row>
    <row r="58" spans="1:46" ht="13" thickBot="1" x14ac:dyDescent="0.3">
      <c r="A58" s="47"/>
      <c r="B58" s="47"/>
      <c r="C58" s="47"/>
      <c r="D58" s="180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95"/>
      <c r="AK58" s="196"/>
      <c r="AL58" s="196"/>
      <c r="AM58" s="197"/>
      <c r="AO58" s="198"/>
    </row>
    <row r="59" spans="1:46" ht="20.5" thickBot="1" x14ac:dyDescent="0.3">
      <c r="B59" s="52" t="s">
        <v>168</v>
      </c>
      <c r="C59" s="53"/>
      <c r="D59" s="53"/>
      <c r="E59" s="53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60"/>
      <c r="T59" s="60"/>
      <c r="U59" s="60"/>
      <c r="V59" s="60"/>
      <c r="W59" s="60" t="s">
        <v>54</v>
      </c>
      <c r="X59" s="60" t="s">
        <v>55</v>
      </c>
      <c r="Y59" s="60" t="s">
        <v>56</v>
      </c>
      <c r="Z59" s="60" t="s">
        <v>57</v>
      </c>
      <c r="AA59" s="60" t="s">
        <v>58</v>
      </c>
      <c r="AB59" s="60" t="s">
        <v>59</v>
      </c>
      <c r="AC59" s="60" t="s">
        <v>60</v>
      </c>
      <c r="AD59" s="60" t="s">
        <v>61</v>
      </c>
      <c r="AE59" s="56" t="s">
        <v>62</v>
      </c>
      <c r="AF59" s="55" t="s">
        <v>63</v>
      </c>
      <c r="AG59" s="55" t="s">
        <v>64</v>
      </c>
      <c r="AH59" s="55" t="s">
        <v>69</v>
      </c>
      <c r="AI59" s="55" t="s">
        <v>69</v>
      </c>
      <c r="AJ59" s="60" t="str">
        <f>+AJ2</f>
        <v>Meta Febrero '26</v>
      </c>
      <c r="AK59" s="60" t="s">
        <v>68</v>
      </c>
      <c r="AL59" s="60" t="s">
        <v>69</v>
      </c>
      <c r="AM59" s="60" t="s">
        <v>70</v>
      </c>
      <c r="AN59" s="60" t="s">
        <v>5</v>
      </c>
      <c r="AO59" s="199" t="s">
        <v>7</v>
      </c>
    </row>
    <row r="60" spans="1:46" ht="13" thickBot="1" x14ac:dyDescent="0.3">
      <c r="B60" s="200"/>
      <c r="C60" s="201"/>
      <c r="D60" s="202" t="s">
        <v>169</v>
      </c>
      <c r="E60" s="202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>
        <v>0</v>
      </c>
      <c r="X60" s="203">
        <v>2652.4800000000005</v>
      </c>
      <c r="Y60" s="203">
        <v>2652.4800000000005</v>
      </c>
      <c r="Z60" s="203">
        <v>2652.48</v>
      </c>
      <c r="AA60" s="203">
        <v>0</v>
      </c>
      <c r="AB60" s="203">
        <v>2652.4800000000005</v>
      </c>
      <c r="AC60" s="203">
        <v>0</v>
      </c>
      <c r="AD60" s="203">
        <v>0</v>
      </c>
      <c r="AE60" s="203">
        <v>0</v>
      </c>
      <c r="AF60" s="203"/>
      <c r="AG60" s="203">
        <v>0</v>
      </c>
      <c r="AH60" s="203">
        <v>0</v>
      </c>
      <c r="AI60" s="203">
        <v>0</v>
      </c>
      <c r="AJ60" s="203"/>
      <c r="AK60" s="203">
        <v>0</v>
      </c>
      <c r="AL60" s="203">
        <v>0</v>
      </c>
      <c r="AM60" s="204"/>
      <c r="AN60" s="203"/>
      <c r="AO60" s="205"/>
    </row>
    <row r="113" spans="2:3" x14ac:dyDescent="0.25">
      <c r="B113" s="187"/>
      <c r="C113" s="187"/>
    </row>
    <row r="123" spans="2:3" x14ac:dyDescent="0.25">
      <c r="B123" s="187"/>
      <c r="C123" s="18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378D-E1FB-4D93-A03A-3C745E73C8FA}">
  <dimension ref="A1:AV122"/>
  <sheetViews>
    <sheetView showGridLines="0" zoomScale="88" zoomScaleNormal="88" workbookViewId="0">
      <pane xSplit="4" ySplit="2" topLeftCell="AI28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170</v>
      </c>
      <c r="C1" s="47" t="s">
        <v>171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18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5" t="s">
        <v>170</v>
      </c>
      <c r="B3" s="64" t="s">
        <v>71</v>
      </c>
      <c r="C3" s="65" t="s">
        <v>72</v>
      </c>
      <c r="D3" s="66" t="s">
        <v>73</v>
      </c>
      <c r="E3" s="67">
        <v>0</v>
      </c>
      <c r="F3" s="68">
        <v>0</v>
      </c>
      <c r="G3" s="68">
        <v>0</v>
      </c>
      <c r="H3" s="68">
        <v>0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33" si="2">IFERROR(+AN3/AJ3,0)</f>
        <v>0</v>
      </c>
      <c r="AP3" s="50"/>
      <c r="AQ3" s="50"/>
    </row>
    <row r="4" spans="1:45" ht="12.75" customHeight="1" x14ac:dyDescent="0.25">
      <c r="A4" s="45" t="s">
        <v>170</v>
      </c>
      <c r="B4" s="75" t="s">
        <v>74</v>
      </c>
      <c r="C4" s="76" t="s">
        <v>72</v>
      </c>
      <c r="D4" s="77" t="s">
        <v>75</v>
      </c>
      <c r="E4" s="78">
        <v>5528.6400000000012</v>
      </c>
      <c r="F4" s="79">
        <v>6588.0000000000036</v>
      </c>
      <c r="G4" s="79">
        <v>6656.3200000000024</v>
      </c>
      <c r="H4" s="79">
        <v>8380.8000000000029</v>
      </c>
      <c r="I4" s="78">
        <v>8726.159999999998</v>
      </c>
      <c r="J4" s="79">
        <v>5469.4399999999932</v>
      </c>
      <c r="K4" s="79">
        <v>6471.2000000000007</v>
      </c>
      <c r="L4" s="79">
        <v>5684.8799999999992</v>
      </c>
      <c r="M4" s="79">
        <v>5509.6799999999994</v>
      </c>
      <c r="N4" s="79">
        <v>5945.199999999998</v>
      </c>
      <c r="O4" s="79">
        <v>6251.0399999999981</v>
      </c>
      <c r="P4" s="79">
        <v>5872.0000000000036</v>
      </c>
      <c r="Q4" s="80">
        <v>7558.1600000000117</v>
      </c>
      <c r="R4" s="79">
        <v>7737.5200000000041</v>
      </c>
      <c r="S4" s="78">
        <v>5312.4799999999987</v>
      </c>
      <c r="T4" s="78">
        <v>7273.6800000000048</v>
      </c>
      <c r="U4" s="78">
        <v>6357.1200000000008</v>
      </c>
      <c r="V4" s="78">
        <v>7040.2400000000025</v>
      </c>
      <c r="W4" s="78">
        <v>4750.6399999999967</v>
      </c>
      <c r="X4" s="78">
        <v>8330.0000000000018</v>
      </c>
      <c r="Y4" s="79">
        <v>8022.4800000000041</v>
      </c>
      <c r="Z4" s="78">
        <v>5656.8799999999956</v>
      </c>
      <c r="AA4" s="78">
        <v>5690.2399999999943</v>
      </c>
      <c r="AB4" s="78">
        <v>6312.6400000000012</v>
      </c>
      <c r="AC4" s="78">
        <v>4879.2000000000035</v>
      </c>
      <c r="AD4" s="81">
        <v>5207.3600000000033</v>
      </c>
      <c r="AE4" s="80">
        <v>5288.24</v>
      </c>
      <c r="AF4" s="80">
        <v>7574.0800000000008</v>
      </c>
      <c r="AG4" s="80">
        <v>4602.8799999999965</v>
      </c>
      <c r="AH4" s="80">
        <v>5374.800000000002</v>
      </c>
      <c r="AI4" s="80">
        <v>5151.6800000000012</v>
      </c>
      <c r="AJ4" s="82">
        <v>5583.5206724660347</v>
      </c>
      <c r="AK4" s="79">
        <v>0</v>
      </c>
      <c r="AL4" s="79">
        <v>4368.6399999999976</v>
      </c>
      <c r="AM4" s="83">
        <f t="shared" si="0"/>
        <v>0.78241673242888354</v>
      </c>
      <c r="AN4" s="79">
        <f t="shared" si="1"/>
        <v>4368.6399999999976</v>
      </c>
      <c r="AO4" s="84">
        <f t="shared" si="2"/>
        <v>0.78241673242888354</v>
      </c>
      <c r="AP4" s="50"/>
      <c r="AQ4" s="50"/>
    </row>
    <row r="5" spans="1:45" ht="12.75" customHeight="1" x14ac:dyDescent="0.25">
      <c r="A5" s="45" t="s">
        <v>170</v>
      </c>
      <c r="B5" s="64" t="s">
        <v>74</v>
      </c>
      <c r="C5" s="65" t="s">
        <v>72</v>
      </c>
      <c r="D5" s="66" t="s">
        <v>76</v>
      </c>
      <c r="E5" s="86">
        <v>6461.2800000000107</v>
      </c>
      <c r="F5" s="87">
        <v>9802.4800000000014</v>
      </c>
      <c r="G5" s="87">
        <v>5295.680000000003</v>
      </c>
      <c r="H5" s="87">
        <v>6652.56</v>
      </c>
      <c r="I5" s="86">
        <v>3683.1999999999994</v>
      </c>
      <c r="J5" s="87">
        <v>6817.68</v>
      </c>
      <c r="K5" s="87">
        <v>3358.3999999999987</v>
      </c>
      <c r="L5" s="87">
        <v>4869.9199999999983</v>
      </c>
      <c r="M5" s="87">
        <v>4798.6400000000021</v>
      </c>
      <c r="N5" s="87">
        <v>3336.0000000000005</v>
      </c>
      <c r="O5" s="87">
        <v>4851.6800000000048</v>
      </c>
      <c r="P5" s="87">
        <v>1285.1199999999994</v>
      </c>
      <c r="Q5" s="88">
        <v>3037.9999999999977</v>
      </c>
      <c r="R5" s="87">
        <v>2182.2399999999984</v>
      </c>
      <c r="S5" s="86">
        <v>1764.8799999999992</v>
      </c>
      <c r="T5" s="86">
        <v>2167.5199999999986</v>
      </c>
      <c r="U5" s="86">
        <v>2703.0399999999995</v>
      </c>
      <c r="V5" s="86">
        <v>2320.1599999999985</v>
      </c>
      <c r="W5" s="86">
        <v>1514.7199999999989</v>
      </c>
      <c r="X5" s="86">
        <v>2486.3999999999987</v>
      </c>
      <c r="Y5" s="87">
        <v>2363.1999999999985</v>
      </c>
      <c r="Z5" s="86">
        <v>968.63999999999965</v>
      </c>
      <c r="AA5" s="86">
        <v>3746.1599999999967</v>
      </c>
      <c r="AB5" s="86">
        <v>760.87999999999965</v>
      </c>
      <c r="AC5" s="86">
        <v>2631.9999999999991</v>
      </c>
      <c r="AD5" s="89">
        <v>1549.2799999999993</v>
      </c>
      <c r="AE5" s="88">
        <v>3548.8799999999992</v>
      </c>
      <c r="AF5" s="88">
        <v>1047.9999999999995</v>
      </c>
      <c r="AG5" s="88">
        <v>1307.9199999999996</v>
      </c>
      <c r="AH5" s="88">
        <v>3266.88</v>
      </c>
      <c r="AI5" s="88">
        <v>590.9599999999997</v>
      </c>
      <c r="AJ5" s="90">
        <v>3169.2063336917213</v>
      </c>
      <c r="AK5" s="87">
        <v>0</v>
      </c>
      <c r="AL5" s="87">
        <v>471.36000000000013</v>
      </c>
      <c r="AM5" s="91">
        <f t="shared" si="0"/>
        <v>0.14873124384139602</v>
      </c>
      <c r="AN5" s="87">
        <f t="shared" si="1"/>
        <v>471.36000000000013</v>
      </c>
      <c r="AO5" s="92">
        <f t="shared" si="2"/>
        <v>0.14873124384139602</v>
      </c>
      <c r="AP5" s="50" t="s">
        <v>77</v>
      </c>
      <c r="AQ5" s="50"/>
    </row>
    <row r="6" spans="1:45" ht="12.75" customHeight="1" x14ac:dyDescent="0.25">
      <c r="A6" s="45" t="s">
        <v>170</v>
      </c>
      <c r="B6" s="75" t="s">
        <v>74</v>
      </c>
      <c r="C6" s="76" t="s">
        <v>72</v>
      </c>
      <c r="D6" s="77" t="s">
        <v>78</v>
      </c>
      <c r="E6" s="78">
        <v>1701.9999999999989</v>
      </c>
      <c r="F6" s="79">
        <v>2789.9999999999968</v>
      </c>
      <c r="G6" s="79">
        <v>2205.679999999998</v>
      </c>
      <c r="H6" s="79">
        <v>3058.7999999999993</v>
      </c>
      <c r="I6" s="116">
        <v>2501.5999999999985</v>
      </c>
      <c r="J6" s="79">
        <v>1711.7599999999993</v>
      </c>
      <c r="K6" s="79">
        <v>1511.9999999999993</v>
      </c>
      <c r="L6" s="79">
        <v>1851.7599999999998</v>
      </c>
      <c r="M6" s="79">
        <v>2033.9199999999989</v>
      </c>
      <c r="N6" s="79">
        <v>1852.6399999999987</v>
      </c>
      <c r="O6" s="79">
        <v>2850.559999999999</v>
      </c>
      <c r="P6" s="79">
        <v>1746.7999999999995</v>
      </c>
      <c r="Q6" s="80">
        <v>1859.9199999999992</v>
      </c>
      <c r="R6" s="79">
        <v>2221.199999999998</v>
      </c>
      <c r="S6" s="78">
        <v>2128.239999999998</v>
      </c>
      <c r="T6" s="78">
        <v>2122.3999999999992</v>
      </c>
      <c r="U6" s="78">
        <v>2431.1999999999985</v>
      </c>
      <c r="V6" s="78">
        <v>1903.1999999999994</v>
      </c>
      <c r="W6" s="78">
        <v>1234.32</v>
      </c>
      <c r="X6" s="78">
        <v>2090.9599999999987</v>
      </c>
      <c r="Y6" s="79">
        <v>2408.1599999999989</v>
      </c>
      <c r="Z6" s="78">
        <v>1512.4799999999996</v>
      </c>
      <c r="AA6" s="78">
        <v>985.44</v>
      </c>
      <c r="AB6" s="78">
        <v>956.87999999999977</v>
      </c>
      <c r="AC6" s="78">
        <v>1608.4799999999998</v>
      </c>
      <c r="AD6" s="81">
        <v>915.92000000000007</v>
      </c>
      <c r="AE6" s="80">
        <v>1244.7199999999998</v>
      </c>
      <c r="AF6" s="80">
        <v>1919.7599999999984</v>
      </c>
      <c r="AG6" s="80">
        <v>1609.9199999999989</v>
      </c>
      <c r="AH6" s="80">
        <v>2572.719999999998</v>
      </c>
      <c r="AI6" s="80">
        <v>531.60000000000036</v>
      </c>
      <c r="AJ6" s="82">
        <v>2791.7603362330174</v>
      </c>
      <c r="AK6" s="79">
        <v>135.52000000000001</v>
      </c>
      <c r="AL6" s="79">
        <v>1087.8400000000001</v>
      </c>
      <c r="AM6" s="83">
        <f t="shared" si="0"/>
        <v>0.38966095544857771</v>
      </c>
      <c r="AN6" s="79">
        <f t="shared" si="1"/>
        <v>1223.3600000000001</v>
      </c>
      <c r="AO6" s="84">
        <f t="shared" si="2"/>
        <v>0.43820380428884032</v>
      </c>
      <c r="AP6" s="50"/>
      <c r="AQ6" s="50"/>
    </row>
    <row r="7" spans="1:45" ht="12.75" customHeight="1" x14ac:dyDescent="0.25">
      <c r="A7" s="45" t="s">
        <v>170</v>
      </c>
      <c r="B7" s="64" t="s">
        <v>79</v>
      </c>
      <c r="C7" s="65" t="s">
        <v>72</v>
      </c>
      <c r="D7" s="66" t="s">
        <v>80</v>
      </c>
      <c r="E7" s="86">
        <v>6167.4399999999987</v>
      </c>
      <c r="F7" s="87">
        <v>4474.2399999999889</v>
      </c>
      <c r="G7" s="87">
        <v>5952.9600000000119</v>
      </c>
      <c r="H7" s="87">
        <v>5032.7999999999965</v>
      </c>
      <c r="I7" s="86">
        <v>6530.560000000004</v>
      </c>
      <c r="J7" s="87">
        <v>4234.7199999999912</v>
      </c>
      <c r="K7" s="87">
        <v>4346.3999999999933</v>
      </c>
      <c r="L7" s="87">
        <v>5743.7599999999957</v>
      </c>
      <c r="M7" s="87">
        <v>4681.0399999999909</v>
      </c>
      <c r="N7" s="87">
        <v>6715.5200000000013</v>
      </c>
      <c r="O7" s="87">
        <v>7125.920000000001</v>
      </c>
      <c r="P7" s="87">
        <v>4773.7599999999929</v>
      </c>
      <c r="Q7" s="88">
        <v>5389.680000000003</v>
      </c>
      <c r="R7" s="87">
        <v>6366.1599999999971</v>
      </c>
      <c r="S7" s="86">
        <v>4571.03999999999</v>
      </c>
      <c r="T7" s="86">
        <v>7718.5600000000086</v>
      </c>
      <c r="U7" s="86">
        <v>6177.0400000000018</v>
      </c>
      <c r="V7" s="86">
        <v>5676.6399999999976</v>
      </c>
      <c r="W7" s="86">
        <v>3366.7199999999903</v>
      </c>
      <c r="X7" s="86">
        <v>6319.840000000002</v>
      </c>
      <c r="Y7" s="87">
        <v>5639.440000000006</v>
      </c>
      <c r="Z7" s="86">
        <v>5607.1199999999981</v>
      </c>
      <c r="AA7" s="86">
        <v>4507.4399999999896</v>
      </c>
      <c r="AB7" s="86">
        <v>3465.9999999999968</v>
      </c>
      <c r="AC7" s="86">
        <v>4457.679999999993</v>
      </c>
      <c r="AD7" s="89">
        <v>3362.7199999999971</v>
      </c>
      <c r="AE7" s="88">
        <v>5843.920000000001</v>
      </c>
      <c r="AF7" s="88">
        <v>4235.6799999999948</v>
      </c>
      <c r="AG7" s="88">
        <v>4758.799999999992</v>
      </c>
      <c r="AH7" s="88">
        <v>6612.320000000017</v>
      </c>
      <c r="AI7" s="88">
        <v>3065.3599999999997</v>
      </c>
      <c r="AJ7" s="90">
        <v>5185.9740005864533</v>
      </c>
      <c r="AK7" s="87">
        <v>599.6</v>
      </c>
      <c r="AL7" s="87">
        <v>3193.4399999999969</v>
      </c>
      <c r="AM7" s="91">
        <f t="shared" si="0"/>
        <v>0.615784035870382</v>
      </c>
      <c r="AN7" s="87">
        <f t="shared" si="1"/>
        <v>3793.0399999999968</v>
      </c>
      <c r="AO7" s="92">
        <f t="shared" si="2"/>
        <v>0.73140358967689822</v>
      </c>
      <c r="AP7" s="50"/>
      <c r="AQ7" s="50"/>
    </row>
    <row r="8" spans="1:45" ht="12.75" customHeight="1" x14ac:dyDescent="0.25">
      <c r="A8" s="45" t="s">
        <v>170</v>
      </c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1329.0399999999991</v>
      </c>
      <c r="Q8" s="80">
        <v>1387.1999999999991</v>
      </c>
      <c r="R8" s="79">
        <v>1250.6399999999987</v>
      </c>
      <c r="S8" s="78">
        <v>1943.0399999999984</v>
      </c>
      <c r="T8" s="78">
        <v>1829.1199999999985</v>
      </c>
      <c r="U8" s="78">
        <v>1579.5999999999976</v>
      </c>
      <c r="V8" s="78">
        <v>1539.9999999999998</v>
      </c>
      <c r="W8" s="78">
        <v>1395.1199999999997</v>
      </c>
      <c r="X8" s="78">
        <v>1621.4399999999991</v>
      </c>
      <c r="Y8" s="79">
        <v>1681.5199999999979</v>
      </c>
      <c r="Z8" s="78">
        <v>1292.8799999999997</v>
      </c>
      <c r="AA8" s="78">
        <v>1182.4799999999989</v>
      </c>
      <c r="AB8" s="78">
        <v>1457.1999999999991</v>
      </c>
      <c r="AC8" s="78">
        <v>1456.3999999999992</v>
      </c>
      <c r="AD8" s="81">
        <v>1351.8399999999995</v>
      </c>
      <c r="AE8" s="80">
        <v>1051.0399999999986</v>
      </c>
      <c r="AF8" s="80">
        <v>2819.6799999999989</v>
      </c>
      <c r="AG8" s="80">
        <v>1975.9199999999985</v>
      </c>
      <c r="AH8" s="80">
        <v>2069.2799999999993</v>
      </c>
      <c r="AI8" s="80">
        <v>963.43999999999949</v>
      </c>
      <c r="AJ8" s="82">
        <v>2400.9138891603948</v>
      </c>
      <c r="AK8" s="79">
        <v>184.32</v>
      </c>
      <c r="AL8" s="79">
        <v>1239.6799999999992</v>
      </c>
      <c r="AM8" s="83">
        <f t="shared" si="0"/>
        <v>0.5163367189456004</v>
      </c>
      <c r="AN8" s="79">
        <f t="shared" si="1"/>
        <v>1423.9999999999991</v>
      </c>
      <c r="AO8" s="84">
        <f t="shared" si="2"/>
        <v>0.59310748562414095</v>
      </c>
      <c r="AP8" s="50"/>
      <c r="AQ8" s="50"/>
    </row>
    <row r="9" spans="1:45" ht="12.75" customHeight="1" x14ac:dyDescent="0.25">
      <c r="A9" s="45" t="s">
        <v>170</v>
      </c>
      <c r="B9" s="64" t="s">
        <v>82</v>
      </c>
      <c r="C9" s="65" t="s">
        <v>72</v>
      </c>
      <c r="D9" s="66" t="s">
        <v>83</v>
      </c>
      <c r="E9" s="86">
        <v>2692.2399999999993</v>
      </c>
      <c r="F9" s="87">
        <v>4853.28</v>
      </c>
      <c r="G9" s="87">
        <v>3252.5600000000004</v>
      </c>
      <c r="H9" s="87">
        <v>4161.4399999999996</v>
      </c>
      <c r="I9" s="86">
        <v>4577.9199999999983</v>
      </c>
      <c r="J9" s="87">
        <v>2751.5199999999986</v>
      </c>
      <c r="K9" s="87">
        <v>3909.1999999999989</v>
      </c>
      <c r="L9" s="87">
        <v>3181.0399999999991</v>
      </c>
      <c r="M9" s="87">
        <v>1915.1199999999994</v>
      </c>
      <c r="N9" s="87">
        <v>4147.8399999999983</v>
      </c>
      <c r="O9" s="87">
        <v>3132.6399999999981</v>
      </c>
      <c r="P9" s="87">
        <v>2483.7599999999989</v>
      </c>
      <c r="Q9" s="88">
        <v>3842.5599999999954</v>
      </c>
      <c r="R9" s="87">
        <v>4335.9999999999973</v>
      </c>
      <c r="S9" s="86">
        <v>3780.4799999999973</v>
      </c>
      <c r="T9" s="86">
        <v>5170.9599999999991</v>
      </c>
      <c r="U9" s="86">
        <v>4268.7999999999965</v>
      </c>
      <c r="V9" s="86">
        <v>2461.2799999999988</v>
      </c>
      <c r="W9" s="86">
        <v>2089.6799999999998</v>
      </c>
      <c r="X9" s="86">
        <v>2269.1999999999994</v>
      </c>
      <c r="Y9" s="87">
        <v>3781.5999999999985</v>
      </c>
      <c r="Z9" s="86">
        <v>2640.8799999999992</v>
      </c>
      <c r="AA9" s="86">
        <v>2506.8799999999987</v>
      </c>
      <c r="AB9" s="86">
        <v>1869.5999999999995</v>
      </c>
      <c r="AC9" s="86">
        <v>2431.12</v>
      </c>
      <c r="AD9" s="89">
        <v>2431.6</v>
      </c>
      <c r="AE9" s="88">
        <v>2091.2799999999988</v>
      </c>
      <c r="AF9" s="88">
        <v>3390.16</v>
      </c>
      <c r="AG9" s="88">
        <v>4388.16</v>
      </c>
      <c r="AH9" s="88">
        <v>2260.7999999999975</v>
      </c>
      <c r="AI9" s="88">
        <v>3933.6000000000013</v>
      </c>
      <c r="AJ9" s="90">
        <v>3361.2794448245527</v>
      </c>
      <c r="AK9" s="87">
        <v>21.2</v>
      </c>
      <c r="AL9" s="87">
        <v>1107.1199999999997</v>
      </c>
      <c r="AM9" s="91">
        <f t="shared" si="0"/>
        <v>0.32937457839295703</v>
      </c>
      <c r="AN9" s="87">
        <f t="shared" si="1"/>
        <v>1128.3199999999997</v>
      </c>
      <c r="AO9" s="92">
        <f t="shared" si="2"/>
        <v>0.33568170053141599</v>
      </c>
      <c r="AP9" s="50"/>
      <c r="AQ9" s="50"/>
    </row>
    <row r="10" spans="1:45" ht="12.75" customHeight="1" x14ac:dyDescent="0.25">
      <c r="A10" s="45" t="s">
        <v>170</v>
      </c>
      <c r="B10" s="75" t="s">
        <v>82</v>
      </c>
      <c r="C10" s="76" t="s">
        <v>72</v>
      </c>
      <c r="D10" s="77" t="s">
        <v>84</v>
      </c>
      <c r="E10" s="78">
        <v>3609.1999999999989</v>
      </c>
      <c r="F10" s="79">
        <v>3932.9599999999987</v>
      </c>
      <c r="G10" s="79">
        <v>3439.0399999999986</v>
      </c>
      <c r="H10" s="79">
        <v>3334.3199999999997</v>
      </c>
      <c r="I10" s="78">
        <v>3796.5599999999981</v>
      </c>
      <c r="J10" s="79">
        <v>3266.7999999999988</v>
      </c>
      <c r="K10" s="79">
        <v>3013.1999999999994</v>
      </c>
      <c r="L10" s="79">
        <v>3002.2399999999984</v>
      </c>
      <c r="M10" s="79">
        <v>1842.9599999999994</v>
      </c>
      <c r="N10" s="79">
        <v>2161.1199999999985</v>
      </c>
      <c r="O10" s="79">
        <v>3397.7599999999993</v>
      </c>
      <c r="P10" s="79">
        <v>3145.1199999999994</v>
      </c>
      <c r="Q10" s="80">
        <v>3739.2799999999979</v>
      </c>
      <c r="R10" s="79">
        <v>3497.0399999999977</v>
      </c>
      <c r="S10" s="78">
        <v>4919.1999999999989</v>
      </c>
      <c r="T10" s="78">
        <v>1833.4399999999996</v>
      </c>
      <c r="U10" s="78">
        <v>4040.3999999999969</v>
      </c>
      <c r="V10" s="78">
        <v>2426.5599999999986</v>
      </c>
      <c r="W10" s="78">
        <v>2163.8399999999992</v>
      </c>
      <c r="X10" s="78">
        <v>3533.119999999999</v>
      </c>
      <c r="Y10" s="79">
        <v>4245.7599999999966</v>
      </c>
      <c r="Z10" s="78">
        <v>2151.1999999999994</v>
      </c>
      <c r="AA10" s="78">
        <v>2303.5999999999995</v>
      </c>
      <c r="AB10" s="78">
        <v>1890.3199999999995</v>
      </c>
      <c r="AC10" s="78">
        <v>3498.7999999999988</v>
      </c>
      <c r="AD10" s="81">
        <v>1302.1599999999999</v>
      </c>
      <c r="AE10" s="80">
        <v>3538.2399999999984</v>
      </c>
      <c r="AF10" s="80">
        <v>2495.599999999999</v>
      </c>
      <c r="AG10" s="80">
        <v>2460.4799999999991</v>
      </c>
      <c r="AH10" s="80">
        <v>2068.3999999999983</v>
      </c>
      <c r="AI10" s="80">
        <v>2224.6399999999994</v>
      </c>
      <c r="AJ10" s="82">
        <v>3841.4622226566316</v>
      </c>
      <c r="AK10" s="79">
        <v>243.6</v>
      </c>
      <c r="AL10" s="79">
        <v>1986.7199999999991</v>
      </c>
      <c r="AM10" s="83">
        <f t="shared" si="0"/>
        <v>0.51717806523841003</v>
      </c>
      <c r="AN10" s="79">
        <f t="shared" si="1"/>
        <v>2230.3199999999993</v>
      </c>
      <c r="AO10" s="84">
        <f t="shared" si="2"/>
        <v>0.58059141824843508</v>
      </c>
      <c r="AP10" s="50"/>
      <c r="AQ10" s="50"/>
    </row>
    <row r="11" spans="1:45" ht="12.75" customHeight="1" x14ac:dyDescent="0.25">
      <c r="A11" s="45" t="s">
        <v>170</v>
      </c>
      <c r="B11" s="64" t="s">
        <v>85</v>
      </c>
      <c r="C11" s="65" t="s">
        <v>86</v>
      </c>
      <c r="D11" s="66" t="s">
        <v>87</v>
      </c>
      <c r="E11" s="86">
        <v>2449.0399999999977</v>
      </c>
      <c r="F11" s="87">
        <v>2767.9199999999983</v>
      </c>
      <c r="G11" s="87">
        <v>2876.5599999999949</v>
      </c>
      <c r="H11" s="87">
        <v>2605.9999999999973</v>
      </c>
      <c r="I11" s="86">
        <v>3043.1199999999958</v>
      </c>
      <c r="J11" s="87">
        <v>2049.9999999999982</v>
      </c>
      <c r="K11" s="87">
        <v>2004.3999999999987</v>
      </c>
      <c r="L11" s="87">
        <v>2611.1999999999975</v>
      </c>
      <c r="M11" s="87">
        <v>1962.3199999999995</v>
      </c>
      <c r="N11" s="87">
        <v>2075.9199999999987</v>
      </c>
      <c r="O11" s="87">
        <v>2738.1599999999989</v>
      </c>
      <c r="P11" s="87">
        <v>2802.9599999999978</v>
      </c>
      <c r="Q11" s="88">
        <v>3943.9999999999982</v>
      </c>
      <c r="R11" s="87">
        <v>3581.5199999999986</v>
      </c>
      <c r="S11" s="86">
        <v>3528.3999999999996</v>
      </c>
      <c r="T11" s="86">
        <v>3195.9199999999987</v>
      </c>
      <c r="U11" s="86">
        <v>3580.0799999999967</v>
      </c>
      <c r="V11" s="86">
        <v>2453.4399999999982</v>
      </c>
      <c r="W11" s="86">
        <v>2563.2799999999979</v>
      </c>
      <c r="X11" s="86">
        <v>3275.1199999999972</v>
      </c>
      <c r="Y11" s="87">
        <v>3495.8399999999979</v>
      </c>
      <c r="Z11" s="86">
        <v>3763.6799999999953</v>
      </c>
      <c r="AA11" s="86">
        <v>3269.2799999999975</v>
      </c>
      <c r="AB11" s="86">
        <v>2970.3999999999974</v>
      </c>
      <c r="AC11" s="86">
        <v>3132.96</v>
      </c>
      <c r="AD11" s="89">
        <v>2444.3199999999979</v>
      </c>
      <c r="AE11" s="88">
        <v>3871.7599999999993</v>
      </c>
      <c r="AF11" s="88">
        <v>3007.6799999999985</v>
      </c>
      <c r="AG11" s="88">
        <v>3523.7599999999979</v>
      </c>
      <c r="AH11" s="88">
        <v>2655.5999999999976</v>
      </c>
      <c r="AI11" s="88">
        <v>3138.9599999999996</v>
      </c>
      <c r="AJ11" s="90">
        <v>3361.2794448245527</v>
      </c>
      <c r="AK11" s="87">
        <v>115.92000000000002</v>
      </c>
      <c r="AL11" s="87">
        <v>804.15999999999974</v>
      </c>
      <c r="AM11" s="91">
        <f t="shared" si="0"/>
        <v>0.23924223296524344</v>
      </c>
      <c r="AN11" s="87">
        <f t="shared" si="1"/>
        <v>920.0799999999997</v>
      </c>
      <c r="AO11" s="92">
        <f t="shared" si="2"/>
        <v>0.27372910080911905</v>
      </c>
      <c r="AP11" s="50"/>
      <c r="AQ11" s="50"/>
    </row>
    <row r="12" spans="1:45" ht="12.75" customHeight="1" x14ac:dyDescent="0.25">
      <c r="A12" s="45" t="s">
        <v>170</v>
      </c>
      <c r="B12" s="75" t="s">
        <v>85</v>
      </c>
      <c r="C12" s="76" t="s">
        <v>86</v>
      </c>
      <c r="D12" s="77" t="s">
        <v>88</v>
      </c>
      <c r="E12" s="78">
        <v>4702</v>
      </c>
      <c r="F12" s="79">
        <v>3514.9599999999996</v>
      </c>
      <c r="G12" s="79">
        <v>4380.5599999999995</v>
      </c>
      <c r="H12" s="79">
        <v>4220.4799999999996</v>
      </c>
      <c r="I12" s="78">
        <v>3522.3199999999974</v>
      </c>
      <c r="J12" s="79">
        <v>3257.7599999999979</v>
      </c>
      <c r="K12" s="79">
        <v>4155.2799999999979</v>
      </c>
      <c r="L12" s="79">
        <v>3992.7999999999997</v>
      </c>
      <c r="M12" s="79">
        <v>3526.9599999999987</v>
      </c>
      <c r="N12" s="79">
        <v>2076.6399999999994</v>
      </c>
      <c r="O12" s="79">
        <v>3306.2399999999984</v>
      </c>
      <c r="P12" s="79">
        <v>2505.0399999999991</v>
      </c>
      <c r="Q12" s="80">
        <v>2228.079999999999</v>
      </c>
      <c r="R12" s="79">
        <v>1899.6799999999998</v>
      </c>
      <c r="S12" s="78">
        <v>1623.5199999999995</v>
      </c>
      <c r="T12" s="78">
        <v>1835.7599999999993</v>
      </c>
      <c r="U12" s="78">
        <v>1954.7199999999996</v>
      </c>
      <c r="V12" s="78">
        <v>1460.879999999999</v>
      </c>
      <c r="W12" s="78">
        <v>1807.5999999999997</v>
      </c>
      <c r="X12" s="78">
        <v>1822.9599999999994</v>
      </c>
      <c r="Y12" s="79">
        <v>1925.359999999999</v>
      </c>
      <c r="Z12" s="78">
        <v>1967.5999999999992</v>
      </c>
      <c r="AA12" s="78">
        <v>1774.7199999999996</v>
      </c>
      <c r="AB12" s="78">
        <v>1905.3599999999992</v>
      </c>
      <c r="AC12" s="78">
        <v>2196.8799999999992</v>
      </c>
      <c r="AD12" s="81">
        <v>1882.6399999999985</v>
      </c>
      <c r="AE12" s="80">
        <v>2085.7599999999993</v>
      </c>
      <c r="AF12" s="80">
        <v>2044.4799999999989</v>
      </c>
      <c r="AG12" s="80">
        <v>2577.7599999999989</v>
      </c>
      <c r="AH12" s="80">
        <v>2652.6400000000003</v>
      </c>
      <c r="AI12" s="80">
        <v>1739.4399999999991</v>
      </c>
      <c r="AJ12" s="82">
        <v>2112.8042224611477</v>
      </c>
      <c r="AK12" s="79">
        <v>516</v>
      </c>
      <c r="AL12" s="79">
        <v>742.24</v>
      </c>
      <c r="AM12" s="83">
        <f t="shared" si="0"/>
        <v>0.35130562127303255</v>
      </c>
      <c r="AN12" s="79">
        <f t="shared" si="1"/>
        <v>1258.24</v>
      </c>
      <c r="AO12" s="84">
        <f t="shared" si="2"/>
        <v>0.59553080527939817</v>
      </c>
      <c r="AP12" s="50"/>
      <c r="AQ12" s="50"/>
    </row>
    <row r="13" spans="1:45" ht="12.75" customHeight="1" x14ac:dyDescent="0.25">
      <c r="A13" s="45" t="s">
        <v>170</v>
      </c>
      <c r="B13" s="64" t="s">
        <v>89</v>
      </c>
      <c r="C13" s="65" t="s">
        <v>86</v>
      </c>
      <c r="D13" s="66" t="s">
        <v>90</v>
      </c>
      <c r="E13" s="86">
        <v>287.76</v>
      </c>
      <c r="F13" s="87">
        <v>697.83999999999992</v>
      </c>
      <c r="G13" s="87"/>
      <c r="H13" s="87"/>
      <c r="I13" s="86"/>
      <c r="J13" s="87"/>
      <c r="K13" s="87">
        <v>693.75999999999988</v>
      </c>
      <c r="L13" s="87">
        <v>820.80000000000018</v>
      </c>
      <c r="M13" s="87">
        <v>530.88</v>
      </c>
      <c r="N13" s="87">
        <v>643.68000000000006</v>
      </c>
      <c r="O13" s="87">
        <v>1227.6799999999998</v>
      </c>
      <c r="P13" s="87">
        <v>1067.28</v>
      </c>
      <c r="Q13" s="88">
        <v>1058.3199999999997</v>
      </c>
      <c r="R13" s="87">
        <v>1260.8799999999987</v>
      </c>
      <c r="S13" s="86">
        <v>986.15999999999985</v>
      </c>
      <c r="T13" s="86">
        <v>1121.4399999999989</v>
      </c>
      <c r="U13" s="86">
        <v>1042.96</v>
      </c>
      <c r="V13" s="86">
        <v>1243.1199999999994</v>
      </c>
      <c r="W13" s="86">
        <v>2581.9199999999992</v>
      </c>
      <c r="X13" s="86">
        <v>1171.9999999999993</v>
      </c>
      <c r="Y13" s="87">
        <v>1544.4799999999993</v>
      </c>
      <c r="Z13" s="86">
        <v>1284.0799999999995</v>
      </c>
      <c r="AA13" s="86">
        <v>1236.7199999999989</v>
      </c>
      <c r="AB13" s="86">
        <v>899.76</v>
      </c>
      <c r="AC13" s="86">
        <v>1186.1599999999994</v>
      </c>
      <c r="AD13" s="89">
        <v>1122.4799999999998</v>
      </c>
      <c r="AE13" s="88">
        <v>1400.8799999999985</v>
      </c>
      <c r="AF13" s="88">
        <v>1877.8399999999988</v>
      </c>
      <c r="AG13" s="88">
        <v>1586.7999999999993</v>
      </c>
      <c r="AH13" s="88">
        <v>2004.3199999999977</v>
      </c>
      <c r="AI13" s="88">
        <v>2067.3599999999988</v>
      </c>
      <c r="AJ13" s="90">
        <v>1920.7311113283158</v>
      </c>
      <c r="AK13" s="87">
        <v>26</v>
      </c>
      <c r="AL13" s="87">
        <v>1078.5600000000002</v>
      </c>
      <c r="AM13" s="91">
        <f t="shared" si="0"/>
        <v>0.56153617424049673</v>
      </c>
      <c r="AN13" s="87">
        <f t="shared" si="1"/>
        <v>1104.5600000000002</v>
      </c>
      <c r="AO13" s="92">
        <f t="shared" si="2"/>
        <v>0.5750726863772837</v>
      </c>
      <c r="AP13" s="50"/>
      <c r="AQ13" s="50"/>
    </row>
    <row r="14" spans="1:45" ht="12.75" hidden="1" customHeight="1" x14ac:dyDescent="0.25">
      <c r="A14" s="45" t="s">
        <v>170</v>
      </c>
      <c r="B14" s="75" t="s">
        <v>89</v>
      </c>
      <c r="C14" s="76" t="s">
        <v>86</v>
      </c>
      <c r="D14" s="77" t="s">
        <v>91</v>
      </c>
      <c r="E14" s="78">
        <v>683.91999999999985</v>
      </c>
      <c r="F14" s="79">
        <v>706.2399999999999</v>
      </c>
      <c r="G14" s="79">
        <v>781.60000000000014</v>
      </c>
      <c r="H14" s="79">
        <v>759.52</v>
      </c>
      <c r="I14" s="78">
        <v>799.52</v>
      </c>
      <c r="J14" s="79">
        <v>737.35999999999979</v>
      </c>
      <c r="K14" s="79">
        <v>1791.8399999999979</v>
      </c>
      <c r="L14" s="79">
        <v>807.83999999999969</v>
      </c>
      <c r="M14" s="79">
        <v>231.2</v>
      </c>
      <c r="N14" s="79">
        <v>414.80000000000007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A15" s="45" t="s">
        <v>170</v>
      </c>
      <c r="B15" s="75" t="s">
        <v>89</v>
      </c>
      <c r="C15" s="76" t="s">
        <v>86</v>
      </c>
      <c r="D15" s="77" t="s">
        <v>93</v>
      </c>
      <c r="E15" s="78">
        <v>1532.6399999999983</v>
      </c>
      <c r="F15" s="79">
        <v>1881.1999999999989</v>
      </c>
      <c r="G15" s="79">
        <v>1569.0399999999986</v>
      </c>
      <c r="H15" s="79">
        <v>1455.44</v>
      </c>
      <c r="I15" s="78">
        <v>2229.9999999999968</v>
      </c>
      <c r="J15" s="79">
        <v>1551.0399999999991</v>
      </c>
      <c r="K15" s="79">
        <v>1229.6799999999992</v>
      </c>
      <c r="L15" s="79">
        <v>1399.0399999999991</v>
      </c>
      <c r="M15" s="79">
        <v>868.24</v>
      </c>
      <c r="N15" s="79">
        <v>928.95999999999981</v>
      </c>
      <c r="O15" s="79">
        <v>1746.3999999999992</v>
      </c>
      <c r="P15" s="79">
        <v>1165.9199999999998</v>
      </c>
      <c r="Q15" s="80">
        <v>1322.72</v>
      </c>
      <c r="R15" s="79">
        <v>1149.9199999999996</v>
      </c>
      <c r="S15" s="78">
        <v>1074.7999999999995</v>
      </c>
      <c r="T15" s="78">
        <v>1279.9199999999996</v>
      </c>
      <c r="U15" s="78">
        <v>1585.7599999999979</v>
      </c>
      <c r="V15" s="78">
        <v>1204.6400000000001</v>
      </c>
      <c r="W15" s="78">
        <v>1127.5199999999998</v>
      </c>
      <c r="X15" s="78">
        <v>1223.9999999999998</v>
      </c>
      <c r="Y15" s="79">
        <v>1540.5599999999993</v>
      </c>
      <c r="Z15" s="78">
        <v>1143.2799999999997</v>
      </c>
      <c r="AA15" s="78">
        <v>1122.7999999999993</v>
      </c>
      <c r="AB15" s="78">
        <v>808.32</v>
      </c>
      <c r="AC15" s="78">
        <v>1185.4399999999998</v>
      </c>
      <c r="AD15" s="81">
        <v>1211.1999999999996</v>
      </c>
      <c r="AE15" s="80">
        <v>1636.8799999999997</v>
      </c>
      <c r="AF15" s="80">
        <v>1094.96</v>
      </c>
      <c r="AG15" s="80">
        <v>947.92</v>
      </c>
      <c r="AH15" s="80">
        <v>2587.5199999999995</v>
      </c>
      <c r="AI15" s="80">
        <v>1242.5599999999997</v>
      </c>
      <c r="AJ15" s="82">
        <v>1920.7311113283158</v>
      </c>
      <c r="AK15" s="79">
        <v>94.320000000000007</v>
      </c>
      <c r="AL15" s="79">
        <v>1269.04</v>
      </c>
      <c r="AM15" s="83">
        <f t="shared" si="0"/>
        <v>0.66070674469492652</v>
      </c>
      <c r="AN15" s="79">
        <f t="shared" si="1"/>
        <v>1363.36</v>
      </c>
      <c r="AO15" s="84">
        <f t="shared" si="2"/>
        <v>0.70981304564653191</v>
      </c>
      <c r="AP15" s="50"/>
      <c r="AQ15" s="50"/>
    </row>
    <row r="16" spans="1:45" ht="12.75" customHeight="1" x14ac:dyDescent="0.25">
      <c r="A16" s="45" t="s">
        <v>170</v>
      </c>
      <c r="B16" s="64" t="s">
        <v>94</v>
      </c>
      <c r="C16" s="65" t="s">
        <v>86</v>
      </c>
      <c r="D16" s="66" t="s">
        <v>95</v>
      </c>
      <c r="E16" s="86">
        <v>2325.8399999999988</v>
      </c>
      <c r="F16" s="87">
        <v>1834.1599999999992</v>
      </c>
      <c r="G16" s="87">
        <v>1755.599999999999</v>
      </c>
      <c r="H16" s="87">
        <v>1957.2799999999997</v>
      </c>
      <c r="I16" s="86">
        <v>1343.0399999999995</v>
      </c>
      <c r="J16" s="87">
        <v>868.31999999999994</v>
      </c>
      <c r="K16" s="87">
        <v>2634.1599999999989</v>
      </c>
      <c r="L16" s="87">
        <v>936.48</v>
      </c>
      <c r="M16" s="87">
        <v>2020.1599999999987</v>
      </c>
      <c r="N16" s="87">
        <v>1081.6799999999996</v>
      </c>
      <c r="O16" s="87">
        <v>2991.9999999999986</v>
      </c>
      <c r="P16" s="87">
        <v>2007.7599999999993</v>
      </c>
      <c r="Q16" s="88">
        <v>1536.1599999999999</v>
      </c>
      <c r="R16" s="87">
        <v>1543.6799999999992</v>
      </c>
      <c r="S16" s="86">
        <v>2291.3599999999988</v>
      </c>
      <c r="T16" s="86">
        <v>1779.9999999999993</v>
      </c>
      <c r="U16" s="86">
        <v>1874.8799999999992</v>
      </c>
      <c r="V16" s="86">
        <v>2003.1999999999987</v>
      </c>
      <c r="W16" s="86">
        <v>913.92000000000007</v>
      </c>
      <c r="X16" s="86">
        <v>2127.3599999999992</v>
      </c>
      <c r="Y16" s="87">
        <v>7371.440000000016</v>
      </c>
      <c r="Z16" s="86">
        <v>6646.5600000000113</v>
      </c>
      <c r="AA16" s="86">
        <v>5881.5199999999923</v>
      </c>
      <c r="AB16" s="86">
        <v>4739.1199999999899</v>
      </c>
      <c r="AC16" s="86">
        <v>4652.7199999999957</v>
      </c>
      <c r="AD16" s="89">
        <v>2589.9199999999987</v>
      </c>
      <c r="AE16" s="88">
        <v>6513.5999999999913</v>
      </c>
      <c r="AF16" s="88">
        <v>5115.4400000000032</v>
      </c>
      <c r="AG16" s="88">
        <v>2484.3999999999942</v>
      </c>
      <c r="AH16" s="88">
        <v>4906.8799999999965</v>
      </c>
      <c r="AI16" s="88">
        <v>5235.3599999999979</v>
      </c>
      <c r="AJ16" s="90">
        <v>5441.8727397126404</v>
      </c>
      <c r="AK16" s="87">
        <v>1303.3600000000004</v>
      </c>
      <c r="AL16" s="87">
        <v>1500.3999999999974</v>
      </c>
      <c r="AM16" s="91">
        <f>IFERROR(AL16/AJ16,0)</f>
        <v>0.27571390801748635</v>
      </c>
      <c r="AN16" s="87">
        <f>+AK16+AL16</f>
        <v>2803.7599999999975</v>
      </c>
      <c r="AO16" s="92">
        <f>IFERROR(+AN16/AJ16,0)</f>
        <v>0.51521969257738487</v>
      </c>
      <c r="AP16" s="50"/>
      <c r="AQ16" s="50"/>
    </row>
    <row r="17" spans="1:45" ht="12.75" customHeight="1" thickBot="1" x14ac:dyDescent="0.3">
      <c r="A17" s="45" t="s">
        <v>170</v>
      </c>
      <c r="B17" s="75" t="s">
        <v>94</v>
      </c>
      <c r="C17" s="76" t="s">
        <v>86</v>
      </c>
      <c r="D17" s="77" t="s">
        <v>96</v>
      </c>
      <c r="E17" s="78">
        <v>3746</v>
      </c>
      <c r="F17" s="79">
        <v>4516.96</v>
      </c>
      <c r="G17" s="79">
        <v>2963.7599999999993</v>
      </c>
      <c r="H17" s="79">
        <v>3828.56</v>
      </c>
      <c r="I17" s="78">
        <v>3868.5599999999981</v>
      </c>
      <c r="J17" s="79">
        <v>2324.08</v>
      </c>
      <c r="K17" s="79">
        <v>3710.8799999999974</v>
      </c>
      <c r="L17" s="79">
        <v>2742.3999999999983</v>
      </c>
      <c r="M17" s="79">
        <v>2461.7599999999989</v>
      </c>
      <c r="N17" s="79">
        <v>5311.9999999999973</v>
      </c>
      <c r="O17" s="79">
        <v>10586.160000000011</v>
      </c>
      <c r="P17" s="79">
        <v>6316.880000000001</v>
      </c>
      <c r="Q17" s="80">
        <v>11160</v>
      </c>
      <c r="R17" s="79">
        <v>8938.24</v>
      </c>
      <c r="S17" s="78">
        <v>12009.119999999995</v>
      </c>
      <c r="T17" s="78">
        <v>6958.7999999999938</v>
      </c>
      <c r="U17" s="78">
        <v>8047.2000000000035</v>
      </c>
      <c r="V17" s="78">
        <v>3342.64</v>
      </c>
      <c r="W17" s="78">
        <v>2012.3199999999995</v>
      </c>
      <c r="X17" s="78">
        <v>3952.0000000000005</v>
      </c>
      <c r="Y17" s="79">
        <v>4100.3999999999987</v>
      </c>
      <c r="Z17" s="78">
        <v>3637.5199999999995</v>
      </c>
      <c r="AA17" s="78">
        <v>2168.559999999999</v>
      </c>
      <c r="AB17" s="78">
        <v>2429.2000000000003</v>
      </c>
      <c r="AC17" s="78">
        <v>3574.7199999999993</v>
      </c>
      <c r="AD17" s="81">
        <v>2413.12</v>
      </c>
      <c r="AE17" s="93">
        <v>3030.3199999999988</v>
      </c>
      <c r="AF17" s="93">
        <v>3120.7999999999979</v>
      </c>
      <c r="AG17" s="93">
        <v>2496.5599999999981</v>
      </c>
      <c r="AH17" s="93">
        <v>3200.559999999999</v>
      </c>
      <c r="AI17" s="93">
        <v>3682.9600000000005</v>
      </c>
      <c r="AJ17" s="94">
        <v>3908.4644707262241</v>
      </c>
      <c r="AK17" s="95">
        <v>209.59999999999997</v>
      </c>
      <c r="AL17" s="95">
        <v>3175.1199999999981</v>
      </c>
      <c r="AM17" s="96">
        <f>IFERROR(AL17/AJ17,0)</f>
        <v>0.81237018368240033</v>
      </c>
      <c r="AN17" s="95">
        <f>+AK17+AL17</f>
        <v>3384.719999999998</v>
      </c>
      <c r="AO17" s="97">
        <f>IFERROR(+AN17/AJ17,0)</f>
        <v>0.86599738218193134</v>
      </c>
      <c r="AP17" s="50"/>
      <c r="AQ17" s="50"/>
    </row>
    <row r="18" spans="1:45" s="109" customFormat="1" ht="12.75" customHeight="1" thickBot="1" x14ac:dyDescent="0.35">
      <c r="A18" s="45" t="s">
        <v>170</v>
      </c>
      <c r="B18" s="98"/>
      <c r="C18" s="99"/>
      <c r="D18" s="100" t="s">
        <v>97</v>
      </c>
      <c r="E18" s="101">
        <f t="shared" ref="E18:AD18" si="3">+SUM(E3:E17)</f>
        <v>41887.999999999993</v>
      </c>
      <c r="F18" s="102">
        <f t="shared" si="3"/>
        <v>48360.239999999969</v>
      </c>
      <c r="G18" s="102">
        <f t="shared" si="3"/>
        <v>41129.360000000008</v>
      </c>
      <c r="H18" s="102">
        <f t="shared" si="3"/>
        <v>45447.999999999993</v>
      </c>
      <c r="I18" s="102">
        <f t="shared" si="3"/>
        <v>44622.55999999999</v>
      </c>
      <c r="J18" s="102">
        <f t="shared" si="3"/>
        <v>35040.479999999974</v>
      </c>
      <c r="K18" s="102">
        <f t="shared" si="3"/>
        <v>38830.39999999998</v>
      </c>
      <c r="L18" s="102">
        <f t="shared" si="3"/>
        <v>37644.159999999989</v>
      </c>
      <c r="M18" s="102">
        <f t="shared" si="3"/>
        <v>32382.87999999999</v>
      </c>
      <c r="N18" s="102">
        <f t="shared" si="3"/>
        <v>36691.999999999993</v>
      </c>
      <c r="O18" s="102">
        <f t="shared" si="3"/>
        <v>50206.240000000013</v>
      </c>
      <c r="P18" s="102">
        <f t="shared" si="3"/>
        <v>36501.439999999988</v>
      </c>
      <c r="Q18" s="103">
        <f t="shared" si="3"/>
        <v>48064.08</v>
      </c>
      <c r="R18" s="102">
        <f t="shared" si="3"/>
        <v>45964.719999999979</v>
      </c>
      <c r="S18" s="101">
        <f t="shared" si="3"/>
        <v>45932.719999999972</v>
      </c>
      <c r="T18" s="101">
        <f t="shared" si="3"/>
        <v>44287.520000000004</v>
      </c>
      <c r="U18" s="101">
        <f t="shared" si="3"/>
        <v>45642.799999999988</v>
      </c>
      <c r="V18" s="101">
        <f t="shared" si="3"/>
        <v>35075.999999999985</v>
      </c>
      <c r="W18" s="101">
        <f t="shared" si="3"/>
        <v>27521.599999999977</v>
      </c>
      <c r="X18" s="101">
        <f t="shared" si="3"/>
        <v>40224.400000000001</v>
      </c>
      <c r="Y18" s="102">
        <f t="shared" si="3"/>
        <v>48120.240000000005</v>
      </c>
      <c r="Z18" s="101">
        <f t="shared" si="3"/>
        <v>38272.799999999988</v>
      </c>
      <c r="AA18" s="101">
        <f t="shared" si="3"/>
        <v>36375.83999999996</v>
      </c>
      <c r="AB18" s="101">
        <f t="shared" si="3"/>
        <v>30465.679999999982</v>
      </c>
      <c r="AC18" s="101">
        <f t="shared" si="3"/>
        <v>36892.559999999983</v>
      </c>
      <c r="AD18" s="104">
        <f t="shared" si="3"/>
        <v>27784.559999999994</v>
      </c>
      <c r="AE18" s="103">
        <v>41145.519999999982</v>
      </c>
      <c r="AF18" s="103">
        <v>39744.159999999989</v>
      </c>
      <c r="AG18" s="103">
        <v>34721.27999999997</v>
      </c>
      <c r="AH18" s="103">
        <v>42232.719999999994</v>
      </c>
      <c r="AI18" s="103">
        <v>33567.919999999998</v>
      </c>
      <c r="AJ18" s="105">
        <v>45000.000000000007</v>
      </c>
      <c r="AK18" s="102">
        <f t="shared" ref="AK18:AN18" si="4">+SUM(AK3:AK17)</f>
        <v>3449.44</v>
      </c>
      <c r="AL18" s="102">
        <f t="shared" si="4"/>
        <v>22024.319999999989</v>
      </c>
      <c r="AM18" s="106">
        <f t="shared" si="0"/>
        <v>0.48942933333333299</v>
      </c>
      <c r="AN18" s="102">
        <f t="shared" si="4"/>
        <v>25473.759999999991</v>
      </c>
      <c r="AO18" s="107">
        <f t="shared" si="2"/>
        <v>0.56608355555555523</v>
      </c>
      <c r="AP18" s="49"/>
      <c r="AQ18" s="49"/>
      <c r="AR18" s="108"/>
      <c r="AS18" s="47"/>
    </row>
    <row r="19" spans="1:45" ht="12.75" customHeight="1" x14ac:dyDescent="0.25">
      <c r="A19" s="45" t="s">
        <v>170</v>
      </c>
      <c r="B19" s="64" t="s">
        <v>98</v>
      </c>
      <c r="C19" s="65" t="s">
        <v>99</v>
      </c>
      <c r="D19" s="66" t="s">
        <v>100</v>
      </c>
      <c r="E19" s="67">
        <v>2838.2399999999934</v>
      </c>
      <c r="F19" s="68">
        <v>2254.1599999999971</v>
      </c>
      <c r="G19" s="68">
        <v>4738.3199999999952</v>
      </c>
      <c r="H19" s="68">
        <v>4135.3599999999933</v>
      </c>
      <c r="I19" s="68">
        <v>5725.04</v>
      </c>
      <c r="J19" s="68">
        <v>2976.6399999999962</v>
      </c>
      <c r="K19" s="68">
        <v>3235.1199999999949</v>
      </c>
      <c r="L19" s="68">
        <v>2259.1999999999953</v>
      </c>
      <c r="M19" s="68">
        <v>3353.9199999999933</v>
      </c>
      <c r="N19" s="68">
        <v>2972.4799999999927</v>
      </c>
      <c r="O19" s="68">
        <v>4923.9199999999983</v>
      </c>
      <c r="P19" s="68">
        <v>5796.399999999996</v>
      </c>
      <c r="Q19" s="69">
        <v>6062.0800000000045</v>
      </c>
      <c r="R19" s="68">
        <v>4774.7199999999966</v>
      </c>
      <c r="S19" s="67">
        <v>3459.919999999991</v>
      </c>
      <c r="T19" s="67">
        <v>5633.0399999999936</v>
      </c>
      <c r="U19" s="67">
        <v>5851.2799999999888</v>
      </c>
      <c r="V19" s="67">
        <v>3321.1999999999921</v>
      </c>
      <c r="W19" s="67">
        <v>3514.8799999999933</v>
      </c>
      <c r="X19" s="67">
        <v>4073.0399999999886</v>
      </c>
      <c r="Y19" s="68">
        <v>4753.5999999999885</v>
      </c>
      <c r="Z19" s="67">
        <v>4011.5999999999904</v>
      </c>
      <c r="AA19" s="67">
        <v>3479.6799999999907</v>
      </c>
      <c r="AB19" s="67">
        <v>2996.639999999994</v>
      </c>
      <c r="AC19" s="67">
        <v>3555.6799999999953</v>
      </c>
      <c r="AD19" s="70">
        <v>1890.3199999999995</v>
      </c>
      <c r="AE19" s="69">
        <v>3593.4399999999923</v>
      </c>
      <c r="AF19" s="69">
        <v>2988.7999999999947</v>
      </c>
      <c r="AG19" s="69">
        <v>2100.4799999999977</v>
      </c>
      <c r="AH19" s="69">
        <v>2912.799999999997</v>
      </c>
      <c r="AI19" s="69">
        <v>2944.1599999999958</v>
      </c>
      <c r="AJ19" s="110">
        <v>3594.5945945945946</v>
      </c>
      <c r="AK19" s="68">
        <v>19.04</v>
      </c>
      <c r="AL19" s="68">
        <v>2361.4399999999991</v>
      </c>
      <c r="AM19" s="111">
        <f>IFERROR(AL19/AJ19,0)</f>
        <v>0.65694195488721785</v>
      </c>
      <c r="AN19" s="68">
        <f>+AK19+AL19</f>
        <v>2380.4799999999991</v>
      </c>
      <c r="AO19" s="112">
        <f>IFERROR(+AN19/AJ19,0)</f>
        <v>0.662238796992481</v>
      </c>
      <c r="AP19" s="50"/>
      <c r="AQ19" s="50"/>
    </row>
    <row r="20" spans="1:45" ht="12.75" customHeight="1" x14ac:dyDescent="0.25">
      <c r="A20" s="45" t="s">
        <v>170</v>
      </c>
      <c r="B20" s="75" t="s">
        <v>98</v>
      </c>
      <c r="C20" s="113" t="s">
        <v>99</v>
      </c>
      <c r="D20" s="77" t="s">
        <v>101</v>
      </c>
      <c r="E20" s="78">
        <v>7425.1200000000053</v>
      </c>
      <c r="F20" s="79">
        <v>6170.2399999999943</v>
      </c>
      <c r="G20" s="79">
        <v>9741.5200000000059</v>
      </c>
      <c r="H20" s="79">
        <v>9330.6399999999903</v>
      </c>
      <c r="I20" s="79">
        <v>11075.520000000028</v>
      </c>
      <c r="J20" s="79">
        <v>7326.6400000000031</v>
      </c>
      <c r="K20" s="79">
        <v>7334.7999999999947</v>
      </c>
      <c r="L20" s="79">
        <v>8814.4800000000087</v>
      </c>
      <c r="M20" s="79">
        <v>3464.5599999999927</v>
      </c>
      <c r="N20" s="79">
        <v>7293.9200000000055</v>
      </c>
      <c r="O20" s="79">
        <v>5694.1600000000017</v>
      </c>
      <c r="P20" s="79">
        <v>4835.9199999999983</v>
      </c>
      <c r="Q20" s="80">
        <v>7490.4000000000069</v>
      </c>
      <c r="R20" s="79">
        <v>6014.800000000002</v>
      </c>
      <c r="S20" s="78">
        <v>6560.1600000000135</v>
      </c>
      <c r="T20" s="78">
        <v>7817.6000000000085</v>
      </c>
      <c r="U20" s="78">
        <v>6089.2799999999988</v>
      </c>
      <c r="V20" s="78">
        <v>7146.8000000000056</v>
      </c>
      <c r="W20" s="78">
        <v>6243.5199999999968</v>
      </c>
      <c r="X20" s="78">
        <v>4380.0799999999936</v>
      </c>
      <c r="Y20" s="79">
        <v>7538.1600000000153</v>
      </c>
      <c r="Z20" s="78">
        <v>5414.3199999999979</v>
      </c>
      <c r="AA20" s="78">
        <v>3935.9199999999901</v>
      </c>
      <c r="AB20" s="78">
        <v>3906.7199999999953</v>
      </c>
      <c r="AC20" s="78">
        <v>7212.960000000011</v>
      </c>
      <c r="AD20" s="81">
        <v>3246.5599999999959</v>
      </c>
      <c r="AE20" s="80">
        <v>8115.2800000000052</v>
      </c>
      <c r="AF20" s="80">
        <v>9045.7599999999984</v>
      </c>
      <c r="AG20" s="80">
        <v>8465.8400000000074</v>
      </c>
      <c r="AH20" s="80">
        <v>6802.9600000000082</v>
      </c>
      <c r="AI20" s="80">
        <v>8932.5600000000013</v>
      </c>
      <c r="AJ20" s="114">
        <v>8216.2162162162149</v>
      </c>
      <c r="AK20" s="79">
        <v>1956.4799999999973</v>
      </c>
      <c r="AL20" s="79">
        <v>3765.8399999999961</v>
      </c>
      <c r="AM20" s="83">
        <f>IFERROR(AL20/AJ20,0)</f>
        <v>0.45834236842105225</v>
      </c>
      <c r="AN20" s="79">
        <f>+AK20+AL20</f>
        <v>5722.3199999999933</v>
      </c>
      <c r="AO20" s="84">
        <f>IFERROR(+AN20/AJ20,0)</f>
        <v>0.69646657894736774</v>
      </c>
      <c r="AP20" s="50"/>
      <c r="AQ20" s="50"/>
    </row>
    <row r="21" spans="1:45" ht="12.75" customHeight="1" thickBot="1" x14ac:dyDescent="0.3">
      <c r="A21" s="45" t="s">
        <v>170</v>
      </c>
      <c r="B21" s="64" t="s">
        <v>98</v>
      </c>
      <c r="C21" s="65" t="s">
        <v>99</v>
      </c>
      <c r="D21" s="66" t="s">
        <v>102</v>
      </c>
      <c r="E21" s="86">
        <v>7483.4400000000169</v>
      </c>
      <c r="F21" s="87">
        <v>4531.2799999999816</v>
      </c>
      <c r="G21" s="87">
        <v>10128.640000000019</v>
      </c>
      <c r="H21" s="87">
        <v>7832.4000000000015</v>
      </c>
      <c r="I21" s="87">
        <v>10266.480000000023</v>
      </c>
      <c r="J21" s="87">
        <v>6494.48</v>
      </c>
      <c r="K21" s="87">
        <v>8332.5600000000049</v>
      </c>
      <c r="L21" s="87">
        <v>6782.4800000000023</v>
      </c>
      <c r="M21" s="87">
        <v>4983.2799999999961</v>
      </c>
      <c r="N21" s="87">
        <v>5915.6800000000021</v>
      </c>
      <c r="O21" s="87">
        <v>7039.8400000000174</v>
      </c>
      <c r="P21" s="87">
        <v>6375.0400000000127</v>
      </c>
      <c r="Q21" s="88">
        <v>7622.400000000016</v>
      </c>
      <c r="R21" s="87">
        <v>8362.1600000000253</v>
      </c>
      <c r="S21" s="86">
        <v>6205.2000000000016</v>
      </c>
      <c r="T21" s="86">
        <v>7160.3200000000234</v>
      </c>
      <c r="U21" s="86">
        <v>6336.6400000000058</v>
      </c>
      <c r="V21" s="86">
        <v>6732.4800000000159</v>
      </c>
      <c r="W21" s="86">
        <v>7279.8400000000202</v>
      </c>
      <c r="X21" s="86">
        <v>6706.1600000000099</v>
      </c>
      <c r="Y21" s="87">
        <v>6309.9200000000146</v>
      </c>
      <c r="Z21" s="86">
        <v>6774.960000000011</v>
      </c>
      <c r="AA21" s="86">
        <v>5115.4399999999996</v>
      </c>
      <c r="AB21" s="86">
        <v>5986.6400000000031</v>
      </c>
      <c r="AC21" s="86">
        <v>4311.0399999999909</v>
      </c>
      <c r="AD21" s="89">
        <v>4176.0799999999917</v>
      </c>
      <c r="AE21" s="88">
        <v>6383.3600000000142</v>
      </c>
      <c r="AF21" s="88">
        <v>5131.2000000000053</v>
      </c>
      <c r="AG21" s="88">
        <v>6184.0000000000082</v>
      </c>
      <c r="AH21" s="88">
        <v>6459.3600000000033</v>
      </c>
      <c r="AI21" s="88">
        <v>6566.9600000000146</v>
      </c>
      <c r="AJ21" s="115">
        <v>7189.1891891891892</v>
      </c>
      <c r="AK21" s="87">
        <v>1645.6799999999998</v>
      </c>
      <c r="AL21" s="87">
        <v>4589.279999999997</v>
      </c>
      <c r="AM21" s="91">
        <f>IFERROR(AL21/AJ21,0)</f>
        <v>0.63835849624060104</v>
      </c>
      <c r="AN21" s="87">
        <f>+AK21+AL21</f>
        <v>6234.9599999999973</v>
      </c>
      <c r="AO21" s="92">
        <f>IFERROR(+AN21/AJ21,0)</f>
        <v>0.86726887218045079</v>
      </c>
      <c r="AP21" s="50"/>
      <c r="AQ21" s="50"/>
    </row>
    <row r="22" spans="1:45" s="109" customFormat="1" ht="12.75" customHeight="1" thickBot="1" x14ac:dyDescent="0.35">
      <c r="A22" s="45" t="s">
        <v>170</v>
      </c>
      <c r="B22" s="98"/>
      <c r="C22" s="99"/>
      <c r="D22" s="100" t="s">
        <v>103</v>
      </c>
      <c r="E22" s="101">
        <f t="shared" ref="E22:X22" si="5">+SUM(E19:E21)</f>
        <v>17746.800000000017</v>
      </c>
      <c r="F22" s="102">
        <f t="shared" si="5"/>
        <v>12955.679999999971</v>
      </c>
      <c r="G22" s="102">
        <f t="shared" si="5"/>
        <v>24608.480000000018</v>
      </c>
      <c r="H22" s="102">
        <f t="shared" si="5"/>
        <v>21298.399999999987</v>
      </c>
      <c r="I22" s="102">
        <f t="shared" si="5"/>
        <v>27067.040000000052</v>
      </c>
      <c r="J22" s="102">
        <f t="shared" si="5"/>
        <v>16797.759999999998</v>
      </c>
      <c r="K22" s="102">
        <f t="shared" si="5"/>
        <v>18902.479999999996</v>
      </c>
      <c r="L22" s="102">
        <f t="shared" si="5"/>
        <v>17856.160000000007</v>
      </c>
      <c r="M22" s="102">
        <f t="shared" si="5"/>
        <v>11801.759999999982</v>
      </c>
      <c r="N22" s="102">
        <f t="shared" si="5"/>
        <v>16182.08</v>
      </c>
      <c r="O22" s="102">
        <f t="shared" si="5"/>
        <v>17657.920000000016</v>
      </c>
      <c r="P22" s="102">
        <f t="shared" si="5"/>
        <v>17007.360000000008</v>
      </c>
      <c r="Q22" s="103">
        <f t="shared" si="5"/>
        <v>21174.880000000026</v>
      </c>
      <c r="R22" s="102">
        <f t="shared" si="5"/>
        <v>19151.680000000022</v>
      </c>
      <c r="S22" s="101">
        <v>16225.280000000006</v>
      </c>
      <c r="T22" s="101">
        <f t="shared" si="5"/>
        <v>20610.960000000028</v>
      </c>
      <c r="U22" s="101">
        <f t="shared" si="5"/>
        <v>18277.199999999993</v>
      </c>
      <c r="V22" s="101">
        <f t="shared" si="5"/>
        <v>17200.480000000014</v>
      </c>
      <c r="W22" s="101">
        <v>17038.240000000013</v>
      </c>
      <c r="X22" s="101">
        <f t="shared" si="5"/>
        <v>15159.279999999992</v>
      </c>
      <c r="Y22" s="102">
        <v>18601.680000000018</v>
      </c>
      <c r="Z22" s="101">
        <v>16200.879999999997</v>
      </c>
      <c r="AA22" s="101">
        <v>12531.039999999979</v>
      </c>
      <c r="AB22" s="101">
        <v>12889.999999999993</v>
      </c>
      <c r="AC22" s="101">
        <v>15079.679999999997</v>
      </c>
      <c r="AD22" s="104">
        <v>9312.9599999999882</v>
      </c>
      <c r="AE22" s="103">
        <v>18092.080000000013</v>
      </c>
      <c r="AF22" s="103">
        <v>17165.759999999998</v>
      </c>
      <c r="AG22" s="103">
        <v>16750.320000000014</v>
      </c>
      <c r="AH22" s="103">
        <v>16175.12000000001</v>
      </c>
      <c r="AI22" s="103">
        <v>18443.680000000011</v>
      </c>
      <c r="AJ22" s="105">
        <v>19000</v>
      </c>
      <c r="AK22" s="102">
        <f t="shared" ref="AK22:AN22" si="6">+SUM(AK19:AK21)</f>
        <v>3621.1999999999971</v>
      </c>
      <c r="AL22" s="102">
        <f t="shared" si="6"/>
        <v>10716.559999999992</v>
      </c>
      <c r="AM22" s="106">
        <f t="shared" ref="AM22:AM28" si="7">IFERROR(AL22/AJ22,0)</f>
        <v>0.56402947368421008</v>
      </c>
      <c r="AN22" s="102">
        <f t="shared" si="6"/>
        <v>14337.759999999989</v>
      </c>
      <c r="AO22" s="107">
        <f t="shared" ref="AO22:AO28" si="8">IFERROR(+AN22/AJ22,0)</f>
        <v>0.7546189473684205</v>
      </c>
      <c r="AP22" s="49"/>
      <c r="AQ22" s="49"/>
      <c r="AR22" s="108"/>
      <c r="AS22" s="47"/>
    </row>
    <row r="23" spans="1:45" ht="12.75" customHeight="1" x14ac:dyDescent="0.25">
      <c r="A23" s="45" t="s">
        <v>170</v>
      </c>
      <c r="B23" s="64" t="s">
        <v>104</v>
      </c>
      <c r="C23" s="65" t="s">
        <v>105</v>
      </c>
      <c r="D23" s="66" t="s">
        <v>106</v>
      </c>
      <c r="E23" s="86">
        <v>4490.96</v>
      </c>
      <c r="F23" s="87">
        <v>4507.4400000000005</v>
      </c>
      <c r="G23" s="87">
        <v>5212.0000000000009</v>
      </c>
      <c r="H23" s="87">
        <v>3746.1599999999994</v>
      </c>
      <c r="I23" s="86">
        <v>6183.4399999999978</v>
      </c>
      <c r="J23" s="87">
        <v>4559.0399999999991</v>
      </c>
      <c r="K23" s="87">
        <v>2769.7599999999998</v>
      </c>
      <c r="L23" s="87">
        <v>2431.04</v>
      </c>
      <c r="M23" s="87">
        <v>3909.7599999999989</v>
      </c>
      <c r="N23" s="87">
        <v>2047.84</v>
      </c>
      <c r="O23" s="87">
        <v>6091.3600000000006</v>
      </c>
      <c r="P23" s="87">
        <v>6518.48</v>
      </c>
      <c r="Q23" s="88">
        <v>6378.4799999999987</v>
      </c>
      <c r="R23" s="87">
        <v>6360.0799999999972</v>
      </c>
      <c r="S23" s="86">
        <v>4686.5599999999986</v>
      </c>
      <c r="T23" s="86">
        <v>5231.5999999999985</v>
      </c>
      <c r="U23" s="86">
        <v>4407.7599999999993</v>
      </c>
      <c r="V23" s="86">
        <v>5443.9199999999983</v>
      </c>
      <c r="W23" s="86">
        <v>4085.0399999999995</v>
      </c>
      <c r="X23" s="86">
        <v>4791.6799999999994</v>
      </c>
      <c r="Y23" s="87">
        <v>5750.5599999999986</v>
      </c>
      <c r="Z23" s="86">
        <v>4707.1199999999981</v>
      </c>
      <c r="AA23" s="86">
        <v>3844.4799999999987</v>
      </c>
      <c r="AB23" s="86">
        <v>3767.68</v>
      </c>
      <c r="AC23" s="86">
        <v>3152.3999999999996</v>
      </c>
      <c r="AD23" s="89">
        <v>2895.4399999999991</v>
      </c>
      <c r="AE23" s="88">
        <v>4327.3599999999997</v>
      </c>
      <c r="AF23" s="88">
        <v>5357.1200000000017</v>
      </c>
      <c r="AG23" s="88">
        <v>1204.5599999999997</v>
      </c>
      <c r="AH23" s="88">
        <v>4837.6000000000004</v>
      </c>
      <c r="AI23" s="88">
        <v>2970.9599999999996</v>
      </c>
      <c r="AJ23" s="90">
        <v>5200</v>
      </c>
      <c r="AK23" s="87">
        <v>224.4</v>
      </c>
      <c r="AL23" s="87">
        <v>978.64</v>
      </c>
      <c r="AM23" s="91">
        <f>IFERROR(AL23/AJ23,0)</f>
        <v>0.18820000000000001</v>
      </c>
      <c r="AN23" s="87">
        <f t="shared" ref="AN23" si="9">+AK23+AL23</f>
        <v>1203.04</v>
      </c>
      <c r="AO23" s="92">
        <f>IFERROR(+AN23/AJ23,0)</f>
        <v>0.23135384615384616</v>
      </c>
      <c r="AP23" s="50"/>
      <c r="AQ23" s="50"/>
    </row>
    <row r="24" spans="1:45" ht="12.75" customHeight="1" x14ac:dyDescent="0.25">
      <c r="A24" s="45" t="s">
        <v>170</v>
      </c>
      <c r="B24" s="75" t="s">
        <v>107</v>
      </c>
      <c r="C24" s="76" t="s">
        <v>105</v>
      </c>
      <c r="D24" s="77" t="s">
        <v>108</v>
      </c>
      <c r="E24" s="78">
        <v>9126.1600000000035</v>
      </c>
      <c r="F24" s="79">
        <v>6270.72</v>
      </c>
      <c r="G24" s="79">
        <v>7675.3600000000024</v>
      </c>
      <c r="H24" s="79">
        <v>8147.3600000000024</v>
      </c>
      <c r="I24" s="78">
        <v>9901.68</v>
      </c>
      <c r="J24" s="79">
        <v>6600.9599999999991</v>
      </c>
      <c r="K24" s="79">
        <v>5407.52</v>
      </c>
      <c r="L24" s="79">
        <v>6813.5999999999995</v>
      </c>
      <c r="M24" s="79">
        <v>7003.8400000000011</v>
      </c>
      <c r="N24" s="79">
        <v>4853.76</v>
      </c>
      <c r="O24" s="79">
        <v>8266.48</v>
      </c>
      <c r="P24" s="79">
        <v>5739.119999999999</v>
      </c>
      <c r="Q24" s="80">
        <v>8114.64</v>
      </c>
      <c r="R24" s="79">
        <v>8715.2000000000007</v>
      </c>
      <c r="S24" s="78">
        <v>6123.6</v>
      </c>
      <c r="T24" s="78">
        <v>8960.7200000000012</v>
      </c>
      <c r="U24" s="78">
        <v>6396.5599999999986</v>
      </c>
      <c r="V24" s="78">
        <v>8128.800000000002</v>
      </c>
      <c r="W24" s="78">
        <v>6699.28</v>
      </c>
      <c r="X24" s="78">
        <v>9051.5200000000023</v>
      </c>
      <c r="Y24" s="79">
        <v>8015.920000000001</v>
      </c>
      <c r="Z24" s="78">
        <v>8259.3599999999988</v>
      </c>
      <c r="AA24" s="78">
        <v>5455.5999999999995</v>
      </c>
      <c r="AB24" s="78">
        <v>5055.12</v>
      </c>
      <c r="AC24" s="78">
        <v>6391.52</v>
      </c>
      <c r="AD24" s="81">
        <v>3792.8799999999997</v>
      </c>
      <c r="AE24" s="80">
        <v>5010.8000000000011</v>
      </c>
      <c r="AF24" s="80">
        <v>5500.3199999999988</v>
      </c>
      <c r="AG24" s="80">
        <v>5621.12</v>
      </c>
      <c r="AH24" s="80">
        <v>4777.5999999999985</v>
      </c>
      <c r="AI24" s="80">
        <v>5952.9599999999991</v>
      </c>
      <c r="AJ24" s="82">
        <v>7900</v>
      </c>
      <c r="AK24" s="79">
        <v>396</v>
      </c>
      <c r="AL24" s="79">
        <v>2698.9599999999996</v>
      </c>
      <c r="AM24" s="83">
        <f t="shared" si="7"/>
        <v>0.34164050632911386</v>
      </c>
      <c r="AN24" s="79">
        <f>+AK24+AL24</f>
        <v>3094.9599999999996</v>
      </c>
      <c r="AO24" s="84">
        <f t="shared" si="8"/>
        <v>0.3917670886075949</v>
      </c>
      <c r="AP24" s="50"/>
      <c r="AQ24" s="50"/>
    </row>
    <row r="25" spans="1:45" ht="12.75" customHeight="1" x14ac:dyDescent="0.25">
      <c r="A25" s="45" t="s">
        <v>170</v>
      </c>
      <c r="B25" s="64" t="s">
        <v>109</v>
      </c>
      <c r="C25" s="65" t="s">
        <v>105</v>
      </c>
      <c r="D25" s="66" t="s">
        <v>110</v>
      </c>
      <c r="E25" s="86">
        <v>2760.48</v>
      </c>
      <c r="F25" s="87">
        <v>3730.3999999999992</v>
      </c>
      <c r="G25" s="87">
        <v>3626.88</v>
      </c>
      <c r="H25" s="87">
        <v>3561.12</v>
      </c>
      <c r="I25" s="86">
        <v>3371.0399999999995</v>
      </c>
      <c r="J25" s="87">
        <v>1607.2799999999997</v>
      </c>
      <c r="K25" s="87">
        <v>3132.24</v>
      </c>
      <c r="L25" s="87">
        <v>3478.8799999999987</v>
      </c>
      <c r="M25" s="87">
        <v>3147.76</v>
      </c>
      <c r="N25" s="87">
        <v>2930.72</v>
      </c>
      <c r="O25" s="87">
        <v>3846.3199999999988</v>
      </c>
      <c r="P25" s="87">
        <v>2322.559999999999</v>
      </c>
      <c r="Q25" s="88">
        <v>4139.3599999999997</v>
      </c>
      <c r="R25" s="87">
        <v>3103.04</v>
      </c>
      <c r="S25" s="86">
        <v>2772.8799999999997</v>
      </c>
      <c r="T25" s="86">
        <v>3545.1199999999994</v>
      </c>
      <c r="U25" s="86">
        <v>3401.52</v>
      </c>
      <c r="V25" s="86">
        <v>2389.2800000000002</v>
      </c>
      <c r="W25" s="86">
        <v>3744.3999999999996</v>
      </c>
      <c r="X25" s="86">
        <v>4048.0000000000005</v>
      </c>
      <c r="Y25" s="87">
        <v>3395.9999999999991</v>
      </c>
      <c r="Z25" s="86">
        <v>3310.7999999999997</v>
      </c>
      <c r="AA25" s="86">
        <v>2984.7999999999997</v>
      </c>
      <c r="AB25" s="86">
        <v>2817.9999999999995</v>
      </c>
      <c r="AC25" s="86">
        <v>3285.12</v>
      </c>
      <c r="AD25" s="89">
        <v>1697.28</v>
      </c>
      <c r="AE25" s="88">
        <v>2998.3199999999988</v>
      </c>
      <c r="AF25" s="88">
        <v>5148.4000000000005</v>
      </c>
      <c r="AG25" s="88">
        <v>2165.9199999999996</v>
      </c>
      <c r="AH25" s="88">
        <v>2888.4799999999996</v>
      </c>
      <c r="AI25" s="88">
        <v>4914.88</v>
      </c>
      <c r="AJ25" s="90">
        <v>4500</v>
      </c>
      <c r="AK25" s="87">
        <v>113.28</v>
      </c>
      <c r="AL25" s="87">
        <v>1297.9199999999998</v>
      </c>
      <c r="AM25" s="91">
        <f t="shared" si="7"/>
        <v>0.28842666666666661</v>
      </c>
      <c r="AN25" s="87">
        <f>+AK25+AL25</f>
        <v>1411.1999999999998</v>
      </c>
      <c r="AO25" s="92">
        <f t="shared" si="8"/>
        <v>0.31359999999999993</v>
      </c>
      <c r="AP25" s="50"/>
      <c r="AQ25" s="50"/>
    </row>
    <row r="26" spans="1:45" ht="12.75" customHeight="1" x14ac:dyDescent="0.25">
      <c r="A26" s="45" t="s">
        <v>170</v>
      </c>
      <c r="B26" s="75" t="s">
        <v>109</v>
      </c>
      <c r="C26" s="76" t="s">
        <v>105</v>
      </c>
      <c r="D26" s="77" t="s">
        <v>111</v>
      </c>
      <c r="E26" s="78">
        <v>4726.7999999999993</v>
      </c>
      <c r="F26" s="79">
        <v>4821.12</v>
      </c>
      <c r="G26" s="79">
        <v>5252.6399999999994</v>
      </c>
      <c r="H26" s="79">
        <v>5920.4000000000005</v>
      </c>
      <c r="I26" s="78">
        <v>5972.4</v>
      </c>
      <c r="J26" s="79">
        <v>3597.8399999999997</v>
      </c>
      <c r="K26" s="79">
        <v>6632.4800000000005</v>
      </c>
      <c r="L26" s="79">
        <v>8612.7199999999993</v>
      </c>
      <c r="M26" s="79">
        <v>6372.7199999999993</v>
      </c>
      <c r="N26" s="79">
        <v>8388.08</v>
      </c>
      <c r="O26" s="79">
        <v>4945.6799999999994</v>
      </c>
      <c r="P26" s="79">
        <v>4520.3999999999996</v>
      </c>
      <c r="Q26" s="80">
        <v>5628.4000000000005</v>
      </c>
      <c r="R26" s="79">
        <v>5503.68</v>
      </c>
      <c r="S26" s="78">
        <v>5743.6</v>
      </c>
      <c r="T26" s="78">
        <v>5988.3999999999987</v>
      </c>
      <c r="U26" s="78">
        <v>4622.8</v>
      </c>
      <c r="V26" s="78">
        <v>6558.16</v>
      </c>
      <c r="W26" s="78">
        <v>5446.7199999999993</v>
      </c>
      <c r="X26" s="78">
        <v>5625.119999999999</v>
      </c>
      <c r="Y26" s="79">
        <v>6646.5599999999986</v>
      </c>
      <c r="Z26" s="78">
        <v>6208.9599999999991</v>
      </c>
      <c r="AA26" s="78">
        <v>3395.4399999999991</v>
      </c>
      <c r="AB26" s="78">
        <v>6384.9600000000009</v>
      </c>
      <c r="AC26" s="78">
        <v>3469.6000000000004</v>
      </c>
      <c r="AD26" s="81">
        <v>5507.0399999999991</v>
      </c>
      <c r="AE26" s="80">
        <v>5985.4400000000005</v>
      </c>
      <c r="AF26" s="80">
        <v>4039.04</v>
      </c>
      <c r="AG26" s="80">
        <v>4018.48</v>
      </c>
      <c r="AH26" s="80">
        <v>4358.8</v>
      </c>
      <c r="AI26" s="80">
        <v>4881.3599999999997</v>
      </c>
      <c r="AJ26" s="82">
        <v>6400</v>
      </c>
      <c r="AK26" s="79">
        <v>180</v>
      </c>
      <c r="AL26" s="79">
        <v>1848.9599999999998</v>
      </c>
      <c r="AM26" s="83">
        <f t="shared" si="7"/>
        <v>0.28889999999999999</v>
      </c>
      <c r="AN26" s="79">
        <f>+AK26+AL26</f>
        <v>2028.9599999999998</v>
      </c>
      <c r="AO26" s="84">
        <f t="shared" si="8"/>
        <v>0.31702499999999995</v>
      </c>
      <c r="AP26" s="50"/>
      <c r="AQ26" s="50"/>
    </row>
    <row r="27" spans="1:45" ht="12.75" customHeight="1" thickBot="1" x14ac:dyDescent="0.3">
      <c r="A27" s="45" t="s">
        <v>170</v>
      </c>
      <c r="B27" s="64" t="s">
        <v>112</v>
      </c>
      <c r="C27" s="65" t="s">
        <v>105</v>
      </c>
      <c r="D27" s="66" t="s">
        <v>113</v>
      </c>
      <c r="E27" s="86">
        <v>1761.0400000000002</v>
      </c>
      <c r="F27" s="87">
        <v>2159.92</v>
      </c>
      <c r="G27" s="87">
        <v>2244.4800000000005</v>
      </c>
      <c r="H27" s="87">
        <v>2861.9999999999995</v>
      </c>
      <c r="I27" s="86">
        <v>4412.8</v>
      </c>
      <c r="J27" s="87">
        <v>2036.8799999999999</v>
      </c>
      <c r="K27" s="87">
        <v>5974.800000000002</v>
      </c>
      <c r="L27" s="87">
        <v>3989.8399999999988</v>
      </c>
      <c r="M27" s="87">
        <v>2556.48</v>
      </c>
      <c r="N27" s="87">
        <v>2287.7600000000002</v>
      </c>
      <c r="O27" s="87">
        <v>1436.48</v>
      </c>
      <c r="P27" s="87">
        <v>1251.68</v>
      </c>
      <c r="Q27" s="88">
        <v>1782.4000000000003</v>
      </c>
      <c r="R27" s="87">
        <v>1492.0800000000002</v>
      </c>
      <c r="S27" s="86">
        <v>1462.88</v>
      </c>
      <c r="T27" s="86">
        <v>3202.56</v>
      </c>
      <c r="U27" s="86">
        <v>2491.1200000000008</v>
      </c>
      <c r="V27" s="86">
        <v>4251.8399999999992</v>
      </c>
      <c r="W27" s="86">
        <v>9425.8399999999983</v>
      </c>
      <c r="X27" s="86">
        <v>3928.5599999999995</v>
      </c>
      <c r="Y27" s="87">
        <v>1653.2800000000002</v>
      </c>
      <c r="Z27" s="86">
        <v>2413.9999999999995</v>
      </c>
      <c r="AA27" s="86">
        <v>829.04000000000008</v>
      </c>
      <c r="AB27" s="86">
        <v>1254.7999999999997</v>
      </c>
      <c r="AC27" s="86">
        <v>1538.4799999999998</v>
      </c>
      <c r="AD27" s="89">
        <v>2780.0000000000005</v>
      </c>
      <c r="AE27" s="88">
        <v>2519.1200000000003</v>
      </c>
      <c r="AF27" s="88">
        <v>2348.2399999999993</v>
      </c>
      <c r="AG27" s="88">
        <v>4143.04</v>
      </c>
      <c r="AH27" s="88">
        <v>4152.6399999999994</v>
      </c>
      <c r="AI27" s="88">
        <v>5291.9999999999982</v>
      </c>
      <c r="AJ27" s="90">
        <v>5000</v>
      </c>
      <c r="AK27" s="87">
        <v>140.39999999999998</v>
      </c>
      <c r="AL27" s="87">
        <v>4436.6399999999994</v>
      </c>
      <c r="AM27" s="91">
        <f t="shared" si="7"/>
        <v>0.88732799999999989</v>
      </c>
      <c r="AN27" s="87">
        <f t="shared" ref="AN27" si="10">+AK27+AL27</f>
        <v>4577.0399999999991</v>
      </c>
      <c r="AO27" s="92">
        <f t="shared" si="8"/>
        <v>0.91540799999999978</v>
      </c>
      <c r="AP27" s="50"/>
      <c r="AQ27" s="50"/>
    </row>
    <row r="28" spans="1:45" s="109" customFormat="1" ht="12.75" customHeight="1" thickBot="1" x14ac:dyDescent="0.35">
      <c r="A28" s="45" t="s">
        <v>170</v>
      </c>
      <c r="B28" s="98"/>
      <c r="C28" s="99"/>
      <c r="D28" s="100" t="s">
        <v>114</v>
      </c>
      <c r="E28" s="101">
        <f t="shared" ref="E28:AD28" si="11">+SUM(E23:E27)</f>
        <v>22865.440000000002</v>
      </c>
      <c r="F28" s="102">
        <f t="shared" si="11"/>
        <v>21489.599999999999</v>
      </c>
      <c r="G28" s="102">
        <f t="shared" si="11"/>
        <v>24011.360000000004</v>
      </c>
      <c r="H28" s="102">
        <f t="shared" si="11"/>
        <v>24237.040000000005</v>
      </c>
      <c r="I28" s="102">
        <f t="shared" si="11"/>
        <v>29841.359999999997</v>
      </c>
      <c r="J28" s="102">
        <f t="shared" si="11"/>
        <v>18402</v>
      </c>
      <c r="K28" s="102">
        <f t="shared" si="11"/>
        <v>23916.800000000003</v>
      </c>
      <c r="L28" s="102">
        <f t="shared" si="11"/>
        <v>25326.079999999998</v>
      </c>
      <c r="M28" s="102">
        <f t="shared" si="11"/>
        <v>22990.560000000001</v>
      </c>
      <c r="N28" s="102">
        <f t="shared" si="11"/>
        <v>20508.160000000003</v>
      </c>
      <c r="O28" s="102">
        <f t="shared" si="11"/>
        <v>24586.32</v>
      </c>
      <c r="P28" s="102">
        <f t="shared" si="11"/>
        <v>20352.239999999998</v>
      </c>
      <c r="Q28" s="103">
        <f t="shared" si="11"/>
        <v>26043.280000000002</v>
      </c>
      <c r="R28" s="102">
        <f t="shared" si="11"/>
        <v>25174.080000000002</v>
      </c>
      <c r="S28" s="101">
        <f t="shared" si="11"/>
        <v>20789.52</v>
      </c>
      <c r="T28" s="101">
        <f t="shared" si="11"/>
        <v>26928.399999999998</v>
      </c>
      <c r="U28" s="101">
        <f t="shared" si="11"/>
        <v>21319.760000000002</v>
      </c>
      <c r="V28" s="101">
        <f t="shared" si="11"/>
        <v>26772.000000000004</v>
      </c>
      <c r="W28" s="101">
        <f t="shared" si="11"/>
        <v>29401.279999999999</v>
      </c>
      <c r="X28" s="101">
        <f t="shared" si="11"/>
        <v>27444.879999999997</v>
      </c>
      <c r="Y28" s="102">
        <f t="shared" si="11"/>
        <v>25462.319999999996</v>
      </c>
      <c r="Z28" s="101">
        <f t="shared" si="11"/>
        <v>24900.239999999994</v>
      </c>
      <c r="AA28" s="101">
        <f t="shared" si="11"/>
        <v>16509.359999999997</v>
      </c>
      <c r="AB28" s="101">
        <f t="shared" si="11"/>
        <v>19280.560000000001</v>
      </c>
      <c r="AC28" s="101">
        <f t="shared" si="11"/>
        <v>17837.120000000003</v>
      </c>
      <c r="AD28" s="104">
        <f t="shared" si="11"/>
        <v>16672.64</v>
      </c>
      <c r="AE28" s="103">
        <v>20841.039999999997</v>
      </c>
      <c r="AF28" s="103">
        <v>22393.119999999999</v>
      </c>
      <c r="AG28" s="103">
        <v>17153.12</v>
      </c>
      <c r="AH28" s="103">
        <v>21015.119999999999</v>
      </c>
      <c r="AI28" s="103">
        <v>24012.159999999996</v>
      </c>
      <c r="AJ28" s="105">
        <v>29000</v>
      </c>
      <c r="AK28" s="102">
        <f>+SUM(AK23:AK27)</f>
        <v>1054.08</v>
      </c>
      <c r="AL28" s="102">
        <f>+SUM(AL23:AL27)</f>
        <v>11261.119999999999</v>
      </c>
      <c r="AM28" s="106">
        <f t="shared" si="7"/>
        <v>0.38831448275862063</v>
      </c>
      <c r="AN28" s="102">
        <f>+SUM(AN23:AN27)</f>
        <v>12315.199999999999</v>
      </c>
      <c r="AO28" s="107">
        <f t="shared" si="8"/>
        <v>0.42466206896551723</v>
      </c>
      <c r="AP28" s="49"/>
      <c r="AQ28" s="49"/>
      <c r="AR28" s="108"/>
      <c r="AS28" s="47"/>
    </row>
    <row r="29" spans="1:45" ht="12.75" customHeight="1" thickBot="1" x14ac:dyDescent="0.3">
      <c r="A29" s="45" t="s">
        <v>170</v>
      </c>
      <c r="B29" s="64" t="s">
        <v>115</v>
      </c>
      <c r="C29" s="65" t="s">
        <v>105</v>
      </c>
      <c r="D29" s="66" t="s">
        <v>116</v>
      </c>
      <c r="E29" s="86">
        <v>3067.3599999999819</v>
      </c>
      <c r="F29" s="87">
        <v>4736.3999999999824</v>
      </c>
      <c r="G29" s="87">
        <v>5672.8000000000065</v>
      </c>
      <c r="H29" s="87">
        <v>3509.9999999999923</v>
      </c>
      <c r="I29" s="86">
        <v>7089.3600000000197</v>
      </c>
      <c r="J29" s="87">
        <v>7375.2800000000243</v>
      </c>
      <c r="K29" s="87">
        <v>9645.4400000000442</v>
      </c>
      <c r="L29" s="87">
        <v>4285.8399999999892</v>
      </c>
      <c r="M29" s="87">
        <v>3259.3599999999833</v>
      </c>
      <c r="N29" s="87">
        <v>5002.4799999999896</v>
      </c>
      <c r="O29" s="87">
        <v>6627.8400000000147</v>
      </c>
      <c r="P29" s="87">
        <v>5336.8800000000056</v>
      </c>
      <c r="Q29" s="88">
        <v>7749.04000000003</v>
      </c>
      <c r="R29" s="87">
        <v>7946.0000000000136</v>
      </c>
      <c r="S29" s="86">
        <v>6341.4400000000096</v>
      </c>
      <c r="T29" s="86">
        <v>10426.480000000025</v>
      </c>
      <c r="U29" s="86">
        <v>7271.5200000000077</v>
      </c>
      <c r="V29" s="86">
        <v>5070.3199999999879</v>
      </c>
      <c r="W29" s="86">
        <v>8784.2400000000398</v>
      </c>
      <c r="X29" s="86">
        <v>6449.1200000000099</v>
      </c>
      <c r="Y29" s="87">
        <v>1443.1999999999935</v>
      </c>
      <c r="Z29" s="86">
        <v>3039.5999999999817</v>
      </c>
      <c r="AA29" s="86">
        <v>941.91999999999939</v>
      </c>
      <c r="AB29" s="86">
        <v>515.7600000000001</v>
      </c>
      <c r="AC29" s="86">
        <v>1558.6399999999985</v>
      </c>
      <c r="AD29" s="89">
        <v>520.4799999999999</v>
      </c>
      <c r="AE29" s="88">
        <v>706.95999999999992</v>
      </c>
      <c r="AF29" s="88">
        <v>678.08000000000015</v>
      </c>
      <c r="AG29" s="88">
        <v>378.32000000000011</v>
      </c>
      <c r="AH29" s="88">
        <v>1454.9599999999991</v>
      </c>
      <c r="AI29" s="88">
        <v>2509.1199999999985</v>
      </c>
      <c r="AJ29" s="90">
        <v>3000</v>
      </c>
      <c r="AK29" s="87">
        <v>332.07999999999993</v>
      </c>
      <c r="AL29" s="87">
        <v>423.5200000000001</v>
      </c>
      <c r="AM29" s="91">
        <f>IFERROR(AL29/AJ29,0)</f>
        <v>0.14117333333333337</v>
      </c>
      <c r="AN29" s="87">
        <f>+AK29+AL29</f>
        <v>755.6</v>
      </c>
      <c r="AO29" s="92">
        <f>IFERROR(+AN29/AJ29,0)</f>
        <v>0.25186666666666668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 t="s">
        <v>170</v>
      </c>
      <c r="B30" s="98"/>
      <c r="C30" s="99"/>
      <c r="D30" s="100" t="s">
        <v>118</v>
      </c>
      <c r="E30" s="102">
        <f t="shared" ref="E30:AK30" si="12">+SUM(E29)</f>
        <v>3067.3599999999819</v>
      </c>
      <c r="F30" s="102">
        <f t="shared" si="12"/>
        <v>4736.3999999999824</v>
      </c>
      <c r="G30" s="102">
        <f t="shared" si="12"/>
        <v>5672.8000000000065</v>
      </c>
      <c r="H30" s="102">
        <f t="shared" si="12"/>
        <v>3509.9999999999923</v>
      </c>
      <c r="I30" s="102">
        <f t="shared" si="12"/>
        <v>7089.3600000000197</v>
      </c>
      <c r="J30" s="102">
        <f t="shared" si="12"/>
        <v>7375.2800000000243</v>
      </c>
      <c r="K30" s="102">
        <f t="shared" si="12"/>
        <v>9645.4400000000442</v>
      </c>
      <c r="L30" s="102">
        <f t="shared" si="12"/>
        <v>4285.8399999999892</v>
      </c>
      <c r="M30" s="102">
        <f t="shared" si="12"/>
        <v>3259.3599999999833</v>
      </c>
      <c r="N30" s="102">
        <f t="shared" si="12"/>
        <v>5002.4799999999896</v>
      </c>
      <c r="O30" s="102">
        <f t="shared" si="12"/>
        <v>6627.8400000000147</v>
      </c>
      <c r="P30" s="102">
        <f t="shared" si="12"/>
        <v>5336.8800000000056</v>
      </c>
      <c r="Q30" s="102">
        <f t="shared" si="12"/>
        <v>7749.04000000003</v>
      </c>
      <c r="R30" s="102">
        <f t="shared" si="12"/>
        <v>7946.0000000000136</v>
      </c>
      <c r="S30" s="102">
        <v>6341.4400000000096</v>
      </c>
      <c r="T30" s="102">
        <f t="shared" si="12"/>
        <v>10426.480000000025</v>
      </c>
      <c r="U30" s="102">
        <f t="shared" si="12"/>
        <v>7271.5200000000077</v>
      </c>
      <c r="V30" s="102">
        <f t="shared" si="12"/>
        <v>5070.3199999999879</v>
      </c>
      <c r="W30" s="102">
        <v>8784.2400000000398</v>
      </c>
      <c r="X30" s="102">
        <f t="shared" si="12"/>
        <v>6449.1200000000099</v>
      </c>
      <c r="Y30" s="102">
        <v>1443.1999999999935</v>
      </c>
      <c r="Z30" s="102">
        <v>3039.5999999999817</v>
      </c>
      <c r="AA30" s="102">
        <v>941.91999999999939</v>
      </c>
      <c r="AB30" s="102">
        <v>515.7600000000001</v>
      </c>
      <c r="AC30" s="102">
        <v>1558.6399999999985</v>
      </c>
      <c r="AD30" s="103">
        <v>520.4799999999999</v>
      </c>
      <c r="AE30" s="103">
        <v>706.95999999999992</v>
      </c>
      <c r="AF30" s="103">
        <v>678.08000000000015</v>
      </c>
      <c r="AG30" s="103">
        <v>378.32000000000011</v>
      </c>
      <c r="AH30" s="103">
        <v>1454.9599999999991</v>
      </c>
      <c r="AI30" s="103">
        <v>2509.1199999999985</v>
      </c>
      <c r="AJ30" s="105">
        <v>3000</v>
      </c>
      <c r="AK30" s="102">
        <f t="shared" si="12"/>
        <v>332.07999999999993</v>
      </c>
      <c r="AL30" s="102">
        <f>+SUM(AL29)</f>
        <v>423.5200000000001</v>
      </c>
      <c r="AM30" s="106">
        <f t="shared" ref="AM30" si="13">IFERROR(AL30/AJ30,0)</f>
        <v>0.14117333333333337</v>
      </c>
      <c r="AN30" s="102">
        <f>+SUM(AN29)</f>
        <v>755.6</v>
      </c>
      <c r="AO30" s="107">
        <f t="shared" ref="AO30" si="14">IFERROR(+AN30/AJ30,0)</f>
        <v>0.25186666666666668</v>
      </c>
      <c r="AP30" s="49"/>
      <c r="AQ30" s="49"/>
      <c r="AR30" s="108"/>
      <c r="AS30" s="47"/>
    </row>
    <row r="31" spans="1:45" ht="12.75" customHeight="1" x14ac:dyDescent="0.25">
      <c r="A31" s="45" t="s">
        <v>170</v>
      </c>
      <c r="B31" s="75" t="s">
        <v>119</v>
      </c>
      <c r="C31" s="76" t="s">
        <v>120</v>
      </c>
      <c r="D31" s="77" t="s">
        <v>121</v>
      </c>
      <c r="E31" s="116">
        <v>6260.4800000000014</v>
      </c>
      <c r="F31" s="117">
        <v>12942.319999999996</v>
      </c>
      <c r="G31" s="117">
        <v>7875.04</v>
      </c>
      <c r="H31" s="117">
        <v>6291.5999999999995</v>
      </c>
      <c r="I31" s="117">
        <v>5208.4000000000005</v>
      </c>
      <c r="J31" s="117">
        <v>5037.5999999999995</v>
      </c>
      <c r="K31" s="117">
        <v>7096.2399999999989</v>
      </c>
      <c r="L31" s="117">
        <v>4702.96</v>
      </c>
      <c r="M31" s="117">
        <v>5765.52</v>
      </c>
      <c r="N31" s="117">
        <v>4198.16</v>
      </c>
      <c r="O31" s="117">
        <v>2835.4399999999991</v>
      </c>
      <c r="P31" s="117">
        <v>1989.12</v>
      </c>
      <c r="Q31" s="118">
        <v>3877.6799999999994</v>
      </c>
      <c r="R31" s="117">
        <v>5287.2</v>
      </c>
      <c r="S31" s="116">
        <v>5385.12</v>
      </c>
      <c r="T31" s="116">
        <v>5554.48</v>
      </c>
      <c r="U31" s="116">
        <v>6249.920000000001</v>
      </c>
      <c r="V31" s="116">
        <v>5718.72</v>
      </c>
      <c r="W31" s="116">
        <v>5464.16</v>
      </c>
      <c r="X31" s="116">
        <v>5880.3199999999988</v>
      </c>
      <c r="Y31" s="117">
        <v>4131.84</v>
      </c>
      <c r="Z31" s="116">
        <v>6644.72</v>
      </c>
      <c r="AA31" s="116">
        <v>6225.0399999999991</v>
      </c>
      <c r="AB31" s="116">
        <v>2774.4000000000005</v>
      </c>
      <c r="AC31" s="116">
        <v>8708.56</v>
      </c>
      <c r="AD31" s="119">
        <v>4355.12</v>
      </c>
      <c r="AE31" s="118">
        <v>8551.76</v>
      </c>
      <c r="AF31" s="118">
        <v>7666.6399999999994</v>
      </c>
      <c r="AG31" s="118">
        <v>6135.2000000000007</v>
      </c>
      <c r="AH31" s="118">
        <v>3322.4</v>
      </c>
      <c r="AI31" s="118">
        <v>6284.16</v>
      </c>
      <c r="AJ31" s="191">
        <v>9800</v>
      </c>
      <c r="AK31" s="117">
        <v>1039.5999999999999</v>
      </c>
      <c r="AL31" s="117">
        <v>5106.5599999999995</v>
      </c>
      <c r="AM31" s="121">
        <f t="shared" si="0"/>
        <v>0.52107755102040809</v>
      </c>
      <c r="AN31" s="117">
        <f t="shared" ref="AN31:AN55" si="15">+AK31+AL31</f>
        <v>6146.16</v>
      </c>
      <c r="AO31" s="122">
        <f t="shared" si="2"/>
        <v>0.62715918367346934</v>
      </c>
      <c r="AP31" s="50"/>
      <c r="AQ31" s="50"/>
    </row>
    <row r="32" spans="1:45" ht="12.75" customHeight="1" thickBot="1" x14ac:dyDescent="0.3">
      <c r="A32" s="45" t="s">
        <v>170</v>
      </c>
      <c r="B32" s="64" t="s">
        <v>119</v>
      </c>
      <c r="C32" s="65" t="s">
        <v>120</v>
      </c>
      <c r="D32" s="66" t="s">
        <v>122</v>
      </c>
      <c r="E32" s="123">
        <v>5342.08</v>
      </c>
      <c r="F32" s="124">
        <v>4608</v>
      </c>
      <c r="G32" s="124">
        <v>691.19999999999993</v>
      </c>
      <c r="H32" s="124">
        <v>3732.08</v>
      </c>
      <c r="I32" s="124">
        <v>53.36</v>
      </c>
      <c r="J32" s="124">
        <v>156</v>
      </c>
      <c r="K32" s="124">
        <v>296.8</v>
      </c>
      <c r="L32" s="124">
        <v>495.76</v>
      </c>
      <c r="M32" s="124">
        <v>3080</v>
      </c>
      <c r="N32" s="124">
        <v>3048.16</v>
      </c>
      <c r="O32" s="124">
        <v>3042.48</v>
      </c>
      <c r="P32" s="124">
        <v>2724</v>
      </c>
      <c r="Q32" s="125">
        <v>642.64</v>
      </c>
      <c r="R32" s="124">
        <v>76</v>
      </c>
      <c r="S32" s="123">
        <v>488.64</v>
      </c>
      <c r="T32" s="123">
        <v>3916</v>
      </c>
      <c r="U32" s="123">
        <v>241.2</v>
      </c>
      <c r="V32" s="123">
        <v>277.44</v>
      </c>
      <c r="W32" s="123">
        <v>1156.08</v>
      </c>
      <c r="X32" s="123">
        <v>1119.1999999999998</v>
      </c>
      <c r="Y32" s="124">
        <v>1077.44</v>
      </c>
      <c r="Z32" s="123">
        <v>1020.2399999999999</v>
      </c>
      <c r="AA32" s="123">
        <v>138.24</v>
      </c>
      <c r="AB32" s="123">
        <v>0</v>
      </c>
      <c r="AC32" s="123">
        <v>0</v>
      </c>
      <c r="AD32" s="126">
        <v>0</v>
      </c>
      <c r="AE32" s="125">
        <v>175.2</v>
      </c>
      <c r="AF32" s="125">
        <v>38</v>
      </c>
      <c r="AG32" s="125">
        <v>107.6</v>
      </c>
      <c r="AH32" s="125">
        <v>78</v>
      </c>
      <c r="AI32" s="125">
        <v>0</v>
      </c>
      <c r="AJ32" s="192">
        <v>200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A33" s="45" t="s">
        <v>170</v>
      </c>
      <c r="B33" s="98"/>
      <c r="C33" s="99"/>
      <c r="D33" s="100" t="s">
        <v>124</v>
      </c>
      <c r="E33" s="101">
        <v>11602.560000000001</v>
      </c>
      <c r="F33" s="102">
        <v>17550.319999999996</v>
      </c>
      <c r="G33" s="102">
        <v>8566.24</v>
      </c>
      <c r="H33" s="102">
        <v>10023.68</v>
      </c>
      <c r="I33" s="102">
        <v>5261.76</v>
      </c>
      <c r="J33" s="102">
        <v>5193.5999999999995</v>
      </c>
      <c r="K33" s="102">
        <v>7393.0399999999991</v>
      </c>
      <c r="L33" s="102">
        <v>5198.72</v>
      </c>
      <c r="M33" s="102">
        <v>8845.52</v>
      </c>
      <c r="N33" s="102">
        <v>7246.32</v>
      </c>
      <c r="O33" s="102">
        <v>5877.9199999999992</v>
      </c>
      <c r="P33" s="102">
        <v>4713.12</v>
      </c>
      <c r="Q33" s="103">
        <v>4520.32</v>
      </c>
      <c r="R33" s="102">
        <v>5363.2</v>
      </c>
      <c r="S33" s="101">
        <v>5873.76</v>
      </c>
      <c r="T33" s="101">
        <v>9470.48</v>
      </c>
      <c r="U33" s="101">
        <v>6491.1200000000008</v>
      </c>
      <c r="V33" s="101">
        <v>5996.16</v>
      </c>
      <c r="W33" s="101">
        <v>6620.24</v>
      </c>
      <c r="X33" s="101">
        <v>6999.5199999999986</v>
      </c>
      <c r="Y33" s="102">
        <v>5209.2800000000007</v>
      </c>
      <c r="Z33" s="101">
        <v>7664.96</v>
      </c>
      <c r="AA33" s="101">
        <v>6363.2799999999988</v>
      </c>
      <c r="AB33" s="101">
        <v>2774.4000000000005</v>
      </c>
      <c r="AC33" s="101">
        <v>8708.56</v>
      </c>
      <c r="AD33" s="104">
        <v>4355.12</v>
      </c>
      <c r="AE33" s="103">
        <v>8726.9600000000009</v>
      </c>
      <c r="AF33" s="103">
        <v>7704.6399999999994</v>
      </c>
      <c r="AG33" s="103">
        <v>6242.8000000000011</v>
      </c>
      <c r="AH33" s="103">
        <v>3400.4</v>
      </c>
      <c r="AI33" s="103">
        <v>6284.16</v>
      </c>
      <c r="AJ33" s="105">
        <v>10000</v>
      </c>
      <c r="AK33" s="102">
        <f>+AK31+AK32</f>
        <v>1039.5999999999999</v>
      </c>
      <c r="AL33" s="102">
        <f>+AL31+AL32</f>
        <v>5106.5599999999995</v>
      </c>
      <c r="AM33" s="106">
        <f t="shared" si="0"/>
        <v>0.510656</v>
      </c>
      <c r="AN33" s="102">
        <f>+AN31+AN32</f>
        <v>6146.16</v>
      </c>
      <c r="AO33" s="107">
        <f t="shared" si="2"/>
        <v>0.61461599999999994</v>
      </c>
      <c r="AP33" s="50"/>
      <c r="AQ33" s="50"/>
    </row>
    <row r="34" spans="1:48" ht="12.75" hidden="1" customHeight="1" thickBot="1" x14ac:dyDescent="0.3">
      <c r="A34" s="45" t="s">
        <v>170</v>
      </c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>
        <v>0</v>
      </c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5" t="s">
        <v>170</v>
      </c>
      <c r="B35" s="75" t="s">
        <v>29</v>
      </c>
      <c r="C35" s="76" t="s">
        <v>126</v>
      </c>
      <c r="D35" s="77" t="s">
        <v>127</v>
      </c>
      <c r="E35" s="78">
        <v>21715.680000000077</v>
      </c>
      <c r="F35" s="79">
        <v>26589.119999999984</v>
      </c>
      <c r="G35" s="79">
        <v>48763.280000000093</v>
      </c>
      <c r="H35" s="79">
        <v>37741.360000000088</v>
      </c>
      <c r="I35" s="79" t="s">
        <v>126</v>
      </c>
      <c r="J35" s="79">
        <v>33930.879999999983</v>
      </c>
      <c r="K35" s="79">
        <v>40204.720000000038</v>
      </c>
      <c r="L35" s="79">
        <v>17720.879999999997</v>
      </c>
      <c r="M35" s="79">
        <v>34263.199999999997</v>
      </c>
      <c r="N35" s="79">
        <v>11412.160000000024</v>
      </c>
      <c r="O35" s="79">
        <v>24235.600000000042</v>
      </c>
      <c r="P35" s="79">
        <v>19824.48000000005</v>
      </c>
      <c r="Q35" s="80">
        <v>16463.600000000028</v>
      </c>
      <c r="R35" s="79">
        <v>21428.480000000025</v>
      </c>
      <c r="S35" s="78">
        <v>21878.480000000014</v>
      </c>
      <c r="T35" s="78">
        <v>19670.720000000045</v>
      </c>
      <c r="U35" s="78">
        <v>9667.2800000000097</v>
      </c>
      <c r="V35" s="78">
        <v>34678.08000000006</v>
      </c>
      <c r="W35" s="78">
        <v>18651.040000000063</v>
      </c>
      <c r="X35" s="78">
        <v>14031.440000000037</v>
      </c>
      <c r="Y35" s="79">
        <v>26941.520000000037</v>
      </c>
      <c r="Z35" s="78">
        <v>17103.440000000057</v>
      </c>
      <c r="AA35" s="78">
        <v>9026.9600000000064</v>
      </c>
      <c r="AB35" s="78">
        <v>11126.720000000012</v>
      </c>
      <c r="AC35" s="78">
        <v>15229.200000000023</v>
      </c>
      <c r="AD35" s="81">
        <v>13423.92</v>
      </c>
      <c r="AE35" s="80">
        <v>23462.640000000043</v>
      </c>
      <c r="AF35" s="80">
        <v>16123.840000000053</v>
      </c>
      <c r="AG35" s="80">
        <v>22973.040000000019</v>
      </c>
      <c r="AH35" s="80">
        <v>14858.720000000021</v>
      </c>
      <c r="AI35" s="80">
        <v>17929.44000000001</v>
      </c>
      <c r="AJ35" s="114">
        <v>18500</v>
      </c>
      <c r="AK35" s="79">
        <v>6470.9600000000064</v>
      </c>
      <c r="AL35" s="79">
        <v>9973.0400000000118</v>
      </c>
      <c r="AM35" s="83">
        <f t="shared" ref="AM35:AM56" si="16">IFERROR(AL35/AJ35,0)</f>
        <v>0.53908324324324386</v>
      </c>
      <c r="AN35" s="79">
        <f t="shared" ref="AN35:AN36" si="17">+AK35+AL35</f>
        <v>16444.000000000018</v>
      </c>
      <c r="AO35" s="84">
        <f t="shared" ref="AO35:AO51" si="18">IFERROR(+AN35/AJ35,0)</f>
        <v>0.88886486486486582</v>
      </c>
      <c r="AP35" s="50"/>
      <c r="AQ35" s="50"/>
    </row>
    <row r="36" spans="1:48" ht="12.75" customHeight="1" thickBot="1" x14ac:dyDescent="0.3">
      <c r="A36" s="45" t="s">
        <v>170</v>
      </c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2215.6</v>
      </c>
      <c r="U36" s="123">
        <v>2078.3999999999996</v>
      </c>
      <c r="V36" s="123">
        <v>524.4</v>
      </c>
      <c r="W36" s="123">
        <v>445.6</v>
      </c>
      <c r="X36" s="123">
        <v>2441.5999999999995</v>
      </c>
      <c r="Y36" s="124">
        <v>831.2</v>
      </c>
      <c r="Z36" s="123">
        <v>992.40000000000009</v>
      </c>
      <c r="AA36" s="123">
        <v>856.48</v>
      </c>
      <c r="AB36" s="123">
        <v>2357.6799999999994</v>
      </c>
      <c r="AC36" s="123">
        <v>442</v>
      </c>
      <c r="AD36" s="126">
        <v>762.4</v>
      </c>
      <c r="AE36" s="125">
        <v>227.6</v>
      </c>
      <c r="AF36" s="125">
        <v>1754.3999999999999</v>
      </c>
      <c r="AG36" s="125">
        <v>1480.3999999999999</v>
      </c>
      <c r="AH36" s="125">
        <v>1230.3199999999997</v>
      </c>
      <c r="AI36" s="125">
        <v>1265.5999999999999</v>
      </c>
      <c r="AJ36" s="127">
        <v>1500</v>
      </c>
      <c r="AK36" s="124">
        <v>675.2</v>
      </c>
      <c r="AL36" s="124">
        <v>120</v>
      </c>
      <c r="AM36" s="128">
        <f t="shared" si="16"/>
        <v>0.08</v>
      </c>
      <c r="AN36" s="124">
        <f t="shared" si="17"/>
        <v>795.2</v>
      </c>
      <c r="AO36" s="129">
        <f t="shared" si="18"/>
        <v>0.53013333333333335</v>
      </c>
      <c r="AP36" s="50">
        <v>100002258</v>
      </c>
      <c r="AQ36" s="50"/>
    </row>
    <row r="37" spans="1:48" s="109" customFormat="1" ht="12.75" customHeight="1" thickBot="1" x14ac:dyDescent="0.35">
      <c r="A37" s="45" t="s">
        <v>170</v>
      </c>
      <c r="B37" s="98"/>
      <c r="C37" s="99"/>
      <c r="D37" s="100" t="s">
        <v>129</v>
      </c>
      <c r="E37" s="101">
        <v>21715.680000000077</v>
      </c>
      <c r="F37" s="102">
        <v>26589.119999999984</v>
      </c>
      <c r="G37" s="102">
        <v>48763.280000000093</v>
      </c>
      <c r="H37" s="102">
        <v>37741.360000000088</v>
      </c>
      <c r="I37" s="102">
        <v>55825.040000000066</v>
      </c>
      <c r="J37" s="102">
        <v>33930.879999999983</v>
      </c>
      <c r="K37" s="102">
        <v>40204.720000000038</v>
      </c>
      <c r="L37" s="102">
        <v>17720.879999999997</v>
      </c>
      <c r="M37" s="102">
        <v>34263.199999999997</v>
      </c>
      <c r="N37" s="102">
        <v>11412.160000000024</v>
      </c>
      <c r="O37" s="102">
        <v>24235.600000000042</v>
      </c>
      <c r="P37" s="102">
        <v>19824.48000000005</v>
      </c>
      <c r="Q37" s="103">
        <v>16463.600000000028</v>
      </c>
      <c r="R37" s="102">
        <v>21428.480000000025</v>
      </c>
      <c r="S37" s="101">
        <v>21878.480000000014</v>
      </c>
      <c r="T37" s="101">
        <v>21886.320000000043</v>
      </c>
      <c r="U37" s="101">
        <v>11745.680000000009</v>
      </c>
      <c r="V37" s="101">
        <v>35202.480000000061</v>
      </c>
      <c r="W37" s="101">
        <v>19096.640000000061</v>
      </c>
      <c r="X37" s="101">
        <v>16473.040000000037</v>
      </c>
      <c r="Y37" s="102">
        <v>27772.720000000038</v>
      </c>
      <c r="Z37" s="101">
        <v>18095.840000000058</v>
      </c>
      <c r="AA37" s="101">
        <v>9883.440000000006</v>
      </c>
      <c r="AB37" s="101">
        <v>13484.400000000012</v>
      </c>
      <c r="AC37" s="101">
        <v>15671.200000000023</v>
      </c>
      <c r="AD37" s="104">
        <v>14186.32</v>
      </c>
      <c r="AE37" s="103">
        <v>23690.240000000042</v>
      </c>
      <c r="AF37" s="103">
        <v>17878.240000000053</v>
      </c>
      <c r="AG37" s="103">
        <v>24453.440000000021</v>
      </c>
      <c r="AH37" s="103">
        <v>16089.040000000021</v>
      </c>
      <c r="AI37" s="103">
        <v>19195.040000000008</v>
      </c>
      <c r="AJ37" s="105">
        <v>20000</v>
      </c>
      <c r="AK37" s="105">
        <f t="shared" ref="AK37:AL37" si="19">+SUM(AK34:AK36)</f>
        <v>7146.1600000000062</v>
      </c>
      <c r="AL37" s="105">
        <f t="shared" si="19"/>
        <v>10093.040000000012</v>
      </c>
      <c r="AM37" s="106">
        <f t="shared" si="16"/>
        <v>0.50465200000000054</v>
      </c>
      <c r="AN37" s="105">
        <f t="shared" ref="AN37" si="20">+SUM(AN34:AN36)</f>
        <v>17239.200000000019</v>
      </c>
      <c r="AO37" s="107">
        <f t="shared" si="18"/>
        <v>0.86196000000000095</v>
      </c>
      <c r="AP37" s="49"/>
      <c r="AQ37" s="49"/>
      <c r="AR37" s="108"/>
      <c r="AS37" s="47"/>
    </row>
    <row r="38" spans="1:48" ht="12.75" customHeight="1" x14ac:dyDescent="0.25">
      <c r="A38" s="47" t="s">
        <v>170</v>
      </c>
      <c r="B38" s="75" t="s">
        <v>130</v>
      </c>
      <c r="C38" s="76" t="s">
        <v>126</v>
      </c>
      <c r="D38" s="77" t="s">
        <v>131</v>
      </c>
      <c r="E38" s="130">
        <v>1352.6400000000003</v>
      </c>
      <c r="F38" s="131">
        <v>3617.04</v>
      </c>
      <c r="G38" s="79">
        <v>5137.2</v>
      </c>
      <c r="H38" s="79">
        <v>1337.6000000000001</v>
      </c>
      <c r="I38" s="79">
        <v>1025.28</v>
      </c>
      <c r="J38" s="79">
        <v>526.88</v>
      </c>
      <c r="K38" s="79">
        <v>359.5200000000001</v>
      </c>
      <c r="L38" s="79">
        <v>308.8</v>
      </c>
      <c r="M38" s="79">
        <v>340.88000000000011</v>
      </c>
      <c r="N38" s="79">
        <v>320.96000000000009</v>
      </c>
      <c r="O38" s="79">
        <v>329.44000000000011</v>
      </c>
      <c r="P38" s="79">
        <v>275.04000000000013</v>
      </c>
      <c r="Q38" s="79">
        <v>481.20000000000005</v>
      </c>
      <c r="R38" s="79">
        <v>187.92000000000007</v>
      </c>
      <c r="S38" s="79">
        <v>261.20000000000005</v>
      </c>
      <c r="T38" s="80">
        <v>441.76</v>
      </c>
      <c r="U38" s="80">
        <v>448.16000000000008</v>
      </c>
      <c r="V38" s="80">
        <v>504.48000000000013</v>
      </c>
      <c r="W38" s="80">
        <v>-3.3600000000000065</v>
      </c>
      <c r="X38" s="80">
        <v>452.00000000000006</v>
      </c>
      <c r="Y38" s="80">
        <v>370.96000000000004</v>
      </c>
      <c r="Z38" s="79">
        <v>462.00000000000006</v>
      </c>
      <c r="AA38" s="78">
        <v>266.16000000000003</v>
      </c>
      <c r="AB38" s="79">
        <v>340.24000000000012</v>
      </c>
      <c r="AC38" s="78">
        <v>342.0800000000001</v>
      </c>
      <c r="AD38" s="81">
        <v>238.95999999999998</v>
      </c>
      <c r="AE38" s="80">
        <v>281.20000000000005</v>
      </c>
      <c r="AF38" s="80">
        <v>395.20000000000016</v>
      </c>
      <c r="AG38" s="80">
        <v>245.60000000000014</v>
      </c>
      <c r="AH38" s="80">
        <v>496.6400000000001</v>
      </c>
      <c r="AI38" s="80">
        <v>84.559999999999974</v>
      </c>
      <c r="AJ38" s="114">
        <v>300</v>
      </c>
      <c r="AK38" s="79">
        <v>64.08</v>
      </c>
      <c r="AL38" s="79">
        <v>115.84000000000002</v>
      </c>
      <c r="AM38" s="83">
        <f t="shared" si="16"/>
        <v>0.38613333333333338</v>
      </c>
      <c r="AN38" s="79">
        <f>+AK38+AL38</f>
        <v>179.92000000000002</v>
      </c>
      <c r="AO38" s="84">
        <f t="shared" si="18"/>
        <v>0.59973333333333334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>
        <v>1584.96</v>
      </c>
      <c r="P39" s="87">
        <v>985.92000000000007</v>
      </c>
      <c r="Q39" s="87">
        <v>1123.2</v>
      </c>
      <c r="R39" s="87">
        <v>1238.6399999999999</v>
      </c>
      <c r="S39" s="87">
        <v>1407.1200000000001</v>
      </c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1400.6399999999999</v>
      </c>
      <c r="AF39" s="88">
        <v>0</v>
      </c>
      <c r="AG39" s="88">
        <v>149.51999999999998</v>
      </c>
      <c r="AH39" s="88">
        <v>0</v>
      </c>
      <c r="AI39" s="88">
        <v>1243.9199999999998</v>
      </c>
      <c r="AJ39" s="115">
        <v>200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si="18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170</v>
      </c>
      <c r="B40" s="75" t="s">
        <v>132</v>
      </c>
      <c r="C40" s="136" t="s">
        <v>128</v>
      </c>
      <c r="D40" s="77" t="s">
        <v>134</v>
      </c>
      <c r="E40" s="130">
        <v>2923.7599999999943</v>
      </c>
      <c r="F40" s="79">
        <v>1104.5599999999988</v>
      </c>
      <c r="G40" s="79">
        <v>14950.640000000045</v>
      </c>
      <c r="H40" s="79">
        <v>9982.320000000007</v>
      </c>
      <c r="I40" s="79">
        <v>13405.360000000041</v>
      </c>
      <c r="J40" s="79">
        <v>12780.240000000016</v>
      </c>
      <c r="K40" s="79">
        <v>6512.4800000000087</v>
      </c>
      <c r="L40" s="79">
        <v>8624.8000000000156</v>
      </c>
      <c r="M40" s="79">
        <v>11139.520000000044</v>
      </c>
      <c r="N40" s="79">
        <v>4006.0799999999949</v>
      </c>
      <c r="O40" s="79">
        <v>10460.960000000037</v>
      </c>
      <c r="P40" s="79">
        <v>12484.720000000059</v>
      </c>
      <c r="Q40" s="79">
        <v>11782.000000000055</v>
      </c>
      <c r="R40" s="79">
        <v>14070.400000000043</v>
      </c>
      <c r="S40" s="79">
        <v>10167.440000000048</v>
      </c>
      <c r="T40" s="80">
        <v>11660.960000000052</v>
      </c>
      <c r="U40" s="80">
        <v>14464.88000000005</v>
      </c>
      <c r="V40" s="80">
        <v>12525.360000000048</v>
      </c>
      <c r="W40" s="80">
        <v>11540.400000000029</v>
      </c>
      <c r="X40" s="80">
        <v>8215.6800000000167</v>
      </c>
      <c r="Y40" s="80">
        <v>10778.720000000008</v>
      </c>
      <c r="Z40" s="79">
        <v>10490.079999999996</v>
      </c>
      <c r="AA40" s="78">
        <v>11475.119999999992</v>
      </c>
      <c r="AB40" s="79">
        <v>9026.720000000003</v>
      </c>
      <c r="AC40" s="78">
        <v>4159.7599999999948</v>
      </c>
      <c r="AD40" s="81">
        <v>3784.1599999999971</v>
      </c>
      <c r="AE40" s="80">
        <v>13036.160000000018</v>
      </c>
      <c r="AF40" s="80">
        <v>8764.6400000000067</v>
      </c>
      <c r="AG40" s="80">
        <v>5074.3200000000052</v>
      </c>
      <c r="AH40" s="80">
        <v>18594.560000000023</v>
      </c>
      <c r="AI40" s="80">
        <v>6980.4000000000042</v>
      </c>
      <c r="AJ40" s="82">
        <v>9000</v>
      </c>
      <c r="AK40" s="79">
        <v>1875.1999999999987</v>
      </c>
      <c r="AL40" s="79">
        <v>8764.4799999999905</v>
      </c>
      <c r="AM40" s="83">
        <f t="shared" si="16"/>
        <v>0.97383111111111009</v>
      </c>
      <c r="AN40" s="79">
        <f>+AK40+AL40</f>
        <v>10639.679999999989</v>
      </c>
      <c r="AO40" s="84">
        <f t="shared" si="18"/>
        <v>1.1821866666666654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170</v>
      </c>
      <c r="B41" s="64" t="s">
        <v>132</v>
      </c>
      <c r="C41" s="134" t="s">
        <v>131</v>
      </c>
      <c r="D41" s="66" t="s">
        <v>135</v>
      </c>
      <c r="E41" s="135">
        <v>5299.6799999999994</v>
      </c>
      <c r="F41" s="87">
        <v>9938.4</v>
      </c>
      <c r="G41" s="87">
        <v>19556.079999999998</v>
      </c>
      <c r="H41" s="87">
        <v>7745.2</v>
      </c>
      <c r="I41" s="87">
        <v>23031.200000000001</v>
      </c>
      <c r="J41" s="87">
        <v>11256</v>
      </c>
      <c r="K41" s="87">
        <v>14603.840000000002</v>
      </c>
      <c r="L41" s="87">
        <v>6798.4</v>
      </c>
      <c r="M41" s="87">
        <v>8140.8</v>
      </c>
      <c r="N41" s="87">
        <v>31442.400000000001</v>
      </c>
      <c r="O41" s="87">
        <v>11268.64</v>
      </c>
      <c r="P41" s="87">
        <v>4127.6000000000004</v>
      </c>
      <c r="Q41" s="87">
        <v>8380.32</v>
      </c>
      <c r="R41" s="87">
        <v>7927.68</v>
      </c>
      <c r="S41" s="87">
        <v>7774.5599999999995</v>
      </c>
      <c r="T41" s="88">
        <v>8240.880000000001</v>
      </c>
      <c r="U41" s="88">
        <v>13988.559999999998</v>
      </c>
      <c r="V41" s="88">
        <v>9020.7200000000012</v>
      </c>
      <c r="W41" s="88">
        <v>13270.24</v>
      </c>
      <c r="X41" s="88">
        <v>5796.2399999999989</v>
      </c>
      <c r="Y41" s="88">
        <v>10982.4</v>
      </c>
      <c r="Z41" s="87">
        <v>13243.68</v>
      </c>
      <c r="AA41" s="86">
        <v>2944.7999999999997</v>
      </c>
      <c r="AB41" s="87">
        <v>7288</v>
      </c>
      <c r="AC41" s="86">
        <v>7263.5999999999995</v>
      </c>
      <c r="AD41" s="89">
        <v>8468.4</v>
      </c>
      <c r="AE41" s="88">
        <v>8940</v>
      </c>
      <c r="AF41" s="88">
        <v>6724.7999999999993</v>
      </c>
      <c r="AG41" s="88">
        <v>3312.24</v>
      </c>
      <c r="AH41" s="88">
        <v>7653.5999999999995</v>
      </c>
      <c r="AI41" s="88">
        <v>9424.7999999999993</v>
      </c>
      <c r="AJ41" s="115">
        <v>8000</v>
      </c>
      <c r="AK41" s="87">
        <v>0</v>
      </c>
      <c r="AL41" s="87">
        <v>6981.6</v>
      </c>
      <c r="AM41" s="91">
        <f t="shared" si="16"/>
        <v>0.87270000000000003</v>
      </c>
      <c r="AN41" s="87">
        <f t="shared" si="15"/>
        <v>6981.6</v>
      </c>
      <c r="AO41" s="92">
        <f t="shared" si="18"/>
        <v>0.87270000000000003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170</v>
      </c>
      <c r="B42" s="75" t="s">
        <v>132</v>
      </c>
      <c r="C42" s="136" t="s">
        <v>136</v>
      </c>
      <c r="D42" s="77" t="s">
        <v>137</v>
      </c>
      <c r="E42" s="130">
        <v>25741.200000000008</v>
      </c>
      <c r="F42" s="79">
        <v>30812.480000000021</v>
      </c>
      <c r="G42" s="79">
        <v>28350.560000000041</v>
      </c>
      <c r="H42" s="79">
        <v>37433.040000000023</v>
      </c>
      <c r="I42" s="79">
        <v>27318.960000000032</v>
      </c>
      <c r="J42" s="79">
        <v>23736.799999999999</v>
      </c>
      <c r="K42" s="79">
        <v>16674.879999999997</v>
      </c>
      <c r="L42" s="79">
        <v>9930.4800000000087</v>
      </c>
      <c r="M42" s="79">
        <v>13527.280000000004</v>
      </c>
      <c r="N42" s="79">
        <v>11336.56</v>
      </c>
      <c r="O42" s="79">
        <v>14341.680000000022</v>
      </c>
      <c r="P42" s="79">
        <v>20009.359999999997</v>
      </c>
      <c r="Q42" s="79">
        <v>27400.400000000001</v>
      </c>
      <c r="R42" s="79">
        <v>21413.520000000008</v>
      </c>
      <c r="S42" s="79">
        <v>20094.640000000025</v>
      </c>
      <c r="T42" s="80">
        <v>15530.400000000007</v>
      </c>
      <c r="U42" s="80">
        <v>17339.920000000013</v>
      </c>
      <c r="V42" s="80">
        <v>11519.919999999991</v>
      </c>
      <c r="W42" s="80">
        <v>9271.5200000000041</v>
      </c>
      <c r="X42" s="80">
        <v>17482.240000000016</v>
      </c>
      <c r="Y42" s="80">
        <v>10986.400000000003</v>
      </c>
      <c r="Z42" s="79">
        <v>11249.84000000002</v>
      </c>
      <c r="AA42" s="78">
        <v>12522.159999999998</v>
      </c>
      <c r="AB42" s="79">
        <v>5733.0400000000054</v>
      </c>
      <c r="AC42" s="78">
        <v>10275.840000000002</v>
      </c>
      <c r="AD42" s="81">
        <v>8908.5600000000049</v>
      </c>
      <c r="AE42" s="80">
        <v>11130.880000000008</v>
      </c>
      <c r="AF42" s="80">
        <v>16698.160000000003</v>
      </c>
      <c r="AG42" s="80">
        <v>17836.8</v>
      </c>
      <c r="AH42" s="80">
        <v>15334.959999999983</v>
      </c>
      <c r="AI42" s="80">
        <v>8444.4800000000123</v>
      </c>
      <c r="AJ42" s="82">
        <v>14800</v>
      </c>
      <c r="AK42" s="79">
        <v>5902.5599999999995</v>
      </c>
      <c r="AL42" s="79">
        <v>13612.96</v>
      </c>
      <c r="AM42" s="83">
        <f t="shared" si="16"/>
        <v>0.91979459459459456</v>
      </c>
      <c r="AN42" s="79">
        <f t="shared" si="15"/>
        <v>19515.519999999997</v>
      </c>
      <c r="AO42" s="84">
        <f t="shared" si="18"/>
        <v>1.3186162162162161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170</v>
      </c>
      <c r="B43" s="64" t="s">
        <v>132</v>
      </c>
      <c r="C43" s="134" t="s">
        <v>136</v>
      </c>
      <c r="D43" s="66" t="s">
        <v>138</v>
      </c>
      <c r="E43" s="135">
        <v>21517.920000000009</v>
      </c>
      <c r="F43" s="87">
        <v>8963.0399999999972</v>
      </c>
      <c r="G43" s="87">
        <v>5129.2799999999988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7000</v>
      </c>
      <c r="AK43" s="87">
        <v>528</v>
      </c>
      <c r="AL43" s="87">
        <v>8448</v>
      </c>
      <c r="AM43" s="91">
        <f t="shared" si="16"/>
        <v>1.2068571428571429</v>
      </c>
      <c r="AN43" s="87">
        <f t="shared" si="15"/>
        <v>8976</v>
      </c>
      <c r="AO43" s="92">
        <f t="shared" si="18"/>
        <v>1.2822857142857143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170</v>
      </c>
      <c r="B44" s="75" t="s">
        <v>132</v>
      </c>
      <c r="C44" s="136" t="s">
        <v>131</v>
      </c>
      <c r="D44" s="77" t="s">
        <v>139</v>
      </c>
      <c r="E44" s="130">
        <v>4704.8</v>
      </c>
      <c r="F44" s="79">
        <v>5967.1200000000008</v>
      </c>
      <c r="G44" s="79">
        <v>9076.8799999999992</v>
      </c>
      <c r="H44" s="79">
        <v>4559.3600000000006</v>
      </c>
      <c r="I44" s="79">
        <v>0</v>
      </c>
      <c r="J44" s="79">
        <v>0</v>
      </c>
      <c r="K44" s="79">
        <v>3012.3999999999992</v>
      </c>
      <c r="L44" s="79">
        <v>4156.32</v>
      </c>
      <c r="M44" s="79">
        <v>2545.3599999999983</v>
      </c>
      <c r="N44" s="79">
        <v>1493.04</v>
      </c>
      <c r="O44" s="79">
        <v>2790.64</v>
      </c>
      <c r="P44" s="79">
        <v>2120.96</v>
      </c>
      <c r="Q44" s="79">
        <v>7352.16</v>
      </c>
      <c r="R44" s="79">
        <v>4671.5999999999995</v>
      </c>
      <c r="S44" s="79">
        <v>3160.8799999999997</v>
      </c>
      <c r="T44" s="80">
        <v>1310.8799999999999</v>
      </c>
      <c r="U44" s="80">
        <v>6903.76</v>
      </c>
      <c r="V44" s="80">
        <v>7059.2799999999988</v>
      </c>
      <c r="W44" s="80">
        <v>1373.52</v>
      </c>
      <c r="X44" s="80">
        <v>1955.9199999999996</v>
      </c>
      <c r="Y44" s="80">
        <v>3527.2799999999997</v>
      </c>
      <c r="Z44" s="79">
        <v>5256.3199999999988</v>
      </c>
      <c r="AA44" s="78">
        <v>3988.1599999999994</v>
      </c>
      <c r="AB44" s="79">
        <v>1458.7199999999996</v>
      </c>
      <c r="AC44" s="78">
        <v>1848</v>
      </c>
      <c r="AD44" s="81">
        <v>1047.8399999999999</v>
      </c>
      <c r="AE44" s="80">
        <v>3664.9599999999991</v>
      </c>
      <c r="AF44" s="80">
        <v>1000.08</v>
      </c>
      <c r="AG44" s="80">
        <v>2642.3200000000006</v>
      </c>
      <c r="AH44" s="80">
        <v>2225.7599999999998</v>
      </c>
      <c r="AI44" s="80">
        <v>2022</v>
      </c>
      <c r="AJ44" s="82">
        <v>2400</v>
      </c>
      <c r="AK44" s="79">
        <v>630.16</v>
      </c>
      <c r="AL44" s="79">
        <v>1123.2800000000002</v>
      </c>
      <c r="AM44" s="83">
        <f t="shared" si="16"/>
        <v>0.46803333333333341</v>
      </c>
      <c r="AN44" s="79">
        <f t="shared" si="15"/>
        <v>1753.44</v>
      </c>
      <c r="AO44" s="84">
        <f t="shared" si="18"/>
        <v>0.73060000000000003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170</v>
      </c>
      <c r="B45" s="64" t="s">
        <v>132</v>
      </c>
      <c r="C45" s="134" t="s">
        <v>128</v>
      </c>
      <c r="D45" s="66" t="s">
        <v>140</v>
      </c>
      <c r="E45" s="137">
        <v>5608.0799999999936</v>
      </c>
      <c r="F45" s="138">
        <v>8594.6400000000031</v>
      </c>
      <c r="G45" s="124">
        <v>8553.68</v>
      </c>
      <c r="H45" s="124">
        <v>7837.279999999997</v>
      </c>
      <c r="I45" s="124">
        <v>9528.2399999999943</v>
      </c>
      <c r="J45" s="124">
        <v>6857.7599999999948</v>
      </c>
      <c r="K45" s="124">
        <v>6409.359999999986</v>
      </c>
      <c r="L45" s="124">
        <v>4927.5999999999894</v>
      </c>
      <c r="M45" s="124">
        <v>5197.4399999999914</v>
      </c>
      <c r="N45" s="124">
        <v>6114.7200000000012</v>
      </c>
      <c r="O45" s="124">
        <v>6604.9599999999946</v>
      </c>
      <c r="P45" s="124">
        <v>4924.2399999999925</v>
      </c>
      <c r="Q45" s="124">
        <v>7368.7200000000039</v>
      </c>
      <c r="R45" s="124">
        <v>5035.5999999999922</v>
      </c>
      <c r="S45" s="124">
        <v>5666.1599999999853</v>
      </c>
      <c r="T45" s="125">
        <v>5917.919999999991</v>
      </c>
      <c r="U45" s="125">
        <v>6514.4800000000005</v>
      </c>
      <c r="V45" s="125">
        <v>6897.3599999999906</v>
      </c>
      <c r="W45" s="125">
        <v>4142.9599999999891</v>
      </c>
      <c r="X45" s="125">
        <v>4805.2799999999861</v>
      </c>
      <c r="Y45" s="125">
        <v>5594.0799999999927</v>
      </c>
      <c r="Z45" s="124">
        <v>6118.6400000000031</v>
      </c>
      <c r="AA45" s="123">
        <v>4403.2799999999843</v>
      </c>
      <c r="AB45" s="124">
        <v>5527.5999999999976</v>
      </c>
      <c r="AC45" s="123">
        <v>3269.6799999999926</v>
      </c>
      <c r="AD45" s="126">
        <v>3476.8799999999978</v>
      </c>
      <c r="AE45" s="125">
        <v>5378.3200000000006</v>
      </c>
      <c r="AF45" s="125">
        <v>3282.5599999999922</v>
      </c>
      <c r="AG45" s="125">
        <v>4923.9200000000064</v>
      </c>
      <c r="AH45" s="125">
        <v>6263.440000000026</v>
      </c>
      <c r="AI45" s="125">
        <v>5739.6800000000039</v>
      </c>
      <c r="AJ45" s="127">
        <v>6300</v>
      </c>
      <c r="AK45" s="124">
        <v>983.99999999999989</v>
      </c>
      <c r="AL45" s="124">
        <v>2617.2799999999938</v>
      </c>
      <c r="AM45" s="128">
        <f t="shared" si="16"/>
        <v>0.41544126984126889</v>
      </c>
      <c r="AN45" s="124">
        <f t="shared" si="15"/>
        <v>3601.2799999999938</v>
      </c>
      <c r="AO45" s="129">
        <f t="shared" si="18"/>
        <v>0.57163174603174505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170</v>
      </c>
      <c r="B46" s="98"/>
      <c r="C46" s="99"/>
      <c r="D46" s="100" t="s">
        <v>141</v>
      </c>
      <c r="E46" s="101">
        <f t="shared" ref="E46:AD46" si="21">+SUM(E38:E45)</f>
        <v>67148.08</v>
      </c>
      <c r="F46" s="102">
        <f t="shared" si="21"/>
        <v>68997.280000000028</v>
      </c>
      <c r="G46" s="102">
        <f t="shared" si="21"/>
        <v>90754.320000000094</v>
      </c>
      <c r="H46" s="102">
        <f t="shared" si="21"/>
        <v>68894.800000000032</v>
      </c>
      <c r="I46" s="102">
        <f t="shared" si="21"/>
        <v>74309.040000000066</v>
      </c>
      <c r="J46" s="102">
        <f t="shared" si="21"/>
        <v>55157.680000000008</v>
      </c>
      <c r="K46" s="102">
        <f t="shared" si="21"/>
        <v>47572.479999999996</v>
      </c>
      <c r="L46" s="102">
        <f t="shared" si="21"/>
        <v>34746.400000000016</v>
      </c>
      <c r="M46" s="102">
        <f t="shared" si="21"/>
        <v>40891.280000000042</v>
      </c>
      <c r="N46" s="102">
        <f t="shared" si="21"/>
        <v>54713.759999999995</v>
      </c>
      <c r="O46" s="102">
        <f t="shared" si="21"/>
        <v>47381.28000000005</v>
      </c>
      <c r="P46" s="102">
        <f t="shared" si="21"/>
        <v>44927.840000000047</v>
      </c>
      <c r="Q46" s="103">
        <f t="shared" si="21"/>
        <v>63888.000000000058</v>
      </c>
      <c r="R46" s="102">
        <f t="shared" si="21"/>
        <v>54545.360000000037</v>
      </c>
      <c r="S46" s="101">
        <f t="shared" si="21"/>
        <v>48532.000000000058</v>
      </c>
      <c r="T46" s="101">
        <f t="shared" si="21"/>
        <v>43102.800000000047</v>
      </c>
      <c r="U46" s="101">
        <f t="shared" si="21"/>
        <v>59659.760000000068</v>
      </c>
      <c r="V46" s="101">
        <f t="shared" si="21"/>
        <v>47527.120000000032</v>
      </c>
      <c r="W46" s="101">
        <f t="shared" si="21"/>
        <v>39595.280000000021</v>
      </c>
      <c r="X46" s="101">
        <f t="shared" si="21"/>
        <v>38707.360000000015</v>
      </c>
      <c r="Y46" s="102">
        <f t="shared" si="21"/>
        <v>42239.840000000004</v>
      </c>
      <c r="Z46" s="101">
        <f t="shared" si="21"/>
        <v>46820.560000000012</v>
      </c>
      <c r="AA46" s="101">
        <f t="shared" si="21"/>
        <v>35599.679999999978</v>
      </c>
      <c r="AB46" s="101">
        <f t="shared" si="21"/>
        <v>29374.320000000007</v>
      </c>
      <c r="AC46" s="101">
        <f t="shared" si="21"/>
        <v>27158.959999999992</v>
      </c>
      <c r="AD46" s="104">
        <f t="shared" si="21"/>
        <v>25924.799999999999</v>
      </c>
      <c r="AE46" s="103">
        <v>43832.160000000025</v>
      </c>
      <c r="AF46" s="103">
        <v>36865.440000000002</v>
      </c>
      <c r="AG46" s="103">
        <v>34184.720000000008</v>
      </c>
      <c r="AH46" s="103">
        <v>50568.960000000028</v>
      </c>
      <c r="AI46" s="103">
        <v>33939.840000000026</v>
      </c>
      <c r="AJ46" s="105">
        <v>48000</v>
      </c>
      <c r="AK46" s="102">
        <f>SUM(AK38:AK45)</f>
        <v>9983.9999999999982</v>
      </c>
      <c r="AL46" s="102">
        <f>SUM(AL38:AL45)</f>
        <v>41663.439999999981</v>
      </c>
      <c r="AM46" s="106">
        <f t="shared" si="16"/>
        <v>0.86798833333333292</v>
      </c>
      <c r="AN46" s="102">
        <f t="shared" si="15"/>
        <v>51647.439999999981</v>
      </c>
      <c r="AO46" s="107">
        <f t="shared" si="18"/>
        <v>1.0759883333333329</v>
      </c>
      <c r="AP46" s="150"/>
      <c r="AQ46" s="150"/>
      <c r="AR46" s="108"/>
      <c r="AS46" s="47"/>
    </row>
    <row r="47" spans="1:48" ht="12.5" customHeight="1" thickBot="1" x14ac:dyDescent="0.3">
      <c r="A47" s="45" t="s">
        <v>170</v>
      </c>
      <c r="B47" s="151" t="s">
        <v>142</v>
      </c>
      <c r="C47" s="152"/>
      <c r="D47" s="153" t="s">
        <v>5</v>
      </c>
      <c r="E47" s="154">
        <f t="shared" ref="E47:V47" si="22">+E18+E22+E28+E30+E33+E37+E46</f>
        <v>186033.9200000001</v>
      </c>
      <c r="F47" s="155">
        <f t="shared" si="22"/>
        <v>200678.63999999993</v>
      </c>
      <c r="G47" s="155">
        <f t="shared" si="22"/>
        <v>243505.84000000023</v>
      </c>
      <c r="H47" s="155">
        <f t="shared" si="22"/>
        <v>211153.28000000009</v>
      </c>
      <c r="I47" s="155">
        <f t="shared" si="22"/>
        <v>244016.16000000018</v>
      </c>
      <c r="J47" s="155">
        <f t="shared" si="22"/>
        <v>171897.68</v>
      </c>
      <c r="K47" s="155">
        <f t="shared" si="22"/>
        <v>186465.36000000004</v>
      </c>
      <c r="L47" s="155">
        <f t="shared" si="22"/>
        <v>142778.24000000002</v>
      </c>
      <c r="M47" s="155">
        <f t="shared" si="22"/>
        <v>154434.56</v>
      </c>
      <c r="N47" s="155">
        <f t="shared" si="22"/>
        <v>151756.96</v>
      </c>
      <c r="O47" s="155">
        <f t="shared" si="22"/>
        <v>176573.12000000014</v>
      </c>
      <c r="P47" s="155">
        <f t="shared" si="22"/>
        <v>148663.3600000001</v>
      </c>
      <c r="Q47" s="156">
        <f t="shared" si="22"/>
        <v>187903.20000000016</v>
      </c>
      <c r="R47" s="155">
        <f t="shared" si="22"/>
        <v>179573.52000000008</v>
      </c>
      <c r="S47" s="154">
        <v>165573.20000000007</v>
      </c>
      <c r="T47" s="154">
        <f t="shared" si="22"/>
        <v>176712.96000000014</v>
      </c>
      <c r="U47" s="154">
        <f t="shared" si="22"/>
        <v>170407.84000000005</v>
      </c>
      <c r="V47" s="154">
        <f t="shared" si="22"/>
        <v>172844.56000000008</v>
      </c>
      <c r="W47" s="157">
        <v>148057.52000000011</v>
      </c>
      <c r="X47" s="157">
        <f>+X18+X22+X28+X30+X33+X37+X46</f>
        <v>151457.60000000006</v>
      </c>
      <c r="Y47" s="158">
        <v>168849.28000000006</v>
      </c>
      <c r="Z47" s="157">
        <v>154994.88000000003</v>
      </c>
      <c r="AA47" s="157">
        <v>118204.55999999992</v>
      </c>
      <c r="AB47" s="157">
        <v>108785.12</v>
      </c>
      <c r="AC47" s="157">
        <v>122906.72</v>
      </c>
      <c r="AD47" s="194">
        <v>98756.87999999999</v>
      </c>
      <c r="AE47" s="159">
        <v>157034.96000000008</v>
      </c>
      <c r="AF47" s="159">
        <v>142429.44000000003</v>
      </c>
      <c r="AG47" s="159">
        <v>133884.00000000003</v>
      </c>
      <c r="AH47" s="159">
        <v>150936.32000000007</v>
      </c>
      <c r="AI47" s="159">
        <v>137951.92000000004</v>
      </c>
      <c r="AJ47" s="160">
        <v>174000</v>
      </c>
      <c r="AK47" s="158">
        <f>+AK18+AK22+AK28+AK30+AK33+AK37+AK46</f>
        <v>26626.560000000005</v>
      </c>
      <c r="AL47" s="158">
        <f>+AL18+AL22+AL28+AL30+AL33+AL37+AL46</f>
        <v>101288.55999999997</v>
      </c>
      <c r="AM47" s="161">
        <f t="shared" si="16"/>
        <v>0.58211816091954005</v>
      </c>
      <c r="AN47" s="158">
        <f>+AN18+AN22+AN28+AN30+AN33+AN37+AN46</f>
        <v>127915.11999999997</v>
      </c>
      <c r="AO47" s="162">
        <f t="shared" si="18"/>
        <v>0.73514436781609172</v>
      </c>
      <c r="AP47" s="150"/>
      <c r="AQ47" s="150"/>
    </row>
    <row r="48" spans="1:48" ht="12.75" hidden="1" customHeight="1" x14ac:dyDescent="0.25">
      <c r="A48" s="45" t="s">
        <v>170</v>
      </c>
      <c r="B48" s="75" t="s">
        <v>143</v>
      </c>
      <c r="C48" s="76"/>
      <c r="D48" s="77" t="s">
        <v>145</v>
      </c>
      <c r="E48" s="170">
        <v>0</v>
      </c>
      <c r="F48" s="170">
        <v>0</v>
      </c>
      <c r="G48" s="170">
        <v>0</v>
      </c>
      <c r="H48" s="170">
        <v>0</v>
      </c>
      <c r="I48" s="170">
        <v>0</v>
      </c>
      <c r="J48" s="170">
        <v>0</v>
      </c>
      <c r="K48" s="170">
        <v>0</v>
      </c>
      <c r="L48" s="170">
        <v>0</v>
      </c>
      <c r="M48" s="170">
        <v>0</v>
      </c>
      <c r="N48" s="170">
        <v>0</v>
      </c>
      <c r="O48" s="170"/>
      <c r="P48" s="170"/>
      <c r="Q48" s="170"/>
      <c r="R48" s="170"/>
      <c r="S48" s="171"/>
      <c r="T48" s="170">
        <v>0</v>
      </c>
      <c r="U48" s="170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6"/>
        <v>0</v>
      </c>
      <c r="AN48" s="79">
        <f t="shared" si="15"/>
        <v>0</v>
      </c>
      <c r="AO48" s="84">
        <f t="shared" si="18"/>
        <v>0</v>
      </c>
      <c r="AP48" s="49" t="s">
        <v>144</v>
      </c>
    </row>
    <row r="49" spans="1:46" ht="12.75" hidden="1" customHeight="1" x14ac:dyDescent="0.25">
      <c r="A49" s="45" t="s">
        <v>170</v>
      </c>
      <c r="B49" s="64" t="s">
        <v>143</v>
      </c>
      <c r="C49" s="65"/>
      <c r="D49" s="66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8">
        <v>0</v>
      </c>
      <c r="U49" s="168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6"/>
        <v>0</v>
      </c>
      <c r="AN49" s="87">
        <f t="shared" si="15"/>
        <v>0</v>
      </c>
      <c r="AO49" s="92">
        <f t="shared" si="18"/>
        <v>0</v>
      </c>
      <c r="AP49" s="49" t="s">
        <v>144</v>
      </c>
    </row>
    <row r="50" spans="1:46" ht="12.75" hidden="1" customHeight="1" x14ac:dyDescent="0.25">
      <c r="A50" s="45" t="s">
        <v>170</v>
      </c>
      <c r="B50" s="75" t="s">
        <v>143</v>
      </c>
      <c r="C50" s="136" t="s">
        <v>144</v>
      </c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0">
        <v>0</v>
      </c>
      <c r="U50" s="170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12480</v>
      </c>
      <c r="AB50" s="79">
        <v>27928</v>
      </c>
      <c r="AC50" s="79">
        <v>37440</v>
      </c>
      <c r="AD50" s="79">
        <v>12480</v>
      </c>
      <c r="AE50" s="79">
        <v>0</v>
      </c>
      <c r="AF50" s="79">
        <v>24960</v>
      </c>
      <c r="AG50" s="79">
        <v>25800</v>
      </c>
      <c r="AH50" s="79">
        <v>45184</v>
      </c>
      <c r="AI50" s="80">
        <v>37440</v>
      </c>
      <c r="AJ50" s="82">
        <v>26000</v>
      </c>
      <c r="AK50" s="79">
        <v>0</v>
      </c>
      <c r="AL50" s="79">
        <v>10344</v>
      </c>
      <c r="AM50" s="83">
        <f t="shared" si="16"/>
        <v>0.39784615384615385</v>
      </c>
      <c r="AN50" s="79">
        <f>+AK50+AL50</f>
        <v>10344</v>
      </c>
      <c r="AO50" s="84">
        <f t="shared" si="18"/>
        <v>0.39784615384615385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18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x14ac:dyDescent="0.25">
      <c r="A52" s="45" t="s">
        <v>170</v>
      </c>
      <c r="B52" s="75" t="s">
        <v>151</v>
      </c>
      <c r="C52" s="76"/>
      <c r="D52" s="77" t="s">
        <v>151</v>
      </c>
      <c r="E52" s="170">
        <v>0</v>
      </c>
      <c r="F52" s="170">
        <v>0</v>
      </c>
      <c r="G52" s="170">
        <v>720</v>
      </c>
      <c r="H52" s="170">
        <v>0</v>
      </c>
      <c r="I52" s="170">
        <v>0</v>
      </c>
      <c r="J52" s="170">
        <v>0</v>
      </c>
      <c r="K52" s="170">
        <v>0</v>
      </c>
      <c r="L52" s="170">
        <v>0</v>
      </c>
      <c r="M52" s="170">
        <v>0</v>
      </c>
      <c r="N52" s="170">
        <v>0</v>
      </c>
      <c r="O52" s="170"/>
      <c r="P52" s="170"/>
      <c r="Q52" s="170"/>
      <c r="R52" s="170"/>
      <c r="S52" s="171"/>
      <c r="T52" s="170">
        <v>0</v>
      </c>
      <c r="U52" s="170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55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170</v>
      </c>
      <c r="B53" s="64" t="s">
        <v>143</v>
      </c>
      <c r="C53" s="65" t="s">
        <v>154</v>
      </c>
      <c r="D53" s="66" t="s">
        <v>155</v>
      </c>
      <c r="E53" s="168">
        <v>22.519999999999996</v>
      </c>
      <c r="F53" s="168">
        <v>204.78000000000003</v>
      </c>
      <c r="G53" s="168">
        <v>73.320000000000007</v>
      </c>
      <c r="H53" s="168">
        <v>86.960000000000008</v>
      </c>
      <c r="I53" s="168">
        <v>150.38000000000002</v>
      </c>
      <c r="J53" s="168">
        <v>137.17999999999998</v>
      </c>
      <c r="K53" s="168">
        <v>170.70000000000005</v>
      </c>
      <c r="L53" s="168">
        <v>0</v>
      </c>
      <c r="M53" s="168">
        <v>189.16000000000005</v>
      </c>
      <c r="N53" s="168">
        <v>77.520000000000024</v>
      </c>
      <c r="O53" s="168"/>
      <c r="P53" s="168"/>
      <c r="Q53" s="168"/>
      <c r="R53" s="168"/>
      <c r="S53" s="169"/>
      <c r="T53" s="168">
        <v>68.360000000000014</v>
      </c>
      <c r="U53" s="168">
        <v>65.98</v>
      </c>
      <c r="V53" s="169">
        <v>111.86000000000003</v>
      </c>
      <c r="W53" s="87">
        <v>52.420000000000009</v>
      </c>
      <c r="X53" s="87">
        <v>15.780000000000001</v>
      </c>
      <c r="Y53" s="87">
        <v>111.30000000000001</v>
      </c>
      <c r="Z53" s="87">
        <v>57.76</v>
      </c>
      <c r="AA53" s="87">
        <v>25.84</v>
      </c>
      <c r="AB53" s="87">
        <v>73.38</v>
      </c>
      <c r="AC53" s="87">
        <v>15.06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ref="AO53:AO55" si="23">IFERROR(+AN53/AJ53,0)</f>
        <v>0</v>
      </c>
      <c r="AP53" s="50" t="s">
        <v>154</v>
      </c>
      <c r="AQ53" s="50"/>
    </row>
    <row r="54" spans="1:46" ht="12.75" hidden="1" customHeight="1" x14ac:dyDescent="0.25">
      <c r="A54" s="45" t="s">
        <v>170</v>
      </c>
      <c r="B54" s="75" t="s">
        <v>143</v>
      </c>
      <c r="C54" s="76"/>
      <c r="D54" s="77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0">
        <v>0</v>
      </c>
      <c r="U54" s="170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5"/>
        <v>0</v>
      </c>
      <c r="AO54" s="84">
        <f t="shared" si="23"/>
        <v>0</v>
      </c>
      <c r="AP54" s="49" t="s">
        <v>156</v>
      </c>
    </row>
    <row r="55" spans="1:46" ht="12.75" hidden="1" customHeight="1" thickBot="1" x14ac:dyDescent="0.3">
      <c r="A55" s="45" t="s">
        <v>170</v>
      </c>
      <c r="B55" s="64" t="s">
        <v>143</v>
      </c>
      <c r="C55" s="65"/>
      <c r="D55" s="66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8">
        <v>0</v>
      </c>
      <c r="U55" s="168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16"/>
        <v>0</v>
      </c>
      <c r="AN55" s="87">
        <f t="shared" si="15"/>
        <v>0</v>
      </c>
      <c r="AO55" s="92">
        <f t="shared" si="23"/>
        <v>0</v>
      </c>
      <c r="AP55" s="50"/>
      <c r="AQ55" s="50"/>
    </row>
    <row r="56" spans="1:46" ht="12.75" hidden="1" customHeight="1" thickBot="1" x14ac:dyDescent="0.3">
      <c r="A56" s="45" t="s">
        <v>170</v>
      </c>
      <c r="B56" s="173"/>
      <c r="C56" s="174"/>
      <c r="D56" s="153" t="s">
        <v>158</v>
      </c>
      <c r="E56" s="154">
        <v>186056.44000000009</v>
      </c>
      <c r="F56" s="155">
        <v>200883.41999999995</v>
      </c>
      <c r="G56" s="155">
        <v>244299.16000000038</v>
      </c>
      <c r="H56" s="155">
        <v>211240.24000000011</v>
      </c>
      <c r="I56" s="155">
        <v>244166.54000000033</v>
      </c>
      <c r="J56" s="155">
        <v>172034.86000000004</v>
      </c>
      <c r="K56" s="155">
        <v>186636.06000000014</v>
      </c>
      <c r="L56" s="155">
        <v>142778.24000000005</v>
      </c>
      <c r="M56" s="155">
        <v>154623.72000000003</v>
      </c>
      <c r="N56" s="155">
        <v>151834.48000000001</v>
      </c>
      <c r="O56" s="155"/>
      <c r="P56" s="155"/>
      <c r="Q56" s="155"/>
      <c r="R56" s="155"/>
      <c r="S56" s="155"/>
      <c r="T56" s="175">
        <v>176781.32000000015</v>
      </c>
      <c r="U56" s="175">
        <v>170473.82000000004</v>
      </c>
      <c r="V56" s="175">
        <v>172956.42000000007</v>
      </c>
      <c r="W56" s="175">
        <v>148109.94000000012</v>
      </c>
      <c r="X56" s="175">
        <v>151473.38000000006</v>
      </c>
      <c r="Y56" s="175">
        <v>168960.58000000005</v>
      </c>
      <c r="Z56" s="175">
        <v>155107.64000000004</v>
      </c>
      <c r="AA56" s="175">
        <v>130710.39999999992</v>
      </c>
      <c r="AB56" s="175">
        <v>136786.5</v>
      </c>
      <c r="AC56" s="175">
        <v>149457.77999999997</v>
      </c>
      <c r="AD56" s="175">
        <v>111236.87999999999</v>
      </c>
      <c r="AE56" s="175">
        <v>157034.96000000008</v>
      </c>
      <c r="AF56" s="175">
        <v>167389.44000000003</v>
      </c>
      <c r="AG56" s="175">
        <v>159684.00000000003</v>
      </c>
      <c r="AH56" s="175">
        <v>196120.32000000007</v>
      </c>
      <c r="AI56" s="176">
        <v>175391.92000000004</v>
      </c>
      <c r="AJ56" s="177">
        <v>200000</v>
      </c>
      <c r="AK56" s="175">
        <f>+AK47+SUM(AK48:AK55)</f>
        <v>26626.560000000005</v>
      </c>
      <c r="AL56" s="175">
        <f>SUM(AL47:AL55)</f>
        <v>111632.55999999997</v>
      </c>
      <c r="AM56" s="178">
        <f t="shared" si="16"/>
        <v>0.55816279999999985</v>
      </c>
      <c r="AN56" s="175">
        <f>+AK56+AL56</f>
        <v>138259.11999999997</v>
      </c>
      <c r="AO56" s="179">
        <f>IFERROR(+AN56/AJ56,0)</f>
        <v>0.69129559999999979</v>
      </c>
      <c r="AP56" s="50"/>
      <c r="AQ56" s="50"/>
    </row>
    <row r="57" spans="1:46" x14ac:dyDescent="0.25">
      <c r="A57" s="47"/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-3.637978807091713E-11</v>
      </c>
      <c r="AL57" s="196">
        <v>-5.9662852436304092E-10</v>
      </c>
      <c r="AM57" s="197"/>
      <c r="AO57" s="198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733F-CE25-4DAD-A898-645D4545A193}">
  <dimension ref="A1:AV122"/>
  <sheetViews>
    <sheetView showGridLines="0" zoomScale="88" zoomScaleNormal="88" workbookViewId="0">
      <pane xSplit="4" ySplit="2" topLeftCell="AF4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172</v>
      </c>
      <c r="C1" s="47" t="s">
        <v>173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18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5" t="s">
        <v>172</v>
      </c>
      <c r="B3" s="64" t="s">
        <v>71</v>
      </c>
      <c r="C3" s="65" t="s">
        <v>72</v>
      </c>
      <c r="D3" s="66" t="s">
        <v>73</v>
      </c>
      <c r="E3" s="67">
        <v>0</v>
      </c>
      <c r="F3" s="68">
        <v>0</v>
      </c>
      <c r="G3" s="68">
        <v>0</v>
      </c>
      <c r="H3" s="68">
        <v>0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33" si="2">IFERROR(+AN3/AJ3,0)</f>
        <v>0</v>
      </c>
      <c r="AP3" s="50"/>
      <c r="AQ3" s="50"/>
    </row>
    <row r="4" spans="1:45" ht="12.75" customHeight="1" x14ac:dyDescent="0.25">
      <c r="A4" s="45" t="s">
        <v>172</v>
      </c>
      <c r="B4" s="75" t="s">
        <v>74</v>
      </c>
      <c r="C4" s="76" t="s">
        <v>72</v>
      </c>
      <c r="D4" s="77" t="s">
        <v>75</v>
      </c>
      <c r="E4" s="78">
        <v>634.00000000000011</v>
      </c>
      <c r="F4" s="79">
        <v>451.80000000000013</v>
      </c>
      <c r="G4" s="79">
        <v>655.6</v>
      </c>
      <c r="H4" s="79">
        <v>340.6</v>
      </c>
      <c r="I4" s="78">
        <v>-29</v>
      </c>
      <c r="J4" s="79">
        <v>1063.1999999999996</v>
      </c>
      <c r="K4" s="79">
        <v>367.00000000000006</v>
      </c>
      <c r="L4" s="79">
        <v>293.20000000000005</v>
      </c>
      <c r="M4" s="79">
        <v>171</v>
      </c>
      <c r="N4" s="79">
        <v>265.40000000000003</v>
      </c>
      <c r="O4" s="79">
        <v>190.80000000000007</v>
      </c>
      <c r="P4" s="79">
        <v>111.79999999999998</v>
      </c>
      <c r="Q4" s="80">
        <v>180.4</v>
      </c>
      <c r="R4" s="79">
        <v>156</v>
      </c>
      <c r="S4" s="78">
        <v>157.20000000000002</v>
      </c>
      <c r="T4" s="78">
        <v>243.20000000000005</v>
      </c>
      <c r="U4" s="78">
        <v>633.80000000000018</v>
      </c>
      <c r="V4" s="78">
        <v>741.80000000000007</v>
      </c>
      <c r="W4" s="78">
        <v>216.60000000000005</v>
      </c>
      <c r="X4" s="78">
        <v>552</v>
      </c>
      <c r="Y4" s="79">
        <v>451.60000000000008</v>
      </c>
      <c r="Z4" s="78">
        <v>1871.3999999999994</v>
      </c>
      <c r="AA4" s="78">
        <v>1547.7999999999988</v>
      </c>
      <c r="AB4" s="78">
        <v>755.1999999999997</v>
      </c>
      <c r="AC4" s="78">
        <v>1200.1999999999978</v>
      </c>
      <c r="AD4" s="81">
        <v>899.99999999999955</v>
      </c>
      <c r="AE4" s="80">
        <v>880.39999999999975</v>
      </c>
      <c r="AF4" s="80">
        <v>755.99999999999943</v>
      </c>
      <c r="AG4" s="80">
        <v>751.19999999999959</v>
      </c>
      <c r="AH4" s="80">
        <v>405.40000000000003</v>
      </c>
      <c r="AI4" s="80">
        <v>917.79999999999859</v>
      </c>
      <c r="AJ4" s="82">
        <v>800</v>
      </c>
      <c r="AK4" s="79">
        <v>0</v>
      </c>
      <c r="AL4" s="79">
        <v>533.80000000000007</v>
      </c>
      <c r="AM4" s="83">
        <f t="shared" si="0"/>
        <v>0.66725000000000012</v>
      </c>
      <c r="AN4" s="79">
        <f t="shared" si="1"/>
        <v>533.80000000000007</v>
      </c>
      <c r="AO4" s="84">
        <f t="shared" si="2"/>
        <v>0.66725000000000012</v>
      </c>
      <c r="AP4" s="50"/>
      <c r="AQ4" s="50"/>
    </row>
    <row r="5" spans="1:45" ht="12.75" customHeight="1" x14ac:dyDescent="0.25">
      <c r="A5" s="45" t="s">
        <v>172</v>
      </c>
      <c r="B5" s="64" t="s">
        <v>74</v>
      </c>
      <c r="C5" s="65" t="s">
        <v>72</v>
      </c>
      <c r="D5" s="66" t="s">
        <v>76</v>
      </c>
      <c r="E5" s="86">
        <v>467.00000000000006</v>
      </c>
      <c r="F5" s="87">
        <v>538.00000000000011</v>
      </c>
      <c r="G5" s="87">
        <v>592.79999999999995</v>
      </c>
      <c r="H5" s="87">
        <v>454.20000000000005</v>
      </c>
      <c r="I5" s="86">
        <v>56.8</v>
      </c>
      <c r="J5" s="87">
        <v>590.19999999999993</v>
      </c>
      <c r="K5" s="87">
        <v>474.59999999999997</v>
      </c>
      <c r="L5" s="87">
        <v>286</v>
      </c>
      <c r="M5" s="87">
        <v>66.400000000000006</v>
      </c>
      <c r="N5" s="87">
        <v>186.20000000000002</v>
      </c>
      <c r="O5" s="87">
        <v>111.8</v>
      </c>
      <c r="P5" s="87">
        <v>117.39999999999999</v>
      </c>
      <c r="Q5" s="88">
        <v>265.2</v>
      </c>
      <c r="R5" s="87">
        <v>277.2</v>
      </c>
      <c r="S5" s="86">
        <v>109.19999999999999</v>
      </c>
      <c r="T5" s="86">
        <v>327</v>
      </c>
      <c r="U5" s="86">
        <v>378.4</v>
      </c>
      <c r="V5" s="86">
        <v>410.2</v>
      </c>
      <c r="W5" s="86">
        <v>214.80000000000004</v>
      </c>
      <c r="X5" s="86">
        <v>414</v>
      </c>
      <c r="Y5" s="87">
        <v>286.8</v>
      </c>
      <c r="Z5" s="86">
        <v>1136</v>
      </c>
      <c r="AA5" s="86">
        <v>1513.9999999999993</v>
      </c>
      <c r="AB5" s="86">
        <v>656.39999999999986</v>
      </c>
      <c r="AC5" s="86">
        <v>901.39999999999907</v>
      </c>
      <c r="AD5" s="89">
        <v>740.59999999999957</v>
      </c>
      <c r="AE5" s="88">
        <v>663.79999999999961</v>
      </c>
      <c r="AF5" s="88">
        <v>378.80000000000013</v>
      </c>
      <c r="AG5" s="88">
        <v>293.20000000000005</v>
      </c>
      <c r="AH5" s="88">
        <v>277.40000000000003</v>
      </c>
      <c r="AI5" s="88">
        <v>267.20000000000005</v>
      </c>
      <c r="AJ5" s="90">
        <v>300</v>
      </c>
      <c r="AK5" s="87">
        <v>0</v>
      </c>
      <c r="AL5" s="87">
        <v>205.40000000000003</v>
      </c>
      <c r="AM5" s="91">
        <f t="shared" si="0"/>
        <v>0.68466666666666676</v>
      </c>
      <c r="AN5" s="87">
        <f t="shared" si="1"/>
        <v>205.40000000000003</v>
      </c>
      <c r="AO5" s="92">
        <f t="shared" si="2"/>
        <v>0.68466666666666676</v>
      </c>
      <c r="AP5" s="50" t="s">
        <v>77</v>
      </c>
      <c r="AQ5" s="50"/>
    </row>
    <row r="6" spans="1:45" ht="12.75" customHeight="1" x14ac:dyDescent="0.25">
      <c r="A6" s="45" t="s">
        <v>172</v>
      </c>
      <c r="B6" s="75" t="s">
        <v>74</v>
      </c>
      <c r="C6" s="76" t="s">
        <v>72</v>
      </c>
      <c r="D6" s="77" t="s">
        <v>78</v>
      </c>
      <c r="E6" s="78">
        <v>390.20000000000005</v>
      </c>
      <c r="F6" s="79">
        <v>665.2</v>
      </c>
      <c r="G6" s="79">
        <v>433.6</v>
      </c>
      <c r="H6" s="79">
        <v>416.40000000000009</v>
      </c>
      <c r="I6" s="78">
        <v>39.399999999999991</v>
      </c>
      <c r="J6" s="79">
        <v>960.99999999999977</v>
      </c>
      <c r="K6" s="79">
        <v>156</v>
      </c>
      <c r="L6" s="79">
        <v>341.2</v>
      </c>
      <c r="M6" s="79">
        <v>355.4</v>
      </c>
      <c r="N6" s="79">
        <v>499.8</v>
      </c>
      <c r="O6" s="79">
        <v>134</v>
      </c>
      <c r="P6" s="79">
        <v>251.4</v>
      </c>
      <c r="Q6" s="80">
        <v>240</v>
      </c>
      <c r="R6" s="79">
        <v>294.60000000000002</v>
      </c>
      <c r="S6" s="78">
        <v>326.20000000000005</v>
      </c>
      <c r="T6" s="78">
        <v>427.40000000000003</v>
      </c>
      <c r="U6" s="78">
        <v>618.6</v>
      </c>
      <c r="V6" s="78">
        <v>159.60000000000002</v>
      </c>
      <c r="W6" s="78">
        <v>434.40000000000003</v>
      </c>
      <c r="X6" s="78">
        <v>462.6</v>
      </c>
      <c r="Y6" s="79">
        <v>278.39999999999998</v>
      </c>
      <c r="Z6" s="78">
        <v>1985.9999999999998</v>
      </c>
      <c r="AA6" s="78">
        <v>493.39999999999986</v>
      </c>
      <c r="AB6" s="78">
        <v>488.80000000000013</v>
      </c>
      <c r="AC6" s="78">
        <v>704.1999999999997</v>
      </c>
      <c r="AD6" s="81">
        <v>554.80000000000007</v>
      </c>
      <c r="AE6" s="80">
        <v>438.59999999999991</v>
      </c>
      <c r="AF6" s="80">
        <v>525.99999999999977</v>
      </c>
      <c r="AG6" s="80">
        <v>1029.1999999999996</v>
      </c>
      <c r="AH6" s="80">
        <v>648.99999999999977</v>
      </c>
      <c r="AI6" s="80">
        <v>477.20000000000005</v>
      </c>
      <c r="AJ6" s="82">
        <v>800</v>
      </c>
      <c r="AK6" s="79">
        <v>77.599999999999994</v>
      </c>
      <c r="AL6" s="79">
        <v>203.60000000000002</v>
      </c>
      <c r="AM6" s="83">
        <f t="shared" si="0"/>
        <v>0.2545</v>
      </c>
      <c r="AN6" s="79">
        <f t="shared" si="1"/>
        <v>281.20000000000005</v>
      </c>
      <c r="AO6" s="84">
        <f t="shared" si="2"/>
        <v>0.35150000000000003</v>
      </c>
      <c r="AP6" s="50"/>
      <c r="AQ6" s="50"/>
    </row>
    <row r="7" spans="1:45" ht="12.75" customHeight="1" x14ac:dyDescent="0.25">
      <c r="A7" s="45" t="s">
        <v>172</v>
      </c>
      <c r="B7" s="64" t="s">
        <v>79</v>
      </c>
      <c r="C7" s="65" t="s">
        <v>72</v>
      </c>
      <c r="D7" s="66" t="s">
        <v>80</v>
      </c>
      <c r="E7" s="86">
        <v>1512.599999999999</v>
      </c>
      <c r="F7" s="87">
        <v>1512.5999999999988</v>
      </c>
      <c r="G7" s="87">
        <v>1602.3999999999996</v>
      </c>
      <c r="H7" s="87">
        <v>450.80000000000007</v>
      </c>
      <c r="I7" s="86">
        <v>370.60000000000008</v>
      </c>
      <c r="J7" s="87">
        <v>1402.3999999999994</v>
      </c>
      <c r="K7" s="87">
        <v>717.6</v>
      </c>
      <c r="L7" s="87">
        <v>651.79999999999984</v>
      </c>
      <c r="M7" s="87">
        <v>467.40000000000003</v>
      </c>
      <c r="N7" s="87">
        <v>804.19999999999959</v>
      </c>
      <c r="O7" s="87">
        <v>1072.3999999999999</v>
      </c>
      <c r="P7" s="87">
        <v>44.000000000000014</v>
      </c>
      <c r="Q7" s="88">
        <v>249</v>
      </c>
      <c r="R7" s="87">
        <v>539.20000000000005</v>
      </c>
      <c r="S7" s="86">
        <v>205</v>
      </c>
      <c r="T7" s="86">
        <v>671.8</v>
      </c>
      <c r="U7" s="86">
        <v>653.4</v>
      </c>
      <c r="V7" s="86">
        <v>529.00000000000011</v>
      </c>
      <c r="W7" s="86">
        <v>570.20000000000016</v>
      </c>
      <c r="X7" s="86">
        <v>852.79999999999973</v>
      </c>
      <c r="Y7" s="87">
        <v>893.1999999999997</v>
      </c>
      <c r="Z7" s="86">
        <v>985.99999999999943</v>
      </c>
      <c r="AA7" s="86">
        <v>794.39999999999952</v>
      </c>
      <c r="AB7" s="86">
        <v>1506.3999999999996</v>
      </c>
      <c r="AC7" s="86">
        <v>2667.4000000000037</v>
      </c>
      <c r="AD7" s="89">
        <v>1183.3999999999992</v>
      </c>
      <c r="AE7" s="88">
        <v>970.99999999999943</v>
      </c>
      <c r="AF7" s="88">
        <v>1479.1999999999996</v>
      </c>
      <c r="AG7" s="88">
        <v>732.79999999999927</v>
      </c>
      <c r="AH7" s="88">
        <v>914.99999999999955</v>
      </c>
      <c r="AI7" s="88">
        <v>954.79999999999916</v>
      </c>
      <c r="AJ7" s="90">
        <v>800</v>
      </c>
      <c r="AK7" s="87">
        <v>350.59999999999997</v>
      </c>
      <c r="AL7" s="87">
        <v>350.8</v>
      </c>
      <c r="AM7" s="91">
        <f t="shared" si="0"/>
        <v>0.4385</v>
      </c>
      <c r="AN7" s="87">
        <f t="shared" si="1"/>
        <v>701.4</v>
      </c>
      <c r="AO7" s="92">
        <f t="shared" si="2"/>
        <v>0.87674999999999992</v>
      </c>
      <c r="AP7" s="50"/>
      <c r="AQ7" s="50"/>
    </row>
    <row r="8" spans="1:45" ht="12.75" customHeight="1" x14ac:dyDescent="0.25">
      <c r="A8" s="45" t="s">
        <v>172</v>
      </c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346.80000000000007</v>
      </c>
      <c r="Q8" s="80">
        <v>160.60000000000002</v>
      </c>
      <c r="R8" s="79">
        <v>876.80000000000007</v>
      </c>
      <c r="S8" s="78">
        <v>430.8</v>
      </c>
      <c r="T8" s="78">
        <v>754.80000000000007</v>
      </c>
      <c r="U8" s="78">
        <v>606.79999999999995</v>
      </c>
      <c r="V8" s="78">
        <v>524.40000000000009</v>
      </c>
      <c r="W8" s="78">
        <v>813.2</v>
      </c>
      <c r="X8" s="78">
        <v>851.40000000000009</v>
      </c>
      <c r="Y8" s="79">
        <v>615.00000000000011</v>
      </c>
      <c r="Z8" s="78">
        <v>1061.9999999999993</v>
      </c>
      <c r="AA8" s="78">
        <v>1276</v>
      </c>
      <c r="AB8" s="78">
        <v>1562.8000000000009</v>
      </c>
      <c r="AC8" s="78">
        <v>1285.1999999999996</v>
      </c>
      <c r="AD8" s="81">
        <v>994.59999999999923</v>
      </c>
      <c r="AE8" s="80">
        <v>430.59999999999991</v>
      </c>
      <c r="AF8" s="80">
        <v>494.99999999999989</v>
      </c>
      <c r="AG8" s="80">
        <v>754.99999999999977</v>
      </c>
      <c r="AH8" s="80">
        <v>374.20000000000022</v>
      </c>
      <c r="AI8" s="80">
        <v>509.4</v>
      </c>
      <c r="AJ8" s="82">
        <v>800</v>
      </c>
      <c r="AK8" s="79">
        <v>105.19999999999999</v>
      </c>
      <c r="AL8" s="79">
        <v>741.19999999999982</v>
      </c>
      <c r="AM8" s="83">
        <f t="shared" si="0"/>
        <v>0.92649999999999977</v>
      </c>
      <c r="AN8" s="79">
        <f t="shared" si="1"/>
        <v>846.39999999999986</v>
      </c>
      <c r="AO8" s="84">
        <f t="shared" si="2"/>
        <v>1.0579999999999998</v>
      </c>
      <c r="AP8" s="50"/>
      <c r="AQ8" s="50"/>
    </row>
    <row r="9" spans="1:45" ht="12.75" customHeight="1" x14ac:dyDescent="0.25">
      <c r="A9" s="45" t="s">
        <v>172</v>
      </c>
      <c r="B9" s="64" t="s">
        <v>82</v>
      </c>
      <c r="C9" s="65" t="s">
        <v>72</v>
      </c>
      <c r="D9" s="66" t="s">
        <v>83</v>
      </c>
      <c r="E9" s="86">
        <v>798.8</v>
      </c>
      <c r="F9" s="87">
        <v>848.00000000000011</v>
      </c>
      <c r="G9" s="87">
        <v>642.79999999999984</v>
      </c>
      <c r="H9" s="87">
        <v>334.40000000000009</v>
      </c>
      <c r="I9" s="86">
        <v>251</v>
      </c>
      <c r="J9" s="87">
        <v>486.00000000000006</v>
      </c>
      <c r="K9" s="87">
        <v>525.20000000000005</v>
      </c>
      <c r="L9" s="87">
        <v>338.6</v>
      </c>
      <c r="M9" s="87">
        <v>294.8</v>
      </c>
      <c r="N9" s="87">
        <v>391.20000000000005</v>
      </c>
      <c r="O9" s="87">
        <v>366.8</v>
      </c>
      <c r="P9" s="87">
        <v>300</v>
      </c>
      <c r="Q9" s="88">
        <v>719.8</v>
      </c>
      <c r="R9" s="87">
        <v>328.6</v>
      </c>
      <c r="S9" s="86">
        <v>251.20000000000002</v>
      </c>
      <c r="T9" s="86">
        <v>592.40000000000009</v>
      </c>
      <c r="U9" s="86">
        <v>1157.4000000000001</v>
      </c>
      <c r="V9" s="86">
        <v>394.20000000000005</v>
      </c>
      <c r="W9" s="86">
        <v>351.79999999999995</v>
      </c>
      <c r="X9" s="86">
        <v>983.6</v>
      </c>
      <c r="Y9" s="87">
        <v>877.59999999999991</v>
      </c>
      <c r="Z9" s="86">
        <v>713.19999999999993</v>
      </c>
      <c r="AA9" s="86">
        <v>551</v>
      </c>
      <c r="AB9" s="86">
        <v>1021.1999999999989</v>
      </c>
      <c r="AC9" s="86">
        <v>1261.2000000000003</v>
      </c>
      <c r="AD9" s="89">
        <v>574.5999999999998</v>
      </c>
      <c r="AE9" s="88">
        <v>762.79999999999973</v>
      </c>
      <c r="AF9" s="88">
        <v>594.19999999999948</v>
      </c>
      <c r="AG9" s="88">
        <v>259.80000000000007</v>
      </c>
      <c r="AH9" s="88">
        <v>378.4</v>
      </c>
      <c r="AI9" s="88">
        <v>229.00000000000006</v>
      </c>
      <c r="AJ9" s="90">
        <v>400</v>
      </c>
      <c r="AK9" s="87">
        <v>0</v>
      </c>
      <c r="AL9" s="87">
        <v>599.99999999999977</v>
      </c>
      <c r="AM9" s="91">
        <f t="shared" si="0"/>
        <v>1.4999999999999993</v>
      </c>
      <c r="AN9" s="87">
        <f t="shared" si="1"/>
        <v>599.99999999999977</v>
      </c>
      <c r="AO9" s="92">
        <f t="shared" si="2"/>
        <v>1.4999999999999993</v>
      </c>
      <c r="AP9" s="50"/>
      <c r="AQ9" s="50"/>
    </row>
    <row r="10" spans="1:45" ht="12.75" customHeight="1" x14ac:dyDescent="0.25">
      <c r="A10" s="45" t="s">
        <v>172</v>
      </c>
      <c r="B10" s="75" t="s">
        <v>82</v>
      </c>
      <c r="C10" s="76" t="s">
        <v>72</v>
      </c>
      <c r="D10" s="77" t="s">
        <v>84</v>
      </c>
      <c r="E10" s="78">
        <v>292.40000000000003</v>
      </c>
      <c r="F10" s="79">
        <v>574.99999999999989</v>
      </c>
      <c r="G10" s="79">
        <v>129.39999999999998</v>
      </c>
      <c r="H10" s="79">
        <v>289.60000000000008</v>
      </c>
      <c r="I10" s="78">
        <v>-3.599999999999997</v>
      </c>
      <c r="J10" s="79">
        <v>766.40000000000009</v>
      </c>
      <c r="K10" s="79">
        <v>295.99999999999994</v>
      </c>
      <c r="L10" s="79">
        <v>239</v>
      </c>
      <c r="M10" s="79">
        <v>89.6</v>
      </c>
      <c r="N10" s="79">
        <v>266.20000000000005</v>
      </c>
      <c r="O10" s="79">
        <v>59.4</v>
      </c>
      <c r="P10" s="79">
        <v>246</v>
      </c>
      <c r="Q10" s="80">
        <v>290.8</v>
      </c>
      <c r="R10" s="79">
        <v>384.00000000000006</v>
      </c>
      <c r="S10" s="78">
        <v>325.79999999999995</v>
      </c>
      <c r="T10" s="78">
        <v>319.40000000000009</v>
      </c>
      <c r="U10" s="78">
        <v>464.6</v>
      </c>
      <c r="V10" s="78">
        <v>377.40000000000003</v>
      </c>
      <c r="W10" s="78">
        <v>752.59999999999991</v>
      </c>
      <c r="X10" s="78">
        <v>150.19999999999999</v>
      </c>
      <c r="Y10" s="79">
        <v>452.00000000000006</v>
      </c>
      <c r="Z10" s="78">
        <v>582.59999999999991</v>
      </c>
      <c r="AA10" s="78">
        <v>1032.5999999999999</v>
      </c>
      <c r="AB10" s="78">
        <v>520.6</v>
      </c>
      <c r="AC10" s="78">
        <v>516.20000000000005</v>
      </c>
      <c r="AD10" s="81">
        <v>404.60000000000008</v>
      </c>
      <c r="AE10" s="80">
        <v>566.1999999999997</v>
      </c>
      <c r="AF10" s="80">
        <v>652.7999999999995</v>
      </c>
      <c r="AG10" s="80">
        <v>195.20000000000005</v>
      </c>
      <c r="AH10" s="80">
        <v>212.00000000000006</v>
      </c>
      <c r="AI10" s="80">
        <v>328.8</v>
      </c>
      <c r="AJ10" s="82">
        <v>300</v>
      </c>
      <c r="AK10" s="79">
        <v>0</v>
      </c>
      <c r="AL10" s="79">
        <v>159.80000000000001</v>
      </c>
      <c r="AM10" s="83">
        <f t="shared" si="0"/>
        <v>0.53266666666666673</v>
      </c>
      <c r="AN10" s="79">
        <f t="shared" si="1"/>
        <v>159.80000000000001</v>
      </c>
      <c r="AO10" s="84">
        <f t="shared" si="2"/>
        <v>0.53266666666666673</v>
      </c>
      <c r="AP10" s="50"/>
      <c r="AQ10" s="50"/>
    </row>
    <row r="11" spans="1:45" ht="12.75" customHeight="1" x14ac:dyDescent="0.25">
      <c r="A11" s="45" t="s">
        <v>172</v>
      </c>
      <c r="B11" s="64" t="s">
        <v>85</v>
      </c>
      <c r="C11" s="65" t="s">
        <v>86</v>
      </c>
      <c r="D11" s="66" t="s">
        <v>87</v>
      </c>
      <c r="E11" s="86">
        <v>1187.3999999999999</v>
      </c>
      <c r="F11" s="87">
        <v>1372.9999999999995</v>
      </c>
      <c r="G11" s="87">
        <v>754.5999999999998</v>
      </c>
      <c r="H11" s="87">
        <v>533</v>
      </c>
      <c r="I11" s="86">
        <v>59.4</v>
      </c>
      <c r="J11" s="87">
        <v>1347.1999999999996</v>
      </c>
      <c r="K11" s="87">
        <v>445.8</v>
      </c>
      <c r="L11" s="87">
        <v>746.79999999999984</v>
      </c>
      <c r="M11" s="87">
        <v>742.99999999999989</v>
      </c>
      <c r="N11" s="87">
        <v>428.60000000000008</v>
      </c>
      <c r="O11" s="87">
        <v>640.19999999999993</v>
      </c>
      <c r="P11" s="87">
        <v>673.39999999999986</v>
      </c>
      <c r="Q11" s="88">
        <v>407.80000000000007</v>
      </c>
      <c r="R11" s="87">
        <v>722.8</v>
      </c>
      <c r="S11" s="86">
        <v>762.99999999999989</v>
      </c>
      <c r="T11" s="86">
        <v>596.20000000000005</v>
      </c>
      <c r="U11" s="86">
        <v>726.60000000000014</v>
      </c>
      <c r="V11" s="86">
        <v>515.6</v>
      </c>
      <c r="W11" s="86">
        <v>690.4</v>
      </c>
      <c r="X11" s="86">
        <v>812.60000000000014</v>
      </c>
      <c r="Y11" s="87">
        <v>706.6</v>
      </c>
      <c r="Z11" s="86">
        <v>1305.1999999999998</v>
      </c>
      <c r="AA11" s="86">
        <v>1520.0000000000002</v>
      </c>
      <c r="AB11" s="86">
        <v>1205.9999999999991</v>
      </c>
      <c r="AC11" s="86">
        <v>1015.799999999999</v>
      </c>
      <c r="AD11" s="89">
        <v>1126.9999999999995</v>
      </c>
      <c r="AE11" s="88">
        <v>1060.9999999999989</v>
      </c>
      <c r="AF11" s="88">
        <v>1179.5999999999992</v>
      </c>
      <c r="AG11" s="88">
        <v>807.19999999999993</v>
      </c>
      <c r="AH11" s="88">
        <v>866.80000000000018</v>
      </c>
      <c r="AI11" s="88">
        <v>1169.5999999999999</v>
      </c>
      <c r="AJ11" s="90">
        <v>900</v>
      </c>
      <c r="AK11" s="87">
        <v>172.60000000000002</v>
      </c>
      <c r="AL11" s="87">
        <v>571.99999999999977</v>
      </c>
      <c r="AM11" s="91">
        <f t="shared" si="0"/>
        <v>0.63555555555555532</v>
      </c>
      <c r="AN11" s="87">
        <f t="shared" si="1"/>
        <v>744.5999999999998</v>
      </c>
      <c r="AO11" s="92">
        <f t="shared" si="2"/>
        <v>0.82733333333333314</v>
      </c>
      <c r="AP11" s="50"/>
      <c r="AQ11" s="50"/>
    </row>
    <row r="12" spans="1:45" ht="12.75" customHeight="1" x14ac:dyDescent="0.25">
      <c r="A12" s="45" t="s">
        <v>172</v>
      </c>
      <c r="B12" s="75" t="s">
        <v>85</v>
      </c>
      <c r="C12" s="76" t="s">
        <v>86</v>
      </c>
      <c r="D12" s="77" t="s">
        <v>88</v>
      </c>
      <c r="E12" s="78">
        <v>931.80000000000007</v>
      </c>
      <c r="F12" s="79">
        <v>1409.1999999999998</v>
      </c>
      <c r="G12" s="79">
        <v>825.60000000000014</v>
      </c>
      <c r="H12" s="79">
        <v>892</v>
      </c>
      <c r="I12" s="78">
        <v>161.6</v>
      </c>
      <c r="J12" s="79">
        <v>1325.4</v>
      </c>
      <c r="K12" s="79">
        <v>673.8</v>
      </c>
      <c r="L12" s="79">
        <v>932.8</v>
      </c>
      <c r="M12" s="79">
        <v>755</v>
      </c>
      <c r="N12" s="79">
        <v>611.79999999999995</v>
      </c>
      <c r="O12" s="79">
        <v>687.8</v>
      </c>
      <c r="P12" s="79">
        <v>352.40000000000003</v>
      </c>
      <c r="Q12" s="80">
        <v>269</v>
      </c>
      <c r="R12" s="79">
        <v>453.59999999999997</v>
      </c>
      <c r="S12" s="78">
        <v>224.2</v>
      </c>
      <c r="T12" s="78">
        <v>387</v>
      </c>
      <c r="U12" s="78">
        <v>481.6</v>
      </c>
      <c r="V12" s="78">
        <v>286.39999999999998</v>
      </c>
      <c r="W12" s="78">
        <v>489.79999999999995</v>
      </c>
      <c r="X12" s="78">
        <v>254.60000000000002</v>
      </c>
      <c r="Y12" s="79">
        <v>473.6</v>
      </c>
      <c r="Z12" s="78">
        <v>758.59999999999877</v>
      </c>
      <c r="AA12" s="78">
        <v>758.8</v>
      </c>
      <c r="AB12" s="78">
        <v>805.99999999999943</v>
      </c>
      <c r="AC12" s="78">
        <v>650.59999999999991</v>
      </c>
      <c r="AD12" s="81">
        <v>841.599999999999</v>
      </c>
      <c r="AE12" s="80">
        <v>892.39999999999941</v>
      </c>
      <c r="AF12" s="80">
        <v>955.4</v>
      </c>
      <c r="AG12" s="80">
        <v>705.79999999999984</v>
      </c>
      <c r="AH12" s="80">
        <v>661.79999999999973</v>
      </c>
      <c r="AI12" s="80">
        <v>650.39999999999986</v>
      </c>
      <c r="AJ12" s="82">
        <v>700</v>
      </c>
      <c r="AK12" s="79">
        <v>60.6</v>
      </c>
      <c r="AL12" s="79">
        <v>394.00000000000011</v>
      </c>
      <c r="AM12" s="83">
        <f t="shared" si="0"/>
        <v>0.56285714285714306</v>
      </c>
      <c r="AN12" s="79">
        <f t="shared" si="1"/>
        <v>454.60000000000014</v>
      </c>
      <c r="AO12" s="84">
        <f t="shared" si="2"/>
        <v>0.64942857142857158</v>
      </c>
      <c r="AP12" s="50"/>
      <c r="AQ12" s="50"/>
    </row>
    <row r="13" spans="1:45" ht="12.75" customHeight="1" x14ac:dyDescent="0.25">
      <c r="A13" s="45" t="s">
        <v>172</v>
      </c>
      <c r="B13" s="64" t="s">
        <v>89</v>
      </c>
      <c r="C13" s="65" t="s">
        <v>86</v>
      </c>
      <c r="D13" s="66" t="s">
        <v>90</v>
      </c>
      <c r="E13" s="86">
        <v>39.599999999999994</v>
      </c>
      <c r="F13" s="87">
        <v>99</v>
      </c>
      <c r="G13" s="87"/>
      <c r="H13" s="87"/>
      <c r="I13" s="86"/>
      <c r="J13" s="87"/>
      <c r="K13" s="87">
        <v>447.4</v>
      </c>
      <c r="L13" s="87">
        <v>196.8</v>
      </c>
      <c r="M13" s="87">
        <v>520.79999999999995</v>
      </c>
      <c r="N13" s="87">
        <v>239</v>
      </c>
      <c r="O13" s="87">
        <v>408.80000000000007</v>
      </c>
      <c r="P13" s="87">
        <v>444.80000000000007</v>
      </c>
      <c r="Q13" s="88">
        <v>233.60000000000002</v>
      </c>
      <c r="R13" s="87">
        <v>246</v>
      </c>
      <c r="S13" s="86">
        <v>158.19999999999999</v>
      </c>
      <c r="T13" s="86">
        <v>447.2000000000001</v>
      </c>
      <c r="U13" s="86">
        <v>379.8</v>
      </c>
      <c r="V13" s="86">
        <v>489.6</v>
      </c>
      <c r="W13" s="86">
        <v>506.6</v>
      </c>
      <c r="X13" s="86">
        <v>498.60000000000008</v>
      </c>
      <c r="Y13" s="87">
        <v>531.20000000000005</v>
      </c>
      <c r="Z13" s="86">
        <v>1757.599999999999</v>
      </c>
      <c r="AA13" s="86">
        <v>1052.3999999999999</v>
      </c>
      <c r="AB13" s="86">
        <v>890.19999999999959</v>
      </c>
      <c r="AC13" s="86">
        <v>697.19999999999925</v>
      </c>
      <c r="AD13" s="89">
        <v>821.1999999999997</v>
      </c>
      <c r="AE13" s="88">
        <v>752.39999999999986</v>
      </c>
      <c r="AF13" s="88">
        <v>761.99999999999966</v>
      </c>
      <c r="AG13" s="88">
        <v>404.99999999999994</v>
      </c>
      <c r="AH13" s="88">
        <v>650.99999999999977</v>
      </c>
      <c r="AI13" s="88">
        <v>702.19999999999982</v>
      </c>
      <c r="AJ13" s="90">
        <v>500</v>
      </c>
      <c r="AK13" s="87">
        <v>16.2</v>
      </c>
      <c r="AL13" s="87">
        <v>374.00000000000006</v>
      </c>
      <c r="AM13" s="91">
        <f t="shared" si="0"/>
        <v>0.74800000000000011</v>
      </c>
      <c r="AN13" s="87">
        <f t="shared" si="1"/>
        <v>390.20000000000005</v>
      </c>
      <c r="AO13" s="92">
        <f t="shared" si="2"/>
        <v>0.78040000000000009</v>
      </c>
      <c r="AP13" s="50"/>
      <c r="AQ13" s="50"/>
    </row>
    <row r="14" spans="1:45" ht="12.75" hidden="1" customHeight="1" x14ac:dyDescent="0.25">
      <c r="A14" s="45" t="s">
        <v>172</v>
      </c>
      <c r="B14" s="75" t="s">
        <v>89</v>
      </c>
      <c r="C14" s="76" t="s">
        <v>86</v>
      </c>
      <c r="D14" s="77" t="s">
        <v>91</v>
      </c>
      <c r="E14" s="78">
        <v>212</v>
      </c>
      <c r="F14" s="79">
        <v>295.80000000000007</v>
      </c>
      <c r="G14" s="79">
        <v>650.20000000000005</v>
      </c>
      <c r="H14" s="79">
        <v>106.99999999999999</v>
      </c>
      <c r="I14" s="78">
        <v>0</v>
      </c>
      <c r="J14" s="79">
        <v>629.20000000000005</v>
      </c>
      <c r="K14" s="79">
        <v>275.80000000000007</v>
      </c>
      <c r="L14" s="79">
        <v>321.40000000000009</v>
      </c>
      <c r="M14" s="79">
        <v>124.6</v>
      </c>
      <c r="N14" s="79">
        <v>166.60000000000002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A15" s="45" t="s">
        <v>172</v>
      </c>
      <c r="B15" s="75" t="s">
        <v>89</v>
      </c>
      <c r="C15" s="76" t="s">
        <v>86</v>
      </c>
      <c r="D15" s="77" t="s">
        <v>93</v>
      </c>
      <c r="E15" s="78">
        <v>521.79999999999995</v>
      </c>
      <c r="F15" s="79">
        <v>563.79999999999995</v>
      </c>
      <c r="G15" s="79">
        <v>903.6</v>
      </c>
      <c r="H15" s="79">
        <v>230.2</v>
      </c>
      <c r="I15" s="78">
        <v>0</v>
      </c>
      <c r="J15" s="79">
        <v>1105.3999999999996</v>
      </c>
      <c r="K15" s="79">
        <v>294.60000000000002</v>
      </c>
      <c r="L15" s="79">
        <v>378.60000000000008</v>
      </c>
      <c r="M15" s="79">
        <v>705.8</v>
      </c>
      <c r="N15" s="79">
        <v>260.8</v>
      </c>
      <c r="O15" s="79">
        <v>251.6</v>
      </c>
      <c r="P15" s="79">
        <v>441.6</v>
      </c>
      <c r="Q15" s="80">
        <v>128</v>
      </c>
      <c r="R15" s="79">
        <v>347.2</v>
      </c>
      <c r="S15" s="78">
        <v>224.60000000000005</v>
      </c>
      <c r="T15" s="78">
        <v>451.8</v>
      </c>
      <c r="U15" s="78">
        <v>587.20000000000005</v>
      </c>
      <c r="V15" s="78">
        <v>492.80000000000007</v>
      </c>
      <c r="W15" s="78">
        <v>325.20000000000005</v>
      </c>
      <c r="X15" s="78">
        <v>437.80000000000013</v>
      </c>
      <c r="Y15" s="79">
        <v>506.80000000000007</v>
      </c>
      <c r="Z15" s="78">
        <v>1164.1999999999991</v>
      </c>
      <c r="AA15" s="78">
        <v>1186.2000000000005</v>
      </c>
      <c r="AB15" s="78">
        <v>911.5999999999998</v>
      </c>
      <c r="AC15" s="78">
        <v>1059.5999999999995</v>
      </c>
      <c r="AD15" s="81">
        <v>847.5999999999998</v>
      </c>
      <c r="AE15" s="80">
        <v>448.19999999999993</v>
      </c>
      <c r="AF15" s="80">
        <v>698.59999999999991</v>
      </c>
      <c r="AG15" s="80">
        <v>629.20000000000005</v>
      </c>
      <c r="AH15" s="80">
        <v>495.60000000000014</v>
      </c>
      <c r="AI15" s="80">
        <v>487.8</v>
      </c>
      <c r="AJ15" s="82">
        <v>600</v>
      </c>
      <c r="AK15" s="79">
        <v>195.8</v>
      </c>
      <c r="AL15" s="79">
        <v>520.4000000000002</v>
      </c>
      <c r="AM15" s="83">
        <f t="shared" si="0"/>
        <v>0.86733333333333362</v>
      </c>
      <c r="AN15" s="79">
        <f t="shared" si="1"/>
        <v>716.20000000000027</v>
      </c>
      <c r="AO15" s="84">
        <f t="shared" si="2"/>
        <v>1.1936666666666671</v>
      </c>
      <c r="AP15" s="50"/>
      <c r="AQ15" s="50"/>
    </row>
    <row r="16" spans="1:45" ht="12.75" customHeight="1" x14ac:dyDescent="0.25">
      <c r="A16" s="45" t="s">
        <v>172</v>
      </c>
      <c r="B16" s="64" t="s">
        <v>94</v>
      </c>
      <c r="C16" s="65" t="s">
        <v>86</v>
      </c>
      <c r="D16" s="66" t="s">
        <v>95</v>
      </c>
      <c r="E16" s="86">
        <v>563.6</v>
      </c>
      <c r="F16" s="87">
        <v>737.4</v>
      </c>
      <c r="G16" s="87">
        <v>591.6</v>
      </c>
      <c r="H16" s="87">
        <v>266.2</v>
      </c>
      <c r="I16" s="86">
        <v>87.399999999999991</v>
      </c>
      <c r="J16" s="87">
        <v>935.6</v>
      </c>
      <c r="K16" s="87">
        <v>638.20000000000005</v>
      </c>
      <c r="L16" s="87">
        <v>528.79999999999995</v>
      </c>
      <c r="M16" s="87">
        <v>358.79999999999995</v>
      </c>
      <c r="N16" s="87">
        <v>145.39999999999998</v>
      </c>
      <c r="O16" s="87">
        <v>361</v>
      </c>
      <c r="P16" s="87">
        <v>474.2</v>
      </c>
      <c r="Q16" s="88">
        <v>263</v>
      </c>
      <c r="R16" s="87">
        <v>557.79999999999995</v>
      </c>
      <c r="S16" s="86">
        <v>330.59999999999997</v>
      </c>
      <c r="T16" s="86">
        <v>432.00000000000006</v>
      </c>
      <c r="U16" s="86">
        <v>413.2</v>
      </c>
      <c r="V16" s="86">
        <v>620.00000000000011</v>
      </c>
      <c r="W16" s="86">
        <v>595.4</v>
      </c>
      <c r="X16" s="86">
        <v>277.00000000000006</v>
      </c>
      <c r="Y16" s="87">
        <v>1214.1999999999987</v>
      </c>
      <c r="Z16" s="86">
        <v>2846.4000000000051</v>
      </c>
      <c r="AA16" s="86">
        <v>2136.5999999999972</v>
      </c>
      <c r="AB16" s="86">
        <v>1291.9999999999984</v>
      </c>
      <c r="AC16" s="86">
        <v>1745.3999999999976</v>
      </c>
      <c r="AD16" s="89">
        <v>1479.199999999998</v>
      </c>
      <c r="AE16" s="88">
        <v>1684.5999999999979</v>
      </c>
      <c r="AF16" s="88">
        <v>1538.3999999999955</v>
      </c>
      <c r="AG16" s="88">
        <v>747.9999999999992</v>
      </c>
      <c r="AH16" s="88">
        <v>1208.5999999999985</v>
      </c>
      <c r="AI16" s="88">
        <v>1429.1999999999957</v>
      </c>
      <c r="AJ16" s="90">
        <v>1300</v>
      </c>
      <c r="AK16" s="87">
        <v>500.80000000000024</v>
      </c>
      <c r="AL16" s="87">
        <v>1069.9999999999982</v>
      </c>
      <c r="AM16" s="91">
        <f>IFERROR(AL16/AJ16,0)</f>
        <v>0.82307692307692171</v>
      </c>
      <c r="AN16" s="87">
        <f>+AK16+AL16</f>
        <v>1570.7999999999984</v>
      </c>
      <c r="AO16" s="92">
        <f>IFERROR(+AN16/AJ16,0)</f>
        <v>1.208307692307691</v>
      </c>
      <c r="AP16" s="50"/>
      <c r="AQ16" s="50"/>
    </row>
    <row r="17" spans="1:45" ht="12.75" customHeight="1" thickBot="1" x14ac:dyDescent="0.3">
      <c r="A17" s="45" t="s">
        <v>172</v>
      </c>
      <c r="B17" s="75" t="s">
        <v>94</v>
      </c>
      <c r="C17" s="76" t="s">
        <v>86</v>
      </c>
      <c r="D17" s="77" t="s">
        <v>96</v>
      </c>
      <c r="E17" s="78">
        <v>1101.5999999999999</v>
      </c>
      <c r="F17" s="79">
        <v>1215.4000000000003</v>
      </c>
      <c r="G17" s="79">
        <v>1124.5999999999999</v>
      </c>
      <c r="H17" s="79">
        <v>816</v>
      </c>
      <c r="I17" s="78">
        <v>0</v>
      </c>
      <c r="J17" s="79">
        <v>1009.8000000000001</v>
      </c>
      <c r="K17" s="79">
        <v>1344.2</v>
      </c>
      <c r="L17" s="79">
        <v>553.19999999999993</v>
      </c>
      <c r="M17" s="79">
        <v>1353.8000000000002</v>
      </c>
      <c r="N17" s="79">
        <v>488.6</v>
      </c>
      <c r="O17" s="79">
        <v>304.40000000000003</v>
      </c>
      <c r="P17" s="79">
        <v>1420.5999999999997</v>
      </c>
      <c r="Q17" s="80">
        <v>921.4000000000002</v>
      </c>
      <c r="R17" s="79">
        <v>587.59999999999991</v>
      </c>
      <c r="S17" s="78">
        <v>575.79999999999995</v>
      </c>
      <c r="T17" s="78">
        <v>243.39999999999998</v>
      </c>
      <c r="U17" s="78">
        <v>335.99999999999994</v>
      </c>
      <c r="V17" s="78">
        <v>194.2</v>
      </c>
      <c r="W17" s="78">
        <v>605.80000000000007</v>
      </c>
      <c r="X17" s="78">
        <v>444.79999999999995</v>
      </c>
      <c r="Y17" s="79">
        <v>777.6</v>
      </c>
      <c r="Z17" s="78">
        <v>2169.5999999999995</v>
      </c>
      <c r="AA17" s="78">
        <v>608.4</v>
      </c>
      <c r="AB17" s="78">
        <v>654.80000000000007</v>
      </c>
      <c r="AC17" s="78">
        <v>1358.3999999999996</v>
      </c>
      <c r="AD17" s="81">
        <v>616.19999999999982</v>
      </c>
      <c r="AE17" s="93">
        <v>829.39999999999918</v>
      </c>
      <c r="AF17" s="93">
        <v>719.39999999999975</v>
      </c>
      <c r="AG17" s="93">
        <v>539.19999999999982</v>
      </c>
      <c r="AH17" s="93">
        <v>872.59999999999991</v>
      </c>
      <c r="AI17" s="93">
        <v>812.19999999999982</v>
      </c>
      <c r="AJ17" s="94">
        <v>800</v>
      </c>
      <c r="AK17" s="95">
        <v>11.2</v>
      </c>
      <c r="AL17" s="95">
        <v>315</v>
      </c>
      <c r="AM17" s="96">
        <f>IFERROR(AL17/AJ17,0)</f>
        <v>0.39374999999999999</v>
      </c>
      <c r="AN17" s="95">
        <f>+AK17+AL17</f>
        <v>326.2</v>
      </c>
      <c r="AO17" s="97">
        <f>IFERROR(+AN17/AJ17,0)</f>
        <v>0.40775</v>
      </c>
      <c r="AP17" s="50"/>
      <c r="AQ17" s="50"/>
    </row>
    <row r="18" spans="1:45" s="109" customFormat="1" ht="12.75" customHeight="1" thickBot="1" x14ac:dyDescent="0.35">
      <c r="A18" s="45" t="s">
        <v>172</v>
      </c>
      <c r="B18" s="98"/>
      <c r="C18" s="99"/>
      <c r="D18" s="100" t="s">
        <v>97</v>
      </c>
      <c r="E18" s="101">
        <f t="shared" ref="E18:AD18" si="3">+SUM(E3:E17)</f>
        <v>8652.8000000000011</v>
      </c>
      <c r="F18" s="102">
        <f t="shared" si="3"/>
        <v>10284.199999999997</v>
      </c>
      <c r="G18" s="102">
        <f t="shared" si="3"/>
        <v>8906.7999999999993</v>
      </c>
      <c r="H18" s="102">
        <f t="shared" si="3"/>
        <v>5130.4000000000005</v>
      </c>
      <c r="I18" s="102">
        <f t="shared" si="3"/>
        <v>993.6</v>
      </c>
      <c r="J18" s="102">
        <f t="shared" si="3"/>
        <v>11621.8</v>
      </c>
      <c r="K18" s="102">
        <f t="shared" si="3"/>
        <v>6656.2</v>
      </c>
      <c r="L18" s="102">
        <f t="shared" si="3"/>
        <v>5808.2000000000007</v>
      </c>
      <c r="M18" s="102">
        <f t="shared" si="3"/>
        <v>6006.4</v>
      </c>
      <c r="N18" s="102">
        <f t="shared" si="3"/>
        <v>4753.7999999999993</v>
      </c>
      <c r="O18" s="102">
        <f t="shared" si="3"/>
        <v>4589</v>
      </c>
      <c r="P18" s="102">
        <f t="shared" si="3"/>
        <v>5224.3999999999996</v>
      </c>
      <c r="Q18" s="103">
        <f t="shared" si="3"/>
        <v>4328.6000000000004</v>
      </c>
      <c r="R18" s="102">
        <f t="shared" si="3"/>
        <v>5771.4</v>
      </c>
      <c r="S18" s="101">
        <f t="shared" si="3"/>
        <v>4081.7999999999993</v>
      </c>
      <c r="T18" s="101">
        <f t="shared" si="3"/>
        <v>5893.6</v>
      </c>
      <c r="U18" s="101">
        <f t="shared" si="3"/>
        <v>7437.4000000000005</v>
      </c>
      <c r="V18" s="101">
        <f t="shared" si="3"/>
        <v>5735.2</v>
      </c>
      <c r="W18" s="101">
        <f t="shared" si="3"/>
        <v>6566.8000000000011</v>
      </c>
      <c r="X18" s="101">
        <f t="shared" si="3"/>
        <v>6992.0000000000009</v>
      </c>
      <c r="Y18" s="102">
        <f t="shared" si="3"/>
        <v>8064.5999999999995</v>
      </c>
      <c r="Z18" s="101">
        <f t="shared" si="3"/>
        <v>18338.8</v>
      </c>
      <c r="AA18" s="101">
        <f t="shared" si="3"/>
        <v>14471.599999999993</v>
      </c>
      <c r="AB18" s="101">
        <f t="shared" si="3"/>
        <v>12271.999999999995</v>
      </c>
      <c r="AC18" s="101">
        <f t="shared" si="3"/>
        <v>15062.799999999997</v>
      </c>
      <c r="AD18" s="104">
        <f t="shared" si="3"/>
        <v>11085.399999999994</v>
      </c>
      <c r="AE18" s="103">
        <v>10381.399999999994</v>
      </c>
      <c r="AF18" s="103">
        <v>10735.399999999992</v>
      </c>
      <c r="AG18" s="103">
        <v>7850.7999999999975</v>
      </c>
      <c r="AH18" s="103">
        <v>7967.7999999999993</v>
      </c>
      <c r="AI18" s="103">
        <v>8935.5999999999913</v>
      </c>
      <c r="AJ18" s="105">
        <v>9000</v>
      </c>
      <c r="AK18" s="102">
        <f t="shared" ref="AK18:AN18" si="4">+SUM(AK3:AK17)</f>
        <v>1490.6000000000001</v>
      </c>
      <c r="AL18" s="102">
        <f t="shared" si="4"/>
        <v>6039.9999999999982</v>
      </c>
      <c r="AM18" s="106">
        <f t="shared" si="0"/>
        <v>0.67111111111111088</v>
      </c>
      <c r="AN18" s="102">
        <f t="shared" si="4"/>
        <v>7530.5999999999985</v>
      </c>
      <c r="AO18" s="107">
        <f t="shared" si="2"/>
        <v>0.83673333333333322</v>
      </c>
      <c r="AP18" s="49"/>
      <c r="AQ18" s="49"/>
      <c r="AR18" s="108"/>
      <c r="AS18" s="47"/>
    </row>
    <row r="19" spans="1:45" ht="12.75" customHeight="1" x14ac:dyDescent="0.25">
      <c r="A19" s="45" t="s">
        <v>172</v>
      </c>
      <c r="B19" s="64" t="s">
        <v>98</v>
      </c>
      <c r="C19" s="65" t="s">
        <v>99</v>
      </c>
      <c r="D19" s="66" t="s">
        <v>100</v>
      </c>
      <c r="E19" s="67">
        <v>807.4000000000002</v>
      </c>
      <c r="F19" s="68">
        <v>404.20000000000005</v>
      </c>
      <c r="G19" s="68">
        <v>515.80000000000018</v>
      </c>
      <c r="H19" s="68">
        <v>545.39999999999986</v>
      </c>
      <c r="I19" s="68">
        <v>-13.999999999999996</v>
      </c>
      <c r="J19" s="68">
        <v>166.6</v>
      </c>
      <c r="K19" s="68">
        <v>732.79999999999961</v>
      </c>
      <c r="L19" s="68">
        <v>407.60000000000008</v>
      </c>
      <c r="M19" s="68">
        <v>632.60000000000025</v>
      </c>
      <c r="N19" s="68">
        <v>83.8</v>
      </c>
      <c r="O19" s="68">
        <v>257.20000000000005</v>
      </c>
      <c r="P19" s="68">
        <v>428.80000000000007</v>
      </c>
      <c r="Q19" s="69">
        <v>117.39999999999998</v>
      </c>
      <c r="R19" s="68">
        <v>339.8</v>
      </c>
      <c r="S19" s="67">
        <v>216.6</v>
      </c>
      <c r="T19" s="67">
        <v>362.00000000000006</v>
      </c>
      <c r="U19" s="67">
        <v>678.6</v>
      </c>
      <c r="V19" s="67">
        <v>342.6</v>
      </c>
      <c r="W19" s="67">
        <v>335.2000000000001</v>
      </c>
      <c r="X19" s="67">
        <v>585.39999999999986</v>
      </c>
      <c r="Y19" s="68">
        <v>748.39999999999964</v>
      </c>
      <c r="Z19" s="67">
        <v>1136.7999999999986</v>
      </c>
      <c r="AA19" s="67">
        <v>1248.1999999999994</v>
      </c>
      <c r="AB19" s="67">
        <v>894.59999999999889</v>
      </c>
      <c r="AC19" s="67">
        <v>1082.1999999999991</v>
      </c>
      <c r="AD19" s="70">
        <v>779.9999999999992</v>
      </c>
      <c r="AE19" s="69">
        <v>760.19999999999959</v>
      </c>
      <c r="AF19" s="69">
        <v>956.99999999999898</v>
      </c>
      <c r="AG19" s="69">
        <v>259.20000000000005</v>
      </c>
      <c r="AH19" s="69">
        <v>756.39999999999964</v>
      </c>
      <c r="AI19" s="69">
        <v>553.40000000000009</v>
      </c>
      <c r="AJ19" s="110">
        <v>600</v>
      </c>
      <c r="AK19" s="68">
        <v>15.600000000000001</v>
      </c>
      <c r="AL19" s="68">
        <v>744.99999999999932</v>
      </c>
      <c r="AM19" s="111">
        <f>IFERROR(AL19/AJ19,0)</f>
        <v>1.2416666666666656</v>
      </c>
      <c r="AN19" s="68">
        <f>+AK19+AL19</f>
        <v>760.59999999999934</v>
      </c>
      <c r="AO19" s="112">
        <f>IFERROR(+AN19/AJ19,0)</f>
        <v>1.2676666666666656</v>
      </c>
      <c r="AP19" s="50"/>
      <c r="AQ19" s="50"/>
    </row>
    <row r="20" spans="1:45" ht="12.75" customHeight="1" x14ac:dyDescent="0.25">
      <c r="A20" s="45" t="s">
        <v>172</v>
      </c>
      <c r="B20" s="75" t="s">
        <v>98</v>
      </c>
      <c r="C20" s="113" t="s">
        <v>99</v>
      </c>
      <c r="D20" s="77" t="s">
        <v>101</v>
      </c>
      <c r="E20" s="78">
        <v>3115.4</v>
      </c>
      <c r="F20" s="79">
        <v>2634.0000000000009</v>
      </c>
      <c r="G20" s="79">
        <v>1944.5999999999983</v>
      </c>
      <c r="H20" s="79">
        <v>1791.7999999999988</v>
      </c>
      <c r="I20" s="79">
        <v>-5.8</v>
      </c>
      <c r="J20" s="79">
        <v>2293.6</v>
      </c>
      <c r="K20" s="79">
        <v>1791.7999999999993</v>
      </c>
      <c r="L20" s="79">
        <v>2015.9999999999986</v>
      </c>
      <c r="M20" s="79">
        <v>1948.7999999999997</v>
      </c>
      <c r="N20" s="79">
        <v>1952.7999999999993</v>
      </c>
      <c r="O20" s="79">
        <v>1088.4000000000001</v>
      </c>
      <c r="P20" s="79">
        <v>1183.8</v>
      </c>
      <c r="Q20" s="80">
        <v>1435.1999999999998</v>
      </c>
      <c r="R20" s="79">
        <v>1724.599999999999</v>
      </c>
      <c r="S20" s="78">
        <v>861.19999999999993</v>
      </c>
      <c r="T20" s="78">
        <v>2368.9999999999995</v>
      </c>
      <c r="U20" s="78">
        <v>1810.7999999999993</v>
      </c>
      <c r="V20" s="78">
        <v>1912.9999999999989</v>
      </c>
      <c r="W20" s="78">
        <v>1829.5999999999995</v>
      </c>
      <c r="X20" s="78">
        <v>2089.9999999999991</v>
      </c>
      <c r="Y20" s="79">
        <v>2166.5999999999995</v>
      </c>
      <c r="Z20" s="78">
        <v>2936.8000000000043</v>
      </c>
      <c r="AA20" s="78">
        <v>1111.1999999999994</v>
      </c>
      <c r="AB20" s="78">
        <v>1600.1999999999991</v>
      </c>
      <c r="AC20" s="78">
        <v>2491.4000000000019</v>
      </c>
      <c r="AD20" s="81">
        <v>1687.9999999999989</v>
      </c>
      <c r="AE20" s="80">
        <v>2876.8000000000038</v>
      </c>
      <c r="AF20" s="80">
        <v>1646.9999999999986</v>
      </c>
      <c r="AG20" s="80">
        <v>2877.7999999999988</v>
      </c>
      <c r="AH20" s="80">
        <v>2939.2000000000007</v>
      </c>
      <c r="AI20" s="80">
        <v>1516.1999999999971</v>
      </c>
      <c r="AJ20" s="114">
        <v>2900</v>
      </c>
      <c r="AK20" s="79">
        <v>357.80000000000013</v>
      </c>
      <c r="AL20" s="79">
        <v>1975.1999999999989</v>
      </c>
      <c r="AM20" s="83">
        <f>IFERROR(AL20/AJ20,0)</f>
        <v>0.68110344827586167</v>
      </c>
      <c r="AN20" s="79">
        <f>+AK20+AL20</f>
        <v>2332.9999999999991</v>
      </c>
      <c r="AO20" s="84">
        <f>IFERROR(+AN20/AJ20,0)</f>
        <v>0.8044827586206893</v>
      </c>
      <c r="AP20" s="50"/>
      <c r="AQ20" s="50"/>
    </row>
    <row r="21" spans="1:45" ht="12.75" customHeight="1" thickBot="1" x14ac:dyDescent="0.3">
      <c r="A21" s="45" t="s">
        <v>172</v>
      </c>
      <c r="B21" s="64" t="s">
        <v>98</v>
      </c>
      <c r="C21" s="65" t="s">
        <v>99</v>
      </c>
      <c r="D21" s="66" t="s">
        <v>102</v>
      </c>
      <c r="E21" s="86">
        <v>1444.1999999999987</v>
      </c>
      <c r="F21" s="87">
        <v>2769.9999999999986</v>
      </c>
      <c r="G21" s="87">
        <v>1219.9999999999998</v>
      </c>
      <c r="H21" s="87">
        <v>1334.7999999999997</v>
      </c>
      <c r="I21" s="87">
        <v>475.4000000000002</v>
      </c>
      <c r="J21" s="87">
        <v>518.20000000000016</v>
      </c>
      <c r="K21" s="87">
        <v>3670.4000000000037</v>
      </c>
      <c r="L21" s="87">
        <v>905.99999999999932</v>
      </c>
      <c r="M21" s="87">
        <v>1146.7999999999995</v>
      </c>
      <c r="N21" s="87">
        <v>1141.9999999999989</v>
      </c>
      <c r="O21" s="87">
        <v>778.99999999999943</v>
      </c>
      <c r="P21" s="87">
        <v>1280.7999999999993</v>
      </c>
      <c r="Q21" s="88">
        <v>1383.399999999999</v>
      </c>
      <c r="R21" s="87">
        <v>1417.1999999999991</v>
      </c>
      <c r="S21" s="86">
        <v>563.20000000000027</v>
      </c>
      <c r="T21" s="86">
        <v>903.19999999999925</v>
      </c>
      <c r="U21" s="86">
        <v>1003.5999999999996</v>
      </c>
      <c r="V21" s="86">
        <v>884.99999999999977</v>
      </c>
      <c r="W21" s="86">
        <v>1023.1999999999992</v>
      </c>
      <c r="X21" s="86">
        <v>1472.7999999999984</v>
      </c>
      <c r="Y21" s="87">
        <v>1551.9999999999982</v>
      </c>
      <c r="Z21" s="86">
        <v>1694.599999999999</v>
      </c>
      <c r="AA21" s="86">
        <v>2060.7999999999997</v>
      </c>
      <c r="AB21" s="86">
        <v>1924.5999999999992</v>
      </c>
      <c r="AC21" s="86">
        <v>1553.3999999999978</v>
      </c>
      <c r="AD21" s="89">
        <v>1185.3999999999992</v>
      </c>
      <c r="AE21" s="88">
        <v>1471.7999999999988</v>
      </c>
      <c r="AF21" s="88">
        <v>1009.3999999999982</v>
      </c>
      <c r="AG21" s="88">
        <v>1318.5999999999988</v>
      </c>
      <c r="AH21" s="88">
        <v>1236.7999999999988</v>
      </c>
      <c r="AI21" s="88">
        <v>1549.7999999999986</v>
      </c>
      <c r="AJ21" s="115">
        <v>1500</v>
      </c>
      <c r="AK21" s="87">
        <v>249.20000000000002</v>
      </c>
      <c r="AL21" s="87">
        <v>1232.3999999999992</v>
      </c>
      <c r="AM21" s="91">
        <f>IFERROR(AL21/AJ21,0)</f>
        <v>0.82159999999999944</v>
      </c>
      <c r="AN21" s="87">
        <f>+AK21+AL21</f>
        <v>1481.5999999999992</v>
      </c>
      <c r="AO21" s="92">
        <f>IFERROR(+AN21/AJ21,0)</f>
        <v>0.9877333333333328</v>
      </c>
      <c r="AP21" s="50"/>
      <c r="AQ21" s="50"/>
    </row>
    <row r="22" spans="1:45" s="109" customFormat="1" ht="12.75" customHeight="1" thickBot="1" x14ac:dyDescent="0.35">
      <c r="A22" s="45" t="s">
        <v>172</v>
      </c>
      <c r="B22" s="98"/>
      <c r="C22" s="99"/>
      <c r="D22" s="100" t="s">
        <v>103</v>
      </c>
      <c r="E22" s="101">
        <f t="shared" ref="E22:X22" si="5">+SUM(E19:E21)</f>
        <v>5366.9999999999991</v>
      </c>
      <c r="F22" s="102">
        <f t="shared" si="5"/>
        <v>5808.1999999999989</v>
      </c>
      <c r="G22" s="102">
        <f t="shared" si="5"/>
        <v>3680.3999999999987</v>
      </c>
      <c r="H22" s="102">
        <f t="shared" si="5"/>
        <v>3671.9999999999986</v>
      </c>
      <c r="I22" s="102">
        <f t="shared" si="5"/>
        <v>455.60000000000019</v>
      </c>
      <c r="J22" s="102">
        <f t="shared" si="5"/>
        <v>2978.4</v>
      </c>
      <c r="K22" s="102">
        <f t="shared" si="5"/>
        <v>6195.0000000000027</v>
      </c>
      <c r="L22" s="102">
        <f t="shared" si="5"/>
        <v>3329.5999999999976</v>
      </c>
      <c r="M22" s="102">
        <f t="shared" si="5"/>
        <v>3728.2</v>
      </c>
      <c r="N22" s="102">
        <f t="shared" si="5"/>
        <v>3178.5999999999981</v>
      </c>
      <c r="O22" s="102">
        <f t="shared" si="5"/>
        <v>2124.5999999999995</v>
      </c>
      <c r="P22" s="102">
        <f t="shared" si="5"/>
        <v>2893.3999999999992</v>
      </c>
      <c r="Q22" s="103">
        <f t="shared" si="5"/>
        <v>2935.9999999999991</v>
      </c>
      <c r="R22" s="102">
        <f t="shared" si="5"/>
        <v>3481.5999999999985</v>
      </c>
      <c r="S22" s="101">
        <v>1641.0000000000002</v>
      </c>
      <c r="T22" s="101">
        <f t="shared" si="5"/>
        <v>3634.1999999999989</v>
      </c>
      <c r="U22" s="101">
        <f t="shared" si="5"/>
        <v>3492.9999999999986</v>
      </c>
      <c r="V22" s="101">
        <f t="shared" si="5"/>
        <v>3140.5999999999985</v>
      </c>
      <c r="W22" s="101">
        <v>3187.9999999999991</v>
      </c>
      <c r="X22" s="101">
        <f t="shared" si="5"/>
        <v>4148.1999999999971</v>
      </c>
      <c r="Y22" s="102">
        <v>4466.9999999999973</v>
      </c>
      <c r="Z22" s="101">
        <v>5768.2000000000025</v>
      </c>
      <c r="AA22" s="101">
        <v>4420.1999999999989</v>
      </c>
      <c r="AB22" s="101">
        <v>4419.3999999999969</v>
      </c>
      <c r="AC22" s="101">
        <v>5126.9999999999991</v>
      </c>
      <c r="AD22" s="104">
        <v>3653.3999999999974</v>
      </c>
      <c r="AE22" s="103">
        <v>5108.8000000000029</v>
      </c>
      <c r="AF22" s="103">
        <v>3613.399999999996</v>
      </c>
      <c r="AG22" s="103">
        <v>4455.5999999999976</v>
      </c>
      <c r="AH22" s="103">
        <v>4932.3999999999996</v>
      </c>
      <c r="AI22" s="103">
        <v>3619.399999999996</v>
      </c>
      <c r="AJ22" s="105">
        <v>5000</v>
      </c>
      <c r="AK22" s="102">
        <f t="shared" ref="AK22:AN22" si="6">+SUM(AK19:AK21)</f>
        <v>622.60000000000014</v>
      </c>
      <c r="AL22" s="102">
        <f t="shared" si="6"/>
        <v>3952.5999999999972</v>
      </c>
      <c r="AM22" s="106">
        <f t="shared" ref="AM22:AM28" si="7">IFERROR(AL22/AJ22,0)</f>
        <v>0.79051999999999945</v>
      </c>
      <c r="AN22" s="102">
        <f t="shared" si="6"/>
        <v>4575.199999999998</v>
      </c>
      <c r="AO22" s="107">
        <f t="shared" ref="AO22:AO28" si="8">IFERROR(+AN22/AJ22,0)</f>
        <v>0.91503999999999963</v>
      </c>
      <c r="AP22" s="49"/>
      <c r="AQ22" s="49"/>
      <c r="AR22" s="108"/>
      <c r="AS22" s="47"/>
    </row>
    <row r="23" spans="1:45" ht="12.75" customHeight="1" x14ac:dyDescent="0.25">
      <c r="A23" s="45" t="s">
        <v>172</v>
      </c>
      <c r="B23" s="64" t="s">
        <v>104</v>
      </c>
      <c r="C23" s="65" t="s">
        <v>105</v>
      </c>
      <c r="D23" s="66" t="s">
        <v>106</v>
      </c>
      <c r="E23" s="86">
        <v>866.2</v>
      </c>
      <c r="F23" s="87">
        <v>1157.5999999999999</v>
      </c>
      <c r="G23" s="87">
        <v>447.59999999999997</v>
      </c>
      <c r="H23" s="87">
        <v>209</v>
      </c>
      <c r="I23" s="86">
        <v>449.8</v>
      </c>
      <c r="J23" s="87">
        <v>1108.5999999999999</v>
      </c>
      <c r="K23" s="87">
        <v>322.2</v>
      </c>
      <c r="L23" s="87">
        <v>208.39999999999998</v>
      </c>
      <c r="M23" s="87">
        <v>513.79999999999995</v>
      </c>
      <c r="N23" s="87">
        <v>328.4</v>
      </c>
      <c r="O23" s="87">
        <v>535</v>
      </c>
      <c r="P23" s="87">
        <v>346.6</v>
      </c>
      <c r="Q23" s="88">
        <v>171.2</v>
      </c>
      <c r="R23" s="87">
        <v>428.2</v>
      </c>
      <c r="S23" s="86">
        <v>558.59999999999991</v>
      </c>
      <c r="T23" s="86">
        <v>284.8</v>
      </c>
      <c r="U23" s="86">
        <v>709.6</v>
      </c>
      <c r="V23" s="86">
        <v>679.6</v>
      </c>
      <c r="W23" s="86">
        <v>168.39999999999998</v>
      </c>
      <c r="X23" s="86">
        <v>427.00000000000011</v>
      </c>
      <c r="Y23" s="87">
        <v>587.59999999999991</v>
      </c>
      <c r="Z23" s="86">
        <v>851.2</v>
      </c>
      <c r="AA23" s="86">
        <v>1085.7999999999997</v>
      </c>
      <c r="AB23" s="86">
        <v>736</v>
      </c>
      <c r="AC23" s="86">
        <v>817.59999999999968</v>
      </c>
      <c r="AD23" s="89">
        <v>677.4</v>
      </c>
      <c r="AE23" s="88">
        <v>538.20000000000005</v>
      </c>
      <c r="AF23" s="88">
        <v>587.5999999999998</v>
      </c>
      <c r="AG23" s="88">
        <v>201.00000000000006</v>
      </c>
      <c r="AH23" s="88">
        <v>283.60000000000008</v>
      </c>
      <c r="AI23" s="88">
        <v>362.00000000000011</v>
      </c>
      <c r="AJ23" s="90">
        <v>600</v>
      </c>
      <c r="AK23" s="87">
        <v>64</v>
      </c>
      <c r="AL23" s="87">
        <v>155.60000000000002</v>
      </c>
      <c r="AM23" s="91">
        <f>IFERROR(AL23/AJ23,0)</f>
        <v>0.25933333333333336</v>
      </c>
      <c r="AN23" s="87">
        <f t="shared" ref="AN23" si="9">+AK23+AL23</f>
        <v>219.60000000000002</v>
      </c>
      <c r="AO23" s="92">
        <f>IFERROR(+AN23/AJ23,0)</f>
        <v>0.36600000000000005</v>
      </c>
      <c r="AP23" s="50"/>
      <c r="AQ23" s="50"/>
    </row>
    <row r="24" spans="1:45" ht="12.75" customHeight="1" x14ac:dyDescent="0.25">
      <c r="A24" s="45" t="s">
        <v>172</v>
      </c>
      <c r="B24" s="75" t="s">
        <v>107</v>
      </c>
      <c r="C24" s="76" t="s">
        <v>105</v>
      </c>
      <c r="D24" s="77" t="s">
        <v>108</v>
      </c>
      <c r="E24" s="78">
        <v>1621.3999999999999</v>
      </c>
      <c r="F24" s="79">
        <v>1402.1999999999998</v>
      </c>
      <c r="G24" s="79">
        <v>1010.4</v>
      </c>
      <c r="H24" s="79">
        <v>790.80000000000007</v>
      </c>
      <c r="I24" s="78">
        <v>259</v>
      </c>
      <c r="J24" s="79">
        <v>1724</v>
      </c>
      <c r="K24" s="79">
        <v>1112.5999999999999</v>
      </c>
      <c r="L24" s="79">
        <v>1204.4000000000001</v>
      </c>
      <c r="M24" s="79">
        <v>1209</v>
      </c>
      <c r="N24" s="79">
        <v>878.6</v>
      </c>
      <c r="O24" s="79">
        <v>547.4</v>
      </c>
      <c r="P24" s="79">
        <v>431</v>
      </c>
      <c r="Q24" s="80">
        <v>974.2</v>
      </c>
      <c r="R24" s="79">
        <v>372</v>
      </c>
      <c r="S24" s="78">
        <v>696.4</v>
      </c>
      <c r="T24" s="78">
        <v>849.8</v>
      </c>
      <c r="U24" s="78">
        <v>1131</v>
      </c>
      <c r="V24" s="78">
        <v>1148</v>
      </c>
      <c r="W24" s="78">
        <v>953.4</v>
      </c>
      <c r="X24" s="78">
        <v>1016.8</v>
      </c>
      <c r="Y24" s="79">
        <v>911.80000000000007</v>
      </c>
      <c r="Z24" s="78">
        <v>2617.6000000000004</v>
      </c>
      <c r="AA24" s="78">
        <v>2229.8000000000002</v>
      </c>
      <c r="AB24" s="78">
        <v>1333.6</v>
      </c>
      <c r="AC24" s="78">
        <v>1475.1999999999996</v>
      </c>
      <c r="AD24" s="81">
        <v>977.59999999999991</v>
      </c>
      <c r="AE24" s="80">
        <v>1318.5999999999997</v>
      </c>
      <c r="AF24" s="80">
        <v>688.19999999999993</v>
      </c>
      <c r="AG24" s="80">
        <v>1216.5999999999999</v>
      </c>
      <c r="AH24" s="80">
        <v>806.8</v>
      </c>
      <c r="AI24" s="80">
        <v>1159.4000000000001</v>
      </c>
      <c r="AJ24" s="82">
        <v>1000</v>
      </c>
      <c r="AK24" s="79">
        <v>0</v>
      </c>
      <c r="AL24" s="79">
        <v>532.20000000000005</v>
      </c>
      <c r="AM24" s="83">
        <f t="shared" si="7"/>
        <v>0.53220000000000001</v>
      </c>
      <c r="AN24" s="79">
        <f>+AK24+AL24</f>
        <v>532.20000000000005</v>
      </c>
      <c r="AO24" s="84">
        <f t="shared" si="8"/>
        <v>0.53220000000000001</v>
      </c>
      <c r="AP24" s="50"/>
      <c r="AQ24" s="50"/>
    </row>
    <row r="25" spans="1:45" ht="12.75" customHeight="1" x14ac:dyDescent="0.25">
      <c r="A25" s="45" t="s">
        <v>172</v>
      </c>
      <c r="B25" s="64" t="s">
        <v>109</v>
      </c>
      <c r="C25" s="65" t="s">
        <v>105</v>
      </c>
      <c r="D25" s="66" t="s">
        <v>110</v>
      </c>
      <c r="E25" s="86">
        <v>1229</v>
      </c>
      <c r="F25" s="87">
        <v>1327</v>
      </c>
      <c r="G25" s="87">
        <v>1200</v>
      </c>
      <c r="H25" s="87">
        <v>761.19999999999993</v>
      </c>
      <c r="I25" s="86">
        <v>-173.2</v>
      </c>
      <c r="J25" s="87">
        <v>1206</v>
      </c>
      <c r="K25" s="87">
        <v>1123</v>
      </c>
      <c r="L25" s="87">
        <v>945</v>
      </c>
      <c r="M25" s="87">
        <v>1124</v>
      </c>
      <c r="N25" s="87">
        <v>908</v>
      </c>
      <c r="O25" s="87">
        <v>460</v>
      </c>
      <c r="P25" s="87">
        <v>483</v>
      </c>
      <c r="Q25" s="88">
        <v>721</v>
      </c>
      <c r="R25" s="87">
        <v>693</v>
      </c>
      <c r="S25" s="86">
        <v>314</v>
      </c>
      <c r="T25" s="86">
        <v>745</v>
      </c>
      <c r="U25" s="86">
        <v>763</v>
      </c>
      <c r="V25" s="86">
        <v>665</v>
      </c>
      <c r="W25" s="86">
        <v>659</v>
      </c>
      <c r="X25" s="86">
        <v>577</v>
      </c>
      <c r="Y25" s="87">
        <v>694</v>
      </c>
      <c r="Z25" s="86">
        <v>1039</v>
      </c>
      <c r="AA25" s="86">
        <v>859</v>
      </c>
      <c r="AB25" s="86">
        <v>903</v>
      </c>
      <c r="AC25" s="86">
        <v>884.99999999999989</v>
      </c>
      <c r="AD25" s="89">
        <v>851.8</v>
      </c>
      <c r="AE25" s="88">
        <v>685.6</v>
      </c>
      <c r="AF25" s="88">
        <v>853.40000000000009</v>
      </c>
      <c r="AG25" s="88">
        <v>793.2</v>
      </c>
      <c r="AH25" s="88">
        <v>577.4</v>
      </c>
      <c r="AI25" s="88">
        <v>453.2</v>
      </c>
      <c r="AJ25" s="90">
        <v>800</v>
      </c>
      <c r="AK25" s="87">
        <v>155.6</v>
      </c>
      <c r="AL25" s="87">
        <v>536</v>
      </c>
      <c r="AM25" s="91">
        <f t="shared" si="7"/>
        <v>0.67</v>
      </c>
      <c r="AN25" s="87">
        <f>+AK25+AL25</f>
        <v>691.6</v>
      </c>
      <c r="AO25" s="92">
        <f t="shared" si="8"/>
        <v>0.86450000000000005</v>
      </c>
      <c r="AP25" s="50"/>
      <c r="AQ25" s="50"/>
    </row>
    <row r="26" spans="1:45" ht="12.75" customHeight="1" x14ac:dyDescent="0.25">
      <c r="A26" s="45" t="s">
        <v>172</v>
      </c>
      <c r="B26" s="75" t="s">
        <v>109</v>
      </c>
      <c r="C26" s="76" t="s">
        <v>105</v>
      </c>
      <c r="D26" s="77" t="s">
        <v>111</v>
      </c>
      <c r="E26" s="78">
        <v>1222</v>
      </c>
      <c r="F26" s="79">
        <v>1701</v>
      </c>
      <c r="G26" s="79">
        <v>873</v>
      </c>
      <c r="H26" s="79">
        <v>366</v>
      </c>
      <c r="I26" s="78">
        <v>781</v>
      </c>
      <c r="J26" s="79">
        <v>979.8</v>
      </c>
      <c r="K26" s="79">
        <v>748</v>
      </c>
      <c r="L26" s="79">
        <v>822</v>
      </c>
      <c r="M26" s="79">
        <v>353</v>
      </c>
      <c r="N26" s="79">
        <v>662.8</v>
      </c>
      <c r="O26" s="79">
        <v>594</v>
      </c>
      <c r="P26" s="79">
        <v>640</v>
      </c>
      <c r="Q26" s="80">
        <v>483</v>
      </c>
      <c r="R26" s="79">
        <v>512</v>
      </c>
      <c r="S26" s="78">
        <v>547</v>
      </c>
      <c r="T26" s="78">
        <v>803</v>
      </c>
      <c r="U26" s="78">
        <v>361</v>
      </c>
      <c r="V26" s="78">
        <v>652</v>
      </c>
      <c r="W26" s="78">
        <v>279.39999999999998</v>
      </c>
      <c r="X26" s="78">
        <v>722</v>
      </c>
      <c r="Y26" s="79">
        <v>291</v>
      </c>
      <c r="Z26" s="78">
        <v>1716</v>
      </c>
      <c r="AA26" s="78">
        <v>832</v>
      </c>
      <c r="AB26" s="78">
        <v>746</v>
      </c>
      <c r="AC26" s="78">
        <v>957.39999999999986</v>
      </c>
      <c r="AD26" s="81">
        <v>743.4</v>
      </c>
      <c r="AE26" s="80">
        <v>516.60000000000014</v>
      </c>
      <c r="AF26" s="80">
        <v>497.80000000000007</v>
      </c>
      <c r="AG26" s="80">
        <v>217.8</v>
      </c>
      <c r="AH26" s="80">
        <v>631.40000000000009</v>
      </c>
      <c r="AI26" s="80">
        <v>577.79999999999995</v>
      </c>
      <c r="AJ26" s="82">
        <v>600</v>
      </c>
      <c r="AK26" s="79">
        <v>0</v>
      </c>
      <c r="AL26" s="79">
        <v>192</v>
      </c>
      <c r="AM26" s="83">
        <f t="shared" si="7"/>
        <v>0.32</v>
      </c>
      <c r="AN26" s="79">
        <f>+AK26+AL26</f>
        <v>192</v>
      </c>
      <c r="AO26" s="84">
        <f t="shared" si="8"/>
        <v>0.32</v>
      </c>
      <c r="AP26" s="50"/>
      <c r="AQ26" s="50"/>
    </row>
    <row r="27" spans="1:45" ht="12.75" customHeight="1" thickBot="1" x14ac:dyDescent="0.3">
      <c r="A27" s="45" t="s">
        <v>172</v>
      </c>
      <c r="B27" s="64" t="s">
        <v>112</v>
      </c>
      <c r="C27" s="65" t="s">
        <v>105</v>
      </c>
      <c r="D27" s="66" t="s">
        <v>113</v>
      </c>
      <c r="E27" s="86">
        <v>830</v>
      </c>
      <c r="F27" s="87">
        <v>482</v>
      </c>
      <c r="G27" s="87">
        <v>431</v>
      </c>
      <c r="H27" s="87">
        <v>383.6</v>
      </c>
      <c r="I27" s="86">
        <v>94.4</v>
      </c>
      <c r="J27" s="87">
        <v>1413</v>
      </c>
      <c r="K27" s="87">
        <v>868.8</v>
      </c>
      <c r="L27" s="87">
        <v>279</v>
      </c>
      <c r="M27" s="87">
        <v>624.6</v>
      </c>
      <c r="N27" s="87">
        <v>105</v>
      </c>
      <c r="O27" s="87">
        <v>424.6</v>
      </c>
      <c r="P27" s="87">
        <v>115.19999999999999</v>
      </c>
      <c r="Q27" s="88">
        <v>467.79999999999995</v>
      </c>
      <c r="R27" s="87">
        <v>449.59999999999997</v>
      </c>
      <c r="S27" s="86">
        <v>220</v>
      </c>
      <c r="T27" s="86">
        <v>181.6</v>
      </c>
      <c r="U27" s="86">
        <v>364.6</v>
      </c>
      <c r="V27" s="86">
        <v>784.8</v>
      </c>
      <c r="W27" s="86">
        <v>721.60000000000014</v>
      </c>
      <c r="X27" s="86">
        <v>260.8</v>
      </c>
      <c r="Y27" s="87">
        <v>276</v>
      </c>
      <c r="Z27" s="86">
        <v>1008.2</v>
      </c>
      <c r="AA27" s="86">
        <v>808.6</v>
      </c>
      <c r="AB27" s="86">
        <v>785.59999999999991</v>
      </c>
      <c r="AC27" s="86">
        <v>705.6</v>
      </c>
      <c r="AD27" s="89">
        <v>505.6</v>
      </c>
      <c r="AE27" s="88">
        <v>567.79999999999995</v>
      </c>
      <c r="AF27" s="88">
        <v>353.20000000000005</v>
      </c>
      <c r="AG27" s="88">
        <v>358.20000000000005</v>
      </c>
      <c r="AH27" s="88">
        <v>952.19999999999982</v>
      </c>
      <c r="AI27" s="88">
        <v>760.6</v>
      </c>
      <c r="AJ27" s="90">
        <v>500</v>
      </c>
      <c r="AK27" s="87">
        <v>36.400000000000006</v>
      </c>
      <c r="AL27" s="87">
        <v>444.80000000000007</v>
      </c>
      <c r="AM27" s="91">
        <f t="shared" si="7"/>
        <v>0.88960000000000017</v>
      </c>
      <c r="AN27" s="87">
        <f t="shared" ref="AN27" si="10">+AK27+AL27</f>
        <v>481.20000000000005</v>
      </c>
      <c r="AO27" s="92">
        <f t="shared" si="8"/>
        <v>0.96240000000000014</v>
      </c>
      <c r="AP27" s="50"/>
      <c r="AQ27" s="50"/>
    </row>
    <row r="28" spans="1:45" s="109" customFormat="1" ht="12.75" customHeight="1" thickBot="1" x14ac:dyDescent="0.35">
      <c r="A28" s="45" t="s">
        <v>172</v>
      </c>
      <c r="B28" s="98"/>
      <c r="C28" s="99"/>
      <c r="D28" s="100" t="s">
        <v>114</v>
      </c>
      <c r="E28" s="101">
        <f t="shared" ref="E28:AD28" si="11">+SUM(E23:E27)</f>
        <v>5768.6</v>
      </c>
      <c r="F28" s="102">
        <f t="shared" si="11"/>
        <v>6069.7999999999993</v>
      </c>
      <c r="G28" s="102">
        <f t="shared" si="11"/>
        <v>3962</v>
      </c>
      <c r="H28" s="102">
        <f t="shared" si="11"/>
        <v>2510.6</v>
      </c>
      <c r="I28" s="102">
        <f t="shared" si="11"/>
        <v>1411</v>
      </c>
      <c r="J28" s="102">
        <f t="shared" si="11"/>
        <v>6431.4</v>
      </c>
      <c r="K28" s="102">
        <f t="shared" si="11"/>
        <v>4174.6000000000004</v>
      </c>
      <c r="L28" s="102">
        <f t="shared" si="11"/>
        <v>3458.8</v>
      </c>
      <c r="M28" s="102">
        <f t="shared" si="11"/>
        <v>3824.4</v>
      </c>
      <c r="N28" s="102">
        <f t="shared" si="11"/>
        <v>2882.8</v>
      </c>
      <c r="O28" s="102">
        <f t="shared" si="11"/>
        <v>2561</v>
      </c>
      <c r="P28" s="102">
        <f t="shared" si="11"/>
        <v>2015.8</v>
      </c>
      <c r="Q28" s="103">
        <f t="shared" si="11"/>
        <v>2817.2</v>
      </c>
      <c r="R28" s="102">
        <f t="shared" si="11"/>
        <v>2454.8000000000002</v>
      </c>
      <c r="S28" s="101">
        <f t="shared" si="11"/>
        <v>2336</v>
      </c>
      <c r="T28" s="101">
        <f t="shared" si="11"/>
        <v>2864.2</v>
      </c>
      <c r="U28" s="101">
        <f t="shared" si="11"/>
        <v>3329.2</v>
      </c>
      <c r="V28" s="101">
        <f t="shared" si="11"/>
        <v>3929.3999999999996</v>
      </c>
      <c r="W28" s="101">
        <f t="shared" si="11"/>
        <v>2781.8</v>
      </c>
      <c r="X28" s="101">
        <f t="shared" si="11"/>
        <v>3003.6000000000004</v>
      </c>
      <c r="Y28" s="102">
        <f t="shared" si="11"/>
        <v>2760.4</v>
      </c>
      <c r="Z28" s="101">
        <f t="shared" si="11"/>
        <v>7232</v>
      </c>
      <c r="AA28" s="101">
        <f t="shared" si="11"/>
        <v>5815.2000000000007</v>
      </c>
      <c r="AB28" s="101">
        <f t="shared" si="11"/>
        <v>4504.2</v>
      </c>
      <c r="AC28" s="101">
        <f t="shared" si="11"/>
        <v>4840.7999999999993</v>
      </c>
      <c r="AD28" s="104">
        <f t="shared" si="11"/>
        <v>3755.8</v>
      </c>
      <c r="AE28" s="103">
        <v>3626.8</v>
      </c>
      <c r="AF28" s="103">
        <v>2980.2</v>
      </c>
      <c r="AG28" s="103">
        <v>2786.8</v>
      </c>
      <c r="AH28" s="103">
        <v>3251.4</v>
      </c>
      <c r="AI28" s="103">
        <v>3313</v>
      </c>
      <c r="AJ28" s="105">
        <v>3500</v>
      </c>
      <c r="AK28" s="102">
        <f>+SUM(AK23:AK27)</f>
        <v>256</v>
      </c>
      <c r="AL28" s="102">
        <f>+SUM(AL23:AL27)</f>
        <v>1860.6000000000004</v>
      </c>
      <c r="AM28" s="106">
        <f t="shared" si="7"/>
        <v>0.53160000000000007</v>
      </c>
      <c r="AN28" s="102">
        <f>+SUM(AN23:AN27)</f>
        <v>2116.6000000000004</v>
      </c>
      <c r="AO28" s="107">
        <f t="shared" si="8"/>
        <v>0.60474285714285725</v>
      </c>
      <c r="AP28" s="49"/>
      <c r="AQ28" s="49"/>
      <c r="AR28" s="108"/>
      <c r="AS28" s="47"/>
    </row>
    <row r="29" spans="1:45" ht="12.75" customHeight="1" thickBot="1" x14ac:dyDescent="0.3">
      <c r="A29" s="45" t="s">
        <v>172</v>
      </c>
      <c r="B29" s="64" t="s">
        <v>115</v>
      </c>
      <c r="C29" s="65" t="s">
        <v>105</v>
      </c>
      <c r="D29" s="66" t="s">
        <v>116</v>
      </c>
      <c r="E29" s="86">
        <v>2186.9999999999986</v>
      </c>
      <c r="F29" s="87">
        <v>1278.1999999999989</v>
      </c>
      <c r="G29" s="87">
        <v>2437.0000000000018</v>
      </c>
      <c r="H29" s="87">
        <v>1105.7999999999993</v>
      </c>
      <c r="I29" s="86">
        <v>-2.3999999999999968</v>
      </c>
      <c r="J29" s="87">
        <v>107.2</v>
      </c>
      <c r="K29" s="87">
        <v>250.40000000000003</v>
      </c>
      <c r="L29" s="87">
        <v>730.39999999999884</v>
      </c>
      <c r="M29" s="87">
        <v>524.80000000000018</v>
      </c>
      <c r="N29" s="87">
        <v>519.00000000000045</v>
      </c>
      <c r="O29" s="87">
        <v>571.60000000000025</v>
      </c>
      <c r="P29" s="87">
        <v>463.20000000000033</v>
      </c>
      <c r="Q29" s="88">
        <v>1564.9999999999991</v>
      </c>
      <c r="R29" s="87">
        <v>1148.3999999999987</v>
      </c>
      <c r="S29" s="86">
        <v>873.99999999999943</v>
      </c>
      <c r="T29" s="86">
        <v>1016.5999999999982</v>
      </c>
      <c r="U29" s="86">
        <v>1033.9999999999984</v>
      </c>
      <c r="V29" s="86">
        <v>627.40000000000032</v>
      </c>
      <c r="W29" s="86">
        <v>1426.7999999999965</v>
      </c>
      <c r="X29" s="86">
        <v>740.99999999999955</v>
      </c>
      <c r="Y29" s="87">
        <v>189.40000000000006</v>
      </c>
      <c r="Z29" s="86">
        <v>604.2000000000005</v>
      </c>
      <c r="AA29" s="86">
        <v>391.19999999999993</v>
      </c>
      <c r="AB29" s="86">
        <v>203.40000000000003</v>
      </c>
      <c r="AC29" s="86">
        <v>535.20000000000027</v>
      </c>
      <c r="AD29" s="89">
        <v>318.60000000000031</v>
      </c>
      <c r="AE29" s="88">
        <v>-0.99999999999999822</v>
      </c>
      <c r="AF29" s="88">
        <v>85.199999999999989</v>
      </c>
      <c r="AG29" s="88">
        <v>249.20000000000007</v>
      </c>
      <c r="AH29" s="88">
        <v>328.20000000000005</v>
      </c>
      <c r="AI29" s="88">
        <v>298.2</v>
      </c>
      <c r="AJ29" s="90">
        <v>500</v>
      </c>
      <c r="AK29" s="87">
        <v>59</v>
      </c>
      <c r="AL29" s="87">
        <v>42.599999999999994</v>
      </c>
      <c r="AM29" s="91">
        <f>IFERROR(AL29/AJ29,0)</f>
        <v>8.5199999999999984E-2</v>
      </c>
      <c r="AN29" s="87">
        <f>+AK29+AL29</f>
        <v>101.6</v>
      </c>
      <c r="AO29" s="92">
        <f>IFERROR(+AN29/AJ29,0)</f>
        <v>0.20319999999999999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 t="s">
        <v>172</v>
      </c>
      <c r="B30" s="98"/>
      <c r="C30" s="99"/>
      <c r="D30" s="100" t="s">
        <v>118</v>
      </c>
      <c r="E30" s="102">
        <f t="shared" ref="E30:AK30" si="12">+SUM(E29)</f>
        <v>2186.9999999999986</v>
      </c>
      <c r="F30" s="102">
        <f t="shared" si="12"/>
        <v>1278.1999999999989</v>
      </c>
      <c r="G30" s="102">
        <f t="shared" si="12"/>
        <v>2437.0000000000018</v>
      </c>
      <c r="H30" s="102">
        <f t="shared" si="12"/>
        <v>1105.7999999999993</v>
      </c>
      <c r="I30" s="102">
        <f t="shared" si="12"/>
        <v>-2.3999999999999968</v>
      </c>
      <c r="J30" s="102">
        <f t="shared" si="12"/>
        <v>107.2</v>
      </c>
      <c r="K30" s="102">
        <f t="shared" si="12"/>
        <v>250.40000000000003</v>
      </c>
      <c r="L30" s="102">
        <f t="shared" si="12"/>
        <v>730.39999999999884</v>
      </c>
      <c r="M30" s="102">
        <f t="shared" si="12"/>
        <v>524.80000000000018</v>
      </c>
      <c r="N30" s="102">
        <f t="shared" si="12"/>
        <v>519.00000000000045</v>
      </c>
      <c r="O30" s="102">
        <f t="shared" si="12"/>
        <v>571.60000000000025</v>
      </c>
      <c r="P30" s="102">
        <f t="shared" si="12"/>
        <v>463.20000000000033</v>
      </c>
      <c r="Q30" s="102">
        <f t="shared" si="12"/>
        <v>1564.9999999999991</v>
      </c>
      <c r="R30" s="102">
        <f t="shared" si="12"/>
        <v>1148.3999999999987</v>
      </c>
      <c r="S30" s="102">
        <v>873.99999999999943</v>
      </c>
      <c r="T30" s="102">
        <f t="shared" si="12"/>
        <v>1016.5999999999982</v>
      </c>
      <c r="U30" s="102">
        <f t="shared" si="12"/>
        <v>1033.9999999999984</v>
      </c>
      <c r="V30" s="102">
        <f t="shared" si="12"/>
        <v>627.40000000000032</v>
      </c>
      <c r="W30" s="102">
        <v>1426.7999999999965</v>
      </c>
      <c r="X30" s="102">
        <f t="shared" si="12"/>
        <v>740.99999999999955</v>
      </c>
      <c r="Y30" s="102">
        <v>189.40000000000006</v>
      </c>
      <c r="Z30" s="102">
        <v>604.2000000000005</v>
      </c>
      <c r="AA30" s="102">
        <v>391.19999999999993</v>
      </c>
      <c r="AB30" s="102">
        <v>203.40000000000003</v>
      </c>
      <c r="AC30" s="102">
        <v>535.20000000000027</v>
      </c>
      <c r="AD30" s="103">
        <v>318.60000000000031</v>
      </c>
      <c r="AE30" s="103">
        <v>-0.99999999999999822</v>
      </c>
      <c r="AF30" s="103">
        <v>85.199999999999989</v>
      </c>
      <c r="AG30" s="103">
        <v>249.20000000000007</v>
      </c>
      <c r="AH30" s="103">
        <v>328.20000000000005</v>
      </c>
      <c r="AI30" s="103">
        <v>298.2</v>
      </c>
      <c r="AJ30" s="105">
        <v>500</v>
      </c>
      <c r="AK30" s="102">
        <f t="shared" si="12"/>
        <v>59</v>
      </c>
      <c r="AL30" s="102">
        <f>+SUM(AL29)</f>
        <v>42.599999999999994</v>
      </c>
      <c r="AM30" s="106">
        <f t="shared" ref="AM30" si="13">IFERROR(AL30/AJ30,0)</f>
        <v>8.5199999999999984E-2</v>
      </c>
      <c r="AN30" s="102">
        <f>+SUM(AN29)</f>
        <v>101.6</v>
      </c>
      <c r="AO30" s="107">
        <f t="shared" ref="AO30" si="14">IFERROR(+AN30/AJ30,0)</f>
        <v>0.20319999999999999</v>
      </c>
      <c r="AP30" s="49"/>
      <c r="AQ30" s="49"/>
      <c r="AR30" s="108"/>
      <c r="AS30" s="47"/>
    </row>
    <row r="31" spans="1:45" ht="12.75" customHeight="1" x14ac:dyDescent="0.25">
      <c r="A31" s="45" t="s">
        <v>172</v>
      </c>
      <c r="B31" s="75" t="s">
        <v>119</v>
      </c>
      <c r="C31" s="76" t="s">
        <v>120</v>
      </c>
      <c r="D31" s="77" t="s">
        <v>121</v>
      </c>
      <c r="E31" s="116">
        <v>14</v>
      </c>
      <c r="F31" s="117">
        <v>65.2</v>
      </c>
      <c r="G31" s="117">
        <v>0</v>
      </c>
      <c r="H31" s="117">
        <v>0</v>
      </c>
      <c r="I31" s="117">
        <v>0</v>
      </c>
      <c r="J31" s="117">
        <v>28</v>
      </c>
      <c r="K31" s="117">
        <v>0</v>
      </c>
      <c r="L31" s="117">
        <v>53.6</v>
      </c>
      <c r="M31" s="117">
        <v>42</v>
      </c>
      <c r="N31" s="117">
        <v>0</v>
      </c>
      <c r="O31" s="117">
        <v>0</v>
      </c>
      <c r="P31" s="117">
        <v>14</v>
      </c>
      <c r="Q31" s="118">
        <v>14</v>
      </c>
      <c r="R31" s="117">
        <v>28</v>
      </c>
      <c r="S31" s="116">
        <v>0</v>
      </c>
      <c r="T31" s="116">
        <v>0</v>
      </c>
      <c r="U31" s="116">
        <v>0</v>
      </c>
      <c r="V31" s="116">
        <v>0</v>
      </c>
      <c r="W31" s="116">
        <v>28</v>
      </c>
      <c r="X31" s="116">
        <v>0</v>
      </c>
      <c r="Y31" s="117">
        <v>0</v>
      </c>
      <c r="Z31" s="116">
        <v>222.20000000000005</v>
      </c>
      <c r="AA31" s="116">
        <v>225.59999999999997</v>
      </c>
      <c r="AB31" s="116">
        <v>58.000000000000007</v>
      </c>
      <c r="AC31" s="116">
        <v>186.4</v>
      </c>
      <c r="AD31" s="119">
        <v>57.599999999999994</v>
      </c>
      <c r="AE31" s="118">
        <v>78</v>
      </c>
      <c r="AF31" s="118">
        <v>20.399999999999999</v>
      </c>
      <c r="AG31" s="118">
        <v>21</v>
      </c>
      <c r="AH31" s="118">
        <v>62</v>
      </c>
      <c r="AI31" s="118">
        <v>23.200000000000003</v>
      </c>
      <c r="AJ31" s="191">
        <v>0</v>
      </c>
      <c r="AK31" s="117">
        <v>0</v>
      </c>
      <c r="AL31" s="117">
        <v>5.4</v>
      </c>
      <c r="AM31" s="121">
        <f t="shared" si="0"/>
        <v>0</v>
      </c>
      <c r="AN31" s="117">
        <f t="shared" ref="AN31:AN55" si="15">+AK31+AL31</f>
        <v>5.4</v>
      </c>
      <c r="AO31" s="122">
        <f t="shared" si="2"/>
        <v>0</v>
      </c>
      <c r="AP31" s="50"/>
      <c r="AQ31" s="50"/>
    </row>
    <row r="32" spans="1:45" ht="12.75" customHeight="1" thickBot="1" x14ac:dyDescent="0.3">
      <c r="A32" s="45" t="s">
        <v>172</v>
      </c>
      <c r="B32" s="64" t="s">
        <v>119</v>
      </c>
      <c r="C32" s="65" t="s">
        <v>120</v>
      </c>
      <c r="D32" s="66" t="s">
        <v>122</v>
      </c>
      <c r="E32" s="123">
        <v>0</v>
      </c>
      <c r="F32" s="124">
        <v>0</v>
      </c>
      <c r="G32" s="124">
        <v>0</v>
      </c>
      <c r="H32" s="124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24">
        <v>0</v>
      </c>
      <c r="Q32" s="125">
        <v>0</v>
      </c>
      <c r="R32" s="124">
        <v>0</v>
      </c>
      <c r="S32" s="123">
        <v>0</v>
      </c>
      <c r="T32" s="123">
        <v>0</v>
      </c>
      <c r="U32" s="123">
        <v>12.8</v>
      </c>
      <c r="V32" s="123">
        <v>0</v>
      </c>
      <c r="W32" s="123">
        <v>0</v>
      </c>
      <c r="X32" s="123">
        <v>0</v>
      </c>
      <c r="Y32" s="124">
        <v>0</v>
      </c>
      <c r="Z32" s="123">
        <v>0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92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A33" s="45" t="s">
        <v>172</v>
      </c>
      <c r="B33" s="98"/>
      <c r="C33" s="99"/>
      <c r="D33" s="100" t="s">
        <v>124</v>
      </c>
      <c r="E33" s="101">
        <v>14</v>
      </c>
      <c r="F33" s="102">
        <v>65.2</v>
      </c>
      <c r="G33" s="102">
        <v>0</v>
      </c>
      <c r="H33" s="102">
        <v>0</v>
      </c>
      <c r="I33" s="102">
        <v>0</v>
      </c>
      <c r="J33" s="102">
        <v>28</v>
      </c>
      <c r="K33" s="102">
        <v>0</v>
      </c>
      <c r="L33" s="102">
        <v>53.6</v>
      </c>
      <c r="M33" s="102">
        <v>42</v>
      </c>
      <c r="N33" s="102">
        <v>0</v>
      </c>
      <c r="O33" s="102">
        <v>0</v>
      </c>
      <c r="P33" s="102">
        <v>14</v>
      </c>
      <c r="Q33" s="103">
        <v>14</v>
      </c>
      <c r="R33" s="102">
        <v>28</v>
      </c>
      <c r="S33" s="101">
        <v>0</v>
      </c>
      <c r="T33" s="101">
        <v>0</v>
      </c>
      <c r="U33" s="101">
        <v>12.8</v>
      </c>
      <c r="V33" s="101">
        <v>0</v>
      </c>
      <c r="W33" s="101">
        <v>28</v>
      </c>
      <c r="X33" s="101">
        <v>0</v>
      </c>
      <c r="Y33" s="102">
        <v>0</v>
      </c>
      <c r="Z33" s="101">
        <v>222.20000000000005</v>
      </c>
      <c r="AA33" s="101">
        <v>225.59999999999997</v>
      </c>
      <c r="AB33" s="101">
        <v>58.000000000000007</v>
      </c>
      <c r="AC33" s="101">
        <v>186.4</v>
      </c>
      <c r="AD33" s="104">
        <v>57.599999999999994</v>
      </c>
      <c r="AE33" s="103">
        <v>78</v>
      </c>
      <c r="AF33" s="103">
        <v>20.399999999999999</v>
      </c>
      <c r="AG33" s="103">
        <v>21</v>
      </c>
      <c r="AH33" s="103">
        <v>62</v>
      </c>
      <c r="AI33" s="103">
        <v>23.200000000000003</v>
      </c>
      <c r="AJ33" s="105">
        <v>0</v>
      </c>
      <c r="AK33" s="102">
        <f>+AK31+AK32</f>
        <v>0</v>
      </c>
      <c r="AL33" s="102">
        <f>+AL31+AL32</f>
        <v>5.4</v>
      </c>
      <c r="AM33" s="106">
        <f t="shared" si="0"/>
        <v>0</v>
      </c>
      <c r="AN33" s="102">
        <f>+AN31+AN32</f>
        <v>5.4</v>
      </c>
      <c r="AO33" s="107">
        <f t="shared" si="2"/>
        <v>0</v>
      </c>
      <c r="AP33" s="50"/>
      <c r="AQ33" s="50"/>
    </row>
    <row r="34" spans="1:48" ht="12.75" hidden="1" customHeight="1" thickBot="1" x14ac:dyDescent="0.3">
      <c r="A34" s="45" t="s">
        <v>172</v>
      </c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>
        <v>0</v>
      </c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5" t="s">
        <v>172</v>
      </c>
      <c r="B35" s="75" t="s">
        <v>29</v>
      </c>
      <c r="C35" s="76" t="s">
        <v>126</v>
      </c>
      <c r="D35" s="77" t="s">
        <v>127</v>
      </c>
      <c r="E35" s="78">
        <v>4074.9999999999995</v>
      </c>
      <c r="F35" s="79">
        <v>3730.1999999999966</v>
      </c>
      <c r="G35" s="79">
        <v>5131.0000000000018</v>
      </c>
      <c r="H35" s="79">
        <v>3022.0000000000014</v>
      </c>
      <c r="I35" s="79" t="s">
        <v>126</v>
      </c>
      <c r="J35" s="79">
        <v>5902.4000000000033</v>
      </c>
      <c r="K35" s="79">
        <v>472.00000000000028</v>
      </c>
      <c r="L35" s="79">
        <v>662.6</v>
      </c>
      <c r="M35" s="79">
        <v>452.79999999999995</v>
      </c>
      <c r="N35" s="79">
        <v>472.60000000000008</v>
      </c>
      <c r="O35" s="79">
        <v>468.20000000000005</v>
      </c>
      <c r="P35" s="79">
        <v>717</v>
      </c>
      <c r="Q35" s="80">
        <v>456.40000000000015</v>
      </c>
      <c r="R35" s="79">
        <v>1292.1999999999998</v>
      </c>
      <c r="S35" s="78">
        <v>886</v>
      </c>
      <c r="T35" s="78">
        <v>520</v>
      </c>
      <c r="U35" s="78">
        <v>750.19999999999982</v>
      </c>
      <c r="V35" s="78">
        <v>724.60000000000014</v>
      </c>
      <c r="W35" s="78">
        <v>1333.9999999999998</v>
      </c>
      <c r="X35" s="78">
        <v>678.99999999999989</v>
      </c>
      <c r="Y35" s="79">
        <v>1440.5999999999992</v>
      </c>
      <c r="Z35" s="78">
        <v>1500.399999999999</v>
      </c>
      <c r="AA35" s="78">
        <v>800.59999999999889</v>
      </c>
      <c r="AB35" s="78">
        <v>2399.0000000000036</v>
      </c>
      <c r="AC35" s="78">
        <v>1442.1999999999991</v>
      </c>
      <c r="AD35" s="81">
        <v>1186.1999999999998</v>
      </c>
      <c r="AE35" s="80">
        <v>1780.799999999999</v>
      </c>
      <c r="AF35" s="80">
        <v>1600.7999999999975</v>
      </c>
      <c r="AG35" s="80">
        <v>1688.3999999999985</v>
      </c>
      <c r="AH35" s="80">
        <v>1824.799999999997</v>
      </c>
      <c r="AI35" s="80">
        <v>1788.1999999999978</v>
      </c>
      <c r="AJ35" s="114">
        <v>1900</v>
      </c>
      <c r="AK35" s="79">
        <v>565.6</v>
      </c>
      <c r="AL35" s="79">
        <v>631</v>
      </c>
      <c r="AM35" s="83">
        <f t="shared" ref="AM35:AM56" si="16">IFERROR(AL35/AJ35,0)</f>
        <v>0.33210526315789474</v>
      </c>
      <c r="AN35" s="79">
        <f t="shared" ref="AN35:AN36" si="17">+AK35+AL35</f>
        <v>1196.5999999999999</v>
      </c>
      <c r="AO35" s="84">
        <f t="shared" ref="AO35:AO51" si="18">IFERROR(+AN35/AJ35,0)</f>
        <v>0.62978947368421045</v>
      </c>
      <c r="AP35" s="50"/>
      <c r="AQ35" s="50"/>
    </row>
    <row r="36" spans="1:48" ht="12.75" customHeight="1" thickBot="1" x14ac:dyDescent="0.3">
      <c r="A36" s="45" t="s">
        <v>172</v>
      </c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227</v>
      </c>
      <c r="U36" s="123">
        <v>268</v>
      </c>
      <c r="V36" s="123">
        <v>134</v>
      </c>
      <c r="W36" s="123">
        <v>313</v>
      </c>
      <c r="X36" s="123">
        <v>58</v>
      </c>
      <c r="Y36" s="124">
        <v>410</v>
      </c>
      <c r="Z36" s="123">
        <v>309</v>
      </c>
      <c r="AA36" s="123">
        <v>176.39999999999998</v>
      </c>
      <c r="AB36" s="123">
        <v>701.2</v>
      </c>
      <c r="AC36" s="123">
        <v>-21.2</v>
      </c>
      <c r="AD36" s="126">
        <v>120</v>
      </c>
      <c r="AE36" s="125">
        <v>0</v>
      </c>
      <c r="AF36" s="125">
        <v>372</v>
      </c>
      <c r="AG36" s="125">
        <v>58</v>
      </c>
      <c r="AH36" s="125">
        <v>309.7999999999999</v>
      </c>
      <c r="AI36" s="125">
        <v>20.799999999999997</v>
      </c>
      <c r="AJ36" s="127">
        <v>100</v>
      </c>
      <c r="AK36" s="124">
        <v>216.4</v>
      </c>
      <c r="AL36" s="124">
        <v>183.8</v>
      </c>
      <c r="AM36" s="128">
        <f t="shared" si="16"/>
        <v>1.8380000000000001</v>
      </c>
      <c r="AN36" s="124">
        <f t="shared" si="17"/>
        <v>400.20000000000005</v>
      </c>
      <c r="AO36" s="129">
        <f t="shared" si="18"/>
        <v>4.0020000000000007</v>
      </c>
      <c r="AP36" s="50">
        <v>100002258</v>
      </c>
      <c r="AQ36" s="50"/>
    </row>
    <row r="37" spans="1:48" s="109" customFormat="1" ht="12.75" customHeight="1" thickBot="1" x14ac:dyDescent="0.35">
      <c r="A37" s="45" t="s">
        <v>172</v>
      </c>
      <c r="B37" s="98"/>
      <c r="C37" s="99"/>
      <c r="D37" s="100" t="s">
        <v>129</v>
      </c>
      <c r="E37" s="101">
        <v>4074.9999999999995</v>
      </c>
      <c r="F37" s="102">
        <v>3730.1999999999966</v>
      </c>
      <c r="G37" s="102">
        <v>5131.0000000000018</v>
      </c>
      <c r="H37" s="102">
        <v>3022.0000000000014</v>
      </c>
      <c r="I37" s="102">
        <v>1407</v>
      </c>
      <c r="J37" s="102">
        <v>5902.4000000000033</v>
      </c>
      <c r="K37" s="102">
        <v>472.00000000000028</v>
      </c>
      <c r="L37" s="102">
        <v>662.6</v>
      </c>
      <c r="M37" s="102">
        <v>452.79999999999995</v>
      </c>
      <c r="N37" s="102">
        <v>472.60000000000008</v>
      </c>
      <c r="O37" s="102">
        <v>468.20000000000005</v>
      </c>
      <c r="P37" s="102">
        <v>717</v>
      </c>
      <c r="Q37" s="103">
        <v>456.40000000000015</v>
      </c>
      <c r="R37" s="102">
        <v>1292.1999999999998</v>
      </c>
      <c r="S37" s="101">
        <v>886</v>
      </c>
      <c r="T37" s="101">
        <v>747</v>
      </c>
      <c r="U37" s="101">
        <v>1018.1999999999998</v>
      </c>
      <c r="V37" s="101">
        <v>858.60000000000014</v>
      </c>
      <c r="W37" s="101">
        <v>1646.9999999999998</v>
      </c>
      <c r="X37" s="101">
        <v>736.99999999999989</v>
      </c>
      <c r="Y37" s="102">
        <v>1850.5999999999992</v>
      </c>
      <c r="Z37" s="101">
        <v>1809.399999999999</v>
      </c>
      <c r="AA37" s="101">
        <v>976.99999999999886</v>
      </c>
      <c r="AB37" s="101">
        <v>3100.2000000000035</v>
      </c>
      <c r="AC37" s="101">
        <v>1420.9999999999991</v>
      </c>
      <c r="AD37" s="104">
        <v>1306.1999999999998</v>
      </c>
      <c r="AE37" s="103">
        <v>1780.799999999999</v>
      </c>
      <c r="AF37" s="103">
        <v>1972.7999999999975</v>
      </c>
      <c r="AG37" s="103">
        <v>1746.3999999999985</v>
      </c>
      <c r="AH37" s="103">
        <v>2134.5999999999967</v>
      </c>
      <c r="AI37" s="103">
        <v>1808.9999999999977</v>
      </c>
      <c r="AJ37" s="105">
        <v>2000</v>
      </c>
      <c r="AK37" s="105">
        <f t="shared" ref="AK37:AL37" si="19">+SUM(AK34:AK36)</f>
        <v>782</v>
      </c>
      <c r="AL37" s="105">
        <f t="shared" si="19"/>
        <v>814.8</v>
      </c>
      <c r="AM37" s="106">
        <f t="shared" si="16"/>
        <v>0.40739999999999998</v>
      </c>
      <c r="AN37" s="105">
        <f t="shared" ref="AN37" si="20">+SUM(AN34:AN36)</f>
        <v>1596.8</v>
      </c>
      <c r="AO37" s="107">
        <f t="shared" si="18"/>
        <v>0.7984</v>
      </c>
      <c r="AP37" s="49"/>
      <c r="AQ37" s="49"/>
      <c r="AR37" s="108"/>
      <c r="AS37" s="47"/>
    </row>
    <row r="38" spans="1:48" ht="12.75" customHeight="1" x14ac:dyDescent="0.25">
      <c r="A38" s="47" t="s">
        <v>172</v>
      </c>
      <c r="B38" s="75" t="s">
        <v>130</v>
      </c>
      <c r="C38" s="76" t="s">
        <v>126</v>
      </c>
      <c r="D38" s="77" t="s">
        <v>131</v>
      </c>
      <c r="E38" s="130">
        <v>1360.8</v>
      </c>
      <c r="F38" s="131">
        <v>78.999999999999986</v>
      </c>
      <c r="G38" s="79">
        <v>1029</v>
      </c>
      <c r="H38" s="79">
        <v>2041.6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57.999999999999993</v>
      </c>
      <c r="O38" s="79">
        <v>63.8</v>
      </c>
      <c r="P38" s="79">
        <v>40.599999999999994</v>
      </c>
      <c r="Q38" s="79">
        <v>34.799999999999997</v>
      </c>
      <c r="R38" s="79">
        <v>58.199999999999996</v>
      </c>
      <c r="S38" s="79">
        <v>5.8</v>
      </c>
      <c r="T38" s="81">
        <v>185.6</v>
      </c>
      <c r="U38" s="79">
        <v>55.8</v>
      </c>
      <c r="V38" s="79">
        <v>56.799999999999983</v>
      </c>
      <c r="W38" s="79">
        <v>-17.399999999999999</v>
      </c>
      <c r="X38" s="79">
        <v>141.59999999999997</v>
      </c>
      <c r="Y38" s="79">
        <v>59.2</v>
      </c>
      <c r="Z38" s="79">
        <v>188</v>
      </c>
      <c r="AA38" s="78">
        <v>73.799999999999983</v>
      </c>
      <c r="AB38" s="79">
        <v>223.60000000000005</v>
      </c>
      <c r="AC38" s="78">
        <v>197.6</v>
      </c>
      <c r="AD38" s="81">
        <v>197</v>
      </c>
      <c r="AE38" s="80">
        <v>195.40000000000006</v>
      </c>
      <c r="AF38" s="80">
        <v>213.59999999999997</v>
      </c>
      <c r="AG38" s="80">
        <v>113.59999999999997</v>
      </c>
      <c r="AH38" s="80">
        <v>253.8</v>
      </c>
      <c r="AI38" s="80">
        <v>115.19999999999999</v>
      </c>
      <c r="AJ38" s="114">
        <v>200</v>
      </c>
      <c r="AK38" s="79">
        <v>41.4</v>
      </c>
      <c r="AL38" s="79">
        <v>72.199999999999974</v>
      </c>
      <c r="AM38" s="83">
        <f t="shared" si="16"/>
        <v>0.36099999999999988</v>
      </c>
      <c r="AN38" s="79">
        <f>+AK38+AL38</f>
        <v>113.59999999999997</v>
      </c>
      <c r="AO38" s="84">
        <f t="shared" si="18"/>
        <v>0.56799999999999984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9"/>
      <c r="U39" s="87"/>
      <c r="V39" s="87"/>
      <c r="W39" s="87"/>
      <c r="X39" s="87"/>
      <c r="Y39" s="87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si="18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172</v>
      </c>
      <c r="B40" s="75" t="s">
        <v>132</v>
      </c>
      <c r="C40" s="136" t="s">
        <v>128</v>
      </c>
      <c r="D40" s="77" t="s">
        <v>134</v>
      </c>
      <c r="E40" s="130">
        <v>0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889.9999999999992</v>
      </c>
      <c r="T40" s="80">
        <v>825.19999999999891</v>
      </c>
      <c r="U40" s="80">
        <v>1516.9999999999984</v>
      </c>
      <c r="V40" s="80">
        <v>430.00000000000017</v>
      </c>
      <c r="W40" s="80">
        <v>577.60000000000025</v>
      </c>
      <c r="X40" s="80">
        <v>982.99999999999966</v>
      </c>
      <c r="Y40" s="80">
        <v>1094.799999999999</v>
      </c>
      <c r="Z40" s="79">
        <v>1303.7999999999986</v>
      </c>
      <c r="AA40" s="78">
        <v>736.39999999999975</v>
      </c>
      <c r="AB40" s="79">
        <v>2455.0000000000082</v>
      </c>
      <c r="AC40" s="78">
        <v>1799.1999999999987</v>
      </c>
      <c r="AD40" s="81">
        <v>1154.7999999999972</v>
      </c>
      <c r="AE40" s="80">
        <v>1331.7999999999968</v>
      </c>
      <c r="AF40" s="80">
        <v>2268.0000000000018</v>
      </c>
      <c r="AG40" s="80">
        <v>1495.7999999999979</v>
      </c>
      <c r="AH40" s="80">
        <v>3758.6000000000199</v>
      </c>
      <c r="AI40" s="80">
        <v>1084.5999999999988</v>
      </c>
      <c r="AJ40" s="82">
        <v>2700</v>
      </c>
      <c r="AK40" s="79">
        <v>573.79999999999973</v>
      </c>
      <c r="AL40" s="79">
        <v>1683.7999999999979</v>
      </c>
      <c r="AM40" s="83">
        <f t="shared" si="16"/>
        <v>0.62362962962962887</v>
      </c>
      <c r="AN40" s="79">
        <f>+AK40+AL40</f>
        <v>2257.5999999999976</v>
      </c>
      <c r="AO40" s="84">
        <f t="shared" si="18"/>
        <v>0.83614814814814731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172</v>
      </c>
      <c r="B41" s="64" t="s">
        <v>132</v>
      </c>
      <c r="C41" s="134" t="s">
        <v>131</v>
      </c>
      <c r="D41" s="66" t="s">
        <v>135</v>
      </c>
      <c r="E41" s="135">
        <v>3586</v>
      </c>
      <c r="F41" s="87">
        <v>2816</v>
      </c>
      <c r="G41" s="87">
        <v>3454</v>
      </c>
      <c r="H41" s="87">
        <v>545.19999999999993</v>
      </c>
      <c r="I41" s="87">
        <v>0</v>
      </c>
      <c r="J41" s="87">
        <v>1429</v>
      </c>
      <c r="K41" s="87">
        <v>5569</v>
      </c>
      <c r="L41" s="87">
        <v>763</v>
      </c>
      <c r="M41" s="87">
        <v>1616</v>
      </c>
      <c r="N41" s="87">
        <v>770</v>
      </c>
      <c r="O41" s="87">
        <v>2816</v>
      </c>
      <c r="P41" s="87">
        <v>638</v>
      </c>
      <c r="Q41" s="87">
        <v>1627</v>
      </c>
      <c r="R41" s="87">
        <v>100.79999999999998</v>
      </c>
      <c r="S41" s="87">
        <v>1112.2</v>
      </c>
      <c r="T41" s="88">
        <v>1870</v>
      </c>
      <c r="U41" s="88">
        <v>2046</v>
      </c>
      <c r="V41" s="88">
        <v>862</v>
      </c>
      <c r="W41" s="88">
        <v>1366</v>
      </c>
      <c r="X41" s="88">
        <v>1408</v>
      </c>
      <c r="Y41" s="88">
        <v>1408</v>
      </c>
      <c r="Z41" s="87">
        <v>0</v>
      </c>
      <c r="AA41" s="86">
        <v>1147.8</v>
      </c>
      <c r="AB41" s="87">
        <v>1988.8</v>
      </c>
      <c r="AC41" s="86">
        <v>1112.4000000000001</v>
      </c>
      <c r="AD41" s="89">
        <v>1870</v>
      </c>
      <c r="AE41" s="88">
        <v>2108</v>
      </c>
      <c r="AF41" s="88">
        <v>1436</v>
      </c>
      <c r="AG41" s="88">
        <v>580</v>
      </c>
      <c r="AH41" s="88">
        <v>1832.6</v>
      </c>
      <c r="AI41" s="88">
        <v>908</v>
      </c>
      <c r="AJ41" s="115">
        <v>2200</v>
      </c>
      <c r="AK41" s="87">
        <v>0</v>
      </c>
      <c r="AL41" s="87">
        <v>1870</v>
      </c>
      <c r="AM41" s="91">
        <f t="shared" si="16"/>
        <v>0.85</v>
      </c>
      <c r="AN41" s="87">
        <f>+AK41+AL41</f>
        <v>1870</v>
      </c>
      <c r="AO41" s="92">
        <f t="shared" si="18"/>
        <v>0.85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172</v>
      </c>
      <c r="B42" s="75" t="s">
        <v>132</v>
      </c>
      <c r="C42" s="136" t="s">
        <v>136</v>
      </c>
      <c r="D42" s="77" t="s">
        <v>137</v>
      </c>
      <c r="E42" s="130">
        <v>2795.5999999999995</v>
      </c>
      <c r="F42" s="79">
        <v>2586.8000000000011</v>
      </c>
      <c r="G42" s="79">
        <v>3349.2</v>
      </c>
      <c r="H42" s="79">
        <v>3430</v>
      </c>
      <c r="I42" s="79">
        <v>-32.599999999999994</v>
      </c>
      <c r="J42" s="79">
        <v>41.8</v>
      </c>
      <c r="K42" s="79">
        <v>5249</v>
      </c>
      <c r="L42" s="79">
        <v>3103.9999999999995</v>
      </c>
      <c r="M42" s="79">
        <v>228.39999999999998</v>
      </c>
      <c r="N42" s="79">
        <v>702.19999999999982</v>
      </c>
      <c r="O42" s="79">
        <v>1113.9999999999995</v>
      </c>
      <c r="P42" s="79">
        <v>16.2</v>
      </c>
      <c r="Q42" s="79">
        <v>626.4</v>
      </c>
      <c r="R42" s="79">
        <v>2084.7999999999997</v>
      </c>
      <c r="S42" s="79">
        <v>2102</v>
      </c>
      <c r="T42" s="80">
        <v>1241.1999999999996</v>
      </c>
      <c r="U42" s="80">
        <v>918.5999999999998</v>
      </c>
      <c r="V42" s="80">
        <v>330.60000000000008</v>
      </c>
      <c r="W42" s="80">
        <v>649.60000000000014</v>
      </c>
      <c r="X42" s="80">
        <v>690.1999999999997</v>
      </c>
      <c r="Y42" s="80">
        <v>788.79999999999984</v>
      </c>
      <c r="Z42" s="79">
        <v>852.59999999999923</v>
      </c>
      <c r="AA42" s="78">
        <v>701.80000000000018</v>
      </c>
      <c r="AB42" s="79">
        <v>585.79999999999995</v>
      </c>
      <c r="AC42" s="78">
        <v>2530.6000000000049</v>
      </c>
      <c r="AD42" s="81">
        <v>1034.9999999999991</v>
      </c>
      <c r="AE42" s="80">
        <v>818.99999999999943</v>
      </c>
      <c r="AF42" s="80">
        <v>955.1999999999997</v>
      </c>
      <c r="AG42" s="80">
        <v>938.79999999999973</v>
      </c>
      <c r="AH42" s="80">
        <v>1734.1999999999987</v>
      </c>
      <c r="AI42" s="80">
        <v>1505.3999999999985</v>
      </c>
      <c r="AJ42" s="82">
        <v>2600</v>
      </c>
      <c r="AK42" s="79">
        <v>153.20000000000002</v>
      </c>
      <c r="AL42" s="79">
        <v>1008.5999999999999</v>
      </c>
      <c r="AM42" s="83">
        <f t="shared" si="16"/>
        <v>0.38792307692307687</v>
      </c>
      <c r="AN42" s="79">
        <f t="shared" si="15"/>
        <v>1161.8</v>
      </c>
      <c r="AO42" s="84">
        <f t="shared" si="18"/>
        <v>0.44684615384615384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172</v>
      </c>
      <c r="B43" s="64" t="s">
        <v>132</v>
      </c>
      <c r="C43" s="134" t="s">
        <v>136</v>
      </c>
      <c r="D43" s="66" t="s">
        <v>138</v>
      </c>
      <c r="E43" s="135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16"/>
        <v>0</v>
      </c>
      <c r="AN43" s="87">
        <f>+AK43+AL43</f>
        <v>0</v>
      </c>
      <c r="AO43" s="92">
        <f t="shared" si="18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172</v>
      </c>
      <c r="B44" s="75" t="s">
        <v>132</v>
      </c>
      <c r="C44" s="136" t="s">
        <v>131</v>
      </c>
      <c r="D44" s="77" t="s">
        <v>139</v>
      </c>
      <c r="E44" s="130">
        <v>88</v>
      </c>
      <c r="F44" s="79">
        <v>1142.8</v>
      </c>
      <c r="G44" s="79">
        <v>739.6</v>
      </c>
      <c r="H44" s="79">
        <v>103.39999999999999</v>
      </c>
      <c r="I44" s="79">
        <v>0</v>
      </c>
      <c r="J44" s="79">
        <v>0</v>
      </c>
      <c r="K44" s="79">
        <v>742</v>
      </c>
      <c r="L44" s="79">
        <v>0</v>
      </c>
      <c r="M44" s="79">
        <v>21</v>
      </c>
      <c r="N44" s="79">
        <v>51.199999999999996</v>
      </c>
      <c r="O44" s="79">
        <v>1353.2</v>
      </c>
      <c r="P44" s="79">
        <v>252.8</v>
      </c>
      <c r="Q44" s="79">
        <v>219.8</v>
      </c>
      <c r="R44" s="79">
        <v>154.6</v>
      </c>
      <c r="S44" s="79">
        <v>556.4</v>
      </c>
      <c r="T44" s="80">
        <v>139.20000000000002</v>
      </c>
      <c r="U44" s="80">
        <v>131.19999999999999</v>
      </c>
      <c r="V44" s="80">
        <v>756</v>
      </c>
      <c r="W44" s="80">
        <v>95.2</v>
      </c>
      <c r="X44" s="80">
        <v>274</v>
      </c>
      <c r="Y44" s="80">
        <v>585.6</v>
      </c>
      <c r="Z44" s="79">
        <v>628.80000000000007</v>
      </c>
      <c r="AA44" s="78">
        <v>81.199999999999974</v>
      </c>
      <c r="AB44" s="79">
        <v>122.2</v>
      </c>
      <c r="AC44" s="78">
        <v>95.4</v>
      </c>
      <c r="AD44" s="81">
        <v>183.6</v>
      </c>
      <c r="AE44" s="80">
        <v>1665</v>
      </c>
      <c r="AF44" s="80">
        <v>341.59999999999997</v>
      </c>
      <c r="AG44" s="80">
        <v>318</v>
      </c>
      <c r="AH44" s="80">
        <v>580.79999999999995</v>
      </c>
      <c r="AI44" s="80">
        <v>516.4</v>
      </c>
      <c r="AJ44" s="82">
        <v>800</v>
      </c>
      <c r="AK44" s="79">
        <v>57.8</v>
      </c>
      <c r="AL44" s="79">
        <v>-239.80000000000007</v>
      </c>
      <c r="AM44" s="83">
        <f t="shared" si="16"/>
        <v>-0.29975000000000007</v>
      </c>
      <c r="AN44" s="79">
        <f t="shared" si="15"/>
        <v>-182.00000000000006</v>
      </c>
      <c r="AO44" s="84">
        <f t="shared" si="18"/>
        <v>-0.22750000000000006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172</v>
      </c>
      <c r="B45" s="64" t="s">
        <v>132</v>
      </c>
      <c r="C45" s="134" t="s">
        <v>128</v>
      </c>
      <c r="D45" s="66" t="s">
        <v>140</v>
      </c>
      <c r="E45" s="137">
        <v>2097.7999999999975</v>
      </c>
      <c r="F45" s="138">
        <v>2044.5999999999976</v>
      </c>
      <c r="G45" s="124">
        <v>1325.7999999999993</v>
      </c>
      <c r="H45" s="124">
        <v>947.59999999999968</v>
      </c>
      <c r="I45" s="124">
        <v>-165.6</v>
      </c>
      <c r="J45" s="124">
        <v>0</v>
      </c>
      <c r="K45" s="124">
        <v>982.39999999999964</v>
      </c>
      <c r="L45" s="124">
        <v>436.40000000000015</v>
      </c>
      <c r="M45" s="124">
        <v>581.40000000000009</v>
      </c>
      <c r="N45" s="124">
        <v>426.00000000000017</v>
      </c>
      <c r="O45" s="124">
        <v>204.79999999999998</v>
      </c>
      <c r="P45" s="124">
        <v>231.40000000000003</v>
      </c>
      <c r="Q45" s="124">
        <v>273.40000000000003</v>
      </c>
      <c r="R45" s="124">
        <v>267.60000000000008</v>
      </c>
      <c r="S45" s="124">
        <v>264.2</v>
      </c>
      <c r="T45" s="125">
        <v>223.20000000000002</v>
      </c>
      <c r="U45" s="125">
        <v>335.2000000000001</v>
      </c>
      <c r="V45" s="125">
        <v>163.99999999999997</v>
      </c>
      <c r="W45" s="125">
        <v>562.40000000000009</v>
      </c>
      <c r="X45" s="125">
        <v>326.80000000000013</v>
      </c>
      <c r="Y45" s="125">
        <v>518.00000000000023</v>
      </c>
      <c r="Z45" s="124">
        <v>534.59999999999991</v>
      </c>
      <c r="AA45" s="123">
        <v>296.00000000000017</v>
      </c>
      <c r="AB45" s="124">
        <v>288.2000000000001</v>
      </c>
      <c r="AC45" s="123">
        <v>330.00000000000006</v>
      </c>
      <c r="AD45" s="126">
        <v>302.8</v>
      </c>
      <c r="AE45" s="125">
        <v>322.60000000000014</v>
      </c>
      <c r="AF45" s="125">
        <v>247.40000000000012</v>
      </c>
      <c r="AG45" s="125">
        <v>267.80000000000013</v>
      </c>
      <c r="AH45" s="125">
        <v>270.00000000000011</v>
      </c>
      <c r="AI45" s="125">
        <v>344.2000000000001</v>
      </c>
      <c r="AJ45" s="127">
        <v>500</v>
      </c>
      <c r="AK45" s="124">
        <v>160</v>
      </c>
      <c r="AL45" s="124">
        <v>231.60000000000008</v>
      </c>
      <c r="AM45" s="128">
        <f t="shared" si="16"/>
        <v>0.46320000000000017</v>
      </c>
      <c r="AN45" s="124">
        <f t="shared" si="15"/>
        <v>391.60000000000008</v>
      </c>
      <c r="AO45" s="129">
        <f t="shared" si="18"/>
        <v>0.78320000000000012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172</v>
      </c>
      <c r="B46" s="98"/>
      <c r="C46" s="99"/>
      <c r="D46" s="100" t="s">
        <v>141</v>
      </c>
      <c r="E46" s="101">
        <f t="shared" ref="E46:AD46" si="21">+SUM(E38:E45)</f>
        <v>9928.1999999999971</v>
      </c>
      <c r="F46" s="102">
        <f t="shared" si="21"/>
        <v>8669.1999999999989</v>
      </c>
      <c r="G46" s="102">
        <f t="shared" si="21"/>
        <v>9897.5999999999985</v>
      </c>
      <c r="H46" s="102">
        <f t="shared" si="21"/>
        <v>7067.7999999999984</v>
      </c>
      <c r="I46" s="102">
        <f t="shared" si="21"/>
        <v>-198.2</v>
      </c>
      <c r="J46" s="102">
        <f t="shared" si="21"/>
        <v>1470.8</v>
      </c>
      <c r="K46" s="102">
        <f t="shared" si="21"/>
        <v>12542.4</v>
      </c>
      <c r="L46" s="102">
        <f t="shared" si="21"/>
        <v>4303.3999999999996</v>
      </c>
      <c r="M46" s="102">
        <f t="shared" si="21"/>
        <v>2446.8000000000002</v>
      </c>
      <c r="N46" s="102">
        <f t="shared" si="21"/>
        <v>2007.4</v>
      </c>
      <c r="O46" s="102">
        <f t="shared" si="21"/>
        <v>5551.8</v>
      </c>
      <c r="P46" s="102">
        <f t="shared" si="21"/>
        <v>1179.0000000000002</v>
      </c>
      <c r="Q46" s="103">
        <f t="shared" si="21"/>
        <v>2781.4</v>
      </c>
      <c r="R46" s="102">
        <f t="shared" si="21"/>
        <v>2665.9999999999995</v>
      </c>
      <c r="S46" s="101">
        <f t="shared" si="21"/>
        <v>4930.5999999999985</v>
      </c>
      <c r="T46" s="101">
        <f t="shared" si="21"/>
        <v>4484.3999999999978</v>
      </c>
      <c r="U46" s="101">
        <f t="shared" si="21"/>
        <v>5003.7999999999975</v>
      </c>
      <c r="V46" s="101">
        <f t="shared" si="21"/>
        <v>2599.4000000000005</v>
      </c>
      <c r="W46" s="101">
        <f t="shared" si="21"/>
        <v>3233.4</v>
      </c>
      <c r="X46" s="101">
        <f t="shared" si="21"/>
        <v>3823.5999999999995</v>
      </c>
      <c r="Y46" s="102">
        <f t="shared" si="21"/>
        <v>4454.3999999999987</v>
      </c>
      <c r="Z46" s="101">
        <f t="shared" si="21"/>
        <v>3507.7999999999979</v>
      </c>
      <c r="AA46" s="101">
        <f t="shared" si="21"/>
        <v>3036.9999999999995</v>
      </c>
      <c r="AB46" s="101">
        <f t="shared" si="21"/>
        <v>5663.6000000000076</v>
      </c>
      <c r="AC46" s="101">
        <f t="shared" si="21"/>
        <v>6065.2000000000035</v>
      </c>
      <c r="AD46" s="104">
        <f t="shared" si="21"/>
        <v>4743.1999999999971</v>
      </c>
      <c r="AE46" s="103">
        <v>6441.7999999999965</v>
      </c>
      <c r="AF46" s="103">
        <v>5461.800000000002</v>
      </c>
      <c r="AG46" s="103">
        <v>3713.9999999999977</v>
      </c>
      <c r="AH46" s="103">
        <v>8430.00000000002</v>
      </c>
      <c r="AI46" s="103">
        <v>4473.7999999999965</v>
      </c>
      <c r="AJ46" s="105">
        <v>9000</v>
      </c>
      <c r="AK46" s="102">
        <f>SUM(AK38:AK45)</f>
        <v>986.1999999999997</v>
      </c>
      <c r="AL46" s="102">
        <f>SUM(AL38:AL45)</f>
        <v>4626.3999999999987</v>
      </c>
      <c r="AM46" s="106">
        <f t="shared" si="16"/>
        <v>0.5140444444444443</v>
      </c>
      <c r="AN46" s="102">
        <f t="shared" si="15"/>
        <v>5612.5999999999985</v>
      </c>
      <c r="AO46" s="107">
        <f t="shared" si="18"/>
        <v>0.62362222222222208</v>
      </c>
      <c r="AP46" s="150"/>
      <c r="AQ46" s="150"/>
      <c r="AR46" s="108"/>
      <c r="AS46" s="47"/>
    </row>
    <row r="47" spans="1:48" ht="12.75" customHeight="1" thickBot="1" x14ac:dyDescent="0.3">
      <c r="A47" s="45" t="s">
        <v>172</v>
      </c>
      <c r="B47" s="151" t="s">
        <v>142</v>
      </c>
      <c r="C47" s="152"/>
      <c r="D47" s="153" t="s">
        <v>5</v>
      </c>
      <c r="E47" s="154">
        <f t="shared" ref="E47:V47" si="22">+E18+E22+E28+E30+E33+E37+E46</f>
        <v>35992.6</v>
      </c>
      <c r="F47" s="155">
        <f t="shared" si="22"/>
        <v>35904.999999999993</v>
      </c>
      <c r="G47" s="155">
        <f t="shared" si="22"/>
        <v>34014.799999999996</v>
      </c>
      <c r="H47" s="155">
        <f t="shared" si="22"/>
        <v>22508.6</v>
      </c>
      <c r="I47" s="155">
        <f t="shared" si="22"/>
        <v>4066.6000000000004</v>
      </c>
      <c r="J47" s="155">
        <f t="shared" si="22"/>
        <v>28540.000000000004</v>
      </c>
      <c r="K47" s="155">
        <f t="shared" si="22"/>
        <v>30290.600000000006</v>
      </c>
      <c r="L47" s="155">
        <f t="shared" si="22"/>
        <v>18346.599999999999</v>
      </c>
      <c r="M47" s="155">
        <f t="shared" si="22"/>
        <v>17025.399999999998</v>
      </c>
      <c r="N47" s="155">
        <f t="shared" si="22"/>
        <v>13814.199999999997</v>
      </c>
      <c r="O47" s="155">
        <f t="shared" si="22"/>
        <v>15866.2</v>
      </c>
      <c r="P47" s="155">
        <f t="shared" si="22"/>
        <v>12506.8</v>
      </c>
      <c r="Q47" s="156">
        <f t="shared" si="22"/>
        <v>14898.599999999999</v>
      </c>
      <c r="R47" s="155">
        <f t="shared" si="22"/>
        <v>16842.399999999998</v>
      </c>
      <c r="S47" s="154">
        <v>14749.399999999998</v>
      </c>
      <c r="T47" s="154">
        <f t="shared" si="22"/>
        <v>18639.999999999996</v>
      </c>
      <c r="U47" s="154">
        <f t="shared" si="22"/>
        <v>21328.399999999994</v>
      </c>
      <c r="V47" s="154">
        <f t="shared" si="22"/>
        <v>16890.599999999999</v>
      </c>
      <c r="W47" s="157">
        <v>18871.799999999996</v>
      </c>
      <c r="X47" s="157">
        <f>+X18+X22+X28+X30+X33+X37+X46</f>
        <v>19445.399999999998</v>
      </c>
      <c r="Y47" s="158">
        <v>21786.399999999994</v>
      </c>
      <c r="Z47" s="157">
        <v>37482.6</v>
      </c>
      <c r="AA47" s="157">
        <v>29337.799999999992</v>
      </c>
      <c r="AB47" s="157">
        <v>30220.800000000003</v>
      </c>
      <c r="AC47" s="157">
        <v>33238.400000000001</v>
      </c>
      <c r="AD47" s="194">
        <v>24920.199999999986</v>
      </c>
      <c r="AE47" s="159">
        <v>27416.599999999991</v>
      </c>
      <c r="AF47" s="159">
        <v>24869.19999999999</v>
      </c>
      <c r="AG47" s="159">
        <v>20823.799999999988</v>
      </c>
      <c r="AH47" s="159">
        <v>27106.400000000016</v>
      </c>
      <c r="AI47" s="159">
        <v>22472.199999999983</v>
      </c>
      <c r="AJ47" s="160">
        <v>29000</v>
      </c>
      <c r="AK47" s="158">
        <f>+AK18+AK22+AK28+AK30+AK33+AK37+AK46</f>
        <v>4196.3999999999996</v>
      </c>
      <c r="AL47" s="158">
        <f>+AL18+AL22+AL28+AL30+AL33+AL37+AL46</f>
        <v>17342.399999999994</v>
      </c>
      <c r="AM47" s="161">
        <f t="shared" si="16"/>
        <v>0.59801379310344804</v>
      </c>
      <c r="AN47" s="158">
        <f>+AN18+AN22+AN28+AN30+AN33+AN37+AN46</f>
        <v>21538.799999999996</v>
      </c>
      <c r="AO47" s="162">
        <f t="shared" si="18"/>
        <v>0.74271724137931017</v>
      </c>
      <c r="AP47" s="150"/>
      <c r="AQ47" s="150"/>
    </row>
    <row r="48" spans="1:48" ht="12.75" hidden="1" customHeight="1" x14ac:dyDescent="0.25">
      <c r="A48" s="45" t="s">
        <v>172</v>
      </c>
      <c r="B48" s="75" t="s">
        <v>143</v>
      </c>
      <c r="C48" s="76"/>
      <c r="D48" s="163" t="s">
        <v>145</v>
      </c>
      <c r="E48" s="170">
        <v>0</v>
      </c>
      <c r="F48" s="170">
        <v>0</v>
      </c>
      <c r="G48" s="170">
        <v>0</v>
      </c>
      <c r="H48" s="170">
        <v>0</v>
      </c>
      <c r="I48" s="170">
        <v>0</v>
      </c>
      <c r="J48" s="170">
        <v>0</v>
      </c>
      <c r="K48" s="170">
        <v>0</v>
      </c>
      <c r="L48" s="170">
        <v>0</v>
      </c>
      <c r="M48" s="170">
        <v>0</v>
      </c>
      <c r="N48" s="170">
        <v>0</v>
      </c>
      <c r="O48" s="170"/>
      <c r="P48" s="170"/>
      <c r="Q48" s="170"/>
      <c r="R48" s="170"/>
      <c r="S48" s="171"/>
      <c r="T48" s="170">
        <v>0</v>
      </c>
      <c r="U48" s="170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6"/>
        <v>0</v>
      </c>
      <c r="AN48" s="79">
        <f t="shared" si="15"/>
        <v>0</v>
      </c>
      <c r="AO48" s="84">
        <f t="shared" si="18"/>
        <v>0</v>
      </c>
      <c r="AP48" s="49" t="s">
        <v>144</v>
      </c>
    </row>
    <row r="49" spans="1:46" ht="12.75" hidden="1" customHeight="1" x14ac:dyDescent="0.25">
      <c r="A49" s="45" t="s">
        <v>172</v>
      </c>
      <c r="B49" s="64" t="s">
        <v>143</v>
      </c>
      <c r="C49" s="65"/>
      <c r="D49" s="167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8">
        <v>0</v>
      </c>
      <c r="U49" s="168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6"/>
        <v>0</v>
      </c>
      <c r="AN49" s="87">
        <f t="shared" si="15"/>
        <v>0</v>
      </c>
      <c r="AO49" s="92">
        <f t="shared" si="18"/>
        <v>0</v>
      </c>
      <c r="AP49" s="49" t="s">
        <v>144</v>
      </c>
    </row>
    <row r="50" spans="1:46" ht="12.75" hidden="1" customHeight="1" x14ac:dyDescent="0.25">
      <c r="A50" s="45" t="s">
        <v>172</v>
      </c>
      <c r="B50" s="75" t="s">
        <v>143</v>
      </c>
      <c r="C50" s="76"/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0">
        <v>0</v>
      </c>
      <c r="U50" s="170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6"/>
        <v>0</v>
      </c>
      <c r="AN50" s="79">
        <f>+AK50+AL50</f>
        <v>0</v>
      </c>
      <c r="AO50" s="84">
        <f t="shared" si="18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18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5" t="s">
        <v>172</v>
      </c>
      <c r="B52" s="75" t="s">
        <v>151</v>
      </c>
      <c r="C52" s="76"/>
      <c r="D52" s="163" t="s">
        <v>151</v>
      </c>
      <c r="E52" s="170">
        <v>0</v>
      </c>
      <c r="F52" s="170">
        <v>0</v>
      </c>
      <c r="G52" s="170">
        <v>0</v>
      </c>
      <c r="H52" s="170">
        <v>0</v>
      </c>
      <c r="I52" s="170">
        <v>0</v>
      </c>
      <c r="J52" s="170">
        <v>0</v>
      </c>
      <c r="K52" s="170">
        <v>0</v>
      </c>
      <c r="L52" s="170">
        <v>0</v>
      </c>
      <c r="M52" s="170">
        <v>0</v>
      </c>
      <c r="N52" s="170">
        <v>0</v>
      </c>
      <c r="O52" s="170"/>
      <c r="P52" s="170"/>
      <c r="Q52" s="170"/>
      <c r="R52" s="170"/>
      <c r="S52" s="171"/>
      <c r="T52" s="170">
        <v>0</v>
      </c>
      <c r="U52" s="170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172</v>
      </c>
      <c r="B53" s="64" t="s">
        <v>143</v>
      </c>
      <c r="C53" s="65" t="s">
        <v>154</v>
      </c>
      <c r="D53" s="167" t="s">
        <v>155</v>
      </c>
      <c r="E53" s="168">
        <v>0</v>
      </c>
      <c r="F53" s="168">
        <v>15.989999999999998</v>
      </c>
      <c r="G53" s="168">
        <v>8.2499999999999982</v>
      </c>
      <c r="H53" s="168">
        <v>2.04</v>
      </c>
      <c r="I53" s="168">
        <v>28.680000000000003</v>
      </c>
      <c r="J53" s="168">
        <v>48.47</v>
      </c>
      <c r="K53" s="168">
        <v>34.139999999999993</v>
      </c>
      <c r="L53" s="168">
        <v>7</v>
      </c>
      <c r="M53" s="168">
        <v>38.549999999999997</v>
      </c>
      <c r="N53" s="168">
        <v>0.28999999999999998</v>
      </c>
      <c r="O53" s="168"/>
      <c r="P53" s="168"/>
      <c r="Q53" s="168"/>
      <c r="R53" s="168"/>
      <c r="S53" s="169"/>
      <c r="T53" s="168">
        <v>0</v>
      </c>
      <c r="U53" s="168">
        <v>0</v>
      </c>
      <c r="V53" s="169">
        <v>0</v>
      </c>
      <c r="W53" s="87">
        <v>0.7</v>
      </c>
      <c r="X53" s="87">
        <v>0</v>
      </c>
      <c r="Y53" s="87">
        <v>3.38</v>
      </c>
      <c r="Z53" s="87">
        <v>0</v>
      </c>
      <c r="AA53" s="87">
        <v>14</v>
      </c>
      <c r="AB53" s="87">
        <v>0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ref="AO53:AO55" si="23">IFERROR(+AN53/AJ53,0)</f>
        <v>0</v>
      </c>
      <c r="AP53" s="50" t="s">
        <v>154</v>
      </c>
      <c r="AQ53" s="50"/>
    </row>
    <row r="54" spans="1:46" ht="12.75" hidden="1" customHeight="1" x14ac:dyDescent="0.25">
      <c r="A54" s="45" t="s">
        <v>172</v>
      </c>
      <c r="B54" s="75" t="s">
        <v>143</v>
      </c>
      <c r="C54" s="76"/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0">
        <v>0</v>
      </c>
      <c r="U54" s="170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5"/>
        <v>0</v>
      </c>
      <c r="AO54" s="84">
        <f t="shared" si="23"/>
        <v>0</v>
      </c>
      <c r="AP54" s="49" t="s">
        <v>156</v>
      </c>
    </row>
    <row r="55" spans="1:46" ht="12.75" hidden="1" customHeight="1" thickBot="1" x14ac:dyDescent="0.3">
      <c r="A55" s="45" t="s">
        <v>172</v>
      </c>
      <c r="B55" s="64" t="s">
        <v>143</v>
      </c>
      <c r="C55" s="65"/>
      <c r="D55" s="167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8">
        <v>0</v>
      </c>
      <c r="U55" s="168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16"/>
        <v>0</v>
      </c>
      <c r="AN55" s="87">
        <f t="shared" si="15"/>
        <v>0</v>
      </c>
      <c r="AO55" s="92">
        <f t="shared" si="23"/>
        <v>0</v>
      </c>
      <c r="AP55" s="50"/>
      <c r="AQ55" s="50"/>
    </row>
    <row r="56" spans="1:46" ht="12.75" hidden="1" customHeight="1" thickBot="1" x14ac:dyDescent="0.3">
      <c r="A56" s="45" t="s">
        <v>172</v>
      </c>
      <c r="B56" s="173"/>
      <c r="C56" s="174"/>
      <c r="D56" s="152" t="s">
        <v>158</v>
      </c>
      <c r="E56" s="155">
        <v>35992.599999999991</v>
      </c>
      <c r="F56" s="155">
        <v>35920.989999999983</v>
      </c>
      <c r="G56" s="155">
        <v>34023.050000000003</v>
      </c>
      <c r="H56" s="155">
        <v>22510.640000000003</v>
      </c>
      <c r="I56" s="155">
        <v>4095.28</v>
      </c>
      <c r="J56" s="155">
        <v>28588.470000000005</v>
      </c>
      <c r="K56" s="155">
        <v>30324.740000000005</v>
      </c>
      <c r="L56" s="155">
        <v>18353.599999999999</v>
      </c>
      <c r="M56" s="155">
        <v>17063.95</v>
      </c>
      <c r="N56" s="155">
        <v>13814.49</v>
      </c>
      <c r="O56" s="155"/>
      <c r="P56" s="155"/>
      <c r="Q56" s="155"/>
      <c r="R56" s="155"/>
      <c r="S56" s="155"/>
      <c r="T56" s="175">
        <v>18639.999999999996</v>
      </c>
      <c r="U56" s="175">
        <v>21328.399999999998</v>
      </c>
      <c r="V56" s="175">
        <v>16890.599999999999</v>
      </c>
      <c r="W56" s="175">
        <v>18872.499999999996</v>
      </c>
      <c r="X56" s="175">
        <v>19445.399999999994</v>
      </c>
      <c r="Y56" s="175">
        <v>21789.779999999995</v>
      </c>
      <c r="Z56" s="175">
        <v>37482.6</v>
      </c>
      <c r="AA56" s="175">
        <v>29351.799999999992</v>
      </c>
      <c r="AB56" s="175">
        <v>30220.800000000003</v>
      </c>
      <c r="AC56" s="175">
        <v>30809.199999999993</v>
      </c>
      <c r="AD56" s="175">
        <v>24920.199999999986</v>
      </c>
      <c r="AE56" s="175">
        <v>27416.599999999991</v>
      </c>
      <c r="AF56" s="175">
        <v>24869.19999999999</v>
      </c>
      <c r="AG56" s="175">
        <v>20823.799999999988</v>
      </c>
      <c r="AH56" s="175">
        <v>27106.400000000016</v>
      </c>
      <c r="AI56" s="176">
        <v>22472.199999999983</v>
      </c>
      <c r="AJ56" s="177">
        <v>29000</v>
      </c>
      <c r="AK56" s="175">
        <f>+AK47+SUM(AK48:AK55)</f>
        <v>4196.3999999999996</v>
      </c>
      <c r="AL56" s="175">
        <f>SUM(AL47:AL55)</f>
        <v>17342.399999999994</v>
      </c>
      <c r="AM56" s="178">
        <f t="shared" si="16"/>
        <v>0.59801379310344804</v>
      </c>
      <c r="AN56" s="175">
        <f>+AK56+AL56</f>
        <v>21538.799999999996</v>
      </c>
      <c r="AO56" s="179">
        <f>IFERROR(+AN56/AJ56,0)</f>
        <v>0.74271724137931017</v>
      </c>
      <c r="AP56" s="50"/>
      <c r="AQ56" s="50"/>
    </row>
    <row r="57" spans="1:46" x14ac:dyDescent="0.25">
      <c r="A57" s="47"/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9.0949470177292824E-12</v>
      </c>
      <c r="AL57" s="196">
        <v>-1.1641532182693481E-10</v>
      </c>
      <c r="AM57" s="197"/>
      <c r="AO57" s="198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B269-E3D5-42D6-9A40-93526530DF5F}">
  <dimension ref="A1:AV122"/>
  <sheetViews>
    <sheetView showGridLines="0" zoomScale="88" zoomScaleNormal="88" workbookViewId="0">
      <pane xSplit="4" ySplit="2" topLeftCell="AI38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174</v>
      </c>
      <c r="C1" s="47" t="s">
        <v>175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5" t="s">
        <v>174</v>
      </c>
      <c r="B3" s="64" t="s">
        <v>71</v>
      </c>
      <c r="C3" s="65" t="s">
        <v>72</v>
      </c>
      <c r="D3" s="66" t="s">
        <v>73</v>
      </c>
      <c r="E3" s="67">
        <v>0</v>
      </c>
      <c r="F3" s="68">
        <v>0</v>
      </c>
      <c r="G3" s="68">
        <v>0</v>
      </c>
      <c r="H3" s="68">
        <v>0</v>
      </c>
      <c r="I3" s="67">
        <v>0</v>
      </c>
      <c r="J3" s="68">
        <v>0</v>
      </c>
      <c r="K3" s="68">
        <v>0</v>
      </c>
      <c r="L3" s="68">
        <v>0</v>
      </c>
      <c r="M3" s="68">
        <v>0</v>
      </c>
      <c r="N3" s="68">
        <v>0</v>
      </c>
      <c r="O3" s="68">
        <v>0</v>
      </c>
      <c r="P3" s="68">
        <v>0</v>
      </c>
      <c r="Q3" s="69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54" si="2">IFERROR(+AN3/AJ3,0)</f>
        <v>0</v>
      </c>
      <c r="AP3" s="50"/>
      <c r="AQ3" s="50"/>
    </row>
    <row r="4" spans="1:45" ht="12.75" customHeight="1" x14ac:dyDescent="0.25">
      <c r="A4" s="45" t="s">
        <v>174</v>
      </c>
      <c r="B4" s="75" t="s">
        <v>74</v>
      </c>
      <c r="C4" s="76" t="s">
        <v>72</v>
      </c>
      <c r="D4" s="77" t="s">
        <v>75</v>
      </c>
      <c r="E4" s="78">
        <v>332</v>
      </c>
      <c r="F4" s="79">
        <v>599</v>
      </c>
      <c r="G4" s="79">
        <v>846</v>
      </c>
      <c r="H4" s="79">
        <v>2009</v>
      </c>
      <c r="I4" s="78">
        <v>1582</v>
      </c>
      <c r="J4" s="79">
        <v>1464</v>
      </c>
      <c r="K4" s="79">
        <v>2677</v>
      </c>
      <c r="L4" s="79">
        <v>3341</v>
      </c>
      <c r="M4" s="79">
        <v>3882</v>
      </c>
      <c r="N4" s="79">
        <v>3255</v>
      </c>
      <c r="O4" s="79">
        <v>5422</v>
      </c>
      <c r="P4" s="79">
        <v>1891</v>
      </c>
      <c r="Q4" s="80">
        <v>1310</v>
      </c>
      <c r="R4" s="79">
        <v>632</v>
      </c>
      <c r="S4" s="78">
        <v>718</v>
      </c>
      <c r="T4" s="78">
        <v>564</v>
      </c>
      <c r="U4" s="78">
        <v>180</v>
      </c>
      <c r="V4" s="78">
        <v>372</v>
      </c>
      <c r="W4" s="78">
        <v>708</v>
      </c>
      <c r="X4" s="78">
        <v>1469</v>
      </c>
      <c r="Y4" s="79">
        <v>3750</v>
      </c>
      <c r="Z4" s="78">
        <v>1495</v>
      </c>
      <c r="AA4" s="78">
        <v>2109</v>
      </c>
      <c r="AB4" s="78">
        <v>1673</v>
      </c>
      <c r="AC4" s="78">
        <v>870</v>
      </c>
      <c r="AD4" s="81">
        <v>1357</v>
      </c>
      <c r="AE4" s="80">
        <v>636</v>
      </c>
      <c r="AF4" s="80">
        <v>1047</v>
      </c>
      <c r="AG4" s="80">
        <v>884</v>
      </c>
      <c r="AH4" s="80">
        <v>750</v>
      </c>
      <c r="AI4" s="80">
        <v>4446</v>
      </c>
      <c r="AJ4" s="82">
        <v>1000</v>
      </c>
      <c r="AK4" s="79">
        <v>672</v>
      </c>
      <c r="AL4" s="79">
        <v>672</v>
      </c>
      <c r="AM4" s="83">
        <f t="shared" si="0"/>
        <v>0.67200000000000004</v>
      </c>
      <c r="AN4" s="79">
        <f t="shared" si="1"/>
        <v>1344</v>
      </c>
      <c r="AO4" s="84">
        <f>IFERROR(+AN4/AJ4,0)</f>
        <v>1.3440000000000001</v>
      </c>
      <c r="AP4" s="50"/>
      <c r="AQ4" s="50"/>
    </row>
    <row r="5" spans="1:45" ht="12.75" customHeight="1" x14ac:dyDescent="0.25">
      <c r="A5" s="45" t="s">
        <v>174</v>
      </c>
      <c r="B5" s="64" t="s">
        <v>74</v>
      </c>
      <c r="C5" s="65" t="s">
        <v>72</v>
      </c>
      <c r="D5" s="66" t="s">
        <v>76</v>
      </c>
      <c r="E5" s="86">
        <v>216</v>
      </c>
      <c r="F5" s="87">
        <v>50</v>
      </c>
      <c r="G5" s="87">
        <v>127</v>
      </c>
      <c r="H5" s="87">
        <v>2570</v>
      </c>
      <c r="I5" s="86">
        <v>2381</v>
      </c>
      <c r="J5" s="87">
        <v>1800</v>
      </c>
      <c r="K5" s="87">
        <v>86</v>
      </c>
      <c r="L5" s="87">
        <v>3044</v>
      </c>
      <c r="M5" s="87">
        <v>600</v>
      </c>
      <c r="N5" s="87">
        <v>4610</v>
      </c>
      <c r="O5" s="87">
        <v>540</v>
      </c>
      <c r="P5" s="87">
        <v>285</v>
      </c>
      <c r="Q5" s="88">
        <v>150</v>
      </c>
      <c r="R5" s="87">
        <v>277</v>
      </c>
      <c r="S5" s="86">
        <v>190</v>
      </c>
      <c r="T5" s="86">
        <v>79</v>
      </c>
      <c r="U5" s="86">
        <v>2022</v>
      </c>
      <c r="V5" s="86">
        <v>276</v>
      </c>
      <c r="W5" s="86">
        <v>680</v>
      </c>
      <c r="X5" s="86">
        <v>2139</v>
      </c>
      <c r="Y5" s="87">
        <v>2838</v>
      </c>
      <c r="Z5" s="86">
        <v>580</v>
      </c>
      <c r="AA5" s="86">
        <v>229</v>
      </c>
      <c r="AB5" s="86">
        <v>75</v>
      </c>
      <c r="AC5" s="86">
        <v>295</v>
      </c>
      <c r="AD5" s="89">
        <v>107</v>
      </c>
      <c r="AE5" s="88">
        <v>125</v>
      </c>
      <c r="AF5" s="88">
        <v>680</v>
      </c>
      <c r="AG5" s="88">
        <v>720</v>
      </c>
      <c r="AH5" s="88">
        <v>-12</v>
      </c>
      <c r="AI5" s="88">
        <v>905</v>
      </c>
      <c r="AJ5" s="90">
        <v>400</v>
      </c>
      <c r="AK5" s="87">
        <v>0</v>
      </c>
      <c r="AL5" s="87">
        <v>70</v>
      </c>
      <c r="AM5" s="91">
        <f>IFERROR(AL5/AJ5,0)</f>
        <v>0.17499999999999999</v>
      </c>
      <c r="AN5" s="87">
        <f>+AK5+AL5</f>
        <v>70</v>
      </c>
      <c r="AO5" s="92">
        <f>IFERROR(+AN5/AJ5,0)</f>
        <v>0.17499999999999999</v>
      </c>
      <c r="AP5" s="50" t="s">
        <v>77</v>
      </c>
      <c r="AQ5" s="50"/>
    </row>
    <row r="6" spans="1:45" ht="12.75" customHeight="1" x14ac:dyDescent="0.25">
      <c r="A6" s="45" t="s">
        <v>174</v>
      </c>
      <c r="B6" s="75" t="s">
        <v>74</v>
      </c>
      <c r="C6" s="76" t="s">
        <v>72</v>
      </c>
      <c r="D6" s="77" t="s">
        <v>78</v>
      </c>
      <c r="E6" s="78">
        <v>680</v>
      </c>
      <c r="F6" s="79">
        <v>803</v>
      </c>
      <c r="G6" s="79">
        <v>678</v>
      </c>
      <c r="H6" s="79">
        <v>702</v>
      </c>
      <c r="I6" s="78">
        <v>1355</v>
      </c>
      <c r="J6" s="79">
        <v>860</v>
      </c>
      <c r="K6" s="79">
        <v>2365</v>
      </c>
      <c r="L6" s="79">
        <v>1487</v>
      </c>
      <c r="M6" s="79">
        <v>2507</v>
      </c>
      <c r="N6" s="79">
        <v>2595</v>
      </c>
      <c r="O6" s="79">
        <v>2381</v>
      </c>
      <c r="P6" s="79">
        <v>2476</v>
      </c>
      <c r="Q6" s="80">
        <v>1922</v>
      </c>
      <c r="R6" s="79">
        <v>1091</v>
      </c>
      <c r="S6" s="78">
        <v>844</v>
      </c>
      <c r="T6" s="78">
        <v>1216</v>
      </c>
      <c r="U6" s="78">
        <v>770</v>
      </c>
      <c r="V6" s="78">
        <v>816</v>
      </c>
      <c r="W6" s="78">
        <v>1267</v>
      </c>
      <c r="X6" s="78">
        <v>2547</v>
      </c>
      <c r="Y6" s="79">
        <v>3418</v>
      </c>
      <c r="Z6" s="78">
        <v>1878</v>
      </c>
      <c r="AA6" s="78">
        <v>1729</v>
      </c>
      <c r="AB6" s="78">
        <v>501</v>
      </c>
      <c r="AC6" s="78">
        <v>1101</v>
      </c>
      <c r="AD6" s="81">
        <v>1673</v>
      </c>
      <c r="AE6" s="80">
        <v>697</v>
      </c>
      <c r="AF6" s="80">
        <v>218</v>
      </c>
      <c r="AG6" s="80">
        <v>747</v>
      </c>
      <c r="AH6" s="80">
        <v>526</v>
      </c>
      <c r="AI6" s="80">
        <v>581</v>
      </c>
      <c r="AJ6" s="82">
        <v>700</v>
      </c>
      <c r="AK6" s="79">
        <v>678</v>
      </c>
      <c r="AL6" s="79">
        <v>142</v>
      </c>
      <c r="AM6" s="83">
        <f>IFERROR(AL6/AJ6,0)</f>
        <v>0.20285714285714285</v>
      </c>
      <c r="AN6" s="79">
        <f>+AK6+AL6</f>
        <v>820</v>
      </c>
      <c r="AO6" s="84">
        <f>IFERROR(+AN6/AJ6,0)</f>
        <v>1.1714285714285715</v>
      </c>
      <c r="AP6" s="50"/>
      <c r="AQ6" s="50"/>
    </row>
    <row r="7" spans="1:45" ht="12.75" customHeight="1" x14ac:dyDescent="0.25">
      <c r="A7" s="45" t="s">
        <v>174</v>
      </c>
      <c r="B7" s="64" t="s">
        <v>79</v>
      </c>
      <c r="C7" s="65" t="s">
        <v>72</v>
      </c>
      <c r="D7" s="66" t="s">
        <v>80</v>
      </c>
      <c r="E7" s="86">
        <v>11642</v>
      </c>
      <c r="F7" s="87">
        <v>8895</v>
      </c>
      <c r="G7" s="87">
        <v>1206</v>
      </c>
      <c r="H7" s="87">
        <v>5754</v>
      </c>
      <c r="I7" s="86">
        <v>4715</v>
      </c>
      <c r="J7" s="87">
        <v>8163</v>
      </c>
      <c r="K7" s="87">
        <v>595</v>
      </c>
      <c r="L7" s="87">
        <v>3633</v>
      </c>
      <c r="M7" s="87">
        <v>8882</v>
      </c>
      <c r="N7" s="87">
        <v>3360</v>
      </c>
      <c r="O7" s="87">
        <v>10139</v>
      </c>
      <c r="P7" s="87">
        <v>10732</v>
      </c>
      <c r="Q7" s="88">
        <v>4579</v>
      </c>
      <c r="R7" s="87">
        <v>3194</v>
      </c>
      <c r="S7" s="86">
        <v>470</v>
      </c>
      <c r="T7" s="86">
        <v>3723</v>
      </c>
      <c r="U7" s="86">
        <v>7257</v>
      </c>
      <c r="V7" s="86">
        <v>4985</v>
      </c>
      <c r="W7" s="86">
        <v>586</v>
      </c>
      <c r="X7" s="86">
        <v>15207</v>
      </c>
      <c r="Y7" s="87">
        <v>313</v>
      </c>
      <c r="Z7" s="86">
        <v>1179</v>
      </c>
      <c r="AA7" s="86">
        <v>9913</v>
      </c>
      <c r="AB7" s="86">
        <v>11456</v>
      </c>
      <c r="AC7" s="86">
        <v>13216</v>
      </c>
      <c r="AD7" s="89">
        <v>3780</v>
      </c>
      <c r="AE7" s="88">
        <v>6070</v>
      </c>
      <c r="AF7" s="88">
        <v>331</v>
      </c>
      <c r="AG7" s="88">
        <v>1048</v>
      </c>
      <c r="AH7" s="88">
        <v>2275</v>
      </c>
      <c r="AI7" s="88">
        <v>3247</v>
      </c>
      <c r="AJ7" s="90">
        <v>1900</v>
      </c>
      <c r="AK7" s="87">
        <v>10080</v>
      </c>
      <c r="AL7" s="87">
        <v>771</v>
      </c>
      <c r="AM7" s="91">
        <f>IFERROR(AL7/AJ7,0)</f>
        <v>0.40578947368421053</v>
      </c>
      <c r="AN7" s="87">
        <f>+AK7+AL7</f>
        <v>10851</v>
      </c>
      <c r="AO7" s="92">
        <f>IFERROR(+AN7/AJ7,0)</f>
        <v>5.7110526315789469</v>
      </c>
      <c r="AP7" s="50"/>
      <c r="AQ7" s="50"/>
    </row>
    <row r="8" spans="1:45" ht="12.75" customHeight="1" x14ac:dyDescent="0.25">
      <c r="A8" s="45" t="s">
        <v>174</v>
      </c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>
        <v>0</v>
      </c>
      <c r="P8" s="79">
        <v>8414</v>
      </c>
      <c r="Q8" s="80">
        <v>3068</v>
      </c>
      <c r="R8" s="79">
        <v>7319</v>
      </c>
      <c r="S8" s="78">
        <v>3877</v>
      </c>
      <c r="T8" s="78">
        <v>7436</v>
      </c>
      <c r="U8" s="78">
        <v>1569</v>
      </c>
      <c r="V8" s="78">
        <v>3251</v>
      </c>
      <c r="W8" s="78">
        <v>3061</v>
      </c>
      <c r="X8" s="78">
        <v>9779</v>
      </c>
      <c r="Y8" s="79">
        <v>1687</v>
      </c>
      <c r="Z8" s="78">
        <v>5721</v>
      </c>
      <c r="AA8" s="78">
        <v>7760</v>
      </c>
      <c r="AB8" s="78">
        <v>9097</v>
      </c>
      <c r="AC8" s="78">
        <v>11145</v>
      </c>
      <c r="AD8" s="81">
        <v>8232</v>
      </c>
      <c r="AE8" s="80">
        <v>8182</v>
      </c>
      <c r="AF8" s="80">
        <v>1842</v>
      </c>
      <c r="AG8" s="80">
        <v>1953</v>
      </c>
      <c r="AH8" s="80">
        <v>4852</v>
      </c>
      <c r="AI8" s="80">
        <v>1809</v>
      </c>
      <c r="AJ8" s="82">
        <v>3800</v>
      </c>
      <c r="AK8" s="79">
        <v>6473</v>
      </c>
      <c r="AL8" s="79">
        <v>5021</v>
      </c>
      <c r="AM8" s="83">
        <f t="shared" ref="AM8" si="3">IFERROR(AL8/AJ8,0)</f>
        <v>1.3213157894736842</v>
      </c>
      <c r="AN8" s="79">
        <f t="shared" ref="AN8" si="4">+AK8+AL8</f>
        <v>11494</v>
      </c>
      <c r="AO8" s="84">
        <f t="shared" ref="AO8" si="5">IFERROR(+AN8/AJ8,0)</f>
        <v>3.0247368421052632</v>
      </c>
      <c r="AP8" s="50"/>
      <c r="AQ8" s="50"/>
    </row>
    <row r="9" spans="1:45" ht="12.75" customHeight="1" x14ac:dyDescent="0.25">
      <c r="A9" s="45" t="s">
        <v>174</v>
      </c>
      <c r="B9" s="64" t="s">
        <v>82</v>
      </c>
      <c r="C9" s="65" t="s">
        <v>72</v>
      </c>
      <c r="D9" s="66" t="s">
        <v>83</v>
      </c>
      <c r="E9" s="86">
        <v>2409</v>
      </c>
      <c r="F9" s="87">
        <v>2413</v>
      </c>
      <c r="G9" s="87">
        <v>2105</v>
      </c>
      <c r="H9" s="87">
        <v>2680</v>
      </c>
      <c r="I9" s="86">
        <v>4873</v>
      </c>
      <c r="J9" s="87">
        <v>2289</v>
      </c>
      <c r="K9" s="87">
        <v>114</v>
      </c>
      <c r="L9" s="87">
        <v>4758</v>
      </c>
      <c r="M9" s="87">
        <v>2085</v>
      </c>
      <c r="N9" s="87">
        <v>2688</v>
      </c>
      <c r="O9" s="87">
        <v>3120</v>
      </c>
      <c r="P9" s="87">
        <v>5276</v>
      </c>
      <c r="Q9" s="88">
        <v>2361</v>
      </c>
      <c r="R9" s="87">
        <v>5580</v>
      </c>
      <c r="S9" s="86">
        <v>1871</v>
      </c>
      <c r="T9" s="86">
        <v>3554</v>
      </c>
      <c r="U9" s="86">
        <v>1116</v>
      </c>
      <c r="V9" s="86">
        <v>1368</v>
      </c>
      <c r="W9" s="86">
        <v>840</v>
      </c>
      <c r="X9" s="86">
        <v>4030</v>
      </c>
      <c r="Y9" s="87">
        <v>2177</v>
      </c>
      <c r="Z9" s="86">
        <v>4237</v>
      </c>
      <c r="AA9" s="86">
        <v>1841</v>
      </c>
      <c r="AB9" s="86">
        <v>5607</v>
      </c>
      <c r="AC9" s="86">
        <v>2336</v>
      </c>
      <c r="AD9" s="89">
        <v>1962</v>
      </c>
      <c r="AE9" s="88">
        <v>3812</v>
      </c>
      <c r="AF9" s="88">
        <v>3304</v>
      </c>
      <c r="AG9" s="88">
        <v>315</v>
      </c>
      <c r="AH9" s="88">
        <v>1295</v>
      </c>
      <c r="AI9" s="88">
        <v>1365</v>
      </c>
      <c r="AJ9" s="90">
        <v>1000</v>
      </c>
      <c r="AK9" s="87">
        <v>10</v>
      </c>
      <c r="AL9" s="87">
        <v>516</v>
      </c>
      <c r="AM9" s="91">
        <f>IFERROR(AL9/AJ9,0)</f>
        <v>0.51600000000000001</v>
      </c>
      <c r="AN9" s="87">
        <f>+AK9+AL9</f>
        <v>526</v>
      </c>
      <c r="AO9" s="92">
        <f>IFERROR(+AN9/AJ9,0)</f>
        <v>0.52600000000000002</v>
      </c>
      <c r="AP9" s="50"/>
      <c r="AQ9" s="50"/>
    </row>
    <row r="10" spans="1:45" ht="12.75" customHeight="1" x14ac:dyDescent="0.25">
      <c r="A10" s="45" t="s">
        <v>174</v>
      </c>
      <c r="B10" s="75" t="s">
        <v>82</v>
      </c>
      <c r="C10" s="76" t="s">
        <v>72</v>
      </c>
      <c r="D10" s="77" t="s">
        <v>84</v>
      </c>
      <c r="E10" s="78">
        <v>16750</v>
      </c>
      <c r="F10" s="79">
        <v>14920</v>
      </c>
      <c r="G10" s="79">
        <v>4680</v>
      </c>
      <c r="H10" s="79">
        <v>9714</v>
      </c>
      <c r="I10" s="78">
        <v>7020</v>
      </c>
      <c r="J10" s="79">
        <v>4572</v>
      </c>
      <c r="K10" s="79">
        <v>875</v>
      </c>
      <c r="L10" s="79">
        <v>13080</v>
      </c>
      <c r="M10" s="79">
        <v>909</v>
      </c>
      <c r="N10" s="79">
        <v>22323</v>
      </c>
      <c r="O10" s="79">
        <v>19240</v>
      </c>
      <c r="P10" s="79">
        <v>9342</v>
      </c>
      <c r="Q10" s="80">
        <v>778</v>
      </c>
      <c r="R10" s="79">
        <v>1575</v>
      </c>
      <c r="S10" s="78">
        <v>135</v>
      </c>
      <c r="T10" s="78">
        <v>359</v>
      </c>
      <c r="U10" s="78">
        <v>72</v>
      </c>
      <c r="V10" s="78">
        <v>984</v>
      </c>
      <c r="W10" s="78">
        <v>1905</v>
      </c>
      <c r="X10" s="78">
        <v>6944</v>
      </c>
      <c r="Y10" s="79">
        <v>997</v>
      </c>
      <c r="Z10" s="78">
        <v>258</v>
      </c>
      <c r="AA10" s="78">
        <v>7379</v>
      </c>
      <c r="AB10" s="78">
        <v>7110</v>
      </c>
      <c r="AC10" s="78">
        <v>527</v>
      </c>
      <c r="AD10" s="81">
        <v>6512</v>
      </c>
      <c r="AE10" s="80">
        <v>2250</v>
      </c>
      <c r="AF10" s="80">
        <v>738</v>
      </c>
      <c r="AG10" s="80">
        <v>659</v>
      </c>
      <c r="AH10" s="80">
        <v>257</v>
      </c>
      <c r="AI10" s="80">
        <v>536</v>
      </c>
      <c r="AJ10" s="82">
        <v>700</v>
      </c>
      <c r="AK10" s="79">
        <v>0</v>
      </c>
      <c r="AL10" s="79">
        <v>323</v>
      </c>
      <c r="AM10" s="83">
        <f>IFERROR(AL10/AJ10,0)</f>
        <v>0.46142857142857141</v>
      </c>
      <c r="AN10" s="79">
        <f>+AK10+AL10</f>
        <v>323</v>
      </c>
      <c r="AO10" s="84">
        <f>IFERROR(+AN10/AJ10,0)</f>
        <v>0.46142857142857141</v>
      </c>
      <c r="AP10" s="50"/>
      <c r="AQ10" s="50"/>
    </row>
    <row r="11" spans="1:45" ht="12.75" customHeight="1" x14ac:dyDescent="0.25">
      <c r="A11" s="45" t="s">
        <v>174</v>
      </c>
      <c r="B11" s="64" t="s">
        <v>85</v>
      </c>
      <c r="C11" s="65" t="s">
        <v>86</v>
      </c>
      <c r="D11" s="66" t="s">
        <v>87</v>
      </c>
      <c r="E11" s="86">
        <v>1938</v>
      </c>
      <c r="F11" s="87">
        <v>208</v>
      </c>
      <c r="G11" s="87">
        <v>2119</v>
      </c>
      <c r="H11" s="87">
        <v>1022</v>
      </c>
      <c r="I11" s="86">
        <v>825</v>
      </c>
      <c r="J11" s="87">
        <v>705</v>
      </c>
      <c r="K11" s="87">
        <v>978</v>
      </c>
      <c r="L11" s="87">
        <v>2811</v>
      </c>
      <c r="M11" s="87">
        <v>1123</v>
      </c>
      <c r="N11" s="87">
        <v>2758</v>
      </c>
      <c r="O11" s="87">
        <v>2901</v>
      </c>
      <c r="P11" s="87">
        <v>915</v>
      </c>
      <c r="Q11" s="88">
        <v>2304</v>
      </c>
      <c r="R11" s="87">
        <v>671</v>
      </c>
      <c r="S11" s="86">
        <v>603</v>
      </c>
      <c r="T11" s="86">
        <v>715</v>
      </c>
      <c r="U11" s="86">
        <v>369</v>
      </c>
      <c r="V11" s="86">
        <v>156</v>
      </c>
      <c r="W11" s="86">
        <v>350</v>
      </c>
      <c r="X11" s="86">
        <v>1001</v>
      </c>
      <c r="Y11" s="87">
        <v>1323</v>
      </c>
      <c r="Z11" s="86">
        <v>1192</v>
      </c>
      <c r="AA11" s="86">
        <v>3778</v>
      </c>
      <c r="AB11" s="86">
        <v>2016</v>
      </c>
      <c r="AC11" s="86">
        <v>1726</v>
      </c>
      <c r="AD11" s="89">
        <v>2463</v>
      </c>
      <c r="AE11" s="88">
        <v>1068</v>
      </c>
      <c r="AF11" s="88">
        <v>1023</v>
      </c>
      <c r="AG11" s="88">
        <v>509</v>
      </c>
      <c r="AH11" s="88">
        <v>628</v>
      </c>
      <c r="AI11" s="88">
        <v>1116</v>
      </c>
      <c r="AJ11" s="90">
        <v>700</v>
      </c>
      <c r="AK11" s="87">
        <v>160</v>
      </c>
      <c r="AL11" s="87">
        <v>328</v>
      </c>
      <c r="AM11" s="91">
        <f t="shared" si="0"/>
        <v>0.46857142857142858</v>
      </c>
      <c r="AN11" s="87">
        <f t="shared" si="1"/>
        <v>488</v>
      </c>
      <c r="AO11" s="92">
        <f t="shared" si="2"/>
        <v>0.69714285714285718</v>
      </c>
      <c r="AP11" s="50"/>
      <c r="AQ11" s="50"/>
    </row>
    <row r="12" spans="1:45" ht="12.75" customHeight="1" x14ac:dyDescent="0.25">
      <c r="A12" s="45" t="s">
        <v>174</v>
      </c>
      <c r="B12" s="75" t="s">
        <v>85</v>
      </c>
      <c r="C12" s="76" t="s">
        <v>86</v>
      </c>
      <c r="D12" s="77" t="s">
        <v>88</v>
      </c>
      <c r="E12" s="78">
        <v>1840</v>
      </c>
      <c r="F12" s="79">
        <v>225</v>
      </c>
      <c r="G12" s="79">
        <v>1039</v>
      </c>
      <c r="H12" s="79">
        <v>1675</v>
      </c>
      <c r="I12" s="78">
        <v>454</v>
      </c>
      <c r="J12" s="79">
        <v>1002</v>
      </c>
      <c r="K12" s="79">
        <v>887</v>
      </c>
      <c r="L12" s="79">
        <v>824</v>
      </c>
      <c r="M12" s="79">
        <v>797</v>
      </c>
      <c r="N12" s="79">
        <v>1326</v>
      </c>
      <c r="O12" s="79">
        <v>2396</v>
      </c>
      <c r="P12" s="79">
        <v>1088</v>
      </c>
      <c r="Q12" s="80">
        <v>1585</v>
      </c>
      <c r="R12" s="79">
        <v>469</v>
      </c>
      <c r="S12" s="78">
        <v>380</v>
      </c>
      <c r="T12" s="78">
        <v>385</v>
      </c>
      <c r="U12" s="78">
        <v>316</v>
      </c>
      <c r="V12" s="78">
        <v>255</v>
      </c>
      <c r="W12" s="78">
        <v>324</v>
      </c>
      <c r="X12" s="78">
        <v>756</v>
      </c>
      <c r="Y12" s="79">
        <v>1561</v>
      </c>
      <c r="Z12" s="78">
        <v>1815</v>
      </c>
      <c r="AA12" s="78">
        <v>2150</v>
      </c>
      <c r="AB12" s="78">
        <v>2276</v>
      </c>
      <c r="AC12" s="78">
        <v>1410</v>
      </c>
      <c r="AD12" s="81">
        <v>1336</v>
      </c>
      <c r="AE12" s="80">
        <v>888</v>
      </c>
      <c r="AF12" s="80">
        <v>502</v>
      </c>
      <c r="AG12" s="80">
        <v>514</v>
      </c>
      <c r="AH12" s="80">
        <v>444</v>
      </c>
      <c r="AI12" s="80">
        <v>678</v>
      </c>
      <c r="AJ12" s="82">
        <v>600</v>
      </c>
      <c r="AK12" s="79">
        <v>150</v>
      </c>
      <c r="AL12" s="79">
        <v>617</v>
      </c>
      <c r="AM12" s="83">
        <f t="shared" si="0"/>
        <v>1.0283333333333333</v>
      </c>
      <c r="AN12" s="79">
        <f t="shared" si="1"/>
        <v>767</v>
      </c>
      <c r="AO12" s="84">
        <f t="shared" si="2"/>
        <v>1.2783333333333333</v>
      </c>
      <c r="AP12" s="50"/>
      <c r="AQ12" s="50"/>
    </row>
    <row r="13" spans="1:45" ht="12.75" customHeight="1" x14ac:dyDescent="0.25">
      <c r="A13" s="45" t="s">
        <v>174</v>
      </c>
      <c r="B13" s="64" t="s">
        <v>89</v>
      </c>
      <c r="C13" s="65" t="s">
        <v>86</v>
      </c>
      <c r="D13" s="66" t="s">
        <v>90</v>
      </c>
      <c r="E13" s="86">
        <v>150</v>
      </c>
      <c r="F13" s="87">
        <v>144</v>
      </c>
      <c r="G13" s="87"/>
      <c r="H13" s="87"/>
      <c r="I13" s="86"/>
      <c r="J13" s="87"/>
      <c r="K13" s="87">
        <v>675</v>
      </c>
      <c r="L13" s="87">
        <v>1954</v>
      </c>
      <c r="M13" s="87">
        <v>239</v>
      </c>
      <c r="N13" s="87">
        <v>1560</v>
      </c>
      <c r="O13" s="87">
        <v>2099</v>
      </c>
      <c r="P13" s="87">
        <v>1804</v>
      </c>
      <c r="Q13" s="88">
        <v>2163</v>
      </c>
      <c r="R13" s="87">
        <v>590</v>
      </c>
      <c r="S13" s="86">
        <v>647</v>
      </c>
      <c r="T13" s="86">
        <v>780</v>
      </c>
      <c r="U13" s="86">
        <v>689</v>
      </c>
      <c r="V13" s="86">
        <v>864</v>
      </c>
      <c r="W13" s="86">
        <v>1225</v>
      </c>
      <c r="X13" s="86">
        <v>1837</v>
      </c>
      <c r="Y13" s="87">
        <v>1581</v>
      </c>
      <c r="Z13" s="86">
        <v>1533</v>
      </c>
      <c r="AA13" s="86">
        <v>1667</v>
      </c>
      <c r="AB13" s="86">
        <v>1416</v>
      </c>
      <c r="AC13" s="86">
        <v>1372</v>
      </c>
      <c r="AD13" s="89">
        <v>1073</v>
      </c>
      <c r="AE13" s="88">
        <v>718</v>
      </c>
      <c r="AF13" s="88">
        <v>254</v>
      </c>
      <c r="AG13" s="88">
        <v>475</v>
      </c>
      <c r="AH13" s="88">
        <v>783</v>
      </c>
      <c r="AI13" s="88">
        <v>1253</v>
      </c>
      <c r="AJ13" s="90">
        <v>900</v>
      </c>
      <c r="AK13" s="87">
        <v>275</v>
      </c>
      <c r="AL13" s="87">
        <v>829</v>
      </c>
      <c r="AM13" s="91">
        <f t="shared" si="0"/>
        <v>0.9211111111111111</v>
      </c>
      <c r="AN13" s="87">
        <f t="shared" si="1"/>
        <v>1104</v>
      </c>
      <c r="AO13" s="92">
        <f t="shared" si="2"/>
        <v>1.2266666666666666</v>
      </c>
      <c r="AP13" s="50"/>
      <c r="AQ13" s="50"/>
    </row>
    <row r="14" spans="1:45" ht="12.75" hidden="1" customHeight="1" x14ac:dyDescent="0.25">
      <c r="A14" s="45" t="s">
        <v>174</v>
      </c>
      <c r="B14" s="75" t="s">
        <v>89</v>
      </c>
      <c r="C14" s="76" t="s">
        <v>86</v>
      </c>
      <c r="D14" s="77" t="s">
        <v>91</v>
      </c>
      <c r="E14" s="78">
        <v>1801</v>
      </c>
      <c r="F14" s="79">
        <v>133</v>
      </c>
      <c r="G14" s="79">
        <v>155</v>
      </c>
      <c r="H14" s="79">
        <v>365</v>
      </c>
      <c r="I14" s="78">
        <v>1170</v>
      </c>
      <c r="J14" s="79">
        <v>280</v>
      </c>
      <c r="K14" s="79">
        <v>540</v>
      </c>
      <c r="L14" s="79">
        <v>1298</v>
      </c>
      <c r="M14" s="79">
        <v>928</v>
      </c>
      <c r="N14" s="79">
        <v>1058</v>
      </c>
      <c r="O14" s="79">
        <v>0</v>
      </c>
      <c r="P14" s="79">
        <v>0</v>
      </c>
      <c r="Q14" s="80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A15" s="45" t="s">
        <v>174</v>
      </c>
      <c r="B15" s="75" t="s">
        <v>89</v>
      </c>
      <c r="C15" s="76" t="s">
        <v>86</v>
      </c>
      <c r="D15" s="77" t="s">
        <v>93</v>
      </c>
      <c r="E15" s="78">
        <v>1272</v>
      </c>
      <c r="F15" s="79">
        <v>819</v>
      </c>
      <c r="G15" s="79">
        <v>1165</v>
      </c>
      <c r="H15" s="79">
        <v>2673</v>
      </c>
      <c r="I15" s="78">
        <v>1097</v>
      </c>
      <c r="J15" s="79">
        <v>525</v>
      </c>
      <c r="K15" s="79">
        <v>400</v>
      </c>
      <c r="L15" s="79">
        <v>1249</v>
      </c>
      <c r="M15" s="79">
        <v>1592</v>
      </c>
      <c r="N15" s="79">
        <v>3428</v>
      </c>
      <c r="O15" s="79">
        <v>2139</v>
      </c>
      <c r="P15" s="79">
        <v>569</v>
      </c>
      <c r="Q15" s="80">
        <v>1259</v>
      </c>
      <c r="R15" s="79">
        <v>199</v>
      </c>
      <c r="S15" s="78">
        <v>508</v>
      </c>
      <c r="T15" s="78">
        <v>511</v>
      </c>
      <c r="U15" s="78">
        <v>60</v>
      </c>
      <c r="V15" s="78">
        <v>99</v>
      </c>
      <c r="W15" s="78">
        <v>366</v>
      </c>
      <c r="X15" s="78">
        <v>351</v>
      </c>
      <c r="Y15" s="79">
        <v>1641</v>
      </c>
      <c r="Z15" s="78">
        <v>875</v>
      </c>
      <c r="AA15" s="78">
        <v>595</v>
      </c>
      <c r="AB15" s="78">
        <v>628</v>
      </c>
      <c r="AC15" s="78">
        <v>1056</v>
      </c>
      <c r="AD15" s="81">
        <v>235</v>
      </c>
      <c r="AE15" s="80">
        <v>345</v>
      </c>
      <c r="AF15" s="80">
        <v>529</v>
      </c>
      <c r="AG15" s="80">
        <v>335</v>
      </c>
      <c r="AH15" s="80">
        <v>552</v>
      </c>
      <c r="AI15" s="80">
        <v>516</v>
      </c>
      <c r="AJ15" s="82">
        <v>600</v>
      </c>
      <c r="AK15" s="79">
        <v>170</v>
      </c>
      <c r="AL15" s="79">
        <v>260</v>
      </c>
      <c r="AM15" s="83">
        <f t="shared" si="0"/>
        <v>0.43333333333333335</v>
      </c>
      <c r="AN15" s="79">
        <f t="shared" si="1"/>
        <v>430</v>
      </c>
      <c r="AO15" s="84">
        <f t="shared" si="2"/>
        <v>0.71666666666666667</v>
      </c>
      <c r="AP15" s="50"/>
      <c r="AQ15" s="50"/>
    </row>
    <row r="16" spans="1:45" ht="12.75" customHeight="1" x14ac:dyDescent="0.25">
      <c r="A16" s="45" t="s">
        <v>174</v>
      </c>
      <c r="B16" s="64" t="s">
        <v>94</v>
      </c>
      <c r="C16" s="65" t="s">
        <v>86</v>
      </c>
      <c r="D16" s="66" t="s">
        <v>95</v>
      </c>
      <c r="E16" s="86">
        <v>1726</v>
      </c>
      <c r="F16" s="87">
        <v>441</v>
      </c>
      <c r="G16" s="87">
        <v>1227</v>
      </c>
      <c r="H16" s="87">
        <v>1136</v>
      </c>
      <c r="I16" s="86">
        <v>972</v>
      </c>
      <c r="J16" s="87">
        <v>570</v>
      </c>
      <c r="K16" s="87">
        <v>718</v>
      </c>
      <c r="L16" s="87">
        <v>2444</v>
      </c>
      <c r="M16" s="87">
        <v>3007</v>
      </c>
      <c r="N16" s="87">
        <v>3488</v>
      </c>
      <c r="O16" s="87">
        <v>4145</v>
      </c>
      <c r="P16" s="87">
        <v>1218</v>
      </c>
      <c r="Q16" s="88">
        <v>5101</v>
      </c>
      <c r="R16" s="87">
        <v>-76</v>
      </c>
      <c r="S16" s="86">
        <v>42</v>
      </c>
      <c r="T16" s="86">
        <v>421</v>
      </c>
      <c r="U16" s="86">
        <v>0</v>
      </c>
      <c r="V16" s="86">
        <v>348</v>
      </c>
      <c r="W16" s="86">
        <v>912</v>
      </c>
      <c r="X16" s="86">
        <v>1353</v>
      </c>
      <c r="Y16" s="87">
        <v>10126</v>
      </c>
      <c r="Z16" s="86">
        <v>4620</v>
      </c>
      <c r="AA16" s="86">
        <v>6329</v>
      </c>
      <c r="AB16" s="86">
        <v>9003</v>
      </c>
      <c r="AC16" s="86">
        <v>9897</v>
      </c>
      <c r="AD16" s="89">
        <v>6817</v>
      </c>
      <c r="AE16" s="88">
        <v>4812</v>
      </c>
      <c r="AF16" s="88">
        <v>5629</v>
      </c>
      <c r="AG16" s="88">
        <v>4948</v>
      </c>
      <c r="AH16" s="88">
        <v>5298</v>
      </c>
      <c r="AI16" s="88">
        <v>7904</v>
      </c>
      <c r="AJ16" s="90">
        <v>7800</v>
      </c>
      <c r="AK16" s="87">
        <v>3742</v>
      </c>
      <c r="AL16" s="87">
        <v>2027</v>
      </c>
      <c r="AM16" s="91">
        <f>IFERROR(AL16/AJ16,0)</f>
        <v>0.25987179487179485</v>
      </c>
      <c r="AN16" s="87">
        <f>+AK16+AL16</f>
        <v>5769</v>
      </c>
      <c r="AO16" s="92">
        <f>IFERROR(+AN16/AJ16,0)</f>
        <v>0.73961538461538456</v>
      </c>
      <c r="AP16" s="50"/>
      <c r="AQ16" s="50"/>
    </row>
    <row r="17" spans="1:45" ht="12.75" customHeight="1" thickBot="1" x14ac:dyDescent="0.3">
      <c r="A17" s="45" t="s">
        <v>174</v>
      </c>
      <c r="B17" s="75" t="s">
        <v>94</v>
      </c>
      <c r="C17" s="76" t="s">
        <v>86</v>
      </c>
      <c r="D17" s="77" t="s">
        <v>96</v>
      </c>
      <c r="E17" s="78">
        <v>2513</v>
      </c>
      <c r="F17" s="79">
        <v>7919</v>
      </c>
      <c r="G17" s="79">
        <v>2914</v>
      </c>
      <c r="H17" s="79">
        <v>4800</v>
      </c>
      <c r="I17" s="78">
        <v>1472</v>
      </c>
      <c r="J17" s="79">
        <v>865</v>
      </c>
      <c r="K17" s="79">
        <v>2382</v>
      </c>
      <c r="L17" s="79">
        <v>5298</v>
      </c>
      <c r="M17" s="79">
        <v>5685</v>
      </c>
      <c r="N17" s="79">
        <v>2683</v>
      </c>
      <c r="O17" s="79">
        <v>7274</v>
      </c>
      <c r="P17" s="79">
        <v>3757</v>
      </c>
      <c r="Q17" s="80">
        <v>5446</v>
      </c>
      <c r="R17" s="79">
        <v>2322</v>
      </c>
      <c r="S17" s="78">
        <v>1534</v>
      </c>
      <c r="T17" s="78">
        <v>3829</v>
      </c>
      <c r="U17" s="78">
        <v>557</v>
      </c>
      <c r="V17" s="78">
        <v>2404</v>
      </c>
      <c r="W17" s="78">
        <v>2243</v>
      </c>
      <c r="X17" s="78">
        <v>5101</v>
      </c>
      <c r="Y17" s="79">
        <v>7470</v>
      </c>
      <c r="Z17" s="78">
        <v>8612</v>
      </c>
      <c r="AA17" s="78">
        <v>6285</v>
      </c>
      <c r="AB17" s="78">
        <v>5206</v>
      </c>
      <c r="AC17" s="78">
        <v>4585</v>
      </c>
      <c r="AD17" s="81">
        <v>3940</v>
      </c>
      <c r="AE17" s="93">
        <v>2771</v>
      </c>
      <c r="AF17" s="93">
        <v>4135</v>
      </c>
      <c r="AG17" s="93">
        <v>3622</v>
      </c>
      <c r="AH17" s="93">
        <v>3622</v>
      </c>
      <c r="AI17" s="93">
        <v>5384</v>
      </c>
      <c r="AJ17" s="94">
        <v>4900</v>
      </c>
      <c r="AK17" s="95">
        <v>3945</v>
      </c>
      <c r="AL17" s="95">
        <v>1489</v>
      </c>
      <c r="AM17" s="96">
        <f>IFERROR(AL17/AJ17,0)</f>
        <v>0.30387755102040814</v>
      </c>
      <c r="AN17" s="95">
        <f>+AK17+AL17</f>
        <v>5434</v>
      </c>
      <c r="AO17" s="97">
        <f>IFERROR(+AN17/AJ17,0)</f>
        <v>1.1089795918367347</v>
      </c>
      <c r="AP17" s="50"/>
      <c r="AQ17" s="50"/>
    </row>
    <row r="18" spans="1:45" s="109" customFormat="1" ht="12.75" customHeight="1" thickBot="1" x14ac:dyDescent="0.35">
      <c r="A18" s="45" t="s">
        <v>174</v>
      </c>
      <c r="B18" s="98"/>
      <c r="C18" s="99"/>
      <c r="D18" s="100" t="s">
        <v>97</v>
      </c>
      <c r="E18" s="101">
        <f t="shared" ref="E18:AD18" si="6">+SUM(E3:E17)</f>
        <v>43269</v>
      </c>
      <c r="F18" s="102">
        <f t="shared" si="6"/>
        <v>37569</v>
      </c>
      <c r="G18" s="102">
        <f t="shared" si="6"/>
        <v>18261</v>
      </c>
      <c r="H18" s="102">
        <f t="shared" si="6"/>
        <v>35100</v>
      </c>
      <c r="I18" s="102">
        <f t="shared" si="6"/>
        <v>27916</v>
      </c>
      <c r="J18" s="102">
        <f t="shared" si="6"/>
        <v>23095</v>
      </c>
      <c r="K18" s="102">
        <f t="shared" si="6"/>
        <v>13292</v>
      </c>
      <c r="L18" s="102">
        <f t="shared" si="6"/>
        <v>45221</v>
      </c>
      <c r="M18" s="102">
        <f t="shared" si="6"/>
        <v>32236</v>
      </c>
      <c r="N18" s="102">
        <f t="shared" si="6"/>
        <v>55132</v>
      </c>
      <c r="O18" s="102">
        <f t="shared" si="6"/>
        <v>61796</v>
      </c>
      <c r="P18" s="102">
        <f t="shared" si="6"/>
        <v>47767</v>
      </c>
      <c r="Q18" s="103">
        <f t="shared" si="6"/>
        <v>32026</v>
      </c>
      <c r="R18" s="102">
        <f t="shared" si="6"/>
        <v>23843</v>
      </c>
      <c r="S18" s="101">
        <f t="shared" si="6"/>
        <v>11819</v>
      </c>
      <c r="T18" s="101">
        <f t="shared" si="6"/>
        <v>23572</v>
      </c>
      <c r="U18" s="101">
        <f t="shared" si="6"/>
        <v>14977</v>
      </c>
      <c r="V18" s="101">
        <f t="shared" si="6"/>
        <v>16178</v>
      </c>
      <c r="W18" s="101">
        <f t="shared" si="6"/>
        <v>14467</v>
      </c>
      <c r="X18" s="101">
        <f t="shared" si="6"/>
        <v>52514</v>
      </c>
      <c r="Y18" s="102">
        <f t="shared" si="6"/>
        <v>38882</v>
      </c>
      <c r="Z18" s="101">
        <f t="shared" si="6"/>
        <v>33995</v>
      </c>
      <c r="AA18" s="101">
        <f t="shared" si="6"/>
        <v>51764</v>
      </c>
      <c r="AB18" s="101">
        <f t="shared" si="6"/>
        <v>56064</v>
      </c>
      <c r="AC18" s="101">
        <f t="shared" si="6"/>
        <v>49536</v>
      </c>
      <c r="AD18" s="104">
        <f t="shared" si="6"/>
        <v>39487</v>
      </c>
      <c r="AE18" s="103">
        <v>32374</v>
      </c>
      <c r="AF18" s="103">
        <v>20232</v>
      </c>
      <c r="AG18" s="103">
        <v>16729</v>
      </c>
      <c r="AH18" s="103">
        <v>21270</v>
      </c>
      <c r="AI18" s="103">
        <v>29740</v>
      </c>
      <c r="AJ18" s="105">
        <v>25000</v>
      </c>
      <c r="AK18" s="102">
        <f t="shared" ref="AK18:AN18" si="7">+SUM(AK3:AK17)</f>
        <v>26355</v>
      </c>
      <c r="AL18" s="102">
        <f t="shared" si="7"/>
        <v>13065</v>
      </c>
      <c r="AM18" s="106">
        <f t="shared" si="0"/>
        <v>0.52259999999999995</v>
      </c>
      <c r="AN18" s="102">
        <f t="shared" si="7"/>
        <v>39420</v>
      </c>
      <c r="AO18" s="107">
        <f t="shared" si="2"/>
        <v>1.5768</v>
      </c>
      <c r="AP18" s="49"/>
      <c r="AQ18" s="49"/>
      <c r="AR18" s="108"/>
      <c r="AS18" s="47"/>
    </row>
    <row r="19" spans="1:45" ht="12.75" customHeight="1" x14ac:dyDescent="0.25">
      <c r="A19" s="45" t="s">
        <v>174</v>
      </c>
      <c r="B19" s="64" t="s">
        <v>98</v>
      </c>
      <c r="C19" s="65" t="s">
        <v>99</v>
      </c>
      <c r="D19" s="66" t="s">
        <v>100</v>
      </c>
      <c r="E19" s="67">
        <v>0</v>
      </c>
      <c r="F19" s="68">
        <v>0</v>
      </c>
      <c r="G19" s="68">
        <v>0</v>
      </c>
      <c r="H19" s="68">
        <v>0</v>
      </c>
      <c r="I19" s="68">
        <v>0</v>
      </c>
      <c r="J19" s="68">
        <v>0</v>
      </c>
      <c r="K19" s="68">
        <v>0</v>
      </c>
      <c r="L19" s="68">
        <v>623</v>
      </c>
      <c r="M19" s="68">
        <v>919</v>
      </c>
      <c r="N19" s="68">
        <v>3713</v>
      </c>
      <c r="O19" s="68">
        <v>1626</v>
      </c>
      <c r="P19" s="68">
        <v>2578</v>
      </c>
      <c r="Q19" s="69">
        <v>1050</v>
      </c>
      <c r="R19" s="68">
        <v>999</v>
      </c>
      <c r="S19" s="67">
        <v>980</v>
      </c>
      <c r="T19" s="67">
        <v>1094</v>
      </c>
      <c r="U19" s="67">
        <v>1485</v>
      </c>
      <c r="V19" s="67">
        <v>875</v>
      </c>
      <c r="W19" s="67">
        <v>1372</v>
      </c>
      <c r="X19" s="67">
        <v>1082</v>
      </c>
      <c r="Y19" s="68">
        <v>1219</v>
      </c>
      <c r="Z19" s="67">
        <v>3167</v>
      </c>
      <c r="AA19" s="67">
        <v>3750</v>
      </c>
      <c r="AB19" s="67">
        <v>1539</v>
      </c>
      <c r="AC19" s="67">
        <v>857</v>
      </c>
      <c r="AD19" s="70">
        <v>601</v>
      </c>
      <c r="AE19" s="69">
        <v>701</v>
      </c>
      <c r="AF19" s="69">
        <v>1057</v>
      </c>
      <c r="AG19" s="69">
        <v>1154</v>
      </c>
      <c r="AH19" s="69">
        <v>859</v>
      </c>
      <c r="AI19" s="69">
        <v>1638</v>
      </c>
      <c r="AJ19" s="110">
        <v>1100</v>
      </c>
      <c r="AK19" s="68">
        <v>175</v>
      </c>
      <c r="AL19" s="68">
        <v>225</v>
      </c>
      <c r="AM19" s="111">
        <f>IFERROR(AL19/AJ19,0)</f>
        <v>0.20454545454545456</v>
      </c>
      <c r="AN19" s="68">
        <f>+AK19+AL19</f>
        <v>400</v>
      </c>
      <c r="AO19" s="112">
        <f>IFERROR(+AN19/AJ19,0)</f>
        <v>0.36363636363636365</v>
      </c>
      <c r="AP19" s="50"/>
      <c r="AQ19" s="50"/>
    </row>
    <row r="20" spans="1:45" ht="12.75" customHeight="1" x14ac:dyDescent="0.25">
      <c r="A20" s="45" t="s">
        <v>174</v>
      </c>
      <c r="B20" s="75" t="s">
        <v>98</v>
      </c>
      <c r="C20" s="113" t="s">
        <v>99</v>
      </c>
      <c r="D20" s="77" t="s">
        <v>101</v>
      </c>
      <c r="E20" s="78">
        <v>0</v>
      </c>
      <c r="F20" s="79">
        <v>0</v>
      </c>
      <c r="G20" s="79">
        <v>0</v>
      </c>
      <c r="H20" s="79">
        <v>0</v>
      </c>
      <c r="I20" s="79">
        <v>0</v>
      </c>
      <c r="J20" s="79">
        <v>0</v>
      </c>
      <c r="K20" s="79">
        <v>0</v>
      </c>
      <c r="L20" s="79">
        <v>1005</v>
      </c>
      <c r="M20" s="79">
        <v>3139</v>
      </c>
      <c r="N20" s="79">
        <v>4080</v>
      </c>
      <c r="O20" s="79">
        <v>6050</v>
      </c>
      <c r="P20" s="79">
        <v>2435</v>
      </c>
      <c r="Q20" s="80">
        <v>2702</v>
      </c>
      <c r="R20" s="79">
        <v>1211</v>
      </c>
      <c r="S20" s="78">
        <v>1624</v>
      </c>
      <c r="T20" s="78">
        <v>1882</v>
      </c>
      <c r="U20" s="78">
        <v>1009</v>
      </c>
      <c r="V20" s="78">
        <v>1553</v>
      </c>
      <c r="W20" s="78">
        <v>2418</v>
      </c>
      <c r="X20" s="78">
        <v>1981</v>
      </c>
      <c r="Y20" s="79">
        <v>2666</v>
      </c>
      <c r="Z20" s="78">
        <v>2666</v>
      </c>
      <c r="AA20" s="78">
        <v>6330</v>
      </c>
      <c r="AB20" s="78">
        <v>4851</v>
      </c>
      <c r="AC20" s="78">
        <v>4550</v>
      </c>
      <c r="AD20" s="81">
        <v>1357</v>
      </c>
      <c r="AE20" s="80">
        <v>2330</v>
      </c>
      <c r="AF20" s="80">
        <v>2670</v>
      </c>
      <c r="AG20" s="80">
        <v>2897</v>
      </c>
      <c r="AH20" s="80">
        <v>4284</v>
      </c>
      <c r="AI20" s="80">
        <v>3552</v>
      </c>
      <c r="AJ20" s="114">
        <v>3500</v>
      </c>
      <c r="AK20" s="79">
        <v>1699</v>
      </c>
      <c r="AL20" s="79">
        <v>1281</v>
      </c>
      <c r="AM20" s="83">
        <f>IFERROR(AL20/AJ20,0)</f>
        <v>0.36599999999999999</v>
      </c>
      <c r="AN20" s="79">
        <f>+AK20+AL20</f>
        <v>2980</v>
      </c>
      <c r="AO20" s="84">
        <f>IFERROR(+AN20/AJ20,0)</f>
        <v>0.85142857142857142</v>
      </c>
      <c r="AP20" s="50"/>
      <c r="AQ20" s="50"/>
    </row>
    <row r="21" spans="1:45" ht="12.75" customHeight="1" thickBot="1" x14ac:dyDescent="0.3">
      <c r="A21" s="45" t="s">
        <v>174</v>
      </c>
      <c r="B21" s="64" t="s">
        <v>98</v>
      </c>
      <c r="C21" s="65" t="s">
        <v>99</v>
      </c>
      <c r="D21" s="66" t="s">
        <v>102</v>
      </c>
      <c r="E21" s="86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68</v>
      </c>
      <c r="M21" s="87">
        <v>506</v>
      </c>
      <c r="N21" s="87">
        <v>3155</v>
      </c>
      <c r="O21" s="87">
        <v>5584</v>
      </c>
      <c r="P21" s="87">
        <v>5719</v>
      </c>
      <c r="Q21" s="88">
        <v>4650</v>
      </c>
      <c r="R21" s="87">
        <v>2546</v>
      </c>
      <c r="S21" s="86">
        <v>823</v>
      </c>
      <c r="T21" s="86">
        <v>1948</v>
      </c>
      <c r="U21" s="86">
        <v>994</v>
      </c>
      <c r="V21" s="86">
        <v>1581</v>
      </c>
      <c r="W21" s="86">
        <v>1798</v>
      </c>
      <c r="X21" s="86">
        <v>2057</v>
      </c>
      <c r="Y21" s="87">
        <v>4873</v>
      </c>
      <c r="Z21" s="86">
        <v>11449</v>
      </c>
      <c r="AA21" s="86">
        <v>7778</v>
      </c>
      <c r="AB21" s="86">
        <v>6814</v>
      </c>
      <c r="AC21" s="86">
        <v>6044</v>
      </c>
      <c r="AD21" s="89">
        <v>4120</v>
      </c>
      <c r="AE21" s="88">
        <v>3530</v>
      </c>
      <c r="AF21" s="88">
        <v>2447</v>
      </c>
      <c r="AG21" s="88">
        <v>3043</v>
      </c>
      <c r="AH21" s="88">
        <v>2906</v>
      </c>
      <c r="AI21" s="88">
        <v>3153</v>
      </c>
      <c r="AJ21" s="115">
        <v>3400</v>
      </c>
      <c r="AK21" s="87">
        <v>1957</v>
      </c>
      <c r="AL21" s="87">
        <v>3208</v>
      </c>
      <c r="AM21" s="91">
        <f>IFERROR(AL21/AJ21,0)</f>
        <v>0.94352941176470584</v>
      </c>
      <c r="AN21" s="87">
        <f>+AK21+AL21</f>
        <v>5165</v>
      </c>
      <c r="AO21" s="92">
        <f>IFERROR(+AN21/AJ21,0)</f>
        <v>1.5191176470588235</v>
      </c>
      <c r="AP21" s="50"/>
      <c r="AQ21" s="50"/>
    </row>
    <row r="22" spans="1:45" s="109" customFormat="1" ht="12.75" customHeight="1" thickBot="1" x14ac:dyDescent="0.35">
      <c r="A22" s="45" t="s">
        <v>174</v>
      </c>
      <c r="B22" s="98"/>
      <c r="C22" s="99"/>
      <c r="D22" s="100" t="s">
        <v>103</v>
      </c>
      <c r="E22" s="101">
        <f t="shared" ref="E22:X22" si="8">+SUM(E19:E21)</f>
        <v>0</v>
      </c>
      <c r="F22" s="102">
        <f t="shared" si="8"/>
        <v>0</v>
      </c>
      <c r="G22" s="102">
        <f t="shared" si="8"/>
        <v>0</v>
      </c>
      <c r="H22" s="102">
        <f t="shared" si="8"/>
        <v>0</v>
      </c>
      <c r="I22" s="102">
        <f t="shared" si="8"/>
        <v>0</v>
      </c>
      <c r="J22" s="102">
        <f t="shared" si="8"/>
        <v>0</v>
      </c>
      <c r="K22" s="102">
        <f t="shared" si="8"/>
        <v>0</v>
      </c>
      <c r="L22" s="102">
        <f t="shared" si="8"/>
        <v>1696</v>
      </c>
      <c r="M22" s="102">
        <f t="shared" si="8"/>
        <v>4564</v>
      </c>
      <c r="N22" s="102">
        <f t="shared" si="8"/>
        <v>10948</v>
      </c>
      <c r="O22" s="102">
        <f t="shared" si="8"/>
        <v>13260</v>
      </c>
      <c r="P22" s="102">
        <f t="shared" si="8"/>
        <v>10732</v>
      </c>
      <c r="Q22" s="103">
        <f t="shared" si="8"/>
        <v>8402</v>
      </c>
      <c r="R22" s="102">
        <f t="shared" si="8"/>
        <v>4756</v>
      </c>
      <c r="S22" s="101">
        <v>3427</v>
      </c>
      <c r="T22" s="101">
        <f t="shared" si="8"/>
        <v>4924</v>
      </c>
      <c r="U22" s="101">
        <f t="shared" si="8"/>
        <v>3488</v>
      </c>
      <c r="V22" s="101">
        <f t="shared" si="8"/>
        <v>4009</v>
      </c>
      <c r="W22" s="101">
        <v>5588</v>
      </c>
      <c r="X22" s="101">
        <f t="shared" si="8"/>
        <v>5120</v>
      </c>
      <c r="Y22" s="102">
        <v>8758</v>
      </c>
      <c r="Z22" s="101">
        <v>17282</v>
      </c>
      <c r="AA22" s="101">
        <v>17858</v>
      </c>
      <c r="AB22" s="101">
        <v>13204</v>
      </c>
      <c r="AC22" s="101">
        <v>11451</v>
      </c>
      <c r="AD22" s="104">
        <v>6078</v>
      </c>
      <c r="AE22" s="103">
        <v>6561</v>
      </c>
      <c r="AF22" s="103">
        <v>6174</v>
      </c>
      <c r="AG22" s="103">
        <v>7094</v>
      </c>
      <c r="AH22" s="103">
        <v>8049</v>
      </c>
      <c r="AI22" s="103">
        <v>8343</v>
      </c>
      <c r="AJ22" s="105">
        <v>8000</v>
      </c>
      <c r="AK22" s="102">
        <f t="shared" ref="AK22:AN22" si="9">+SUM(AK19:AK21)</f>
        <v>3831</v>
      </c>
      <c r="AL22" s="102">
        <f t="shared" si="9"/>
        <v>4714</v>
      </c>
      <c r="AM22" s="106">
        <f t="shared" ref="AM22:AM23" si="10">IFERROR(AL22/AJ22,0)</f>
        <v>0.58925000000000005</v>
      </c>
      <c r="AN22" s="102">
        <f t="shared" si="9"/>
        <v>8545</v>
      </c>
      <c r="AO22" s="107">
        <f t="shared" ref="AO22:AO28" si="11">IFERROR(+AN22/AJ22,0)</f>
        <v>1.068125</v>
      </c>
      <c r="AP22" s="49"/>
      <c r="AQ22" s="49"/>
      <c r="AR22" s="108"/>
      <c r="AS22" s="47"/>
    </row>
    <row r="23" spans="1:45" ht="12.75" customHeight="1" x14ac:dyDescent="0.25">
      <c r="A23" s="45" t="s">
        <v>174</v>
      </c>
      <c r="B23" s="64" t="s">
        <v>104</v>
      </c>
      <c r="C23" s="65" t="s">
        <v>105</v>
      </c>
      <c r="D23" s="66" t="s">
        <v>106</v>
      </c>
      <c r="E23" s="86">
        <v>2082</v>
      </c>
      <c r="F23" s="87">
        <v>1044</v>
      </c>
      <c r="G23" s="87">
        <v>770</v>
      </c>
      <c r="H23" s="87">
        <v>511</v>
      </c>
      <c r="I23" s="86">
        <v>600</v>
      </c>
      <c r="J23" s="87">
        <v>225</v>
      </c>
      <c r="K23" s="87">
        <v>105</v>
      </c>
      <c r="L23" s="87">
        <v>1050</v>
      </c>
      <c r="M23" s="87">
        <v>335</v>
      </c>
      <c r="N23" s="87">
        <v>0</v>
      </c>
      <c r="O23" s="87">
        <v>1440</v>
      </c>
      <c r="P23" s="87">
        <v>1655</v>
      </c>
      <c r="Q23" s="88">
        <v>600</v>
      </c>
      <c r="R23" s="87">
        <v>895</v>
      </c>
      <c r="S23" s="86">
        <v>370</v>
      </c>
      <c r="T23" s="86">
        <v>180</v>
      </c>
      <c r="U23" s="86">
        <v>438</v>
      </c>
      <c r="V23" s="86">
        <v>72</v>
      </c>
      <c r="W23" s="86">
        <v>466</v>
      </c>
      <c r="X23" s="86">
        <v>1127</v>
      </c>
      <c r="Y23" s="87">
        <v>1250</v>
      </c>
      <c r="Z23" s="86">
        <v>500</v>
      </c>
      <c r="AA23" s="86">
        <v>704</v>
      </c>
      <c r="AB23" s="86">
        <v>800</v>
      </c>
      <c r="AC23" s="86">
        <v>374</v>
      </c>
      <c r="AD23" s="89">
        <v>545</v>
      </c>
      <c r="AE23" s="88">
        <v>425</v>
      </c>
      <c r="AF23" s="88">
        <v>485</v>
      </c>
      <c r="AG23" s="88">
        <v>360</v>
      </c>
      <c r="AH23" s="88">
        <v>560</v>
      </c>
      <c r="AI23" s="88">
        <v>350</v>
      </c>
      <c r="AJ23" s="90">
        <v>700</v>
      </c>
      <c r="AK23" s="87">
        <v>0</v>
      </c>
      <c r="AL23" s="87">
        <v>0</v>
      </c>
      <c r="AM23" s="91">
        <f t="shared" si="10"/>
        <v>0</v>
      </c>
      <c r="AN23" s="87">
        <f>+AK23+AL23</f>
        <v>0</v>
      </c>
      <c r="AO23" s="92">
        <f>IFERROR(+AN23/AJ23,0)</f>
        <v>0</v>
      </c>
      <c r="AP23" s="50"/>
      <c r="AQ23" s="50"/>
    </row>
    <row r="24" spans="1:45" ht="12.75" customHeight="1" x14ac:dyDescent="0.25">
      <c r="A24" s="45" t="s">
        <v>174</v>
      </c>
      <c r="B24" s="75" t="s">
        <v>107</v>
      </c>
      <c r="C24" s="76" t="s">
        <v>105</v>
      </c>
      <c r="D24" s="77" t="s">
        <v>108</v>
      </c>
      <c r="E24" s="78">
        <v>2455</v>
      </c>
      <c r="F24" s="79">
        <v>2265</v>
      </c>
      <c r="G24" s="79">
        <v>2350</v>
      </c>
      <c r="H24" s="79">
        <v>3220</v>
      </c>
      <c r="I24" s="78">
        <v>4735</v>
      </c>
      <c r="J24" s="79">
        <v>2940</v>
      </c>
      <c r="K24" s="79">
        <v>2275</v>
      </c>
      <c r="L24" s="79">
        <v>2380</v>
      </c>
      <c r="M24" s="79">
        <v>2667</v>
      </c>
      <c r="N24" s="79">
        <v>3260</v>
      </c>
      <c r="O24" s="79">
        <v>3400</v>
      </c>
      <c r="P24" s="79">
        <v>1200</v>
      </c>
      <c r="Q24" s="80">
        <v>610</v>
      </c>
      <c r="R24" s="79">
        <v>400</v>
      </c>
      <c r="S24" s="78">
        <v>370</v>
      </c>
      <c r="T24" s="78">
        <v>50</v>
      </c>
      <c r="U24" s="78">
        <v>0</v>
      </c>
      <c r="V24" s="78">
        <v>0</v>
      </c>
      <c r="W24" s="78">
        <v>75</v>
      </c>
      <c r="X24" s="78">
        <v>25</v>
      </c>
      <c r="Y24" s="79">
        <v>975</v>
      </c>
      <c r="Z24" s="78">
        <v>635</v>
      </c>
      <c r="AA24" s="78">
        <v>1950</v>
      </c>
      <c r="AB24" s="78">
        <v>1175</v>
      </c>
      <c r="AC24" s="78">
        <v>886</v>
      </c>
      <c r="AD24" s="81">
        <v>0</v>
      </c>
      <c r="AE24" s="80">
        <v>115</v>
      </c>
      <c r="AF24" s="80">
        <v>100</v>
      </c>
      <c r="AG24" s="80">
        <v>125</v>
      </c>
      <c r="AH24" s="80">
        <v>100</v>
      </c>
      <c r="AI24" s="80">
        <v>75</v>
      </c>
      <c r="AJ24" s="82">
        <v>300</v>
      </c>
      <c r="AK24" s="79">
        <v>25</v>
      </c>
      <c r="AL24" s="79">
        <v>0</v>
      </c>
      <c r="AM24" s="83">
        <f>IFERROR(AL24/AJ24,0)</f>
        <v>0</v>
      </c>
      <c r="AN24" s="79">
        <f t="shared" ref="AN24:AN27" si="12">+AK24+AL24</f>
        <v>25</v>
      </c>
      <c r="AO24" s="84">
        <f t="shared" si="11"/>
        <v>8.3333333333333329E-2</v>
      </c>
      <c r="AP24" s="50"/>
      <c r="AQ24" s="50"/>
    </row>
    <row r="25" spans="1:45" ht="12.75" customHeight="1" x14ac:dyDescent="0.25">
      <c r="A25" s="45" t="s">
        <v>174</v>
      </c>
      <c r="B25" s="64" t="s">
        <v>109</v>
      </c>
      <c r="C25" s="65" t="s">
        <v>105</v>
      </c>
      <c r="D25" s="66" t="s">
        <v>110</v>
      </c>
      <c r="E25" s="86">
        <v>3135</v>
      </c>
      <c r="F25" s="87">
        <v>550</v>
      </c>
      <c r="G25" s="87">
        <v>1250</v>
      </c>
      <c r="H25" s="87">
        <v>3685</v>
      </c>
      <c r="I25" s="86">
        <v>2750</v>
      </c>
      <c r="J25" s="87">
        <v>1175</v>
      </c>
      <c r="K25" s="87">
        <v>2300</v>
      </c>
      <c r="L25" s="87">
        <v>3750</v>
      </c>
      <c r="M25" s="87">
        <v>4485</v>
      </c>
      <c r="N25" s="87">
        <v>5574</v>
      </c>
      <c r="O25" s="87">
        <v>4090</v>
      </c>
      <c r="P25" s="87">
        <v>1890</v>
      </c>
      <c r="Q25" s="88">
        <v>1580</v>
      </c>
      <c r="R25" s="87">
        <v>2905</v>
      </c>
      <c r="S25" s="86">
        <v>712</v>
      </c>
      <c r="T25" s="86">
        <v>450</v>
      </c>
      <c r="U25" s="86">
        <v>-5</v>
      </c>
      <c r="V25" s="86">
        <v>0</v>
      </c>
      <c r="W25" s="86">
        <v>475</v>
      </c>
      <c r="X25" s="86">
        <v>1010</v>
      </c>
      <c r="Y25" s="87">
        <v>1774</v>
      </c>
      <c r="Z25" s="86">
        <v>950</v>
      </c>
      <c r="AA25" s="86">
        <v>925</v>
      </c>
      <c r="AB25" s="86">
        <v>1675</v>
      </c>
      <c r="AC25" s="86">
        <v>1540</v>
      </c>
      <c r="AD25" s="89">
        <v>775</v>
      </c>
      <c r="AE25" s="88">
        <v>500</v>
      </c>
      <c r="AF25" s="88">
        <v>545</v>
      </c>
      <c r="AG25" s="88">
        <v>665</v>
      </c>
      <c r="AH25" s="88">
        <v>1020</v>
      </c>
      <c r="AI25" s="88">
        <v>700</v>
      </c>
      <c r="AJ25" s="90">
        <v>700</v>
      </c>
      <c r="AK25" s="87">
        <v>0</v>
      </c>
      <c r="AL25" s="87">
        <v>0</v>
      </c>
      <c r="AM25" s="91">
        <f>IFERROR(AL25/AJ25,0)</f>
        <v>0</v>
      </c>
      <c r="AN25" s="87">
        <f t="shared" si="12"/>
        <v>0</v>
      </c>
      <c r="AO25" s="92">
        <f t="shared" si="11"/>
        <v>0</v>
      </c>
      <c r="AP25" s="50"/>
      <c r="AQ25" s="50"/>
    </row>
    <row r="26" spans="1:45" ht="12.75" customHeight="1" x14ac:dyDescent="0.25">
      <c r="A26" s="45" t="s">
        <v>174</v>
      </c>
      <c r="B26" s="75" t="s">
        <v>109</v>
      </c>
      <c r="C26" s="76" t="s">
        <v>105</v>
      </c>
      <c r="D26" s="77" t="s">
        <v>111</v>
      </c>
      <c r="E26" s="78">
        <v>110</v>
      </c>
      <c r="F26" s="79">
        <v>805</v>
      </c>
      <c r="G26" s="79">
        <v>820</v>
      </c>
      <c r="H26" s="79">
        <v>1250</v>
      </c>
      <c r="I26" s="78">
        <v>2275</v>
      </c>
      <c r="J26" s="79">
        <v>845</v>
      </c>
      <c r="K26" s="79">
        <v>150</v>
      </c>
      <c r="L26" s="79">
        <v>375</v>
      </c>
      <c r="M26" s="79">
        <v>1025</v>
      </c>
      <c r="N26" s="79">
        <v>945</v>
      </c>
      <c r="O26" s="79">
        <v>445</v>
      </c>
      <c r="P26" s="79">
        <v>200</v>
      </c>
      <c r="Q26" s="80">
        <v>50</v>
      </c>
      <c r="R26" s="79">
        <v>50</v>
      </c>
      <c r="S26" s="78">
        <v>25</v>
      </c>
      <c r="T26" s="78">
        <v>50</v>
      </c>
      <c r="U26" s="78">
        <v>0</v>
      </c>
      <c r="V26" s="78">
        <v>10</v>
      </c>
      <c r="W26" s="78">
        <v>75</v>
      </c>
      <c r="X26" s="78">
        <v>75</v>
      </c>
      <c r="Y26" s="79">
        <v>100</v>
      </c>
      <c r="Z26" s="78">
        <v>75</v>
      </c>
      <c r="AA26" s="78">
        <v>100</v>
      </c>
      <c r="AB26" s="78">
        <v>50</v>
      </c>
      <c r="AC26" s="78">
        <v>200</v>
      </c>
      <c r="AD26" s="81">
        <v>50</v>
      </c>
      <c r="AE26" s="80">
        <v>150</v>
      </c>
      <c r="AF26" s="80">
        <v>25</v>
      </c>
      <c r="AG26" s="80">
        <v>25</v>
      </c>
      <c r="AH26" s="80">
        <v>25</v>
      </c>
      <c r="AI26" s="80">
        <v>25</v>
      </c>
      <c r="AJ26" s="82">
        <v>300</v>
      </c>
      <c r="AK26" s="79">
        <v>0</v>
      </c>
      <c r="AL26" s="79">
        <v>0</v>
      </c>
      <c r="AM26" s="83">
        <f>IFERROR(AL26/AJ26,0)</f>
        <v>0</v>
      </c>
      <c r="AN26" s="79">
        <f t="shared" si="12"/>
        <v>0</v>
      </c>
      <c r="AO26" s="84">
        <f t="shared" si="11"/>
        <v>0</v>
      </c>
      <c r="AP26" s="50"/>
      <c r="AQ26" s="50"/>
    </row>
    <row r="27" spans="1:45" ht="12.75" customHeight="1" thickBot="1" x14ac:dyDescent="0.3">
      <c r="A27" s="45" t="s">
        <v>174</v>
      </c>
      <c r="B27" s="64" t="s">
        <v>112</v>
      </c>
      <c r="C27" s="65" t="s">
        <v>105</v>
      </c>
      <c r="D27" s="66" t="s">
        <v>113</v>
      </c>
      <c r="E27" s="86">
        <v>150</v>
      </c>
      <c r="F27" s="87">
        <v>450</v>
      </c>
      <c r="G27" s="87">
        <v>450</v>
      </c>
      <c r="H27" s="87">
        <v>1240</v>
      </c>
      <c r="I27" s="86">
        <v>200</v>
      </c>
      <c r="J27" s="87">
        <v>245</v>
      </c>
      <c r="K27" s="87">
        <v>1135</v>
      </c>
      <c r="L27" s="87">
        <v>620</v>
      </c>
      <c r="M27" s="87">
        <v>11475</v>
      </c>
      <c r="N27" s="87">
        <v>645</v>
      </c>
      <c r="O27" s="87">
        <v>2395</v>
      </c>
      <c r="P27" s="87">
        <v>315</v>
      </c>
      <c r="Q27" s="88">
        <v>100</v>
      </c>
      <c r="R27" s="87">
        <v>320</v>
      </c>
      <c r="S27" s="86">
        <v>200</v>
      </c>
      <c r="T27" s="86">
        <v>25</v>
      </c>
      <c r="U27" s="86">
        <v>50</v>
      </c>
      <c r="V27" s="86">
        <v>0</v>
      </c>
      <c r="W27" s="86">
        <v>450</v>
      </c>
      <c r="X27" s="86">
        <v>1310</v>
      </c>
      <c r="Y27" s="87">
        <v>2005</v>
      </c>
      <c r="Z27" s="86">
        <v>360</v>
      </c>
      <c r="AA27" s="86">
        <v>1735</v>
      </c>
      <c r="AB27" s="86">
        <v>2070</v>
      </c>
      <c r="AC27" s="86">
        <v>1600</v>
      </c>
      <c r="AD27" s="89">
        <v>175</v>
      </c>
      <c r="AE27" s="88">
        <v>245</v>
      </c>
      <c r="AF27" s="88">
        <v>-108</v>
      </c>
      <c r="AG27" s="88">
        <v>619</v>
      </c>
      <c r="AH27" s="88">
        <v>765</v>
      </c>
      <c r="AI27" s="88">
        <v>1100</v>
      </c>
      <c r="AJ27" s="90">
        <v>1000</v>
      </c>
      <c r="AK27" s="87">
        <v>0</v>
      </c>
      <c r="AL27" s="87">
        <v>528</v>
      </c>
      <c r="AM27" s="91">
        <f t="shared" ref="AM27:AM28" si="13">IFERROR(AL27/AJ27,0)</f>
        <v>0.52800000000000002</v>
      </c>
      <c r="AN27" s="87">
        <f t="shared" si="12"/>
        <v>528</v>
      </c>
      <c r="AO27" s="92">
        <f t="shared" si="11"/>
        <v>0.52800000000000002</v>
      </c>
      <c r="AP27" s="50"/>
      <c r="AQ27" s="50"/>
    </row>
    <row r="28" spans="1:45" s="109" customFormat="1" ht="12.75" customHeight="1" thickBot="1" x14ac:dyDescent="0.35">
      <c r="A28" s="45" t="s">
        <v>174</v>
      </c>
      <c r="B28" s="98"/>
      <c r="C28" s="99"/>
      <c r="D28" s="100" t="s">
        <v>114</v>
      </c>
      <c r="E28" s="101">
        <f t="shared" ref="E28:AD28" si="14">+SUM(E23:E27)</f>
        <v>7932</v>
      </c>
      <c r="F28" s="102">
        <f t="shared" si="14"/>
        <v>5114</v>
      </c>
      <c r="G28" s="102">
        <f t="shared" si="14"/>
        <v>5640</v>
      </c>
      <c r="H28" s="102">
        <f t="shared" si="14"/>
        <v>9906</v>
      </c>
      <c r="I28" s="102">
        <f t="shared" si="14"/>
        <v>10560</v>
      </c>
      <c r="J28" s="102">
        <f t="shared" si="14"/>
        <v>5430</v>
      </c>
      <c r="K28" s="102">
        <f t="shared" si="14"/>
        <v>5965</v>
      </c>
      <c r="L28" s="102">
        <f t="shared" si="14"/>
        <v>8175</v>
      </c>
      <c r="M28" s="102">
        <f t="shared" si="14"/>
        <v>19987</v>
      </c>
      <c r="N28" s="102">
        <f t="shared" si="14"/>
        <v>10424</v>
      </c>
      <c r="O28" s="102">
        <f t="shared" si="14"/>
        <v>11770</v>
      </c>
      <c r="P28" s="102">
        <f t="shared" si="14"/>
        <v>5260</v>
      </c>
      <c r="Q28" s="103">
        <f t="shared" si="14"/>
        <v>2940</v>
      </c>
      <c r="R28" s="102">
        <f t="shared" si="14"/>
        <v>4570</v>
      </c>
      <c r="S28" s="101">
        <f t="shared" si="14"/>
        <v>1677</v>
      </c>
      <c r="T28" s="101">
        <f t="shared" si="14"/>
        <v>755</v>
      </c>
      <c r="U28" s="101">
        <f t="shared" si="14"/>
        <v>483</v>
      </c>
      <c r="V28" s="101">
        <f t="shared" si="14"/>
        <v>82</v>
      </c>
      <c r="W28" s="101">
        <f t="shared" si="14"/>
        <v>1541</v>
      </c>
      <c r="X28" s="101">
        <f t="shared" si="14"/>
        <v>3547</v>
      </c>
      <c r="Y28" s="102">
        <f t="shared" si="14"/>
        <v>6104</v>
      </c>
      <c r="Z28" s="101">
        <f t="shared" si="14"/>
        <v>2520</v>
      </c>
      <c r="AA28" s="101">
        <f t="shared" si="14"/>
        <v>5414</v>
      </c>
      <c r="AB28" s="101">
        <f t="shared" si="14"/>
        <v>5770</v>
      </c>
      <c r="AC28" s="101">
        <f t="shared" si="14"/>
        <v>4600</v>
      </c>
      <c r="AD28" s="104">
        <f t="shared" si="14"/>
        <v>1545</v>
      </c>
      <c r="AE28" s="103">
        <v>1435</v>
      </c>
      <c r="AF28" s="103">
        <v>1047</v>
      </c>
      <c r="AG28" s="103">
        <v>1794</v>
      </c>
      <c r="AH28" s="103">
        <v>2470</v>
      </c>
      <c r="AI28" s="103">
        <v>2250</v>
      </c>
      <c r="AJ28" s="105">
        <v>3000</v>
      </c>
      <c r="AK28" s="102">
        <f>+SUM(AK23:AK27)</f>
        <v>25</v>
      </c>
      <c r="AL28" s="102">
        <f>+SUM(AL23:AL27)</f>
        <v>528</v>
      </c>
      <c r="AM28" s="106">
        <f t="shared" si="13"/>
        <v>0.17599999999999999</v>
      </c>
      <c r="AN28" s="102">
        <f>+SUM(AN23:AN27)</f>
        <v>553</v>
      </c>
      <c r="AO28" s="107">
        <f t="shared" si="11"/>
        <v>0.18433333333333332</v>
      </c>
      <c r="AP28" s="49"/>
      <c r="AQ28" s="49"/>
      <c r="AR28" s="108"/>
      <c r="AS28" s="47"/>
    </row>
    <row r="29" spans="1:45" ht="12.75" customHeight="1" thickBot="1" x14ac:dyDescent="0.3">
      <c r="A29" s="45" t="s">
        <v>174</v>
      </c>
      <c r="B29" s="64" t="s">
        <v>115</v>
      </c>
      <c r="C29" s="65" t="s">
        <v>105</v>
      </c>
      <c r="D29" s="66" t="s">
        <v>116</v>
      </c>
      <c r="E29" s="86">
        <v>0</v>
      </c>
      <c r="F29" s="87">
        <v>0</v>
      </c>
      <c r="G29" s="87">
        <v>0</v>
      </c>
      <c r="H29" s="87">
        <v>0</v>
      </c>
      <c r="I29" s="86">
        <v>0</v>
      </c>
      <c r="J29" s="87">
        <v>0</v>
      </c>
      <c r="K29" s="87">
        <v>0</v>
      </c>
      <c r="L29" s="87">
        <v>2656</v>
      </c>
      <c r="M29" s="87">
        <v>5704</v>
      </c>
      <c r="N29" s="87">
        <v>11860</v>
      </c>
      <c r="O29" s="87">
        <v>20835</v>
      </c>
      <c r="P29" s="87">
        <v>7585</v>
      </c>
      <c r="Q29" s="88">
        <v>8295</v>
      </c>
      <c r="R29" s="87">
        <v>5504</v>
      </c>
      <c r="S29" s="86">
        <v>2686</v>
      </c>
      <c r="T29" s="86">
        <v>10915</v>
      </c>
      <c r="U29" s="86">
        <v>2043</v>
      </c>
      <c r="V29" s="86">
        <v>1646</v>
      </c>
      <c r="W29" s="86">
        <v>5821</v>
      </c>
      <c r="X29" s="86">
        <v>4313</v>
      </c>
      <c r="Y29" s="87">
        <v>402</v>
      </c>
      <c r="Z29" s="86">
        <v>58</v>
      </c>
      <c r="AA29" s="86">
        <v>1191</v>
      </c>
      <c r="AB29" s="86">
        <v>1647</v>
      </c>
      <c r="AC29" s="86">
        <v>826</v>
      </c>
      <c r="AD29" s="89">
        <v>792</v>
      </c>
      <c r="AE29" s="88">
        <v>1211</v>
      </c>
      <c r="AF29" s="88">
        <v>-485</v>
      </c>
      <c r="AG29" s="88">
        <v>432</v>
      </c>
      <c r="AH29" s="88">
        <v>192</v>
      </c>
      <c r="AI29" s="88">
        <v>544</v>
      </c>
      <c r="AJ29" s="90">
        <v>1000</v>
      </c>
      <c r="AK29" s="87">
        <v>940</v>
      </c>
      <c r="AL29" s="87">
        <v>123</v>
      </c>
      <c r="AM29" s="91">
        <f>IFERROR(AL29/AJ29,0)</f>
        <v>0.123</v>
      </c>
      <c r="AN29" s="87">
        <f>+AK29+AL29</f>
        <v>1063</v>
      </c>
      <c r="AO29" s="92">
        <f>IFERROR(+AN29/AJ29,0)</f>
        <v>1.0629999999999999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 t="s">
        <v>174</v>
      </c>
      <c r="B30" s="98"/>
      <c r="C30" s="99"/>
      <c r="D30" s="100" t="s">
        <v>118</v>
      </c>
      <c r="E30" s="102">
        <f t="shared" ref="E30:AK30" si="15">+SUM(E29)</f>
        <v>0</v>
      </c>
      <c r="F30" s="102">
        <f t="shared" si="15"/>
        <v>0</v>
      </c>
      <c r="G30" s="102">
        <f t="shared" si="15"/>
        <v>0</v>
      </c>
      <c r="H30" s="102">
        <f t="shared" si="15"/>
        <v>0</v>
      </c>
      <c r="I30" s="102">
        <f t="shared" si="15"/>
        <v>0</v>
      </c>
      <c r="J30" s="102">
        <f t="shared" si="15"/>
        <v>0</v>
      </c>
      <c r="K30" s="102">
        <f t="shared" si="15"/>
        <v>0</v>
      </c>
      <c r="L30" s="102">
        <f t="shared" si="15"/>
        <v>2656</v>
      </c>
      <c r="M30" s="102">
        <f t="shared" si="15"/>
        <v>5704</v>
      </c>
      <c r="N30" s="102">
        <f t="shared" si="15"/>
        <v>11860</v>
      </c>
      <c r="O30" s="102">
        <f t="shared" si="15"/>
        <v>20835</v>
      </c>
      <c r="P30" s="102">
        <f t="shared" si="15"/>
        <v>7585</v>
      </c>
      <c r="Q30" s="102">
        <f t="shared" si="15"/>
        <v>8295</v>
      </c>
      <c r="R30" s="102">
        <f t="shared" si="15"/>
        <v>5504</v>
      </c>
      <c r="S30" s="102">
        <v>2686</v>
      </c>
      <c r="T30" s="102">
        <f t="shared" si="15"/>
        <v>10915</v>
      </c>
      <c r="U30" s="102">
        <f t="shared" si="15"/>
        <v>2043</v>
      </c>
      <c r="V30" s="102">
        <f t="shared" si="15"/>
        <v>1646</v>
      </c>
      <c r="W30" s="102">
        <v>5821</v>
      </c>
      <c r="X30" s="102">
        <f t="shared" si="15"/>
        <v>4313</v>
      </c>
      <c r="Y30" s="102">
        <v>402</v>
      </c>
      <c r="Z30" s="102">
        <v>58</v>
      </c>
      <c r="AA30" s="102">
        <v>1191</v>
      </c>
      <c r="AB30" s="102">
        <v>1647</v>
      </c>
      <c r="AC30" s="102">
        <v>826</v>
      </c>
      <c r="AD30" s="103">
        <v>792</v>
      </c>
      <c r="AE30" s="103">
        <v>1211</v>
      </c>
      <c r="AF30" s="103">
        <v>-485</v>
      </c>
      <c r="AG30" s="103">
        <v>432</v>
      </c>
      <c r="AH30" s="103">
        <v>192</v>
      </c>
      <c r="AI30" s="103">
        <v>544</v>
      </c>
      <c r="AJ30" s="105">
        <v>1000</v>
      </c>
      <c r="AK30" s="102">
        <f t="shared" si="15"/>
        <v>940</v>
      </c>
      <c r="AL30" s="102">
        <f>+SUM(AL29)</f>
        <v>123</v>
      </c>
      <c r="AM30" s="106">
        <f t="shared" ref="AM30" si="16">IFERROR(AL30/AJ30,0)</f>
        <v>0.123</v>
      </c>
      <c r="AN30" s="102">
        <f>+SUM(AN29)</f>
        <v>1063</v>
      </c>
      <c r="AO30" s="107">
        <f t="shared" ref="AO30" si="17">IFERROR(+AN30/AJ30,0)</f>
        <v>1.0629999999999999</v>
      </c>
      <c r="AP30" s="49"/>
      <c r="AQ30" s="49"/>
      <c r="AR30" s="108"/>
      <c r="AS30" s="47"/>
    </row>
    <row r="31" spans="1:45" ht="12.75" customHeight="1" x14ac:dyDescent="0.25">
      <c r="A31" s="45" t="s">
        <v>174</v>
      </c>
      <c r="B31" s="75" t="s">
        <v>119</v>
      </c>
      <c r="C31" s="76" t="s">
        <v>120</v>
      </c>
      <c r="D31" s="77" t="s">
        <v>121</v>
      </c>
      <c r="E31" s="116">
        <v>0</v>
      </c>
      <c r="F31" s="117">
        <v>0</v>
      </c>
      <c r="G31" s="117">
        <v>0</v>
      </c>
      <c r="H31" s="117">
        <v>0</v>
      </c>
      <c r="I31" s="117">
        <v>15</v>
      </c>
      <c r="J31" s="117">
        <v>0</v>
      </c>
      <c r="K31" s="117">
        <v>0</v>
      </c>
      <c r="L31" s="117">
        <v>0</v>
      </c>
      <c r="M31" s="117">
        <v>25</v>
      </c>
      <c r="N31" s="117">
        <v>0</v>
      </c>
      <c r="O31" s="117">
        <v>25</v>
      </c>
      <c r="P31" s="117">
        <v>0</v>
      </c>
      <c r="Q31" s="118">
        <v>0</v>
      </c>
      <c r="R31" s="117">
        <v>0</v>
      </c>
      <c r="S31" s="116">
        <v>0</v>
      </c>
      <c r="T31" s="116">
        <v>0</v>
      </c>
      <c r="U31" s="116">
        <v>0</v>
      </c>
      <c r="V31" s="116">
        <v>0</v>
      </c>
      <c r="W31" s="116">
        <v>0</v>
      </c>
      <c r="X31" s="116">
        <v>0</v>
      </c>
      <c r="Y31" s="117">
        <v>0</v>
      </c>
      <c r="Z31" s="116">
        <v>0</v>
      </c>
      <c r="AA31" s="116">
        <v>0</v>
      </c>
      <c r="AB31" s="116">
        <v>0</v>
      </c>
      <c r="AC31" s="116">
        <v>0</v>
      </c>
      <c r="AD31" s="119">
        <v>0</v>
      </c>
      <c r="AE31" s="118">
        <v>0</v>
      </c>
      <c r="AF31" s="118">
        <v>0</v>
      </c>
      <c r="AG31" s="118">
        <v>0</v>
      </c>
      <c r="AH31" s="118">
        <v>0</v>
      </c>
      <c r="AI31" s="118">
        <v>0</v>
      </c>
      <c r="AJ31" s="191">
        <v>0</v>
      </c>
      <c r="AK31" s="117">
        <v>0</v>
      </c>
      <c r="AL31" s="117">
        <v>0</v>
      </c>
      <c r="AM31" s="121">
        <f t="shared" si="0"/>
        <v>0</v>
      </c>
      <c r="AN31" s="117">
        <f t="shared" ref="AN31:AN54" si="18">+AK31+AL31</f>
        <v>0</v>
      </c>
      <c r="AO31" s="122">
        <f t="shared" si="2"/>
        <v>0</v>
      </c>
      <c r="AP31" s="50"/>
      <c r="AQ31" s="50"/>
    </row>
    <row r="32" spans="1:45" ht="12.75" customHeight="1" thickBot="1" x14ac:dyDescent="0.3">
      <c r="A32" s="45" t="s">
        <v>174</v>
      </c>
      <c r="B32" s="64" t="s">
        <v>119</v>
      </c>
      <c r="C32" s="65" t="s">
        <v>120</v>
      </c>
      <c r="D32" s="66" t="s">
        <v>122</v>
      </c>
      <c r="E32" s="123">
        <v>0</v>
      </c>
      <c r="F32" s="124">
        <v>0</v>
      </c>
      <c r="G32" s="124">
        <v>0</v>
      </c>
      <c r="H32" s="124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24">
        <v>0</v>
      </c>
      <c r="Q32" s="125">
        <v>0</v>
      </c>
      <c r="R32" s="124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4">
        <v>500</v>
      </c>
      <c r="Z32" s="123">
        <v>0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92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A33" s="45" t="s">
        <v>174</v>
      </c>
      <c r="B33" s="98"/>
      <c r="C33" s="99"/>
      <c r="D33" s="100" t="s">
        <v>124</v>
      </c>
      <c r="E33" s="101">
        <v>0</v>
      </c>
      <c r="F33" s="102">
        <v>0</v>
      </c>
      <c r="G33" s="102">
        <v>0</v>
      </c>
      <c r="H33" s="102">
        <v>0</v>
      </c>
      <c r="I33" s="102">
        <v>15</v>
      </c>
      <c r="J33" s="102">
        <v>0</v>
      </c>
      <c r="K33" s="102">
        <v>0</v>
      </c>
      <c r="L33" s="102">
        <v>0</v>
      </c>
      <c r="M33" s="102">
        <v>25</v>
      </c>
      <c r="N33" s="102">
        <v>0</v>
      </c>
      <c r="O33" s="102">
        <v>25</v>
      </c>
      <c r="P33" s="102">
        <v>0</v>
      </c>
      <c r="Q33" s="103">
        <v>0</v>
      </c>
      <c r="R33" s="102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2">
        <v>500</v>
      </c>
      <c r="Z33" s="101">
        <v>0</v>
      </c>
      <c r="AA33" s="101">
        <v>0</v>
      </c>
      <c r="AB33" s="101">
        <v>0</v>
      </c>
      <c r="AC33" s="101">
        <v>0</v>
      </c>
      <c r="AD33" s="104">
        <v>0</v>
      </c>
      <c r="AE33" s="103">
        <v>0</v>
      </c>
      <c r="AF33" s="103">
        <v>0</v>
      </c>
      <c r="AG33" s="103">
        <v>0</v>
      </c>
      <c r="AH33" s="103">
        <v>0</v>
      </c>
      <c r="AI33" s="103">
        <v>0</v>
      </c>
      <c r="AJ33" s="105">
        <v>0</v>
      </c>
      <c r="AK33" s="102">
        <f>+AK31+AK32</f>
        <v>0</v>
      </c>
      <c r="AL33" s="102">
        <f>+AL31+AL32</f>
        <v>0</v>
      </c>
      <c r="AM33" s="106">
        <f t="shared" si="0"/>
        <v>0</v>
      </c>
      <c r="AN33" s="102">
        <f>+AN31+AN32</f>
        <v>0</v>
      </c>
      <c r="AO33" s="107">
        <f t="shared" si="2"/>
        <v>0</v>
      </c>
      <c r="AP33" s="50"/>
      <c r="AQ33" s="50"/>
    </row>
    <row r="34" spans="1:48" ht="12.75" hidden="1" customHeight="1" thickBot="1" x14ac:dyDescent="0.3">
      <c r="A34" s="45" t="s">
        <v>174</v>
      </c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5" t="s">
        <v>174</v>
      </c>
      <c r="B35" s="75" t="s">
        <v>29</v>
      </c>
      <c r="C35" s="76" t="s">
        <v>126</v>
      </c>
      <c r="D35" s="77" t="s">
        <v>127</v>
      </c>
      <c r="E35" s="78">
        <v>0</v>
      </c>
      <c r="F35" s="79">
        <v>0</v>
      </c>
      <c r="G35" s="79">
        <v>0</v>
      </c>
      <c r="H35" s="79">
        <v>0</v>
      </c>
      <c r="I35" s="79">
        <v>0</v>
      </c>
      <c r="J35" s="79" t="s">
        <v>126</v>
      </c>
      <c r="K35" s="79">
        <v>0</v>
      </c>
      <c r="L35" s="79">
        <v>0</v>
      </c>
      <c r="M35" s="79">
        <v>4430</v>
      </c>
      <c r="N35" s="79">
        <v>1920</v>
      </c>
      <c r="O35" s="79">
        <v>2590</v>
      </c>
      <c r="P35" s="79">
        <v>1475</v>
      </c>
      <c r="Q35" s="80">
        <v>2515</v>
      </c>
      <c r="R35" s="79">
        <v>1180</v>
      </c>
      <c r="S35" s="78">
        <v>1845</v>
      </c>
      <c r="T35" s="78">
        <v>720</v>
      </c>
      <c r="U35" s="78">
        <v>105</v>
      </c>
      <c r="V35" s="78">
        <v>-55</v>
      </c>
      <c r="W35" s="78">
        <v>2655</v>
      </c>
      <c r="X35" s="78">
        <v>6570</v>
      </c>
      <c r="Y35" s="79">
        <v>19519</v>
      </c>
      <c r="Z35" s="78">
        <v>12900</v>
      </c>
      <c r="AA35" s="78">
        <v>8205</v>
      </c>
      <c r="AB35" s="78">
        <v>9515</v>
      </c>
      <c r="AC35" s="78">
        <v>2700</v>
      </c>
      <c r="AD35" s="81">
        <v>2295</v>
      </c>
      <c r="AE35" s="80">
        <v>3485</v>
      </c>
      <c r="AF35" s="80">
        <v>4635</v>
      </c>
      <c r="AG35" s="80">
        <v>4350</v>
      </c>
      <c r="AH35" s="80">
        <v>3035</v>
      </c>
      <c r="AI35" s="80">
        <v>3225</v>
      </c>
      <c r="AJ35" s="114">
        <v>5000</v>
      </c>
      <c r="AK35" s="79">
        <v>2155</v>
      </c>
      <c r="AL35" s="79">
        <v>3010</v>
      </c>
      <c r="AM35" s="83">
        <f t="shared" ref="AM35:AM56" si="19">IFERROR(AL35/AJ35,0)</f>
        <v>0.60199999999999998</v>
      </c>
      <c r="AN35" s="79">
        <f t="shared" ref="AN35:AN36" si="20">+AK35+AL35</f>
        <v>5165</v>
      </c>
      <c r="AO35" s="84">
        <f t="shared" ref="AO35:AO36" si="21">IFERROR(+AN35/AJ35,0)</f>
        <v>1.0329999999999999</v>
      </c>
      <c r="AP35" s="50"/>
      <c r="AQ35" s="50"/>
    </row>
    <row r="36" spans="1:48" ht="12.75" customHeight="1" thickBot="1" x14ac:dyDescent="0.3">
      <c r="A36" s="45" t="s">
        <v>174</v>
      </c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>
        <v>0</v>
      </c>
      <c r="U36" s="123">
        <v>0</v>
      </c>
      <c r="V36" s="123">
        <v>0</v>
      </c>
      <c r="W36" s="123">
        <v>0</v>
      </c>
      <c r="X36" s="123">
        <v>0</v>
      </c>
      <c r="Y36" s="124">
        <v>0</v>
      </c>
      <c r="Z36" s="123">
        <v>0</v>
      </c>
      <c r="AA36" s="123">
        <v>0</v>
      </c>
      <c r="AB36" s="123">
        <v>0</v>
      </c>
      <c r="AC36" s="123">
        <v>0</v>
      </c>
      <c r="AD36" s="126">
        <v>0</v>
      </c>
      <c r="AE36" s="125">
        <v>0</v>
      </c>
      <c r="AF36" s="125">
        <v>0</v>
      </c>
      <c r="AG36" s="125">
        <v>0</v>
      </c>
      <c r="AH36" s="125">
        <v>0</v>
      </c>
      <c r="AI36" s="125">
        <v>0</v>
      </c>
      <c r="AJ36" s="127">
        <v>0</v>
      </c>
      <c r="AK36" s="124">
        <v>0</v>
      </c>
      <c r="AL36" s="124">
        <v>0</v>
      </c>
      <c r="AM36" s="128">
        <f t="shared" si="19"/>
        <v>0</v>
      </c>
      <c r="AN36" s="124">
        <f t="shared" si="20"/>
        <v>0</v>
      </c>
      <c r="AO36" s="129">
        <f t="shared" si="21"/>
        <v>0</v>
      </c>
      <c r="AP36" s="50">
        <v>100002258</v>
      </c>
      <c r="AQ36" s="50"/>
    </row>
    <row r="37" spans="1:48" s="109" customFormat="1" ht="12.75" customHeight="1" thickBot="1" x14ac:dyDescent="0.35">
      <c r="A37" s="45" t="s">
        <v>174</v>
      </c>
      <c r="B37" s="98"/>
      <c r="C37" s="99"/>
      <c r="D37" s="100" t="s">
        <v>129</v>
      </c>
      <c r="E37" s="101">
        <v>0</v>
      </c>
      <c r="F37" s="102">
        <v>0</v>
      </c>
      <c r="G37" s="102">
        <v>0</v>
      </c>
      <c r="H37" s="102">
        <v>0</v>
      </c>
      <c r="I37" s="102">
        <v>0</v>
      </c>
      <c r="J37" s="102">
        <v>0</v>
      </c>
      <c r="K37" s="102">
        <v>0</v>
      </c>
      <c r="L37" s="102">
        <v>0</v>
      </c>
      <c r="M37" s="102">
        <v>4430</v>
      </c>
      <c r="N37" s="102">
        <v>1920</v>
      </c>
      <c r="O37" s="102">
        <v>2590</v>
      </c>
      <c r="P37" s="102">
        <v>1475</v>
      </c>
      <c r="Q37" s="103">
        <v>2515</v>
      </c>
      <c r="R37" s="102">
        <v>1180</v>
      </c>
      <c r="S37" s="101">
        <v>1845</v>
      </c>
      <c r="T37" s="101">
        <v>720</v>
      </c>
      <c r="U37" s="101">
        <v>105</v>
      </c>
      <c r="V37" s="101">
        <v>-55</v>
      </c>
      <c r="W37" s="101">
        <v>2655</v>
      </c>
      <c r="X37" s="101">
        <v>6570</v>
      </c>
      <c r="Y37" s="102">
        <v>19519</v>
      </c>
      <c r="Z37" s="101">
        <v>12900</v>
      </c>
      <c r="AA37" s="101">
        <v>8205</v>
      </c>
      <c r="AB37" s="101">
        <v>9515</v>
      </c>
      <c r="AC37" s="101">
        <v>2700</v>
      </c>
      <c r="AD37" s="104">
        <v>2295</v>
      </c>
      <c r="AE37" s="103">
        <v>3485</v>
      </c>
      <c r="AF37" s="103">
        <v>4635</v>
      </c>
      <c r="AG37" s="103">
        <v>4350</v>
      </c>
      <c r="AH37" s="103">
        <v>3035</v>
      </c>
      <c r="AI37" s="103">
        <v>3225</v>
      </c>
      <c r="AJ37" s="105">
        <v>5000</v>
      </c>
      <c r="AK37" s="105">
        <f t="shared" ref="AK37:AL37" si="22">+SUM(AK34:AK36)</f>
        <v>2155</v>
      </c>
      <c r="AL37" s="105">
        <f t="shared" si="22"/>
        <v>3010</v>
      </c>
      <c r="AM37" s="106">
        <f t="shared" si="19"/>
        <v>0.60199999999999998</v>
      </c>
      <c r="AN37" s="105">
        <f t="shared" ref="AN37" si="23">+SUM(AN34:AN36)</f>
        <v>5165</v>
      </c>
      <c r="AO37" s="107">
        <f t="shared" si="2"/>
        <v>1.0329999999999999</v>
      </c>
      <c r="AP37" s="49"/>
      <c r="AQ37" s="49"/>
      <c r="AR37" s="108"/>
      <c r="AS37" s="47"/>
    </row>
    <row r="38" spans="1:48" ht="12.75" customHeight="1" x14ac:dyDescent="0.25">
      <c r="A38" s="47" t="s">
        <v>174</v>
      </c>
      <c r="B38" s="75" t="s">
        <v>130</v>
      </c>
      <c r="C38" s="76" t="s">
        <v>126</v>
      </c>
      <c r="D38" s="77" t="s">
        <v>131</v>
      </c>
      <c r="E38" s="130">
        <v>0</v>
      </c>
      <c r="F38" s="131">
        <v>0</v>
      </c>
      <c r="G38" s="79">
        <v>0</v>
      </c>
      <c r="H38" s="79">
        <v>0</v>
      </c>
      <c r="I38" s="79">
        <v>0</v>
      </c>
      <c r="J38" s="79">
        <v>0</v>
      </c>
      <c r="K38" s="79">
        <v>0</v>
      </c>
      <c r="L38" s="79">
        <v>0</v>
      </c>
      <c r="M38" s="79">
        <v>0</v>
      </c>
      <c r="N38" s="79">
        <v>0</v>
      </c>
      <c r="O38" s="79">
        <v>0</v>
      </c>
      <c r="P38" s="79">
        <v>0</v>
      </c>
      <c r="Q38" s="79">
        <v>22</v>
      </c>
      <c r="R38" s="79">
        <v>12</v>
      </c>
      <c r="S38" s="79">
        <v>5</v>
      </c>
      <c r="T38" s="80">
        <v>35</v>
      </c>
      <c r="U38" s="80">
        <v>20</v>
      </c>
      <c r="V38" s="80">
        <v>51</v>
      </c>
      <c r="W38" s="80">
        <v>-7</v>
      </c>
      <c r="X38" s="80">
        <v>52</v>
      </c>
      <c r="Y38" s="80">
        <v>20</v>
      </c>
      <c r="Z38" s="79">
        <v>27</v>
      </c>
      <c r="AA38" s="78">
        <v>42</v>
      </c>
      <c r="AB38" s="79">
        <v>35</v>
      </c>
      <c r="AC38" s="78">
        <v>25</v>
      </c>
      <c r="AD38" s="81">
        <v>30</v>
      </c>
      <c r="AE38" s="80">
        <v>5</v>
      </c>
      <c r="AF38" s="80">
        <v>59</v>
      </c>
      <c r="AG38" s="80">
        <v>15</v>
      </c>
      <c r="AH38" s="80">
        <v>60</v>
      </c>
      <c r="AI38" s="80">
        <v>10</v>
      </c>
      <c r="AJ38" s="114">
        <v>0</v>
      </c>
      <c r="AK38" s="79">
        <v>15</v>
      </c>
      <c r="AL38" s="79">
        <v>-5</v>
      </c>
      <c r="AM38" s="83">
        <f t="shared" si="19"/>
        <v>0</v>
      </c>
      <c r="AN38" s="79">
        <f t="shared" si="18"/>
        <v>10</v>
      </c>
      <c r="AO38" s="84">
        <f t="shared" si="2"/>
        <v>0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9"/>
        <v>0</v>
      </c>
      <c r="AN39" s="87">
        <f>+AK39+AL39</f>
        <v>0</v>
      </c>
      <c r="AO39" s="92">
        <f t="shared" si="2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174</v>
      </c>
      <c r="B40" s="75" t="s">
        <v>132</v>
      </c>
      <c r="C40" s="136" t="s">
        <v>128</v>
      </c>
      <c r="D40" s="77" t="s">
        <v>134</v>
      </c>
      <c r="E40" s="130">
        <v>0</v>
      </c>
      <c r="F40" s="79">
        <v>0</v>
      </c>
      <c r="G40" s="79">
        <v>0</v>
      </c>
      <c r="H40" s="79">
        <v>0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79">
        <v>0</v>
      </c>
      <c r="AA40" s="78">
        <v>0</v>
      </c>
      <c r="AB40" s="79">
        <v>0</v>
      </c>
      <c r="AC40" s="78">
        <v>0</v>
      </c>
      <c r="AD40" s="81">
        <v>0</v>
      </c>
      <c r="AE40" s="80">
        <v>0</v>
      </c>
      <c r="AF40" s="80">
        <v>0</v>
      </c>
      <c r="AG40" s="80">
        <v>0</v>
      </c>
      <c r="AH40" s="80">
        <v>0</v>
      </c>
      <c r="AI40" s="80">
        <v>0</v>
      </c>
      <c r="AJ40" s="82">
        <v>0</v>
      </c>
      <c r="AK40" s="79">
        <v>0</v>
      </c>
      <c r="AL40" s="79">
        <v>0</v>
      </c>
      <c r="AM40" s="83">
        <f t="shared" si="19"/>
        <v>0</v>
      </c>
      <c r="AN40" s="79">
        <f>+AK40+AL40</f>
        <v>0</v>
      </c>
      <c r="AO40" s="84">
        <f t="shared" si="2"/>
        <v>0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174</v>
      </c>
      <c r="B41" s="64" t="s">
        <v>132</v>
      </c>
      <c r="C41" s="134" t="s">
        <v>131</v>
      </c>
      <c r="D41" s="66" t="s">
        <v>135</v>
      </c>
      <c r="E41" s="135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1960</v>
      </c>
      <c r="O41" s="87">
        <v>2920</v>
      </c>
      <c r="P41" s="87">
        <v>1960</v>
      </c>
      <c r="Q41" s="87">
        <v>8760</v>
      </c>
      <c r="R41" s="87">
        <v>960</v>
      </c>
      <c r="S41" s="87">
        <v>1460</v>
      </c>
      <c r="T41" s="88">
        <v>2920</v>
      </c>
      <c r="U41" s="88">
        <v>3840</v>
      </c>
      <c r="V41" s="88">
        <v>1920</v>
      </c>
      <c r="W41" s="88">
        <v>3812</v>
      </c>
      <c r="X41" s="88">
        <v>11640</v>
      </c>
      <c r="Y41" s="88">
        <v>4880</v>
      </c>
      <c r="Z41" s="87">
        <v>10680</v>
      </c>
      <c r="AA41" s="86">
        <v>3840</v>
      </c>
      <c r="AB41" s="87">
        <v>5760</v>
      </c>
      <c r="AC41" s="86">
        <v>1920</v>
      </c>
      <c r="AD41" s="89">
        <v>4800</v>
      </c>
      <c r="AE41" s="88">
        <v>0</v>
      </c>
      <c r="AF41" s="88">
        <v>2880</v>
      </c>
      <c r="AG41" s="88">
        <v>3840</v>
      </c>
      <c r="AH41" s="88">
        <v>2880</v>
      </c>
      <c r="AI41" s="88">
        <v>4800</v>
      </c>
      <c r="AJ41" s="115">
        <v>5300</v>
      </c>
      <c r="AK41" s="87">
        <v>1920</v>
      </c>
      <c r="AL41" s="87">
        <v>960</v>
      </c>
      <c r="AM41" s="91">
        <f t="shared" si="19"/>
        <v>0.1811320754716981</v>
      </c>
      <c r="AN41" s="87">
        <f t="shared" si="18"/>
        <v>2880</v>
      </c>
      <c r="AO41" s="92">
        <f t="shared" si="2"/>
        <v>0.54339622641509433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174</v>
      </c>
      <c r="B42" s="75" t="s">
        <v>132</v>
      </c>
      <c r="C42" s="136" t="s">
        <v>136</v>
      </c>
      <c r="D42" s="77" t="s">
        <v>137</v>
      </c>
      <c r="E42" s="130">
        <v>0</v>
      </c>
      <c r="F42" s="79">
        <v>0</v>
      </c>
      <c r="G42" s="79">
        <v>0</v>
      </c>
      <c r="H42" s="79">
        <v>0</v>
      </c>
      <c r="I42" s="79">
        <v>0</v>
      </c>
      <c r="J42" s="79">
        <v>0</v>
      </c>
      <c r="K42" s="79">
        <v>0</v>
      </c>
      <c r="L42" s="79">
        <v>0</v>
      </c>
      <c r="M42" s="79">
        <v>754</v>
      </c>
      <c r="N42" s="79">
        <v>13226</v>
      </c>
      <c r="O42" s="79">
        <v>13190</v>
      </c>
      <c r="P42" s="79">
        <v>8435</v>
      </c>
      <c r="Q42" s="79">
        <v>12874</v>
      </c>
      <c r="R42" s="79">
        <v>3952</v>
      </c>
      <c r="S42" s="79">
        <v>4174</v>
      </c>
      <c r="T42" s="80">
        <v>6600</v>
      </c>
      <c r="U42" s="80">
        <v>4457</v>
      </c>
      <c r="V42" s="80">
        <v>3249</v>
      </c>
      <c r="W42" s="80">
        <v>6207</v>
      </c>
      <c r="X42" s="80">
        <v>16818</v>
      </c>
      <c r="Y42" s="80">
        <v>9841</v>
      </c>
      <c r="Z42" s="79">
        <v>14756</v>
      </c>
      <c r="AA42" s="78">
        <v>11719</v>
      </c>
      <c r="AB42" s="79">
        <v>8831</v>
      </c>
      <c r="AC42" s="78">
        <v>10910</v>
      </c>
      <c r="AD42" s="81">
        <v>4624</v>
      </c>
      <c r="AE42" s="80">
        <v>11099</v>
      </c>
      <c r="AF42" s="80">
        <v>2851</v>
      </c>
      <c r="AG42" s="80">
        <v>6693</v>
      </c>
      <c r="AH42" s="80">
        <v>12983</v>
      </c>
      <c r="AI42" s="80">
        <v>4747</v>
      </c>
      <c r="AJ42" s="82">
        <v>10200</v>
      </c>
      <c r="AK42" s="79">
        <v>2190</v>
      </c>
      <c r="AL42" s="79">
        <v>3204</v>
      </c>
      <c r="AM42" s="83">
        <f t="shared" si="19"/>
        <v>0.31411764705882356</v>
      </c>
      <c r="AN42" s="79">
        <f t="shared" si="18"/>
        <v>5394</v>
      </c>
      <c r="AO42" s="84">
        <f t="shared" si="2"/>
        <v>0.52882352941176469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174</v>
      </c>
      <c r="B43" s="64" t="s">
        <v>132</v>
      </c>
      <c r="C43" s="134" t="s">
        <v>136</v>
      </c>
      <c r="D43" s="66" t="s">
        <v>138</v>
      </c>
      <c r="E43" s="135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19"/>
        <v>0</v>
      </c>
      <c r="AN43" s="87">
        <f t="shared" si="18"/>
        <v>0</v>
      </c>
      <c r="AO43" s="92">
        <f t="shared" si="2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174</v>
      </c>
      <c r="B44" s="75" t="s">
        <v>132</v>
      </c>
      <c r="C44" s="136" t="s">
        <v>131</v>
      </c>
      <c r="D44" s="77" t="s">
        <v>139</v>
      </c>
      <c r="E44" s="130">
        <v>0</v>
      </c>
      <c r="F44" s="79">
        <v>0</v>
      </c>
      <c r="G44" s="79">
        <v>0</v>
      </c>
      <c r="H44" s="79">
        <v>0</v>
      </c>
      <c r="I44" s="79">
        <v>0</v>
      </c>
      <c r="J44" s="79">
        <v>0</v>
      </c>
      <c r="K44" s="79">
        <v>0</v>
      </c>
      <c r="L44" s="79">
        <v>0</v>
      </c>
      <c r="M44" s="79">
        <v>2131</v>
      </c>
      <c r="N44" s="79">
        <v>2239</v>
      </c>
      <c r="O44" s="79">
        <v>7212</v>
      </c>
      <c r="P44" s="79">
        <v>6104</v>
      </c>
      <c r="Q44" s="79">
        <v>4534</v>
      </c>
      <c r="R44" s="79">
        <v>2488</v>
      </c>
      <c r="S44" s="79">
        <v>3825</v>
      </c>
      <c r="T44" s="80">
        <v>2061</v>
      </c>
      <c r="U44" s="80">
        <v>552</v>
      </c>
      <c r="V44" s="80">
        <v>10</v>
      </c>
      <c r="W44" s="80">
        <v>369</v>
      </c>
      <c r="X44" s="80">
        <v>1388</v>
      </c>
      <c r="Y44" s="80">
        <v>680</v>
      </c>
      <c r="Z44" s="79">
        <v>0</v>
      </c>
      <c r="AA44" s="78">
        <v>-85</v>
      </c>
      <c r="AB44" s="79">
        <v>0</v>
      </c>
      <c r="AC44" s="78">
        <v>0</v>
      </c>
      <c r="AD44" s="81">
        <v>0</v>
      </c>
      <c r="AE44" s="80">
        <v>0</v>
      </c>
      <c r="AF44" s="80">
        <v>0</v>
      </c>
      <c r="AG44" s="80">
        <v>0</v>
      </c>
      <c r="AH44" s="80">
        <v>0</v>
      </c>
      <c r="AI44" s="80">
        <v>0</v>
      </c>
      <c r="AJ44" s="82">
        <v>0</v>
      </c>
      <c r="AK44" s="79">
        <v>0</v>
      </c>
      <c r="AL44" s="79">
        <v>0</v>
      </c>
      <c r="AM44" s="83">
        <f t="shared" si="19"/>
        <v>0</v>
      </c>
      <c r="AN44" s="79">
        <f t="shared" si="18"/>
        <v>0</v>
      </c>
      <c r="AO44" s="84">
        <f t="shared" si="2"/>
        <v>0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174</v>
      </c>
      <c r="B45" s="64" t="s">
        <v>132</v>
      </c>
      <c r="C45" s="134" t="s">
        <v>128</v>
      </c>
      <c r="D45" s="66" t="s">
        <v>140</v>
      </c>
      <c r="E45" s="137">
        <v>0</v>
      </c>
      <c r="F45" s="138">
        <v>0</v>
      </c>
      <c r="G45" s="124">
        <v>0</v>
      </c>
      <c r="H45" s="124">
        <v>0</v>
      </c>
      <c r="I45" s="124">
        <v>0</v>
      </c>
      <c r="J45" s="124">
        <v>0</v>
      </c>
      <c r="K45" s="124">
        <v>0</v>
      </c>
      <c r="L45" s="124">
        <v>0</v>
      </c>
      <c r="M45" s="124">
        <v>0</v>
      </c>
      <c r="N45" s="124">
        <v>0</v>
      </c>
      <c r="O45" s="124">
        <v>3860</v>
      </c>
      <c r="P45" s="124">
        <v>1493</v>
      </c>
      <c r="Q45" s="124">
        <v>2599</v>
      </c>
      <c r="R45" s="124">
        <v>849</v>
      </c>
      <c r="S45" s="124">
        <v>1188</v>
      </c>
      <c r="T45" s="125">
        <v>931</v>
      </c>
      <c r="U45" s="125">
        <v>589</v>
      </c>
      <c r="V45" s="125">
        <v>714</v>
      </c>
      <c r="W45" s="125">
        <v>1050</v>
      </c>
      <c r="X45" s="125">
        <v>1468</v>
      </c>
      <c r="Y45" s="125">
        <v>1909</v>
      </c>
      <c r="Z45" s="124">
        <v>1729</v>
      </c>
      <c r="AA45" s="123">
        <v>1617</v>
      </c>
      <c r="AB45" s="124">
        <v>2100</v>
      </c>
      <c r="AC45" s="123">
        <v>1282</v>
      </c>
      <c r="AD45" s="126">
        <v>503</v>
      </c>
      <c r="AE45" s="125">
        <v>1083</v>
      </c>
      <c r="AF45" s="125">
        <v>738</v>
      </c>
      <c r="AG45" s="125">
        <v>945</v>
      </c>
      <c r="AH45" s="125">
        <v>1491</v>
      </c>
      <c r="AI45" s="125">
        <v>1334</v>
      </c>
      <c r="AJ45" s="127">
        <v>1500</v>
      </c>
      <c r="AK45" s="124">
        <v>513</v>
      </c>
      <c r="AL45" s="124">
        <v>420</v>
      </c>
      <c r="AM45" s="128">
        <f t="shared" si="19"/>
        <v>0.28000000000000003</v>
      </c>
      <c r="AN45" s="124">
        <f t="shared" si="18"/>
        <v>933</v>
      </c>
      <c r="AO45" s="129">
        <f t="shared" si="2"/>
        <v>0.622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174</v>
      </c>
      <c r="B46" s="98"/>
      <c r="C46" s="99"/>
      <c r="D46" s="100" t="s">
        <v>141</v>
      </c>
      <c r="E46" s="101">
        <f t="shared" ref="E46:AD46" si="24">+SUM(E38:E45)</f>
        <v>0</v>
      </c>
      <c r="F46" s="102">
        <f t="shared" si="24"/>
        <v>0</v>
      </c>
      <c r="G46" s="102">
        <f t="shared" si="24"/>
        <v>0</v>
      </c>
      <c r="H46" s="102">
        <f t="shared" si="24"/>
        <v>0</v>
      </c>
      <c r="I46" s="102">
        <f t="shared" si="24"/>
        <v>0</v>
      </c>
      <c r="J46" s="102">
        <f t="shared" si="24"/>
        <v>0</v>
      </c>
      <c r="K46" s="102">
        <f t="shared" si="24"/>
        <v>0</v>
      </c>
      <c r="L46" s="102">
        <f t="shared" si="24"/>
        <v>0</v>
      </c>
      <c r="M46" s="102">
        <f t="shared" si="24"/>
        <v>2885</v>
      </c>
      <c r="N46" s="102">
        <f t="shared" si="24"/>
        <v>17425</v>
      </c>
      <c r="O46" s="102">
        <f t="shared" si="24"/>
        <v>27182</v>
      </c>
      <c r="P46" s="102">
        <f t="shared" si="24"/>
        <v>17992</v>
      </c>
      <c r="Q46" s="103">
        <f t="shared" si="24"/>
        <v>28789</v>
      </c>
      <c r="R46" s="102">
        <f t="shared" si="24"/>
        <v>8261</v>
      </c>
      <c r="S46" s="101">
        <f t="shared" si="24"/>
        <v>10652</v>
      </c>
      <c r="T46" s="101">
        <f t="shared" si="24"/>
        <v>12547</v>
      </c>
      <c r="U46" s="101">
        <f t="shared" si="24"/>
        <v>9458</v>
      </c>
      <c r="V46" s="101">
        <f t="shared" si="24"/>
        <v>5944</v>
      </c>
      <c r="W46" s="101">
        <f t="shared" si="24"/>
        <v>11431</v>
      </c>
      <c r="X46" s="101">
        <f t="shared" si="24"/>
        <v>31366</v>
      </c>
      <c r="Y46" s="102">
        <f t="shared" si="24"/>
        <v>17330</v>
      </c>
      <c r="Z46" s="101">
        <f t="shared" si="24"/>
        <v>27192</v>
      </c>
      <c r="AA46" s="101">
        <f t="shared" si="24"/>
        <v>17133</v>
      </c>
      <c r="AB46" s="101">
        <f t="shared" si="24"/>
        <v>16726</v>
      </c>
      <c r="AC46" s="101">
        <f t="shared" si="24"/>
        <v>14137</v>
      </c>
      <c r="AD46" s="104">
        <f t="shared" si="24"/>
        <v>9957</v>
      </c>
      <c r="AE46" s="103">
        <v>12187</v>
      </c>
      <c r="AF46" s="103">
        <v>6528</v>
      </c>
      <c r="AG46" s="103">
        <v>11493</v>
      </c>
      <c r="AH46" s="103">
        <v>17414</v>
      </c>
      <c r="AI46" s="103">
        <v>10891</v>
      </c>
      <c r="AJ46" s="105">
        <v>17000</v>
      </c>
      <c r="AK46" s="102">
        <f>SUM(AK38:AK45)</f>
        <v>4638</v>
      </c>
      <c r="AL46" s="102">
        <f>SUM(AL38:AL45)</f>
        <v>4579</v>
      </c>
      <c r="AM46" s="106">
        <f t="shared" si="19"/>
        <v>0.26935294117647057</v>
      </c>
      <c r="AN46" s="102">
        <f t="shared" si="18"/>
        <v>9217</v>
      </c>
      <c r="AO46" s="107">
        <f t="shared" si="2"/>
        <v>0.54217647058823526</v>
      </c>
      <c r="AP46" s="150"/>
      <c r="AQ46" s="150"/>
      <c r="AR46" s="108"/>
      <c r="AS46" s="47"/>
    </row>
    <row r="47" spans="1:48" ht="12.75" customHeight="1" thickBot="1" x14ac:dyDescent="0.3">
      <c r="A47" s="45" t="s">
        <v>174</v>
      </c>
      <c r="B47" s="151" t="s">
        <v>142</v>
      </c>
      <c r="C47" s="152"/>
      <c r="D47" s="153" t="s">
        <v>5</v>
      </c>
      <c r="E47" s="154">
        <f t="shared" ref="E47:V47" si="25">+E18+E22+E28+E30+E33+E37+E46</f>
        <v>51201</v>
      </c>
      <c r="F47" s="155">
        <f t="shared" si="25"/>
        <v>42683</v>
      </c>
      <c r="G47" s="155">
        <f t="shared" si="25"/>
        <v>23901</v>
      </c>
      <c r="H47" s="155">
        <f t="shared" si="25"/>
        <v>45006</v>
      </c>
      <c r="I47" s="155">
        <f t="shared" si="25"/>
        <v>38491</v>
      </c>
      <c r="J47" s="155">
        <f t="shared" si="25"/>
        <v>28525</v>
      </c>
      <c r="K47" s="155">
        <f t="shared" si="25"/>
        <v>19257</v>
      </c>
      <c r="L47" s="155">
        <f t="shared" si="25"/>
        <v>57748</v>
      </c>
      <c r="M47" s="155">
        <f t="shared" si="25"/>
        <v>69831</v>
      </c>
      <c r="N47" s="155">
        <f t="shared" si="25"/>
        <v>107709</v>
      </c>
      <c r="O47" s="155">
        <f t="shared" si="25"/>
        <v>137458</v>
      </c>
      <c r="P47" s="155">
        <f t="shared" si="25"/>
        <v>90811</v>
      </c>
      <c r="Q47" s="156">
        <f t="shared" si="25"/>
        <v>82967</v>
      </c>
      <c r="R47" s="155">
        <f t="shared" si="25"/>
        <v>48114</v>
      </c>
      <c r="S47" s="154">
        <v>32106</v>
      </c>
      <c r="T47" s="154">
        <f t="shared" si="25"/>
        <v>53433</v>
      </c>
      <c r="U47" s="154">
        <f t="shared" si="25"/>
        <v>30554</v>
      </c>
      <c r="V47" s="154">
        <f t="shared" si="25"/>
        <v>27804</v>
      </c>
      <c r="W47" s="157">
        <v>41503</v>
      </c>
      <c r="X47" s="157">
        <f>+X18+X22+X28+X30+X33+X37+X46</f>
        <v>103430</v>
      </c>
      <c r="Y47" s="158">
        <v>91495</v>
      </c>
      <c r="Z47" s="157">
        <v>93947</v>
      </c>
      <c r="AA47" s="157">
        <v>101565</v>
      </c>
      <c r="AB47" s="157">
        <v>102926</v>
      </c>
      <c r="AC47" s="157">
        <v>83250</v>
      </c>
      <c r="AD47" s="194">
        <v>60154</v>
      </c>
      <c r="AE47" s="159">
        <v>57253</v>
      </c>
      <c r="AF47" s="159">
        <v>38131</v>
      </c>
      <c r="AG47" s="159">
        <v>41892</v>
      </c>
      <c r="AH47" s="159">
        <v>52430</v>
      </c>
      <c r="AI47" s="159">
        <v>54993</v>
      </c>
      <c r="AJ47" s="160">
        <v>59000</v>
      </c>
      <c r="AK47" s="158">
        <f>+AK18+AK22+AK28+AK30+AK33+AK37+AK46</f>
        <v>37944</v>
      </c>
      <c r="AL47" s="158">
        <f>+AL18+AL22+AL28+AL30+AL33+AL37+AL46</f>
        <v>26019</v>
      </c>
      <c r="AM47" s="161">
        <f t="shared" si="19"/>
        <v>0.441</v>
      </c>
      <c r="AN47" s="158">
        <f>+AN18+AN22+AN28+AN30+AN33+AN37+AN46</f>
        <v>63963</v>
      </c>
      <c r="AO47" s="162">
        <f t="shared" si="2"/>
        <v>1.0841186440677966</v>
      </c>
      <c r="AP47" s="150"/>
      <c r="AQ47" s="150"/>
    </row>
    <row r="48" spans="1:48" ht="12.75" hidden="1" customHeight="1" x14ac:dyDescent="0.25">
      <c r="A48" s="45" t="s">
        <v>174</v>
      </c>
      <c r="B48" s="75" t="s">
        <v>143</v>
      </c>
      <c r="C48" s="76"/>
      <c r="D48" s="163" t="s">
        <v>145</v>
      </c>
      <c r="E48" s="170">
        <v>0</v>
      </c>
      <c r="F48" s="170">
        <v>0</v>
      </c>
      <c r="G48" s="170">
        <v>0</v>
      </c>
      <c r="H48" s="170">
        <v>0</v>
      </c>
      <c r="I48" s="170">
        <v>0</v>
      </c>
      <c r="J48" s="170">
        <v>0</v>
      </c>
      <c r="K48" s="170">
        <v>0</v>
      </c>
      <c r="L48" s="170">
        <v>0</v>
      </c>
      <c r="M48" s="170">
        <v>0</v>
      </c>
      <c r="N48" s="170">
        <v>0</v>
      </c>
      <c r="O48" s="170"/>
      <c r="P48" s="170"/>
      <c r="Q48" s="170"/>
      <c r="R48" s="170"/>
      <c r="S48" s="171"/>
      <c r="T48" s="171">
        <v>0</v>
      </c>
      <c r="U48" s="171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9"/>
        <v>0</v>
      </c>
      <c r="AN48" s="79">
        <f t="shared" si="18"/>
        <v>0</v>
      </c>
      <c r="AO48" s="84">
        <f t="shared" si="2"/>
        <v>0</v>
      </c>
      <c r="AP48" s="49" t="s">
        <v>144</v>
      </c>
    </row>
    <row r="49" spans="1:46" ht="12.75" hidden="1" customHeight="1" x14ac:dyDescent="0.25">
      <c r="A49" s="45" t="s">
        <v>174</v>
      </c>
      <c r="B49" s="64" t="s">
        <v>143</v>
      </c>
      <c r="C49" s="65"/>
      <c r="D49" s="167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9">
        <v>0</v>
      </c>
      <c r="U49" s="169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9"/>
        <v>0</v>
      </c>
      <c r="AN49" s="87">
        <f t="shared" si="18"/>
        <v>0</v>
      </c>
      <c r="AO49" s="92">
        <f t="shared" si="2"/>
        <v>0</v>
      </c>
      <c r="AP49" s="49" t="s">
        <v>144</v>
      </c>
    </row>
    <row r="50" spans="1:46" ht="12.75" hidden="1" customHeight="1" x14ac:dyDescent="0.25">
      <c r="A50" s="45" t="s">
        <v>174</v>
      </c>
      <c r="B50" s="75" t="s">
        <v>143</v>
      </c>
      <c r="C50" s="76"/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1">
        <v>0</v>
      </c>
      <c r="U50" s="171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9"/>
        <v>0</v>
      </c>
      <c r="AN50" s="79">
        <f>+AK50+AL50</f>
        <v>0</v>
      </c>
      <c r="AO50" s="84">
        <f t="shared" si="2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>
        <v>0</v>
      </c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9"/>
        <v>0</v>
      </c>
      <c r="AN51" s="87">
        <f>+AK51+AL51</f>
        <v>0</v>
      </c>
      <c r="AO51" s="92">
        <f t="shared" si="2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5" t="s">
        <v>174</v>
      </c>
      <c r="B52" s="75" t="s">
        <v>151</v>
      </c>
      <c r="C52" s="76"/>
      <c r="D52" s="163" t="s">
        <v>151</v>
      </c>
      <c r="E52" s="170">
        <v>0</v>
      </c>
      <c r="F52" s="170">
        <v>0</v>
      </c>
      <c r="G52" s="170">
        <v>0</v>
      </c>
      <c r="H52" s="170">
        <v>0</v>
      </c>
      <c r="I52" s="170">
        <v>0</v>
      </c>
      <c r="J52" s="170">
        <v>0</v>
      </c>
      <c r="K52" s="170">
        <v>0</v>
      </c>
      <c r="L52" s="170">
        <v>0</v>
      </c>
      <c r="M52" s="170">
        <v>0</v>
      </c>
      <c r="N52" s="170">
        <v>0</v>
      </c>
      <c r="O52" s="170"/>
      <c r="P52" s="170"/>
      <c r="Q52" s="170"/>
      <c r="R52" s="170"/>
      <c r="S52" s="171"/>
      <c r="T52" s="171">
        <v>0</v>
      </c>
      <c r="U52" s="171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174</v>
      </c>
      <c r="B53" s="64" t="s">
        <v>143</v>
      </c>
      <c r="C53" s="65" t="s">
        <v>154</v>
      </c>
      <c r="D53" s="167" t="s">
        <v>155</v>
      </c>
      <c r="E53" s="168">
        <v>0</v>
      </c>
      <c r="F53" s="168">
        <v>0</v>
      </c>
      <c r="G53" s="168">
        <v>0</v>
      </c>
      <c r="H53" s="168">
        <v>0</v>
      </c>
      <c r="I53" s="168">
        <v>0</v>
      </c>
      <c r="J53" s="168">
        <v>0</v>
      </c>
      <c r="K53" s="168">
        <v>0</v>
      </c>
      <c r="L53" s="168">
        <v>0</v>
      </c>
      <c r="M53" s="168">
        <v>2888.5</v>
      </c>
      <c r="N53" s="168">
        <v>0</v>
      </c>
      <c r="O53" s="168"/>
      <c r="P53" s="168"/>
      <c r="Q53" s="168"/>
      <c r="R53" s="168"/>
      <c r="S53" s="169"/>
      <c r="T53" s="169">
        <v>0</v>
      </c>
      <c r="U53" s="169">
        <v>0</v>
      </c>
      <c r="V53" s="169">
        <v>7.5</v>
      </c>
      <c r="W53" s="87">
        <v>5</v>
      </c>
      <c r="X53" s="87">
        <v>0</v>
      </c>
      <c r="Y53" s="87">
        <v>0</v>
      </c>
      <c r="Z53" s="87">
        <v>12</v>
      </c>
      <c r="AA53" s="87">
        <v>24</v>
      </c>
      <c r="AB53" s="87">
        <v>14</v>
      </c>
      <c r="AC53" s="87">
        <v>12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9"/>
        <v>0</v>
      </c>
      <c r="AN53" s="87">
        <f>+AK53+AL53</f>
        <v>0</v>
      </c>
      <c r="AO53" s="92">
        <f t="shared" si="2"/>
        <v>0</v>
      </c>
      <c r="AP53" s="50" t="s">
        <v>154</v>
      </c>
      <c r="AQ53" s="50"/>
    </row>
    <row r="54" spans="1:46" ht="12.75" hidden="1" customHeight="1" x14ac:dyDescent="0.25">
      <c r="A54" s="45" t="s">
        <v>174</v>
      </c>
      <c r="B54" s="75" t="s">
        <v>143</v>
      </c>
      <c r="C54" s="76"/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1">
        <v>0</v>
      </c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9"/>
        <v>0</v>
      </c>
      <c r="AN54" s="79">
        <f t="shared" si="18"/>
        <v>0</v>
      </c>
      <c r="AO54" s="84">
        <f t="shared" si="2"/>
        <v>0</v>
      </c>
      <c r="AP54" s="49" t="s">
        <v>156</v>
      </c>
    </row>
    <row r="55" spans="1:46" ht="12.75" hidden="1" customHeight="1" thickBot="1" x14ac:dyDescent="0.3">
      <c r="A55" s="45" t="s">
        <v>174</v>
      </c>
      <c r="B55" s="64" t="s">
        <v>143</v>
      </c>
      <c r="C55" s="65"/>
      <c r="D55" s="167" t="s">
        <v>157</v>
      </c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9"/>
      <c r="T55" s="169"/>
      <c r="U55" s="169"/>
      <c r="V55" s="169"/>
      <c r="W55" s="87">
        <v>0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8"/>
      <c r="AJ55" s="90"/>
      <c r="AK55" s="87"/>
      <c r="AL55" s="87"/>
      <c r="AM55" s="91"/>
      <c r="AN55" s="87"/>
      <c r="AO55" s="92"/>
      <c r="AP55" s="50"/>
      <c r="AQ55" s="50"/>
    </row>
    <row r="56" spans="1:46" ht="12.75" hidden="1" customHeight="1" thickBot="1" x14ac:dyDescent="0.3">
      <c r="A56" s="45" t="s">
        <v>174</v>
      </c>
      <c r="B56" s="173"/>
      <c r="C56" s="174"/>
      <c r="D56" s="152" t="s">
        <v>158</v>
      </c>
      <c r="E56" s="155">
        <v>51201</v>
      </c>
      <c r="F56" s="155">
        <v>42683</v>
      </c>
      <c r="G56" s="155">
        <v>23901</v>
      </c>
      <c r="H56" s="155">
        <v>45006</v>
      </c>
      <c r="I56" s="155">
        <v>38491</v>
      </c>
      <c r="J56" s="155">
        <v>28525</v>
      </c>
      <c r="K56" s="155">
        <v>19257</v>
      </c>
      <c r="L56" s="155">
        <v>57748</v>
      </c>
      <c r="M56" s="155">
        <v>72719.5</v>
      </c>
      <c r="N56" s="155">
        <v>107753</v>
      </c>
      <c r="O56" s="155"/>
      <c r="P56" s="155"/>
      <c r="Q56" s="155"/>
      <c r="R56" s="155"/>
      <c r="S56" s="155"/>
      <c r="T56" s="155">
        <v>53433</v>
      </c>
      <c r="U56" s="155">
        <v>30554</v>
      </c>
      <c r="V56" s="155">
        <v>27811.5</v>
      </c>
      <c r="W56" s="175">
        <v>41508</v>
      </c>
      <c r="X56" s="175">
        <v>103430</v>
      </c>
      <c r="Y56" s="175">
        <v>91495</v>
      </c>
      <c r="Z56" s="175">
        <v>93959</v>
      </c>
      <c r="AA56" s="175">
        <v>101589</v>
      </c>
      <c r="AB56" s="175">
        <v>102940</v>
      </c>
      <c r="AC56" s="175">
        <v>80192</v>
      </c>
      <c r="AD56" s="175">
        <v>60154</v>
      </c>
      <c r="AE56" s="175">
        <v>57253</v>
      </c>
      <c r="AF56" s="175">
        <v>38131</v>
      </c>
      <c r="AG56" s="175">
        <v>41892</v>
      </c>
      <c r="AH56" s="175">
        <v>52430</v>
      </c>
      <c r="AI56" s="176">
        <v>54993</v>
      </c>
      <c r="AJ56" s="177">
        <v>59000</v>
      </c>
      <c r="AK56" s="175">
        <f>+AK47+SUM(AK48:AK55)</f>
        <v>37944</v>
      </c>
      <c r="AL56" s="175">
        <f>SUM(AL47:AL55)</f>
        <v>26019</v>
      </c>
      <c r="AM56" s="178">
        <f t="shared" si="19"/>
        <v>0.441</v>
      </c>
      <c r="AN56" s="175">
        <f>+AK56+AL56</f>
        <v>63963</v>
      </c>
      <c r="AO56" s="179">
        <f>IFERROR(+AN56/AJ56,0)</f>
        <v>1.0841186440677966</v>
      </c>
      <c r="AP56" s="50"/>
      <c r="AQ56" s="50"/>
    </row>
    <row r="57" spans="1:46" x14ac:dyDescent="0.25">
      <c r="A57" s="47" t="s">
        <v>174</v>
      </c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0</v>
      </c>
      <c r="AL57" s="196">
        <v>0</v>
      </c>
      <c r="AM57" s="197"/>
      <c r="AO57" s="198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0E3B4-7478-493A-97F4-1893FAFDD101}">
  <dimension ref="A1:AV122"/>
  <sheetViews>
    <sheetView showGridLines="0" zoomScale="88" zoomScaleNormal="88" workbookViewId="0">
      <pane xSplit="4" ySplit="2" topLeftCell="AG3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2.453125" style="45" customWidth="1"/>
    <col min="2" max="3" width="23.81640625" customWidth="1"/>
    <col min="4" max="4" width="33.26953125" customWidth="1"/>
    <col min="5" max="14" width="10" hidden="1" customWidth="1"/>
    <col min="15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176</v>
      </c>
      <c r="C1" s="47">
        <v>100517915</v>
      </c>
      <c r="D1" s="188">
        <v>100517914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3" t="s">
        <v>36</v>
      </c>
      <c r="F2" s="53" t="s">
        <v>37</v>
      </c>
      <c r="G2" s="53" t="s">
        <v>38</v>
      </c>
      <c r="H2" s="53" t="s">
        <v>39</v>
      </c>
      <c r="I2" s="53" t="s">
        <v>40</v>
      </c>
      <c r="J2" s="53" t="s">
        <v>41</v>
      </c>
      <c r="K2" s="53" t="s">
        <v>42</v>
      </c>
      <c r="L2" s="53" t="s">
        <v>43</v>
      </c>
      <c r="M2" s="53" t="s">
        <v>44</v>
      </c>
      <c r="N2" s="53" t="s">
        <v>45</v>
      </c>
      <c r="O2" s="55" t="s">
        <v>46</v>
      </c>
      <c r="P2" s="56" t="s">
        <v>47</v>
      </c>
      <c r="Q2" s="56" t="s">
        <v>48</v>
      </c>
      <c r="R2" s="59" t="s">
        <v>49</v>
      </c>
      <c r="S2" s="60" t="s">
        <v>50</v>
      </c>
      <c r="T2" s="206" t="s">
        <v>51</v>
      </c>
      <c r="U2" s="206" t="s">
        <v>52</v>
      </c>
      <c r="V2" s="206" t="s">
        <v>53</v>
      </c>
      <c r="W2" s="206" t="s">
        <v>54</v>
      </c>
      <c r="X2" s="206" t="s">
        <v>55</v>
      </c>
      <c r="Y2" s="60" t="s">
        <v>56</v>
      </c>
      <c r="Z2" s="206" t="s">
        <v>57</v>
      </c>
      <c r="AA2" s="206" t="s">
        <v>58</v>
      </c>
      <c r="AB2" s="206" t="s">
        <v>59</v>
      </c>
      <c r="AC2" s="206" t="s">
        <v>60</v>
      </c>
      <c r="AD2" s="207" t="s">
        <v>61</v>
      </c>
      <c r="AE2" s="199" t="s">
        <v>62</v>
      </c>
      <c r="AF2" s="199" t="s">
        <v>63</v>
      </c>
      <c r="AG2" s="199" t="s">
        <v>64</v>
      </c>
      <c r="AH2" s="199" t="s">
        <v>65</v>
      </c>
      <c r="AI2" s="199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7"/>
      <c r="B3" s="64" t="s">
        <v>71</v>
      </c>
      <c r="C3" s="65" t="s">
        <v>72</v>
      </c>
      <c r="D3" s="66" t="s">
        <v>73</v>
      </c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67">
        <v>0</v>
      </c>
      <c r="P3" s="68">
        <v>0</v>
      </c>
      <c r="Q3" s="68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54" si="2">IFERROR(+AN3/AJ3,0)</f>
        <v>0</v>
      </c>
      <c r="AP3" s="50"/>
      <c r="AQ3" s="50"/>
    </row>
    <row r="4" spans="1:45" ht="12.75" customHeight="1" x14ac:dyDescent="0.25">
      <c r="A4" s="47"/>
      <c r="B4" s="75" t="s">
        <v>74</v>
      </c>
      <c r="C4" s="76" t="s">
        <v>72</v>
      </c>
      <c r="D4" s="77" t="s">
        <v>75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78">
        <v>310</v>
      </c>
      <c r="P4" s="79">
        <v>324</v>
      </c>
      <c r="Q4" s="79">
        <v>782</v>
      </c>
      <c r="R4" s="79">
        <v>354</v>
      </c>
      <c r="S4" s="78">
        <v>638</v>
      </c>
      <c r="T4" s="78">
        <v>343.42</v>
      </c>
      <c r="U4" s="78">
        <v>182.19</v>
      </c>
      <c r="V4" s="78">
        <v>228</v>
      </c>
      <c r="W4" s="78">
        <v>80</v>
      </c>
      <c r="X4" s="78">
        <v>54</v>
      </c>
      <c r="Y4" s="79">
        <v>186</v>
      </c>
      <c r="Z4" s="78">
        <v>510</v>
      </c>
      <c r="AA4" s="78">
        <v>850</v>
      </c>
      <c r="AB4" s="78">
        <v>356</v>
      </c>
      <c r="AC4" s="78">
        <v>534</v>
      </c>
      <c r="AD4" s="81">
        <v>566</v>
      </c>
      <c r="AE4" s="80">
        <v>228</v>
      </c>
      <c r="AF4" s="80">
        <v>510</v>
      </c>
      <c r="AG4" s="80">
        <v>292</v>
      </c>
      <c r="AH4" s="80">
        <v>380</v>
      </c>
      <c r="AI4" s="80">
        <v>154</v>
      </c>
      <c r="AJ4" s="82">
        <v>400</v>
      </c>
      <c r="AK4" s="79">
        <v>0</v>
      </c>
      <c r="AL4" s="79">
        <v>90</v>
      </c>
      <c r="AM4" s="83">
        <f>IFERROR(AL4/AJ4,0)</f>
        <v>0.22500000000000001</v>
      </c>
      <c r="AN4" s="79">
        <f>+AK4+AL4</f>
        <v>90</v>
      </c>
      <c r="AO4" s="84">
        <f>IFERROR(+AN4/AJ4,0)</f>
        <v>0.22500000000000001</v>
      </c>
      <c r="AP4" s="50"/>
      <c r="AQ4" s="50"/>
    </row>
    <row r="5" spans="1:45" s="208" customFormat="1" ht="12.75" customHeight="1" x14ac:dyDescent="0.25">
      <c r="A5" s="47"/>
      <c r="B5" s="64" t="s">
        <v>74</v>
      </c>
      <c r="C5" s="65" t="s">
        <v>72</v>
      </c>
      <c r="D5" s="66" t="s">
        <v>76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86">
        <v>198</v>
      </c>
      <c r="P5" s="87">
        <v>198</v>
      </c>
      <c r="Q5" s="87">
        <v>1014</v>
      </c>
      <c r="R5" s="87">
        <v>759</v>
      </c>
      <c r="S5" s="86">
        <v>490</v>
      </c>
      <c r="T5" s="86">
        <v>100.5</v>
      </c>
      <c r="U5" s="86">
        <v>135.97</v>
      </c>
      <c r="V5" s="86">
        <v>130</v>
      </c>
      <c r="W5" s="86">
        <v>108</v>
      </c>
      <c r="X5" s="86">
        <v>254</v>
      </c>
      <c r="Y5" s="87">
        <v>414</v>
      </c>
      <c r="Z5" s="86">
        <v>1898</v>
      </c>
      <c r="AA5" s="86">
        <v>1868</v>
      </c>
      <c r="AB5" s="86">
        <v>1748</v>
      </c>
      <c r="AC5" s="86">
        <v>702</v>
      </c>
      <c r="AD5" s="89">
        <v>1664</v>
      </c>
      <c r="AE5" s="88">
        <v>1278</v>
      </c>
      <c r="AF5" s="88">
        <v>70</v>
      </c>
      <c r="AG5" s="88">
        <v>396</v>
      </c>
      <c r="AH5" s="88">
        <v>1424</v>
      </c>
      <c r="AI5" s="88">
        <v>130</v>
      </c>
      <c r="AJ5" s="90">
        <v>900</v>
      </c>
      <c r="AK5" s="87">
        <v>0</v>
      </c>
      <c r="AL5" s="87">
        <v>132</v>
      </c>
      <c r="AM5" s="91">
        <f>IFERROR(AL5/AJ5,0)</f>
        <v>0.14666666666666667</v>
      </c>
      <c r="AN5" s="87">
        <f>+AK5+AL5</f>
        <v>132</v>
      </c>
      <c r="AO5" s="92">
        <f>IFERROR(+AN5/AJ5,0)</f>
        <v>0.14666666666666667</v>
      </c>
      <c r="AP5" s="50" t="s">
        <v>77</v>
      </c>
      <c r="AQ5" s="50"/>
      <c r="AR5" s="47"/>
      <c r="AS5" s="47"/>
    </row>
    <row r="6" spans="1:45" ht="12.75" customHeight="1" x14ac:dyDescent="0.25">
      <c r="A6" s="47"/>
      <c r="B6" s="75" t="s">
        <v>74</v>
      </c>
      <c r="C6" s="76" t="s">
        <v>72</v>
      </c>
      <c r="D6" s="77" t="s">
        <v>78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78">
        <v>36</v>
      </c>
      <c r="P6" s="79">
        <v>388</v>
      </c>
      <c r="Q6" s="79">
        <v>1938</v>
      </c>
      <c r="R6" s="79">
        <v>1620</v>
      </c>
      <c r="S6" s="78">
        <v>180</v>
      </c>
      <c r="T6" s="78">
        <v>56.429999999999993</v>
      </c>
      <c r="U6" s="78">
        <v>41.92</v>
      </c>
      <c r="V6" s="78">
        <v>278</v>
      </c>
      <c r="W6" s="78">
        <v>258</v>
      </c>
      <c r="X6" s="78">
        <v>706</v>
      </c>
      <c r="Y6" s="79">
        <v>684</v>
      </c>
      <c r="Z6" s="78">
        <v>1742</v>
      </c>
      <c r="AA6" s="78">
        <v>2804</v>
      </c>
      <c r="AB6" s="78">
        <v>2046</v>
      </c>
      <c r="AC6" s="78">
        <v>1396</v>
      </c>
      <c r="AD6" s="81">
        <v>1798</v>
      </c>
      <c r="AE6" s="80">
        <v>670</v>
      </c>
      <c r="AF6" s="80">
        <v>1040</v>
      </c>
      <c r="AG6" s="80">
        <v>598</v>
      </c>
      <c r="AH6" s="80">
        <v>1208</v>
      </c>
      <c r="AI6" s="80">
        <v>454</v>
      </c>
      <c r="AJ6" s="82">
        <v>900</v>
      </c>
      <c r="AK6" s="79">
        <v>40</v>
      </c>
      <c r="AL6" s="79">
        <v>280</v>
      </c>
      <c r="AM6" s="83">
        <f>IFERROR(AL6/AJ6,0)</f>
        <v>0.31111111111111112</v>
      </c>
      <c r="AN6" s="79">
        <f>+AK6+AL6</f>
        <v>320</v>
      </c>
      <c r="AO6" s="84">
        <f>IFERROR(+AN6/AJ6,0)</f>
        <v>0.35555555555555557</v>
      </c>
      <c r="AP6" s="50"/>
      <c r="AQ6" s="50"/>
    </row>
    <row r="7" spans="1:45" ht="12.75" customHeight="1" x14ac:dyDescent="0.25">
      <c r="A7" s="47"/>
      <c r="B7" s="64" t="s">
        <v>79</v>
      </c>
      <c r="C7" s="65" t="s">
        <v>72</v>
      </c>
      <c r="D7" s="66" t="s">
        <v>80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86">
        <v>964</v>
      </c>
      <c r="P7" s="87">
        <v>392</v>
      </c>
      <c r="Q7" s="87">
        <v>742</v>
      </c>
      <c r="R7" s="87">
        <v>549</v>
      </c>
      <c r="S7" s="86">
        <v>234</v>
      </c>
      <c r="T7" s="86">
        <v>593.86</v>
      </c>
      <c r="U7" s="86">
        <v>56.429999999999993</v>
      </c>
      <c r="V7" s="86">
        <v>382</v>
      </c>
      <c r="W7" s="86">
        <v>510</v>
      </c>
      <c r="X7" s="86">
        <v>558</v>
      </c>
      <c r="Y7" s="87">
        <v>1238</v>
      </c>
      <c r="Z7" s="86">
        <v>532</v>
      </c>
      <c r="AA7" s="86">
        <v>832</v>
      </c>
      <c r="AB7" s="86">
        <v>1404</v>
      </c>
      <c r="AC7" s="86">
        <v>234</v>
      </c>
      <c r="AD7" s="89">
        <v>984</v>
      </c>
      <c r="AE7" s="88">
        <v>1110</v>
      </c>
      <c r="AF7" s="88">
        <v>576</v>
      </c>
      <c r="AG7" s="88">
        <v>1172</v>
      </c>
      <c r="AH7" s="88">
        <v>560</v>
      </c>
      <c r="AI7" s="88">
        <v>1410</v>
      </c>
      <c r="AJ7" s="90">
        <v>900</v>
      </c>
      <c r="AK7" s="87">
        <v>198</v>
      </c>
      <c r="AL7" s="87">
        <v>-230</v>
      </c>
      <c r="AM7" s="91">
        <f>IFERROR(AL7/AJ7,0)</f>
        <v>-0.25555555555555554</v>
      </c>
      <c r="AN7" s="87">
        <f>+AK7+AL7</f>
        <v>-32</v>
      </c>
      <c r="AO7" s="92">
        <f>IFERROR(+AN7/AJ7,0)</f>
        <v>-3.5555555555555556E-2</v>
      </c>
      <c r="AP7" s="50"/>
      <c r="AQ7" s="50"/>
    </row>
    <row r="8" spans="1:45" ht="12.75" customHeight="1" x14ac:dyDescent="0.25">
      <c r="A8" s="47"/>
      <c r="B8" s="75" t="s">
        <v>79</v>
      </c>
      <c r="C8" s="76" t="s">
        <v>72</v>
      </c>
      <c r="D8" s="77" t="s">
        <v>81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78">
        <v>0</v>
      </c>
      <c r="P8" s="79">
        <v>236</v>
      </c>
      <c r="Q8" s="79">
        <v>478</v>
      </c>
      <c r="R8" s="79">
        <v>531</v>
      </c>
      <c r="S8" s="78">
        <v>130</v>
      </c>
      <c r="T8" s="78">
        <v>485.3</v>
      </c>
      <c r="U8" s="78">
        <v>60.73</v>
      </c>
      <c r="V8" s="78">
        <v>778</v>
      </c>
      <c r="W8" s="78">
        <v>588</v>
      </c>
      <c r="X8" s="78">
        <v>692</v>
      </c>
      <c r="Y8" s="79">
        <v>548</v>
      </c>
      <c r="Z8" s="78">
        <v>480</v>
      </c>
      <c r="AA8" s="78">
        <v>762</v>
      </c>
      <c r="AB8" s="78">
        <v>958</v>
      </c>
      <c r="AC8" s="78">
        <v>1038</v>
      </c>
      <c r="AD8" s="81">
        <v>784</v>
      </c>
      <c r="AE8" s="80">
        <v>796</v>
      </c>
      <c r="AF8" s="80">
        <v>918</v>
      </c>
      <c r="AG8" s="80">
        <v>1094</v>
      </c>
      <c r="AH8" s="80">
        <v>144</v>
      </c>
      <c r="AI8" s="80">
        <v>526</v>
      </c>
      <c r="AJ8" s="82">
        <v>800</v>
      </c>
      <c r="AK8" s="79">
        <v>38</v>
      </c>
      <c r="AL8" s="79">
        <v>90</v>
      </c>
      <c r="AM8" s="83">
        <f t="shared" ref="AM8" si="3">IFERROR(AL8/AJ8,0)</f>
        <v>0.1125</v>
      </c>
      <c r="AN8" s="79">
        <f t="shared" ref="AN8" si="4">+AK8+AL8</f>
        <v>128</v>
      </c>
      <c r="AO8" s="84">
        <f t="shared" ref="AO8" si="5">IFERROR(+AN8/AJ8,0)</f>
        <v>0.16</v>
      </c>
      <c r="AP8" s="50"/>
      <c r="AQ8" s="50"/>
    </row>
    <row r="9" spans="1:45" s="208" customFormat="1" ht="12.75" customHeight="1" x14ac:dyDescent="0.25">
      <c r="A9" s="47"/>
      <c r="B9" s="64" t="s">
        <v>82</v>
      </c>
      <c r="C9" s="65" t="s">
        <v>72</v>
      </c>
      <c r="D9" s="66" t="s">
        <v>83</v>
      </c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86">
        <v>818</v>
      </c>
      <c r="P9" s="87">
        <v>1706</v>
      </c>
      <c r="Q9" s="87">
        <v>494</v>
      </c>
      <c r="R9" s="87">
        <v>387</v>
      </c>
      <c r="S9" s="86">
        <v>570</v>
      </c>
      <c r="T9" s="86">
        <v>679.84999999999991</v>
      </c>
      <c r="U9" s="86">
        <v>816.9</v>
      </c>
      <c r="V9" s="86">
        <v>308</v>
      </c>
      <c r="W9" s="86">
        <v>1100</v>
      </c>
      <c r="X9" s="86">
        <v>0</v>
      </c>
      <c r="Y9" s="87">
        <v>1090</v>
      </c>
      <c r="Z9" s="86">
        <v>2078</v>
      </c>
      <c r="AA9" s="86">
        <v>1480</v>
      </c>
      <c r="AB9" s="86">
        <v>1370</v>
      </c>
      <c r="AC9" s="86">
        <v>1200</v>
      </c>
      <c r="AD9" s="89">
        <v>380</v>
      </c>
      <c r="AE9" s="88">
        <v>1300</v>
      </c>
      <c r="AF9" s="88">
        <v>580</v>
      </c>
      <c r="AG9" s="88">
        <v>1120</v>
      </c>
      <c r="AH9" s="88">
        <v>1368</v>
      </c>
      <c r="AI9" s="88">
        <v>1166</v>
      </c>
      <c r="AJ9" s="90">
        <v>1500</v>
      </c>
      <c r="AK9" s="87">
        <v>0</v>
      </c>
      <c r="AL9" s="87">
        <v>700</v>
      </c>
      <c r="AM9" s="91">
        <f>IFERROR(AL9/AJ9,0)</f>
        <v>0.46666666666666667</v>
      </c>
      <c r="AN9" s="87">
        <f>+AK9+AL9</f>
        <v>700</v>
      </c>
      <c r="AO9" s="92">
        <f>IFERROR(+AN9/AJ9,0)</f>
        <v>0.46666666666666667</v>
      </c>
      <c r="AP9" s="50"/>
      <c r="AQ9" s="50"/>
      <c r="AR9" s="47"/>
      <c r="AS9" s="47"/>
    </row>
    <row r="10" spans="1:45" ht="12.75" customHeight="1" x14ac:dyDescent="0.25">
      <c r="A10" s="47"/>
      <c r="B10" s="75" t="s">
        <v>82</v>
      </c>
      <c r="C10" s="76" t="s">
        <v>72</v>
      </c>
      <c r="D10" s="77" t="s">
        <v>84</v>
      </c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78">
        <v>318</v>
      </c>
      <c r="P10" s="79">
        <v>74</v>
      </c>
      <c r="Q10" s="79">
        <v>98</v>
      </c>
      <c r="R10" s="79">
        <v>276</v>
      </c>
      <c r="S10" s="78">
        <v>1148</v>
      </c>
      <c r="T10" s="78">
        <v>94.05</v>
      </c>
      <c r="U10" s="78">
        <v>0</v>
      </c>
      <c r="V10" s="78">
        <v>636</v>
      </c>
      <c r="W10" s="78">
        <v>38</v>
      </c>
      <c r="X10" s="78">
        <v>190</v>
      </c>
      <c r="Y10" s="79">
        <v>380</v>
      </c>
      <c r="Z10" s="78">
        <v>2020</v>
      </c>
      <c r="AA10" s="78">
        <v>150</v>
      </c>
      <c r="AB10" s="78">
        <v>480</v>
      </c>
      <c r="AC10" s="78">
        <v>54</v>
      </c>
      <c r="AD10" s="81">
        <v>0</v>
      </c>
      <c r="AE10" s="80">
        <v>36</v>
      </c>
      <c r="AF10" s="80">
        <v>138</v>
      </c>
      <c r="AG10" s="80">
        <v>0</v>
      </c>
      <c r="AH10" s="80">
        <v>54</v>
      </c>
      <c r="AI10" s="80">
        <v>0</v>
      </c>
      <c r="AJ10" s="82">
        <v>0</v>
      </c>
      <c r="AK10" s="79">
        <v>0</v>
      </c>
      <c r="AL10" s="79">
        <v>0</v>
      </c>
      <c r="AM10" s="83">
        <f>IFERROR(AL10/AJ10,0)</f>
        <v>0</v>
      </c>
      <c r="AN10" s="79">
        <f>+AK10+AL10</f>
        <v>0</v>
      </c>
      <c r="AO10" s="84">
        <f>IFERROR(+AN10/AJ10,0)</f>
        <v>0</v>
      </c>
      <c r="AP10" s="50"/>
      <c r="AQ10" s="50"/>
    </row>
    <row r="11" spans="1:45" ht="12.75" customHeight="1" x14ac:dyDescent="0.25">
      <c r="A11" s="47"/>
      <c r="B11" s="64" t="s">
        <v>85</v>
      </c>
      <c r="C11" s="65" t="s">
        <v>86</v>
      </c>
      <c r="D11" s="66" t="s">
        <v>87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86">
        <v>1280</v>
      </c>
      <c r="P11" s="87">
        <v>260</v>
      </c>
      <c r="Q11" s="87">
        <v>238</v>
      </c>
      <c r="R11" s="87">
        <v>321</v>
      </c>
      <c r="S11" s="86">
        <v>788</v>
      </c>
      <c r="T11" s="86">
        <v>1503.7399999999998</v>
      </c>
      <c r="U11" s="86">
        <v>2123.3999999999996</v>
      </c>
      <c r="V11" s="86">
        <v>390</v>
      </c>
      <c r="W11" s="86">
        <v>314</v>
      </c>
      <c r="X11" s="86">
        <v>370</v>
      </c>
      <c r="Y11" s="87">
        <v>914</v>
      </c>
      <c r="Z11" s="86">
        <v>1474</v>
      </c>
      <c r="AA11" s="86">
        <v>1512</v>
      </c>
      <c r="AB11" s="86">
        <v>1774</v>
      </c>
      <c r="AC11" s="86">
        <v>2682</v>
      </c>
      <c r="AD11" s="89">
        <v>1762</v>
      </c>
      <c r="AE11" s="88">
        <v>1764</v>
      </c>
      <c r="AF11" s="88">
        <v>1934</v>
      </c>
      <c r="AG11" s="88">
        <v>1748</v>
      </c>
      <c r="AH11" s="88">
        <v>452</v>
      </c>
      <c r="AI11" s="88">
        <v>550</v>
      </c>
      <c r="AJ11" s="90">
        <v>1100</v>
      </c>
      <c r="AK11" s="87">
        <v>18</v>
      </c>
      <c r="AL11" s="87">
        <v>758</v>
      </c>
      <c r="AM11" s="91">
        <f t="shared" si="0"/>
        <v>0.68909090909090909</v>
      </c>
      <c r="AN11" s="87">
        <f t="shared" si="1"/>
        <v>776</v>
      </c>
      <c r="AO11" s="92">
        <f t="shared" si="2"/>
        <v>0.70545454545454545</v>
      </c>
      <c r="AP11" s="50"/>
      <c r="AQ11" s="50"/>
    </row>
    <row r="12" spans="1:45" ht="12.75" customHeight="1" x14ac:dyDescent="0.25">
      <c r="A12" s="47"/>
      <c r="B12" s="75" t="s">
        <v>85</v>
      </c>
      <c r="C12" s="76" t="s">
        <v>86</v>
      </c>
      <c r="D12" s="77" t="s">
        <v>88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78">
        <v>1244</v>
      </c>
      <c r="P12" s="79">
        <v>216</v>
      </c>
      <c r="Q12" s="79">
        <v>364</v>
      </c>
      <c r="R12" s="79">
        <v>588</v>
      </c>
      <c r="S12" s="78">
        <v>612</v>
      </c>
      <c r="T12" s="78">
        <v>458.43000000000006</v>
      </c>
      <c r="U12" s="78">
        <v>368.14</v>
      </c>
      <c r="V12" s="78">
        <v>198</v>
      </c>
      <c r="W12" s="78">
        <v>372</v>
      </c>
      <c r="X12" s="78">
        <v>206</v>
      </c>
      <c r="Y12" s="79">
        <v>228</v>
      </c>
      <c r="Z12" s="78">
        <v>290</v>
      </c>
      <c r="AA12" s="78">
        <v>460</v>
      </c>
      <c r="AB12" s="78">
        <v>850</v>
      </c>
      <c r="AC12" s="78">
        <v>528</v>
      </c>
      <c r="AD12" s="81">
        <v>544</v>
      </c>
      <c r="AE12" s="80">
        <v>352</v>
      </c>
      <c r="AF12" s="80">
        <v>110</v>
      </c>
      <c r="AG12" s="80">
        <v>550</v>
      </c>
      <c r="AH12" s="80">
        <v>412</v>
      </c>
      <c r="AI12" s="80">
        <v>184</v>
      </c>
      <c r="AJ12" s="82">
        <v>500</v>
      </c>
      <c r="AK12" s="79">
        <v>38</v>
      </c>
      <c r="AL12" s="79">
        <v>324</v>
      </c>
      <c r="AM12" s="83">
        <f t="shared" si="0"/>
        <v>0.64800000000000002</v>
      </c>
      <c r="AN12" s="79">
        <f t="shared" si="1"/>
        <v>362</v>
      </c>
      <c r="AO12" s="84">
        <f t="shared" si="2"/>
        <v>0.72399999999999998</v>
      </c>
      <c r="AP12" s="50"/>
      <c r="AQ12" s="50"/>
    </row>
    <row r="13" spans="1:45" s="208" customFormat="1" ht="12.75" customHeight="1" x14ac:dyDescent="0.25">
      <c r="A13" s="47"/>
      <c r="B13" s="64" t="s">
        <v>89</v>
      </c>
      <c r="C13" s="65" t="s">
        <v>86</v>
      </c>
      <c r="D13" s="66" t="s">
        <v>90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86">
        <v>734</v>
      </c>
      <c r="P13" s="87">
        <v>174</v>
      </c>
      <c r="Q13" s="87">
        <v>530</v>
      </c>
      <c r="R13" s="87">
        <v>219</v>
      </c>
      <c r="S13" s="86">
        <v>454</v>
      </c>
      <c r="T13" s="86">
        <v>142.42000000000002</v>
      </c>
      <c r="U13" s="86">
        <v>196.7</v>
      </c>
      <c r="V13" s="86">
        <v>440</v>
      </c>
      <c r="W13" s="86">
        <v>328</v>
      </c>
      <c r="X13" s="86">
        <v>264</v>
      </c>
      <c r="Y13" s="87">
        <v>642</v>
      </c>
      <c r="Z13" s="86">
        <v>1052</v>
      </c>
      <c r="AA13" s="86">
        <v>1592</v>
      </c>
      <c r="AB13" s="86">
        <v>870</v>
      </c>
      <c r="AC13" s="86">
        <v>1476</v>
      </c>
      <c r="AD13" s="89">
        <v>734</v>
      </c>
      <c r="AE13" s="88">
        <v>494</v>
      </c>
      <c r="AF13" s="88">
        <v>322</v>
      </c>
      <c r="AG13" s="88">
        <v>288</v>
      </c>
      <c r="AH13" s="88">
        <v>582</v>
      </c>
      <c r="AI13" s="88">
        <v>664</v>
      </c>
      <c r="AJ13" s="90">
        <v>400</v>
      </c>
      <c r="AK13" s="87">
        <v>54</v>
      </c>
      <c r="AL13" s="87">
        <v>-74</v>
      </c>
      <c r="AM13" s="91">
        <f t="shared" si="0"/>
        <v>-0.185</v>
      </c>
      <c r="AN13" s="87">
        <f t="shared" si="1"/>
        <v>-20</v>
      </c>
      <c r="AO13" s="92">
        <f t="shared" si="2"/>
        <v>-0.05</v>
      </c>
      <c r="AP13" s="50"/>
      <c r="AQ13" s="50"/>
      <c r="AR13" s="47"/>
      <c r="AS13" s="47"/>
    </row>
    <row r="14" spans="1:45" ht="12.75" hidden="1" customHeight="1" x14ac:dyDescent="0.25">
      <c r="A14" s="47"/>
      <c r="B14" s="75" t="s">
        <v>89</v>
      </c>
      <c r="C14" s="76" t="s">
        <v>86</v>
      </c>
      <c r="D14" s="77" t="s">
        <v>91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78">
        <v>0</v>
      </c>
      <c r="P14" s="79">
        <v>0</v>
      </c>
      <c r="Q14" s="79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s="208" customFormat="1" ht="12.75" customHeight="1" x14ac:dyDescent="0.25">
      <c r="A15" s="47"/>
      <c r="B15" s="75" t="s">
        <v>89</v>
      </c>
      <c r="C15" s="76" t="s">
        <v>86</v>
      </c>
      <c r="D15" s="77" t="s">
        <v>93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78">
        <v>702</v>
      </c>
      <c r="P15" s="79">
        <v>216</v>
      </c>
      <c r="Q15" s="79">
        <v>198</v>
      </c>
      <c r="R15" s="79">
        <v>288</v>
      </c>
      <c r="S15" s="78">
        <v>216</v>
      </c>
      <c r="T15" s="78">
        <v>334.82000000000005</v>
      </c>
      <c r="U15" s="78">
        <v>206.91</v>
      </c>
      <c r="V15" s="78">
        <v>126</v>
      </c>
      <c r="W15" s="78">
        <v>108</v>
      </c>
      <c r="X15" s="78">
        <v>198</v>
      </c>
      <c r="Y15" s="79">
        <v>270</v>
      </c>
      <c r="Z15" s="78">
        <v>306</v>
      </c>
      <c r="AA15" s="78">
        <v>398</v>
      </c>
      <c r="AB15" s="78">
        <v>324</v>
      </c>
      <c r="AC15" s="78">
        <v>650</v>
      </c>
      <c r="AD15" s="81">
        <v>328</v>
      </c>
      <c r="AE15" s="80">
        <v>180</v>
      </c>
      <c r="AF15" s="80">
        <v>360</v>
      </c>
      <c r="AG15" s="80">
        <v>162</v>
      </c>
      <c r="AH15" s="80">
        <v>198</v>
      </c>
      <c r="AI15" s="80">
        <v>126</v>
      </c>
      <c r="AJ15" s="82">
        <v>200</v>
      </c>
      <c r="AK15" s="79">
        <v>190</v>
      </c>
      <c r="AL15" s="79">
        <v>108</v>
      </c>
      <c r="AM15" s="83">
        <f t="shared" si="0"/>
        <v>0.54</v>
      </c>
      <c r="AN15" s="79">
        <f t="shared" si="1"/>
        <v>298</v>
      </c>
      <c r="AO15" s="84">
        <f t="shared" si="2"/>
        <v>1.49</v>
      </c>
      <c r="AP15" s="50"/>
      <c r="AQ15" s="50"/>
      <c r="AR15" s="47"/>
      <c r="AS15" s="47"/>
    </row>
    <row r="16" spans="1:45" ht="12.75" customHeight="1" x14ac:dyDescent="0.25">
      <c r="A16" s="47"/>
      <c r="B16" s="64" t="s">
        <v>94</v>
      </c>
      <c r="C16" s="65" t="s">
        <v>86</v>
      </c>
      <c r="D16" s="66" t="s">
        <v>95</v>
      </c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86">
        <v>824</v>
      </c>
      <c r="P16" s="87">
        <v>244</v>
      </c>
      <c r="Q16" s="87">
        <v>0</v>
      </c>
      <c r="R16" s="87">
        <v>1539</v>
      </c>
      <c r="S16" s="86">
        <v>164</v>
      </c>
      <c r="T16" s="86">
        <v>376.19999999999993</v>
      </c>
      <c r="U16" s="86">
        <v>217.66000000000003</v>
      </c>
      <c r="V16" s="86">
        <v>100</v>
      </c>
      <c r="W16" s="86">
        <v>944</v>
      </c>
      <c r="X16" s="86">
        <v>402</v>
      </c>
      <c r="Y16" s="87">
        <v>812</v>
      </c>
      <c r="Z16" s="86">
        <v>1072</v>
      </c>
      <c r="AA16" s="86">
        <v>1418</v>
      </c>
      <c r="AB16" s="86">
        <v>1182</v>
      </c>
      <c r="AC16" s="86">
        <v>1486</v>
      </c>
      <c r="AD16" s="89">
        <v>910</v>
      </c>
      <c r="AE16" s="88">
        <v>936</v>
      </c>
      <c r="AF16" s="88">
        <v>1460</v>
      </c>
      <c r="AG16" s="88">
        <v>920</v>
      </c>
      <c r="AH16" s="88">
        <v>1430</v>
      </c>
      <c r="AI16" s="88">
        <v>810</v>
      </c>
      <c r="AJ16" s="90">
        <v>1200</v>
      </c>
      <c r="AK16" s="87">
        <v>90</v>
      </c>
      <c r="AL16" s="87">
        <v>396</v>
      </c>
      <c r="AM16" s="91">
        <f>IFERROR(AL16/AJ16,0)</f>
        <v>0.33</v>
      </c>
      <c r="AN16" s="87">
        <f>+AK16+AL16</f>
        <v>486</v>
      </c>
      <c r="AO16" s="92">
        <f>IFERROR(+AN16/AJ16,0)</f>
        <v>0.40500000000000003</v>
      </c>
      <c r="AP16" s="50"/>
      <c r="AQ16" s="50"/>
    </row>
    <row r="17" spans="1:45" s="208" customFormat="1" ht="12.75" customHeight="1" thickBot="1" x14ac:dyDescent="0.3">
      <c r="A17" s="47"/>
      <c r="B17" s="75" t="s">
        <v>94</v>
      </c>
      <c r="C17" s="76" t="s">
        <v>86</v>
      </c>
      <c r="D17" s="77" t="s">
        <v>96</v>
      </c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78">
        <v>1168</v>
      </c>
      <c r="P17" s="79">
        <v>2004</v>
      </c>
      <c r="Q17" s="79">
        <v>514</v>
      </c>
      <c r="R17" s="79">
        <v>1398</v>
      </c>
      <c r="S17" s="78">
        <v>1222</v>
      </c>
      <c r="T17" s="78">
        <v>1000.1600000000001</v>
      </c>
      <c r="U17" s="78">
        <v>1570.92</v>
      </c>
      <c r="V17" s="78">
        <v>186</v>
      </c>
      <c r="W17" s="78">
        <v>2124</v>
      </c>
      <c r="X17" s="78">
        <v>1148</v>
      </c>
      <c r="Y17" s="79">
        <v>3486</v>
      </c>
      <c r="Z17" s="78">
        <v>4452</v>
      </c>
      <c r="AA17" s="78">
        <v>3122</v>
      </c>
      <c r="AB17" s="78">
        <v>5096</v>
      </c>
      <c r="AC17" s="78">
        <v>2938</v>
      </c>
      <c r="AD17" s="81">
        <v>6266</v>
      </c>
      <c r="AE17" s="93">
        <v>4310</v>
      </c>
      <c r="AF17" s="93">
        <v>3734</v>
      </c>
      <c r="AG17" s="93">
        <v>2924</v>
      </c>
      <c r="AH17" s="93">
        <v>4552</v>
      </c>
      <c r="AI17" s="93">
        <v>5458</v>
      </c>
      <c r="AJ17" s="94">
        <v>5200</v>
      </c>
      <c r="AK17" s="95">
        <v>3300</v>
      </c>
      <c r="AL17" s="95">
        <v>3790</v>
      </c>
      <c r="AM17" s="96">
        <f>IFERROR(AL17/AJ17,0)</f>
        <v>0.72884615384615381</v>
      </c>
      <c r="AN17" s="95">
        <f>+AK17+AL17</f>
        <v>7090</v>
      </c>
      <c r="AO17" s="97">
        <f>IFERROR(+AN17/AJ17,0)</f>
        <v>1.3634615384615385</v>
      </c>
      <c r="AP17" s="50"/>
      <c r="AQ17" s="50"/>
      <c r="AR17" s="47"/>
      <c r="AS17" s="47"/>
    </row>
    <row r="18" spans="1:45" s="109" customFormat="1" ht="12.75" customHeight="1" thickBot="1" x14ac:dyDescent="0.35">
      <c r="A18" s="47"/>
      <c r="B18" s="98"/>
      <c r="C18" s="99"/>
      <c r="D18" s="100" t="s">
        <v>97</v>
      </c>
      <c r="E18" s="209">
        <f t="shared" ref="E18:AD18" si="6">+SUM(E3:E17)</f>
        <v>0</v>
      </c>
      <c r="F18" s="209">
        <f t="shared" si="6"/>
        <v>0</v>
      </c>
      <c r="G18" s="209">
        <f t="shared" si="6"/>
        <v>0</v>
      </c>
      <c r="H18" s="209">
        <f t="shared" si="6"/>
        <v>0</v>
      </c>
      <c r="I18" s="209">
        <f t="shared" si="6"/>
        <v>0</v>
      </c>
      <c r="J18" s="209">
        <f t="shared" si="6"/>
        <v>0</v>
      </c>
      <c r="K18" s="209">
        <f t="shared" si="6"/>
        <v>0</v>
      </c>
      <c r="L18" s="209">
        <f t="shared" si="6"/>
        <v>0</v>
      </c>
      <c r="M18" s="209">
        <f t="shared" si="6"/>
        <v>0</v>
      </c>
      <c r="N18" s="209">
        <f t="shared" si="6"/>
        <v>0</v>
      </c>
      <c r="O18" s="101">
        <f t="shared" si="6"/>
        <v>8596</v>
      </c>
      <c r="P18" s="102">
        <f t="shared" si="6"/>
        <v>6432</v>
      </c>
      <c r="Q18" s="102">
        <f t="shared" si="6"/>
        <v>7390</v>
      </c>
      <c r="R18" s="101">
        <f t="shared" si="6"/>
        <v>8829</v>
      </c>
      <c r="S18" s="101">
        <f t="shared" si="6"/>
        <v>6846</v>
      </c>
      <c r="T18" s="101">
        <f t="shared" si="6"/>
        <v>6169.1799999999994</v>
      </c>
      <c r="U18" s="101">
        <f t="shared" si="6"/>
        <v>5977.869999999999</v>
      </c>
      <c r="V18" s="101">
        <f t="shared" si="6"/>
        <v>4180</v>
      </c>
      <c r="W18" s="101">
        <f t="shared" si="6"/>
        <v>6872</v>
      </c>
      <c r="X18" s="101">
        <f t="shared" si="6"/>
        <v>5042</v>
      </c>
      <c r="Y18" s="102">
        <f t="shared" si="6"/>
        <v>10892</v>
      </c>
      <c r="Z18" s="101">
        <f t="shared" si="6"/>
        <v>17906</v>
      </c>
      <c r="AA18" s="101">
        <f t="shared" si="6"/>
        <v>17248</v>
      </c>
      <c r="AB18" s="101">
        <f t="shared" si="6"/>
        <v>18458</v>
      </c>
      <c r="AC18" s="101">
        <f t="shared" si="6"/>
        <v>14918</v>
      </c>
      <c r="AD18" s="104">
        <f t="shared" si="6"/>
        <v>16720</v>
      </c>
      <c r="AE18" s="103">
        <v>13454</v>
      </c>
      <c r="AF18" s="103">
        <v>11752</v>
      </c>
      <c r="AG18" s="103">
        <v>11264</v>
      </c>
      <c r="AH18" s="103">
        <v>12764</v>
      </c>
      <c r="AI18" s="103">
        <v>11632</v>
      </c>
      <c r="AJ18" s="105">
        <v>14000</v>
      </c>
      <c r="AK18" s="102">
        <f t="shared" ref="AK18:AN18" si="7">+SUM(AK3:AK17)</f>
        <v>3966</v>
      </c>
      <c r="AL18" s="102">
        <f t="shared" si="7"/>
        <v>6364</v>
      </c>
      <c r="AM18" s="106">
        <f t="shared" si="0"/>
        <v>0.45457142857142857</v>
      </c>
      <c r="AN18" s="102">
        <f t="shared" si="7"/>
        <v>10330</v>
      </c>
      <c r="AO18" s="107">
        <f t="shared" si="2"/>
        <v>0.73785714285714288</v>
      </c>
      <c r="AP18" s="49"/>
      <c r="AQ18" s="49"/>
      <c r="AR18" s="108"/>
      <c r="AS18" s="47"/>
    </row>
    <row r="19" spans="1:45" ht="12.75" customHeight="1" x14ac:dyDescent="0.25">
      <c r="A19" s="47"/>
      <c r="B19" s="64" t="s">
        <v>98</v>
      </c>
      <c r="C19" s="65" t="s">
        <v>99</v>
      </c>
      <c r="D19" s="66" t="s">
        <v>100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67">
        <v>198</v>
      </c>
      <c r="P19" s="68">
        <v>18</v>
      </c>
      <c r="Q19" s="68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8">
        <v>0</v>
      </c>
      <c r="Z19" s="67">
        <v>0</v>
      </c>
      <c r="AA19" s="67">
        <v>0</v>
      </c>
      <c r="AB19" s="67">
        <v>18</v>
      </c>
      <c r="AC19" s="67">
        <v>0</v>
      </c>
      <c r="AD19" s="70">
        <v>0</v>
      </c>
      <c r="AE19" s="69">
        <v>0</v>
      </c>
      <c r="AF19" s="69">
        <v>90</v>
      </c>
      <c r="AG19" s="69">
        <v>0</v>
      </c>
      <c r="AH19" s="69">
        <v>0</v>
      </c>
      <c r="AI19" s="69">
        <v>0</v>
      </c>
      <c r="AJ19" s="110">
        <v>0</v>
      </c>
      <c r="AK19" s="68">
        <v>0</v>
      </c>
      <c r="AL19" s="68">
        <v>0</v>
      </c>
      <c r="AM19" s="111">
        <f>IFERROR(AL19/AJ19,0)</f>
        <v>0</v>
      </c>
      <c r="AN19" s="68">
        <f>+AK19+AL19</f>
        <v>0</v>
      </c>
      <c r="AO19" s="112">
        <f>IFERROR(+AN19/AJ19,0)</f>
        <v>0</v>
      </c>
      <c r="AP19" s="50"/>
      <c r="AQ19" s="50"/>
    </row>
    <row r="20" spans="1:45" ht="12.75" customHeight="1" x14ac:dyDescent="0.25">
      <c r="A20" s="47"/>
      <c r="B20" s="75" t="s">
        <v>98</v>
      </c>
      <c r="C20" s="113" t="s">
        <v>99</v>
      </c>
      <c r="D20" s="77" t="s">
        <v>101</v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78">
        <v>18</v>
      </c>
      <c r="P20" s="79">
        <v>72</v>
      </c>
      <c r="Q20" s="79">
        <v>-36</v>
      </c>
      <c r="R20" s="78">
        <v>36</v>
      </c>
      <c r="S20" s="78">
        <v>36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9">
        <v>0</v>
      </c>
      <c r="Z20" s="78">
        <v>18</v>
      </c>
      <c r="AA20" s="78">
        <v>-18</v>
      </c>
      <c r="AB20" s="78">
        <v>0</v>
      </c>
      <c r="AC20" s="78">
        <v>0</v>
      </c>
      <c r="AD20" s="81">
        <v>0</v>
      </c>
      <c r="AE20" s="80">
        <v>0</v>
      </c>
      <c r="AF20" s="80">
        <v>0</v>
      </c>
      <c r="AG20" s="80">
        <v>0</v>
      </c>
      <c r="AH20" s="80">
        <v>0</v>
      </c>
      <c r="AI20" s="80">
        <v>0</v>
      </c>
      <c r="AJ20" s="114">
        <v>0</v>
      </c>
      <c r="AK20" s="79">
        <v>0</v>
      </c>
      <c r="AL20" s="79">
        <v>0</v>
      </c>
      <c r="AM20" s="83">
        <f>IFERROR(AL20/AJ20,0)</f>
        <v>0</v>
      </c>
      <c r="AN20" s="79">
        <f>+AK20+AL20</f>
        <v>0</v>
      </c>
      <c r="AO20" s="84">
        <f>IFERROR(+AN20/AJ20,0)</f>
        <v>0</v>
      </c>
      <c r="AP20" s="50"/>
      <c r="AQ20" s="50"/>
    </row>
    <row r="21" spans="1:45" ht="12.75" customHeight="1" thickBot="1" x14ac:dyDescent="0.3">
      <c r="A21" s="47"/>
      <c r="B21" s="64" t="s">
        <v>98</v>
      </c>
      <c r="C21" s="65" t="s">
        <v>99</v>
      </c>
      <c r="D21" s="66" t="s">
        <v>102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86">
        <v>54</v>
      </c>
      <c r="P21" s="87">
        <v>54</v>
      </c>
      <c r="Q21" s="87">
        <v>54</v>
      </c>
      <c r="R21" s="86">
        <v>0</v>
      </c>
      <c r="S21" s="86">
        <v>144</v>
      </c>
      <c r="T21" s="86">
        <v>-18.809999999999999</v>
      </c>
      <c r="U21" s="86">
        <v>0</v>
      </c>
      <c r="V21" s="86">
        <v>0</v>
      </c>
      <c r="W21" s="86">
        <v>0</v>
      </c>
      <c r="X21" s="86">
        <v>0</v>
      </c>
      <c r="Y21" s="87">
        <v>0</v>
      </c>
      <c r="Z21" s="86">
        <v>0</v>
      </c>
      <c r="AA21" s="86">
        <v>0</v>
      </c>
      <c r="AB21" s="86">
        <v>0</v>
      </c>
      <c r="AC21" s="86">
        <v>0</v>
      </c>
      <c r="AD21" s="89">
        <v>0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115">
        <v>0</v>
      </c>
      <c r="AK21" s="87">
        <v>0</v>
      </c>
      <c r="AL21" s="87">
        <v>0</v>
      </c>
      <c r="AM21" s="91">
        <f>IFERROR(AL21/AJ21,0)</f>
        <v>0</v>
      </c>
      <c r="AN21" s="87">
        <f>+AK21+AL21</f>
        <v>0</v>
      </c>
      <c r="AO21" s="92">
        <f>IFERROR(+AN21/AJ21,0)</f>
        <v>0</v>
      </c>
      <c r="AP21" s="50"/>
      <c r="AQ21" s="50"/>
    </row>
    <row r="22" spans="1:45" s="109" customFormat="1" ht="12.75" customHeight="1" thickBot="1" x14ac:dyDescent="0.35">
      <c r="A22" s="47"/>
      <c r="B22" s="98"/>
      <c r="C22" s="99"/>
      <c r="D22" s="100" t="s">
        <v>103</v>
      </c>
      <c r="E22" s="209">
        <f t="shared" ref="E22:X22" si="8">+SUM(E19:E21)</f>
        <v>0</v>
      </c>
      <c r="F22" s="209">
        <f t="shared" si="8"/>
        <v>0</v>
      </c>
      <c r="G22" s="209">
        <f t="shared" si="8"/>
        <v>0</v>
      </c>
      <c r="H22" s="209">
        <f t="shared" si="8"/>
        <v>0</v>
      </c>
      <c r="I22" s="209">
        <f t="shared" si="8"/>
        <v>0</v>
      </c>
      <c r="J22" s="209">
        <f t="shared" si="8"/>
        <v>0</v>
      </c>
      <c r="K22" s="209">
        <f t="shared" si="8"/>
        <v>0</v>
      </c>
      <c r="L22" s="209">
        <f t="shared" si="8"/>
        <v>0</v>
      </c>
      <c r="M22" s="209">
        <f t="shared" si="8"/>
        <v>0</v>
      </c>
      <c r="N22" s="209">
        <f t="shared" si="8"/>
        <v>0</v>
      </c>
      <c r="O22" s="101">
        <f t="shared" si="8"/>
        <v>270</v>
      </c>
      <c r="P22" s="102">
        <f t="shared" si="8"/>
        <v>144</v>
      </c>
      <c r="Q22" s="102">
        <f t="shared" si="8"/>
        <v>18</v>
      </c>
      <c r="R22" s="101">
        <f t="shared" si="8"/>
        <v>36</v>
      </c>
      <c r="S22" s="101">
        <v>180</v>
      </c>
      <c r="T22" s="101">
        <f t="shared" si="8"/>
        <v>-18.809999999999999</v>
      </c>
      <c r="U22" s="101">
        <f t="shared" si="8"/>
        <v>0</v>
      </c>
      <c r="V22" s="101">
        <f t="shared" si="8"/>
        <v>0</v>
      </c>
      <c r="W22" s="101">
        <v>0</v>
      </c>
      <c r="X22" s="101">
        <f t="shared" si="8"/>
        <v>0</v>
      </c>
      <c r="Y22" s="102">
        <v>0</v>
      </c>
      <c r="Z22" s="101">
        <v>18</v>
      </c>
      <c r="AA22" s="101">
        <v>-18</v>
      </c>
      <c r="AB22" s="101">
        <v>18</v>
      </c>
      <c r="AC22" s="101">
        <v>0</v>
      </c>
      <c r="AD22" s="104">
        <v>0</v>
      </c>
      <c r="AE22" s="103">
        <v>0</v>
      </c>
      <c r="AF22" s="103">
        <v>90</v>
      </c>
      <c r="AG22" s="103">
        <v>0</v>
      </c>
      <c r="AH22" s="103">
        <v>0</v>
      </c>
      <c r="AI22" s="103">
        <v>0</v>
      </c>
      <c r="AJ22" s="105">
        <v>0</v>
      </c>
      <c r="AK22" s="102">
        <f t="shared" ref="AK22:AN22" si="9">+SUM(AK19:AK21)</f>
        <v>0</v>
      </c>
      <c r="AL22" s="102">
        <f t="shared" si="9"/>
        <v>0</v>
      </c>
      <c r="AM22" s="106">
        <f t="shared" ref="AM22" si="10">IFERROR(AL22/AJ22,0)</f>
        <v>0</v>
      </c>
      <c r="AN22" s="102">
        <f t="shared" si="9"/>
        <v>0</v>
      </c>
      <c r="AO22" s="107">
        <f t="shared" ref="AO22:AO28" si="11">IFERROR(+AN22/AJ22,0)</f>
        <v>0</v>
      </c>
      <c r="AP22" s="49"/>
      <c r="AQ22" s="49"/>
      <c r="AR22" s="108"/>
      <c r="AS22" s="47"/>
    </row>
    <row r="23" spans="1:45" ht="12.75" customHeight="1" x14ac:dyDescent="0.25">
      <c r="A23" s="47"/>
      <c r="B23" s="64" t="s">
        <v>104</v>
      </c>
      <c r="C23" s="65" t="s">
        <v>105</v>
      </c>
      <c r="D23" s="66" t="s">
        <v>106</v>
      </c>
      <c r="E23" s="167"/>
      <c r="F23" s="167"/>
      <c r="G23" s="167"/>
      <c r="H23" s="167"/>
      <c r="I23" s="167"/>
      <c r="J23" s="167"/>
      <c r="K23" s="167"/>
      <c r="L23" s="167" t="s">
        <v>177</v>
      </c>
      <c r="M23" s="167"/>
      <c r="N23" s="167"/>
      <c r="O23" s="86">
        <v>766</v>
      </c>
      <c r="P23" s="87">
        <v>380</v>
      </c>
      <c r="Q23" s="87">
        <v>686</v>
      </c>
      <c r="R23" s="87">
        <v>180</v>
      </c>
      <c r="S23" s="86">
        <v>612</v>
      </c>
      <c r="T23" s="86">
        <v>0</v>
      </c>
      <c r="U23" s="86">
        <v>0</v>
      </c>
      <c r="V23" s="86">
        <v>206</v>
      </c>
      <c r="W23" s="86">
        <v>76</v>
      </c>
      <c r="X23" s="86">
        <v>578</v>
      </c>
      <c r="Y23" s="87">
        <v>1402</v>
      </c>
      <c r="Z23" s="86">
        <v>396</v>
      </c>
      <c r="AA23" s="86">
        <v>1212</v>
      </c>
      <c r="AB23" s="86">
        <v>434</v>
      </c>
      <c r="AC23" s="86">
        <v>1296</v>
      </c>
      <c r="AD23" s="89">
        <v>424</v>
      </c>
      <c r="AE23" s="88">
        <v>568</v>
      </c>
      <c r="AF23" s="88">
        <v>1020</v>
      </c>
      <c r="AG23" s="88">
        <v>540</v>
      </c>
      <c r="AH23" s="88">
        <v>442</v>
      </c>
      <c r="AI23" s="88">
        <v>1306</v>
      </c>
      <c r="AJ23" s="90">
        <v>900</v>
      </c>
      <c r="AK23" s="87">
        <v>0</v>
      </c>
      <c r="AL23" s="87">
        <v>108</v>
      </c>
      <c r="AM23" s="91">
        <v>18</v>
      </c>
      <c r="AN23" s="87">
        <f>+AK23+AL23</f>
        <v>108</v>
      </c>
      <c r="AO23" s="92">
        <f>IFERROR(+AN23/AJ23,0)</f>
        <v>0.12</v>
      </c>
      <c r="AP23" s="50"/>
      <c r="AQ23" s="50"/>
    </row>
    <row r="24" spans="1:45" s="208" customFormat="1" ht="12.75" customHeight="1" x14ac:dyDescent="0.25">
      <c r="A24" s="47"/>
      <c r="B24" s="75" t="s">
        <v>107</v>
      </c>
      <c r="C24" s="76" t="s">
        <v>105</v>
      </c>
      <c r="D24" s="77" t="s">
        <v>108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78">
        <v>144</v>
      </c>
      <c r="P24" s="79">
        <v>36</v>
      </c>
      <c r="Q24" s="79">
        <v>140</v>
      </c>
      <c r="R24" s="79">
        <v>54</v>
      </c>
      <c r="S24" s="78">
        <v>226</v>
      </c>
      <c r="T24" s="78">
        <v>94.05</v>
      </c>
      <c r="U24" s="78">
        <v>0</v>
      </c>
      <c r="V24" s="78">
        <v>0</v>
      </c>
      <c r="W24" s="78">
        <v>0</v>
      </c>
      <c r="X24" s="78">
        <v>0</v>
      </c>
      <c r="Y24" s="79">
        <v>190</v>
      </c>
      <c r="Z24" s="78">
        <v>100</v>
      </c>
      <c r="AA24" s="78">
        <v>0</v>
      </c>
      <c r="AB24" s="78">
        <v>730</v>
      </c>
      <c r="AC24" s="78">
        <v>226</v>
      </c>
      <c r="AD24" s="81">
        <v>730</v>
      </c>
      <c r="AE24" s="80">
        <v>200</v>
      </c>
      <c r="AF24" s="80">
        <v>40</v>
      </c>
      <c r="AG24" s="80">
        <v>20</v>
      </c>
      <c r="AH24" s="80">
        <v>54</v>
      </c>
      <c r="AI24" s="80">
        <v>190</v>
      </c>
      <c r="AJ24" s="82">
        <v>300</v>
      </c>
      <c r="AK24" s="79">
        <v>90</v>
      </c>
      <c r="AL24" s="79">
        <v>0</v>
      </c>
      <c r="AM24" s="83">
        <f>IFERROR(AL24/AJ24,0)</f>
        <v>0</v>
      </c>
      <c r="AN24" s="79">
        <f t="shared" ref="AN24:AN27" si="12">+AK24+AL24</f>
        <v>90</v>
      </c>
      <c r="AO24" s="84">
        <f t="shared" si="11"/>
        <v>0.3</v>
      </c>
      <c r="AP24" s="50"/>
      <c r="AQ24" s="50"/>
      <c r="AR24" s="47"/>
      <c r="AS24" s="47"/>
    </row>
    <row r="25" spans="1:45" ht="12.75" customHeight="1" x14ac:dyDescent="0.25">
      <c r="A25" s="47"/>
      <c r="B25" s="64" t="s">
        <v>109</v>
      </c>
      <c r="C25" s="65" t="s">
        <v>105</v>
      </c>
      <c r="D25" s="66" t="s">
        <v>110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86">
        <v>766</v>
      </c>
      <c r="P25" s="87">
        <v>604</v>
      </c>
      <c r="Q25" s="87">
        <v>1106</v>
      </c>
      <c r="R25" s="87">
        <v>540</v>
      </c>
      <c r="S25" s="86">
        <v>90</v>
      </c>
      <c r="T25" s="86">
        <v>0</v>
      </c>
      <c r="U25" s="86">
        <v>0</v>
      </c>
      <c r="V25" s="86">
        <v>0</v>
      </c>
      <c r="W25" s="86">
        <v>0</v>
      </c>
      <c r="X25" s="86">
        <v>90</v>
      </c>
      <c r="Y25" s="87">
        <v>180</v>
      </c>
      <c r="Z25" s="86">
        <v>80</v>
      </c>
      <c r="AA25" s="86">
        <v>180</v>
      </c>
      <c r="AB25" s="86">
        <v>126</v>
      </c>
      <c r="AC25" s="86">
        <v>274</v>
      </c>
      <c r="AD25" s="89">
        <v>198</v>
      </c>
      <c r="AE25" s="88">
        <v>90</v>
      </c>
      <c r="AF25" s="88">
        <v>190</v>
      </c>
      <c r="AG25" s="88">
        <v>234</v>
      </c>
      <c r="AH25" s="88">
        <v>270</v>
      </c>
      <c r="AI25" s="88">
        <v>312</v>
      </c>
      <c r="AJ25" s="90">
        <v>300</v>
      </c>
      <c r="AK25" s="87">
        <v>36</v>
      </c>
      <c r="AL25" s="87">
        <v>0</v>
      </c>
      <c r="AM25" s="91">
        <f>IFERROR(AL25/AJ25,0)</f>
        <v>0</v>
      </c>
      <c r="AN25" s="87">
        <f t="shared" si="12"/>
        <v>36</v>
      </c>
      <c r="AO25" s="92">
        <f t="shared" si="11"/>
        <v>0.12</v>
      </c>
      <c r="AP25" s="50"/>
      <c r="AQ25" s="50"/>
    </row>
    <row r="26" spans="1:45" s="208" customFormat="1" ht="12.75" customHeight="1" x14ac:dyDescent="0.25">
      <c r="A26" s="47"/>
      <c r="B26" s="75" t="s">
        <v>109</v>
      </c>
      <c r="C26" s="76" t="s">
        <v>105</v>
      </c>
      <c r="D26" s="77" t="s">
        <v>111</v>
      </c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78">
        <v>180</v>
      </c>
      <c r="P26" s="79">
        <v>0</v>
      </c>
      <c r="Q26" s="79">
        <v>0</v>
      </c>
      <c r="R26" s="79">
        <v>36</v>
      </c>
      <c r="S26" s="78">
        <v>18</v>
      </c>
      <c r="T26" s="78">
        <v>0</v>
      </c>
      <c r="U26" s="78">
        <v>0</v>
      </c>
      <c r="V26" s="78">
        <v>18</v>
      </c>
      <c r="W26" s="78">
        <v>0</v>
      </c>
      <c r="X26" s="78">
        <v>0</v>
      </c>
      <c r="Y26" s="79">
        <v>18</v>
      </c>
      <c r="Z26" s="78">
        <v>72</v>
      </c>
      <c r="AA26" s="78">
        <v>72</v>
      </c>
      <c r="AB26" s="78">
        <v>18</v>
      </c>
      <c r="AC26" s="78">
        <v>0</v>
      </c>
      <c r="AD26" s="81">
        <v>54</v>
      </c>
      <c r="AE26" s="80">
        <v>54</v>
      </c>
      <c r="AF26" s="80">
        <v>18</v>
      </c>
      <c r="AG26" s="80">
        <v>36</v>
      </c>
      <c r="AH26" s="80">
        <v>36</v>
      </c>
      <c r="AI26" s="80">
        <v>0</v>
      </c>
      <c r="AJ26" s="82">
        <v>300</v>
      </c>
      <c r="AK26" s="79">
        <v>0</v>
      </c>
      <c r="AL26" s="79">
        <v>0</v>
      </c>
      <c r="AM26" s="83">
        <f>IFERROR(AL26/AJ26,0)</f>
        <v>0</v>
      </c>
      <c r="AN26" s="79">
        <f t="shared" si="12"/>
        <v>0</v>
      </c>
      <c r="AO26" s="84">
        <f t="shared" si="11"/>
        <v>0</v>
      </c>
      <c r="AP26" s="50"/>
      <c r="AQ26" s="50"/>
      <c r="AR26" s="47"/>
      <c r="AS26" s="47"/>
    </row>
    <row r="27" spans="1:45" ht="12.75" customHeight="1" thickBot="1" x14ac:dyDescent="0.3">
      <c r="A27" s="47"/>
      <c r="B27" s="64" t="s">
        <v>112</v>
      </c>
      <c r="C27" s="65" t="s">
        <v>105</v>
      </c>
      <c r="D27" s="66" t="s">
        <v>113</v>
      </c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86">
        <v>752</v>
      </c>
      <c r="P27" s="87">
        <v>1102</v>
      </c>
      <c r="Q27" s="87">
        <v>456</v>
      </c>
      <c r="R27" s="87">
        <v>600</v>
      </c>
      <c r="S27" s="86">
        <v>730</v>
      </c>
      <c r="T27" s="86">
        <v>418.66</v>
      </c>
      <c r="U27" s="86">
        <v>207.45000000000002</v>
      </c>
      <c r="V27" s="86">
        <v>272</v>
      </c>
      <c r="W27" s="86">
        <v>1160</v>
      </c>
      <c r="X27" s="86">
        <v>378</v>
      </c>
      <c r="Y27" s="87">
        <v>1160</v>
      </c>
      <c r="Z27" s="86">
        <v>1874</v>
      </c>
      <c r="AA27" s="86">
        <v>2316</v>
      </c>
      <c r="AB27" s="86">
        <v>1540</v>
      </c>
      <c r="AC27" s="86">
        <v>760</v>
      </c>
      <c r="AD27" s="89">
        <v>2852</v>
      </c>
      <c r="AE27" s="88">
        <v>640</v>
      </c>
      <c r="AF27" s="88">
        <v>230</v>
      </c>
      <c r="AG27" s="88">
        <v>1306</v>
      </c>
      <c r="AH27" s="88">
        <v>1210</v>
      </c>
      <c r="AI27" s="88">
        <v>1220</v>
      </c>
      <c r="AJ27" s="90">
        <v>1200</v>
      </c>
      <c r="AK27" s="87">
        <v>54</v>
      </c>
      <c r="AL27" s="87">
        <v>940</v>
      </c>
      <c r="AM27" s="91">
        <f t="shared" ref="AM27:AM28" si="13">IFERROR(AL27/AJ27,0)</f>
        <v>0.78333333333333333</v>
      </c>
      <c r="AN27" s="87">
        <f t="shared" si="12"/>
        <v>994</v>
      </c>
      <c r="AO27" s="92">
        <f t="shared" si="11"/>
        <v>0.82833333333333337</v>
      </c>
      <c r="AP27" s="50"/>
      <c r="AQ27" s="50"/>
    </row>
    <row r="28" spans="1:45" s="109" customFormat="1" ht="12.75" customHeight="1" thickBot="1" x14ac:dyDescent="0.35">
      <c r="A28" s="47"/>
      <c r="B28" s="98"/>
      <c r="C28" s="99"/>
      <c r="D28" s="100" t="s">
        <v>114</v>
      </c>
      <c r="E28" s="209">
        <f t="shared" ref="E28:AD28" si="14">+SUM(E23:E27)</f>
        <v>0</v>
      </c>
      <c r="F28" s="209">
        <f t="shared" si="14"/>
        <v>0</v>
      </c>
      <c r="G28" s="209">
        <f t="shared" si="14"/>
        <v>0</v>
      </c>
      <c r="H28" s="209">
        <f t="shared" si="14"/>
        <v>0</v>
      </c>
      <c r="I28" s="209">
        <f t="shared" si="14"/>
        <v>0</v>
      </c>
      <c r="J28" s="209">
        <f t="shared" si="14"/>
        <v>0</v>
      </c>
      <c r="K28" s="209">
        <f t="shared" si="14"/>
        <v>0</v>
      </c>
      <c r="L28" s="209">
        <f t="shared" si="14"/>
        <v>0</v>
      </c>
      <c r="M28" s="209">
        <f t="shared" si="14"/>
        <v>0</v>
      </c>
      <c r="N28" s="209">
        <f t="shared" si="14"/>
        <v>0</v>
      </c>
      <c r="O28" s="101">
        <f t="shared" si="14"/>
        <v>2608</v>
      </c>
      <c r="P28" s="102">
        <f t="shared" si="14"/>
        <v>2122</v>
      </c>
      <c r="Q28" s="102">
        <f t="shared" si="14"/>
        <v>2388</v>
      </c>
      <c r="R28" s="101">
        <f t="shared" si="14"/>
        <v>1410</v>
      </c>
      <c r="S28" s="101">
        <f t="shared" si="14"/>
        <v>1676</v>
      </c>
      <c r="T28" s="101">
        <f t="shared" si="14"/>
        <v>512.71</v>
      </c>
      <c r="U28" s="101">
        <f t="shared" si="14"/>
        <v>207.45000000000002</v>
      </c>
      <c r="V28" s="101">
        <f t="shared" si="14"/>
        <v>496</v>
      </c>
      <c r="W28" s="101">
        <f t="shared" si="14"/>
        <v>1236</v>
      </c>
      <c r="X28" s="101">
        <f t="shared" si="14"/>
        <v>1046</v>
      </c>
      <c r="Y28" s="102">
        <f t="shared" si="14"/>
        <v>2950</v>
      </c>
      <c r="Z28" s="101">
        <f t="shared" si="14"/>
        <v>2522</v>
      </c>
      <c r="AA28" s="101">
        <f t="shared" si="14"/>
        <v>3780</v>
      </c>
      <c r="AB28" s="101">
        <f t="shared" si="14"/>
        <v>2848</v>
      </c>
      <c r="AC28" s="101">
        <f t="shared" si="14"/>
        <v>2556</v>
      </c>
      <c r="AD28" s="104">
        <f t="shared" si="14"/>
        <v>4258</v>
      </c>
      <c r="AE28" s="103">
        <v>1552</v>
      </c>
      <c r="AF28" s="103">
        <v>1498</v>
      </c>
      <c r="AG28" s="103">
        <v>2136</v>
      </c>
      <c r="AH28" s="103">
        <v>2012</v>
      </c>
      <c r="AI28" s="103">
        <v>3028</v>
      </c>
      <c r="AJ28" s="105">
        <v>3000</v>
      </c>
      <c r="AK28" s="102">
        <f>+SUM(AK23:AK27)</f>
        <v>180</v>
      </c>
      <c r="AL28" s="102">
        <f>+SUM(AL23:AL27)</f>
        <v>1048</v>
      </c>
      <c r="AM28" s="106">
        <f t="shared" si="13"/>
        <v>0.34933333333333333</v>
      </c>
      <c r="AN28" s="102">
        <f>+SUM(AN23:AN27)</f>
        <v>1228</v>
      </c>
      <c r="AO28" s="107">
        <f t="shared" si="11"/>
        <v>0.40933333333333333</v>
      </c>
      <c r="AP28" s="49"/>
      <c r="AQ28" s="49"/>
      <c r="AR28" s="108"/>
      <c r="AS28" s="47"/>
    </row>
    <row r="29" spans="1:45" ht="12.75" customHeight="1" thickBot="1" x14ac:dyDescent="0.3">
      <c r="A29" s="47"/>
      <c r="B29" s="64" t="s">
        <v>115</v>
      </c>
      <c r="C29" s="65" t="s">
        <v>105</v>
      </c>
      <c r="D29" s="66" t="s">
        <v>116</v>
      </c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86">
        <v>958</v>
      </c>
      <c r="P29" s="87">
        <v>144</v>
      </c>
      <c r="Q29" s="87">
        <v>198</v>
      </c>
      <c r="R29" s="87">
        <v>306</v>
      </c>
      <c r="S29" s="86">
        <v>288</v>
      </c>
      <c r="T29" s="86">
        <v>-75.239999999999995</v>
      </c>
      <c r="U29" s="86">
        <v>0</v>
      </c>
      <c r="V29" s="86">
        <v>0</v>
      </c>
      <c r="W29" s="86">
        <v>0</v>
      </c>
      <c r="X29" s="86">
        <v>0</v>
      </c>
      <c r="Y29" s="87">
        <v>0</v>
      </c>
      <c r="Z29" s="86">
        <v>0</v>
      </c>
      <c r="AA29" s="86">
        <v>108</v>
      </c>
      <c r="AB29" s="86">
        <v>324</v>
      </c>
      <c r="AC29" s="86">
        <v>0</v>
      </c>
      <c r="AD29" s="89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90">
        <v>0</v>
      </c>
      <c r="AK29" s="87">
        <v>0</v>
      </c>
      <c r="AL29" s="87">
        <v>0</v>
      </c>
      <c r="AM29" s="91">
        <f>IFERROR(AL29/AJ29,0)</f>
        <v>0</v>
      </c>
      <c r="AN29" s="87">
        <f>+AK29+AL29</f>
        <v>0</v>
      </c>
      <c r="AO29" s="92">
        <f>IFERROR(+AN29/AJ29,0)</f>
        <v>0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7"/>
      <c r="B30" s="98"/>
      <c r="C30" s="99"/>
      <c r="D30" s="100" t="s">
        <v>118</v>
      </c>
      <c r="E30" s="102">
        <f t="shared" ref="E30:AK30" si="15">+SUM(E29)</f>
        <v>0</v>
      </c>
      <c r="F30" s="102">
        <f t="shared" si="15"/>
        <v>0</v>
      </c>
      <c r="G30" s="102">
        <f t="shared" si="15"/>
        <v>0</v>
      </c>
      <c r="H30" s="102">
        <f t="shared" si="15"/>
        <v>0</v>
      </c>
      <c r="I30" s="102">
        <f t="shared" si="15"/>
        <v>0</v>
      </c>
      <c r="J30" s="102">
        <f t="shared" si="15"/>
        <v>0</v>
      </c>
      <c r="K30" s="102">
        <f t="shared" si="15"/>
        <v>0</v>
      </c>
      <c r="L30" s="102">
        <f t="shared" si="15"/>
        <v>0</v>
      </c>
      <c r="M30" s="102">
        <f t="shared" si="15"/>
        <v>0</v>
      </c>
      <c r="N30" s="102">
        <f t="shared" si="15"/>
        <v>0</v>
      </c>
      <c r="O30" s="102">
        <f t="shared" si="15"/>
        <v>958</v>
      </c>
      <c r="P30" s="102">
        <f t="shared" si="15"/>
        <v>144</v>
      </c>
      <c r="Q30" s="102">
        <f t="shared" si="15"/>
        <v>198</v>
      </c>
      <c r="R30" s="102">
        <f t="shared" si="15"/>
        <v>306</v>
      </c>
      <c r="S30" s="102">
        <v>288</v>
      </c>
      <c r="T30" s="102">
        <f t="shared" si="15"/>
        <v>-75.239999999999995</v>
      </c>
      <c r="U30" s="102">
        <f t="shared" si="15"/>
        <v>0</v>
      </c>
      <c r="V30" s="102">
        <f t="shared" si="15"/>
        <v>0</v>
      </c>
      <c r="W30" s="102">
        <v>0</v>
      </c>
      <c r="X30" s="102">
        <f t="shared" si="15"/>
        <v>0</v>
      </c>
      <c r="Y30" s="102">
        <v>0</v>
      </c>
      <c r="Z30" s="102">
        <v>0</v>
      </c>
      <c r="AA30" s="102">
        <v>108</v>
      </c>
      <c r="AB30" s="102">
        <v>324</v>
      </c>
      <c r="AC30" s="102">
        <v>0</v>
      </c>
      <c r="AD30" s="103">
        <v>0</v>
      </c>
      <c r="AE30" s="103">
        <v>0</v>
      </c>
      <c r="AF30" s="103">
        <v>0</v>
      </c>
      <c r="AG30" s="103">
        <v>0</v>
      </c>
      <c r="AH30" s="103">
        <v>0</v>
      </c>
      <c r="AI30" s="103">
        <v>0</v>
      </c>
      <c r="AJ30" s="105">
        <v>0</v>
      </c>
      <c r="AK30" s="102">
        <f t="shared" si="15"/>
        <v>0</v>
      </c>
      <c r="AL30" s="102">
        <f>+SUM(AL29)</f>
        <v>0</v>
      </c>
      <c r="AM30" s="106">
        <f t="shared" ref="AM30" si="16">IFERROR(AL30/AJ30,0)</f>
        <v>0</v>
      </c>
      <c r="AN30" s="102">
        <f>+SUM(AN29)</f>
        <v>0</v>
      </c>
      <c r="AO30" s="107">
        <f t="shared" ref="AO30" si="17">IFERROR(+AN30/AJ30,0)</f>
        <v>0</v>
      </c>
      <c r="AP30" s="49"/>
      <c r="AQ30" s="49"/>
      <c r="AR30" s="108"/>
      <c r="AS30" s="47"/>
    </row>
    <row r="31" spans="1:45" ht="12.75" customHeight="1" x14ac:dyDescent="0.25">
      <c r="A31" s="47"/>
      <c r="B31" s="75" t="s">
        <v>119</v>
      </c>
      <c r="C31" s="76" t="s">
        <v>120</v>
      </c>
      <c r="D31" s="77" t="s">
        <v>121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16">
        <v>342</v>
      </c>
      <c r="P31" s="117">
        <v>114</v>
      </c>
      <c r="Q31" s="117">
        <v>36</v>
      </c>
      <c r="R31" s="116">
        <v>0</v>
      </c>
      <c r="S31" s="116">
        <v>20</v>
      </c>
      <c r="T31" s="116">
        <v>0</v>
      </c>
      <c r="U31" s="116">
        <v>20.96</v>
      </c>
      <c r="V31" s="116">
        <v>0</v>
      </c>
      <c r="W31" s="116">
        <v>60</v>
      </c>
      <c r="X31" s="116">
        <v>114</v>
      </c>
      <c r="Y31" s="117">
        <v>0</v>
      </c>
      <c r="Z31" s="116">
        <v>140</v>
      </c>
      <c r="AA31" s="116">
        <v>20</v>
      </c>
      <c r="AB31" s="116">
        <v>1020</v>
      </c>
      <c r="AC31" s="116">
        <v>60</v>
      </c>
      <c r="AD31" s="119">
        <v>1212</v>
      </c>
      <c r="AE31" s="118">
        <v>450</v>
      </c>
      <c r="AF31" s="118">
        <v>120</v>
      </c>
      <c r="AG31" s="118">
        <v>300</v>
      </c>
      <c r="AH31" s="118">
        <v>0</v>
      </c>
      <c r="AI31" s="118">
        <v>0</v>
      </c>
      <c r="AJ31" s="191">
        <v>0</v>
      </c>
      <c r="AK31" s="117">
        <v>0</v>
      </c>
      <c r="AL31" s="117">
        <v>0</v>
      </c>
      <c r="AM31" s="121">
        <f t="shared" si="0"/>
        <v>0</v>
      </c>
      <c r="AN31" s="117">
        <f t="shared" ref="AN31:AN54" si="18">+AK31+AL31</f>
        <v>0</v>
      </c>
      <c r="AO31" s="122">
        <f t="shared" si="2"/>
        <v>0</v>
      </c>
      <c r="AP31" s="50"/>
      <c r="AQ31" s="50"/>
    </row>
    <row r="32" spans="1:45" ht="12.75" customHeight="1" thickBot="1" x14ac:dyDescent="0.3">
      <c r="A32" s="47"/>
      <c r="B32" s="64" t="s">
        <v>119</v>
      </c>
      <c r="C32" s="65" t="s">
        <v>120</v>
      </c>
      <c r="D32" s="66" t="s">
        <v>122</v>
      </c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23">
        <v>0</v>
      </c>
      <c r="P32" s="124">
        <v>0</v>
      </c>
      <c r="Q32" s="124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4">
        <v>0</v>
      </c>
      <c r="Z32" s="123">
        <v>0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92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A33" s="47"/>
      <c r="B33" s="98"/>
      <c r="C33" s="99"/>
      <c r="D33" s="100" t="s">
        <v>124</v>
      </c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101">
        <v>342</v>
      </c>
      <c r="P33" s="102">
        <v>114</v>
      </c>
      <c r="Q33" s="102">
        <v>36</v>
      </c>
      <c r="R33" s="101">
        <v>0</v>
      </c>
      <c r="S33" s="101">
        <v>20</v>
      </c>
      <c r="T33" s="101">
        <v>0</v>
      </c>
      <c r="U33" s="101">
        <v>20.96</v>
      </c>
      <c r="V33" s="101">
        <v>0</v>
      </c>
      <c r="W33" s="101">
        <v>60</v>
      </c>
      <c r="X33" s="101">
        <v>114</v>
      </c>
      <c r="Y33" s="102">
        <v>0</v>
      </c>
      <c r="Z33" s="101">
        <v>140</v>
      </c>
      <c r="AA33" s="101">
        <v>20</v>
      </c>
      <c r="AB33" s="101">
        <v>1020</v>
      </c>
      <c r="AC33" s="101">
        <v>60</v>
      </c>
      <c r="AD33" s="104">
        <v>1212</v>
      </c>
      <c r="AE33" s="103">
        <v>450</v>
      </c>
      <c r="AF33" s="103">
        <v>120</v>
      </c>
      <c r="AG33" s="103">
        <v>300</v>
      </c>
      <c r="AH33" s="103">
        <v>0</v>
      </c>
      <c r="AI33" s="103">
        <v>0</v>
      </c>
      <c r="AJ33" s="105">
        <v>0</v>
      </c>
      <c r="AK33" s="102">
        <f>+AK31+AK32</f>
        <v>0</v>
      </c>
      <c r="AL33" s="102">
        <f>+AL31+AL32</f>
        <v>0</v>
      </c>
      <c r="AM33" s="106">
        <f t="shared" si="0"/>
        <v>0</v>
      </c>
      <c r="AN33" s="102">
        <f>+AN31+AN32</f>
        <v>0</v>
      </c>
      <c r="AO33" s="107">
        <f t="shared" si="2"/>
        <v>0</v>
      </c>
      <c r="AP33" s="50"/>
      <c r="AQ33" s="50"/>
    </row>
    <row r="34" spans="1:48" ht="12.75" hidden="1" customHeight="1" thickBot="1" x14ac:dyDescent="0.3">
      <c r="A34" s="47"/>
      <c r="B34" s="75" t="s">
        <v>29</v>
      </c>
      <c r="C34" s="76" t="s">
        <v>125</v>
      </c>
      <c r="D34" s="77" t="s">
        <v>126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16"/>
      <c r="P34" s="117"/>
      <c r="Q34" s="117"/>
      <c r="R34" s="116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7"/>
      <c r="B35" s="75" t="s">
        <v>29</v>
      </c>
      <c r="C35" s="76" t="s">
        <v>126</v>
      </c>
      <c r="D35" s="77" t="s">
        <v>127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78">
        <v>0</v>
      </c>
      <c r="P35" s="79">
        <v>0</v>
      </c>
      <c r="Q35" s="79">
        <v>0</v>
      </c>
      <c r="R35" s="78">
        <v>504</v>
      </c>
      <c r="S35" s="78">
        <v>288</v>
      </c>
      <c r="T35" s="78">
        <v>0</v>
      </c>
      <c r="U35" s="78">
        <v>0</v>
      </c>
      <c r="V35" s="78">
        <v>0</v>
      </c>
      <c r="W35" s="78">
        <v>18</v>
      </c>
      <c r="X35" s="78">
        <v>0</v>
      </c>
      <c r="Y35" s="79">
        <v>0</v>
      </c>
      <c r="Z35" s="78">
        <v>0</v>
      </c>
      <c r="AA35" s="78">
        <v>0</v>
      </c>
      <c r="AB35" s="78">
        <v>-18</v>
      </c>
      <c r="AC35" s="78">
        <v>0</v>
      </c>
      <c r="AD35" s="81">
        <v>0</v>
      </c>
      <c r="AE35" s="80">
        <v>0</v>
      </c>
      <c r="AF35" s="80">
        <v>0</v>
      </c>
      <c r="AG35" s="80">
        <v>0</v>
      </c>
      <c r="AH35" s="80">
        <v>0</v>
      </c>
      <c r="AI35" s="80">
        <v>0</v>
      </c>
      <c r="AJ35" s="114">
        <v>0</v>
      </c>
      <c r="AK35" s="79">
        <v>0</v>
      </c>
      <c r="AL35" s="79">
        <v>0</v>
      </c>
      <c r="AM35" s="83">
        <f t="shared" ref="AM35" si="19">IFERROR(AL35/AJ35,0)</f>
        <v>0</v>
      </c>
      <c r="AN35" s="79">
        <f t="shared" ref="AN35" si="20">+AK35+AL35</f>
        <v>0</v>
      </c>
      <c r="AO35" s="84">
        <f t="shared" ref="AO35" si="21">IFERROR(+AN35/AJ35,0)</f>
        <v>0</v>
      </c>
      <c r="AP35" s="50"/>
      <c r="AQ35" s="50"/>
    </row>
    <row r="36" spans="1:48" ht="12.75" customHeight="1" thickBot="1" x14ac:dyDescent="0.3">
      <c r="A36" s="47"/>
      <c r="B36" s="64" t="s">
        <v>29</v>
      </c>
      <c r="C36" s="65" t="s">
        <v>126</v>
      </c>
      <c r="D36" s="66" t="s">
        <v>128</v>
      </c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23"/>
      <c r="P36" s="124"/>
      <c r="Q36" s="124"/>
      <c r="R36" s="123"/>
      <c r="S36" s="123"/>
      <c r="T36" s="123"/>
      <c r="U36" s="123">
        <v>0</v>
      </c>
      <c r="V36" s="123">
        <v>0</v>
      </c>
      <c r="W36" s="123">
        <v>0</v>
      </c>
      <c r="X36" s="123">
        <v>0</v>
      </c>
      <c r="Y36" s="124">
        <v>0</v>
      </c>
      <c r="Z36" s="123">
        <v>0</v>
      </c>
      <c r="AA36" s="123">
        <v>0</v>
      </c>
      <c r="AB36" s="123">
        <v>0</v>
      </c>
      <c r="AC36" s="123">
        <v>0</v>
      </c>
      <c r="AD36" s="126">
        <v>0</v>
      </c>
      <c r="AE36" s="125">
        <v>0</v>
      </c>
      <c r="AF36" s="125">
        <v>0</v>
      </c>
      <c r="AG36" s="125">
        <v>0</v>
      </c>
      <c r="AH36" s="125">
        <v>0</v>
      </c>
      <c r="AI36" s="125">
        <v>0</v>
      </c>
      <c r="AJ36" s="127">
        <v>0</v>
      </c>
      <c r="AK36" s="124">
        <v>0</v>
      </c>
      <c r="AL36" s="124">
        <v>0</v>
      </c>
      <c r="AM36" s="128"/>
      <c r="AN36" s="124"/>
      <c r="AO36" s="129"/>
      <c r="AP36" s="50">
        <v>100002258</v>
      </c>
      <c r="AQ36" s="50"/>
    </row>
    <row r="37" spans="1:48" s="109" customFormat="1" ht="12.75" customHeight="1" thickBot="1" x14ac:dyDescent="0.35">
      <c r="A37" s="47"/>
      <c r="B37" s="98"/>
      <c r="C37" s="99"/>
      <c r="D37" s="100" t="s">
        <v>129</v>
      </c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101">
        <v>0</v>
      </c>
      <c r="P37" s="102">
        <v>0</v>
      </c>
      <c r="Q37" s="102">
        <v>0</v>
      </c>
      <c r="R37" s="101">
        <v>504</v>
      </c>
      <c r="S37" s="101">
        <v>288</v>
      </c>
      <c r="T37" s="101">
        <v>0</v>
      </c>
      <c r="U37" s="101">
        <v>0</v>
      </c>
      <c r="V37" s="101">
        <v>0</v>
      </c>
      <c r="W37" s="101">
        <v>18</v>
      </c>
      <c r="X37" s="101">
        <v>0</v>
      </c>
      <c r="Y37" s="102">
        <v>0</v>
      </c>
      <c r="Z37" s="101">
        <v>0</v>
      </c>
      <c r="AA37" s="101">
        <v>0</v>
      </c>
      <c r="AB37" s="101">
        <v>-18</v>
      </c>
      <c r="AC37" s="101">
        <v>0</v>
      </c>
      <c r="AD37" s="104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5">
        <v>0</v>
      </c>
      <c r="AK37" s="105">
        <f t="shared" ref="AK37:AL37" si="22">+SUM(AK34:AK36)</f>
        <v>0</v>
      </c>
      <c r="AL37" s="105">
        <f t="shared" si="22"/>
        <v>0</v>
      </c>
      <c r="AM37" s="106">
        <f t="shared" ref="AM37:AM56" si="23">IFERROR(AL37/AJ37,0)</f>
        <v>0</v>
      </c>
      <c r="AN37" s="105">
        <f t="shared" ref="AN37" si="24">+SUM(AN34:AN36)</f>
        <v>0</v>
      </c>
      <c r="AO37" s="107">
        <f t="shared" si="2"/>
        <v>0</v>
      </c>
      <c r="AP37" s="49"/>
      <c r="AQ37" s="49"/>
      <c r="AR37" s="108"/>
      <c r="AS37" s="47"/>
    </row>
    <row r="38" spans="1:48" ht="12.75" customHeight="1" x14ac:dyDescent="0.25">
      <c r="A38" s="47"/>
      <c r="B38" s="75" t="s">
        <v>130</v>
      </c>
      <c r="C38" s="76" t="s">
        <v>126</v>
      </c>
      <c r="D38" s="77" t="s">
        <v>131</v>
      </c>
      <c r="E38" s="130"/>
      <c r="F38" s="131"/>
      <c r="G38" s="79"/>
      <c r="H38" s="79"/>
      <c r="I38" s="79"/>
      <c r="J38" s="79"/>
      <c r="K38" s="79"/>
      <c r="L38" s="79"/>
      <c r="M38" s="79"/>
      <c r="N38" s="79"/>
      <c r="O38" s="79">
        <v>0</v>
      </c>
      <c r="P38" s="79">
        <v>0</v>
      </c>
      <c r="Q38" s="79">
        <v>0</v>
      </c>
      <c r="R38" s="79">
        <v>0</v>
      </c>
      <c r="S38" s="79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79">
        <v>0</v>
      </c>
      <c r="AA38" s="78">
        <v>0</v>
      </c>
      <c r="AB38" s="79">
        <v>0</v>
      </c>
      <c r="AC38" s="78">
        <v>0</v>
      </c>
      <c r="AD38" s="81">
        <v>0</v>
      </c>
      <c r="AE38" s="80">
        <v>0</v>
      </c>
      <c r="AF38" s="80">
        <v>0</v>
      </c>
      <c r="AG38" s="80">
        <v>0</v>
      </c>
      <c r="AH38" s="80">
        <v>0</v>
      </c>
      <c r="AI38" s="80">
        <v>0</v>
      </c>
      <c r="AJ38" s="114">
        <v>0</v>
      </c>
      <c r="AK38" s="79">
        <v>0</v>
      </c>
      <c r="AL38" s="79">
        <v>0</v>
      </c>
      <c r="AM38" s="83">
        <f t="shared" si="23"/>
        <v>0</v>
      </c>
      <c r="AN38" s="79">
        <f t="shared" si="18"/>
        <v>0</v>
      </c>
      <c r="AO38" s="84">
        <f t="shared" si="2"/>
        <v>0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23"/>
        <v>0</v>
      </c>
      <c r="AN39" s="87">
        <f>+AK39+AL39</f>
        <v>0</v>
      </c>
      <c r="AO39" s="92">
        <f t="shared" si="2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/>
      <c r="B40" s="75" t="s">
        <v>132</v>
      </c>
      <c r="C40" s="136" t="s">
        <v>128</v>
      </c>
      <c r="D40" s="77" t="s">
        <v>134</v>
      </c>
      <c r="E40" s="130"/>
      <c r="F40" s="79"/>
      <c r="G40" s="79"/>
      <c r="H40" s="79"/>
      <c r="I40" s="79"/>
      <c r="J40" s="79"/>
      <c r="K40" s="79"/>
      <c r="L40" s="79"/>
      <c r="M40" s="79"/>
      <c r="N40" s="79"/>
      <c r="O40" s="79">
        <v>0</v>
      </c>
      <c r="P40" s="79">
        <v>0</v>
      </c>
      <c r="Q40" s="79">
        <v>0</v>
      </c>
      <c r="R40" s="79">
        <v>0</v>
      </c>
      <c r="S40" s="79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79">
        <v>0</v>
      </c>
      <c r="AA40" s="78">
        <v>0</v>
      </c>
      <c r="AB40" s="79">
        <v>0</v>
      </c>
      <c r="AC40" s="78">
        <v>0</v>
      </c>
      <c r="AD40" s="81">
        <v>0</v>
      </c>
      <c r="AE40" s="80">
        <v>0</v>
      </c>
      <c r="AF40" s="80">
        <v>0</v>
      </c>
      <c r="AG40" s="80">
        <v>0</v>
      </c>
      <c r="AH40" s="80">
        <v>0</v>
      </c>
      <c r="AI40" s="80">
        <v>0</v>
      </c>
      <c r="AJ40" s="82">
        <v>0</v>
      </c>
      <c r="AK40" s="79">
        <v>0</v>
      </c>
      <c r="AL40" s="79">
        <v>0</v>
      </c>
      <c r="AM40" s="83">
        <f t="shared" si="23"/>
        <v>0</v>
      </c>
      <c r="AN40" s="79">
        <f>+AK40+AL40</f>
        <v>0</v>
      </c>
      <c r="AO40" s="84">
        <f t="shared" si="2"/>
        <v>0</v>
      </c>
      <c r="AP40" s="132"/>
      <c r="AQ40" s="132"/>
      <c r="AR40" s="133"/>
      <c r="AS40" s="193"/>
      <c r="AT40" s="139"/>
    </row>
    <row r="41" spans="1:48" ht="12.75" customHeight="1" x14ac:dyDescent="0.25">
      <c r="A41" s="47"/>
      <c r="B41" s="64" t="s">
        <v>132</v>
      </c>
      <c r="C41" s="134" t="s">
        <v>131</v>
      </c>
      <c r="D41" s="66" t="s">
        <v>135</v>
      </c>
      <c r="E41" s="135"/>
      <c r="F41" s="87"/>
      <c r="G41" s="87"/>
      <c r="H41" s="87"/>
      <c r="I41" s="87"/>
      <c r="J41" s="87"/>
      <c r="K41" s="87"/>
      <c r="L41" s="87"/>
      <c r="M41" s="87"/>
      <c r="N41" s="87"/>
      <c r="O41" s="87">
        <v>0</v>
      </c>
      <c r="P41" s="87">
        <v>0</v>
      </c>
      <c r="Q41" s="87">
        <v>0</v>
      </c>
      <c r="R41" s="87">
        <v>0</v>
      </c>
      <c r="S41" s="87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7">
        <v>0</v>
      </c>
      <c r="AA41" s="86">
        <v>0</v>
      </c>
      <c r="AB41" s="87">
        <v>0</v>
      </c>
      <c r="AC41" s="86">
        <v>0</v>
      </c>
      <c r="AD41" s="89">
        <v>0</v>
      </c>
      <c r="AE41" s="88">
        <v>0</v>
      </c>
      <c r="AF41" s="88">
        <v>0</v>
      </c>
      <c r="AG41" s="88">
        <v>0</v>
      </c>
      <c r="AH41" s="88">
        <v>990</v>
      </c>
      <c r="AI41" s="88">
        <v>990</v>
      </c>
      <c r="AJ41" s="115">
        <v>1000</v>
      </c>
      <c r="AK41" s="87">
        <v>0</v>
      </c>
      <c r="AL41" s="87">
        <v>0</v>
      </c>
      <c r="AM41" s="91">
        <f t="shared" si="23"/>
        <v>0</v>
      </c>
      <c r="AN41" s="87">
        <f t="shared" si="18"/>
        <v>0</v>
      </c>
      <c r="AO41" s="92">
        <f t="shared" si="2"/>
        <v>0</v>
      </c>
      <c r="AP41" s="132" t="s">
        <v>131</v>
      </c>
      <c r="AQ41" s="132"/>
      <c r="AR41" s="133"/>
      <c r="AS41" s="193"/>
      <c r="AT41" s="139"/>
    </row>
    <row r="42" spans="1:48" ht="12.75" customHeight="1" x14ac:dyDescent="0.25">
      <c r="A42" s="47"/>
      <c r="B42" s="75" t="s">
        <v>132</v>
      </c>
      <c r="C42" s="136" t="s">
        <v>136</v>
      </c>
      <c r="D42" s="77" t="s">
        <v>137</v>
      </c>
      <c r="E42" s="130"/>
      <c r="F42" s="79"/>
      <c r="G42" s="79"/>
      <c r="H42" s="79"/>
      <c r="I42" s="79"/>
      <c r="J42" s="79"/>
      <c r="K42" s="79"/>
      <c r="L42" s="79"/>
      <c r="M42" s="79"/>
      <c r="N42" s="79"/>
      <c r="O42" s="79">
        <v>0</v>
      </c>
      <c r="P42" s="79">
        <v>0</v>
      </c>
      <c r="Q42" s="79">
        <v>0</v>
      </c>
      <c r="R42" s="79">
        <v>0</v>
      </c>
      <c r="S42" s="79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79">
        <v>0</v>
      </c>
      <c r="AA42" s="78">
        <v>0</v>
      </c>
      <c r="AB42" s="79">
        <v>0</v>
      </c>
      <c r="AC42" s="78">
        <v>0</v>
      </c>
      <c r="AD42" s="81">
        <v>0</v>
      </c>
      <c r="AE42" s="80">
        <v>0</v>
      </c>
      <c r="AF42" s="80">
        <v>0</v>
      </c>
      <c r="AG42" s="80">
        <v>0</v>
      </c>
      <c r="AH42" s="80">
        <v>0</v>
      </c>
      <c r="AI42" s="80">
        <v>0</v>
      </c>
      <c r="AJ42" s="82">
        <v>0</v>
      </c>
      <c r="AK42" s="79">
        <v>0</v>
      </c>
      <c r="AL42" s="79">
        <v>0</v>
      </c>
      <c r="AM42" s="83">
        <f t="shared" si="23"/>
        <v>0</v>
      </c>
      <c r="AN42" s="79">
        <f t="shared" si="18"/>
        <v>0</v>
      </c>
      <c r="AO42" s="84">
        <f t="shared" si="2"/>
        <v>0</v>
      </c>
      <c r="AP42" s="132"/>
      <c r="AQ42" s="132"/>
      <c r="AR42" s="133"/>
      <c r="AS42" s="193"/>
      <c r="AT42" s="139"/>
    </row>
    <row r="43" spans="1:48" ht="12.75" customHeight="1" x14ac:dyDescent="0.25">
      <c r="A43" s="47"/>
      <c r="B43" s="64" t="s">
        <v>132</v>
      </c>
      <c r="C43" s="134" t="s">
        <v>136</v>
      </c>
      <c r="D43" s="66" t="s">
        <v>138</v>
      </c>
      <c r="E43" s="135"/>
      <c r="F43" s="87"/>
      <c r="G43" s="87"/>
      <c r="H43" s="87"/>
      <c r="I43" s="87"/>
      <c r="J43" s="87"/>
      <c r="K43" s="87"/>
      <c r="L43" s="87"/>
      <c r="M43" s="87"/>
      <c r="N43" s="87"/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23"/>
        <v>0</v>
      </c>
      <c r="AN43" s="87">
        <f t="shared" si="18"/>
        <v>0</v>
      </c>
      <c r="AO43" s="92">
        <f t="shared" si="2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/>
      <c r="B44" s="75" t="s">
        <v>132</v>
      </c>
      <c r="C44" s="136" t="s">
        <v>131</v>
      </c>
      <c r="D44" s="77" t="s">
        <v>139</v>
      </c>
      <c r="E44" s="130"/>
      <c r="F44" s="79"/>
      <c r="G44" s="79"/>
      <c r="H44" s="79"/>
      <c r="I44" s="79"/>
      <c r="J44" s="79"/>
      <c r="K44" s="79"/>
      <c r="L44" s="79"/>
      <c r="M44" s="79"/>
      <c r="N44" s="79"/>
      <c r="O44" s="79">
        <v>0</v>
      </c>
      <c r="P44" s="79">
        <v>0</v>
      </c>
      <c r="Q44" s="79">
        <v>0</v>
      </c>
      <c r="R44" s="79">
        <v>0</v>
      </c>
      <c r="S44" s="79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0</v>
      </c>
      <c r="Z44" s="79">
        <v>0</v>
      </c>
      <c r="AA44" s="78">
        <v>0</v>
      </c>
      <c r="AB44" s="79">
        <v>0</v>
      </c>
      <c r="AC44" s="78">
        <v>0</v>
      </c>
      <c r="AD44" s="81">
        <v>0</v>
      </c>
      <c r="AE44" s="80">
        <v>0</v>
      </c>
      <c r="AF44" s="80">
        <v>0</v>
      </c>
      <c r="AG44" s="80">
        <v>0</v>
      </c>
      <c r="AH44" s="80">
        <v>0</v>
      </c>
      <c r="AI44" s="80">
        <v>0</v>
      </c>
      <c r="AJ44" s="82">
        <v>0</v>
      </c>
      <c r="AK44" s="79">
        <v>0</v>
      </c>
      <c r="AL44" s="79">
        <v>0</v>
      </c>
      <c r="AM44" s="83">
        <f t="shared" si="23"/>
        <v>0</v>
      </c>
      <c r="AN44" s="79">
        <f t="shared" si="18"/>
        <v>0</v>
      </c>
      <c r="AO44" s="84">
        <f t="shared" si="2"/>
        <v>0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/>
      <c r="B45" s="64" t="s">
        <v>132</v>
      </c>
      <c r="C45" s="134" t="s">
        <v>128</v>
      </c>
      <c r="D45" s="66" t="s">
        <v>140</v>
      </c>
      <c r="E45" s="137"/>
      <c r="F45" s="138"/>
      <c r="G45" s="124"/>
      <c r="H45" s="124"/>
      <c r="I45" s="124"/>
      <c r="J45" s="124"/>
      <c r="K45" s="124"/>
      <c r="L45" s="124"/>
      <c r="M45" s="124"/>
      <c r="N45" s="124"/>
      <c r="O45" s="124">
        <v>0</v>
      </c>
      <c r="P45" s="124">
        <v>0</v>
      </c>
      <c r="Q45" s="124">
        <v>0</v>
      </c>
      <c r="R45" s="124">
        <v>0</v>
      </c>
      <c r="S45" s="124">
        <v>0</v>
      </c>
      <c r="T45" s="125">
        <v>0</v>
      </c>
      <c r="U45" s="125">
        <v>0</v>
      </c>
      <c r="V45" s="125">
        <v>0</v>
      </c>
      <c r="W45" s="125">
        <v>0</v>
      </c>
      <c r="X45" s="125">
        <v>0</v>
      </c>
      <c r="Y45" s="125">
        <v>0</v>
      </c>
      <c r="Z45" s="124">
        <v>0</v>
      </c>
      <c r="AA45" s="123">
        <v>0</v>
      </c>
      <c r="AB45" s="124">
        <v>0</v>
      </c>
      <c r="AC45" s="123">
        <v>0</v>
      </c>
      <c r="AD45" s="126">
        <v>0</v>
      </c>
      <c r="AE45" s="125">
        <v>0</v>
      </c>
      <c r="AF45" s="125">
        <v>0</v>
      </c>
      <c r="AG45" s="125">
        <v>0</v>
      </c>
      <c r="AH45" s="125">
        <v>0</v>
      </c>
      <c r="AI45" s="125">
        <v>0</v>
      </c>
      <c r="AJ45" s="127">
        <v>0</v>
      </c>
      <c r="AK45" s="124">
        <v>0</v>
      </c>
      <c r="AL45" s="124">
        <v>0</v>
      </c>
      <c r="AM45" s="128">
        <f t="shared" si="23"/>
        <v>0</v>
      </c>
      <c r="AN45" s="124">
        <f t="shared" si="18"/>
        <v>0</v>
      </c>
      <c r="AO45" s="129">
        <f t="shared" si="2"/>
        <v>0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7"/>
      <c r="B46" s="98"/>
      <c r="C46" s="99"/>
      <c r="D46" s="100" t="s">
        <v>141</v>
      </c>
      <c r="E46" s="209">
        <f t="shared" ref="E46:AD46" si="25">+SUM(E38:E45)</f>
        <v>0</v>
      </c>
      <c r="F46" s="209">
        <f t="shared" si="25"/>
        <v>0</v>
      </c>
      <c r="G46" s="209">
        <f t="shared" si="25"/>
        <v>0</v>
      </c>
      <c r="H46" s="209">
        <f t="shared" si="25"/>
        <v>0</v>
      </c>
      <c r="I46" s="209">
        <f t="shared" si="25"/>
        <v>0</v>
      </c>
      <c r="J46" s="209">
        <f t="shared" si="25"/>
        <v>0</v>
      </c>
      <c r="K46" s="209">
        <f t="shared" si="25"/>
        <v>0</v>
      </c>
      <c r="L46" s="209">
        <f t="shared" si="25"/>
        <v>0</v>
      </c>
      <c r="M46" s="209">
        <f t="shared" si="25"/>
        <v>0</v>
      </c>
      <c r="N46" s="209">
        <f t="shared" si="25"/>
        <v>0</v>
      </c>
      <c r="O46" s="101">
        <f t="shared" si="25"/>
        <v>0</v>
      </c>
      <c r="P46" s="102">
        <f t="shared" si="25"/>
        <v>0</v>
      </c>
      <c r="Q46" s="102">
        <f t="shared" si="25"/>
        <v>0</v>
      </c>
      <c r="R46" s="101">
        <f t="shared" si="25"/>
        <v>0</v>
      </c>
      <c r="S46" s="101">
        <f t="shared" si="25"/>
        <v>0</v>
      </c>
      <c r="T46" s="101">
        <f t="shared" si="25"/>
        <v>0</v>
      </c>
      <c r="U46" s="101">
        <f t="shared" si="25"/>
        <v>0</v>
      </c>
      <c r="V46" s="101">
        <f t="shared" si="25"/>
        <v>0</v>
      </c>
      <c r="W46" s="101">
        <f t="shared" si="25"/>
        <v>0</v>
      </c>
      <c r="X46" s="101">
        <f t="shared" si="25"/>
        <v>0</v>
      </c>
      <c r="Y46" s="102">
        <f t="shared" si="25"/>
        <v>0</v>
      </c>
      <c r="Z46" s="101">
        <f t="shared" si="25"/>
        <v>0</v>
      </c>
      <c r="AA46" s="101">
        <f t="shared" si="25"/>
        <v>0</v>
      </c>
      <c r="AB46" s="101">
        <f t="shared" si="25"/>
        <v>0</v>
      </c>
      <c r="AC46" s="101">
        <f t="shared" si="25"/>
        <v>0</v>
      </c>
      <c r="AD46" s="104">
        <f t="shared" si="25"/>
        <v>0</v>
      </c>
      <c r="AE46" s="103">
        <v>0</v>
      </c>
      <c r="AF46" s="103">
        <v>0</v>
      </c>
      <c r="AG46" s="103">
        <v>0</v>
      </c>
      <c r="AH46" s="103">
        <v>990</v>
      </c>
      <c r="AI46" s="103">
        <v>990</v>
      </c>
      <c r="AJ46" s="105">
        <v>1000</v>
      </c>
      <c r="AK46" s="102">
        <f>SUM(AK38:AK45)</f>
        <v>0</v>
      </c>
      <c r="AL46" s="102">
        <f>SUM(AL38:AL45)</f>
        <v>0</v>
      </c>
      <c r="AM46" s="106">
        <f t="shared" si="23"/>
        <v>0</v>
      </c>
      <c r="AN46" s="102">
        <f t="shared" si="18"/>
        <v>0</v>
      </c>
      <c r="AO46" s="107">
        <f t="shared" si="2"/>
        <v>0</v>
      </c>
      <c r="AP46" s="150"/>
      <c r="AQ46" s="150"/>
      <c r="AR46" s="108"/>
      <c r="AS46" s="47"/>
    </row>
    <row r="47" spans="1:48" ht="12.75" customHeight="1" thickBot="1" x14ac:dyDescent="0.3">
      <c r="A47" s="47" t="s">
        <v>178</v>
      </c>
      <c r="B47" s="151" t="s">
        <v>142</v>
      </c>
      <c r="C47" s="152"/>
      <c r="D47" s="153" t="s">
        <v>5</v>
      </c>
      <c r="E47" s="211">
        <f t="shared" ref="E47:V47" si="26">+E18+E22+E28+E30+E33+E37+E46</f>
        <v>0</v>
      </c>
      <c r="F47" s="211">
        <f t="shared" si="26"/>
        <v>0</v>
      </c>
      <c r="G47" s="211">
        <f t="shared" si="26"/>
        <v>0</v>
      </c>
      <c r="H47" s="211">
        <f t="shared" si="26"/>
        <v>0</v>
      </c>
      <c r="I47" s="211">
        <f t="shared" si="26"/>
        <v>0</v>
      </c>
      <c r="J47" s="211">
        <f t="shared" si="26"/>
        <v>0</v>
      </c>
      <c r="K47" s="211">
        <f t="shared" si="26"/>
        <v>0</v>
      </c>
      <c r="L47" s="211">
        <f t="shared" si="26"/>
        <v>0</v>
      </c>
      <c r="M47" s="211">
        <f t="shared" si="26"/>
        <v>0</v>
      </c>
      <c r="N47" s="211">
        <f t="shared" si="26"/>
        <v>0</v>
      </c>
      <c r="O47" s="154">
        <f t="shared" si="26"/>
        <v>12774</v>
      </c>
      <c r="P47" s="155">
        <f t="shared" si="26"/>
        <v>8956</v>
      </c>
      <c r="Q47" s="155">
        <f t="shared" si="26"/>
        <v>10030</v>
      </c>
      <c r="R47" s="154">
        <f t="shared" si="26"/>
        <v>11085</v>
      </c>
      <c r="S47" s="154">
        <v>9298</v>
      </c>
      <c r="T47" s="154">
        <f t="shared" si="26"/>
        <v>6587.8399999999992</v>
      </c>
      <c r="U47" s="154">
        <f t="shared" si="26"/>
        <v>6206.2799999999988</v>
      </c>
      <c r="V47" s="154">
        <f t="shared" si="26"/>
        <v>4676</v>
      </c>
      <c r="W47" s="157">
        <v>8186</v>
      </c>
      <c r="X47" s="157">
        <f>+X18+X22+X28+X30+X33+X37+X46</f>
        <v>6202</v>
      </c>
      <c r="Y47" s="158">
        <v>13842</v>
      </c>
      <c r="Z47" s="157">
        <v>20586</v>
      </c>
      <c r="AA47" s="157">
        <v>21138</v>
      </c>
      <c r="AB47" s="157">
        <v>22650</v>
      </c>
      <c r="AC47" s="157">
        <v>17534</v>
      </c>
      <c r="AD47" s="194">
        <v>22190</v>
      </c>
      <c r="AE47" s="159">
        <v>15456</v>
      </c>
      <c r="AF47" s="159">
        <v>13460</v>
      </c>
      <c r="AG47" s="159">
        <v>13700</v>
      </c>
      <c r="AH47" s="159">
        <v>15766</v>
      </c>
      <c r="AI47" s="159">
        <v>15650</v>
      </c>
      <c r="AJ47" s="160">
        <v>18000</v>
      </c>
      <c r="AK47" s="158">
        <f>+AK18+AK22+AK28+AK30+AK33+AK37+AK46</f>
        <v>4146</v>
      </c>
      <c r="AL47" s="158">
        <f>+AL18+AL22+AL28+AL30+AL33+AL37+AL46</f>
        <v>7412</v>
      </c>
      <c r="AM47" s="161">
        <f t="shared" si="23"/>
        <v>0.4117777777777778</v>
      </c>
      <c r="AN47" s="158">
        <f>+AN18+AN22+AN28+AN30+AN33+AN37+AN46</f>
        <v>11558</v>
      </c>
      <c r="AO47" s="162">
        <f t="shared" si="2"/>
        <v>0.64211111111111108</v>
      </c>
      <c r="AP47" s="150"/>
      <c r="AQ47" s="150"/>
    </row>
    <row r="48" spans="1:48" ht="12.75" hidden="1" customHeight="1" x14ac:dyDescent="0.25">
      <c r="A48" s="47" t="s">
        <v>178</v>
      </c>
      <c r="B48" s="75" t="s">
        <v>143</v>
      </c>
      <c r="C48" s="76"/>
      <c r="D48" s="163" t="s">
        <v>145</v>
      </c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70"/>
      <c r="P48" s="170"/>
      <c r="Q48" s="170"/>
      <c r="R48" s="170"/>
      <c r="S48" s="171"/>
      <c r="T48" s="171"/>
      <c r="U48" s="171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23"/>
        <v>0</v>
      </c>
      <c r="AN48" s="79">
        <f t="shared" si="18"/>
        <v>0</v>
      </c>
      <c r="AO48" s="84">
        <f t="shared" si="2"/>
        <v>0</v>
      </c>
      <c r="AP48" s="49" t="s">
        <v>144</v>
      </c>
    </row>
    <row r="49" spans="1:46" ht="12.75" hidden="1" customHeight="1" x14ac:dyDescent="0.25">
      <c r="A49" s="47" t="s">
        <v>178</v>
      </c>
      <c r="B49" s="64" t="s">
        <v>143</v>
      </c>
      <c r="C49" s="65"/>
      <c r="D49" s="167" t="s">
        <v>147</v>
      </c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8"/>
      <c r="P49" s="168"/>
      <c r="Q49" s="168"/>
      <c r="R49" s="168"/>
      <c r="S49" s="169"/>
      <c r="T49" s="169"/>
      <c r="U49" s="169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23"/>
        <v>0</v>
      </c>
      <c r="AN49" s="87">
        <f t="shared" si="18"/>
        <v>0</v>
      </c>
      <c r="AO49" s="92">
        <f t="shared" si="2"/>
        <v>0</v>
      </c>
      <c r="AP49" s="49" t="s">
        <v>144</v>
      </c>
    </row>
    <row r="50" spans="1:46" ht="12.75" hidden="1" customHeight="1" x14ac:dyDescent="0.25">
      <c r="A50" s="47" t="s">
        <v>178</v>
      </c>
      <c r="B50" s="75" t="s">
        <v>143</v>
      </c>
      <c r="C50" s="76"/>
      <c r="D50" s="163" t="s">
        <v>148</v>
      </c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70"/>
      <c r="P50" s="170"/>
      <c r="Q50" s="170"/>
      <c r="R50" s="170"/>
      <c r="S50" s="171"/>
      <c r="T50" s="171"/>
      <c r="U50" s="171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23"/>
        <v>0</v>
      </c>
      <c r="AN50" s="79">
        <f>+AK50+AL50</f>
        <v>0</v>
      </c>
      <c r="AO50" s="84">
        <f t="shared" si="2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>
        <v>0</v>
      </c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23"/>
        <v>0</v>
      </c>
      <c r="AN51" s="87">
        <f>+AK51+AL51</f>
        <v>0</v>
      </c>
      <c r="AO51" s="92">
        <f t="shared" si="2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7" t="s">
        <v>178</v>
      </c>
      <c r="B52" s="75" t="s">
        <v>151</v>
      </c>
      <c r="C52" s="76"/>
      <c r="D52" s="163" t="s">
        <v>151</v>
      </c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70"/>
      <c r="P52" s="170"/>
      <c r="Q52" s="170"/>
      <c r="R52" s="170"/>
      <c r="S52" s="171"/>
      <c r="T52" s="171"/>
      <c r="U52" s="171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696.2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7" t="s">
        <v>178</v>
      </c>
      <c r="B53" s="64" t="s">
        <v>143</v>
      </c>
      <c r="C53" s="65" t="s">
        <v>154</v>
      </c>
      <c r="D53" s="167" t="s">
        <v>155</v>
      </c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8"/>
      <c r="P53" s="168"/>
      <c r="Q53" s="168"/>
      <c r="R53" s="168"/>
      <c r="S53" s="169"/>
      <c r="T53" s="169"/>
      <c r="U53" s="169">
        <v>0</v>
      </c>
      <c r="V53" s="169">
        <v>0</v>
      </c>
      <c r="W53" s="87">
        <v>0</v>
      </c>
      <c r="X53" s="87">
        <v>0</v>
      </c>
      <c r="Y53" s="87">
        <v>0</v>
      </c>
      <c r="Z53" s="87">
        <v>0</v>
      </c>
      <c r="AA53" s="87">
        <v>0</v>
      </c>
      <c r="AB53" s="87">
        <v>0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23"/>
        <v>0</v>
      </c>
      <c r="AN53" s="87">
        <f>+AK53+AL53</f>
        <v>0</v>
      </c>
      <c r="AO53" s="92">
        <f t="shared" si="2"/>
        <v>0</v>
      </c>
      <c r="AP53" s="50" t="s">
        <v>154</v>
      </c>
      <c r="AQ53" s="50"/>
    </row>
    <row r="54" spans="1:46" ht="12.75" hidden="1" customHeight="1" x14ac:dyDescent="0.25">
      <c r="A54" s="47" t="s">
        <v>178</v>
      </c>
      <c r="B54" s="75" t="s">
        <v>143</v>
      </c>
      <c r="C54" s="76"/>
      <c r="D54" s="163" t="s">
        <v>149</v>
      </c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70"/>
      <c r="P54" s="170"/>
      <c r="Q54" s="170"/>
      <c r="R54" s="170"/>
      <c r="S54" s="171"/>
      <c r="T54" s="171"/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23"/>
        <v>0</v>
      </c>
      <c r="AN54" s="79">
        <f t="shared" si="18"/>
        <v>0</v>
      </c>
      <c r="AO54" s="84">
        <f t="shared" si="2"/>
        <v>0</v>
      </c>
      <c r="AP54" s="49" t="s">
        <v>156</v>
      </c>
    </row>
    <row r="55" spans="1:46" ht="12.75" hidden="1" customHeight="1" thickBot="1" x14ac:dyDescent="0.3">
      <c r="A55" s="47" t="s">
        <v>178</v>
      </c>
      <c r="B55" s="64" t="s">
        <v>143</v>
      </c>
      <c r="C55" s="65"/>
      <c r="D55" s="167" t="s">
        <v>157</v>
      </c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8"/>
      <c r="P55" s="168"/>
      <c r="Q55" s="168"/>
      <c r="R55" s="168"/>
      <c r="S55" s="169"/>
      <c r="T55" s="169"/>
      <c r="U55" s="169"/>
      <c r="V55" s="169"/>
      <c r="W55" s="87">
        <v>0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8"/>
      <c r="AJ55" s="90"/>
      <c r="AK55" s="87"/>
      <c r="AL55" s="87"/>
      <c r="AM55" s="91"/>
      <c r="AN55" s="87"/>
      <c r="AO55" s="92"/>
      <c r="AP55" s="50"/>
      <c r="AQ55" s="50"/>
    </row>
    <row r="56" spans="1:46" ht="12.75" hidden="1" customHeight="1" thickBot="1" x14ac:dyDescent="0.3">
      <c r="A56" s="47" t="s">
        <v>178</v>
      </c>
      <c r="B56" s="173"/>
      <c r="C56" s="174"/>
      <c r="D56" s="152" t="s">
        <v>158</v>
      </c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5"/>
      <c r="P56" s="155"/>
      <c r="Q56" s="155"/>
      <c r="R56" s="155"/>
      <c r="S56" s="155"/>
      <c r="T56" s="155"/>
      <c r="U56" s="155">
        <v>6206.2799999999988</v>
      </c>
      <c r="V56" s="155">
        <v>4676</v>
      </c>
      <c r="W56" s="175">
        <v>8186</v>
      </c>
      <c r="X56" s="175">
        <v>6202</v>
      </c>
      <c r="Y56" s="175">
        <v>13842</v>
      </c>
      <c r="Z56" s="175">
        <v>21282.2</v>
      </c>
      <c r="AA56" s="175">
        <v>21138</v>
      </c>
      <c r="AB56" s="175">
        <v>22650</v>
      </c>
      <c r="AC56" s="175">
        <v>16808</v>
      </c>
      <c r="AD56" s="175">
        <v>22190</v>
      </c>
      <c r="AE56" s="175">
        <v>15456</v>
      </c>
      <c r="AF56" s="175">
        <v>13460</v>
      </c>
      <c r="AG56" s="175">
        <v>13700</v>
      </c>
      <c r="AH56" s="175">
        <v>15766</v>
      </c>
      <c r="AI56" s="176">
        <v>15650</v>
      </c>
      <c r="AJ56" s="177">
        <v>18000</v>
      </c>
      <c r="AK56" s="175">
        <f>+AK47+SUM(AK48:AK55)</f>
        <v>4146</v>
      </c>
      <c r="AL56" s="175">
        <f>SUM(AL47:AL55)</f>
        <v>7412</v>
      </c>
      <c r="AM56" s="178">
        <f t="shared" si="23"/>
        <v>0.4117777777777778</v>
      </c>
      <c r="AN56" s="175">
        <f>+AK56+AL56</f>
        <v>11558</v>
      </c>
      <c r="AO56" s="179">
        <f>IFERROR(+AN56/AJ56,0)</f>
        <v>0.64211111111111108</v>
      </c>
      <c r="AP56" s="50"/>
      <c r="AQ56" s="50"/>
    </row>
    <row r="57" spans="1:46" x14ac:dyDescent="0.25">
      <c r="A57" s="47" t="s">
        <v>174</v>
      </c>
      <c r="B57" s="47"/>
      <c r="C57" s="47"/>
      <c r="D57" s="180" t="s">
        <v>164</v>
      </c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0</v>
      </c>
      <c r="AL57" s="196">
        <v>0</v>
      </c>
      <c r="AM57" s="197"/>
      <c r="AO57" s="198"/>
    </row>
    <row r="58" spans="1:46" x14ac:dyDescent="0.25">
      <c r="A58" s="47" t="s">
        <v>174</v>
      </c>
      <c r="B58" s="185"/>
      <c r="C58" s="185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C710-2237-43BF-935E-9B10FBBF0B38}">
  <dimension ref="A1:AV122"/>
  <sheetViews>
    <sheetView showGridLines="0" zoomScale="88" zoomScaleNormal="88" workbookViewId="0">
      <pane xSplit="4" ySplit="2" topLeftCell="AG3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" thickBot="1" x14ac:dyDescent="0.3">
      <c r="B1" s="47" t="s">
        <v>179</v>
      </c>
      <c r="C1" s="47" t="s">
        <v>180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B3" s="64" t="s">
        <v>71</v>
      </c>
      <c r="C3" s="65" t="s">
        <v>72</v>
      </c>
      <c r="D3" s="66" t="s">
        <v>73</v>
      </c>
      <c r="E3" s="67"/>
      <c r="F3" s="68"/>
      <c r="G3" s="68"/>
      <c r="H3" s="68"/>
      <c r="I3" s="67"/>
      <c r="J3" s="68"/>
      <c r="K3" s="68"/>
      <c r="L3" s="68"/>
      <c r="M3" s="68"/>
      <c r="N3" s="68"/>
      <c r="O3" s="68"/>
      <c r="P3" s="68"/>
      <c r="Q3" s="69"/>
      <c r="R3" s="68"/>
      <c r="S3" s="67"/>
      <c r="T3" s="67"/>
      <c r="U3" s="67"/>
      <c r="V3" s="67"/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54" si="2">IFERROR(+AN3/AJ3,0)</f>
        <v>0</v>
      </c>
      <c r="AP3" s="50"/>
      <c r="AQ3" s="50"/>
    </row>
    <row r="4" spans="1:45" ht="12.75" customHeight="1" x14ac:dyDescent="0.25">
      <c r="B4" s="75" t="s">
        <v>74</v>
      </c>
      <c r="C4" s="76" t="s">
        <v>72</v>
      </c>
      <c r="D4" s="77" t="s">
        <v>75</v>
      </c>
      <c r="E4" s="78"/>
      <c r="F4" s="79"/>
      <c r="G4" s="79"/>
      <c r="H4" s="79"/>
      <c r="I4" s="78"/>
      <c r="J4" s="79"/>
      <c r="K4" s="79"/>
      <c r="L4" s="79"/>
      <c r="M4" s="79"/>
      <c r="N4" s="79"/>
      <c r="O4" s="79"/>
      <c r="P4" s="79"/>
      <c r="Q4" s="80"/>
      <c r="R4" s="79"/>
      <c r="S4" s="78"/>
      <c r="T4" s="78"/>
      <c r="U4" s="78"/>
      <c r="V4" s="78"/>
      <c r="W4" s="78">
        <v>900</v>
      </c>
      <c r="X4" s="78">
        <v>1685.5999999999992</v>
      </c>
      <c r="Y4" s="79">
        <v>1499.3999999999994</v>
      </c>
      <c r="Z4" s="78">
        <v>1685.599999999999</v>
      </c>
      <c r="AA4" s="78">
        <v>1871.7999999999988</v>
      </c>
      <c r="AB4" s="78">
        <v>1714.9999999999995</v>
      </c>
      <c r="AC4" s="78">
        <v>1519</v>
      </c>
      <c r="AD4" s="81">
        <v>2146.1999999999989</v>
      </c>
      <c r="AE4" s="80">
        <v>1842.3999999999994</v>
      </c>
      <c r="AF4" s="80">
        <v>1969.7999999999988</v>
      </c>
      <c r="AG4" s="80">
        <v>2753.7999999999997</v>
      </c>
      <c r="AH4" s="80">
        <v>2048.1999999999985</v>
      </c>
      <c r="AI4" s="80">
        <v>1754.1999999999991</v>
      </c>
      <c r="AJ4" s="82">
        <v>4900</v>
      </c>
      <c r="AK4" s="79">
        <v>0</v>
      </c>
      <c r="AL4" s="79">
        <v>2290.3999999999996</v>
      </c>
      <c r="AM4" s="83">
        <f t="shared" si="0"/>
        <v>0.46742857142857136</v>
      </c>
      <c r="AN4" s="79">
        <f t="shared" si="1"/>
        <v>2290.3999999999996</v>
      </c>
      <c r="AO4" s="84">
        <f t="shared" si="2"/>
        <v>0.46742857142857136</v>
      </c>
      <c r="AP4" s="50"/>
      <c r="AQ4" s="50"/>
    </row>
    <row r="5" spans="1:45" ht="12.75" customHeight="1" x14ac:dyDescent="0.25">
      <c r="B5" s="64" t="s">
        <v>74</v>
      </c>
      <c r="C5" s="65" t="s">
        <v>72</v>
      </c>
      <c r="D5" s="66" t="s">
        <v>76</v>
      </c>
      <c r="E5" s="86"/>
      <c r="F5" s="87"/>
      <c r="G5" s="87"/>
      <c r="H5" s="87"/>
      <c r="I5" s="86"/>
      <c r="J5" s="87"/>
      <c r="K5" s="87"/>
      <c r="L5" s="87"/>
      <c r="M5" s="87"/>
      <c r="N5" s="87"/>
      <c r="O5" s="87"/>
      <c r="P5" s="87"/>
      <c r="Q5" s="88"/>
      <c r="R5" s="87"/>
      <c r="S5" s="86"/>
      <c r="T5" s="86"/>
      <c r="U5" s="86"/>
      <c r="V5" s="86"/>
      <c r="W5" s="86">
        <v>540</v>
      </c>
      <c r="X5" s="86">
        <v>734.99999999999989</v>
      </c>
      <c r="Y5" s="87">
        <v>205.8</v>
      </c>
      <c r="Z5" s="86">
        <v>950.6</v>
      </c>
      <c r="AA5" s="86">
        <v>1489.6</v>
      </c>
      <c r="AB5" s="86">
        <v>1479.8</v>
      </c>
      <c r="AC5" s="86">
        <v>450.80000000000013</v>
      </c>
      <c r="AD5" s="89">
        <v>1028.9999999999998</v>
      </c>
      <c r="AE5" s="88">
        <v>930.99999999999977</v>
      </c>
      <c r="AF5" s="88">
        <v>284.20000000000005</v>
      </c>
      <c r="AG5" s="88">
        <v>539</v>
      </c>
      <c r="AH5" s="88">
        <v>803.59999999999991</v>
      </c>
      <c r="AI5" s="88">
        <v>519.40000000000009</v>
      </c>
      <c r="AJ5" s="90">
        <v>1200</v>
      </c>
      <c r="AK5" s="87">
        <v>0</v>
      </c>
      <c r="AL5" s="87">
        <v>760.19999999999993</v>
      </c>
      <c r="AM5" s="91">
        <f t="shared" si="0"/>
        <v>0.63349999999999995</v>
      </c>
      <c r="AN5" s="87">
        <f t="shared" si="1"/>
        <v>760.19999999999993</v>
      </c>
      <c r="AO5" s="92">
        <f t="shared" si="2"/>
        <v>0.63349999999999995</v>
      </c>
      <c r="AP5" s="50" t="s">
        <v>77</v>
      </c>
      <c r="AQ5" s="50"/>
    </row>
    <row r="6" spans="1:45" ht="12.75" customHeight="1" x14ac:dyDescent="0.25">
      <c r="B6" s="75" t="s">
        <v>74</v>
      </c>
      <c r="C6" s="76" t="s">
        <v>72</v>
      </c>
      <c r="D6" s="77" t="s">
        <v>78</v>
      </c>
      <c r="E6" s="78"/>
      <c r="F6" s="79"/>
      <c r="G6" s="79"/>
      <c r="H6" s="79"/>
      <c r="I6" s="78"/>
      <c r="J6" s="79"/>
      <c r="K6" s="79"/>
      <c r="L6" s="79"/>
      <c r="M6" s="79"/>
      <c r="N6" s="79"/>
      <c r="O6" s="79"/>
      <c r="P6" s="79"/>
      <c r="Q6" s="80"/>
      <c r="R6" s="79"/>
      <c r="S6" s="78"/>
      <c r="T6" s="78"/>
      <c r="U6" s="78"/>
      <c r="V6" s="78"/>
      <c r="W6" s="78">
        <v>384</v>
      </c>
      <c r="X6" s="78">
        <v>1626.7999999999995</v>
      </c>
      <c r="Y6" s="79">
        <v>480.20000000000005</v>
      </c>
      <c r="Z6" s="78">
        <v>352.80000000000007</v>
      </c>
      <c r="AA6" s="78">
        <v>480.20000000000005</v>
      </c>
      <c r="AB6" s="78">
        <v>392</v>
      </c>
      <c r="AC6" s="78">
        <v>519.40000000000009</v>
      </c>
      <c r="AD6" s="81">
        <v>656.59999999999991</v>
      </c>
      <c r="AE6" s="80">
        <v>343</v>
      </c>
      <c r="AF6" s="80">
        <v>578.20000000000005</v>
      </c>
      <c r="AG6" s="80">
        <v>1127</v>
      </c>
      <c r="AH6" s="80">
        <v>744.79999999999973</v>
      </c>
      <c r="AI6" s="80">
        <v>705.60000000000014</v>
      </c>
      <c r="AJ6" s="82">
        <v>1900</v>
      </c>
      <c r="AK6" s="79">
        <v>107.8</v>
      </c>
      <c r="AL6" s="79">
        <v>392.00000000000011</v>
      </c>
      <c r="AM6" s="83">
        <f t="shared" si="0"/>
        <v>0.20631578947368426</v>
      </c>
      <c r="AN6" s="79">
        <f t="shared" si="1"/>
        <v>499.80000000000013</v>
      </c>
      <c r="AO6" s="84">
        <f t="shared" si="2"/>
        <v>0.26305263157894743</v>
      </c>
      <c r="AP6" s="50"/>
      <c r="AQ6" s="50"/>
    </row>
    <row r="7" spans="1:45" ht="12.75" customHeight="1" x14ac:dyDescent="0.25">
      <c r="B7" s="64" t="s">
        <v>79</v>
      </c>
      <c r="C7" s="65" t="s">
        <v>72</v>
      </c>
      <c r="D7" s="66" t="s">
        <v>80</v>
      </c>
      <c r="E7" s="86"/>
      <c r="F7" s="87"/>
      <c r="G7" s="87"/>
      <c r="H7" s="87"/>
      <c r="I7" s="86"/>
      <c r="J7" s="87"/>
      <c r="K7" s="87"/>
      <c r="L7" s="87"/>
      <c r="M7" s="87"/>
      <c r="N7" s="87"/>
      <c r="O7" s="87"/>
      <c r="P7" s="87"/>
      <c r="Q7" s="88"/>
      <c r="R7" s="87"/>
      <c r="S7" s="86"/>
      <c r="T7" s="86"/>
      <c r="U7" s="86"/>
      <c r="V7" s="86"/>
      <c r="W7" s="86">
        <v>180</v>
      </c>
      <c r="X7" s="86">
        <v>1146.5999999999997</v>
      </c>
      <c r="Y7" s="87">
        <v>960.39999999999975</v>
      </c>
      <c r="Z7" s="86">
        <v>1107.3999999999994</v>
      </c>
      <c r="AA7" s="86">
        <v>1273.9999999999993</v>
      </c>
      <c r="AB7" s="86">
        <v>1577.7999999999993</v>
      </c>
      <c r="AC7" s="86">
        <v>1293.5999999999995</v>
      </c>
      <c r="AD7" s="89">
        <v>1283.7999999999993</v>
      </c>
      <c r="AE7" s="88">
        <v>1705.1999999999994</v>
      </c>
      <c r="AF7" s="88">
        <v>1322.9999999999995</v>
      </c>
      <c r="AG7" s="88">
        <v>1812.9999999999989</v>
      </c>
      <c r="AH7" s="88">
        <v>1646.3999999999994</v>
      </c>
      <c r="AI7" s="88">
        <v>1852.1999999999985</v>
      </c>
      <c r="AJ7" s="90">
        <v>3600</v>
      </c>
      <c r="AK7" s="87">
        <v>86.800000000000011</v>
      </c>
      <c r="AL7" s="87">
        <v>1808.7999999999993</v>
      </c>
      <c r="AM7" s="91">
        <f t="shared" si="0"/>
        <v>0.50244444444444425</v>
      </c>
      <c r="AN7" s="87">
        <f t="shared" si="1"/>
        <v>1895.5999999999992</v>
      </c>
      <c r="AO7" s="92">
        <f t="shared" si="2"/>
        <v>0.52655555555555533</v>
      </c>
      <c r="AP7" s="50"/>
      <c r="AQ7" s="50"/>
    </row>
    <row r="8" spans="1:45" ht="12.75" customHeight="1" x14ac:dyDescent="0.25"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/>
      <c r="P8" s="79"/>
      <c r="Q8" s="80"/>
      <c r="R8" s="79"/>
      <c r="S8" s="78"/>
      <c r="T8" s="78"/>
      <c r="U8" s="78"/>
      <c r="V8" s="78"/>
      <c r="W8" s="78">
        <v>984</v>
      </c>
      <c r="X8" s="78">
        <v>1048.5999999999999</v>
      </c>
      <c r="Y8" s="79">
        <v>480.2000000000001</v>
      </c>
      <c r="Z8" s="78">
        <v>1146.5999999999999</v>
      </c>
      <c r="AA8" s="78">
        <v>1548.3999999999999</v>
      </c>
      <c r="AB8" s="78">
        <v>2763.6</v>
      </c>
      <c r="AC8" s="78">
        <v>1215.1999999999996</v>
      </c>
      <c r="AD8" s="81">
        <v>2744</v>
      </c>
      <c r="AE8" s="80">
        <v>3155.6000000000008</v>
      </c>
      <c r="AF8" s="80">
        <v>597.8000000000003</v>
      </c>
      <c r="AG8" s="80">
        <v>1695.3999999999999</v>
      </c>
      <c r="AH8" s="80">
        <v>1616.9999999999998</v>
      </c>
      <c r="AI8" s="80">
        <v>1822.799999999999</v>
      </c>
      <c r="AJ8" s="82">
        <v>3700</v>
      </c>
      <c r="AK8" s="79">
        <v>107.8</v>
      </c>
      <c r="AL8" s="79">
        <v>2219</v>
      </c>
      <c r="AM8" s="83">
        <f t="shared" si="0"/>
        <v>0.59972972972972971</v>
      </c>
      <c r="AN8" s="79">
        <f t="shared" si="1"/>
        <v>2326.8000000000002</v>
      </c>
      <c r="AO8" s="84">
        <f t="shared" si="2"/>
        <v>0.62886486486486493</v>
      </c>
      <c r="AP8" s="50"/>
      <c r="AQ8" s="50"/>
    </row>
    <row r="9" spans="1:45" ht="12.75" customHeight="1" x14ac:dyDescent="0.25">
      <c r="B9" s="64" t="s">
        <v>82</v>
      </c>
      <c r="C9" s="65" t="s">
        <v>72</v>
      </c>
      <c r="D9" s="66" t="s">
        <v>83</v>
      </c>
      <c r="E9" s="86"/>
      <c r="F9" s="87"/>
      <c r="G9" s="87"/>
      <c r="H9" s="87"/>
      <c r="I9" s="86"/>
      <c r="J9" s="87"/>
      <c r="K9" s="87"/>
      <c r="L9" s="87"/>
      <c r="M9" s="87"/>
      <c r="N9" s="87"/>
      <c r="O9" s="87"/>
      <c r="P9" s="87"/>
      <c r="Q9" s="88"/>
      <c r="R9" s="87"/>
      <c r="S9" s="86"/>
      <c r="T9" s="86"/>
      <c r="U9" s="86"/>
      <c r="V9" s="86"/>
      <c r="W9" s="86">
        <v>336</v>
      </c>
      <c r="X9" s="86">
        <v>764.40000000000009</v>
      </c>
      <c r="Y9" s="87">
        <v>656.59999999999991</v>
      </c>
      <c r="Z9" s="86">
        <v>666.40000000000009</v>
      </c>
      <c r="AA9" s="86">
        <v>284.20000000000005</v>
      </c>
      <c r="AB9" s="86">
        <v>1979.6</v>
      </c>
      <c r="AC9" s="86">
        <v>872.2</v>
      </c>
      <c r="AD9" s="89">
        <v>1479.8</v>
      </c>
      <c r="AE9" s="88">
        <v>921.2</v>
      </c>
      <c r="AF9" s="88">
        <v>950.59999999999968</v>
      </c>
      <c r="AG9" s="88">
        <v>823.19999999999993</v>
      </c>
      <c r="AH9" s="88">
        <v>705.5999999999998</v>
      </c>
      <c r="AI9" s="88">
        <v>1097.5999999999999</v>
      </c>
      <c r="AJ9" s="90">
        <v>1600</v>
      </c>
      <c r="AK9" s="87">
        <v>0</v>
      </c>
      <c r="AL9" s="87">
        <v>411.6</v>
      </c>
      <c r="AM9" s="91">
        <f t="shared" si="0"/>
        <v>0.25725000000000003</v>
      </c>
      <c r="AN9" s="87">
        <f t="shared" si="1"/>
        <v>411.6</v>
      </c>
      <c r="AO9" s="92">
        <f t="shared" si="2"/>
        <v>0.25725000000000003</v>
      </c>
      <c r="AP9" s="50"/>
      <c r="AQ9" s="50"/>
    </row>
    <row r="10" spans="1:45" ht="12.75" customHeight="1" x14ac:dyDescent="0.25">
      <c r="B10" s="75" t="s">
        <v>82</v>
      </c>
      <c r="C10" s="76" t="s">
        <v>72</v>
      </c>
      <c r="D10" s="77" t="s">
        <v>84</v>
      </c>
      <c r="E10" s="78"/>
      <c r="F10" s="79"/>
      <c r="G10" s="79"/>
      <c r="H10" s="79"/>
      <c r="I10" s="78"/>
      <c r="J10" s="79"/>
      <c r="K10" s="79"/>
      <c r="L10" s="79"/>
      <c r="M10" s="79"/>
      <c r="N10" s="79"/>
      <c r="O10" s="79"/>
      <c r="P10" s="79"/>
      <c r="Q10" s="80"/>
      <c r="R10" s="79"/>
      <c r="S10" s="78"/>
      <c r="T10" s="78"/>
      <c r="U10" s="78"/>
      <c r="V10" s="78"/>
      <c r="W10" s="78">
        <v>480</v>
      </c>
      <c r="X10" s="78">
        <v>813.4</v>
      </c>
      <c r="Y10" s="79">
        <v>637.00000000000011</v>
      </c>
      <c r="Z10" s="78">
        <v>852.60000000000014</v>
      </c>
      <c r="AA10" s="78">
        <v>764.4</v>
      </c>
      <c r="AB10" s="78">
        <v>1450.3999999999999</v>
      </c>
      <c r="AC10" s="78">
        <v>147</v>
      </c>
      <c r="AD10" s="81">
        <v>823.20000000000016</v>
      </c>
      <c r="AE10" s="80">
        <v>1225</v>
      </c>
      <c r="AF10" s="80">
        <v>627.19999999999993</v>
      </c>
      <c r="AG10" s="80">
        <v>1029</v>
      </c>
      <c r="AH10" s="80">
        <v>695.80000000000007</v>
      </c>
      <c r="AI10" s="80">
        <v>1166.1999999999998</v>
      </c>
      <c r="AJ10" s="82">
        <v>2100</v>
      </c>
      <c r="AK10" s="79">
        <v>119</v>
      </c>
      <c r="AL10" s="79">
        <v>571.19999999999993</v>
      </c>
      <c r="AM10" s="83">
        <f t="shared" si="0"/>
        <v>0.27199999999999996</v>
      </c>
      <c r="AN10" s="79">
        <f t="shared" si="1"/>
        <v>690.19999999999993</v>
      </c>
      <c r="AO10" s="84">
        <f t="shared" si="2"/>
        <v>0.32866666666666661</v>
      </c>
      <c r="AP10" s="50"/>
      <c r="AQ10" s="50"/>
    </row>
    <row r="11" spans="1:45" ht="12.75" customHeight="1" x14ac:dyDescent="0.25">
      <c r="B11" s="64" t="s">
        <v>85</v>
      </c>
      <c r="C11" s="65" t="s">
        <v>86</v>
      </c>
      <c r="D11" s="66" t="s">
        <v>87</v>
      </c>
      <c r="E11" s="86"/>
      <c r="F11" s="87"/>
      <c r="G11" s="87"/>
      <c r="H11" s="87"/>
      <c r="I11" s="86"/>
      <c r="J11" s="87"/>
      <c r="K11" s="87"/>
      <c r="L11" s="87"/>
      <c r="M11" s="87"/>
      <c r="N11" s="87"/>
      <c r="O11" s="87"/>
      <c r="P11" s="87"/>
      <c r="Q11" s="88"/>
      <c r="R11" s="87"/>
      <c r="S11" s="86"/>
      <c r="T11" s="86"/>
      <c r="U11" s="86"/>
      <c r="V11" s="86"/>
      <c r="W11" s="86">
        <v>156</v>
      </c>
      <c r="X11" s="86">
        <v>646.80000000000007</v>
      </c>
      <c r="Y11" s="87">
        <v>284.2</v>
      </c>
      <c r="Z11" s="86">
        <v>646.79999999999984</v>
      </c>
      <c r="AA11" s="86">
        <v>372.40000000000003</v>
      </c>
      <c r="AB11" s="86">
        <v>695.8</v>
      </c>
      <c r="AC11" s="86">
        <v>597.80000000000007</v>
      </c>
      <c r="AD11" s="89">
        <v>686.00000000000011</v>
      </c>
      <c r="AE11" s="88">
        <v>813.4</v>
      </c>
      <c r="AF11" s="88">
        <v>1058.3999999999994</v>
      </c>
      <c r="AG11" s="88">
        <v>823.2</v>
      </c>
      <c r="AH11" s="88">
        <v>1136.8</v>
      </c>
      <c r="AI11" s="88">
        <v>470.40000000000015</v>
      </c>
      <c r="AJ11" s="90">
        <v>1900</v>
      </c>
      <c r="AK11" s="87">
        <v>317.8</v>
      </c>
      <c r="AL11" s="87">
        <v>593.60000000000014</v>
      </c>
      <c r="AM11" s="91">
        <f t="shared" si="0"/>
        <v>0.31242105263157904</v>
      </c>
      <c r="AN11" s="87">
        <f t="shared" si="1"/>
        <v>911.40000000000009</v>
      </c>
      <c r="AO11" s="92">
        <f t="shared" si="2"/>
        <v>0.47968421052631582</v>
      </c>
      <c r="AP11" s="50"/>
      <c r="AQ11" s="50"/>
    </row>
    <row r="12" spans="1:45" ht="12.75" customHeight="1" x14ac:dyDescent="0.25">
      <c r="B12" s="75" t="s">
        <v>85</v>
      </c>
      <c r="C12" s="76" t="s">
        <v>86</v>
      </c>
      <c r="D12" s="77" t="s">
        <v>88</v>
      </c>
      <c r="E12" s="78"/>
      <c r="F12" s="79"/>
      <c r="G12" s="79"/>
      <c r="H12" s="79"/>
      <c r="I12" s="78"/>
      <c r="J12" s="79"/>
      <c r="K12" s="79"/>
      <c r="L12" s="79"/>
      <c r="M12" s="79"/>
      <c r="N12" s="79"/>
      <c r="O12" s="79"/>
      <c r="P12" s="79"/>
      <c r="Q12" s="80"/>
      <c r="R12" s="79"/>
      <c r="S12" s="78"/>
      <c r="T12" s="78"/>
      <c r="U12" s="78"/>
      <c r="V12" s="78"/>
      <c r="W12" s="78">
        <v>24</v>
      </c>
      <c r="X12" s="78">
        <v>578.20000000000027</v>
      </c>
      <c r="Y12" s="79">
        <v>509.6</v>
      </c>
      <c r="Z12" s="78">
        <v>558.6</v>
      </c>
      <c r="AA12" s="78">
        <v>392.00000000000011</v>
      </c>
      <c r="AB12" s="78">
        <v>548.80000000000007</v>
      </c>
      <c r="AC12" s="78">
        <v>499.80000000000007</v>
      </c>
      <c r="AD12" s="81">
        <v>431.2000000000001</v>
      </c>
      <c r="AE12" s="80">
        <v>578.19999999999993</v>
      </c>
      <c r="AF12" s="80">
        <v>656.6</v>
      </c>
      <c r="AG12" s="80">
        <v>813.4</v>
      </c>
      <c r="AH12" s="80">
        <v>881.99999999999977</v>
      </c>
      <c r="AI12" s="80">
        <v>803.60000000000014</v>
      </c>
      <c r="AJ12" s="82">
        <v>1800</v>
      </c>
      <c r="AK12" s="79">
        <v>168</v>
      </c>
      <c r="AL12" s="79">
        <v>394.8</v>
      </c>
      <c r="AM12" s="83">
        <f t="shared" si="0"/>
        <v>0.21933333333333335</v>
      </c>
      <c r="AN12" s="79">
        <f t="shared" si="1"/>
        <v>562.79999999999995</v>
      </c>
      <c r="AO12" s="84">
        <f t="shared" si="2"/>
        <v>0.31266666666666665</v>
      </c>
      <c r="AP12" s="50"/>
      <c r="AQ12" s="50"/>
    </row>
    <row r="13" spans="1:45" ht="12.75" customHeight="1" x14ac:dyDescent="0.25">
      <c r="B13" s="64" t="s">
        <v>89</v>
      </c>
      <c r="C13" s="65" t="s">
        <v>86</v>
      </c>
      <c r="D13" s="66" t="s">
        <v>90</v>
      </c>
      <c r="E13" s="86"/>
      <c r="F13" s="87"/>
      <c r="G13" s="87"/>
      <c r="H13" s="87"/>
      <c r="I13" s="86"/>
      <c r="J13" s="87"/>
      <c r="K13" s="87"/>
      <c r="L13" s="87"/>
      <c r="M13" s="87"/>
      <c r="N13" s="87"/>
      <c r="O13" s="87"/>
      <c r="P13" s="87"/>
      <c r="Q13" s="88"/>
      <c r="R13" s="87"/>
      <c r="S13" s="86"/>
      <c r="T13" s="86"/>
      <c r="U13" s="86"/>
      <c r="V13" s="86"/>
      <c r="W13" s="86">
        <v>336</v>
      </c>
      <c r="X13" s="86">
        <v>1048.5999999999999</v>
      </c>
      <c r="Y13" s="87">
        <v>754.6</v>
      </c>
      <c r="Z13" s="86">
        <v>852.59999999999991</v>
      </c>
      <c r="AA13" s="86">
        <v>980</v>
      </c>
      <c r="AB13" s="86">
        <v>803.59999999999991</v>
      </c>
      <c r="AC13" s="86">
        <v>558.6</v>
      </c>
      <c r="AD13" s="89">
        <v>970.2</v>
      </c>
      <c r="AE13" s="88">
        <v>901.59999999999991</v>
      </c>
      <c r="AF13" s="88">
        <v>754.6</v>
      </c>
      <c r="AG13" s="88">
        <v>568.4</v>
      </c>
      <c r="AH13" s="88">
        <v>1048.6000000000001</v>
      </c>
      <c r="AI13" s="88">
        <v>911.4000000000002</v>
      </c>
      <c r="AJ13" s="90">
        <v>1700</v>
      </c>
      <c r="AK13" s="87">
        <v>0</v>
      </c>
      <c r="AL13" s="87">
        <v>727.99999999999989</v>
      </c>
      <c r="AM13" s="91">
        <f t="shared" si="0"/>
        <v>0.42823529411764699</v>
      </c>
      <c r="AN13" s="87">
        <f t="shared" si="1"/>
        <v>727.99999999999989</v>
      </c>
      <c r="AO13" s="92">
        <f t="shared" si="2"/>
        <v>0.42823529411764699</v>
      </c>
      <c r="AP13" s="50"/>
      <c r="AQ13" s="50"/>
    </row>
    <row r="14" spans="1:45" ht="12.75" hidden="1" customHeight="1" x14ac:dyDescent="0.25">
      <c r="B14" s="75" t="s">
        <v>89</v>
      </c>
      <c r="C14" s="76" t="s">
        <v>86</v>
      </c>
      <c r="D14" s="77" t="s">
        <v>91</v>
      </c>
      <c r="E14" s="78"/>
      <c r="F14" s="79"/>
      <c r="G14" s="79"/>
      <c r="H14" s="79"/>
      <c r="I14" s="78"/>
      <c r="J14" s="79"/>
      <c r="K14" s="79"/>
      <c r="L14" s="79"/>
      <c r="M14" s="79"/>
      <c r="N14" s="79"/>
      <c r="O14" s="79"/>
      <c r="P14" s="79"/>
      <c r="Q14" s="80"/>
      <c r="R14" s="79"/>
      <c r="S14" s="78"/>
      <c r="T14" s="78"/>
      <c r="U14" s="78"/>
      <c r="V14" s="78"/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B15" s="75" t="s">
        <v>89</v>
      </c>
      <c r="C15" s="76" t="s">
        <v>86</v>
      </c>
      <c r="D15" s="77" t="s">
        <v>93</v>
      </c>
      <c r="E15" s="78"/>
      <c r="F15" s="79"/>
      <c r="G15" s="79"/>
      <c r="H15" s="79"/>
      <c r="I15" s="78"/>
      <c r="J15" s="79"/>
      <c r="K15" s="79"/>
      <c r="L15" s="79"/>
      <c r="M15" s="79"/>
      <c r="N15" s="79"/>
      <c r="O15" s="79"/>
      <c r="P15" s="79"/>
      <c r="Q15" s="80"/>
      <c r="R15" s="79"/>
      <c r="S15" s="78"/>
      <c r="T15" s="78"/>
      <c r="U15" s="78"/>
      <c r="V15" s="78"/>
      <c r="W15" s="78">
        <v>96</v>
      </c>
      <c r="X15" s="78">
        <v>343.00000000000006</v>
      </c>
      <c r="Y15" s="79">
        <v>921.19999999999993</v>
      </c>
      <c r="Z15" s="78">
        <v>686.00000000000011</v>
      </c>
      <c r="AA15" s="78">
        <v>548.79999999999995</v>
      </c>
      <c r="AB15" s="78">
        <v>401.80000000000007</v>
      </c>
      <c r="AC15" s="78">
        <v>725.2</v>
      </c>
      <c r="AD15" s="81">
        <v>715.4</v>
      </c>
      <c r="AE15" s="80">
        <v>764.4</v>
      </c>
      <c r="AF15" s="80">
        <v>558.6</v>
      </c>
      <c r="AG15" s="80">
        <v>441</v>
      </c>
      <c r="AH15" s="80">
        <v>774.2</v>
      </c>
      <c r="AI15" s="80">
        <v>803.59999999999991</v>
      </c>
      <c r="AJ15" s="82">
        <v>1300</v>
      </c>
      <c r="AK15" s="79">
        <v>0</v>
      </c>
      <c r="AL15" s="79">
        <v>1047.1999999999998</v>
      </c>
      <c r="AM15" s="83">
        <f t="shared" si="0"/>
        <v>0.80553846153846143</v>
      </c>
      <c r="AN15" s="79">
        <f t="shared" si="1"/>
        <v>1047.1999999999998</v>
      </c>
      <c r="AO15" s="84">
        <f t="shared" si="2"/>
        <v>0.80553846153846143</v>
      </c>
      <c r="AP15" s="50"/>
      <c r="AQ15" s="50"/>
    </row>
    <row r="16" spans="1:45" ht="12.75" customHeight="1" x14ac:dyDescent="0.25">
      <c r="B16" s="64" t="s">
        <v>94</v>
      </c>
      <c r="C16" s="65" t="s">
        <v>86</v>
      </c>
      <c r="D16" s="66" t="s">
        <v>95</v>
      </c>
      <c r="E16" s="86"/>
      <c r="F16" s="87"/>
      <c r="G16" s="87"/>
      <c r="H16" s="87"/>
      <c r="I16" s="86"/>
      <c r="J16" s="87"/>
      <c r="K16" s="87"/>
      <c r="L16" s="87"/>
      <c r="M16" s="87"/>
      <c r="N16" s="87"/>
      <c r="O16" s="87"/>
      <c r="P16" s="87"/>
      <c r="Q16" s="88"/>
      <c r="R16" s="87"/>
      <c r="S16" s="86"/>
      <c r="T16" s="86"/>
      <c r="U16" s="86"/>
      <c r="V16" s="86"/>
      <c r="W16" s="86">
        <v>3408</v>
      </c>
      <c r="X16" s="86">
        <v>921.2</v>
      </c>
      <c r="Y16" s="87">
        <v>2008.9999999999989</v>
      </c>
      <c r="Z16" s="86">
        <v>284.20000000000005</v>
      </c>
      <c r="AA16" s="86">
        <v>1205.3999999999987</v>
      </c>
      <c r="AB16" s="86">
        <v>1420.9999999999991</v>
      </c>
      <c r="AC16" s="86">
        <v>764.39999999999952</v>
      </c>
      <c r="AD16" s="89">
        <v>1744.3999999999994</v>
      </c>
      <c r="AE16" s="88">
        <v>1518.9999999999993</v>
      </c>
      <c r="AF16" s="88">
        <v>1646.3999999999978</v>
      </c>
      <c r="AG16" s="88">
        <v>1479.7999999999993</v>
      </c>
      <c r="AH16" s="88">
        <v>1273.9999999999991</v>
      </c>
      <c r="AI16" s="88">
        <v>1656.1999999999987</v>
      </c>
      <c r="AJ16" s="90">
        <v>3300</v>
      </c>
      <c r="AK16" s="87">
        <v>774.19999999999993</v>
      </c>
      <c r="AL16" s="87">
        <v>960.39999999999986</v>
      </c>
      <c r="AM16" s="91">
        <f>IFERROR(AL16/AJ16,0)</f>
        <v>0.29103030303030297</v>
      </c>
      <c r="AN16" s="87">
        <f>+AK16+AL16</f>
        <v>1734.6</v>
      </c>
      <c r="AO16" s="92">
        <f>IFERROR(+AN16/AJ16,0)</f>
        <v>0.52563636363636357</v>
      </c>
      <c r="AP16" s="50"/>
      <c r="AQ16" s="50"/>
    </row>
    <row r="17" spans="1:45" ht="12.75" customHeight="1" thickBot="1" x14ac:dyDescent="0.3">
      <c r="B17" s="75" t="s">
        <v>94</v>
      </c>
      <c r="C17" s="76" t="s">
        <v>86</v>
      </c>
      <c r="D17" s="77" t="s">
        <v>96</v>
      </c>
      <c r="E17" s="78"/>
      <c r="F17" s="79"/>
      <c r="G17" s="79"/>
      <c r="H17" s="79"/>
      <c r="I17" s="78"/>
      <c r="J17" s="79"/>
      <c r="K17" s="79"/>
      <c r="L17" s="79"/>
      <c r="M17" s="79"/>
      <c r="N17" s="79"/>
      <c r="O17" s="79"/>
      <c r="P17" s="79"/>
      <c r="Q17" s="80"/>
      <c r="R17" s="79"/>
      <c r="S17" s="78"/>
      <c r="T17" s="78"/>
      <c r="U17" s="78"/>
      <c r="V17" s="78"/>
      <c r="W17" s="78">
        <v>516</v>
      </c>
      <c r="X17" s="78">
        <v>960.40000000000009</v>
      </c>
      <c r="Y17" s="79">
        <v>1078</v>
      </c>
      <c r="Z17" s="78">
        <v>911.40000000000009</v>
      </c>
      <c r="AA17" s="78">
        <v>1215.2000000000003</v>
      </c>
      <c r="AB17" s="78">
        <v>882</v>
      </c>
      <c r="AC17" s="78">
        <v>803.6</v>
      </c>
      <c r="AD17" s="81">
        <v>1538.5999999999997</v>
      </c>
      <c r="AE17" s="93">
        <v>1136.8</v>
      </c>
      <c r="AF17" s="93">
        <v>744.80000000000007</v>
      </c>
      <c r="AG17" s="93">
        <v>1381.8</v>
      </c>
      <c r="AH17" s="93">
        <v>1264.1999999999998</v>
      </c>
      <c r="AI17" s="93">
        <v>1029</v>
      </c>
      <c r="AJ17" s="94">
        <v>3000</v>
      </c>
      <c r="AK17" s="95">
        <v>56</v>
      </c>
      <c r="AL17" s="95">
        <v>2354.8000000000002</v>
      </c>
      <c r="AM17" s="96">
        <f>IFERROR(AL17/AJ17,0)</f>
        <v>0.78493333333333337</v>
      </c>
      <c r="AN17" s="95">
        <f>+AK17+AL17</f>
        <v>2410.8000000000002</v>
      </c>
      <c r="AO17" s="97">
        <f>IFERROR(+AN17/AJ17,0)</f>
        <v>0.80360000000000009</v>
      </c>
      <c r="AP17" s="50"/>
      <c r="AQ17" s="50"/>
    </row>
    <row r="18" spans="1:45" s="109" customFormat="1" ht="12.75" customHeight="1" thickBot="1" x14ac:dyDescent="0.35">
      <c r="A18" s="45"/>
      <c r="B18" s="98"/>
      <c r="C18" s="99"/>
      <c r="D18" s="100" t="s">
        <v>97</v>
      </c>
      <c r="E18" s="101">
        <f t="shared" ref="E18:AD18" si="3">+SUM(E3:E17)</f>
        <v>0</v>
      </c>
      <c r="F18" s="102">
        <f t="shared" si="3"/>
        <v>0</v>
      </c>
      <c r="G18" s="102">
        <f t="shared" si="3"/>
        <v>0</v>
      </c>
      <c r="H18" s="102">
        <f t="shared" si="3"/>
        <v>0</v>
      </c>
      <c r="I18" s="102">
        <f t="shared" si="3"/>
        <v>0</v>
      </c>
      <c r="J18" s="102">
        <f t="shared" si="3"/>
        <v>0</v>
      </c>
      <c r="K18" s="102">
        <f t="shared" si="3"/>
        <v>0</v>
      </c>
      <c r="L18" s="102">
        <f t="shared" si="3"/>
        <v>0</v>
      </c>
      <c r="M18" s="102">
        <f t="shared" si="3"/>
        <v>0</v>
      </c>
      <c r="N18" s="102">
        <f t="shared" si="3"/>
        <v>0</v>
      </c>
      <c r="O18" s="102">
        <f t="shared" si="3"/>
        <v>0</v>
      </c>
      <c r="P18" s="102">
        <f t="shared" si="3"/>
        <v>0</v>
      </c>
      <c r="Q18" s="103">
        <f t="shared" si="3"/>
        <v>0</v>
      </c>
      <c r="R18" s="102">
        <f t="shared" si="3"/>
        <v>0</v>
      </c>
      <c r="S18" s="101">
        <f t="shared" si="3"/>
        <v>0</v>
      </c>
      <c r="T18" s="101">
        <f t="shared" si="3"/>
        <v>0</v>
      </c>
      <c r="U18" s="101">
        <f t="shared" si="3"/>
        <v>0</v>
      </c>
      <c r="V18" s="101">
        <f t="shared" si="3"/>
        <v>0</v>
      </c>
      <c r="W18" s="101">
        <f t="shared" si="3"/>
        <v>8340</v>
      </c>
      <c r="X18" s="101">
        <f t="shared" si="3"/>
        <v>12318.599999999999</v>
      </c>
      <c r="Y18" s="102">
        <f t="shared" si="3"/>
        <v>10476.199999999999</v>
      </c>
      <c r="Z18" s="101">
        <f t="shared" si="3"/>
        <v>10701.599999999999</v>
      </c>
      <c r="AA18" s="101">
        <f t="shared" si="3"/>
        <v>12426.399999999994</v>
      </c>
      <c r="AB18" s="101">
        <f t="shared" si="3"/>
        <v>16111.199999999997</v>
      </c>
      <c r="AC18" s="101">
        <f t="shared" si="3"/>
        <v>9966.6</v>
      </c>
      <c r="AD18" s="104">
        <f t="shared" si="3"/>
        <v>16248.4</v>
      </c>
      <c r="AE18" s="103">
        <v>15836.8</v>
      </c>
      <c r="AF18" s="103">
        <v>11750.199999999995</v>
      </c>
      <c r="AG18" s="103">
        <v>15287.999999999996</v>
      </c>
      <c r="AH18" s="103">
        <v>14641.199999999997</v>
      </c>
      <c r="AI18" s="103">
        <v>14592.199999999995</v>
      </c>
      <c r="AJ18" s="105">
        <v>32000</v>
      </c>
      <c r="AK18" s="102">
        <f t="shared" ref="AK18:AN18" si="4">+SUM(AK3:AK17)</f>
        <v>1737.4</v>
      </c>
      <c r="AL18" s="102">
        <f t="shared" si="4"/>
        <v>14532</v>
      </c>
      <c r="AM18" s="106">
        <f t="shared" si="0"/>
        <v>0.454125</v>
      </c>
      <c r="AN18" s="102">
        <f t="shared" si="4"/>
        <v>16269.400000000001</v>
      </c>
      <c r="AO18" s="107">
        <f t="shared" si="2"/>
        <v>0.50841875000000003</v>
      </c>
      <c r="AP18" s="49"/>
      <c r="AQ18" s="49"/>
      <c r="AR18" s="108"/>
      <c r="AS18" s="47"/>
    </row>
    <row r="19" spans="1:45" ht="12.75" customHeight="1" x14ac:dyDescent="0.25">
      <c r="B19" s="64" t="s">
        <v>98</v>
      </c>
      <c r="C19" s="65" t="s">
        <v>99</v>
      </c>
      <c r="D19" s="66" t="s">
        <v>100</v>
      </c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R19" s="68"/>
      <c r="S19" s="67"/>
      <c r="T19" s="67"/>
      <c r="U19" s="67"/>
      <c r="V19" s="67"/>
      <c r="W19" s="67">
        <v>300</v>
      </c>
      <c r="X19" s="67">
        <v>1440.5999999999995</v>
      </c>
      <c r="Y19" s="68">
        <v>1989.3999999999983</v>
      </c>
      <c r="Z19" s="67">
        <v>2116.7999999999975</v>
      </c>
      <c r="AA19" s="67">
        <v>2606.7999999999997</v>
      </c>
      <c r="AB19" s="67">
        <v>1969.7999999999997</v>
      </c>
      <c r="AC19" s="67">
        <v>1901.1999999999991</v>
      </c>
      <c r="AD19" s="70">
        <v>1607.1999999999998</v>
      </c>
      <c r="AE19" s="69">
        <v>1411.1999999999998</v>
      </c>
      <c r="AF19" s="69">
        <v>1332.7999999999997</v>
      </c>
      <c r="AG19" s="69">
        <v>1352.3999999999994</v>
      </c>
      <c r="AH19" s="69">
        <v>1607.1999999999994</v>
      </c>
      <c r="AI19" s="69">
        <v>1077.9999999999995</v>
      </c>
      <c r="AJ19" s="110">
        <v>2400</v>
      </c>
      <c r="AK19" s="68">
        <v>49</v>
      </c>
      <c r="AL19" s="68">
        <v>2116.8000000000002</v>
      </c>
      <c r="AM19" s="111">
        <f>IFERROR(AL19/AJ19,0)</f>
        <v>0.88200000000000012</v>
      </c>
      <c r="AN19" s="68">
        <f t="shared" ref="AN19:AN21" si="5">+AK19+AL19</f>
        <v>2165.8000000000002</v>
      </c>
      <c r="AO19" s="112">
        <f t="shared" si="2"/>
        <v>0.90241666666666676</v>
      </c>
      <c r="AP19" s="50"/>
      <c r="AQ19" s="50"/>
    </row>
    <row r="20" spans="1:45" ht="12.75" customHeight="1" x14ac:dyDescent="0.25">
      <c r="B20" s="75" t="s">
        <v>98</v>
      </c>
      <c r="C20" s="113" t="s">
        <v>99</v>
      </c>
      <c r="D20" s="77" t="s">
        <v>101</v>
      </c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0"/>
      <c r="R20" s="79"/>
      <c r="S20" s="78"/>
      <c r="T20" s="78"/>
      <c r="U20" s="78"/>
      <c r="V20" s="78"/>
      <c r="W20" s="78">
        <v>0</v>
      </c>
      <c r="X20" s="78">
        <v>627.19999999999993</v>
      </c>
      <c r="Y20" s="79">
        <v>2214.8000000000002</v>
      </c>
      <c r="Z20" s="78">
        <v>1646.3999999999996</v>
      </c>
      <c r="AA20" s="78">
        <v>931.00000000000011</v>
      </c>
      <c r="AB20" s="78">
        <v>2048.1999999999998</v>
      </c>
      <c r="AC20" s="78">
        <v>1969.799999999999</v>
      </c>
      <c r="AD20" s="81">
        <v>2342.1999999999989</v>
      </c>
      <c r="AE20" s="80">
        <v>1538.599999999999</v>
      </c>
      <c r="AF20" s="80">
        <v>1920.799999999999</v>
      </c>
      <c r="AG20" s="80">
        <v>2538.1999999999994</v>
      </c>
      <c r="AH20" s="80">
        <v>1763.9999999999991</v>
      </c>
      <c r="AI20" s="80">
        <v>3253.6000000000013</v>
      </c>
      <c r="AJ20" s="114">
        <v>3900</v>
      </c>
      <c r="AK20" s="79">
        <v>911.39999999999986</v>
      </c>
      <c r="AL20" s="79">
        <v>1446.1999999999996</v>
      </c>
      <c r="AM20" s="83">
        <f>IFERROR(AL20/AJ20,0)</f>
        <v>0.3708205128205127</v>
      </c>
      <c r="AN20" s="79">
        <f t="shared" si="5"/>
        <v>2357.5999999999995</v>
      </c>
      <c r="AO20" s="84">
        <f t="shared" si="2"/>
        <v>0.6045128205128204</v>
      </c>
      <c r="AP20" s="50"/>
      <c r="AQ20" s="50"/>
    </row>
    <row r="21" spans="1:45" ht="12.75" customHeight="1" thickBot="1" x14ac:dyDescent="0.3">
      <c r="B21" s="64" t="s">
        <v>98</v>
      </c>
      <c r="C21" s="65" t="s">
        <v>99</v>
      </c>
      <c r="D21" s="66" t="s">
        <v>102</v>
      </c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87"/>
      <c r="S21" s="86"/>
      <c r="T21" s="86"/>
      <c r="U21" s="86"/>
      <c r="V21" s="86"/>
      <c r="W21" s="86">
        <v>180</v>
      </c>
      <c r="X21" s="86">
        <v>1038.7999999999984</v>
      </c>
      <c r="Y21" s="87">
        <v>1117.199999999998</v>
      </c>
      <c r="Z21" s="86">
        <v>1175.9999999999984</v>
      </c>
      <c r="AA21" s="86">
        <v>1156.399999999998</v>
      </c>
      <c r="AB21" s="86">
        <v>1156.399999999998</v>
      </c>
      <c r="AC21" s="86">
        <v>1117.1999999999991</v>
      </c>
      <c r="AD21" s="89">
        <v>1734.599999999999</v>
      </c>
      <c r="AE21" s="88">
        <v>1411.1999999999978</v>
      </c>
      <c r="AF21" s="88">
        <v>1156.3999999999992</v>
      </c>
      <c r="AG21" s="88">
        <v>1401.3999999999983</v>
      </c>
      <c r="AH21" s="88">
        <v>1293.5999999999979</v>
      </c>
      <c r="AI21" s="88">
        <v>1724.7999999999979</v>
      </c>
      <c r="AJ21" s="115">
        <v>2200</v>
      </c>
      <c r="AK21" s="87">
        <v>435.40000000000015</v>
      </c>
      <c r="AL21" s="87">
        <v>1227.7999999999988</v>
      </c>
      <c r="AM21" s="91">
        <f>IFERROR(AL21/AJ21,0)</f>
        <v>0.55809090909090853</v>
      </c>
      <c r="AN21" s="87">
        <f t="shared" si="5"/>
        <v>1663.1999999999989</v>
      </c>
      <c r="AO21" s="92">
        <f t="shared" si="2"/>
        <v>0.75599999999999945</v>
      </c>
      <c r="AP21" s="50"/>
      <c r="AQ21" s="50"/>
    </row>
    <row r="22" spans="1:45" s="109" customFormat="1" ht="12.75" customHeight="1" thickBot="1" x14ac:dyDescent="0.35">
      <c r="A22" s="45"/>
      <c r="B22" s="98"/>
      <c r="C22" s="99"/>
      <c r="D22" s="100" t="s">
        <v>103</v>
      </c>
      <c r="E22" s="101">
        <f t="shared" ref="E22:X22" si="6">+SUM(E19:E21)</f>
        <v>0</v>
      </c>
      <c r="F22" s="102">
        <f t="shared" si="6"/>
        <v>0</v>
      </c>
      <c r="G22" s="102">
        <f t="shared" si="6"/>
        <v>0</v>
      </c>
      <c r="H22" s="102">
        <f t="shared" si="6"/>
        <v>0</v>
      </c>
      <c r="I22" s="102">
        <f t="shared" si="6"/>
        <v>0</v>
      </c>
      <c r="J22" s="102">
        <f t="shared" si="6"/>
        <v>0</v>
      </c>
      <c r="K22" s="102">
        <f t="shared" si="6"/>
        <v>0</v>
      </c>
      <c r="L22" s="102">
        <f t="shared" si="6"/>
        <v>0</v>
      </c>
      <c r="M22" s="102">
        <f t="shared" si="6"/>
        <v>0</v>
      </c>
      <c r="N22" s="102">
        <f t="shared" si="6"/>
        <v>0</v>
      </c>
      <c r="O22" s="102">
        <f t="shared" si="6"/>
        <v>0</v>
      </c>
      <c r="P22" s="102">
        <f t="shared" si="6"/>
        <v>0</v>
      </c>
      <c r="Q22" s="103">
        <f t="shared" si="6"/>
        <v>0</v>
      </c>
      <c r="R22" s="102">
        <f t="shared" si="6"/>
        <v>0</v>
      </c>
      <c r="S22" s="101">
        <v>0</v>
      </c>
      <c r="T22" s="101">
        <f t="shared" si="6"/>
        <v>0</v>
      </c>
      <c r="U22" s="101">
        <f t="shared" si="6"/>
        <v>0</v>
      </c>
      <c r="V22" s="101">
        <f t="shared" si="6"/>
        <v>0</v>
      </c>
      <c r="W22" s="101">
        <v>480</v>
      </c>
      <c r="X22" s="101">
        <f t="shared" si="6"/>
        <v>3106.5999999999976</v>
      </c>
      <c r="Y22" s="102">
        <v>5321.3999999999969</v>
      </c>
      <c r="Z22" s="101">
        <v>4939.1999999999953</v>
      </c>
      <c r="AA22" s="101">
        <v>4694.199999999998</v>
      </c>
      <c r="AB22" s="101">
        <v>5174.3999999999978</v>
      </c>
      <c r="AC22" s="101">
        <v>4988.1999999999971</v>
      </c>
      <c r="AD22" s="104">
        <v>5683.9999999999982</v>
      </c>
      <c r="AE22" s="103">
        <v>4360.9999999999964</v>
      </c>
      <c r="AF22" s="103">
        <v>4409.9999999999982</v>
      </c>
      <c r="AG22" s="103">
        <v>5291.9999999999964</v>
      </c>
      <c r="AH22" s="103">
        <v>4664.7999999999965</v>
      </c>
      <c r="AI22" s="103">
        <v>6056.3999999999978</v>
      </c>
      <c r="AJ22" s="105">
        <v>8500</v>
      </c>
      <c r="AK22" s="102">
        <f t="shared" ref="AK22:AN22" si="7">+SUM(AK19:AK21)</f>
        <v>1395.8</v>
      </c>
      <c r="AL22" s="102">
        <f t="shared" si="7"/>
        <v>4790.7999999999993</v>
      </c>
      <c r="AM22" s="106">
        <f t="shared" ref="AM22:AM28" si="8">IFERROR(AL22/AJ22,0)</f>
        <v>0.56362352941176463</v>
      </c>
      <c r="AN22" s="102">
        <f t="shared" si="7"/>
        <v>6186.5999999999985</v>
      </c>
      <c r="AO22" s="107">
        <f t="shared" si="2"/>
        <v>0.72783529411764691</v>
      </c>
      <c r="AP22" s="49"/>
      <c r="AQ22" s="49"/>
      <c r="AR22" s="108"/>
      <c r="AS22" s="47"/>
    </row>
    <row r="23" spans="1:45" ht="12.75" customHeight="1" x14ac:dyDescent="0.25">
      <c r="B23" s="64" t="s">
        <v>104</v>
      </c>
      <c r="C23" s="65" t="s">
        <v>105</v>
      </c>
      <c r="D23" s="66" t="s">
        <v>106</v>
      </c>
      <c r="E23" s="86"/>
      <c r="F23" s="87"/>
      <c r="G23" s="87"/>
      <c r="H23" s="87"/>
      <c r="I23" s="86"/>
      <c r="J23" s="87"/>
      <c r="K23" s="87"/>
      <c r="L23" s="87"/>
      <c r="M23" s="87"/>
      <c r="N23" s="87"/>
      <c r="O23" s="87"/>
      <c r="P23" s="87"/>
      <c r="Q23" s="88"/>
      <c r="R23" s="87"/>
      <c r="S23" s="86"/>
      <c r="T23" s="86"/>
      <c r="U23" s="86"/>
      <c r="V23" s="86"/>
      <c r="W23" s="86">
        <v>1536</v>
      </c>
      <c r="X23" s="86">
        <v>2322.5999999999995</v>
      </c>
      <c r="Y23" s="87">
        <v>980</v>
      </c>
      <c r="Z23" s="86">
        <v>1754.1999999999998</v>
      </c>
      <c r="AA23" s="86">
        <v>931</v>
      </c>
      <c r="AB23" s="86">
        <v>1666</v>
      </c>
      <c r="AC23" s="86">
        <v>989.8</v>
      </c>
      <c r="AD23" s="89">
        <v>1293.5999999999999</v>
      </c>
      <c r="AE23" s="88">
        <v>1117.2</v>
      </c>
      <c r="AF23" s="88">
        <v>1979.6</v>
      </c>
      <c r="AG23" s="88">
        <v>882</v>
      </c>
      <c r="AH23" s="88">
        <v>2058</v>
      </c>
      <c r="AI23" s="88">
        <v>2126.6</v>
      </c>
      <c r="AJ23" s="90">
        <v>2400</v>
      </c>
      <c r="AK23" s="87">
        <v>266</v>
      </c>
      <c r="AL23" s="87">
        <v>665</v>
      </c>
      <c r="AM23" s="91">
        <f t="shared" si="8"/>
        <v>0.27708333333333335</v>
      </c>
      <c r="AN23" s="87">
        <f>+AK23+AL23</f>
        <v>931</v>
      </c>
      <c r="AO23" s="92">
        <f>IFERROR(+AN23/AJ23,0)</f>
        <v>0.38791666666666669</v>
      </c>
      <c r="AP23" s="50"/>
      <c r="AQ23" s="50"/>
    </row>
    <row r="24" spans="1:45" ht="12.75" customHeight="1" x14ac:dyDescent="0.25">
      <c r="B24" s="75" t="s">
        <v>107</v>
      </c>
      <c r="C24" s="76" t="s">
        <v>105</v>
      </c>
      <c r="D24" s="77" t="s">
        <v>108</v>
      </c>
      <c r="E24" s="78"/>
      <c r="F24" s="79"/>
      <c r="G24" s="79"/>
      <c r="H24" s="79"/>
      <c r="I24" s="78"/>
      <c r="J24" s="79"/>
      <c r="K24" s="79"/>
      <c r="L24" s="79"/>
      <c r="M24" s="79"/>
      <c r="N24" s="79"/>
      <c r="O24" s="79"/>
      <c r="P24" s="79"/>
      <c r="Q24" s="80"/>
      <c r="R24" s="79"/>
      <c r="S24" s="78"/>
      <c r="T24" s="78"/>
      <c r="U24" s="78"/>
      <c r="V24" s="78"/>
      <c r="W24" s="78">
        <v>1020</v>
      </c>
      <c r="X24" s="78">
        <v>637</v>
      </c>
      <c r="Y24" s="79">
        <v>1470</v>
      </c>
      <c r="Z24" s="78">
        <v>1470</v>
      </c>
      <c r="AA24" s="78">
        <v>1421</v>
      </c>
      <c r="AB24" s="78">
        <v>1323</v>
      </c>
      <c r="AC24" s="78">
        <v>764.40000000000009</v>
      </c>
      <c r="AD24" s="81">
        <v>1764</v>
      </c>
      <c r="AE24" s="80">
        <v>1568</v>
      </c>
      <c r="AF24" s="80">
        <v>1176</v>
      </c>
      <c r="AG24" s="80">
        <v>1744.4</v>
      </c>
      <c r="AH24" s="80">
        <v>1960</v>
      </c>
      <c r="AI24" s="80">
        <v>2371.6</v>
      </c>
      <c r="AJ24" s="82">
        <v>2800</v>
      </c>
      <c r="AK24" s="79">
        <v>98</v>
      </c>
      <c r="AL24" s="79">
        <v>1870.4</v>
      </c>
      <c r="AM24" s="83">
        <f t="shared" si="8"/>
        <v>0.66800000000000004</v>
      </c>
      <c r="AN24" s="79">
        <f t="shared" ref="AN24:AN27" si="9">+AK24+AL24</f>
        <v>1968.4</v>
      </c>
      <c r="AO24" s="84">
        <f t="shared" si="2"/>
        <v>0.70300000000000007</v>
      </c>
      <c r="AP24" s="50"/>
      <c r="AQ24" s="50"/>
    </row>
    <row r="25" spans="1:45" ht="12.75" customHeight="1" x14ac:dyDescent="0.25">
      <c r="B25" s="64" t="s">
        <v>109</v>
      </c>
      <c r="C25" s="65" t="s">
        <v>105</v>
      </c>
      <c r="D25" s="66" t="s">
        <v>110</v>
      </c>
      <c r="E25" s="86"/>
      <c r="F25" s="87"/>
      <c r="G25" s="87"/>
      <c r="H25" s="87"/>
      <c r="I25" s="86"/>
      <c r="J25" s="87"/>
      <c r="K25" s="87"/>
      <c r="L25" s="87"/>
      <c r="M25" s="87"/>
      <c r="N25" s="87"/>
      <c r="O25" s="87"/>
      <c r="P25" s="87"/>
      <c r="Q25" s="88"/>
      <c r="R25" s="87"/>
      <c r="S25" s="86"/>
      <c r="T25" s="86"/>
      <c r="U25" s="86"/>
      <c r="V25" s="86"/>
      <c r="W25" s="86">
        <v>1824</v>
      </c>
      <c r="X25" s="86">
        <v>1274</v>
      </c>
      <c r="Y25" s="87">
        <v>1813</v>
      </c>
      <c r="Z25" s="86">
        <v>931</v>
      </c>
      <c r="AA25" s="86">
        <v>1029</v>
      </c>
      <c r="AB25" s="86">
        <v>1568</v>
      </c>
      <c r="AC25" s="86">
        <v>450.8</v>
      </c>
      <c r="AD25" s="89">
        <v>1078</v>
      </c>
      <c r="AE25" s="88">
        <v>833</v>
      </c>
      <c r="AF25" s="88">
        <v>1127</v>
      </c>
      <c r="AG25" s="88">
        <v>852.6</v>
      </c>
      <c r="AH25" s="88">
        <v>607.6</v>
      </c>
      <c r="AI25" s="88">
        <v>1078</v>
      </c>
      <c r="AJ25" s="90">
        <v>2000</v>
      </c>
      <c r="AK25" s="87">
        <v>280</v>
      </c>
      <c r="AL25" s="87">
        <v>280</v>
      </c>
      <c r="AM25" s="91">
        <f t="shared" si="8"/>
        <v>0.14000000000000001</v>
      </c>
      <c r="AN25" s="87">
        <f t="shared" si="9"/>
        <v>560</v>
      </c>
      <c r="AO25" s="92">
        <f t="shared" si="2"/>
        <v>0.28000000000000003</v>
      </c>
      <c r="AP25" s="50"/>
      <c r="AQ25" s="50"/>
    </row>
    <row r="26" spans="1:45" ht="12.75" customHeight="1" x14ac:dyDescent="0.25">
      <c r="B26" s="75" t="s">
        <v>109</v>
      </c>
      <c r="C26" s="76" t="s">
        <v>105</v>
      </c>
      <c r="D26" s="77" t="s">
        <v>111</v>
      </c>
      <c r="E26" s="78"/>
      <c r="F26" s="79"/>
      <c r="G26" s="79"/>
      <c r="H26" s="79"/>
      <c r="I26" s="78"/>
      <c r="J26" s="79"/>
      <c r="K26" s="79"/>
      <c r="L26" s="79"/>
      <c r="M26" s="79"/>
      <c r="N26" s="79"/>
      <c r="O26" s="79"/>
      <c r="P26" s="79"/>
      <c r="Q26" s="80"/>
      <c r="R26" s="79"/>
      <c r="S26" s="78"/>
      <c r="T26" s="78"/>
      <c r="U26" s="78"/>
      <c r="V26" s="78"/>
      <c r="W26" s="78">
        <v>420</v>
      </c>
      <c r="X26" s="78">
        <v>490</v>
      </c>
      <c r="Y26" s="79">
        <v>490</v>
      </c>
      <c r="Z26" s="78">
        <v>441</v>
      </c>
      <c r="AA26" s="78">
        <v>735</v>
      </c>
      <c r="AB26" s="78">
        <v>931</v>
      </c>
      <c r="AC26" s="78">
        <v>646.79999999999995</v>
      </c>
      <c r="AD26" s="81">
        <v>1087.8</v>
      </c>
      <c r="AE26" s="80">
        <v>627.20000000000005</v>
      </c>
      <c r="AF26" s="80">
        <v>588</v>
      </c>
      <c r="AG26" s="80">
        <v>999.6</v>
      </c>
      <c r="AH26" s="80">
        <v>940.80000000000007</v>
      </c>
      <c r="AI26" s="80">
        <v>901.6</v>
      </c>
      <c r="AJ26" s="82">
        <v>2000</v>
      </c>
      <c r="AK26" s="79">
        <v>0</v>
      </c>
      <c r="AL26" s="79">
        <v>1087.8</v>
      </c>
      <c r="AM26" s="83">
        <f t="shared" si="8"/>
        <v>0.54389999999999994</v>
      </c>
      <c r="AN26" s="79">
        <f t="shared" si="9"/>
        <v>1087.8</v>
      </c>
      <c r="AO26" s="84">
        <f t="shared" si="2"/>
        <v>0.54389999999999994</v>
      </c>
      <c r="AP26" s="50"/>
      <c r="AQ26" s="50"/>
    </row>
    <row r="27" spans="1:45" ht="12.75" customHeight="1" thickBot="1" x14ac:dyDescent="0.3">
      <c r="B27" s="64" t="s">
        <v>112</v>
      </c>
      <c r="C27" s="65" t="s">
        <v>105</v>
      </c>
      <c r="D27" s="66" t="s">
        <v>113</v>
      </c>
      <c r="E27" s="86"/>
      <c r="F27" s="87"/>
      <c r="G27" s="87"/>
      <c r="H27" s="87"/>
      <c r="I27" s="86"/>
      <c r="J27" s="87"/>
      <c r="K27" s="87"/>
      <c r="L27" s="87"/>
      <c r="M27" s="87"/>
      <c r="N27" s="87"/>
      <c r="O27" s="87"/>
      <c r="P27" s="87"/>
      <c r="Q27" s="88"/>
      <c r="R27" s="87"/>
      <c r="S27" s="86"/>
      <c r="T27" s="86"/>
      <c r="U27" s="86"/>
      <c r="V27" s="86"/>
      <c r="W27" s="86">
        <v>1980</v>
      </c>
      <c r="X27" s="86">
        <v>1078</v>
      </c>
      <c r="Y27" s="87">
        <v>421.4</v>
      </c>
      <c r="Z27" s="86">
        <v>245</v>
      </c>
      <c r="AA27" s="86">
        <v>833</v>
      </c>
      <c r="AB27" s="86">
        <v>470.4</v>
      </c>
      <c r="AC27" s="86">
        <v>0</v>
      </c>
      <c r="AD27" s="89">
        <v>1068.1999999999998</v>
      </c>
      <c r="AE27" s="88">
        <v>264.60000000000002</v>
      </c>
      <c r="AF27" s="88">
        <v>362.59999999999997</v>
      </c>
      <c r="AG27" s="88">
        <v>725.2</v>
      </c>
      <c r="AH27" s="88">
        <v>744.80000000000007</v>
      </c>
      <c r="AI27" s="88">
        <v>2116.8000000000002</v>
      </c>
      <c r="AJ27" s="90">
        <v>3300</v>
      </c>
      <c r="AK27" s="87">
        <v>0</v>
      </c>
      <c r="AL27" s="87">
        <v>1465.8</v>
      </c>
      <c r="AM27" s="91">
        <f t="shared" si="8"/>
        <v>0.44418181818181818</v>
      </c>
      <c r="AN27" s="87">
        <f t="shared" si="9"/>
        <v>1465.8</v>
      </c>
      <c r="AO27" s="92">
        <f t="shared" si="2"/>
        <v>0.44418181818181818</v>
      </c>
      <c r="AP27" s="50"/>
      <c r="AQ27" s="50"/>
    </row>
    <row r="28" spans="1:45" s="109" customFormat="1" ht="12.75" customHeight="1" thickBot="1" x14ac:dyDescent="0.35">
      <c r="A28" s="45"/>
      <c r="B28" s="98"/>
      <c r="C28" s="99"/>
      <c r="D28" s="100" t="s">
        <v>114</v>
      </c>
      <c r="E28" s="101">
        <f t="shared" ref="E28:AD28" si="10">+SUM(E23:E27)</f>
        <v>0</v>
      </c>
      <c r="F28" s="102">
        <f t="shared" si="10"/>
        <v>0</v>
      </c>
      <c r="G28" s="102">
        <f t="shared" si="10"/>
        <v>0</v>
      </c>
      <c r="H28" s="102">
        <f t="shared" si="10"/>
        <v>0</v>
      </c>
      <c r="I28" s="102">
        <f t="shared" si="10"/>
        <v>0</v>
      </c>
      <c r="J28" s="102">
        <f t="shared" si="10"/>
        <v>0</v>
      </c>
      <c r="K28" s="102">
        <f t="shared" si="10"/>
        <v>0</v>
      </c>
      <c r="L28" s="102">
        <f t="shared" si="10"/>
        <v>0</v>
      </c>
      <c r="M28" s="102">
        <f t="shared" si="10"/>
        <v>0</v>
      </c>
      <c r="N28" s="102">
        <f t="shared" si="10"/>
        <v>0</v>
      </c>
      <c r="O28" s="102">
        <f t="shared" si="10"/>
        <v>0</v>
      </c>
      <c r="P28" s="102">
        <f t="shared" si="10"/>
        <v>0</v>
      </c>
      <c r="Q28" s="103">
        <f t="shared" si="10"/>
        <v>0</v>
      </c>
      <c r="R28" s="102">
        <f t="shared" si="10"/>
        <v>0</v>
      </c>
      <c r="S28" s="101">
        <f t="shared" si="10"/>
        <v>0</v>
      </c>
      <c r="T28" s="101">
        <f t="shared" si="10"/>
        <v>0</v>
      </c>
      <c r="U28" s="101">
        <f t="shared" si="10"/>
        <v>0</v>
      </c>
      <c r="V28" s="101">
        <f t="shared" si="10"/>
        <v>0</v>
      </c>
      <c r="W28" s="101">
        <f t="shared" si="10"/>
        <v>6780</v>
      </c>
      <c r="X28" s="101">
        <f t="shared" si="10"/>
        <v>5801.5999999999995</v>
      </c>
      <c r="Y28" s="102">
        <f t="shared" si="10"/>
        <v>5174.3999999999996</v>
      </c>
      <c r="Z28" s="101">
        <f t="shared" si="10"/>
        <v>4841.2</v>
      </c>
      <c r="AA28" s="101">
        <f t="shared" si="10"/>
        <v>4949</v>
      </c>
      <c r="AB28" s="101">
        <f t="shared" si="10"/>
        <v>5958.4</v>
      </c>
      <c r="AC28" s="101">
        <f t="shared" si="10"/>
        <v>2851.8</v>
      </c>
      <c r="AD28" s="104">
        <f t="shared" si="10"/>
        <v>6291.6</v>
      </c>
      <c r="AE28" s="103">
        <v>4410</v>
      </c>
      <c r="AF28" s="103">
        <v>5233.2000000000007</v>
      </c>
      <c r="AG28" s="103">
        <v>5203.8</v>
      </c>
      <c r="AH28" s="103">
        <v>6311.2000000000007</v>
      </c>
      <c r="AI28" s="103">
        <v>8594.6</v>
      </c>
      <c r="AJ28" s="105">
        <v>12500</v>
      </c>
      <c r="AK28" s="102">
        <f>+SUM(AK23:AK27)</f>
        <v>644</v>
      </c>
      <c r="AL28" s="102">
        <f>+SUM(AL23:AL27)</f>
        <v>5369</v>
      </c>
      <c r="AM28" s="106">
        <f t="shared" si="8"/>
        <v>0.42952000000000001</v>
      </c>
      <c r="AN28" s="102">
        <f>+SUM(AN23:AN27)</f>
        <v>6013</v>
      </c>
      <c r="AO28" s="107">
        <f t="shared" si="2"/>
        <v>0.48104000000000002</v>
      </c>
      <c r="AP28" s="49"/>
      <c r="AQ28" s="49"/>
      <c r="AR28" s="108"/>
      <c r="AS28" s="47"/>
    </row>
    <row r="29" spans="1:45" ht="12.75" customHeight="1" thickBot="1" x14ac:dyDescent="0.3">
      <c r="B29" s="64" t="s">
        <v>115</v>
      </c>
      <c r="C29" s="65" t="s">
        <v>105</v>
      </c>
      <c r="D29" s="66" t="s">
        <v>116</v>
      </c>
      <c r="E29" s="86"/>
      <c r="F29" s="87"/>
      <c r="G29" s="87"/>
      <c r="H29" s="87"/>
      <c r="I29" s="86"/>
      <c r="J29" s="87"/>
      <c r="K29" s="87"/>
      <c r="L29" s="87"/>
      <c r="M29" s="87"/>
      <c r="N29" s="87"/>
      <c r="O29" s="87"/>
      <c r="P29" s="87"/>
      <c r="Q29" s="88"/>
      <c r="R29" s="87"/>
      <c r="S29" s="86"/>
      <c r="T29" s="86"/>
      <c r="U29" s="86"/>
      <c r="V29" s="86"/>
      <c r="W29" s="86">
        <v>252</v>
      </c>
      <c r="X29" s="86">
        <v>-19.599999999999987</v>
      </c>
      <c r="Y29" s="87">
        <v>117.60000000000001</v>
      </c>
      <c r="Z29" s="86">
        <v>352.80000000000007</v>
      </c>
      <c r="AA29" s="86">
        <v>78.400000000000006</v>
      </c>
      <c r="AB29" s="86">
        <v>39.200000000000003</v>
      </c>
      <c r="AC29" s="86">
        <v>0</v>
      </c>
      <c r="AD29" s="89">
        <v>0</v>
      </c>
      <c r="AE29" s="88">
        <v>19.600000000000001</v>
      </c>
      <c r="AF29" s="88">
        <v>117.60000000000001</v>
      </c>
      <c r="AG29" s="88">
        <v>29.400000000000002</v>
      </c>
      <c r="AH29" s="88">
        <v>78.400000000000006</v>
      </c>
      <c r="AI29" s="88">
        <v>49</v>
      </c>
      <c r="AJ29" s="90">
        <v>200</v>
      </c>
      <c r="AK29" s="87">
        <v>9.8000000000000007</v>
      </c>
      <c r="AL29" s="87">
        <v>196</v>
      </c>
      <c r="AM29" s="91">
        <f>IFERROR(AL29/AJ29,0)</f>
        <v>0.98</v>
      </c>
      <c r="AN29" s="87">
        <f t="shared" ref="AN29" si="11">+AK29+AL29</f>
        <v>205.8</v>
      </c>
      <c r="AO29" s="92">
        <f>IFERROR(+AN29/AJ29,0)</f>
        <v>1.0290000000000001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/>
      <c r="B30" s="98"/>
      <c r="C30" s="99"/>
      <c r="D30" s="100" t="s">
        <v>118</v>
      </c>
      <c r="E30" s="102">
        <f t="shared" ref="E30:AK30" si="12">+SUM(E29)</f>
        <v>0</v>
      </c>
      <c r="F30" s="102">
        <f t="shared" si="12"/>
        <v>0</v>
      </c>
      <c r="G30" s="102">
        <f t="shared" si="12"/>
        <v>0</v>
      </c>
      <c r="H30" s="102">
        <f t="shared" si="12"/>
        <v>0</v>
      </c>
      <c r="I30" s="102">
        <f t="shared" si="12"/>
        <v>0</v>
      </c>
      <c r="J30" s="102">
        <f t="shared" si="12"/>
        <v>0</v>
      </c>
      <c r="K30" s="102">
        <f t="shared" si="12"/>
        <v>0</v>
      </c>
      <c r="L30" s="102">
        <f t="shared" si="12"/>
        <v>0</v>
      </c>
      <c r="M30" s="102">
        <f t="shared" si="12"/>
        <v>0</v>
      </c>
      <c r="N30" s="102">
        <f t="shared" si="12"/>
        <v>0</v>
      </c>
      <c r="O30" s="102">
        <f t="shared" si="12"/>
        <v>0</v>
      </c>
      <c r="P30" s="102">
        <f t="shared" si="12"/>
        <v>0</v>
      </c>
      <c r="Q30" s="102">
        <f t="shared" si="12"/>
        <v>0</v>
      </c>
      <c r="R30" s="102">
        <f t="shared" si="12"/>
        <v>0</v>
      </c>
      <c r="S30" s="102">
        <v>0</v>
      </c>
      <c r="T30" s="102">
        <f t="shared" si="12"/>
        <v>0</v>
      </c>
      <c r="U30" s="102">
        <f t="shared" si="12"/>
        <v>0</v>
      </c>
      <c r="V30" s="102">
        <f t="shared" si="12"/>
        <v>0</v>
      </c>
      <c r="W30" s="102">
        <v>252</v>
      </c>
      <c r="X30" s="102">
        <f t="shared" si="12"/>
        <v>-19.599999999999987</v>
      </c>
      <c r="Y30" s="102">
        <v>117.60000000000001</v>
      </c>
      <c r="Z30" s="102">
        <v>352.80000000000007</v>
      </c>
      <c r="AA30" s="102">
        <v>78.400000000000006</v>
      </c>
      <c r="AB30" s="102">
        <v>39.200000000000003</v>
      </c>
      <c r="AC30" s="102">
        <v>0</v>
      </c>
      <c r="AD30" s="103">
        <v>0</v>
      </c>
      <c r="AE30" s="103">
        <v>19.600000000000001</v>
      </c>
      <c r="AF30" s="103">
        <v>117.60000000000001</v>
      </c>
      <c r="AG30" s="103">
        <v>29.400000000000002</v>
      </c>
      <c r="AH30" s="103">
        <v>78.400000000000006</v>
      </c>
      <c r="AI30" s="103">
        <v>49</v>
      </c>
      <c r="AJ30" s="105">
        <v>200</v>
      </c>
      <c r="AK30" s="102">
        <f t="shared" si="12"/>
        <v>9.8000000000000007</v>
      </c>
      <c r="AL30" s="102">
        <f>+SUM(AL29)</f>
        <v>196</v>
      </c>
      <c r="AM30" s="106">
        <f t="shared" ref="AM30" si="13">IFERROR(AL30/AJ30,0)</f>
        <v>0.98</v>
      </c>
      <c r="AN30" s="102">
        <f>+SUM(AN29)</f>
        <v>205.8</v>
      </c>
      <c r="AO30" s="107">
        <f t="shared" ref="AO30" si="14">IFERROR(+AN30/AJ30,0)</f>
        <v>1.0290000000000001</v>
      </c>
      <c r="AP30" s="49"/>
      <c r="AQ30" s="49"/>
      <c r="AR30" s="108"/>
      <c r="AS30" s="47"/>
    </row>
    <row r="31" spans="1:45" ht="12.75" customHeight="1" x14ac:dyDescent="0.25">
      <c r="B31" s="75" t="s">
        <v>119</v>
      </c>
      <c r="C31" s="76" t="s">
        <v>120</v>
      </c>
      <c r="D31" s="77" t="s">
        <v>121</v>
      </c>
      <c r="E31" s="116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117"/>
      <c r="S31" s="116"/>
      <c r="T31" s="116"/>
      <c r="U31" s="116"/>
      <c r="V31" s="116"/>
      <c r="W31" s="116">
        <v>0</v>
      </c>
      <c r="X31" s="116">
        <v>0</v>
      </c>
      <c r="Y31" s="117">
        <v>0</v>
      </c>
      <c r="Z31" s="116">
        <v>196</v>
      </c>
      <c r="AA31" s="116">
        <v>19.600000000000001</v>
      </c>
      <c r="AB31" s="116">
        <v>147</v>
      </c>
      <c r="AC31" s="116">
        <v>2802.8</v>
      </c>
      <c r="AD31" s="119">
        <v>2528.4</v>
      </c>
      <c r="AE31" s="118">
        <v>2744</v>
      </c>
      <c r="AF31" s="118">
        <v>2626.4</v>
      </c>
      <c r="AG31" s="118">
        <v>1283.8</v>
      </c>
      <c r="AH31" s="118">
        <v>1616.9999999999998</v>
      </c>
      <c r="AI31" s="118">
        <v>1058.4000000000001</v>
      </c>
      <c r="AJ31" s="191">
        <v>4800</v>
      </c>
      <c r="AK31" s="117">
        <v>350</v>
      </c>
      <c r="AL31" s="117">
        <v>4004</v>
      </c>
      <c r="AM31" s="121">
        <f t="shared" si="0"/>
        <v>0.83416666666666661</v>
      </c>
      <c r="AN31" s="117">
        <f t="shared" ref="AN31:AN54" si="15">+AK31+AL31</f>
        <v>4354</v>
      </c>
      <c r="AO31" s="122">
        <f t="shared" si="2"/>
        <v>0.90708333333333335</v>
      </c>
      <c r="AP31" s="50"/>
      <c r="AQ31" s="50"/>
    </row>
    <row r="32" spans="1:45" ht="12.75" customHeight="1" thickBot="1" x14ac:dyDescent="0.3">
      <c r="B32" s="64" t="s">
        <v>119</v>
      </c>
      <c r="C32" s="65" t="s">
        <v>120</v>
      </c>
      <c r="D32" s="66" t="s">
        <v>122</v>
      </c>
      <c r="E32" s="123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4"/>
      <c r="S32" s="123"/>
      <c r="T32" s="123"/>
      <c r="U32" s="123"/>
      <c r="V32" s="123"/>
      <c r="W32" s="123">
        <v>0</v>
      </c>
      <c r="X32" s="123">
        <v>0</v>
      </c>
      <c r="Y32" s="124">
        <v>0</v>
      </c>
      <c r="Z32" s="123">
        <v>39.200000000000003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92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B33" s="98"/>
      <c r="C33" s="99"/>
      <c r="D33" s="100" t="s">
        <v>124</v>
      </c>
      <c r="E33" s="101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102"/>
      <c r="S33" s="101"/>
      <c r="T33" s="101"/>
      <c r="U33" s="101"/>
      <c r="V33" s="101"/>
      <c r="W33" s="101">
        <v>0</v>
      </c>
      <c r="X33" s="101">
        <v>0</v>
      </c>
      <c r="Y33" s="102">
        <v>0</v>
      </c>
      <c r="Z33" s="101">
        <v>235.2</v>
      </c>
      <c r="AA33" s="101">
        <v>19.600000000000001</v>
      </c>
      <c r="AB33" s="101">
        <v>147</v>
      </c>
      <c r="AC33" s="101">
        <v>2802.8</v>
      </c>
      <c r="AD33" s="104">
        <v>2528.4</v>
      </c>
      <c r="AE33" s="103">
        <v>2744</v>
      </c>
      <c r="AF33" s="103">
        <v>2626.4</v>
      </c>
      <c r="AG33" s="103">
        <v>1283.8</v>
      </c>
      <c r="AH33" s="103">
        <v>1616.9999999999998</v>
      </c>
      <c r="AI33" s="103">
        <v>1058.4000000000001</v>
      </c>
      <c r="AJ33" s="105">
        <v>4800</v>
      </c>
      <c r="AK33" s="102">
        <f>+AK31+AK32</f>
        <v>350</v>
      </c>
      <c r="AL33" s="102">
        <f>+AL31+AL32</f>
        <v>4004</v>
      </c>
      <c r="AM33" s="106">
        <f t="shared" si="0"/>
        <v>0.83416666666666661</v>
      </c>
      <c r="AN33" s="102">
        <f>+AN31+AN32</f>
        <v>4354</v>
      </c>
      <c r="AO33" s="107">
        <f t="shared" si="2"/>
        <v>0.90708333333333335</v>
      </c>
      <c r="AP33" s="50"/>
      <c r="AQ33" s="50"/>
    </row>
    <row r="34" spans="1:48" ht="12.75" hidden="1" customHeight="1" thickBot="1" x14ac:dyDescent="0.3"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B35" s="75" t="s">
        <v>29</v>
      </c>
      <c r="C35" s="76" t="s">
        <v>126</v>
      </c>
      <c r="D35" s="77" t="s">
        <v>127</v>
      </c>
      <c r="E35" s="78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  <c r="R35" s="79"/>
      <c r="S35" s="78"/>
      <c r="T35" s="78"/>
      <c r="U35" s="78"/>
      <c r="V35" s="78"/>
      <c r="W35" s="78">
        <v>0</v>
      </c>
      <c r="X35" s="78">
        <v>245.00000000000011</v>
      </c>
      <c r="Y35" s="79">
        <v>1803.1999999999985</v>
      </c>
      <c r="Z35" s="78">
        <v>1087.7999999999988</v>
      </c>
      <c r="AA35" s="78">
        <v>2214.7999999999979</v>
      </c>
      <c r="AB35" s="78">
        <v>1754.1999999999978</v>
      </c>
      <c r="AC35" s="78">
        <v>1685.5999999999981</v>
      </c>
      <c r="AD35" s="81">
        <v>1675.799999999997</v>
      </c>
      <c r="AE35" s="80">
        <v>6340.6000000000095</v>
      </c>
      <c r="AF35" s="80">
        <v>2890.9999999999986</v>
      </c>
      <c r="AG35" s="80">
        <v>5684.0000000000064</v>
      </c>
      <c r="AH35" s="80">
        <v>3586.8000000000006</v>
      </c>
      <c r="AI35" s="80">
        <v>5390.0000000000036</v>
      </c>
      <c r="AJ35" s="114">
        <v>7700</v>
      </c>
      <c r="AK35" s="79">
        <v>754.60000000000025</v>
      </c>
      <c r="AL35" s="79">
        <v>2832.1999999999994</v>
      </c>
      <c r="AM35" s="83">
        <f t="shared" ref="AM35:AM56" si="16">IFERROR(AL35/AJ35,0)</f>
        <v>0.36781818181818171</v>
      </c>
      <c r="AN35" s="79">
        <f t="shared" ref="AN35:AN36" si="17">+AK35+AL35</f>
        <v>3586.7999999999997</v>
      </c>
      <c r="AO35" s="84">
        <f t="shared" ref="AO35:AO36" si="18">IFERROR(+AN35/AJ35,0)</f>
        <v>0.4658181818181818</v>
      </c>
      <c r="AP35" s="50"/>
      <c r="AQ35" s="50"/>
    </row>
    <row r="36" spans="1:48" ht="12.75" customHeight="1" thickBot="1" x14ac:dyDescent="0.3"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/>
      <c r="U36" s="123"/>
      <c r="V36" s="123"/>
      <c r="W36" s="123">
        <v>0</v>
      </c>
      <c r="X36" s="123">
        <v>196</v>
      </c>
      <c r="Y36" s="124">
        <v>147</v>
      </c>
      <c r="Z36" s="123">
        <v>98</v>
      </c>
      <c r="AA36" s="123">
        <v>98</v>
      </c>
      <c r="AB36" s="123">
        <v>147</v>
      </c>
      <c r="AC36" s="123">
        <v>294</v>
      </c>
      <c r="AD36" s="126">
        <v>0</v>
      </c>
      <c r="AE36" s="125">
        <v>0</v>
      </c>
      <c r="AF36" s="125">
        <v>147</v>
      </c>
      <c r="AG36" s="125">
        <v>196</v>
      </c>
      <c r="AH36" s="125">
        <v>343</v>
      </c>
      <c r="AI36" s="125">
        <v>147</v>
      </c>
      <c r="AJ36" s="127">
        <v>300</v>
      </c>
      <c r="AK36" s="124">
        <v>49</v>
      </c>
      <c r="AL36" s="124">
        <v>0</v>
      </c>
      <c r="AM36" s="128">
        <f t="shared" si="16"/>
        <v>0</v>
      </c>
      <c r="AN36" s="124">
        <f t="shared" si="17"/>
        <v>49</v>
      </c>
      <c r="AO36" s="129">
        <f t="shared" si="18"/>
        <v>0.16333333333333333</v>
      </c>
      <c r="AP36" s="50">
        <v>100002258</v>
      </c>
      <c r="AQ36" s="50"/>
    </row>
    <row r="37" spans="1:48" s="109" customFormat="1" ht="12.75" customHeight="1" thickBot="1" x14ac:dyDescent="0.35">
      <c r="A37" s="45"/>
      <c r="B37" s="98"/>
      <c r="C37" s="99"/>
      <c r="D37" s="100" t="s">
        <v>129</v>
      </c>
      <c r="E37" s="101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102"/>
      <c r="S37" s="101"/>
      <c r="T37" s="101"/>
      <c r="U37" s="101"/>
      <c r="V37" s="101"/>
      <c r="W37" s="101">
        <v>0</v>
      </c>
      <c r="X37" s="101">
        <v>441.00000000000011</v>
      </c>
      <c r="Y37" s="102">
        <v>1950.1999999999985</v>
      </c>
      <c r="Z37" s="101">
        <v>1185.7999999999988</v>
      </c>
      <c r="AA37" s="101">
        <v>2312.7999999999979</v>
      </c>
      <c r="AB37" s="101">
        <v>1901.1999999999978</v>
      </c>
      <c r="AC37" s="101">
        <v>1979.5999999999981</v>
      </c>
      <c r="AD37" s="104">
        <v>1675.799999999997</v>
      </c>
      <c r="AE37" s="103">
        <v>6340.6000000000095</v>
      </c>
      <c r="AF37" s="103">
        <v>3037.9999999999986</v>
      </c>
      <c r="AG37" s="103">
        <v>5880.0000000000064</v>
      </c>
      <c r="AH37" s="103">
        <v>3929.8000000000006</v>
      </c>
      <c r="AI37" s="103">
        <v>5537.0000000000036</v>
      </c>
      <c r="AJ37" s="105">
        <v>8000</v>
      </c>
      <c r="AK37" s="105">
        <f t="shared" ref="AK37:AL37" si="19">+SUM(AK34:AK36)</f>
        <v>803.60000000000025</v>
      </c>
      <c r="AL37" s="105">
        <f t="shared" si="19"/>
        <v>2832.1999999999994</v>
      </c>
      <c r="AM37" s="106">
        <f t="shared" si="16"/>
        <v>0.35402499999999992</v>
      </c>
      <c r="AN37" s="105">
        <f t="shared" ref="AN37" si="20">+SUM(AN34:AN36)</f>
        <v>3635.7999999999997</v>
      </c>
      <c r="AO37" s="107">
        <f t="shared" si="2"/>
        <v>0.45447499999999996</v>
      </c>
      <c r="AP37" s="49"/>
      <c r="AQ37" s="49"/>
      <c r="AR37" s="108"/>
      <c r="AS37" s="47"/>
    </row>
    <row r="38" spans="1:48" ht="12.75" customHeight="1" x14ac:dyDescent="0.25">
      <c r="A38" s="47"/>
      <c r="B38" s="75" t="s">
        <v>130</v>
      </c>
      <c r="C38" s="76" t="s">
        <v>126</v>
      </c>
      <c r="D38" s="77" t="s">
        <v>131</v>
      </c>
      <c r="E38" s="130"/>
      <c r="F38" s="131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80"/>
      <c r="V38" s="80"/>
      <c r="W38" s="80">
        <v>0</v>
      </c>
      <c r="X38" s="80">
        <v>313.60000000000008</v>
      </c>
      <c r="Y38" s="80">
        <v>107.8</v>
      </c>
      <c r="Z38" s="79">
        <v>78.400000000000006</v>
      </c>
      <c r="AA38" s="78">
        <v>323.40000000000009</v>
      </c>
      <c r="AB38" s="79">
        <v>303.8</v>
      </c>
      <c r="AC38" s="78">
        <v>264.60000000000008</v>
      </c>
      <c r="AD38" s="81">
        <v>205.80000000000004</v>
      </c>
      <c r="AE38" s="80">
        <v>225.40000000000003</v>
      </c>
      <c r="AF38" s="80">
        <v>225.40000000000003</v>
      </c>
      <c r="AG38" s="80">
        <v>205.79999999999998</v>
      </c>
      <c r="AH38" s="80">
        <v>294.00000000000006</v>
      </c>
      <c r="AI38" s="80">
        <v>137.19999999999999</v>
      </c>
      <c r="AJ38" s="114">
        <v>300</v>
      </c>
      <c r="AK38" s="79">
        <v>195.99999999999997</v>
      </c>
      <c r="AL38" s="79">
        <v>186.20000000000002</v>
      </c>
      <c r="AM38" s="83">
        <f t="shared" si="16"/>
        <v>0.6206666666666667</v>
      </c>
      <c r="AN38" s="79">
        <f t="shared" si="15"/>
        <v>382.2</v>
      </c>
      <c r="AO38" s="84">
        <f t="shared" si="2"/>
        <v>1.274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si="2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/>
      <c r="B40" s="75" t="s">
        <v>132</v>
      </c>
      <c r="C40" s="136" t="s">
        <v>128</v>
      </c>
      <c r="D40" s="77" t="s">
        <v>134</v>
      </c>
      <c r="E40" s="130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80"/>
      <c r="U40" s="80"/>
      <c r="V40" s="80"/>
      <c r="W40" s="80">
        <v>0</v>
      </c>
      <c r="X40" s="80">
        <v>911.39999999999884</v>
      </c>
      <c r="Y40" s="80">
        <v>2008.9999999999961</v>
      </c>
      <c r="Z40" s="79">
        <v>3694.600000000014</v>
      </c>
      <c r="AA40" s="78">
        <v>2842.0000000000005</v>
      </c>
      <c r="AB40" s="79">
        <v>1401.3999999999987</v>
      </c>
      <c r="AC40" s="78">
        <v>823.20000000000016</v>
      </c>
      <c r="AD40" s="81">
        <v>-352.80000000000018</v>
      </c>
      <c r="AE40" s="80">
        <v>-19.600000000000001</v>
      </c>
      <c r="AF40" s="80">
        <v>-58.8</v>
      </c>
      <c r="AG40" s="80">
        <v>0</v>
      </c>
      <c r="AH40" s="80">
        <v>0</v>
      </c>
      <c r="AI40" s="80">
        <v>0</v>
      </c>
      <c r="AJ40" s="82">
        <v>1000</v>
      </c>
      <c r="AK40" s="79">
        <v>39.200000000000003</v>
      </c>
      <c r="AL40" s="79">
        <v>4713.7999999999938</v>
      </c>
      <c r="AM40" s="83">
        <f t="shared" si="16"/>
        <v>4.7137999999999938</v>
      </c>
      <c r="AN40" s="79">
        <f>+AK40+AL40</f>
        <v>4752.9999999999936</v>
      </c>
      <c r="AO40" s="84">
        <f t="shared" si="2"/>
        <v>4.7529999999999939</v>
      </c>
      <c r="AP40" s="132"/>
      <c r="AQ40" s="132"/>
      <c r="AR40" s="133"/>
      <c r="AS40" s="193"/>
      <c r="AT40" s="139"/>
    </row>
    <row r="41" spans="1:48" ht="12.75" customHeight="1" x14ac:dyDescent="0.25">
      <c r="A41" s="47"/>
      <c r="B41" s="64" t="s">
        <v>132</v>
      </c>
      <c r="C41" s="134" t="s">
        <v>131</v>
      </c>
      <c r="D41" s="66" t="s">
        <v>135</v>
      </c>
      <c r="E41" s="135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8"/>
      <c r="U41" s="88"/>
      <c r="V41" s="88"/>
      <c r="W41" s="88">
        <v>0</v>
      </c>
      <c r="X41" s="88">
        <v>0</v>
      </c>
      <c r="Y41" s="88">
        <v>490</v>
      </c>
      <c r="Z41" s="87">
        <v>1568</v>
      </c>
      <c r="AA41" s="86">
        <v>392</v>
      </c>
      <c r="AB41" s="87">
        <v>784</v>
      </c>
      <c r="AC41" s="86">
        <v>0</v>
      </c>
      <c r="AD41" s="89">
        <v>784</v>
      </c>
      <c r="AE41" s="88">
        <v>196</v>
      </c>
      <c r="AF41" s="88">
        <v>1568</v>
      </c>
      <c r="AG41" s="88">
        <v>98</v>
      </c>
      <c r="AH41" s="88">
        <v>392</v>
      </c>
      <c r="AI41" s="88">
        <v>3136</v>
      </c>
      <c r="AJ41" s="115">
        <v>2500</v>
      </c>
      <c r="AK41" s="87">
        <v>0</v>
      </c>
      <c r="AL41" s="87">
        <v>1479.8000000000002</v>
      </c>
      <c r="AM41" s="91">
        <f t="shared" si="16"/>
        <v>0.59192000000000011</v>
      </c>
      <c r="AN41" s="87">
        <f t="shared" si="15"/>
        <v>1479.8000000000002</v>
      </c>
      <c r="AO41" s="92">
        <f t="shared" si="2"/>
        <v>0.59192000000000011</v>
      </c>
      <c r="AP41" s="132"/>
      <c r="AQ41" s="132"/>
      <c r="AR41" s="133"/>
      <c r="AS41" s="193"/>
      <c r="AT41" s="139"/>
    </row>
    <row r="42" spans="1:48" ht="12.75" customHeight="1" x14ac:dyDescent="0.25">
      <c r="A42" s="47"/>
      <c r="B42" s="75" t="s">
        <v>132</v>
      </c>
      <c r="C42" s="136" t="s">
        <v>136</v>
      </c>
      <c r="D42" s="77" t="s">
        <v>137</v>
      </c>
      <c r="E42" s="130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80"/>
      <c r="U42" s="80"/>
      <c r="V42" s="80"/>
      <c r="W42" s="80">
        <v>0</v>
      </c>
      <c r="X42" s="80">
        <v>0</v>
      </c>
      <c r="Y42" s="80">
        <v>176.40000000000003</v>
      </c>
      <c r="Z42" s="79">
        <v>4047.4000000000005</v>
      </c>
      <c r="AA42" s="78">
        <v>107.8</v>
      </c>
      <c r="AB42" s="79">
        <v>58.8</v>
      </c>
      <c r="AC42" s="78">
        <v>303.80000000000007</v>
      </c>
      <c r="AD42" s="81">
        <v>676.2</v>
      </c>
      <c r="AE42" s="80">
        <v>872.19999999999982</v>
      </c>
      <c r="AF42" s="80">
        <v>1107.3999999999999</v>
      </c>
      <c r="AG42" s="80">
        <v>4870.6000000000031</v>
      </c>
      <c r="AH42" s="80">
        <v>5174.4000000000024</v>
      </c>
      <c r="AI42" s="80">
        <v>2097.2000000000007</v>
      </c>
      <c r="AJ42" s="82">
        <v>4400</v>
      </c>
      <c r="AK42" s="79">
        <v>144.20000000000002</v>
      </c>
      <c r="AL42" s="79">
        <v>1817.1999999999991</v>
      </c>
      <c r="AM42" s="83">
        <f t="shared" si="16"/>
        <v>0.41299999999999981</v>
      </c>
      <c r="AN42" s="79">
        <f t="shared" si="15"/>
        <v>1961.3999999999992</v>
      </c>
      <c r="AO42" s="84">
        <f t="shared" si="2"/>
        <v>0.4457727272727271</v>
      </c>
      <c r="AP42" s="132"/>
      <c r="AQ42" s="132"/>
      <c r="AR42" s="133"/>
      <c r="AS42" s="193"/>
      <c r="AT42" s="139"/>
    </row>
    <row r="43" spans="1:48" ht="12.75" customHeight="1" x14ac:dyDescent="0.25">
      <c r="A43" s="47"/>
      <c r="B43" s="64" t="s">
        <v>132</v>
      </c>
      <c r="C43" s="134" t="s">
        <v>136</v>
      </c>
      <c r="D43" s="66" t="s">
        <v>138</v>
      </c>
      <c r="E43" s="135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8"/>
      <c r="U43" s="88"/>
      <c r="V43" s="88"/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16"/>
        <v>0</v>
      </c>
      <c r="AN43" s="87">
        <f t="shared" si="15"/>
        <v>0</v>
      </c>
      <c r="AO43" s="92">
        <f t="shared" si="2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/>
      <c r="B44" s="75" t="s">
        <v>132</v>
      </c>
      <c r="C44" s="136" t="s">
        <v>131</v>
      </c>
      <c r="D44" s="77" t="s">
        <v>139</v>
      </c>
      <c r="E44" s="13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80"/>
      <c r="U44" s="80"/>
      <c r="V44" s="80"/>
      <c r="W44" s="80">
        <v>0</v>
      </c>
      <c r="X44" s="80">
        <v>0</v>
      </c>
      <c r="Y44" s="80">
        <v>0</v>
      </c>
      <c r="Z44" s="79">
        <v>2695</v>
      </c>
      <c r="AA44" s="78">
        <v>1362.2000000000003</v>
      </c>
      <c r="AB44" s="79">
        <v>176.4</v>
      </c>
      <c r="AC44" s="78">
        <v>245.00000000000003</v>
      </c>
      <c r="AD44" s="81">
        <v>352.8</v>
      </c>
      <c r="AE44" s="80">
        <v>568.4</v>
      </c>
      <c r="AF44" s="80">
        <v>1185.8</v>
      </c>
      <c r="AG44" s="80">
        <v>725.2</v>
      </c>
      <c r="AH44" s="80">
        <v>676.2</v>
      </c>
      <c r="AI44" s="80">
        <v>548.79999999999995</v>
      </c>
      <c r="AJ44" s="82">
        <v>900</v>
      </c>
      <c r="AK44" s="79">
        <v>548.79999999999995</v>
      </c>
      <c r="AL44" s="79">
        <v>29.399999999999977</v>
      </c>
      <c r="AM44" s="83">
        <f t="shared" si="16"/>
        <v>3.2666666666666642E-2</v>
      </c>
      <c r="AN44" s="79">
        <f t="shared" si="15"/>
        <v>578.19999999999993</v>
      </c>
      <c r="AO44" s="84">
        <f t="shared" si="2"/>
        <v>0.64244444444444437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/>
      <c r="B45" s="64" t="s">
        <v>132</v>
      </c>
      <c r="C45" s="134" t="s">
        <v>128</v>
      </c>
      <c r="D45" s="66" t="s">
        <v>140</v>
      </c>
      <c r="E45" s="137"/>
      <c r="F45" s="138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5"/>
      <c r="U45" s="125"/>
      <c r="V45" s="125"/>
      <c r="W45" s="125">
        <v>0</v>
      </c>
      <c r="X45" s="125">
        <v>0</v>
      </c>
      <c r="Y45" s="125">
        <v>0</v>
      </c>
      <c r="Z45" s="124">
        <v>0</v>
      </c>
      <c r="AA45" s="123">
        <v>0</v>
      </c>
      <c r="AB45" s="124">
        <v>284.2</v>
      </c>
      <c r="AC45" s="123">
        <v>225.4</v>
      </c>
      <c r="AD45" s="126">
        <v>205.80000000000007</v>
      </c>
      <c r="AE45" s="125">
        <v>303.80000000000007</v>
      </c>
      <c r="AF45" s="125">
        <v>313.60000000000002</v>
      </c>
      <c r="AG45" s="125">
        <v>323.40000000000009</v>
      </c>
      <c r="AH45" s="125">
        <v>764.4</v>
      </c>
      <c r="AI45" s="125">
        <v>754.60000000000014</v>
      </c>
      <c r="AJ45" s="127">
        <v>900</v>
      </c>
      <c r="AK45" s="124">
        <v>88.2</v>
      </c>
      <c r="AL45" s="124">
        <v>117.60000000000001</v>
      </c>
      <c r="AM45" s="128">
        <f t="shared" si="16"/>
        <v>0.13066666666666668</v>
      </c>
      <c r="AN45" s="124">
        <f t="shared" si="15"/>
        <v>205.8</v>
      </c>
      <c r="AO45" s="129">
        <f t="shared" si="2"/>
        <v>0.22866666666666668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/>
      <c r="B46" s="98"/>
      <c r="C46" s="99"/>
      <c r="D46" s="100" t="s">
        <v>141</v>
      </c>
      <c r="E46" s="101">
        <f t="shared" ref="E46:AD46" si="21">+SUM(E38:E45)</f>
        <v>0</v>
      </c>
      <c r="F46" s="102">
        <f t="shared" si="21"/>
        <v>0</v>
      </c>
      <c r="G46" s="102">
        <f t="shared" si="21"/>
        <v>0</v>
      </c>
      <c r="H46" s="102">
        <f t="shared" si="21"/>
        <v>0</v>
      </c>
      <c r="I46" s="102">
        <f t="shared" si="21"/>
        <v>0</v>
      </c>
      <c r="J46" s="102">
        <f t="shared" si="21"/>
        <v>0</v>
      </c>
      <c r="K46" s="102">
        <f t="shared" si="21"/>
        <v>0</v>
      </c>
      <c r="L46" s="102">
        <f t="shared" si="21"/>
        <v>0</v>
      </c>
      <c r="M46" s="102">
        <f t="shared" si="21"/>
        <v>0</v>
      </c>
      <c r="N46" s="102">
        <f t="shared" si="21"/>
        <v>0</v>
      </c>
      <c r="O46" s="102">
        <f t="shared" si="21"/>
        <v>0</v>
      </c>
      <c r="P46" s="102">
        <f t="shared" si="21"/>
        <v>0</v>
      </c>
      <c r="Q46" s="103">
        <f t="shared" si="21"/>
        <v>0</v>
      </c>
      <c r="R46" s="102">
        <f t="shared" si="21"/>
        <v>0</v>
      </c>
      <c r="S46" s="101">
        <f t="shared" si="21"/>
        <v>0</v>
      </c>
      <c r="T46" s="101">
        <f t="shared" si="21"/>
        <v>0</v>
      </c>
      <c r="U46" s="101">
        <f t="shared" si="21"/>
        <v>0</v>
      </c>
      <c r="V46" s="101">
        <f t="shared" si="21"/>
        <v>0</v>
      </c>
      <c r="W46" s="101">
        <f t="shared" si="21"/>
        <v>0</v>
      </c>
      <c r="X46" s="101">
        <f t="shared" si="21"/>
        <v>1224.9999999999989</v>
      </c>
      <c r="Y46" s="102">
        <f t="shared" si="21"/>
        <v>2783.1999999999962</v>
      </c>
      <c r="Z46" s="101">
        <f t="shared" si="21"/>
        <v>12083.400000000016</v>
      </c>
      <c r="AA46" s="101">
        <f t="shared" si="21"/>
        <v>5027.4000000000015</v>
      </c>
      <c r="AB46" s="101">
        <f t="shared" si="21"/>
        <v>3008.599999999999</v>
      </c>
      <c r="AC46" s="101">
        <f t="shared" si="21"/>
        <v>1862.0000000000005</v>
      </c>
      <c r="AD46" s="104">
        <f t="shared" si="21"/>
        <v>1871.7999999999997</v>
      </c>
      <c r="AE46" s="103">
        <v>2146.2000000000003</v>
      </c>
      <c r="AF46" s="103">
        <v>4341.4000000000005</v>
      </c>
      <c r="AG46" s="103">
        <v>6223.0000000000036</v>
      </c>
      <c r="AH46" s="103">
        <v>7301.0000000000018</v>
      </c>
      <c r="AI46" s="103">
        <v>6673.8000000000011</v>
      </c>
      <c r="AJ46" s="105">
        <v>10000</v>
      </c>
      <c r="AK46" s="102">
        <f>SUM(AK38:AK45)</f>
        <v>1016.4</v>
      </c>
      <c r="AL46" s="102">
        <f>SUM(AL38:AL45)</f>
        <v>8343.9999999999927</v>
      </c>
      <c r="AM46" s="106">
        <f t="shared" si="16"/>
        <v>0.83439999999999925</v>
      </c>
      <c r="AN46" s="102">
        <f t="shared" si="15"/>
        <v>9360.3999999999924</v>
      </c>
      <c r="AO46" s="107">
        <f t="shared" si="2"/>
        <v>0.93603999999999921</v>
      </c>
      <c r="AP46" s="150"/>
      <c r="AQ46" s="150"/>
      <c r="AR46" s="108"/>
      <c r="AS46" s="47"/>
    </row>
    <row r="47" spans="1:48" ht="12.75" customHeight="1" thickBot="1" x14ac:dyDescent="0.3">
      <c r="B47" s="151" t="s">
        <v>142</v>
      </c>
      <c r="C47" s="152"/>
      <c r="D47" s="153" t="s">
        <v>5</v>
      </c>
      <c r="E47" s="154">
        <f t="shared" ref="E47:V47" si="22">+E18+E22+E28+E30+E33+E37+E46</f>
        <v>0</v>
      </c>
      <c r="F47" s="155">
        <f t="shared" si="22"/>
        <v>0</v>
      </c>
      <c r="G47" s="155">
        <f t="shared" si="22"/>
        <v>0</v>
      </c>
      <c r="H47" s="155">
        <f t="shared" si="22"/>
        <v>0</v>
      </c>
      <c r="I47" s="155">
        <f t="shared" si="22"/>
        <v>0</v>
      </c>
      <c r="J47" s="155">
        <f t="shared" si="22"/>
        <v>0</v>
      </c>
      <c r="K47" s="155">
        <f t="shared" si="22"/>
        <v>0</v>
      </c>
      <c r="L47" s="155">
        <f t="shared" si="22"/>
        <v>0</v>
      </c>
      <c r="M47" s="155">
        <f t="shared" si="22"/>
        <v>0</v>
      </c>
      <c r="N47" s="155">
        <f t="shared" si="22"/>
        <v>0</v>
      </c>
      <c r="O47" s="155">
        <f t="shared" si="22"/>
        <v>0</v>
      </c>
      <c r="P47" s="155">
        <f t="shared" si="22"/>
        <v>0</v>
      </c>
      <c r="Q47" s="156">
        <f t="shared" si="22"/>
        <v>0</v>
      </c>
      <c r="R47" s="155">
        <f t="shared" si="22"/>
        <v>0</v>
      </c>
      <c r="S47" s="154">
        <v>0</v>
      </c>
      <c r="T47" s="154">
        <f t="shared" si="22"/>
        <v>0</v>
      </c>
      <c r="U47" s="154">
        <f t="shared" si="22"/>
        <v>0</v>
      </c>
      <c r="V47" s="154">
        <f t="shared" si="22"/>
        <v>0</v>
      </c>
      <c r="W47" s="157">
        <v>15852</v>
      </c>
      <c r="X47" s="157">
        <f>+X18+X22+X28+X30+X33+X37+X46</f>
        <v>22873.199999999997</v>
      </c>
      <c r="Y47" s="158">
        <v>25822.999999999989</v>
      </c>
      <c r="Z47" s="157">
        <v>34339.200000000012</v>
      </c>
      <c r="AA47" s="157">
        <v>29507.799999999992</v>
      </c>
      <c r="AB47" s="157">
        <v>32339.999999999989</v>
      </c>
      <c r="AC47" s="157">
        <v>24450.999999999996</v>
      </c>
      <c r="AD47" s="194">
        <v>34299.999999999993</v>
      </c>
      <c r="AE47" s="159">
        <v>35858.199999999997</v>
      </c>
      <c r="AF47" s="159">
        <v>31516.799999999996</v>
      </c>
      <c r="AG47" s="159">
        <v>39200</v>
      </c>
      <c r="AH47" s="159">
        <v>38543.399999999994</v>
      </c>
      <c r="AI47" s="159">
        <v>42561.399999999994</v>
      </c>
      <c r="AJ47" s="160">
        <v>76000</v>
      </c>
      <c r="AK47" s="158">
        <f>+AK18+AK22+AK28+AK30+AK33+AK37+AK46</f>
        <v>5957</v>
      </c>
      <c r="AL47" s="158">
        <f>+AL18+AL22+AL28+AL30+AL33+AL37+AL46</f>
        <v>40067.999999999993</v>
      </c>
      <c r="AM47" s="161">
        <f t="shared" si="16"/>
        <v>0.52721052631578935</v>
      </c>
      <c r="AN47" s="158">
        <f>+AN18+AN22+AN28+AN30+AN33+AN37+AN46</f>
        <v>46025</v>
      </c>
      <c r="AO47" s="162">
        <f t="shared" si="2"/>
        <v>0.60559210526315788</v>
      </c>
      <c r="AP47" s="150"/>
      <c r="AQ47" s="150"/>
    </row>
    <row r="48" spans="1:48" ht="12.75" hidden="1" customHeight="1" x14ac:dyDescent="0.25">
      <c r="B48" s="75" t="s">
        <v>143</v>
      </c>
      <c r="C48" s="76"/>
      <c r="D48" s="163" t="s">
        <v>145</v>
      </c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1"/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6"/>
        <v>0</v>
      </c>
      <c r="AN48" s="79">
        <f t="shared" si="15"/>
        <v>0</v>
      </c>
      <c r="AO48" s="84">
        <f t="shared" si="2"/>
        <v>0</v>
      </c>
      <c r="AP48" s="49" t="s">
        <v>144</v>
      </c>
    </row>
    <row r="49" spans="1:46" ht="12.75" hidden="1" customHeight="1" x14ac:dyDescent="0.25">
      <c r="B49" s="64" t="s">
        <v>143</v>
      </c>
      <c r="C49" s="65"/>
      <c r="D49" s="167" t="s">
        <v>147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6"/>
        <v>0</v>
      </c>
      <c r="AN49" s="87">
        <f t="shared" si="15"/>
        <v>0</v>
      </c>
      <c r="AO49" s="92">
        <f t="shared" si="2"/>
        <v>0</v>
      </c>
      <c r="AP49" s="49" t="s">
        <v>144</v>
      </c>
    </row>
    <row r="50" spans="1:46" ht="12.75" hidden="1" customHeight="1" x14ac:dyDescent="0.25">
      <c r="B50" s="75" t="s">
        <v>143</v>
      </c>
      <c r="C50" s="76"/>
      <c r="D50" s="163" t="s">
        <v>148</v>
      </c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1"/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6"/>
        <v>0</v>
      </c>
      <c r="AN50" s="79">
        <f>+AK50+AL50</f>
        <v>0</v>
      </c>
      <c r="AO50" s="84">
        <f t="shared" si="2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>
        <v>0</v>
      </c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2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B52" s="75" t="s">
        <v>151</v>
      </c>
      <c r="C52" s="76"/>
      <c r="D52" s="163" t="s">
        <v>151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1"/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B53" s="64" t="s">
        <v>143</v>
      </c>
      <c r="C53" s="65" t="s">
        <v>154</v>
      </c>
      <c r="D53" s="167" t="s">
        <v>155</v>
      </c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87">
        <v>0</v>
      </c>
      <c r="X53" s="87">
        <v>0</v>
      </c>
      <c r="Y53" s="87">
        <v>5.6</v>
      </c>
      <c r="Z53" s="87">
        <v>4.1999999999999993</v>
      </c>
      <c r="AA53" s="87">
        <v>41.3</v>
      </c>
      <c r="AB53" s="87">
        <v>41.3</v>
      </c>
      <c r="AC53" s="87">
        <v>4.1999999999999993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si="2"/>
        <v>0</v>
      </c>
      <c r="AP53" s="50" t="s">
        <v>154</v>
      </c>
      <c r="AQ53" s="50"/>
    </row>
    <row r="54" spans="1:46" ht="12.75" hidden="1" customHeight="1" x14ac:dyDescent="0.25">
      <c r="B54" s="75" t="s">
        <v>143</v>
      </c>
      <c r="C54" s="76"/>
      <c r="D54" s="163" t="s">
        <v>149</v>
      </c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1"/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5"/>
        <v>0</v>
      </c>
      <c r="AO54" s="84">
        <f t="shared" si="2"/>
        <v>0</v>
      </c>
      <c r="AP54" s="49" t="s">
        <v>156</v>
      </c>
    </row>
    <row r="55" spans="1:46" ht="12.75" hidden="1" customHeight="1" thickBot="1" x14ac:dyDescent="0.3">
      <c r="B55" s="64" t="s">
        <v>143</v>
      </c>
      <c r="C55" s="65"/>
      <c r="D55" s="167" t="s">
        <v>157</v>
      </c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87">
        <v>0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8"/>
      <c r="AJ55" s="90"/>
      <c r="AK55" s="87"/>
      <c r="AL55" s="87"/>
      <c r="AM55" s="91"/>
      <c r="AN55" s="87"/>
      <c r="AO55" s="92"/>
      <c r="AP55" s="50"/>
      <c r="AQ55" s="50"/>
    </row>
    <row r="56" spans="1:46" ht="12.75" hidden="1" customHeight="1" thickBot="1" x14ac:dyDescent="0.3">
      <c r="B56" s="173"/>
      <c r="C56" s="174"/>
      <c r="D56" s="152" t="s">
        <v>158</v>
      </c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75">
        <v>15852</v>
      </c>
      <c r="X56" s="175">
        <v>22873.200000000001</v>
      </c>
      <c r="Y56" s="175">
        <v>25828.599999999988</v>
      </c>
      <c r="Z56" s="175">
        <v>34343.400000000009</v>
      </c>
      <c r="AA56" s="175">
        <v>29549.099999999991</v>
      </c>
      <c r="AB56" s="175">
        <v>32381.299999999988</v>
      </c>
      <c r="AC56" s="175">
        <v>23445.799999999996</v>
      </c>
      <c r="AD56" s="175">
        <v>34299.999999999993</v>
      </c>
      <c r="AE56" s="175">
        <v>35858.199999999997</v>
      </c>
      <c r="AF56" s="175">
        <v>31516.799999999996</v>
      </c>
      <c r="AG56" s="175">
        <v>39200</v>
      </c>
      <c r="AH56" s="175">
        <v>38543.399999999994</v>
      </c>
      <c r="AI56" s="176">
        <v>42561.399999999994</v>
      </c>
      <c r="AJ56" s="177">
        <v>76000</v>
      </c>
      <c r="AK56" s="175">
        <f>+AK47+SUM(AK48:AK55)</f>
        <v>5957</v>
      </c>
      <c r="AL56" s="175">
        <f>SUM(AL47:AL55)</f>
        <v>40067.999999999993</v>
      </c>
      <c r="AM56" s="178">
        <f t="shared" si="16"/>
        <v>0.52721052631578935</v>
      </c>
      <c r="AN56" s="175">
        <f>+AK56+AL56</f>
        <v>46024.999999999993</v>
      </c>
      <c r="AO56" s="179">
        <f>IFERROR(+AN56/AJ56,0)</f>
        <v>0.60559210526315777</v>
      </c>
      <c r="AP56" s="50"/>
      <c r="AQ56" s="50"/>
    </row>
    <row r="57" spans="1:46" x14ac:dyDescent="0.25">
      <c r="A57" s="47"/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0</v>
      </c>
      <c r="AL57" s="196">
        <v>0</v>
      </c>
      <c r="AM57" s="197"/>
      <c r="AO57" s="198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0CD7-3B23-48C0-B3FE-B2F78926DF3A}">
  <dimension ref="A1:AV123"/>
  <sheetViews>
    <sheetView showGridLines="0" zoomScale="85" zoomScaleNormal="85" workbookViewId="0">
      <pane xSplit="4" ySplit="2" topLeftCell="AF3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customWidth="1"/>
    <col min="7" max="7" width="12.1796875" customWidth="1"/>
    <col min="8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.5" thickBot="1" x14ac:dyDescent="0.35">
      <c r="B1" s="188" t="s">
        <v>181</v>
      </c>
      <c r="C1" s="47" t="s">
        <v>182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5" t="s">
        <v>181</v>
      </c>
      <c r="B3" s="64" t="s">
        <v>71</v>
      </c>
      <c r="C3" s="65" t="s">
        <v>72</v>
      </c>
      <c r="D3" s="66" t="s">
        <v>73</v>
      </c>
      <c r="E3" s="67"/>
      <c r="F3" s="68"/>
      <c r="G3" s="68"/>
      <c r="H3" s="68"/>
      <c r="I3" s="67"/>
      <c r="J3" s="68"/>
      <c r="K3" s="68"/>
      <c r="L3" s="68"/>
      <c r="M3" s="68"/>
      <c r="N3" s="68"/>
      <c r="O3" s="68"/>
      <c r="P3" s="68"/>
      <c r="Q3" s="69"/>
      <c r="R3" s="68"/>
      <c r="S3" s="67"/>
      <c r="T3" s="67"/>
      <c r="U3" s="67"/>
      <c r="V3" s="67"/>
      <c r="W3" s="67"/>
      <c r="X3" s="67"/>
      <c r="Y3" s="68"/>
      <c r="Z3" s="67"/>
      <c r="AA3" s="67"/>
      <c r="AB3" s="67"/>
      <c r="AC3" s="67"/>
      <c r="AD3" s="70"/>
      <c r="AE3" s="69"/>
      <c r="AF3" s="69"/>
      <c r="AG3" s="69"/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33" si="2">IFERROR(+AN3/AJ3,0)</f>
        <v>0</v>
      </c>
      <c r="AP3" s="50"/>
      <c r="AQ3" s="50"/>
    </row>
    <row r="4" spans="1:45" ht="12.75" customHeight="1" x14ac:dyDescent="0.25">
      <c r="A4" s="45" t="s">
        <v>181</v>
      </c>
      <c r="B4" s="75" t="s">
        <v>74</v>
      </c>
      <c r="C4" s="76" t="s">
        <v>72</v>
      </c>
      <c r="D4" s="77" t="s">
        <v>75</v>
      </c>
      <c r="E4" s="78"/>
      <c r="F4" s="79"/>
      <c r="G4" s="79"/>
      <c r="H4" s="79"/>
      <c r="I4" s="78"/>
      <c r="J4" s="79"/>
      <c r="K4" s="79"/>
      <c r="L4" s="79"/>
      <c r="M4" s="79"/>
      <c r="N4" s="79"/>
      <c r="O4" s="79"/>
      <c r="P4" s="79"/>
      <c r="Q4" s="80"/>
      <c r="R4" s="79"/>
      <c r="S4" s="78"/>
      <c r="T4" s="78"/>
      <c r="U4" s="78"/>
      <c r="V4" s="78"/>
      <c r="W4" s="78"/>
      <c r="X4" s="78"/>
      <c r="Y4" s="79"/>
      <c r="Z4" s="78"/>
      <c r="AA4" s="78"/>
      <c r="AB4" s="78"/>
      <c r="AC4" s="78"/>
      <c r="AD4" s="81"/>
      <c r="AE4" s="80"/>
      <c r="AF4" s="80"/>
      <c r="AG4" s="80"/>
      <c r="AH4" s="80">
        <v>310.08</v>
      </c>
      <c r="AI4" s="80">
        <v>1493.2800000000011</v>
      </c>
      <c r="AJ4" s="82">
        <v>650</v>
      </c>
      <c r="AK4" s="79">
        <v>0</v>
      </c>
      <c r="AL4" s="79">
        <v>252.95999999999998</v>
      </c>
      <c r="AM4" s="83">
        <f t="shared" si="0"/>
        <v>0.38916923076923071</v>
      </c>
      <c r="AN4" s="79">
        <f t="shared" si="1"/>
        <v>252.95999999999998</v>
      </c>
      <c r="AO4" s="84">
        <f t="shared" si="2"/>
        <v>0.38916923076923071</v>
      </c>
      <c r="AP4" s="50"/>
      <c r="AQ4" s="50"/>
    </row>
    <row r="5" spans="1:45" ht="12.75" customHeight="1" x14ac:dyDescent="0.25">
      <c r="A5" s="45" t="s">
        <v>181</v>
      </c>
      <c r="B5" s="64" t="s">
        <v>74</v>
      </c>
      <c r="C5" s="65" t="s">
        <v>72</v>
      </c>
      <c r="D5" s="66" t="s">
        <v>76</v>
      </c>
      <c r="E5" s="86"/>
      <c r="F5" s="87"/>
      <c r="G5" s="87"/>
      <c r="H5" s="87"/>
      <c r="I5" s="86"/>
      <c r="J5" s="87"/>
      <c r="K5" s="87"/>
      <c r="L5" s="87"/>
      <c r="M5" s="87"/>
      <c r="N5" s="87"/>
      <c r="O5" s="87"/>
      <c r="P5" s="87"/>
      <c r="Q5" s="88"/>
      <c r="R5" s="87"/>
      <c r="S5" s="86"/>
      <c r="T5" s="86"/>
      <c r="U5" s="86"/>
      <c r="V5" s="86"/>
      <c r="W5" s="86"/>
      <c r="X5" s="86"/>
      <c r="Y5" s="87"/>
      <c r="Z5" s="86"/>
      <c r="AA5" s="86"/>
      <c r="AB5" s="86"/>
      <c r="AC5" s="86"/>
      <c r="AD5" s="89"/>
      <c r="AE5" s="88"/>
      <c r="AF5" s="88"/>
      <c r="AG5" s="88"/>
      <c r="AH5" s="88">
        <v>807.84</v>
      </c>
      <c r="AI5" s="88">
        <v>2521.44</v>
      </c>
      <c r="AJ5" s="90">
        <v>650</v>
      </c>
      <c r="AK5" s="87">
        <v>0</v>
      </c>
      <c r="AL5" s="87">
        <v>81.599999999999994</v>
      </c>
      <c r="AM5" s="91">
        <f t="shared" si="0"/>
        <v>0.12553846153846154</v>
      </c>
      <c r="AN5" s="87">
        <f t="shared" si="1"/>
        <v>81.599999999999994</v>
      </c>
      <c r="AO5" s="92">
        <f t="shared" si="2"/>
        <v>0.12553846153846154</v>
      </c>
      <c r="AP5" s="50" t="s">
        <v>77</v>
      </c>
      <c r="AQ5" s="50"/>
    </row>
    <row r="6" spans="1:45" ht="12.75" customHeight="1" x14ac:dyDescent="0.25">
      <c r="A6" s="45" t="s">
        <v>181</v>
      </c>
      <c r="B6" s="75" t="s">
        <v>74</v>
      </c>
      <c r="C6" s="76" t="s">
        <v>72</v>
      </c>
      <c r="D6" s="77" t="s">
        <v>78</v>
      </c>
      <c r="E6" s="78"/>
      <c r="F6" s="79"/>
      <c r="G6" s="79"/>
      <c r="H6" s="79"/>
      <c r="I6" s="78"/>
      <c r="J6" s="79"/>
      <c r="K6" s="79"/>
      <c r="L6" s="79"/>
      <c r="M6" s="79"/>
      <c r="N6" s="79"/>
      <c r="O6" s="79"/>
      <c r="P6" s="79"/>
      <c r="Q6" s="80"/>
      <c r="R6" s="79"/>
      <c r="S6" s="78"/>
      <c r="T6" s="78"/>
      <c r="U6" s="78"/>
      <c r="V6" s="78"/>
      <c r="W6" s="78"/>
      <c r="X6" s="78"/>
      <c r="Y6" s="79"/>
      <c r="Z6" s="78"/>
      <c r="AA6" s="78"/>
      <c r="AB6" s="78"/>
      <c r="AC6" s="78"/>
      <c r="AD6" s="81"/>
      <c r="AE6" s="80"/>
      <c r="AF6" s="80"/>
      <c r="AG6" s="80"/>
      <c r="AH6" s="80">
        <v>293.76</v>
      </c>
      <c r="AI6" s="80">
        <v>750.72</v>
      </c>
      <c r="AJ6" s="82">
        <v>650</v>
      </c>
      <c r="AK6" s="79">
        <v>81.599999999999994</v>
      </c>
      <c r="AL6" s="79">
        <v>326.39999999999998</v>
      </c>
      <c r="AM6" s="83">
        <f t="shared" si="0"/>
        <v>0.50215384615384617</v>
      </c>
      <c r="AN6" s="79">
        <f t="shared" si="1"/>
        <v>408</v>
      </c>
      <c r="AO6" s="84">
        <f t="shared" si="2"/>
        <v>0.62769230769230766</v>
      </c>
      <c r="AP6" s="50"/>
      <c r="AQ6" s="50"/>
    </row>
    <row r="7" spans="1:45" ht="12.75" customHeight="1" x14ac:dyDescent="0.25">
      <c r="A7" s="45" t="s">
        <v>181</v>
      </c>
      <c r="B7" s="64" t="s">
        <v>79</v>
      </c>
      <c r="C7" s="65" t="s">
        <v>72</v>
      </c>
      <c r="D7" s="66" t="s">
        <v>80</v>
      </c>
      <c r="E7" s="86"/>
      <c r="F7" s="87"/>
      <c r="G7" s="87"/>
      <c r="H7" s="87"/>
      <c r="I7" s="86"/>
      <c r="J7" s="87"/>
      <c r="K7" s="87"/>
      <c r="L7" s="87"/>
      <c r="M7" s="87"/>
      <c r="N7" s="87"/>
      <c r="O7" s="87"/>
      <c r="P7" s="87"/>
      <c r="Q7" s="88"/>
      <c r="R7" s="87"/>
      <c r="S7" s="86"/>
      <c r="T7" s="86"/>
      <c r="U7" s="86"/>
      <c r="V7" s="86"/>
      <c r="W7" s="86"/>
      <c r="X7" s="86"/>
      <c r="Y7" s="87"/>
      <c r="Z7" s="86"/>
      <c r="AA7" s="86"/>
      <c r="AB7" s="86"/>
      <c r="AC7" s="86"/>
      <c r="AD7" s="89"/>
      <c r="AE7" s="88"/>
      <c r="AF7" s="88"/>
      <c r="AG7" s="88"/>
      <c r="AH7" s="88">
        <v>342.71999999999997</v>
      </c>
      <c r="AI7" s="88">
        <v>783.35999999999945</v>
      </c>
      <c r="AJ7" s="90">
        <v>650</v>
      </c>
      <c r="AK7" s="87">
        <v>2284.7999999999997</v>
      </c>
      <c r="AL7" s="87">
        <v>-16.32</v>
      </c>
      <c r="AM7" s="91">
        <f t="shared" si="0"/>
        <v>-2.5107692307692307E-2</v>
      </c>
      <c r="AN7" s="87">
        <f t="shared" si="1"/>
        <v>2268.4799999999996</v>
      </c>
      <c r="AO7" s="92">
        <f t="shared" si="2"/>
        <v>3.4899692307692303</v>
      </c>
      <c r="AP7" s="50"/>
      <c r="AQ7" s="50"/>
    </row>
    <row r="8" spans="1:45" ht="12.75" customHeight="1" x14ac:dyDescent="0.25">
      <c r="A8" s="45" t="s">
        <v>181</v>
      </c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/>
      <c r="P8" s="79"/>
      <c r="Q8" s="80"/>
      <c r="R8" s="79"/>
      <c r="S8" s="78"/>
      <c r="T8" s="78"/>
      <c r="U8" s="78"/>
      <c r="V8" s="78"/>
      <c r="W8" s="78"/>
      <c r="X8" s="78"/>
      <c r="Y8" s="79"/>
      <c r="Z8" s="78"/>
      <c r="AA8" s="78"/>
      <c r="AB8" s="78"/>
      <c r="AC8" s="78"/>
      <c r="AD8" s="81"/>
      <c r="AE8" s="80"/>
      <c r="AF8" s="80"/>
      <c r="AG8" s="80"/>
      <c r="AH8" s="80">
        <v>424.32000000000011</v>
      </c>
      <c r="AI8" s="80">
        <v>204</v>
      </c>
      <c r="AJ8" s="82">
        <v>650</v>
      </c>
      <c r="AK8" s="79">
        <v>0</v>
      </c>
      <c r="AL8" s="79">
        <v>677.28</v>
      </c>
      <c r="AM8" s="83">
        <f t="shared" si="0"/>
        <v>1.0419692307692308</v>
      </c>
      <c r="AN8" s="79">
        <f t="shared" si="1"/>
        <v>677.28</v>
      </c>
      <c r="AO8" s="84">
        <f t="shared" si="2"/>
        <v>1.0419692307692308</v>
      </c>
      <c r="AP8" s="50"/>
      <c r="AQ8" s="50"/>
    </row>
    <row r="9" spans="1:45" ht="12.75" customHeight="1" x14ac:dyDescent="0.25">
      <c r="A9" s="45" t="s">
        <v>181</v>
      </c>
      <c r="B9" s="64" t="s">
        <v>82</v>
      </c>
      <c r="C9" s="65" t="s">
        <v>72</v>
      </c>
      <c r="D9" s="66" t="s">
        <v>83</v>
      </c>
      <c r="E9" s="86"/>
      <c r="F9" s="87"/>
      <c r="G9" s="87"/>
      <c r="H9" s="87"/>
      <c r="I9" s="86"/>
      <c r="J9" s="87"/>
      <c r="K9" s="87"/>
      <c r="L9" s="87"/>
      <c r="M9" s="87"/>
      <c r="N9" s="87"/>
      <c r="O9" s="87"/>
      <c r="P9" s="87"/>
      <c r="Q9" s="88"/>
      <c r="R9" s="87"/>
      <c r="S9" s="86"/>
      <c r="T9" s="86"/>
      <c r="U9" s="86"/>
      <c r="V9" s="86"/>
      <c r="W9" s="86"/>
      <c r="X9" s="86"/>
      <c r="Y9" s="87"/>
      <c r="Z9" s="86"/>
      <c r="AA9" s="86"/>
      <c r="AB9" s="86"/>
      <c r="AC9" s="86"/>
      <c r="AD9" s="89"/>
      <c r="AE9" s="88"/>
      <c r="AF9" s="88"/>
      <c r="AG9" s="88"/>
      <c r="AH9" s="88">
        <v>359.04</v>
      </c>
      <c r="AI9" s="88">
        <v>554.88000000000011</v>
      </c>
      <c r="AJ9" s="90">
        <v>650</v>
      </c>
      <c r="AK9" s="87">
        <v>0</v>
      </c>
      <c r="AL9" s="87">
        <v>32.64</v>
      </c>
      <c r="AM9" s="91">
        <f t="shared" si="0"/>
        <v>5.0215384615384613E-2</v>
      </c>
      <c r="AN9" s="87">
        <f t="shared" si="1"/>
        <v>32.64</v>
      </c>
      <c r="AO9" s="92">
        <f t="shared" si="2"/>
        <v>5.0215384615384613E-2</v>
      </c>
      <c r="AP9" s="50"/>
      <c r="AQ9" s="50"/>
    </row>
    <row r="10" spans="1:45" ht="12.75" customHeight="1" x14ac:dyDescent="0.25">
      <c r="A10" s="45" t="s">
        <v>181</v>
      </c>
      <c r="B10" s="75" t="s">
        <v>82</v>
      </c>
      <c r="C10" s="76" t="s">
        <v>72</v>
      </c>
      <c r="D10" s="77" t="s">
        <v>84</v>
      </c>
      <c r="E10" s="78"/>
      <c r="F10" s="79"/>
      <c r="G10" s="79"/>
      <c r="H10" s="79"/>
      <c r="I10" s="78"/>
      <c r="J10" s="79"/>
      <c r="K10" s="79"/>
      <c r="L10" s="79"/>
      <c r="M10" s="79"/>
      <c r="N10" s="79"/>
      <c r="O10" s="79"/>
      <c r="P10" s="79"/>
      <c r="Q10" s="80"/>
      <c r="R10" s="79"/>
      <c r="S10" s="78"/>
      <c r="T10" s="78"/>
      <c r="U10" s="78"/>
      <c r="V10" s="78"/>
      <c r="W10" s="78"/>
      <c r="X10" s="78"/>
      <c r="Y10" s="79"/>
      <c r="Z10" s="78"/>
      <c r="AA10" s="78"/>
      <c r="AB10" s="78"/>
      <c r="AC10" s="78"/>
      <c r="AD10" s="81"/>
      <c r="AE10" s="80"/>
      <c r="AF10" s="80"/>
      <c r="AG10" s="80"/>
      <c r="AH10" s="80">
        <v>1060.8</v>
      </c>
      <c r="AI10" s="80">
        <v>677.28000000000009</v>
      </c>
      <c r="AJ10" s="82">
        <v>650</v>
      </c>
      <c r="AK10" s="79">
        <v>0</v>
      </c>
      <c r="AL10" s="79">
        <v>65.28</v>
      </c>
      <c r="AM10" s="83">
        <f t="shared" si="0"/>
        <v>0.10043076923076923</v>
      </c>
      <c r="AN10" s="79">
        <f t="shared" si="1"/>
        <v>65.28</v>
      </c>
      <c r="AO10" s="84">
        <f t="shared" si="2"/>
        <v>0.10043076923076923</v>
      </c>
      <c r="AP10" s="50"/>
      <c r="AQ10" s="50"/>
    </row>
    <row r="11" spans="1:45" ht="12.75" customHeight="1" x14ac:dyDescent="0.25">
      <c r="A11" s="45" t="s">
        <v>181</v>
      </c>
      <c r="B11" s="64" t="s">
        <v>85</v>
      </c>
      <c r="C11" s="65" t="s">
        <v>86</v>
      </c>
      <c r="D11" s="66" t="s">
        <v>87</v>
      </c>
      <c r="E11" s="86"/>
      <c r="F11" s="87"/>
      <c r="G11" s="87"/>
      <c r="H11" s="87"/>
      <c r="I11" s="86"/>
      <c r="J11" s="87"/>
      <c r="K11" s="87"/>
      <c r="L11" s="87"/>
      <c r="M11" s="87"/>
      <c r="N11" s="87"/>
      <c r="O11" s="87"/>
      <c r="P11" s="87"/>
      <c r="Q11" s="88"/>
      <c r="R11" s="87"/>
      <c r="S11" s="86"/>
      <c r="T11" s="86"/>
      <c r="U11" s="86"/>
      <c r="V11" s="86"/>
      <c r="W11" s="86"/>
      <c r="X11" s="86"/>
      <c r="Y11" s="87"/>
      <c r="Z11" s="86"/>
      <c r="AA11" s="86"/>
      <c r="AB11" s="86"/>
      <c r="AC11" s="86"/>
      <c r="AD11" s="89"/>
      <c r="AE11" s="88"/>
      <c r="AF11" s="88"/>
      <c r="AG11" s="88"/>
      <c r="AH11" s="88">
        <v>571.20000000000027</v>
      </c>
      <c r="AI11" s="88">
        <v>889.44000000000028</v>
      </c>
      <c r="AJ11" s="90">
        <v>650</v>
      </c>
      <c r="AK11" s="87">
        <v>16.32</v>
      </c>
      <c r="AL11" s="87">
        <v>416.1600000000002</v>
      </c>
      <c r="AM11" s="91">
        <f t="shared" si="0"/>
        <v>0.64024615384615413</v>
      </c>
      <c r="AN11" s="87">
        <f t="shared" si="1"/>
        <v>432.48000000000019</v>
      </c>
      <c r="AO11" s="92">
        <f t="shared" si="2"/>
        <v>0.66535384615384641</v>
      </c>
      <c r="AP11" s="50"/>
      <c r="AQ11" s="50"/>
    </row>
    <row r="12" spans="1:45" ht="12.75" customHeight="1" x14ac:dyDescent="0.25">
      <c r="A12" s="45" t="s">
        <v>181</v>
      </c>
      <c r="B12" s="75" t="s">
        <v>85</v>
      </c>
      <c r="C12" s="76" t="s">
        <v>86</v>
      </c>
      <c r="D12" s="77" t="s">
        <v>88</v>
      </c>
      <c r="E12" s="78"/>
      <c r="F12" s="79"/>
      <c r="G12" s="79"/>
      <c r="H12" s="79"/>
      <c r="I12" s="78"/>
      <c r="J12" s="79"/>
      <c r="K12" s="79"/>
      <c r="L12" s="79"/>
      <c r="M12" s="79"/>
      <c r="N12" s="79"/>
      <c r="O12" s="79"/>
      <c r="P12" s="79"/>
      <c r="Q12" s="80"/>
      <c r="R12" s="79"/>
      <c r="S12" s="78"/>
      <c r="T12" s="78"/>
      <c r="U12" s="78"/>
      <c r="V12" s="78"/>
      <c r="W12" s="78"/>
      <c r="X12" s="78"/>
      <c r="Y12" s="79"/>
      <c r="Z12" s="78"/>
      <c r="AA12" s="78"/>
      <c r="AB12" s="78"/>
      <c r="AC12" s="78"/>
      <c r="AD12" s="81"/>
      <c r="AE12" s="80"/>
      <c r="AF12" s="80"/>
      <c r="AG12" s="80"/>
      <c r="AH12" s="80">
        <v>505.92000000000024</v>
      </c>
      <c r="AI12" s="80">
        <v>1003.6799999999996</v>
      </c>
      <c r="AJ12" s="82">
        <v>650</v>
      </c>
      <c r="AK12" s="79">
        <v>163.19999999999999</v>
      </c>
      <c r="AL12" s="79">
        <v>57.11999999999999</v>
      </c>
      <c r="AM12" s="83">
        <f t="shared" si="0"/>
        <v>8.7876923076923061E-2</v>
      </c>
      <c r="AN12" s="79">
        <f t="shared" si="1"/>
        <v>220.32</v>
      </c>
      <c r="AO12" s="84">
        <f t="shared" si="2"/>
        <v>0.33895384615384616</v>
      </c>
      <c r="AP12" s="50"/>
      <c r="AQ12" s="50"/>
    </row>
    <row r="13" spans="1:45" ht="12.75" customHeight="1" x14ac:dyDescent="0.25">
      <c r="A13" s="45" t="s">
        <v>181</v>
      </c>
      <c r="B13" s="64" t="s">
        <v>89</v>
      </c>
      <c r="C13" s="65" t="s">
        <v>86</v>
      </c>
      <c r="D13" s="66" t="s">
        <v>90</v>
      </c>
      <c r="E13" s="86"/>
      <c r="F13" s="87"/>
      <c r="G13" s="87"/>
      <c r="H13" s="87"/>
      <c r="I13" s="86"/>
      <c r="J13" s="87"/>
      <c r="K13" s="87"/>
      <c r="L13" s="87"/>
      <c r="M13" s="87"/>
      <c r="N13" s="87"/>
      <c r="O13" s="87"/>
      <c r="P13" s="87"/>
      <c r="Q13" s="88"/>
      <c r="R13" s="87"/>
      <c r="S13" s="86"/>
      <c r="T13" s="86"/>
      <c r="U13" s="86"/>
      <c r="V13" s="86"/>
      <c r="W13" s="86"/>
      <c r="X13" s="86"/>
      <c r="Y13" s="87"/>
      <c r="Z13" s="86"/>
      <c r="AA13" s="86"/>
      <c r="AB13" s="86"/>
      <c r="AC13" s="86"/>
      <c r="AD13" s="89"/>
      <c r="AE13" s="88"/>
      <c r="AF13" s="88"/>
      <c r="AG13" s="88"/>
      <c r="AH13" s="88">
        <v>293.76000000000005</v>
      </c>
      <c r="AI13" s="88">
        <v>1011.8400000000003</v>
      </c>
      <c r="AJ13" s="90">
        <v>650</v>
      </c>
      <c r="AK13" s="87">
        <v>179.51999999999998</v>
      </c>
      <c r="AL13" s="87">
        <v>350.88</v>
      </c>
      <c r="AM13" s="91">
        <f t="shared" si="0"/>
        <v>0.53981538461538459</v>
      </c>
      <c r="AN13" s="87">
        <f t="shared" si="1"/>
        <v>530.4</v>
      </c>
      <c r="AO13" s="92">
        <f t="shared" si="2"/>
        <v>0.81599999999999995</v>
      </c>
      <c r="AP13" s="50"/>
      <c r="AQ13" s="50"/>
    </row>
    <row r="14" spans="1:45" ht="12.75" hidden="1" customHeight="1" x14ac:dyDescent="0.25">
      <c r="A14" s="45" t="s">
        <v>181</v>
      </c>
      <c r="B14" s="75" t="s">
        <v>89</v>
      </c>
      <c r="C14" s="76" t="s">
        <v>86</v>
      </c>
      <c r="D14" s="77" t="s">
        <v>91</v>
      </c>
      <c r="E14" s="78"/>
      <c r="F14" s="79"/>
      <c r="G14" s="79"/>
      <c r="H14" s="79"/>
      <c r="I14" s="78"/>
      <c r="J14" s="79"/>
      <c r="K14" s="79"/>
      <c r="L14" s="79"/>
      <c r="M14" s="79"/>
      <c r="N14" s="79"/>
      <c r="O14" s="79"/>
      <c r="P14" s="79"/>
      <c r="Q14" s="80"/>
      <c r="R14" s="79"/>
      <c r="S14" s="78"/>
      <c r="T14" s="78"/>
      <c r="U14" s="78"/>
      <c r="V14" s="78"/>
      <c r="W14" s="78"/>
      <c r="X14" s="78"/>
      <c r="Y14" s="79"/>
      <c r="Z14" s="78"/>
      <c r="AA14" s="78"/>
      <c r="AB14" s="78"/>
      <c r="AC14" s="78"/>
      <c r="AD14" s="81"/>
      <c r="AE14" s="80"/>
      <c r="AF14" s="80"/>
      <c r="AG14" s="80"/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A15" s="45" t="s">
        <v>181</v>
      </c>
      <c r="B15" s="75" t="s">
        <v>89</v>
      </c>
      <c r="C15" s="76" t="s">
        <v>86</v>
      </c>
      <c r="D15" s="77" t="s">
        <v>93</v>
      </c>
      <c r="E15" s="78"/>
      <c r="F15" s="79"/>
      <c r="G15" s="79"/>
      <c r="H15" s="79"/>
      <c r="I15" s="78"/>
      <c r="J15" s="79"/>
      <c r="K15" s="79"/>
      <c r="L15" s="79"/>
      <c r="M15" s="79"/>
      <c r="N15" s="79"/>
      <c r="O15" s="79"/>
      <c r="P15" s="79"/>
      <c r="Q15" s="80"/>
      <c r="R15" s="79"/>
      <c r="S15" s="78"/>
      <c r="T15" s="78"/>
      <c r="U15" s="78"/>
      <c r="V15" s="78"/>
      <c r="W15" s="78"/>
      <c r="X15" s="78"/>
      <c r="Y15" s="79"/>
      <c r="Z15" s="78"/>
      <c r="AA15" s="78"/>
      <c r="AB15" s="78"/>
      <c r="AC15" s="78"/>
      <c r="AD15" s="81"/>
      <c r="AE15" s="80"/>
      <c r="AF15" s="80"/>
      <c r="AG15" s="80"/>
      <c r="AH15" s="80">
        <v>1917.6</v>
      </c>
      <c r="AI15" s="80">
        <v>1240.3200000000002</v>
      </c>
      <c r="AJ15" s="82">
        <v>650</v>
      </c>
      <c r="AK15" s="79">
        <v>0</v>
      </c>
      <c r="AL15" s="79">
        <v>16.32</v>
      </c>
      <c r="AM15" s="83">
        <f t="shared" si="0"/>
        <v>2.5107692307692307E-2</v>
      </c>
      <c r="AN15" s="79">
        <f t="shared" si="1"/>
        <v>16.32</v>
      </c>
      <c r="AO15" s="84">
        <f t="shared" si="2"/>
        <v>2.5107692307692307E-2</v>
      </c>
      <c r="AP15" s="50"/>
      <c r="AQ15" s="50"/>
    </row>
    <row r="16" spans="1:45" ht="12.75" customHeight="1" x14ac:dyDescent="0.25">
      <c r="A16" s="45" t="s">
        <v>181</v>
      </c>
      <c r="B16" s="64" t="s">
        <v>94</v>
      </c>
      <c r="C16" s="65" t="s">
        <v>86</v>
      </c>
      <c r="D16" s="66" t="s">
        <v>95</v>
      </c>
      <c r="E16" s="86"/>
      <c r="F16" s="87"/>
      <c r="G16" s="87"/>
      <c r="H16" s="87"/>
      <c r="I16" s="86"/>
      <c r="J16" s="87"/>
      <c r="K16" s="87"/>
      <c r="L16" s="87"/>
      <c r="M16" s="87"/>
      <c r="N16" s="87"/>
      <c r="O16" s="87"/>
      <c r="P16" s="87"/>
      <c r="Q16" s="88"/>
      <c r="R16" s="87"/>
      <c r="S16" s="86"/>
      <c r="T16" s="86"/>
      <c r="U16" s="86"/>
      <c r="V16" s="86"/>
      <c r="W16" s="86"/>
      <c r="X16" s="86"/>
      <c r="Y16" s="87"/>
      <c r="Z16" s="86"/>
      <c r="AA16" s="86"/>
      <c r="AB16" s="86"/>
      <c r="AC16" s="86"/>
      <c r="AD16" s="89"/>
      <c r="AE16" s="88"/>
      <c r="AF16" s="88"/>
      <c r="AG16" s="88"/>
      <c r="AH16" s="88">
        <v>881.28</v>
      </c>
      <c r="AI16" s="88">
        <v>1166.8799999999999</v>
      </c>
      <c r="AJ16" s="90">
        <v>650</v>
      </c>
      <c r="AK16" s="87">
        <v>0</v>
      </c>
      <c r="AL16" s="87">
        <v>130.56</v>
      </c>
      <c r="AM16" s="91">
        <f>IFERROR(AL16/AJ16,0)</f>
        <v>0.20086153846153845</v>
      </c>
      <c r="AN16" s="87">
        <f>+AK16+AL16</f>
        <v>130.56</v>
      </c>
      <c r="AO16" s="92">
        <f>IFERROR(+AN16/AJ16,0)</f>
        <v>0.20086153846153845</v>
      </c>
      <c r="AP16" s="50"/>
      <c r="AQ16" s="50"/>
    </row>
    <row r="17" spans="1:45" ht="12.75" customHeight="1" thickBot="1" x14ac:dyDescent="0.3">
      <c r="A17" s="45" t="s">
        <v>181</v>
      </c>
      <c r="B17" s="75" t="s">
        <v>94</v>
      </c>
      <c r="C17" s="76" t="s">
        <v>86</v>
      </c>
      <c r="D17" s="77" t="s">
        <v>96</v>
      </c>
      <c r="E17" s="78"/>
      <c r="F17" s="79"/>
      <c r="G17" s="79"/>
      <c r="H17" s="79"/>
      <c r="I17" s="78"/>
      <c r="J17" s="79"/>
      <c r="K17" s="79"/>
      <c r="L17" s="79"/>
      <c r="M17" s="79"/>
      <c r="N17" s="79"/>
      <c r="O17" s="79"/>
      <c r="P17" s="79"/>
      <c r="Q17" s="80"/>
      <c r="R17" s="79"/>
      <c r="S17" s="78"/>
      <c r="T17" s="78"/>
      <c r="U17" s="78"/>
      <c r="V17" s="78"/>
      <c r="W17" s="78"/>
      <c r="X17" s="78"/>
      <c r="Y17" s="79"/>
      <c r="Z17" s="78"/>
      <c r="AA17" s="78"/>
      <c r="AB17" s="78"/>
      <c r="AC17" s="78"/>
      <c r="AD17" s="81"/>
      <c r="AE17" s="93"/>
      <c r="AF17" s="93"/>
      <c r="AG17" s="93"/>
      <c r="AH17" s="93">
        <v>864.9599999999997</v>
      </c>
      <c r="AI17" s="93">
        <v>930.2399999999999</v>
      </c>
      <c r="AJ17" s="94">
        <v>650</v>
      </c>
      <c r="AK17" s="95">
        <v>0</v>
      </c>
      <c r="AL17" s="95">
        <v>187.68</v>
      </c>
      <c r="AM17" s="96">
        <f>IFERROR(AL17/AJ17,0)</f>
        <v>0.28873846153846155</v>
      </c>
      <c r="AN17" s="95">
        <f>+AK17+AL17</f>
        <v>187.68</v>
      </c>
      <c r="AO17" s="97">
        <f>IFERROR(+AN17/AJ17,0)</f>
        <v>0.28873846153846155</v>
      </c>
      <c r="AP17" s="50"/>
      <c r="AQ17" s="50"/>
    </row>
    <row r="18" spans="1:45" s="109" customFormat="1" ht="12.75" customHeight="1" thickBot="1" x14ac:dyDescent="0.35">
      <c r="A18" s="45" t="s">
        <v>181</v>
      </c>
      <c r="B18" s="98"/>
      <c r="C18" s="99"/>
      <c r="D18" s="100" t="s">
        <v>97</v>
      </c>
      <c r="E18" s="101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3"/>
      <c r="R18" s="102"/>
      <c r="S18" s="101"/>
      <c r="T18" s="101"/>
      <c r="U18" s="101"/>
      <c r="V18" s="101"/>
      <c r="W18" s="101"/>
      <c r="X18" s="101"/>
      <c r="Y18" s="102"/>
      <c r="Z18" s="101"/>
      <c r="AA18" s="101"/>
      <c r="AB18" s="101"/>
      <c r="AC18" s="101"/>
      <c r="AD18" s="104"/>
      <c r="AE18" s="103"/>
      <c r="AF18" s="103"/>
      <c r="AG18" s="103"/>
      <c r="AH18" s="103">
        <v>8633.2800000000007</v>
      </c>
      <c r="AI18" s="103">
        <v>13227.36</v>
      </c>
      <c r="AJ18" s="105">
        <v>8450</v>
      </c>
      <c r="AK18" s="102">
        <f t="shared" ref="AK18:AN18" si="3">+SUM(AK3:AK17)</f>
        <v>2725.4399999999996</v>
      </c>
      <c r="AL18" s="102">
        <f t="shared" si="3"/>
        <v>2578.56</v>
      </c>
      <c r="AM18" s="106">
        <f t="shared" si="0"/>
        <v>0.30515502958579882</v>
      </c>
      <c r="AN18" s="102">
        <f t="shared" si="3"/>
        <v>5304</v>
      </c>
      <c r="AO18" s="107">
        <f t="shared" si="2"/>
        <v>0.62769230769230766</v>
      </c>
      <c r="AP18" s="49"/>
      <c r="AQ18" s="49"/>
      <c r="AR18" s="108"/>
      <c r="AS18" s="47"/>
    </row>
    <row r="19" spans="1:45" ht="12.75" customHeight="1" x14ac:dyDescent="0.25">
      <c r="A19" s="45" t="s">
        <v>181</v>
      </c>
      <c r="B19" s="64" t="s">
        <v>98</v>
      </c>
      <c r="C19" s="65" t="s">
        <v>99</v>
      </c>
      <c r="D19" s="66" t="s">
        <v>100</v>
      </c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R19" s="68"/>
      <c r="S19" s="67"/>
      <c r="T19" s="67"/>
      <c r="U19" s="67"/>
      <c r="V19" s="67"/>
      <c r="W19" s="67"/>
      <c r="X19" s="67"/>
      <c r="Y19" s="68"/>
      <c r="Z19" s="67"/>
      <c r="AA19" s="67"/>
      <c r="AB19" s="67"/>
      <c r="AC19" s="67"/>
      <c r="AD19" s="70"/>
      <c r="AE19" s="69"/>
      <c r="AF19" s="69"/>
      <c r="AG19" s="69"/>
      <c r="AH19" s="69">
        <v>0</v>
      </c>
      <c r="AI19" s="69">
        <v>81.599999999999994</v>
      </c>
      <c r="AJ19" s="110">
        <v>200</v>
      </c>
      <c r="AK19" s="68">
        <v>0</v>
      </c>
      <c r="AL19" s="68">
        <v>0</v>
      </c>
      <c r="AM19" s="111">
        <f>IFERROR(AL19/AJ19,0)</f>
        <v>0</v>
      </c>
      <c r="AN19" s="68">
        <f>+AK19+AL19</f>
        <v>0</v>
      </c>
      <c r="AO19" s="112">
        <f>IFERROR(+AN19/AJ19,0)</f>
        <v>0</v>
      </c>
      <c r="AP19" s="50"/>
      <c r="AQ19" s="50"/>
    </row>
    <row r="20" spans="1:45" ht="12.75" customHeight="1" x14ac:dyDescent="0.25">
      <c r="A20" s="45" t="s">
        <v>181</v>
      </c>
      <c r="B20" s="75" t="s">
        <v>98</v>
      </c>
      <c r="C20" s="113" t="s">
        <v>99</v>
      </c>
      <c r="D20" s="77" t="s">
        <v>101</v>
      </c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0"/>
      <c r="R20" s="79"/>
      <c r="S20" s="78"/>
      <c r="T20" s="78"/>
      <c r="U20" s="78"/>
      <c r="V20" s="78"/>
      <c r="W20" s="78"/>
      <c r="X20" s="78"/>
      <c r="Y20" s="79"/>
      <c r="Z20" s="78"/>
      <c r="AA20" s="78"/>
      <c r="AB20" s="78"/>
      <c r="AC20" s="78"/>
      <c r="AD20" s="81"/>
      <c r="AE20" s="80"/>
      <c r="AF20" s="80"/>
      <c r="AG20" s="80"/>
      <c r="AH20" s="80">
        <v>32.64</v>
      </c>
      <c r="AI20" s="80">
        <v>2366.4</v>
      </c>
      <c r="AJ20" s="114">
        <v>400</v>
      </c>
      <c r="AK20" s="79">
        <v>816</v>
      </c>
      <c r="AL20" s="79">
        <v>-8.16</v>
      </c>
      <c r="AM20" s="83">
        <f>IFERROR(AL20/AJ20,0)</f>
        <v>-2.0400000000000001E-2</v>
      </c>
      <c r="AN20" s="79">
        <f>+AK20+AL20</f>
        <v>807.84</v>
      </c>
      <c r="AO20" s="84">
        <f>IFERROR(+AN20/AJ20,0)</f>
        <v>2.0196000000000001</v>
      </c>
      <c r="AP20" s="50"/>
      <c r="AQ20" s="50"/>
    </row>
    <row r="21" spans="1:45" ht="12.75" customHeight="1" thickBot="1" x14ac:dyDescent="0.3">
      <c r="A21" s="45" t="s">
        <v>181</v>
      </c>
      <c r="B21" s="64" t="s">
        <v>98</v>
      </c>
      <c r="C21" s="65" t="s">
        <v>99</v>
      </c>
      <c r="D21" s="66" t="s">
        <v>102</v>
      </c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87"/>
      <c r="S21" s="86"/>
      <c r="T21" s="86"/>
      <c r="U21" s="86"/>
      <c r="V21" s="86"/>
      <c r="W21" s="86"/>
      <c r="X21" s="86"/>
      <c r="Y21" s="87"/>
      <c r="Z21" s="86"/>
      <c r="AA21" s="86"/>
      <c r="AB21" s="86"/>
      <c r="AC21" s="86"/>
      <c r="AD21" s="89"/>
      <c r="AE21" s="88"/>
      <c r="AF21" s="88"/>
      <c r="AG21" s="88"/>
      <c r="AH21" s="88">
        <v>48.96</v>
      </c>
      <c r="AI21" s="88">
        <v>3410.88</v>
      </c>
      <c r="AJ21" s="115">
        <v>400</v>
      </c>
      <c r="AK21" s="87">
        <v>0</v>
      </c>
      <c r="AL21" s="87">
        <v>701.76</v>
      </c>
      <c r="AM21" s="91">
        <f>IFERROR(AL21/AJ21,0)</f>
        <v>1.7544</v>
      </c>
      <c r="AN21" s="87">
        <f>+AK21+AL21</f>
        <v>701.76</v>
      </c>
      <c r="AO21" s="92">
        <f>IFERROR(+AN21/AJ21,0)</f>
        <v>1.7544</v>
      </c>
      <c r="AP21" s="50"/>
      <c r="AQ21" s="50"/>
    </row>
    <row r="22" spans="1:45" s="109" customFormat="1" ht="12.75" customHeight="1" thickBot="1" x14ac:dyDescent="0.35">
      <c r="A22" s="45" t="s">
        <v>181</v>
      </c>
      <c r="B22" s="98"/>
      <c r="C22" s="99"/>
      <c r="D22" s="100" t="s">
        <v>103</v>
      </c>
      <c r="E22" s="101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3"/>
      <c r="R22" s="102"/>
      <c r="S22" s="101"/>
      <c r="T22" s="101"/>
      <c r="U22" s="101"/>
      <c r="V22" s="101"/>
      <c r="W22" s="101"/>
      <c r="X22" s="101"/>
      <c r="Y22" s="102"/>
      <c r="Z22" s="101"/>
      <c r="AA22" s="101"/>
      <c r="AB22" s="101"/>
      <c r="AC22" s="101"/>
      <c r="AD22" s="104"/>
      <c r="AE22" s="103"/>
      <c r="AF22" s="103"/>
      <c r="AG22" s="103"/>
      <c r="AH22" s="103">
        <v>81.599999999999994</v>
      </c>
      <c r="AI22" s="103">
        <v>5858.88</v>
      </c>
      <c r="AJ22" s="105">
        <v>1000</v>
      </c>
      <c r="AK22" s="102">
        <f t="shared" ref="AK22:AN22" si="4">+SUM(AK19:AK21)</f>
        <v>816</v>
      </c>
      <c r="AL22" s="102">
        <f t="shared" si="4"/>
        <v>693.6</v>
      </c>
      <c r="AM22" s="106">
        <f t="shared" ref="AM22:AM28" si="5">IFERROR(AL22/AJ22,0)</f>
        <v>0.69359999999999999</v>
      </c>
      <c r="AN22" s="102">
        <f t="shared" si="4"/>
        <v>1509.6</v>
      </c>
      <c r="AO22" s="107">
        <f t="shared" ref="AO22:AO28" si="6">IFERROR(+AN22/AJ22,0)</f>
        <v>1.5095999999999998</v>
      </c>
      <c r="AP22" s="49"/>
      <c r="AQ22" s="49"/>
      <c r="AR22" s="108"/>
      <c r="AS22" s="47"/>
    </row>
    <row r="23" spans="1:45" ht="12.75" customHeight="1" x14ac:dyDescent="0.25">
      <c r="A23" s="45" t="s">
        <v>181</v>
      </c>
      <c r="B23" s="64" t="s">
        <v>104</v>
      </c>
      <c r="C23" s="65" t="s">
        <v>105</v>
      </c>
      <c r="D23" s="66" t="s">
        <v>106</v>
      </c>
      <c r="E23" s="86"/>
      <c r="F23" s="87"/>
      <c r="G23" s="87"/>
      <c r="H23" s="87"/>
      <c r="I23" s="86"/>
      <c r="J23" s="87"/>
      <c r="K23" s="87"/>
      <c r="L23" s="87"/>
      <c r="M23" s="87"/>
      <c r="N23" s="87"/>
      <c r="O23" s="87"/>
      <c r="P23" s="87"/>
      <c r="Q23" s="88"/>
      <c r="R23" s="87"/>
      <c r="S23" s="86"/>
      <c r="T23" s="86"/>
      <c r="U23" s="86"/>
      <c r="V23" s="86"/>
      <c r="W23" s="86"/>
      <c r="X23" s="86"/>
      <c r="Y23" s="87"/>
      <c r="Z23" s="86"/>
      <c r="AA23" s="86"/>
      <c r="AB23" s="86"/>
      <c r="AC23" s="86"/>
      <c r="AD23" s="89"/>
      <c r="AE23" s="88"/>
      <c r="AF23" s="88"/>
      <c r="AG23" s="88"/>
      <c r="AH23" s="88">
        <v>375.36</v>
      </c>
      <c r="AI23" s="88">
        <v>554.88</v>
      </c>
      <c r="AJ23" s="115">
        <v>250</v>
      </c>
      <c r="AK23" s="87">
        <v>0</v>
      </c>
      <c r="AL23" s="87">
        <v>195.83999999999997</v>
      </c>
      <c r="AM23" s="91">
        <f>IFERROR(AL23/AJ23,0)</f>
        <v>0.78335999999999995</v>
      </c>
      <c r="AN23" s="87">
        <f t="shared" ref="AN23" si="7">+AK23+AL23</f>
        <v>195.83999999999997</v>
      </c>
      <c r="AO23" s="92">
        <f>IFERROR(+AN23/AJ23,0)</f>
        <v>0.78335999999999995</v>
      </c>
      <c r="AP23" s="50"/>
      <c r="AQ23" s="50"/>
    </row>
    <row r="24" spans="1:45" ht="12.75" customHeight="1" x14ac:dyDescent="0.25">
      <c r="A24" s="45" t="s">
        <v>181</v>
      </c>
      <c r="B24" s="75" t="s">
        <v>107</v>
      </c>
      <c r="C24" s="76" t="s">
        <v>105</v>
      </c>
      <c r="D24" s="77" t="s">
        <v>108</v>
      </c>
      <c r="E24" s="78"/>
      <c r="F24" s="79"/>
      <c r="G24" s="79"/>
      <c r="H24" s="79"/>
      <c r="I24" s="78"/>
      <c r="J24" s="79"/>
      <c r="K24" s="79"/>
      <c r="L24" s="79"/>
      <c r="M24" s="79"/>
      <c r="N24" s="79"/>
      <c r="O24" s="79"/>
      <c r="P24" s="79"/>
      <c r="Q24" s="80"/>
      <c r="R24" s="79"/>
      <c r="S24" s="78"/>
      <c r="T24" s="78"/>
      <c r="U24" s="78"/>
      <c r="V24" s="78"/>
      <c r="W24" s="78"/>
      <c r="X24" s="78"/>
      <c r="Y24" s="79"/>
      <c r="Z24" s="78"/>
      <c r="AA24" s="78"/>
      <c r="AB24" s="78"/>
      <c r="AC24" s="78"/>
      <c r="AD24" s="81"/>
      <c r="AE24" s="80"/>
      <c r="AF24" s="80"/>
      <c r="AG24" s="80"/>
      <c r="AH24" s="80">
        <v>1713.6</v>
      </c>
      <c r="AI24" s="80">
        <v>1387.2</v>
      </c>
      <c r="AJ24" s="114">
        <v>300</v>
      </c>
      <c r="AK24" s="79">
        <v>0</v>
      </c>
      <c r="AL24" s="79">
        <v>505.92000000000007</v>
      </c>
      <c r="AM24" s="83">
        <f t="shared" si="5"/>
        <v>1.6864000000000003</v>
      </c>
      <c r="AN24" s="79">
        <f>+AK24+AL24</f>
        <v>505.92000000000007</v>
      </c>
      <c r="AO24" s="84">
        <f t="shared" si="6"/>
        <v>1.6864000000000003</v>
      </c>
      <c r="AP24" s="50"/>
      <c r="AQ24" s="50"/>
    </row>
    <row r="25" spans="1:45" ht="12.75" customHeight="1" x14ac:dyDescent="0.25">
      <c r="A25" s="45" t="s">
        <v>181</v>
      </c>
      <c r="B25" s="64" t="s">
        <v>109</v>
      </c>
      <c r="C25" s="65" t="s">
        <v>105</v>
      </c>
      <c r="D25" s="66" t="s">
        <v>110</v>
      </c>
      <c r="E25" s="86"/>
      <c r="F25" s="87"/>
      <c r="G25" s="87"/>
      <c r="H25" s="87"/>
      <c r="I25" s="86"/>
      <c r="J25" s="87"/>
      <c r="K25" s="87"/>
      <c r="L25" s="87"/>
      <c r="M25" s="87"/>
      <c r="N25" s="87"/>
      <c r="O25" s="87"/>
      <c r="P25" s="87"/>
      <c r="Q25" s="88"/>
      <c r="R25" s="87"/>
      <c r="S25" s="86"/>
      <c r="T25" s="86"/>
      <c r="U25" s="86"/>
      <c r="V25" s="86"/>
      <c r="W25" s="86"/>
      <c r="X25" s="86"/>
      <c r="Y25" s="87"/>
      <c r="Z25" s="86"/>
      <c r="AA25" s="86"/>
      <c r="AB25" s="86"/>
      <c r="AC25" s="86"/>
      <c r="AD25" s="89"/>
      <c r="AE25" s="88"/>
      <c r="AF25" s="88"/>
      <c r="AG25" s="88"/>
      <c r="AH25" s="88">
        <v>252.96000000000004</v>
      </c>
      <c r="AI25" s="88">
        <v>636.48000000000013</v>
      </c>
      <c r="AJ25" s="115">
        <v>250</v>
      </c>
      <c r="AK25" s="87">
        <v>0</v>
      </c>
      <c r="AL25" s="87">
        <v>0</v>
      </c>
      <c r="AM25" s="91">
        <f t="shared" si="5"/>
        <v>0</v>
      </c>
      <c r="AN25" s="87">
        <f>+AK25+AL25</f>
        <v>0</v>
      </c>
      <c r="AO25" s="92">
        <f t="shared" si="6"/>
        <v>0</v>
      </c>
      <c r="AP25" s="50"/>
      <c r="AQ25" s="50"/>
    </row>
    <row r="26" spans="1:45" ht="12.75" customHeight="1" x14ac:dyDescent="0.25">
      <c r="A26" s="45" t="s">
        <v>181</v>
      </c>
      <c r="B26" s="75" t="s">
        <v>109</v>
      </c>
      <c r="C26" s="76" t="s">
        <v>105</v>
      </c>
      <c r="D26" s="77" t="s">
        <v>111</v>
      </c>
      <c r="E26" s="78"/>
      <c r="F26" s="79"/>
      <c r="G26" s="79"/>
      <c r="H26" s="79"/>
      <c r="I26" s="78"/>
      <c r="J26" s="79"/>
      <c r="K26" s="79"/>
      <c r="L26" s="79"/>
      <c r="M26" s="79"/>
      <c r="N26" s="79"/>
      <c r="O26" s="79"/>
      <c r="P26" s="79"/>
      <c r="Q26" s="80"/>
      <c r="R26" s="79"/>
      <c r="S26" s="78"/>
      <c r="T26" s="78"/>
      <c r="U26" s="78"/>
      <c r="V26" s="78"/>
      <c r="W26" s="78"/>
      <c r="X26" s="78"/>
      <c r="Y26" s="79"/>
      <c r="Z26" s="78"/>
      <c r="AA26" s="78"/>
      <c r="AB26" s="78"/>
      <c r="AC26" s="78"/>
      <c r="AD26" s="81"/>
      <c r="AE26" s="80"/>
      <c r="AF26" s="80"/>
      <c r="AG26" s="80"/>
      <c r="AH26" s="80">
        <v>1974.72</v>
      </c>
      <c r="AI26" s="80">
        <v>163.19999999999999</v>
      </c>
      <c r="AJ26" s="114">
        <v>300</v>
      </c>
      <c r="AK26" s="79">
        <v>0</v>
      </c>
      <c r="AL26" s="79">
        <v>0</v>
      </c>
      <c r="AM26" s="83">
        <f t="shared" si="5"/>
        <v>0</v>
      </c>
      <c r="AN26" s="79">
        <f>+AK26+AL26</f>
        <v>0</v>
      </c>
      <c r="AO26" s="84">
        <f t="shared" si="6"/>
        <v>0</v>
      </c>
      <c r="AP26" s="50"/>
      <c r="AQ26" s="50"/>
    </row>
    <row r="27" spans="1:45" ht="12.75" customHeight="1" thickBot="1" x14ac:dyDescent="0.3">
      <c r="A27" s="45" t="s">
        <v>181</v>
      </c>
      <c r="B27" s="64" t="s">
        <v>112</v>
      </c>
      <c r="C27" s="65" t="s">
        <v>105</v>
      </c>
      <c r="D27" s="66" t="s">
        <v>113</v>
      </c>
      <c r="E27" s="86"/>
      <c r="F27" s="87"/>
      <c r="G27" s="87"/>
      <c r="H27" s="87"/>
      <c r="I27" s="86"/>
      <c r="J27" s="87"/>
      <c r="K27" s="87"/>
      <c r="L27" s="87"/>
      <c r="M27" s="87"/>
      <c r="N27" s="87"/>
      <c r="O27" s="87"/>
      <c r="P27" s="87"/>
      <c r="Q27" s="88"/>
      <c r="R27" s="87"/>
      <c r="S27" s="86"/>
      <c r="T27" s="86"/>
      <c r="U27" s="86"/>
      <c r="V27" s="86"/>
      <c r="W27" s="86"/>
      <c r="X27" s="86"/>
      <c r="Y27" s="87"/>
      <c r="Z27" s="86"/>
      <c r="AA27" s="86"/>
      <c r="AB27" s="86"/>
      <c r="AC27" s="86"/>
      <c r="AD27" s="89"/>
      <c r="AE27" s="88"/>
      <c r="AF27" s="88"/>
      <c r="AG27" s="88"/>
      <c r="AH27" s="88">
        <v>2578.5600000000004</v>
      </c>
      <c r="AI27" s="88">
        <v>1354.56</v>
      </c>
      <c r="AJ27" s="115">
        <v>400</v>
      </c>
      <c r="AK27" s="87">
        <v>0</v>
      </c>
      <c r="AL27" s="87">
        <v>0</v>
      </c>
      <c r="AM27" s="91">
        <f t="shared" si="5"/>
        <v>0</v>
      </c>
      <c r="AN27" s="87">
        <f t="shared" ref="AN27" si="8">+AK27+AL27</f>
        <v>0</v>
      </c>
      <c r="AO27" s="92">
        <f t="shared" si="6"/>
        <v>0</v>
      </c>
      <c r="AP27" s="50"/>
      <c r="AQ27" s="50"/>
    </row>
    <row r="28" spans="1:45" s="109" customFormat="1" ht="12.75" customHeight="1" thickBot="1" x14ac:dyDescent="0.35">
      <c r="A28" s="45" t="s">
        <v>181</v>
      </c>
      <c r="B28" s="98"/>
      <c r="C28" s="99"/>
      <c r="D28" s="100" t="s">
        <v>114</v>
      </c>
      <c r="E28" s="101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3"/>
      <c r="R28" s="102"/>
      <c r="S28" s="101"/>
      <c r="T28" s="101"/>
      <c r="U28" s="101"/>
      <c r="V28" s="101"/>
      <c r="W28" s="101"/>
      <c r="X28" s="101"/>
      <c r="Y28" s="102"/>
      <c r="Z28" s="101"/>
      <c r="AA28" s="101"/>
      <c r="AB28" s="101"/>
      <c r="AC28" s="101"/>
      <c r="AD28" s="104"/>
      <c r="AE28" s="103"/>
      <c r="AF28" s="103"/>
      <c r="AG28" s="103"/>
      <c r="AH28" s="103">
        <v>6895.2000000000007</v>
      </c>
      <c r="AI28" s="103">
        <v>4096.32</v>
      </c>
      <c r="AJ28" s="105">
        <v>1500</v>
      </c>
      <c r="AK28" s="102">
        <f>+SUM(AK23:AK27)</f>
        <v>0</v>
      </c>
      <c r="AL28" s="102">
        <f>+SUM(AL23:AL27)</f>
        <v>701.76</v>
      </c>
      <c r="AM28" s="106">
        <f t="shared" si="5"/>
        <v>0.46783999999999998</v>
      </c>
      <c r="AN28" s="102">
        <f>+SUM(AN23:AN27)</f>
        <v>701.76</v>
      </c>
      <c r="AO28" s="107">
        <f t="shared" si="6"/>
        <v>0.46783999999999998</v>
      </c>
      <c r="AP28" s="49"/>
      <c r="AQ28" s="49"/>
      <c r="AR28" s="108"/>
      <c r="AS28" s="47"/>
    </row>
    <row r="29" spans="1:45" ht="12.75" customHeight="1" thickBot="1" x14ac:dyDescent="0.3">
      <c r="A29" s="45" t="s">
        <v>181</v>
      </c>
      <c r="B29" s="64" t="s">
        <v>115</v>
      </c>
      <c r="C29" s="65" t="s">
        <v>105</v>
      </c>
      <c r="D29" s="66" t="s">
        <v>116</v>
      </c>
      <c r="E29" s="86"/>
      <c r="F29" s="87"/>
      <c r="G29" s="87"/>
      <c r="H29" s="87"/>
      <c r="I29" s="86"/>
      <c r="J29" s="87"/>
      <c r="K29" s="87"/>
      <c r="L29" s="87"/>
      <c r="M29" s="87"/>
      <c r="N29" s="87"/>
      <c r="O29" s="87"/>
      <c r="P29" s="87"/>
      <c r="Q29" s="88"/>
      <c r="R29" s="87"/>
      <c r="S29" s="86"/>
      <c r="T29" s="86"/>
      <c r="U29" s="86"/>
      <c r="V29" s="86"/>
      <c r="W29" s="86"/>
      <c r="X29" s="86"/>
      <c r="Y29" s="87"/>
      <c r="Z29" s="86"/>
      <c r="AA29" s="86"/>
      <c r="AB29" s="86"/>
      <c r="AC29" s="86"/>
      <c r="AD29" s="89"/>
      <c r="AE29" s="88"/>
      <c r="AF29" s="88"/>
      <c r="AG29" s="88"/>
      <c r="AH29" s="88">
        <v>0</v>
      </c>
      <c r="AI29" s="88">
        <v>16.32</v>
      </c>
      <c r="AJ29" s="115">
        <v>50</v>
      </c>
      <c r="AK29" s="87">
        <v>0</v>
      </c>
      <c r="AL29" s="87">
        <v>0</v>
      </c>
      <c r="AM29" s="91">
        <f>IFERROR(AL29/AJ29,0)</f>
        <v>0</v>
      </c>
      <c r="AN29" s="87">
        <f>+AK29+AL29</f>
        <v>0</v>
      </c>
      <c r="AO29" s="92">
        <f>IFERROR(+AN29/AJ29,0)</f>
        <v>0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 t="s">
        <v>181</v>
      </c>
      <c r="B30" s="98"/>
      <c r="C30" s="99"/>
      <c r="D30" s="100" t="s">
        <v>118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3"/>
      <c r="AE30" s="103"/>
      <c r="AF30" s="103"/>
      <c r="AG30" s="103"/>
      <c r="AH30" s="103">
        <v>0</v>
      </c>
      <c r="AI30" s="103">
        <v>16.32</v>
      </c>
      <c r="AJ30" s="105">
        <v>50</v>
      </c>
      <c r="AK30" s="102">
        <f t="shared" ref="AK30" si="9">+SUM(AK29)</f>
        <v>0</v>
      </c>
      <c r="AL30" s="102">
        <f>+SUM(AL29)</f>
        <v>0</v>
      </c>
      <c r="AM30" s="106">
        <f t="shared" ref="AM30" si="10">IFERROR(AL30/AJ30,0)</f>
        <v>0</v>
      </c>
      <c r="AN30" s="102">
        <f>+SUM(AN29)</f>
        <v>0</v>
      </c>
      <c r="AO30" s="107">
        <f t="shared" ref="AO30" si="11">IFERROR(+AN30/AJ30,0)</f>
        <v>0</v>
      </c>
      <c r="AP30" s="49"/>
      <c r="AQ30" s="49"/>
      <c r="AR30" s="108"/>
      <c r="AS30" s="47"/>
    </row>
    <row r="31" spans="1:45" ht="12.75" customHeight="1" x14ac:dyDescent="0.25">
      <c r="A31" s="45" t="s">
        <v>181</v>
      </c>
      <c r="B31" s="75" t="s">
        <v>119</v>
      </c>
      <c r="C31" s="76" t="s">
        <v>120</v>
      </c>
      <c r="D31" s="77" t="s">
        <v>121</v>
      </c>
      <c r="E31" s="116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117"/>
      <c r="S31" s="116"/>
      <c r="T31" s="116"/>
      <c r="U31" s="116"/>
      <c r="V31" s="116"/>
      <c r="W31" s="116"/>
      <c r="X31" s="116"/>
      <c r="Y31" s="117"/>
      <c r="Z31" s="116"/>
      <c r="AA31" s="116"/>
      <c r="AB31" s="116"/>
      <c r="AC31" s="116"/>
      <c r="AD31" s="119"/>
      <c r="AE31" s="118"/>
      <c r="AF31" s="118"/>
      <c r="AG31" s="118"/>
      <c r="AH31" s="118">
        <v>0</v>
      </c>
      <c r="AI31" s="118">
        <v>0</v>
      </c>
      <c r="AJ31" s="120">
        <v>0</v>
      </c>
      <c r="AK31" s="117">
        <v>0</v>
      </c>
      <c r="AL31" s="117">
        <v>0</v>
      </c>
      <c r="AM31" s="121">
        <f t="shared" si="0"/>
        <v>0</v>
      </c>
      <c r="AN31" s="117">
        <f t="shared" ref="AN31:AN55" si="12">+AK31+AL31</f>
        <v>0</v>
      </c>
      <c r="AO31" s="122">
        <f t="shared" si="2"/>
        <v>0</v>
      </c>
      <c r="AP31" s="50"/>
      <c r="AQ31" s="50"/>
    </row>
    <row r="32" spans="1:45" ht="12.75" customHeight="1" thickBot="1" x14ac:dyDescent="0.3">
      <c r="A32" s="45" t="s">
        <v>181</v>
      </c>
      <c r="B32" s="64" t="s">
        <v>119</v>
      </c>
      <c r="C32" s="65" t="s">
        <v>120</v>
      </c>
      <c r="D32" s="66" t="s">
        <v>122</v>
      </c>
      <c r="E32" s="123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4"/>
      <c r="S32" s="123"/>
      <c r="T32" s="123"/>
      <c r="U32" s="123"/>
      <c r="V32" s="123"/>
      <c r="W32" s="123"/>
      <c r="X32" s="123"/>
      <c r="Y32" s="124"/>
      <c r="Z32" s="123"/>
      <c r="AA32" s="123"/>
      <c r="AB32" s="123"/>
      <c r="AC32" s="123"/>
      <c r="AD32" s="126"/>
      <c r="AE32" s="125"/>
      <c r="AF32" s="125"/>
      <c r="AG32" s="125"/>
      <c r="AH32" s="125">
        <v>0</v>
      </c>
      <c r="AI32" s="125">
        <v>0</v>
      </c>
      <c r="AJ32" s="127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A33" s="45" t="s">
        <v>181</v>
      </c>
      <c r="B33" s="98"/>
      <c r="C33" s="99"/>
      <c r="D33" s="100" t="s">
        <v>124</v>
      </c>
      <c r="E33" s="101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102"/>
      <c r="S33" s="101"/>
      <c r="T33" s="101"/>
      <c r="U33" s="101"/>
      <c r="V33" s="101"/>
      <c r="W33" s="101"/>
      <c r="X33" s="101"/>
      <c r="Y33" s="102"/>
      <c r="Z33" s="101"/>
      <c r="AA33" s="101"/>
      <c r="AB33" s="101"/>
      <c r="AC33" s="101"/>
      <c r="AD33" s="104"/>
      <c r="AE33" s="103"/>
      <c r="AF33" s="103"/>
      <c r="AG33" s="103"/>
      <c r="AH33" s="103">
        <v>0</v>
      </c>
      <c r="AI33" s="103">
        <v>0</v>
      </c>
      <c r="AJ33" s="105">
        <v>0</v>
      </c>
      <c r="AK33" s="102">
        <f>+AK31+AK32</f>
        <v>0</v>
      </c>
      <c r="AL33" s="102">
        <f>+AL31+AL32</f>
        <v>0</v>
      </c>
      <c r="AM33" s="106">
        <f t="shared" si="0"/>
        <v>0</v>
      </c>
      <c r="AN33" s="102">
        <f>+AN31+AN32</f>
        <v>0</v>
      </c>
      <c r="AO33" s="107">
        <f t="shared" si="2"/>
        <v>0</v>
      </c>
      <c r="AP33" s="50"/>
      <c r="AQ33" s="50"/>
    </row>
    <row r="34" spans="1:48" ht="12.75" hidden="1" customHeight="1" thickBot="1" x14ac:dyDescent="0.3">
      <c r="A34" s="45" t="s">
        <v>181</v>
      </c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5" t="s">
        <v>181</v>
      </c>
      <c r="B35" s="75" t="s">
        <v>29</v>
      </c>
      <c r="C35" s="76" t="s">
        <v>126</v>
      </c>
      <c r="D35" s="77" t="s">
        <v>127</v>
      </c>
      <c r="E35" s="78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  <c r="R35" s="79"/>
      <c r="S35" s="78"/>
      <c r="T35" s="78"/>
      <c r="U35" s="78"/>
      <c r="V35" s="78"/>
      <c r="W35" s="78"/>
      <c r="X35" s="78"/>
      <c r="Y35" s="79"/>
      <c r="Z35" s="78"/>
      <c r="AA35" s="78"/>
      <c r="AB35" s="78"/>
      <c r="AC35" s="78"/>
      <c r="AD35" s="81"/>
      <c r="AE35" s="80"/>
      <c r="AF35" s="80"/>
      <c r="AG35" s="80"/>
      <c r="AH35" s="80">
        <v>0</v>
      </c>
      <c r="AI35" s="80">
        <v>0</v>
      </c>
      <c r="AJ35" s="114">
        <v>0</v>
      </c>
      <c r="AK35" s="79">
        <v>0</v>
      </c>
      <c r="AL35" s="79">
        <v>0</v>
      </c>
      <c r="AM35" s="83">
        <f t="shared" ref="AM35:AM56" si="13">IFERROR(AL35/AJ35,0)</f>
        <v>0</v>
      </c>
      <c r="AN35" s="79">
        <f t="shared" ref="AN35:AN36" si="14">+AK35+AL35</f>
        <v>0</v>
      </c>
      <c r="AO35" s="84">
        <f t="shared" ref="AO35:AO55" si="15">IFERROR(+AN35/AJ35,0)</f>
        <v>0</v>
      </c>
      <c r="AP35" s="50"/>
      <c r="AQ35" s="50"/>
    </row>
    <row r="36" spans="1:48" ht="12.75" customHeight="1" thickBot="1" x14ac:dyDescent="0.3">
      <c r="A36" s="45" t="s">
        <v>181</v>
      </c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/>
      <c r="U36" s="123"/>
      <c r="V36" s="123"/>
      <c r="W36" s="123"/>
      <c r="X36" s="123"/>
      <c r="Y36" s="124"/>
      <c r="Z36" s="123"/>
      <c r="AA36" s="123"/>
      <c r="AB36" s="123"/>
      <c r="AC36" s="123"/>
      <c r="AD36" s="126"/>
      <c r="AE36" s="125"/>
      <c r="AF36" s="125"/>
      <c r="AG36" s="125"/>
      <c r="AH36" s="125">
        <v>0</v>
      </c>
      <c r="AI36" s="125">
        <v>0</v>
      </c>
      <c r="AJ36" s="127">
        <v>0</v>
      </c>
      <c r="AK36" s="124">
        <v>0</v>
      </c>
      <c r="AL36" s="124">
        <v>0</v>
      </c>
      <c r="AM36" s="128">
        <f t="shared" si="13"/>
        <v>0</v>
      </c>
      <c r="AN36" s="124">
        <f t="shared" si="14"/>
        <v>0</v>
      </c>
      <c r="AO36" s="129">
        <f t="shared" si="15"/>
        <v>0</v>
      </c>
      <c r="AP36" s="50">
        <v>100002258</v>
      </c>
      <c r="AQ36" s="50"/>
    </row>
    <row r="37" spans="1:48" s="109" customFormat="1" ht="12.75" customHeight="1" thickBot="1" x14ac:dyDescent="0.35">
      <c r="A37" s="45" t="s">
        <v>181</v>
      </c>
      <c r="B37" s="98"/>
      <c r="C37" s="99"/>
      <c r="D37" s="100" t="s">
        <v>129</v>
      </c>
      <c r="E37" s="101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102"/>
      <c r="S37" s="101"/>
      <c r="T37" s="101"/>
      <c r="U37" s="101"/>
      <c r="V37" s="101"/>
      <c r="W37" s="101"/>
      <c r="X37" s="101"/>
      <c r="Y37" s="102"/>
      <c r="Z37" s="101"/>
      <c r="AA37" s="101"/>
      <c r="AB37" s="101"/>
      <c r="AC37" s="101"/>
      <c r="AD37" s="104"/>
      <c r="AE37" s="103"/>
      <c r="AF37" s="103"/>
      <c r="AG37" s="103"/>
      <c r="AH37" s="103">
        <v>0</v>
      </c>
      <c r="AI37" s="103">
        <v>0</v>
      </c>
      <c r="AJ37" s="105">
        <v>0</v>
      </c>
      <c r="AK37" s="105">
        <f t="shared" ref="AK37:AL37" si="16">+SUM(AK34:AK36)</f>
        <v>0</v>
      </c>
      <c r="AL37" s="105">
        <f t="shared" si="16"/>
        <v>0</v>
      </c>
      <c r="AM37" s="106">
        <f t="shared" si="13"/>
        <v>0</v>
      </c>
      <c r="AN37" s="105">
        <f t="shared" ref="AN37" si="17">+SUM(AN34:AN36)</f>
        <v>0</v>
      </c>
      <c r="AO37" s="107">
        <f t="shared" si="15"/>
        <v>0</v>
      </c>
      <c r="AP37" s="49"/>
      <c r="AQ37" s="49"/>
      <c r="AR37" s="108"/>
      <c r="AS37" s="47"/>
    </row>
    <row r="38" spans="1:48" ht="12.75" customHeight="1" x14ac:dyDescent="0.25">
      <c r="A38" s="47" t="s">
        <v>181</v>
      </c>
      <c r="B38" s="75" t="s">
        <v>130</v>
      </c>
      <c r="C38" s="76" t="s">
        <v>126</v>
      </c>
      <c r="D38" s="77" t="s">
        <v>131</v>
      </c>
      <c r="E38" s="130"/>
      <c r="F38" s="131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80"/>
      <c r="V38" s="80"/>
      <c r="W38" s="80"/>
      <c r="X38" s="80"/>
      <c r="Y38" s="80"/>
      <c r="Z38" s="79"/>
      <c r="AA38" s="78"/>
      <c r="AB38" s="79"/>
      <c r="AC38" s="78"/>
      <c r="AD38" s="81"/>
      <c r="AE38" s="80"/>
      <c r="AF38" s="80"/>
      <c r="AG38" s="80"/>
      <c r="AH38" s="80">
        <v>0</v>
      </c>
      <c r="AI38" s="80">
        <v>0</v>
      </c>
      <c r="AJ38" s="114">
        <v>0</v>
      </c>
      <c r="AK38" s="79">
        <v>0</v>
      </c>
      <c r="AL38" s="79">
        <v>0</v>
      </c>
      <c r="AM38" s="83">
        <f t="shared" si="13"/>
        <v>0</v>
      </c>
      <c r="AN38" s="79">
        <f>+AK38+AL38</f>
        <v>0</v>
      </c>
      <c r="AO38" s="84">
        <f>IFERROR(+AN38/AJ38,0)</f>
        <v>0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 t="s">
        <v>181</v>
      </c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/>
      <c r="AF39" s="88"/>
      <c r="AG39" s="88"/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3"/>
        <v>0</v>
      </c>
      <c r="AN39" s="87">
        <f>+AK39+AL39</f>
        <v>0</v>
      </c>
      <c r="AO39" s="92">
        <f t="shared" ref="AO39" si="18">IFERROR(+AN39/AJ39,0)</f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 t="s">
        <v>181</v>
      </c>
      <c r="B40" s="75" t="s">
        <v>132</v>
      </c>
      <c r="C40" s="136" t="s">
        <v>128</v>
      </c>
      <c r="D40" s="77" t="s">
        <v>134</v>
      </c>
      <c r="E40" s="130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80"/>
      <c r="U40" s="80"/>
      <c r="V40" s="80"/>
      <c r="W40" s="80"/>
      <c r="X40" s="80"/>
      <c r="Y40" s="80"/>
      <c r="Z40" s="79"/>
      <c r="AA40" s="78"/>
      <c r="AB40" s="79"/>
      <c r="AC40" s="78"/>
      <c r="AD40" s="81"/>
      <c r="AE40" s="80"/>
      <c r="AF40" s="80"/>
      <c r="AG40" s="80"/>
      <c r="AH40" s="80">
        <v>0</v>
      </c>
      <c r="AI40" s="80">
        <v>0</v>
      </c>
      <c r="AJ40" s="82">
        <v>0</v>
      </c>
      <c r="AK40" s="79">
        <v>0</v>
      </c>
      <c r="AL40" s="79">
        <v>0</v>
      </c>
      <c r="AM40" s="83">
        <f t="shared" si="13"/>
        <v>0</v>
      </c>
      <c r="AN40" s="79">
        <f>+AK40+AL40</f>
        <v>0</v>
      </c>
      <c r="AO40" s="84">
        <f t="shared" si="15"/>
        <v>0</v>
      </c>
      <c r="AP40" s="132"/>
      <c r="AQ40" s="132"/>
      <c r="AR40" s="133"/>
      <c r="AS40" s="193"/>
      <c r="AT40" s="139"/>
    </row>
    <row r="41" spans="1:48" ht="12.75" customHeight="1" x14ac:dyDescent="0.25">
      <c r="A41" s="47" t="s">
        <v>181</v>
      </c>
      <c r="B41" s="64" t="s">
        <v>132</v>
      </c>
      <c r="C41" s="134" t="s">
        <v>131</v>
      </c>
      <c r="D41" s="66" t="s">
        <v>135</v>
      </c>
      <c r="E41" s="135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8"/>
      <c r="U41" s="88"/>
      <c r="V41" s="88"/>
      <c r="W41" s="88"/>
      <c r="X41" s="88"/>
      <c r="Y41" s="88"/>
      <c r="Z41" s="87"/>
      <c r="AA41" s="86"/>
      <c r="AB41" s="87"/>
      <c r="AC41" s="86"/>
      <c r="AD41" s="89"/>
      <c r="AE41" s="88"/>
      <c r="AF41" s="88"/>
      <c r="AG41" s="88"/>
      <c r="AH41" s="88">
        <v>0</v>
      </c>
      <c r="AI41" s="88">
        <v>0</v>
      </c>
      <c r="AJ41" s="115">
        <v>0</v>
      </c>
      <c r="AK41" s="87">
        <v>0</v>
      </c>
      <c r="AL41" s="87">
        <v>0</v>
      </c>
      <c r="AM41" s="91">
        <f t="shared" si="13"/>
        <v>0</v>
      </c>
      <c r="AN41" s="87">
        <f t="shared" si="12"/>
        <v>0</v>
      </c>
      <c r="AO41" s="92">
        <f t="shared" si="15"/>
        <v>0</v>
      </c>
      <c r="AP41" s="132"/>
      <c r="AQ41" s="132"/>
      <c r="AR41" s="133"/>
      <c r="AS41" s="193"/>
      <c r="AT41" s="139"/>
    </row>
    <row r="42" spans="1:48" ht="12.75" customHeight="1" x14ac:dyDescent="0.25">
      <c r="A42" s="47" t="s">
        <v>181</v>
      </c>
      <c r="B42" s="75" t="s">
        <v>132</v>
      </c>
      <c r="C42" s="136" t="s">
        <v>136</v>
      </c>
      <c r="D42" s="77" t="s">
        <v>137</v>
      </c>
      <c r="E42" s="130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80"/>
      <c r="U42" s="80"/>
      <c r="V42" s="80"/>
      <c r="W42" s="80"/>
      <c r="X42" s="80"/>
      <c r="Y42" s="80"/>
      <c r="Z42" s="79"/>
      <c r="AA42" s="78"/>
      <c r="AB42" s="79"/>
      <c r="AC42" s="78"/>
      <c r="AD42" s="81"/>
      <c r="AE42" s="80"/>
      <c r="AF42" s="80"/>
      <c r="AG42" s="80"/>
      <c r="AH42" s="80">
        <v>0</v>
      </c>
      <c r="AI42" s="80">
        <v>0</v>
      </c>
      <c r="AJ42" s="82">
        <v>0</v>
      </c>
      <c r="AK42" s="79">
        <v>0</v>
      </c>
      <c r="AL42" s="79">
        <v>0</v>
      </c>
      <c r="AM42" s="83">
        <f t="shared" si="13"/>
        <v>0</v>
      </c>
      <c r="AN42" s="79">
        <f t="shared" si="12"/>
        <v>0</v>
      </c>
      <c r="AO42" s="84">
        <f t="shared" si="15"/>
        <v>0</v>
      </c>
      <c r="AP42" s="132"/>
      <c r="AQ42" s="132"/>
      <c r="AR42" s="133"/>
      <c r="AS42" s="193"/>
      <c r="AT42" s="139"/>
    </row>
    <row r="43" spans="1:48" ht="12.75" customHeight="1" x14ac:dyDescent="0.25">
      <c r="A43" s="47" t="s">
        <v>181</v>
      </c>
      <c r="B43" s="64" t="s">
        <v>132</v>
      </c>
      <c r="C43" s="134" t="s">
        <v>136</v>
      </c>
      <c r="D43" s="66" t="s">
        <v>138</v>
      </c>
      <c r="E43" s="135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8"/>
      <c r="U43" s="88"/>
      <c r="V43" s="88"/>
      <c r="W43" s="88"/>
      <c r="X43" s="88"/>
      <c r="Y43" s="88"/>
      <c r="Z43" s="87"/>
      <c r="AA43" s="86"/>
      <c r="AB43" s="87"/>
      <c r="AC43" s="86"/>
      <c r="AD43" s="89"/>
      <c r="AE43" s="88"/>
      <c r="AF43" s="88"/>
      <c r="AG43" s="88"/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13"/>
        <v>0</v>
      </c>
      <c r="AN43" s="87">
        <f t="shared" si="12"/>
        <v>0</v>
      </c>
      <c r="AO43" s="92">
        <f t="shared" si="15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 t="s">
        <v>181</v>
      </c>
      <c r="B44" s="75" t="s">
        <v>132</v>
      </c>
      <c r="C44" s="136" t="s">
        <v>131</v>
      </c>
      <c r="D44" s="77" t="s">
        <v>139</v>
      </c>
      <c r="E44" s="13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80"/>
      <c r="U44" s="80"/>
      <c r="V44" s="80"/>
      <c r="W44" s="80"/>
      <c r="X44" s="80"/>
      <c r="Y44" s="80"/>
      <c r="Z44" s="79"/>
      <c r="AA44" s="78"/>
      <c r="AB44" s="79"/>
      <c r="AC44" s="78"/>
      <c r="AD44" s="81"/>
      <c r="AE44" s="80"/>
      <c r="AF44" s="80"/>
      <c r="AG44" s="80"/>
      <c r="AH44" s="80">
        <v>0</v>
      </c>
      <c r="AI44" s="80">
        <v>0</v>
      </c>
      <c r="AJ44" s="82">
        <v>0</v>
      </c>
      <c r="AK44" s="79">
        <v>0</v>
      </c>
      <c r="AL44" s="79">
        <v>0</v>
      </c>
      <c r="AM44" s="83">
        <f t="shared" si="13"/>
        <v>0</v>
      </c>
      <c r="AN44" s="79">
        <f t="shared" si="12"/>
        <v>0</v>
      </c>
      <c r="AO44" s="84">
        <f t="shared" si="15"/>
        <v>0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 t="s">
        <v>181</v>
      </c>
      <c r="B45" s="64" t="s">
        <v>132</v>
      </c>
      <c r="C45" s="134" t="s">
        <v>128</v>
      </c>
      <c r="D45" s="66" t="s">
        <v>140</v>
      </c>
      <c r="E45" s="137"/>
      <c r="F45" s="138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5"/>
      <c r="U45" s="125"/>
      <c r="V45" s="125"/>
      <c r="W45" s="125"/>
      <c r="X45" s="125"/>
      <c r="Y45" s="125"/>
      <c r="Z45" s="124"/>
      <c r="AA45" s="123"/>
      <c r="AB45" s="124"/>
      <c r="AC45" s="123"/>
      <c r="AD45" s="126"/>
      <c r="AE45" s="125"/>
      <c r="AF45" s="125"/>
      <c r="AG45" s="125"/>
      <c r="AH45" s="125">
        <v>0</v>
      </c>
      <c r="AI45" s="125">
        <v>0</v>
      </c>
      <c r="AJ45" s="127">
        <v>0</v>
      </c>
      <c r="AK45" s="124">
        <v>0</v>
      </c>
      <c r="AL45" s="124">
        <v>0</v>
      </c>
      <c r="AM45" s="128">
        <f t="shared" si="13"/>
        <v>0</v>
      </c>
      <c r="AN45" s="124">
        <f t="shared" si="12"/>
        <v>0</v>
      </c>
      <c r="AO45" s="129">
        <f t="shared" si="15"/>
        <v>0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 t="s">
        <v>181</v>
      </c>
      <c r="B46" s="140"/>
      <c r="C46" s="141"/>
      <c r="D46" s="142" t="s">
        <v>141</v>
      </c>
      <c r="E46" s="143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5"/>
      <c r="R46" s="144"/>
      <c r="S46" s="143"/>
      <c r="T46" s="143"/>
      <c r="U46" s="143"/>
      <c r="V46" s="143"/>
      <c r="W46" s="143"/>
      <c r="X46" s="143"/>
      <c r="Y46" s="144"/>
      <c r="Z46" s="143"/>
      <c r="AA46" s="143"/>
      <c r="AB46" s="143"/>
      <c r="AC46" s="143"/>
      <c r="AD46" s="146"/>
      <c r="AE46" s="145"/>
      <c r="AF46" s="145"/>
      <c r="AG46" s="145"/>
      <c r="AH46" s="145">
        <v>0</v>
      </c>
      <c r="AI46" s="145">
        <v>0</v>
      </c>
      <c r="AJ46" s="147">
        <v>0</v>
      </c>
      <c r="AK46" s="144">
        <f>SUM(AK38:AK45)</f>
        <v>0</v>
      </c>
      <c r="AL46" s="144">
        <f>SUM(AL38:AL45)</f>
        <v>0</v>
      </c>
      <c r="AM46" s="148">
        <f t="shared" si="13"/>
        <v>0</v>
      </c>
      <c r="AN46" s="144">
        <f t="shared" si="12"/>
        <v>0</v>
      </c>
      <c r="AO46" s="149">
        <f t="shared" si="15"/>
        <v>0</v>
      </c>
      <c r="AP46" s="150"/>
      <c r="AQ46" s="150"/>
      <c r="AR46" s="108"/>
      <c r="AS46" s="47"/>
    </row>
    <row r="47" spans="1:48" ht="12.5" customHeight="1" thickBot="1" x14ac:dyDescent="0.3">
      <c r="A47" s="45" t="s">
        <v>181</v>
      </c>
      <c r="B47" s="151" t="s">
        <v>142</v>
      </c>
      <c r="C47" s="152"/>
      <c r="D47" s="153" t="s">
        <v>5</v>
      </c>
      <c r="E47" s="154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6"/>
      <c r="R47" s="155"/>
      <c r="S47" s="154"/>
      <c r="T47" s="154"/>
      <c r="U47" s="154"/>
      <c r="V47" s="154"/>
      <c r="W47" s="157"/>
      <c r="X47" s="157"/>
      <c r="Y47" s="158"/>
      <c r="Z47" s="157"/>
      <c r="AA47" s="157"/>
      <c r="AB47" s="157"/>
      <c r="AC47" s="157"/>
      <c r="AD47" s="194"/>
      <c r="AE47" s="159"/>
      <c r="AF47" s="159"/>
      <c r="AG47" s="159"/>
      <c r="AH47" s="159">
        <v>15610.080000000002</v>
      </c>
      <c r="AI47" s="159">
        <v>23198.880000000001</v>
      </c>
      <c r="AJ47" s="160">
        <v>11000</v>
      </c>
      <c r="AK47" s="158">
        <f>+AK18+AK22+AK28+AK30+AK33+AK37+AK46</f>
        <v>3541.4399999999996</v>
      </c>
      <c r="AL47" s="158">
        <f>+AL18+AL22+AL28+AL30+AL33+AL37+AL46</f>
        <v>3973.92</v>
      </c>
      <c r="AM47" s="161">
        <f t="shared" si="13"/>
        <v>0.36126545454545456</v>
      </c>
      <c r="AN47" s="158">
        <f>+AN18+AN22+AN28+AN30+AN33+AN37+AN46</f>
        <v>7515.3600000000006</v>
      </c>
      <c r="AO47" s="162">
        <f t="shared" si="15"/>
        <v>0.68321454545454552</v>
      </c>
      <c r="AP47" s="150"/>
      <c r="AQ47" s="150"/>
    </row>
    <row r="48" spans="1:48" ht="12.75" hidden="1" customHeight="1" x14ac:dyDescent="0.25">
      <c r="A48" s="45" t="s">
        <v>181</v>
      </c>
      <c r="B48" s="75" t="s">
        <v>143</v>
      </c>
      <c r="C48" s="76" t="s">
        <v>144</v>
      </c>
      <c r="D48" s="163" t="s">
        <v>145</v>
      </c>
      <c r="E48" s="164">
        <v>0</v>
      </c>
      <c r="F48" s="164">
        <v>0</v>
      </c>
      <c r="G48" s="164">
        <v>0</v>
      </c>
      <c r="H48" s="164">
        <v>0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0</v>
      </c>
      <c r="O48" s="164"/>
      <c r="P48" s="164"/>
      <c r="Q48" s="164"/>
      <c r="R48" s="164"/>
      <c r="S48" s="165"/>
      <c r="T48" s="165">
        <v>0</v>
      </c>
      <c r="U48" s="165">
        <v>0</v>
      </c>
      <c r="V48" s="165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3"/>
        <v>0</v>
      </c>
      <c r="AN48" s="79">
        <f t="shared" si="12"/>
        <v>0</v>
      </c>
      <c r="AO48" s="84">
        <f t="shared" si="15"/>
        <v>0</v>
      </c>
      <c r="AP48" s="49" t="s">
        <v>144</v>
      </c>
    </row>
    <row r="49" spans="1:46" ht="12.75" hidden="1" customHeight="1" x14ac:dyDescent="0.25">
      <c r="A49" s="45" t="s">
        <v>181</v>
      </c>
      <c r="B49" s="64" t="s">
        <v>143</v>
      </c>
      <c r="C49" s="65" t="s">
        <v>144</v>
      </c>
      <c r="D49" s="167" t="s">
        <v>147</v>
      </c>
      <c r="E49" s="168">
        <v>0</v>
      </c>
      <c r="F49" s="168">
        <v>0</v>
      </c>
      <c r="G49" s="168">
        <v>0</v>
      </c>
      <c r="H49" s="168">
        <v>0</v>
      </c>
      <c r="I49" s="168">
        <v>0</v>
      </c>
      <c r="J49" s="168">
        <v>0</v>
      </c>
      <c r="K49" s="168">
        <v>0</v>
      </c>
      <c r="L49" s="168">
        <v>0</v>
      </c>
      <c r="M49" s="168">
        <v>0</v>
      </c>
      <c r="N49" s="168">
        <v>0</v>
      </c>
      <c r="O49" s="168"/>
      <c r="P49" s="168"/>
      <c r="Q49" s="168"/>
      <c r="R49" s="168"/>
      <c r="S49" s="169"/>
      <c r="T49" s="169">
        <v>0</v>
      </c>
      <c r="U49" s="169">
        <v>77142.240000000005</v>
      </c>
      <c r="V49" s="169">
        <v>6419.52</v>
      </c>
      <c r="W49" s="87">
        <v>123478.56000000001</v>
      </c>
      <c r="X49" s="87">
        <v>5693.76</v>
      </c>
      <c r="Y49" s="87">
        <v>0</v>
      </c>
      <c r="Z49" s="87">
        <v>0</v>
      </c>
      <c r="AA49" s="87">
        <v>35663.760000000002</v>
      </c>
      <c r="AB49" s="87">
        <v>2993.76</v>
      </c>
      <c r="AC49" s="87">
        <v>0</v>
      </c>
      <c r="AD49" s="87">
        <v>0</v>
      </c>
      <c r="AE49" s="87">
        <v>0</v>
      </c>
      <c r="AF49" s="87">
        <v>21816.000000000004</v>
      </c>
      <c r="AG49" s="87">
        <v>24941.520000000004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3"/>
        <v>0</v>
      </c>
      <c r="AN49" s="87">
        <f t="shared" si="12"/>
        <v>0</v>
      </c>
      <c r="AO49" s="92">
        <f t="shared" si="15"/>
        <v>0</v>
      </c>
      <c r="AP49" s="49" t="s">
        <v>144</v>
      </c>
    </row>
    <row r="50" spans="1:46" ht="12.75" hidden="1" customHeight="1" x14ac:dyDescent="0.25">
      <c r="A50" s="45" t="s">
        <v>181</v>
      </c>
      <c r="B50" s="75" t="s">
        <v>143</v>
      </c>
      <c r="C50" s="76" t="s">
        <v>144</v>
      </c>
      <c r="D50" s="163" t="s">
        <v>148</v>
      </c>
      <c r="E50" s="170">
        <v>0</v>
      </c>
      <c r="F50" s="170">
        <v>0</v>
      </c>
      <c r="G50" s="170">
        <v>0</v>
      </c>
      <c r="H50" s="170">
        <v>0</v>
      </c>
      <c r="I50" s="170">
        <v>0</v>
      </c>
      <c r="J50" s="170">
        <v>0</v>
      </c>
      <c r="K50" s="170">
        <v>0</v>
      </c>
      <c r="L50" s="170">
        <v>0</v>
      </c>
      <c r="M50" s="170">
        <v>0</v>
      </c>
      <c r="N50" s="170">
        <v>0</v>
      </c>
      <c r="O50" s="170"/>
      <c r="P50" s="170"/>
      <c r="Q50" s="170"/>
      <c r="R50" s="170"/>
      <c r="S50" s="171"/>
      <c r="T50" s="171">
        <v>0</v>
      </c>
      <c r="U50" s="171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3"/>
        <v>0</v>
      </c>
      <c r="AN50" s="79">
        <f>+AK50+AL50</f>
        <v>0</v>
      </c>
      <c r="AO50" s="84">
        <f t="shared" si="15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 t="s">
        <v>181</v>
      </c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3"/>
        <v>0</v>
      </c>
      <c r="AN51" s="87">
        <f>+AK51+AL51</f>
        <v>0</v>
      </c>
      <c r="AO51" s="92">
        <f t="shared" si="15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5" t="s">
        <v>181</v>
      </c>
      <c r="B52" s="75" t="s">
        <v>151</v>
      </c>
      <c r="C52" s="76" t="s">
        <v>152</v>
      </c>
      <c r="D52" s="163" t="s">
        <v>151</v>
      </c>
      <c r="E52" s="170">
        <v>21600</v>
      </c>
      <c r="F52" s="170">
        <v>21600</v>
      </c>
      <c r="G52" s="170">
        <v>0</v>
      </c>
      <c r="H52" s="170">
        <v>43200</v>
      </c>
      <c r="I52" s="170">
        <v>41275.440000000002</v>
      </c>
      <c r="J52" s="170">
        <v>21600</v>
      </c>
      <c r="K52" s="170">
        <v>78701.760000000009</v>
      </c>
      <c r="L52" s="170">
        <v>62691.839999999997</v>
      </c>
      <c r="M52" s="170">
        <v>86400</v>
      </c>
      <c r="N52" s="170">
        <v>64800</v>
      </c>
      <c r="O52" s="170"/>
      <c r="P52" s="170"/>
      <c r="Q52" s="170"/>
      <c r="R52" s="170"/>
      <c r="S52" s="171"/>
      <c r="T52" s="171">
        <v>86400</v>
      </c>
      <c r="U52" s="171">
        <v>64478.16</v>
      </c>
      <c r="V52" s="171">
        <v>64800</v>
      </c>
      <c r="W52" s="79">
        <v>85281.12</v>
      </c>
      <c r="X52" s="79">
        <v>85017.600000000006</v>
      </c>
      <c r="Y52" s="79">
        <v>64800</v>
      </c>
      <c r="Z52" s="79">
        <v>60413.04</v>
      </c>
      <c r="AA52" s="79">
        <v>64800</v>
      </c>
      <c r="AB52" s="79">
        <v>86400</v>
      </c>
      <c r="AC52" s="79">
        <v>64800</v>
      </c>
      <c r="AD52" s="79">
        <v>86076</v>
      </c>
      <c r="AE52" s="79">
        <v>21600</v>
      </c>
      <c r="AF52" s="79">
        <v>43200</v>
      </c>
      <c r="AG52" s="79">
        <v>43200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5" t="s">
        <v>181</v>
      </c>
      <c r="B53" s="64" t="s">
        <v>143</v>
      </c>
      <c r="C53" s="65" t="s">
        <v>154</v>
      </c>
      <c r="D53" s="167" t="s">
        <v>155</v>
      </c>
      <c r="E53" s="168">
        <v>28.069000000000003</v>
      </c>
      <c r="F53" s="168">
        <v>4686.0900000000092</v>
      </c>
      <c r="G53" s="168">
        <v>1555.4549999999988</v>
      </c>
      <c r="H53" s="168">
        <v>3174.2500000000059</v>
      </c>
      <c r="I53" s="168">
        <v>1785.2610000000004</v>
      </c>
      <c r="J53" s="168">
        <v>60.947999999999993</v>
      </c>
      <c r="K53" s="168">
        <v>89.263999999999996</v>
      </c>
      <c r="L53" s="168">
        <v>8.64</v>
      </c>
      <c r="M53" s="168">
        <v>273.42</v>
      </c>
      <c r="N53" s="168">
        <v>120.40800000000003</v>
      </c>
      <c r="O53" s="168"/>
      <c r="P53" s="168"/>
      <c r="Q53" s="168"/>
      <c r="R53" s="168"/>
      <c r="S53" s="169"/>
      <c r="T53" s="169">
        <v>3.0960000000000001</v>
      </c>
      <c r="U53" s="169">
        <v>2.5030000000000001</v>
      </c>
      <c r="V53" s="169">
        <v>23.828000000000038</v>
      </c>
      <c r="W53" s="87">
        <v>17.263000000000005</v>
      </c>
      <c r="X53" s="87">
        <v>0.25800000000000001</v>
      </c>
      <c r="Y53" s="87">
        <v>7.2530000000000001</v>
      </c>
      <c r="Z53" s="87">
        <v>39.168999999999997</v>
      </c>
      <c r="AA53" s="87">
        <v>67.737000000000009</v>
      </c>
      <c r="AB53" s="87">
        <v>43.624999999999993</v>
      </c>
      <c r="AC53" s="87">
        <v>4.5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3"/>
        <v>0</v>
      </c>
      <c r="AN53" s="87">
        <f>+AK53+AL53</f>
        <v>0</v>
      </c>
      <c r="AO53" s="92">
        <f t="shared" si="15"/>
        <v>0</v>
      </c>
      <c r="AP53" s="50" t="s">
        <v>154</v>
      </c>
      <c r="AQ53" s="50"/>
    </row>
    <row r="54" spans="1:46" ht="12.75" hidden="1" customHeight="1" x14ac:dyDescent="0.25">
      <c r="A54" s="45" t="s">
        <v>181</v>
      </c>
      <c r="B54" s="75" t="s">
        <v>143</v>
      </c>
      <c r="C54" s="76" t="s">
        <v>156</v>
      </c>
      <c r="D54" s="163" t="s">
        <v>149</v>
      </c>
      <c r="E54" s="170">
        <v>0</v>
      </c>
      <c r="F54" s="170">
        <v>0</v>
      </c>
      <c r="G54" s="170">
        <v>0</v>
      </c>
      <c r="H54" s="170">
        <v>0</v>
      </c>
      <c r="I54" s="170">
        <v>0</v>
      </c>
      <c r="J54" s="170">
        <v>0</v>
      </c>
      <c r="K54" s="170">
        <v>0</v>
      </c>
      <c r="L54" s="170">
        <v>0</v>
      </c>
      <c r="M54" s="170">
        <v>0</v>
      </c>
      <c r="N54" s="170">
        <v>0</v>
      </c>
      <c r="O54" s="170"/>
      <c r="P54" s="170"/>
      <c r="Q54" s="170"/>
      <c r="R54" s="170"/>
      <c r="S54" s="171"/>
      <c r="T54" s="171">
        <v>0</v>
      </c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3"/>
        <v>0</v>
      </c>
      <c r="AN54" s="79">
        <f t="shared" si="12"/>
        <v>0</v>
      </c>
      <c r="AO54" s="84">
        <f t="shared" si="15"/>
        <v>0</v>
      </c>
      <c r="AP54" s="49" t="s">
        <v>156</v>
      </c>
    </row>
    <row r="55" spans="1:46" ht="12.75" hidden="1" customHeight="1" thickBot="1" x14ac:dyDescent="0.3">
      <c r="A55" s="45" t="s">
        <v>181</v>
      </c>
      <c r="B55" s="64" t="s">
        <v>143</v>
      </c>
      <c r="C55" s="65"/>
      <c r="D55" s="167" t="s">
        <v>157</v>
      </c>
      <c r="E55" s="168">
        <v>0</v>
      </c>
      <c r="F55" s="168">
        <v>0</v>
      </c>
      <c r="G55" s="168">
        <v>0</v>
      </c>
      <c r="H55" s="168">
        <v>0</v>
      </c>
      <c r="I55" s="168">
        <v>0</v>
      </c>
      <c r="J55" s="168">
        <v>0</v>
      </c>
      <c r="K55" s="168">
        <v>0</v>
      </c>
      <c r="L55" s="168">
        <v>0</v>
      </c>
      <c r="M55" s="168">
        <v>0</v>
      </c>
      <c r="N55" s="168">
        <v>0</v>
      </c>
      <c r="O55" s="168"/>
      <c r="P55" s="168"/>
      <c r="Q55" s="168"/>
      <c r="R55" s="168"/>
      <c r="S55" s="169"/>
      <c r="T55" s="169">
        <v>0</v>
      </c>
      <c r="U55" s="169">
        <v>0</v>
      </c>
      <c r="V55" s="169">
        <v>0</v>
      </c>
      <c r="W55" s="87">
        <v>0</v>
      </c>
      <c r="X55" s="87">
        <v>0</v>
      </c>
      <c r="Y55" s="87">
        <v>0</v>
      </c>
      <c r="Z55" s="87">
        <v>0</v>
      </c>
      <c r="AA55" s="87">
        <v>0</v>
      </c>
      <c r="AB55" s="87">
        <v>0</v>
      </c>
      <c r="AC55" s="87">
        <v>0</v>
      </c>
      <c r="AD55" s="87">
        <v>0</v>
      </c>
      <c r="AE55" s="87">
        <v>0</v>
      </c>
      <c r="AF55" s="87">
        <v>0</v>
      </c>
      <c r="AG55" s="87">
        <v>0</v>
      </c>
      <c r="AH55" s="87">
        <v>0</v>
      </c>
      <c r="AI55" s="88">
        <v>0</v>
      </c>
      <c r="AJ55" s="90"/>
      <c r="AK55" s="87">
        <v>0</v>
      </c>
      <c r="AL55" s="87">
        <v>0</v>
      </c>
      <c r="AM55" s="91">
        <f t="shared" si="13"/>
        <v>0</v>
      </c>
      <c r="AN55" s="87">
        <f t="shared" si="12"/>
        <v>0</v>
      </c>
      <c r="AO55" s="92">
        <f t="shared" si="15"/>
        <v>0</v>
      </c>
      <c r="AP55" s="50"/>
      <c r="AQ55" s="50"/>
    </row>
    <row r="56" spans="1:46" ht="12.75" hidden="1" customHeight="1" thickBot="1" x14ac:dyDescent="0.3">
      <c r="A56" s="45" t="s">
        <v>181</v>
      </c>
      <c r="B56" s="173"/>
      <c r="C56" s="174"/>
      <c r="D56" s="152" t="s">
        <v>158</v>
      </c>
      <c r="E56" s="155">
        <v>1085872.2850000001</v>
      </c>
      <c r="F56" s="155">
        <v>963652.45799999998</v>
      </c>
      <c r="G56" s="155">
        <v>1068052.8150000002</v>
      </c>
      <c r="H56" s="155">
        <v>1246282.9540000001</v>
      </c>
      <c r="I56" s="155">
        <v>1329806.3729999999</v>
      </c>
      <c r="J56" s="155">
        <v>1141507.4520000003</v>
      </c>
      <c r="K56" s="155">
        <v>1106965.7119999998</v>
      </c>
      <c r="L56" s="155">
        <v>1160603.8559999997</v>
      </c>
      <c r="M56" s="155">
        <v>869031.58800000022</v>
      </c>
      <c r="N56" s="155">
        <v>1087845.7680000002</v>
      </c>
      <c r="O56" s="155"/>
      <c r="P56" s="155"/>
      <c r="Q56" s="155"/>
      <c r="R56" s="155"/>
      <c r="S56" s="155"/>
      <c r="T56" s="155">
        <v>902118.46399999992</v>
      </c>
      <c r="U56" s="155">
        <v>896857.79100000032</v>
      </c>
      <c r="V56" s="155">
        <v>1001065.3160000003</v>
      </c>
      <c r="W56" s="175">
        <v>1087974.415</v>
      </c>
      <c r="X56" s="175">
        <v>955976.93800000008</v>
      </c>
      <c r="Y56" s="175">
        <v>880137.54900000012</v>
      </c>
      <c r="Z56" s="175">
        <v>969088.80099999986</v>
      </c>
      <c r="AA56" s="175">
        <v>1104428.1769999999</v>
      </c>
      <c r="AB56" s="175">
        <v>929835.4809999998</v>
      </c>
      <c r="AC56" s="175">
        <v>800432.076</v>
      </c>
      <c r="AD56" s="175">
        <v>963365.37599999981</v>
      </c>
      <c r="AE56" s="175">
        <v>843804</v>
      </c>
      <c r="AF56" s="175">
        <v>936039.64800000016</v>
      </c>
      <c r="AG56" s="175">
        <v>1047154.5840000003</v>
      </c>
      <c r="AH56" s="175">
        <v>15610.080000000002</v>
      </c>
      <c r="AI56" s="176">
        <v>23198.880000000001</v>
      </c>
      <c r="AJ56" s="177">
        <v>11000</v>
      </c>
      <c r="AK56" s="175">
        <f>+AK47+SUM(AK48:AK55)</f>
        <v>3541.4399999999996</v>
      </c>
      <c r="AL56" s="175">
        <f>SUM(AL47:AL55)</f>
        <v>3973.92</v>
      </c>
      <c r="AM56" s="178">
        <f t="shared" si="13"/>
        <v>0.36126545454545456</v>
      </c>
      <c r="AN56" s="175">
        <f>+AK56+AL56</f>
        <v>7515.36</v>
      </c>
      <c r="AO56" s="179">
        <f>IFERROR(+AN56/AJ56,0)</f>
        <v>0.68321454545454541</v>
      </c>
      <c r="AP56" s="50"/>
      <c r="AQ56" s="50"/>
    </row>
    <row r="57" spans="1:46" x14ac:dyDescent="0.25">
      <c r="A57" s="47" t="s">
        <v>166</v>
      </c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0</v>
      </c>
      <c r="AL57" s="196">
        <v>-2.7284841053187847E-12</v>
      </c>
      <c r="AM57" s="197"/>
      <c r="AO57" s="198"/>
    </row>
    <row r="58" spans="1:46" ht="13" thickBot="1" x14ac:dyDescent="0.3">
      <c r="A58" s="47"/>
      <c r="B58" s="47"/>
      <c r="C58" s="47"/>
      <c r="D58" s="180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81"/>
      <c r="AJ58" s="195"/>
      <c r="AK58" s="196"/>
      <c r="AL58" s="196"/>
      <c r="AM58" s="197"/>
      <c r="AO58" s="198"/>
    </row>
    <row r="59" spans="1:46" ht="20.5" thickBot="1" x14ac:dyDescent="0.3">
      <c r="B59" s="52" t="s">
        <v>168</v>
      </c>
      <c r="C59" s="53"/>
      <c r="D59" s="53"/>
      <c r="E59" s="53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60"/>
      <c r="T59" s="60"/>
      <c r="U59" s="60"/>
      <c r="V59" s="60"/>
      <c r="W59" s="60" t="s">
        <v>54</v>
      </c>
      <c r="X59" s="60" t="s">
        <v>55</v>
      </c>
      <c r="Y59" s="60" t="s">
        <v>56</v>
      </c>
      <c r="Z59" s="60" t="s">
        <v>57</v>
      </c>
      <c r="AA59" s="60" t="s">
        <v>58</v>
      </c>
      <c r="AB59" s="60" t="s">
        <v>59</v>
      </c>
      <c r="AC59" s="60" t="s">
        <v>60</v>
      </c>
      <c r="AD59" s="60" t="s">
        <v>61</v>
      </c>
      <c r="AE59" s="56" t="s">
        <v>62</v>
      </c>
      <c r="AF59" s="55" t="s">
        <v>63</v>
      </c>
      <c r="AG59" s="55" t="s">
        <v>64</v>
      </c>
      <c r="AH59" s="55" t="s">
        <v>69</v>
      </c>
      <c r="AI59" s="55" t="s">
        <v>69</v>
      </c>
      <c r="AJ59" s="60" t="str">
        <f>+AJ2</f>
        <v>Meta Febrero '26</v>
      </c>
      <c r="AK59" s="60" t="s">
        <v>68</v>
      </c>
      <c r="AL59" s="60" t="s">
        <v>69</v>
      </c>
      <c r="AM59" s="60" t="s">
        <v>70</v>
      </c>
      <c r="AN59" s="60" t="s">
        <v>5</v>
      </c>
      <c r="AO59" s="199" t="s">
        <v>7</v>
      </c>
    </row>
    <row r="60" spans="1:46" ht="13" thickBot="1" x14ac:dyDescent="0.3">
      <c r="B60" s="200"/>
      <c r="C60" s="201"/>
      <c r="D60" s="202" t="s">
        <v>169</v>
      </c>
      <c r="E60" s="202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>
        <v>0</v>
      </c>
      <c r="X60" s="203">
        <v>2652.4800000000005</v>
      </c>
      <c r="Y60" s="203">
        <v>2652.4800000000005</v>
      </c>
      <c r="Z60" s="203">
        <v>2652.48</v>
      </c>
      <c r="AA60" s="203">
        <v>0</v>
      </c>
      <c r="AB60" s="203">
        <v>2652.4800000000005</v>
      </c>
      <c r="AC60" s="203">
        <v>0</v>
      </c>
      <c r="AD60" s="203">
        <v>0</v>
      </c>
      <c r="AE60" s="203">
        <v>0</v>
      </c>
      <c r="AF60" s="203"/>
      <c r="AG60" s="203">
        <v>0</v>
      </c>
      <c r="AH60" s="203">
        <v>0</v>
      </c>
      <c r="AI60" s="203">
        <v>0</v>
      </c>
      <c r="AJ60" s="203"/>
      <c r="AK60" s="203">
        <v>0</v>
      </c>
      <c r="AL60" s="203">
        <v>0</v>
      </c>
      <c r="AM60" s="204"/>
      <c r="AN60" s="203"/>
      <c r="AO60" s="205"/>
    </row>
    <row r="113" spans="2:3" x14ac:dyDescent="0.25">
      <c r="B113" s="187"/>
      <c r="C113" s="187"/>
    </row>
    <row r="123" spans="2:3" x14ac:dyDescent="0.25">
      <c r="B123" s="187"/>
      <c r="C123" s="18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7B48-D9D7-4DF7-A1E6-2A995FCA3E00}">
  <dimension ref="A1:AV122"/>
  <sheetViews>
    <sheetView showGridLines="0" zoomScale="88" zoomScaleNormal="88" workbookViewId="0">
      <pane xSplit="4" ySplit="2" topLeftCell="AG31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3" style="45" customWidth="1"/>
    <col min="2" max="3" width="23.81640625" customWidth="1"/>
    <col min="4" max="4" width="33.26953125" customWidth="1"/>
    <col min="5" max="6" width="11" hidden="1" customWidth="1"/>
    <col min="7" max="7" width="12.1796875" hidden="1" customWidth="1"/>
    <col min="8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" thickBot="1" x14ac:dyDescent="0.3">
      <c r="B1" s="47" t="s">
        <v>183</v>
      </c>
      <c r="C1" s="47" t="s">
        <v>184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5" t="s">
        <v>36</v>
      </c>
      <c r="F2" s="56" t="s">
        <v>37</v>
      </c>
      <c r="G2" s="56" t="s">
        <v>38</v>
      </c>
      <c r="H2" s="56" t="s">
        <v>39</v>
      </c>
      <c r="I2" s="56" t="s">
        <v>40</v>
      </c>
      <c r="J2" s="56" t="s">
        <v>41</v>
      </c>
      <c r="K2" s="56" t="s">
        <v>42</v>
      </c>
      <c r="L2" s="56" t="s">
        <v>43</v>
      </c>
      <c r="M2" s="56" t="s">
        <v>44</v>
      </c>
      <c r="N2" s="56" t="s">
        <v>45</v>
      </c>
      <c r="O2" s="56" t="s">
        <v>46</v>
      </c>
      <c r="P2" s="56" t="s">
        <v>47</v>
      </c>
      <c r="Q2" s="57" t="s">
        <v>48</v>
      </c>
      <c r="R2" s="56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59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B3" s="64" t="s">
        <v>71</v>
      </c>
      <c r="C3" s="65" t="s">
        <v>72</v>
      </c>
      <c r="D3" s="66" t="s">
        <v>73</v>
      </c>
      <c r="E3" s="67"/>
      <c r="F3" s="68"/>
      <c r="G3" s="68"/>
      <c r="H3" s="68"/>
      <c r="I3" s="67"/>
      <c r="J3" s="68"/>
      <c r="K3" s="68"/>
      <c r="L3" s="68"/>
      <c r="M3" s="68"/>
      <c r="N3" s="68"/>
      <c r="O3" s="68"/>
      <c r="P3" s="68"/>
      <c r="Q3" s="69"/>
      <c r="R3" s="68"/>
      <c r="S3" s="67"/>
      <c r="T3" s="67"/>
      <c r="U3" s="67"/>
      <c r="V3" s="67"/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>
        <v>0</v>
      </c>
      <c r="AK3" s="72">
        <v>0</v>
      </c>
      <c r="AL3" s="72">
        <v>0</v>
      </c>
      <c r="AM3" s="73">
        <f t="shared" ref="AM3:AM33" si="0">IFERROR(AL3/AJ3,0)</f>
        <v>0</v>
      </c>
      <c r="AN3" s="72">
        <f t="shared" ref="AN3:AN15" si="1">+AK3+AL3</f>
        <v>0</v>
      </c>
      <c r="AO3" s="74">
        <f t="shared" ref="AO3:AO54" si="2">IFERROR(+AN3/AJ3,0)</f>
        <v>0</v>
      </c>
      <c r="AP3" s="50"/>
      <c r="AQ3" s="50"/>
    </row>
    <row r="4" spans="1:45" ht="12.75" customHeight="1" x14ac:dyDescent="0.25">
      <c r="B4" s="75" t="s">
        <v>74</v>
      </c>
      <c r="C4" s="76" t="s">
        <v>72</v>
      </c>
      <c r="D4" s="77" t="s">
        <v>75</v>
      </c>
      <c r="E4" s="78"/>
      <c r="F4" s="79"/>
      <c r="G4" s="79"/>
      <c r="H4" s="79"/>
      <c r="I4" s="78"/>
      <c r="J4" s="79"/>
      <c r="K4" s="79"/>
      <c r="L4" s="79"/>
      <c r="M4" s="79"/>
      <c r="N4" s="79"/>
      <c r="O4" s="79"/>
      <c r="P4" s="79"/>
      <c r="Q4" s="80"/>
      <c r="R4" s="79"/>
      <c r="S4" s="78"/>
      <c r="T4" s="78"/>
      <c r="U4" s="78"/>
      <c r="V4" s="78"/>
      <c r="W4" s="78">
        <v>792</v>
      </c>
      <c r="X4" s="78">
        <v>964.80000000000007</v>
      </c>
      <c r="Y4" s="79">
        <v>676.79999999999961</v>
      </c>
      <c r="Z4" s="78">
        <v>556.79999999999995</v>
      </c>
      <c r="AA4" s="78">
        <v>792</v>
      </c>
      <c r="AB4" s="78">
        <v>743.99999999999989</v>
      </c>
      <c r="AC4" s="78">
        <v>638.4</v>
      </c>
      <c r="AD4" s="81">
        <v>508.80000000000007</v>
      </c>
      <c r="AE4" s="80">
        <v>667.20000000000016</v>
      </c>
      <c r="AF4" s="80">
        <v>652.80000000000018</v>
      </c>
      <c r="AG4" s="80">
        <v>624.00000000000023</v>
      </c>
      <c r="AH4" s="80">
        <v>763.19999999999982</v>
      </c>
      <c r="AI4" s="80">
        <v>1550.3999999999996</v>
      </c>
      <c r="AJ4" s="82">
        <v>1100</v>
      </c>
      <c r="AK4" s="79">
        <v>0</v>
      </c>
      <c r="AL4" s="79">
        <v>1065.5999999999999</v>
      </c>
      <c r="AM4" s="83">
        <f t="shared" si="0"/>
        <v>0.96872727272727266</v>
      </c>
      <c r="AN4" s="79">
        <f t="shared" si="1"/>
        <v>1065.5999999999999</v>
      </c>
      <c r="AO4" s="84">
        <f t="shared" si="2"/>
        <v>0.96872727272727266</v>
      </c>
      <c r="AP4" s="50"/>
      <c r="AQ4" s="50"/>
    </row>
    <row r="5" spans="1:45" ht="12.75" customHeight="1" x14ac:dyDescent="0.25">
      <c r="B5" s="64" t="s">
        <v>74</v>
      </c>
      <c r="C5" s="65" t="s">
        <v>72</v>
      </c>
      <c r="D5" s="66" t="s">
        <v>76</v>
      </c>
      <c r="E5" s="86"/>
      <c r="F5" s="87"/>
      <c r="G5" s="87"/>
      <c r="H5" s="87"/>
      <c r="I5" s="86"/>
      <c r="J5" s="87"/>
      <c r="K5" s="87"/>
      <c r="L5" s="87"/>
      <c r="M5" s="87"/>
      <c r="N5" s="87"/>
      <c r="O5" s="87"/>
      <c r="P5" s="87"/>
      <c r="Q5" s="88"/>
      <c r="R5" s="87"/>
      <c r="S5" s="86"/>
      <c r="T5" s="86"/>
      <c r="U5" s="86"/>
      <c r="V5" s="86"/>
      <c r="W5" s="86">
        <v>134.4</v>
      </c>
      <c r="X5" s="86">
        <v>105.60000000000001</v>
      </c>
      <c r="Y5" s="87">
        <v>652.79999999999984</v>
      </c>
      <c r="Z5" s="86">
        <v>648</v>
      </c>
      <c r="AA5" s="86">
        <v>825.6</v>
      </c>
      <c r="AB5" s="86">
        <v>825.6</v>
      </c>
      <c r="AC5" s="86">
        <v>268.8</v>
      </c>
      <c r="AD5" s="89">
        <v>196.80000000000007</v>
      </c>
      <c r="AE5" s="88">
        <v>273.60000000000008</v>
      </c>
      <c r="AF5" s="88">
        <v>110.39999999999998</v>
      </c>
      <c r="AG5" s="88">
        <v>148.79999999999995</v>
      </c>
      <c r="AH5" s="88">
        <v>345.6</v>
      </c>
      <c r="AI5" s="88">
        <v>264.00000000000006</v>
      </c>
      <c r="AJ5" s="90">
        <v>300</v>
      </c>
      <c r="AK5" s="87">
        <v>0</v>
      </c>
      <c r="AL5" s="87">
        <v>172.8</v>
      </c>
      <c r="AM5" s="91">
        <f t="shared" si="0"/>
        <v>0.57600000000000007</v>
      </c>
      <c r="AN5" s="87">
        <f t="shared" si="1"/>
        <v>172.8</v>
      </c>
      <c r="AO5" s="92">
        <f t="shared" si="2"/>
        <v>0.57600000000000007</v>
      </c>
      <c r="AP5" s="50" t="s">
        <v>77</v>
      </c>
      <c r="AQ5" s="50"/>
    </row>
    <row r="6" spans="1:45" ht="12.75" customHeight="1" x14ac:dyDescent="0.25">
      <c r="B6" s="75" t="s">
        <v>74</v>
      </c>
      <c r="C6" s="76" t="s">
        <v>72</v>
      </c>
      <c r="D6" s="77" t="s">
        <v>78</v>
      </c>
      <c r="E6" s="78"/>
      <c r="F6" s="79"/>
      <c r="G6" s="79"/>
      <c r="H6" s="79"/>
      <c r="I6" s="78"/>
      <c r="J6" s="79"/>
      <c r="K6" s="79"/>
      <c r="L6" s="79"/>
      <c r="M6" s="79"/>
      <c r="N6" s="79"/>
      <c r="O6" s="79"/>
      <c r="P6" s="79"/>
      <c r="Q6" s="80"/>
      <c r="R6" s="79"/>
      <c r="S6" s="78"/>
      <c r="T6" s="78"/>
      <c r="U6" s="78"/>
      <c r="V6" s="78"/>
      <c r="W6" s="78">
        <v>259.2</v>
      </c>
      <c r="X6" s="78">
        <v>288.00000000000011</v>
      </c>
      <c r="Y6" s="79">
        <v>225.60000000000002</v>
      </c>
      <c r="Z6" s="78">
        <v>182.39999999999998</v>
      </c>
      <c r="AA6" s="78">
        <v>230.4</v>
      </c>
      <c r="AB6" s="78">
        <v>187.20000000000007</v>
      </c>
      <c r="AC6" s="78">
        <v>225.60000000000002</v>
      </c>
      <c r="AD6" s="81">
        <v>33.600000000000009</v>
      </c>
      <c r="AE6" s="80">
        <v>110.39999999999999</v>
      </c>
      <c r="AF6" s="80">
        <v>124.79999999999998</v>
      </c>
      <c r="AG6" s="80">
        <v>230.4</v>
      </c>
      <c r="AH6" s="80">
        <v>139.20000000000002</v>
      </c>
      <c r="AI6" s="80">
        <v>76.799999999999983</v>
      </c>
      <c r="AJ6" s="82">
        <v>200</v>
      </c>
      <c r="AK6" s="79">
        <v>14.399999999999999</v>
      </c>
      <c r="AL6" s="79">
        <v>76.799999999999983</v>
      </c>
      <c r="AM6" s="83">
        <f t="shared" si="0"/>
        <v>0.3839999999999999</v>
      </c>
      <c r="AN6" s="79">
        <f t="shared" si="1"/>
        <v>91.199999999999989</v>
      </c>
      <c r="AO6" s="84">
        <f t="shared" si="2"/>
        <v>0.45599999999999996</v>
      </c>
      <c r="AP6" s="50"/>
      <c r="AQ6" s="50"/>
    </row>
    <row r="7" spans="1:45" ht="12.75" customHeight="1" x14ac:dyDescent="0.25">
      <c r="B7" s="64" t="s">
        <v>79</v>
      </c>
      <c r="C7" s="65" t="s">
        <v>72</v>
      </c>
      <c r="D7" s="66" t="s">
        <v>80</v>
      </c>
      <c r="E7" s="86"/>
      <c r="F7" s="87"/>
      <c r="G7" s="87"/>
      <c r="H7" s="87"/>
      <c r="I7" s="86"/>
      <c r="J7" s="87"/>
      <c r="K7" s="87"/>
      <c r="L7" s="87"/>
      <c r="M7" s="87"/>
      <c r="N7" s="87"/>
      <c r="O7" s="87"/>
      <c r="P7" s="87"/>
      <c r="Q7" s="88"/>
      <c r="R7" s="87"/>
      <c r="S7" s="86"/>
      <c r="T7" s="86"/>
      <c r="U7" s="86"/>
      <c r="V7" s="86"/>
      <c r="W7" s="86">
        <v>0</v>
      </c>
      <c r="X7" s="86">
        <v>124.79999999999998</v>
      </c>
      <c r="Y7" s="87">
        <v>100.79999999999998</v>
      </c>
      <c r="Z7" s="86">
        <v>105.6</v>
      </c>
      <c r="AA7" s="86">
        <v>432.00000000000017</v>
      </c>
      <c r="AB7" s="86">
        <v>350.40000000000015</v>
      </c>
      <c r="AC7" s="86">
        <v>326.40000000000009</v>
      </c>
      <c r="AD7" s="89">
        <v>441.60000000000025</v>
      </c>
      <c r="AE7" s="88">
        <v>398.40000000000009</v>
      </c>
      <c r="AF7" s="88">
        <v>225.60000000000011</v>
      </c>
      <c r="AG7" s="88">
        <v>283.20000000000005</v>
      </c>
      <c r="AH7" s="88">
        <v>240.00000000000014</v>
      </c>
      <c r="AI7" s="88">
        <v>364.80000000000007</v>
      </c>
      <c r="AJ7" s="90">
        <v>300</v>
      </c>
      <c r="AK7" s="87">
        <v>14.399999999999999</v>
      </c>
      <c r="AL7" s="87">
        <v>57.599999999999987</v>
      </c>
      <c r="AM7" s="91">
        <f t="shared" si="0"/>
        <v>0.19199999999999995</v>
      </c>
      <c r="AN7" s="87">
        <f t="shared" si="1"/>
        <v>71.999999999999986</v>
      </c>
      <c r="AO7" s="92">
        <f t="shared" si="2"/>
        <v>0.23999999999999996</v>
      </c>
      <c r="AP7" s="50"/>
      <c r="AQ7" s="50"/>
    </row>
    <row r="8" spans="1:45" ht="12.75" customHeight="1" x14ac:dyDescent="0.25">
      <c r="B8" s="75" t="s">
        <v>79</v>
      </c>
      <c r="C8" s="76" t="s">
        <v>72</v>
      </c>
      <c r="D8" s="77" t="s">
        <v>81</v>
      </c>
      <c r="E8" s="78"/>
      <c r="F8" s="79"/>
      <c r="G8" s="79"/>
      <c r="H8" s="79"/>
      <c r="I8" s="78"/>
      <c r="J8" s="79"/>
      <c r="K8" s="79"/>
      <c r="L8" s="79"/>
      <c r="M8" s="79"/>
      <c r="N8" s="79"/>
      <c r="O8" s="79"/>
      <c r="P8" s="79"/>
      <c r="Q8" s="80"/>
      <c r="R8" s="79"/>
      <c r="S8" s="78"/>
      <c r="T8" s="78"/>
      <c r="U8" s="78"/>
      <c r="V8" s="78"/>
      <c r="W8" s="78">
        <v>72</v>
      </c>
      <c r="X8" s="78">
        <v>168</v>
      </c>
      <c r="Y8" s="79">
        <v>120</v>
      </c>
      <c r="Z8" s="78">
        <v>201.6</v>
      </c>
      <c r="AA8" s="78">
        <v>916.8</v>
      </c>
      <c r="AB8" s="78">
        <v>854.39999999999986</v>
      </c>
      <c r="AC8" s="78">
        <v>504</v>
      </c>
      <c r="AD8" s="81">
        <v>763.19999999999982</v>
      </c>
      <c r="AE8" s="80">
        <v>830.39999999999986</v>
      </c>
      <c r="AF8" s="80">
        <v>734.39999999999986</v>
      </c>
      <c r="AG8" s="80">
        <v>782.4</v>
      </c>
      <c r="AH8" s="80">
        <v>979.2</v>
      </c>
      <c r="AI8" s="80">
        <v>259.2000000000001</v>
      </c>
      <c r="AJ8" s="82">
        <v>1300</v>
      </c>
      <c r="AK8" s="79">
        <v>52.8</v>
      </c>
      <c r="AL8" s="79">
        <v>163.19999999999999</v>
      </c>
      <c r="AM8" s="83">
        <f t="shared" si="0"/>
        <v>0.12553846153846154</v>
      </c>
      <c r="AN8" s="79">
        <f t="shared" si="1"/>
        <v>216</v>
      </c>
      <c r="AO8" s="84">
        <f t="shared" si="2"/>
        <v>0.16615384615384615</v>
      </c>
      <c r="AP8" s="50"/>
      <c r="AQ8" s="50"/>
    </row>
    <row r="9" spans="1:45" ht="12.75" customHeight="1" x14ac:dyDescent="0.25">
      <c r="B9" s="64" t="s">
        <v>82</v>
      </c>
      <c r="C9" s="65" t="s">
        <v>72</v>
      </c>
      <c r="D9" s="66" t="s">
        <v>83</v>
      </c>
      <c r="E9" s="86"/>
      <c r="F9" s="87"/>
      <c r="G9" s="87"/>
      <c r="H9" s="87"/>
      <c r="I9" s="86"/>
      <c r="J9" s="87"/>
      <c r="K9" s="87"/>
      <c r="L9" s="87"/>
      <c r="M9" s="87"/>
      <c r="N9" s="87"/>
      <c r="O9" s="87"/>
      <c r="P9" s="87"/>
      <c r="Q9" s="88"/>
      <c r="R9" s="87"/>
      <c r="S9" s="86"/>
      <c r="T9" s="86"/>
      <c r="U9" s="86"/>
      <c r="V9" s="86"/>
      <c r="W9" s="86">
        <v>24</v>
      </c>
      <c r="X9" s="86">
        <v>62.399999999999984</v>
      </c>
      <c r="Y9" s="87">
        <v>355.2</v>
      </c>
      <c r="Z9" s="86">
        <v>81.599999999999994</v>
      </c>
      <c r="AA9" s="86">
        <v>220.8</v>
      </c>
      <c r="AB9" s="86">
        <v>374.40000000000003</v>
      </c>
      <c r="AC9" s="86">
        <v>201.6</v>
      </c>
      <c r="AD9" s="89">
        <v>91.199999999999989</v>
      </c>
      <c r="AE9" s="88">
        <v>71.999999999999986</v>
      </c>
      <c r="AF9" s="88">
        <v>19.2</v>
      </c>
      <c r="AG9" s="88">
        <v>52.79999999999999</v>
      </c>
      <c r="AH9" s="88">
        <v>182.39999999999998</v>
      </c>
      <c r="AI9" s="88">
        <v>105.6</v>
      </c>
      <c r="AJ9" s="90">
        <v>200</v>
      </c>
      <c r="AK9" s="87">
        <v>19.2</v>
      </c>
      <c r="AL9" s="87">
        <v>96.39</v>
      </c>
      <c r="AM9" s="91">
        <f t="shared" si="0"/>
        <v>0.48194999999999999</v>
      </c>
      <c r="AN9" s="87">
        <f t="shared" si="1"/>
        <v>115.59</v>
      </c>
      <c r="AO9" s="92">
        <f t="shared" si="2"/>
        <v>0.57794999999999996</v>
      </c>
      <c r="AP9" s="50"/>
      <c r="AQ9" s="50"/>
    </row>
    <row r="10" spans="1:45" ht="12.75" customHeight="1" x14ac:dyDescent="0.25">
      <c r="B10" s="75" t="s">
        <v>82</v>
      </c>
      <c r="C10" s="76" t="s">
        <v>72</v>
      </c>
      <c r="D10" s="77" t="s">
        <v>84</v>
      </c>
      <c r="E10" s="78"/>
      <c r="F10" s="79"/>
      <c r="G10" s="79"/>
      <c r="H10" s="79"/>
      <c r="I10" s="78"/>
      <c r="J10" s="79"/>
      <c r="K10" s="79"/>
      <c r="L10" s="79"/>
      <c r="M10" s="79"/>
      <c r="N10" s="79"/>
      <c r="O10" s="79"/>
      <c r="P10" s="79"/>
      <c r="Q10" s="80"/>
      <c r="R10" s="79"/>
      <c r="S10" s="78"/>
      <c r="T10" s="78"/>
      <c r="U10" s="78"/>
      <c r="V10" s="78"/>
      <c r="W10" s="78">
        <v>24</v>
      </c>
      <c r="X10" s="78">
        <v>100.8</v>
      </c>
      <c r="Y10" s="79">
        <v>95.999999999999986</v>
      </c>
      <c r="Z10" s="78">
        <v>62.399999999999991</v>
      </c>
      <c r="AA10" s="78">
        <v>288</v>
      </c>
      <c r="AB10" s="78">
        <v>307.2</v>
      </c>
      <c r="AC10" s="78">
        <v>-14.40000000000002</v>
      </c>
      <c r="AD10" s="81">
        <v>100.79999999999998</v>
      </c>
      <c r="AE10" s="80">
        <v>139.19999999999996</v>
      </c>
      <c r="AF10" s="80">
        <v>163.20000000000002</v>
      </c>
      <c r="AG10" s="80">
        <v>268.8</v>
      </c>
      <c r="AH10" s="80">
        <v>86.4</v>
      </c>
      <c r="AI10" s="80">
        <v>110.78999999999999</v>
      </c>
      <c r="AJ10" s="82">
        <v>300</v>
      </c>
      <c r="AK10" s="79">
        <v>28.8</v>
      </c>
      <c r="AL10" s="79">
        <v>19.2</v>
      </c>
      <c r="AM10" s="83">
        <f t="shared" si="0"/>
        <v>6.4000000000000001E-2</v>
      </c>
      <c r="AN10" s="79">
        <f t="shared" si="1"/>
        <v>48</v>
      </c>
      <c r="AO10" s="84">
        <f t="shared" si="2"/>
        <v>0.16</v>
      </c>
      <c r="AP10" s="50"/>
      <c r="AQ10" s="50"/>
    </row>
    <row r="11" spans="1:45" ht="12.75" customHeight="1" x14ac:dyDescent="0.25">
      <c r="B11" s="64" t="s">
        <v>85</v>
      </c>
      <c r="C11" s="65" t="s">
        <v>86</v>
      </c>
      <c r="D11" s="66" t="s">
        <v>87</v>
      </c>
      <c r="E11" s="86"/>
      <c r="F11" s="87"/>
      <c r="G11" s="87"/>
      <c r="H11" s="87"/>
      <c r="I11" s="86"/>
      <c r="J11" s="87"/>
      <c r="K11" s="87"/>
      <c r="L11" s="87"/>
      <c r="M11" s="87"/>
      <c r="N11" s="87"/>
      <c r="O11" s="87"/>
      <c r="P11" s="87"/>
      <c r="Q11" s="88"/>
      <c r="R11" s="87"/>
      <c r="S11" s="86"/>
      <c r="T11" s="86"/>
      <c r="U11" s="86"/>
      <c r="V11" s="86"/>
      <c r="W11" s="86">
        <v>52.800000000000004</v>
      </c>
      <c r="X11" s="86">
        <v>158.4</v>
      </c>
      <c r="Y11" s="87">
        <v>100.80000000000001</v>
      </c>
      <c r="Z11" s="86">
        <v>216.00000000000006</v>
      </c>
      <c r="AA11" s="86">
        <v>264</v>
      </c>
      <c r="AB11" s="86">
        <v>220.80000000000007</v>
      </c>
      <c r="AC11" s="86">
        <v>211.20000000000007</v>
      </c>
      <c r="AD11" s="89">
        <v>187.20000000000005</v>
      </c>
      <c r="AE11" s="88">
        <v>115.19999999999996</v>
      </c>
      <c r="AF11" s="88">
        <v>216</v>
      </c>
      <c r="AG11" s="88">
        <v>259.2</v>
      </c>
      <c r="AH11" s="88">
        <v>187.2</v>
      </c>
      <c r="AI11" s="88">
        <v>321.60000000000002</v>
      </c>
      <c r="AJ11" s="90">
        <v>400</v>
      </c>
      <c r="AK11" s="87">
        <v>24</v>
      </c>
      <c r="AL11" s="87">
        <v>110.39999999999999</v>
      </c>
      <c r="AM11" s="91">
        <f t="shared" si="0"/>
        <v>0.27599999999999997</v>
      </c>
      <c r="AN11" s="87">
        <f t="shared" si="1"/>
        <v>134.39999999999998</v>
      </c>
      <c r="AO11" s="92">
        <f t="shared" si="2"/>
        <v>0.33599999999999997</v>
      </c>
      <c r="AP11" s="50"/>
      <c r="AQ11" s="50"/>
    </row>
    <row r="12" spans="1:45" ht="12.75" customHeight="1" x14ac:dyDescent="0.25">
      <c r="B12" s="75" t="s">
        <v>85</v>
      </c>
      <c r="C12" s="76" t="s">
        <v>86</v>
      </c>
      <c r="D12" s="77" t="s">
        <v>88</v>
      </c>
      <c r="E12" s="78"/>
      <c r="F12" s="79"/>
      <c r="G12" s="79"/>
      <c r="H12" s="79"/>
      <c r="I12" s="78"/>
      <c r="J12" s="79"/>
      <c r="K12" s="79"/>
      <c r="L12" s="79"/>
      <c r="M12" s="79"/>
      <c r="N12" s="79"/>
      <c r="O12" s="79"/>
      <c r="P12" s="79"/>
      <c r="Q12" s="80"/>
      <c r="R12" s="79"/>
      <c r="S12" s="78"/>
      <c r="T12" s="78"/>
      <c r="U12" s="78"/>
      <c r="V12" s="78"/>
      <c r="W12" s="78">
        <v>134.39999999999998</v>
      </c>
      <c r="X12" s="78">
        <v>182.4</v>
      </c>
      <c r="Y12" s="79">
        <v>62.400000000000006</v>
      </c>
      <c r="Z12" s="78">
        <v>177.60000000000002</v>
      </c>
      <c r="AA12" s="78">
        <v>403.2</v>
      </c>
      <c r="AB12" s="78">
        <v>297.60000000000008</v>
      </c>
      <c r="AC12" s="78">
        <v>76.800000000000011</v>
      </c>
      <c r="AD12" s="81">
        <v>172.79999999999995</v>
      </c>
      <c r="AE12" s="80">
        <v>96</v>
      </c>
      <c r="AF12" s="80">
        <v>182.39999999999998</v>
      </c>
      <c r="AG12" s="80">
        <v>153.59999999999997</v>
      </c>
      <c r="AH12" s="80">
        <v>172.8</v>
      </c>
      <c r="AI12" s="80">
        <v>187.2</v>
      </c>
      <c r="AJ12" s="82">
        <v>200</v>
      </c>
      <c r="AK12" s="79">
        <v>0</v>
      </c>
      <c r="AL12" s="79">
        <v>-48</v>
      </c>
      <c r="AM12" s="83">
        <f t="shared" si="0"/>
        <v>-0.24</v>
      </c>
      <c r="AN12" s="79">
        <f t="shared" si="1"/>
        <v>-48</v>
      </c>
      <c r="AO12" s="84">
        <f t="shared" si="2"/>
        <v>-0.24</v>
      </c>
      <c r="AP12" s="50"/>
      <c r="AQ12" s="50"/>
    </row>
    <row r="13" spans="1:45" ht="12.75" customHeight="1" x14ac:dyDescent="0.25">
      <c r="B13" s="64" t="s">
        <v>89</v>
      </c>
      <c r="C13" s="65" t="s">
        <v>86</v>
      </c>
      <c r="D13" s="66" t="s">
        <v>90</v>
      </c>
      <c r="E13" s="86"/>
      <c r="F13" s="87"/>
      <c r="G13" s="87"/>
      <c r="H13" s="87"/>
      <c r="I13" s="86"/>
      <c r="J13" s="87"/>
      <c r="K13" s="87"/>
      <c r="L13" s="87"/>
      <c r="M13" s="87"/>
      <c r="N13" s="87"/>
      <c r="O13" s="87"/>
      <c r="P13" s="87"/>
      <c r="Q13" s="88"/>
      <c r="R13" s="87"/>
      <c r="S13" s="86"/>
      <c r="T13" s="86"/>
      <c r="U13" s="86"/>
      <c r="V13" s="86"/>
      <c r="W13" s="86">
        <v>321.60000000000002</v>
      </c>
      <c r="X13" s="86">
        <v>431.99999999999994</v>
      </c>
      <c r="Y13" s="87">
        <v>374.40000000000003</v>
      </c>
      <c r="Z13" s="86">
        <v>230.39999999999998</v>
      </c>
      <c r="AA13" s="86">
        <v>432</v>
      </c>
      <c r="AB13" s="86">
        <v>153.6</v>
      </c>
      <c r="AC13" s="86">
        <v>163.20000000000005</v>
      </c>
      <c r="AD13" s="89">
        <v>216.00000000000003</v>
      </c>
      <c r="AE13" s="88">
        <v>355.2</v>
      </c>
      <c r="AF13" s="88">
        <v>91.199999999999974</v>
      </c>
      <c r="AG13" s="88">
        <v>321.60000000000008</v>
      </c>
      <c r="AH13" s="88">
        <v>316.80000000000007</v>
      </c>
      <c r="AI13" s="88">
        <v>316.79999999999995</v>
      </c>
      <c r="AJ13" s="90">
        <v>500</v>
      </c>
      <c r="AK13" s="87">
        <v>86.399999999999991</v>
      </c>
      <c r="AL13" s="87">
        <v>187.20000000000002</v>
      </c>
      <c r="AM13" s="91">
        <f t="shared" si="0"/>
        <v>0.37440000000000001</v>
      </c>
      <c r="AN13" s="87">
        <f t="shared" si="1"/>
        <v>273.60000000000002</v>
      </c>
      <c r="AO13" s="92">
        <f t="shared" si="2"/>
        <v>0.54720000000000002</v>
      </c>
      <c r="AP13" s="50"/>
      <c r="AQ13" s="50"/>
    </row>
    <row r="14" spans="1:45" ht="12.75" hidden="1" customHeight="1" x14ac:dyDescent="0.25">
      <c r="B14" s="75" t="s">
        <v>89</v>
      </c>
      <c r="C14" s="76" t="s">
        <v>86</v>
      </c>
      <c r="D14" s="77" t="s">
        <v>91</v>
      </c>
      <c r="E14" s="78"/>
      <c r="F14" s="79"/>
      <c r="G14" s="79"/>
      <c r="H14" s="79"/>
      <c r="I14" s="78"/>
      <c r="J14" s="79"/>
      <c r="K14" s="79"/>
      <c r="L14" s="79"/>
      <c r="M14" s="79"/>
      <c r="N14" s="79"/>
      <c r="O14" s="79"/>
      <c r="P14" s="79"/>
      <c r="Q14" s="80"/>
      <c r="R14" s="79"/>
      <c r="S14" s="78"/>
      <c r="T14" s="78"/>
      <c r="U14" s="78"/>
      <c r="V14" s="78"/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 t="s">
        <v>92</v>
      </c>
      <c r="AK14" s="79">
        <v>0</v>
      </c>
      <c r="AL14" s="79">
        <v>0</v>
      </c>
      <c r="AM14" s="83">
        <f t="shared" si="0"/>
        <v>0</v>
      </c>
      <c r="AN14" s="79">
        <f t="shared" si="1"/>
        <v>0</v>
      </c>
      <c r="AO14" s="84">
        <f t="shared" si="2"/>
        <v>0</v>
      </c>
      <c r="AP14" s="50"/>
      <c r="AQ14" s="50"/>
    </row>
    <row r="15" spans="1:45" ht="12.75" customHeight="1" x14ac:dyDescent="0.25">
      <c r="B15" s="75" t="s">
        <v>89</v>
      </c>
      <c r="C15" s="76" t="s">
        <v>86</v>
      </c>
      <c r="D15" s="77" t="s">
        <v>93</v>
      </c>
      <c r="E15" s="78"/>
      <c r="F15" s="79"/>
      <c r="G15" s="79"/>
      <c r="H15" s="79"/>
      <c r="I15" s="78"/>
      <c r="J15" s="79"/>
      <c r="K15" s="79"/>
      <c r="L15" s="79"/>
      <c r="M15" s="79"/>
      <c r="N15" s="79"/>
      <c r="O15" s="79"/>
      <c r="P15" s="79"/>
      <c r="Q15" s="80"/>
      <c r="R15" s="79"/>
      <c r="S15" s="78"/>
      <c r="T15" s="78"/>
      <c r="U15" s="78"/>
      <c r="V15" s="78"/>
      <c r="W15" s="78">
        <v>148.80000000000001</v>
      </c>
      <c r="X15" s="78">
        <v>240</v>
      </c>
      <c r="Y15" s="79">
        <v>244.80000000000007</v>
      </c>
      <c r="Z15" s="78">
        <v>379.19999999999993</v>
      </c>
      <c r="AA15" s="78">
        <v>268.8</v>
      </c>
      <c r="AB15" s="78">
        <v>283.20000000000005</v>
      </c>
      <c r="AC15" s="78">
        <v>259.2</v>
      </c>
      <c r="AD15" s="81">
        <v>206.39999999999998</v>
      </c>
      <c r="AE15" s="80">
        <v>268.79999999999995</v>
      </c>
      <c r="AF15" s="80">
        <v>76.8</v>
      </c>
      <c r="AG15" s="80">
        <v>259.2</v>
      </c>
      <c r="AH15" s="80">
        <v>206.40000000000003</v>
      </c>
      <c r="AI15" s="80">
        <v>297.60000000000002</v>
      </c>
      <c r="AJ15" s="82">
        <v>300</v>
      </c>
      <c r="AK15" s="79">
        <v>0</v>
      </c>
      <c r="AL15" s="79">
        <v>-43.2</v>
      </c>
      <c r="AM15" s="83">
        <f t="shared" si="0"/>
        <v>-0.14400000000000002</v>
      </c>
      <c r="AN15" s="79">
        <f t="shared" si="1"/>
        <v>-43.2</v>
      </c>
      <c r="AO15" s="84">
        <f t="shared" si="2"/>
        <v>-0.14400000000000002</v>
      </c>
      <c r="AP15" s="50"/>
      <c r="AQ15" s="50"/>
    </row>
    <row r="16" spans="1:45" ht="12.75" customHeight="1" x14ac:dyDescent="0.25">
      <c r="B16" s="64" t="s">
        <v>94</v>
      </c>
      <c r="C16" s="65" t="s">
        <v>86</v>
      </c>
      <c r="D16" s="66" t="s">
        <v>95</v>
      </c>
      <c r="E16" s="86"/>
      <c r="F16" s="87"/>
      <c r="G16" s="87"/>
      <c r="H16" s="87"/>
      <c r="I16" s="86"/>
      <c r="J16" s="87"/>
      <c r="K16" s="87"/>
      <c r="L16" s="87"/>
      <c r="M16" s="87"/>
      <c r="N16" s="87"/>
      <c r="O16" s="87"/>
      <c r="P16" s="87"/>
      <c r="Q16" s="88"/>
      <c r="R16" s="87"/>
      <c r="S16" s="86"/>
      <c r="T16" s="86"/>
      <c r="U16" s="86"/>
      <c r="V16" s="86"/>
      <c r="W16" s="86">
        <v>196.8</v>
      </c>
      <c r="X16" s="86">
        <v>820.80000000000018</v>
      </c>
      <c r="Y16" s="87">
        <v>249.59999999999997</v>
      </c>
      <c r="Z16" s="86">
        <v>-52.799999999999983</v>
      </c>
      <c r="AA16" s="86">
        <v>211.19999999999996</v>
      </c>
      <c r="AB16" s="86">
        <v>316.79999999999995</v>
      </c>
      <c r="AC16" s="86">
        <v>100.79999999999998</v>
      </c>
      <c r="AD16" s="89">
        <v>91.2</v>
      </c>
      <c r="AE16" s="88">
        <v>191.99999999999997</v>
      </c>
      <c r="AF16" s="88">
        <v>119.99999999999999</v>
      </c>
      <c r="AG16" s="88">
        <v>283.2</v>
      </c>
      <c r="AH16" s="88">
        <v>383.99999999999994</v>
      </c>
      <c r="AI16" s="88">
        <v>86.399999999999991</v>
      </c>
      <c r="AJ16" s="90">
        <v>400</v>
      </c>
      <c r="AK16" s="87">
        <v>137.6</v>
      </c>
      <c r="AL16" s="87">
        <v>216</v>
      </c>
      <c r="AM16" s="91">
        <f>IFERROR(AL16/AJ16,0)</f>
        <v>0.54</v>
      </c>
      <c r="AN16" s="87">
        <f>+AK16+AL16</f>
        <v>353.6</v>
      </c>
      <c r="AO16" s="92">
        <f>IFERROR(+AN16/AJ16,0)</f>
        <v>0.88400000000000001</v>
      </c>
      <c r="AP16" s="50"/>
      <c r="AQ16" s="50"/>
    </row>
    <row r="17" spans="1:45" ht="12.75" customHeight="1" thickBot="1" x14ac:dyDescent="0.3">
      <c r="B17" s="75" t="s">
        <v>94</v>
      </c>
      <c r="C17" s="76" t="s">
        <v>86</v>
      </c>
      <c r="D17" s="77" t="s">
        <v>96</v>
      </c>
      <c r="E17" s="78"/>
      <c r="F17" s="79"/>
      <c r="G17" s="79"/>
      <c r="H17" s="79"/>
      <c r="I17" s="78"/>
      <c r="J17" s="79"/>
      <c r="K17" s="79"/>
      <c r="L17" s="79"/>
      <c r="M17" s="79"/>
      <c r="N17" s="79"/>
      <c r="O17" s="79"/>
      <c r="P17" s="79"/>
      <c r="Q17" s="80"/>
      <c r="R17" s="79"/>
      <c r="S17" s="78"/>
      <c r="T17" s="78"/>
      <c r="U17" s="78"/>
      <c r="V17" s="78"/>
      <c r="W17" s="78">
        <v>0</v>
      </c>
      <c r="X17" s="78">
        <v>1771.1999999999996</v>
      </c>
      <c r="Y17" s="79">
        <v>312.00000000000006</v>
      </c>
      <c r="Z17" s="78">
        <v>369.59999999999997</v>
      </c>
      <c r="AA17" s="78">
        <v>326.40000000000003</v>
      </c>
      <c r="AB17" s="78">
        <v>120</v>
      </c>
      <c r="AC17" s="78">
        <v>148.79999999999998</v>
      </c>
      <c r="AD17" s="81">
        <v>307.2</v>
      </c>
      <c r="AE17" s="93">
        <v>206.39999999999995</v>
      </c>
      <c r="AF17" s="93">
        <v>28.800000000000004</v>
      </c>
      <c r="AG17" s="93">
        <v>374.40000000000003</v>
      </c>
      <c r="AH17" s="93">
        <v>321.60000000000002</v>
      </c>
      <c r="AI17" s="93">
        <v>371.71999999999997</v>
      </c>
      <c r="AJ17" s="94">
        <v>500</v>
      </c>
      <c r="AK17" s="95">
        <v>14.4</v>
      </c>
      <c r="AL17" s="95">
        <v>469.44999999999993</v>
      </c>
      <c r="AM17" s="96">
        <f>IFERROR(AL17/AJ17,0)</f>
        <v>0.93889999999999985</v>
      </c>
      <c r="AN17" s="95">
        <f>+AK17+AL17</f>
        <v>483.84999999999991</v>
      </c>
      <c r="AO17" s="97">
        <f>IFERROR(+AN17/AJ17,0)</f>
        <v>0.96769999999999978</v>
      </c>
      <c r="AP17" s="50"/>
      <c r="AQ17" s="50"/>
    </row>
    <row r="18" spans="1:45" s="109" customFormat="1" ht="12.75" customHeight="1" thickBot="1" x14ac:dyDescent="0.35">
      <c r="A18" s="45"/>
      <c r="B18" s="98"/>
      <c r="C18" s="99"/>
      <c r="D18" s="100" t="s">
        <v>97</v>
      </c>
      <c r="E18" s="101">
        <f t="shared" ref="E18:AD18" si="3">+SUM(E3:E17)</f>
        <v>0</v>
      </c>
      <c r="F18" s="102">
        <f t="shared" si="3"/>
        <v>0</v>
      </c>
      <c r="G18" s="102">
        <f t="shared" si="3"/>
        <v>0</v>
      </c>
      <c r="H18" s="102">
        <f t="shared" si="3"/>
        <v>0</v>
      </c>
      <c r="I18" s="102">
        <f t="shared" si="3"/>
        <v>0</v>
      </c>
      <c r="J18" s="102">
        <f t="shared" si="3"/>
        <v>0</v>
      </c>
      <c r="K18" s="102">
        <f t="shared" si="3"/>
        <v>0</v>
      </c>
      <c r="L18" s="102">
        <f t="shared" si="3"/>
        <v>0</v>
      </c>
      <c r="M18" s="102">
        <f t="shared" si="3"/>
        <v>0</v>
      </c>
      <c r="N18" s="102">
        <f t="shared" si="3"/>
        <v>0</v>
      </c>
      <c r="O18" s="102">
        <f t="shared" si="3"/>
        <v>0</v>
      </c>
      <c r="P18" s="102">
        <f t="shared" si="3"/>
        <v>0</v>
      </c>
      <c r="Q18" s="103">
        <f t="shared" si="3"/>
        <v>0</v>
      </c>
      <c r="R18" s="102">
        <f t="shared" si="3"/>
        <v>0</v>
      </c>
      <c r="S18" s="101">
        <f t="shared" si="3"/>
        <v>0</v>
      </c>
      <c r="T18" s="101">
        <f t="shared" si="3"/>
        <v>0</v>
      </c>
      <c r="U18" s="101">
        <f t="shared" si="3"/>
        <v>0</v>
      </c>
      <c r="V18" s="101">
        <f t="shared" si="3"/>
        <v>0</v>
      </c>
      <c r="W18" s="101">
        <f t="shared" si="3"/>
        <v>2159.9999999999995</v>
      </c>
      <c r="X18" s="101">
        <f t="shared" si="3"/>
        <v>5419.2</v>
      </c>
      <c r="Y18" s="102">
        <f t="shared" si="3"/>
        <v>3571.2</v>
      </c>
      <c r="Z18" s="101">
        <f t="shared" si="3"/>
        <v>3158.3999999999992</v>
      </c>
      <c r="AA18" s="101">
        <f t="shared" si="3"/>
        <v>5611.2</v>
      </c>
      <c r="AB18" s="101">
        <f t="shared" si="3"/>
        <v>5035.2000000000007</v>
      </c>
      <c r="AC18" s="101">
        <f t="shared" si="3"/>
        <v>3110.4000000000005</v>
      </c>
      <c r="AD18" s="104">
        <f t="shared" si="3"/>
        <v>3316.8000000000006</v>
      </c>
      <c r="AE18" s="103">
        <v>3724.7999999999997</v>
      </c>
      <c r="AF18" s="103">
        <v>2745.6000000000004</v>
      </c>
      <c r="AG18" s="103">
        <v>4041.6</v>
      </c>
      <c r="AH18" s="103">
        <v>4324.8</v>
      </c>
      <c r="AI18" s="103">
        <v>4312.91</v>
      </c>
      <c r="AJ18" s="105">
        <v>6000</v>
      </c>
      <c r="AK18" s="102">
        <f t="shared" ref="AK18:AN18" si="4">+SUM(AK3:AK17)</f>
        <v>392</v>
      </c>
      <c r="AL18" s="102">
        <f t="shared" si="4"/>
        <v>2543.4399999999996</v>
      </c>
      <c r="AM18" s="106">
        <f t="shared" si="0"/>
        <v>0.4239066666666666</v>
      </c>
      <c r="AN18" s="102">
        <f t="shared" si="4"/>
        <v>2935.4399999999996</v>
      </c>
      <c r="AO18" s="107">
        <f t="shared" si="2"/>
        <v>0.48923999999999995</v>
      </c>
      <c r="AP18" s="49"/>
      <c r="AQ18" s="49"/>
      <c r="AR18" s="108"/>
      <c r="AS18" s="47"/>
    </row>
    <row r="19" spans="1:45" ht="12.75" customHeight="1" x14ac:dyDescent="0.25">
      <c r="B19" s="64" t="s">
        <v>98</v>
      </c>
      <c r="C19" s="65" t="s">
        <v>99</v>
      </c>
      <c r="D19" s="66" t="s">
        <v>100</v>
      </c>
      <c r="E19" s="67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R19" s="68"/>
      <c r="S19" s="67"/>
      <c r="T19" s="67"/>
      <c r="U19" s="67"/>
      <c r="V19" s="67"/>
      <c r="W19" s="67">
        <v>24</v>
      </c>
      <c r="X19" s="67">
        <v>177.60000000000005</v>
      </c>
      <c r="Y19" s="68">
        <v>283.2000000000001</v>
      </c>
      <c r="Z19" s="67">
        <v>403.20000000000005</v>
      </c>
      <c r="AA19" s="67">
        <v>590.40000000000009</v>
      </c>
      <c r="AB19" s="67">
        <v>672.00000000000034</v>
      </c>
      <c r="AC19" s="67">
        <v>657.5999999999998</v>
      </c>
      <c r="AD19" s="70">
        <v>552.00000000000011</v>
      </c>
      <c r="AE19" s="69">
        <v>326.40000000000003</v>
      </c>
      <c r="AF19" s="69">
        <v>451.20000000000022</v>
      </c>
      <c r="AG19" s="69">
        <v>288.00000000000017</v>
      </c>
      <c r="AH19" s="69">
        <v>412.80000000000007</v>
      </c>
      <c r="AI19" s="69">
        <v>446.40000000000009</v>
      </c>
      <c r="AJ19" s="110">
        <v>500</v>
      </c>
      <c r="AK19" s="68">
        <v>19.2</v>
      </c>
      <c r="AL19" s="68">
        <v>71.999999999999986</v>
      </c>
      <c r="AM19" s="111">
        <f>IFERROR(AL19/AJ19,0)</f>
        <v>0.14399999999999996</v>
      </c>
      <c r="AN19" s="68">
        <f t="shared" ref="AN19:AN21" si="5">+AK19+AL19</f>
        <v>91.199999999999989</v>
      </c>
      <c r="AO19" s="112">
        <f t="shared" si="2"/>
        <v>0.18239999999999998</v>
      </c>
      <c r="AP19" s="50"/>
      <c r="AQ19" s="50"/>
    </row>
    <row r="20" spans="1:45" ht="12.75" customHeight="1" x14ac:dyDescent="0.25">
      <c r="B20" s="75" t="s">
        <v>98</v>
      </c>
      <c r="C20" s="113" t="s">
        <v>99</v>
      </c>
      <c r="D20" s="77" t="s">
        <v>101</v>
      </c>
      <c r="E20" s="78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80"/>
      <c r="R20" s="79"/>
      <c r="S20" s="78"/>
      <c r="T20" s="78"/>
      <c r="U20" s="78"/>
      <c r="V20" s="78"/>
      <c r="W20" s="78">
        <v>0</v>
      </c>
      <c r="X20" s="78">
        <v>96</v>
      </c>
      <c r="Y20" s="79">
        <v>177.60000000000008</v>
      </c>
      <c r="Z20" s="78">
        <v>129.59999999999997</v>
      </c>
      <c r="AA20" s="78">
        <v>340.8</v>
      </c>
      <c r="AB20" s="78">
        <v>86.399999999999991</v>
      </c>
      <c r="AC20" s="78">
        <v>110.39999999999999</v>
      </c>
      <c r="AD20" s="81">
        <v>211.2</v>
      </c>
      <c r="AE20" s="80">
        <v>172.79999999999995</v>
      </c>
      <c r="AF20" s="80">
        <v>278.39999999999998</v>
      </c>
      <c r="AG20" s="80">
        <v>192</v>
      </c>
      <c r="AH20" s="80">
        <v>72</v>
      </c>
      <c r="AI20" s="80">
        <v>268.8</v>
      </c>
      <c r="AJ20" s="114">
        <v>200</v>
      </c>
      <c r="AK20" s="79">
        <v>43.199999999999996</v>
      </c>
      <c r="AL20" s="79">
        <v>76.800000000000011</v>
      </c>
      <c r="AM20" s="83">
        <f>IFERROR(AL20/AJ20,0)</f>
        <v>0.38400000000000006</v>
      </c>
      <c r="AN20" s="79">
        <f t="shared" si="5"/>
        <v>120</v>
      </c>
      <c r="AO20" s="84">
        <f t="shared" si="2"/>
        <v>0.6</v>
      </c>
      <c r="AP20" s="50"/>
      <c r="AQ20" s="50"/>
    </row>
    <row r="21" spans="1:45" ht="12.75" customHeight="1" thickBot="1" x14ac:dyDescent="0.3">
      <c r="B21" s="64" t="s">
        <v>98</v>
      </c>
      <c r="C21" s="65" t="s">
        <v>99</v>
      </c>
      <c r="D21" s="66" t="s">
        <v>102</v>
      </c>
      <c r="E21" s="86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87"/>
      <c r="S21" s="86"/>
      <c r="T21" s="86"/>
      <c r="U21" s="86"/>
      <c r="V21" s="86"/>
      <c r="W21" s="86">
        <v>0</v>
      </c>
      <c r="X21" s="86">
        <v>4.8</v>
      </c>
      <c r="Y21" s="87">
        <v>33.6</v>
      </c>
      <c r="Z21" s="86">
        <v>19.20000000000001</v>
      </c>
      <c r="AA21" s="86">
        <v>47.999999999999979</v>
      </c>
      <c r="AB21" s="86">
        <v>62.4</v>
      </c>
      <c r="AC21" s="86">
        <v>43.2</v>
      </c>
      <c r="AD21" s="89">
        <v>33.6</v>
      </c>
      <c r="AE21" s="88">
        <v>62.4</v>
      </c>
      <c r="AF21" s="88">
        <v>0</v>
      </c>
      <c r="AG21" s="88">
        <v>24.000000000000004</v>
      </c>
      <c r="AH21" s="88">
        <v>19.199999999999996</v>
      </c>
      <c r="AI21" s="88">
        <v>-4.7999999999999963</v>
      </c>
      <c r="AJ21" s="115">
        <v>0</v>
      </c>
      <c r="AK21" s="87">
        <v>9.6</v>
      </c>
      <c r="AL21" s="87">
        <v>38.399999999999991</v>
      </c>
      <c r="AM21" s="91">
        <f>IFERROR(AL21/AJ21,0)</f>
        <v>0</v>
      </c>
      <c r="AN21" s="87">
        <f t="shared" si="5"/>
        <v>47.999999999999993</v>
      </c>
      <c r="AO21" s="92">
        <f t="shared" si="2"/>
        <v>0</v>
      </c>
      <c r="AP21" s="50"/>
      <c r="AQ21" s="50"/>
    </row>
    <row r="22" spans="1:45" s="109" customFormat="1" ht="12.75" customHeight="1" thickBot="1" x14ac:dyDescent="0.35">
      <c r="A22" s="45"/>
      <c r="B22" s="98"/>
      <c r="C22" s="99"/>
      <c r="D22" s="100" t="s">
        <v>103</v>
      </c>
      <c r="E22" s="101">
        <f t="shared" ref="E22:X22" si="6">+SUM(E19:E21)</f>
        <v>0</v>
      </c>
      <c r="F22" s="102">
        <f t="shared" si="6"/>
        <v>0</v>
      </c>
      <c r="G22" s="102">
        <f t="shared" si="6"/>
        <v>0</v>
      </c>
      <c r="H22" s="102">
        <f t="shared" si="6"/>
        <v>0</v>
      </c>
      <c r="I22" s="102">
        <f t="shared" si="6"/>
        <v>0</v>
      </c>
      <c r="J22" s="102">
        <f t="shared" si="6"/>
        <v>0</v>
      </c>
      <c r="K22" s="102">
        <f t="shared" si="6"/>
        <v>0</v>
      </c>
      <c r="L22" s="102">
        <f t="shared" si="6"/>
        <v>0</v>
      </c>
      <c r="M22" s="102">
        <f t="shared" si="6"/>
        <v>0</v>
      </c>
      <c r="N22" s="102">
        <f t="shared" si="6"/>
        <v>0</v>
      </c>
      <c r="O22" s="102">
        <f t="shared" si="6"/>
        <v>0</v>
      </c>
      <c r="P22" s="102">
        <f t="shared" si="6"/>
        <v>0</v>
      </c>
      <c r="Q22" s="103">
        <f t="shared" si="6"/>
        <v>0</v>
      </c>
      <c r="R22" s="102">
        <f t="shared" si="6"/>
        <v>0</v>
      </c>
      <c r="S22" s="101">
        <v>0</v>
      </c>
      <c r="T22" s="101">
        <f t="shared" si="6"/>
        <v>0</v>
      </c>
      <c r="U22" s="101">
        <f t="shared" si="6"/>
        <v>0</v>
      </c>
      <c r="V22" s="101">
        <f t="shared" si="6"/>
        <v>0</v>
      </c>
      <c r="W22" s="101">
        <v>24</v>
      </c>
      <c r="X22" s="101">
        <f t="shared" si="6"/>
        <v>278.40000000000003</v>
      </c>
      <c r="Y22" s="102">
        <v>494.4000000000002</v>
      </c>
      <c r="Z22" s="101">
        <v>552</v>
      </c>
      <c r="AA22" s="101">
        <v>979.2</v>
      </c>
      <c r="AB22" s="101">
        <v>820.8000000000003</v>
      </c>
      <c r="AC22" s="101">
        <v>811.19999999999982</v>
      </c>
      <c r="AD22" s="104">
        <v>796.80000000000007</v>
      </c>
      <c r="AE22" s="103">
        <v>561.6</v>
      </c>
      <c r="AF22" s="103">
        <v>729.60000000000014</v>
      </c>
      <c r="AG22" s="103">
        <v>504.00000000000017</v>
      </c>
      <c r="AH22" s="103">
        <v>504.00000000000006</v>
      </c>
      <c r="AI22" s="103">
        <v>710.40000000000009</v>
      </c>
      <c r="AJ22" s="105">
        <v>700</v>
      </c>
      <c r="AK22" s="102">
        <f t="shared" ref="AK22:AN22" si="7">+SUM(AK19:AK21)</f>
        <v>71.999999999999986</v>
      </c>
      <c r="AL22" s="102">
        <f t="shared" si="7"/>
        <v>187.2</v>
      </c>
      <c r="AM22" s="106">
        <f t="shared" ref="AM22:AM28" si="8">IFERROR(AL22/AJ22,0)</f>
        <v>0.2674285714285714</v>
      </c>
      <c r="AN22" s="102">
        <f t="shared" si="7"/>
        <v>259.2</v>
      </c>
      <c r="AO22" s="107">
        <f t="shared" si="2"/>
        <v>0.37028571428571427</v>
      </c>
      <c r="AP22" s="49"/>
      <c r="AQ22" s="49"/>
      <c r="AR22" s="108"/>
      <c r="AS22" s="47"/>
    </row>
    <row r="23" spans="1:45" ht="12.75" customHeight="1" x14ac:dyDescent="0.25">
      <c r="B23" s="64" t="s">
        <v>104</v>
      </c>
      <c r="C23" s="65" t="s">
        <v>105</v>
      </c>
      <c r="D23" s="66" t="s">
        <v>106</v>
      </c>
      <c r="E23" s="86"/>
      <c r="F23" s="87"/>
      <c r="G23" s="87"/>
      <c r="H23" s="87"/>
      <c r="I23" s="86"/>
      <c r="J23" s="87"/>
      <c r="K23" s="87"/>
      <c r="L23" s="87"/>
      <c r="M23" s="87"/>
      <c r="N23" s="87"/>
      <c r="O23" s="87"/>
      <c r="P23" s="87"/>
      <c r="Q23" s="88"/>
      <c r="R23" s="87"/>
      <c r="S23" s="86"/>
      <c r="T23" s="86"/>
      <c r="U23" s="86"/>
      <c r="V23" s="86"/>
      <c r="W23" s="86">
        <v>72</v>
      </c>
      <c r="X23" s="86">
        <v>115.19999999999997</v>
      </c>
      <c r="Y23" s="87">
        <v>148.79999999999998</v>
      </c>
      <c r="Z23" s="86">
        <v>254.4</v>
      </c>
      <c r="AA23" s="86">
        <v>153.60000000000002</v>
      </c>
      <c r="AB23" s="86">
        <v>153.6</v>
      </c>
      <c r="AC23" s="86">
        <v>76.8</v>
      </c>
      <c r="AD23" s="89">
        <v>81.599999999999994</v>
      </c>
      <c r="AE23" s="88">
        <v>38.4</v>
      </c>
      <c r="AF23" s="88">
        <v>19.2</v>
      </c>
      <c r="AG23" s="88">
        <v>4.8</v>
      </c>
      <c r="AH23" s="88">
        <v>139.19999999999999</v>
      </c>
      <c r="AI23" s="88">
        <v>105.6</v>
      </c>
      <c r="AJ23" s="90">
        <v>170</v>
      </c>
      <c r="AK23" s="87">
        <v>0</v>
      </c>
      <c r="AL23" s="87">
        <v>14.399999999999999</v>
      </c>
      <c r="AM23" s="91">
        <f t="shared" si="8"/>
        <v>8.4705882352941173E-2</v>
      </c>
      <c r="AN23" s="87">
        <f>+AK23+AL23</f>
        <v>14.399999999999999</v>
      </c>
      <c r="AO23" s="92">
        <f>IFERROR(+AN23/AJ23,0)</f>
        <v>8.4705882352941173E-2</v>
      </c>
      <c r="AP23" s="50"/>
      <c r="AQ23" s="50"/>
    </row>
    <row r="24" spans="1:45" ht="12.75" customHeight="1" x14ac:dyDescent="0.25">
      <c r="B24" s="75" t="s">
        <v>107</v>
      </c>
      <c r="C24" s="76" t="s">
        <v>105</v>
      </c>
      <c r="D24" s="77" t="s">
        <v>108</v>
      </c>
      <c r="E24" s="78"/>
      <c r="F24" s="79"/>
      <c r="G24" s="79"/>
      <c r="H24" s="79"/>
      <c r="I24" s="78"/>
      <c r="J24" s="79"/>
      <c r="K24" s="79"/>
      <c r="L24" s="79"/>
      <c r="M24" s="79"/>
      <c r="N24" s="79"/>
      <c r="O24" s="79"/>
      <c r="P24" s="79"/>
      <c r="Q24" s="80"/>
      <c r="R24" s="79"/>
      <c r="S24" s="78"/>
      <c r="T24" s="78"/>
      <c r="U24" s="78"/>
      <c r="V24" s="78"/>
      <c r="W24" s="78">
        <v>62.400000000000006</v>
      </c>
      <c r="X24" s="78">
        <v>216</v>
      </c>
      <c r="Y24" s="79">
        <v>48</v>
      </c>
      <c r="Z24" s="78">
        <v>408</v>
      </c>
      <c r="AA24" s="78">
        <v>144</v>
      </c>
      <c r="AB24" s="78">
        <v>600</v>
      </c>
      <c r="AC24" s="78">
        <v>676.8</v>
      </c>
      <c r="AD24" s="81">
        <v>57.6</v>
      </c>
      <c r="AE24" s="80">
        <v>148.80000000000001</v>
      </c>
      <c r="AF24" s="80">
        <v>-24</v>
      </c>
      <c r="AG24" s="80">
        <v>4.8</v>
      </c>
      <c r="AH24" s="80">
        <v>192</v>
      </c>
      <c r="AI24" s="80">
        <v>153.6</v>
      </c>
      <c r="AJ24" s="82">
        <v>250</v>
      </c>
      <c r="AK24" s="79">
        <v>0</v>
      </c>
      <c r="AL24" s="79">
        <v>24</v>
      </c>
      <c r="AM24" s="83">
        <f t="shared" si="8"/>
        <v>9.6000000000000002E-2</v>
      </c>
      <c r="AN24" s="79">
        <f t="shared" ref="AN24:AN27" si="9">+AK24+AL24</f>
        <v>24</v>
      </c>
      <c r="AO24" s="84">
        <f t="shared" si="2"/>
        <v>9.6000000000000002E-2</v>
      </c>
      <c r="AP24" s="50"/>
      <c r="AQ24" s="50"/>
    </row>
    <row r="25" spans="1:45" ht="12.75" customHeight="1" x14ac:dyDescent="0.25">
      <c r="B25" s="64" t="s">
        <v>109</v>
      </c>
      <c r="C25" s="65" t="s">
        <v>105</v>
      </c>
      <c r="D25" s="66" t="s">
        <v>110</v>
      </c>
      <c r="E25" s="86"/>
      <c r="F25" s="87"/>
      <c r="G25" s="87"/>
      <c r="H25" s="87"/>
      <c r="I25" s="86"/>
      <c r="J25" s="87"/>
      <c r="K25" s="87"/>
      <c r="L25" s="87"/>
      <c r="M25" s="87"/>
      <c r="N25" s="87"/>
      <c r="O25" s="87"/>
      <c r="P25" s="87"/>
      <c r="Q25" s="88"/>
      <c r="R25" s="87"/>
      <c r="S25" s="86"/>
      <c r="T25" s="86"/>
      <c r="U25" s="86"/>
      <c r="V25" s="86"/>
      <c r="W25" s="86">
        <v>120</v>
      </c>
      <c r="X25" s="86">
        <v>321.60000000000002</v>
      </c>
      <c r="Y25" s="87">
        <v>62.400000000000006</v>
      </c>
      <c r="Z25" s="86">
        <v>384</v>
      </c>
      <c r="AA25" s="86">
        <v>120</v>
      </c>
      <c r="AB25" s="86">
        <v>192</v>
      </c>
      <c r="AC25" s="86">
        <v>120</v>
      </c>
      <c r="AD25" s="89">
        <v>28.799999999999997</v>
      </c>
      <c r="AE25" s="88">
        <v>19.2</v>
      </c>
      <c r="AF25" s="88">
        <v>33.6</v>
      </c>
      <c r="AG25" s="88">
        <v>86.4</v>
      </c>
      <c r="AH25" s="88">
        <v>144</v>
      </c>
      <c r="AI25" s="88">
        <v>244.8</v>
      </c>
      <c r="AJ25" s="90">
        <v>250</v>
      </c>
      <c r="AK25" s="87">
        <v>0</v>
      </c>
      <c r="AL25" s="87">
        <v>0</v>
      </c>
      <c r="AM25" s="91">
        <f t="shared" si="8"/>
        <v>0</v>
      </c>
      <c r="AN25" s="87">
        <f t="shared" si="9"/>
        <v>0</v>
      </c>
      <c r="AO25" s="92">
        <f t="shared" si="2"/>
        <v>0</v>
      </c>
      <c r="AP25" s="50"/>
      <c r="AQ25" s="50"/>
    </row>
    <row r="26" spans="1:45" ht="12.75" customHeight="1" x14ac:dyDescent="0.25">
      <c r="B26" s="75" t="s">
        <v>109</v>
      </c>
      <c r="C26" s="76" t="s">
        <v>105</v>
      </c>
      <c r="D26" s="77" t="s">
        <v>111</v>
      </c>
      <c r="E26" s="78"/>
      <c r="F26" s="79"/>
      <c r="G26" s="79"/>
      <c r="H26" s="79"/>
      <c r="I26" s="78"/>
      <c r="J26" s="79"/>
      <c r="K26" s="79"/>
      <c r="L26" s="79"/>
      <c r="M26" s="79"/>
      <c r="N26" s="79"/>
      <c r="O26" s="79"/>
      <c r="P26" s="79"/>
      <c r="Q26" s="80"/>
      <c r="R26" s="79"/>
      <c r="S26" s="78"/>
      <c r="T26" s="78"/>
      <c r="U26" s="78"/>
      <c r="V26" s="78"/>
      <c r="W26" s="78">
        <v>52.8</v>
      </c>
      <c r="X26" s="78">
        <v>72</v>
      </c>
      <c r="Y26" s="79">
        <v>48</v>
      </c>
      <c r="Z26" s="78">
        <v>264</v>
      </c>
      <c r="AA26" s="78">
        <v>120</v>
      </c>
      <c r="AB26" s="78">
        <v>120</v>
      </c>
      <c r="AC26" s="78">
        <v>57.599999999999994</v>
      </c>
      <c r="AD26" s="81">
        <v>33.599999999999994</v>
      </c>
      <c r="AE26" s="80">
        <v>33.6</v>
      </c>
      <c r="AF26" s="80">
        <v>0</v>
      </c>
      <c r="AG26" s="80">
        <v>81.599999999999994</v>
      </c>
      <c r="AH26" s="80">
        <v>196.79999999999998</v>
      </c>
      <c r="AI26" s="80">
        <v>158.39999999999998</v>
      </c>
      <c r="AJ26" s="82">
        <v>220</v>
      </c>
      <c r="AK26" s="79">
        <v>0</v>
      </c>
      <c r="AL26" s="79">
        <v>0</v>
      </c>
      <c r="AM26" s="83">
        <f t="shared" si="8"/>
        <v>0</v>
      </c>
      <c r="AN26" s="79">
        <f t="shared" si="9"/>
        <v>0</v>
      </c>
      <c r="AO26" s="84">
        <f t="shared" si="2"/>
        <v>0</v>
      </c>
      <c r="AP26" s="50"/>
      <c r="AQ26" s="50"/>
    </row>
    <row r="27" spans="1:45" ht="12.75" customHeight="1" thickBot="1" x14ac:dyDescent="0.3">
      <c r="B27" s="64" t="s">
        <v>112</v>
      </c>
      <c r="C27" s="65" t="s">
        <v>105</v>
      </c>
      <c r="D27" s="66" t="s">
        <v>113</v>
      </c>
      <c r="E27" s="86"/>
      <c r="F27" s="87"/>
      <c r="G27" s="87"/>
      <c r="H27" s="87"/>
      <c r="I27" s="86"/>
      <c r="J27" s="87"/>
      <c r="K27" s="87"/>
      <c r="L27" s="87"/>
      <c r="M27" s="87"/>
      <c r="N27" s="87"/>
      <c r="O27" s="87"/>
      <c r="P27" s="87"/>
      <c r="Q27" s="88"/>
      <c r="R27" s="87"/>
      <c r="S27" s="86"/>
      <c r="T27" s="86"/>
      <c r="U27" s="86"/>
      <c r="V27" s="86"/>
      <c r="W27" s="86">
        <v>33.6</v>
      </c>
      <c r="X27" s="86">
        <v>110.39999999999998</v>
      </c>
      <c r="Y27" s="87">
        <v>0</v>
      </c>
      <c r="Z27" s="86">
        <v>134.4</v>
      </c>
      <c r="AA27" s="86">
        <v>81.600000000000009</v>
      </c>
      <c r="AB27" s="86">
        <v>100.79999999999998</v>
      </c>
      <c r="AC27" s="86">
        <v>14.4</v>
      </c>
      <c r="AD27" s="89">
        <v>-9.6</v>
      </c>
      <c r="AE27" s="88">
        <v>96</v>
      </c>
      <c r="AF27" s="88">
        <v>24</v>
      </c>
      <c r="AG27" s="88">
        <v>9.6</v>
      </c>
      <c r="AH27" s="88">
        <v>158.39999999999998</v>
      </c>
      <c r="AI27" s="88">
        <v>115.19999999999999</v>
      </c>
      <c r="AJ27" s="90">
        <v>150</v>
      </c>
      <c r="AK27" s="87">
        <v>38.4</v>
      </c>
      <c r="AL27" s="87">
        <v>0</v>
      </c>
      <c r="AM27" s="91">
        <f t="shared" si="8"/>
        <v>0</v>
      </c>
      <c r="AN27" s="87">
        <f t="shared" si="9"/>
        <v>38.4</v>
      </c>
      <c r="AO27" s="92">
        <f t="shared" si="2"/>
        <v>0.25600000000000001</v>
      </c>
      <c r="AP27" s="50"/>
      <c r="AQ27" s="50"/>
    </row>
    <row r="28" spans="1:45" s="109" customFormat="1" ht="12.75" customHeight="1" thickBot="1" x14ac:dyDescent="0.35">
      <c r="A28" s="45"/>
      <c r="B28" s="98"/>
      <c r="C28" s="99"/>
      <c r="D28" s="100" t="s">
        <v>114</v>
      </c>
      <c r="E28" s="101">
        <f t="shared" ref="E28:AD28" si="10">+SUM(E23:E27)</f>
        <v>0</v>
      </c>
      <c r="F28" s="102">
        <f t="shared" si="10"/>
        <v>0</v>
      </c>
      <c r="G28" s="102">
        <f t="shared" si="10"/>
        <v>0</v>
      </c>
      <c r="H28" s="102">
        <f t="shared" si="10"/>
        <v>0</v>
      </c>
      <c r="I28" s="102">
        <f t="shared" si="10"/>
        <v>0</v>
      </c>
      <c r="J28" s="102">
        <f t="shared" si="10"/>
        <v>0</v>
      </c>
      <c r="K28" s="102">
        <f t="shared" si="10"/>
        <v>0</v>
      </c>
      <c r="L28" s="102">
        <f t="shared" si="10"/>
        <v>0</v>
      </c>
      <c r="M28" s="102">
        <f t="shared" si="10"/>
        <v>0</v>
      </c>
      <c r="N28" s="102">
        <f t="shared" si="10"/>
        <v>0</v>
      </c>
      <c r="O28" s="102">
        <f t="shared" si="10"/>
        <v>0</v>
      </c>
      <c r="P28" s="102">
        <f t="shared" si="10"/>
        <v>0</v>
      </c>
      <c r="Q28" s="103">
        <f t="shared" si="10"/>
        <v>0</v>
      </c>
      <c r="R28" s="102">
        <f t="shared" si="10"/>
        <v>0</v>
      </c>
      <c r="S28" s="101">
        <f t="shared" si="10"/>
        <v>0</v>
      </c>
      <c r="T28" s="101">
        <f t="shared" si="10"/>
        <v>0</v>
      </c>
      <c r="U28" s="101">
        <f t="shared" si="10"/>
        <v>0</v>
      </c>
      <c r="V28" s="101">
        <f t="shared" si="10"/>
        <v>0</v>
      </c>
      <c r="W28" s="101">
        <f t="shared" si="10"/>
        <v>340.8</v>
      </c>
      <c r="X28" s="101">
        <f t="shared" si="10"/>
        <v>835.19999999999993</v>
      </c>
      <c r="Y28" s="102">
        <f t="shared" si="10"/>
        <v>307.2</v>
      </c>
      <c r="Z28" s="101">
        <f t="shared" si="10"/>
        <v>1444.8000000000002</v>
      </c>
      <c r="AA28" s="101">
        <f t="shared" si="10"/>
        <v>619.20000000000005</v>
      </c>
      <c r="AB28" s="101">
        <f t="shared" si="10"/>
        <v>1166.3999999999999</v>
      </c>
      <c r="AC28" s="101">
        <f t="shared" si="10"/>
        <v>945.59999999999991</v>
      </c>
      <c r="AD28" s="104">
        <f t="shared" si="10"/>
        <v>192</v>
      </c>
      <c r="AE28" s="103">
        <v>336</v>
      </c>
      <c r="AF28" s="103">
        <v>52.8</v>
      </c>
      <c r="AG28" s="103">
        <v>187.2</v>
      </c>
      <c r="AH28" s="103">
        <v>830.4</v>
      </c>
      <c r="AI28" s="103">
        <v>777.59999999999991</v>
      </c>
      <c r="AJ28" s="105">
        <v>1040</v>
      </c>
      <c r="AK28" s="102">
        <f>+SUM(AK23:AK27)</f>
        <v>38.4</v>
      </c>
      <c r="AL28" s="102">
        <f>+SUM(AL23:AL27)</f>
        <v>38.4</v>
      </c>
      <c r="AM28" s="106">
        <f t="shared" si="8"/>
        <v>3.692307692307692E-2</v>
      </c>
      <c r="AN28" s="102">
        <f>+SUM(AN23:AN27)</f>
        <v>76.8</v>
      </c>
      <c r="AO28" s="107">
        <f t="shared" si="2"/>
        <v>7.3846153846153839E-2</v>
      </c>
      <c r="AP28" s="49"/>
      <c r="AQ28" s="49"/>
      <c r="AR28" s="108"/>
      <c r="AS28" s="47"/>
    </row>
    <row r="29" spans="1:45" ht="12.75" customHeight="1" thickBot="1" x14ac:dyDescent="0.3">
      <c r="B29" s="64" t="s">
        <v>115</v>
      </c>
      <c r="C29" s="65" t="s">
        <v>105</v>
      </c>
      <c r="D29" s="66" t="s">
        <v>116</v>
      </c>
      <c r="E29" s="86"/>
      <c r="F29" s="87"/>
      <c r="G29" s="87"/>
      <c r="H29" s="87"/>
      <c r="I29" s="86"/>
      <c r="J29" s="87"/>
      <c r="K29" s="87"/>
      <c r="L29" s="87"/>
      <c r="M29" s="87"/>
      <c r="N29" s="87"/>
      <c r="O29" s="87"/>
      <c r="P29" s="87"/>
      <c r="Q29" s="88"/>
      <c r="R29" s="87"/>
      <c r="S29" s="86"/>
      <c r="T29" s="86"/>
      <c r="U29" s="86"/>
      <c r="V29" s="86"/>
      <c r="W29" s="86">
        <v>100.8</v>
      </c>
      <c r="X29" s="86">
        <v>-96</v>
      </c>
      <c r="Y29" s="87">
        <v>0</v>
      </c>
      <c r="Z29" s="86">
        <v>0</v>
      </c>
      <c r="AA29" s="86">
        <v>4.8</v>
      </c>
      <c r="AB29" s="86">
        <v>0</v>
      </c>
      <c r="AC29" s="86">
        <v>0</v>
      </c>
      <c r="AD29" s="89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9.6</v>
      </c>
      <c r="AJ29" s="90">
        <v>60</v>
      </c>
      <c r="AK29" s="87">
        <v>0</v>
      </c>
      <c r="AL29" s="87">
        <v>0</v>
      </c>
      <c r="AM29" s="91">
        <f>IFERROR(AL29/AJ29,0)</f>
        <v>0</v>
      </c>
      <c r="AN29" s="87">
        <f t="shared" ref="AN29" si="11">+AK29+AL29</f>
        <v>0</v>
      </c>
      <c r="AO29" s="92">
        <f>IFERROR(+AN29/AJ29,0)</f>
        <v>0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5"/>
      <c r="B30" s="98"/>
      <c r="C30" s="99"/>
      <c r="D30" s="100" t="s">
        <v>118</v>
      </c>
      <c r="E30" s="102">
        <f t="shared" ref="E30:AK30" si="12">+SUM(E29)</f>
        <v>0</v>
      </c>
      <c r="F30" s="102">
        <f t="shared" si="12"/>
        <v>0</v>
      </c>
      <c r="G30" s="102">
        <f t="shared" si="12"/>
        <v>0</v>
      </c>
      <c r="H30" s="102">
        <f t="shared" si="12"/>
        <v>0</v>
      </c>
      <c r="I30" s="102">
        <f t="shared" si="12"/>
        <v>0</v>
      </c>
      <c r="J30" s="102">
        <f t="shared" si="12"/>
        <v>0</v>
      </c>
      <c r="K30" s="102">
        <f t="shared" si="12"/>
        <v>0</v>
      </c>
      <c r="L30" s="102">
        <f t="shared" si="12"/>
        <v>0</v>
      </c>
      <c r="M30" s="102">
        <f t="shared" si="12"/>
        <v>0</v>
      </c>
      <c r="N30" s="102">
        <f t="shared" si="12"/>
        <v>0</v>
      </c>
      <c r="O30" s="102">
        <f t="shared" si="12"/>
        <v>0</v>
      </c>
      <c r="P30" s="102">
        <f t="shared" si="12"/>
        <v>0</v>
      </c>
      <c r="Q30" s="102">
        <f t="shared" si="12"/>
        <v>0</v>
      </c>
      <c r="R30" s="102">
        <f t="shared" si="12"/>
        <v>0</v>
      </c>
      <c r="S30" s="102">
        <v>0</v>
      </c>
      <c r="T30" s="102">
        <f t="shared" si="12"/>
        <v>0</v>
      </c>
      <c r="U30" s="102">
        <f t="shared" si="12"/>
        <v>0</v>
      </c>
      <c r="V30" s="102">
        <f t="shared" si="12"/>
        <v>0</v>
      </c>
      <c r="W30" s="102">
        <v>100.8</v>
      </c>
      <c r="X30" s="102">
        <f t="shared" si="12"/>
        <v>-96</v>
      </c>
      <c r="Y30" s="102">
        <v>0</v>
      </c>
      <c r="Z30" s="102">
        <v>0</v>
      </c>
      <c r="AA30" s="102">
        <v>4.8</v>
      </c>
      <c r="AB30" s="102">
        <v>0</v>
      </c>
      <c r="AC30" s="102">
        <v>0</v>
      </c>
      <c r="AD30" s="103">
        <v>0</v>
      </c>
      <c r="AE30" s="103">
        <v>0</v>
      </c>
      <c r="AF30" s="103">
        <v>0</v>
      </c>
      <c r="AG30" s="103">
        <v>0</v>
      </c>
      <c r="AH30" s="103">
        <v>0</v>
      </c>
      <c r="AI30" s="103">
        <v>9.6</v>
      </c>
      <c r="AJ30" s="105">
        <v>60</v>
      </c>
      <c r="AK30" s="102">
        <f t="shared" si="12"/>
        <v>0</v>
      </c>
      <c r="AL30" s="102">
        <f>+SUM(AL29)</f>
        <v>0</v>
      </c>
      <c r="AM30" s="106">
        <f t="shared" ref="AM30" si="13">IFERROR(AL30/AJ30,0)</f>
        <v>0</v>
      </c>
      <c r="AN30" s="102">
        <f>+SUM(AN29)</f>
        <v>0</v>
      </c>
      <c r="AO30" s="107">
        <f t="shared" ref="AO30" si="14">IFERROR(+AN30/AJ30,0)</f>
        <v>0</v>
      </c>
      <c r="AP30" s="49"/>
      <c r="AQ30" s="49"/>
      <c r="AR30" s="108"/>
      <c r="AS30" s="47"/>
    </row>
    <row r="31" spans="1:45" ht="12.75" customHeight="1" x14ac:dyDescent="0.25">
      <c r="B31" s="75" t="s">
        <v>119</v>
      </c>
      <c r="C31" s="76" t="s">
        <v>120</v>
      </c>
      <c r="D31" s="77" t="s">
        <v>121</v>
      </c>
      <c r="E31" s="116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117"/>
      <c r="S31" s="116"/>
      <c r="T31" s="116"/>
      <c r="U31" s="116"/>
      <c r="V31" s="116"/>
      <c r="W31" s="116">
        <v>0</v>
      </c>
      <c r="X31" s="116">
        <v>67.199999999999989</v>
      </c>
      <c r="Y31" s="117">
        <v>0</v>
      </c>
      <c r="Z31" s="116">
        <v>1262.4000000000001</v>
      </c>
      <c r="AA31" s="116">
        <v>768</v>
      </c>
      <c r="AB31" s="116">
        <v>864</v>
      </c>
      <c r="AC31" s="116">
        <v>19.2</v>
      </c>
      <c r="AD31" s="119">
        <v>28.799999999999997</v>
      </c>
      <c r="AE31" s="118">
        <v>9.6</v>
      </c>
      <c r="AF31" s="118">
        <v>14.399999999999999</v>
      </c>
      <c r="AG31" s="118">
        <v>0</v>
      </c>
      <c r="AH31" s="118">
        <v>105.6</v>
      </c>
      <c r="AI31" s="118">
        <v>0</v>
      </c>
      <c r="AJ31" s="191">
        <v>500</v>
      </c>
      <c r="AK31" s="117">
        <v>0</v>
      </c>
      <c r="AL31" s="117">
        <v>48</v>
      </c>
      <c r="AM31" s="121">
        <f t="shared" si="0"/>
        <v>9.6000000000000002E-2</v>
      </c>
      <c r="AN31" s="117">
        <f t="shared" ref="AN31:AN54" si="15">+AK31+AL31</f>
        <v>48</v>
      </c>
      <c r="AO31" s="122">
        <f t="shared" si="2"/>
        <v>9.6000000000000002E-2</v>
      </c>
      <c r="AP31" s="50"/>
      <c r="AQ31" s="50"/>
    </row>
    <row r="32" spans="1:45" ht="12.75" customHeight="1" thickBot="1" x14ac:dyDescent="0.3">
      <c r="B32" s="64" t="s">
        <v>119</v>
      </c>
      <c r="C32" s="65" t="s">
        <v>120</v>
      </c>
      <c r="D32" s="66" t="s">
        <v>122</v>
      </c>
      <c r="E32" s="123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5"/>
      <c r="R32" s="124"/>
      <c r="S32" s="123"/>
      <c r="T32" s="123"/>
      <c r="U32" s="123"/>
      <c r="V32" s="123"/>
      <c r="W32" s="123">
        <v>0</v>
      </c>
      <c r="X32" s="123">
        <v>0</v>
      </c>
      <c r="Y32" s="124">
        <v>201.6</v>
      </c>
      <c r="Z32" s="123">
        <v>0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92">
        <v>0</v>
      </c>
      <c r="AK32" s="124">
        <v>0</v>
      </c>
      <c r="AL32" s="124">
        <v>0</v>
      </c>
      <c r="AM32" s="128">
        <f t="shared" si="0"/>
        <v>0</v>
      </c>
      <c r="AN32" s="124">
        <f>+AK32+AL32</f>
        <v>0</v>
      </c>
      <c r="AO32" s="129">
        <f t="shared" si="2"/>
        <v>0</v>
      </c>
      <c r="AP32" s="50" t="s">
        <v>123</v>
      </c>
      <c r="AQ32" s="50"/>
    </row>
    <row r="33" spans="1:48" ht="12.75" customHeight="1" thickBot="1" x14ac:dyDescent="0.3">
      <c r="B33" s="98"/>
      <c r="C33" s="99"/>
      <c r="D33" s="100" t="s">
        <v>124</v>
      </c>
      <c r="E33" s="101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102"/>
      <c r="S33" s="101"/>
      <c r="T33" s="101"/>
      <c r="U33" s="101"/>
      <c r="V33" s="101"/>
      <c r="W33" s="101">
        <v>0</v>
      </c>
      <c r="X33" s="101">
        <v>67.199999999999989</v>
      </c>
      <c r="Y33" s="102">
        <v>201.6</v>
      </c>
      <c r="Z33" s="101">
        <v>1262.4000000000001</v>
      </c>
      <c r="AA33" s="101">
        <v>768</v>
      </c>
      <c r="AB33" s="101">
        <v>864</v>
      </c>
      <c r="AC33" s="101">
        <v>19.2</v>
      </c>
      <c r="AD33" s="104">
        <v>28.799999999999997</v>
      </c>
      <c r="AE33" s="103">
        <v>9.6</v>
      </c>
      <c r="AF33" s="103">
        <v>14.399999999999999</v>
      </c>
      <c r="AG33" s="103">
        <v>0</v>
      </c>
      <c r="AH33" s="103">
        <v>105.6</v>
      </c>
      <c r="AI33" s="103">
        <v>0</v>
      </c>
      <c r="AJ33" s="105">
        <v>500</v>
      </c>
      <c r="AK33" s="102">
        <f>+AK31+AK32</f>
        <v>0</v>
      </c>
      <c r="AL33" s="102">
        <f>+AL31+AL32</f>
        <v>48</v>
      </c>
      <c r="AM33" s="106">
        <f t="shared" si="0"/>
        <v>9.6000000000000002E-2</v>
      </c>
      <c r="AN33" s="102">
        <f>+AN31+AN32</f>
        <v>48</v>
      </c>
      <c r="AO33" s="107">
        <f t="shared" si="2"/>
        <v>9.6000000000000002E-2</v>
      </c>
      <c r="AP33" s="50"/>
      <c r="AQ33" s="50"/>
    </row>
    <row r="34" spans="1:48" ht="12.75" hidden="1" customHeight="1" thickBot="1" x14ac:dyDescent="0.3">
      <c r="B34" s="75" t="s">
        <v>29</v>
      </c>
      <c r="C34" s="76" t="s">
        <v>125</v>
      </c>
      <c r="D34" s="77" t="s">
        <v>126</v>
      </c>
      <c r="E34" s="116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117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>
        <v>0</v>
      </c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B35" s="75" t="s">
        <v>29</v>
      </c>
      <c r="C35" s="76" t="s">
        <v>126</v>
      </c>
      <c r="D35" s="77" t="s">
        <v>127</v>
      </c>
      <c r="E35" s="78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  <c r="R35" s="79"/>
      <c r="S35" s="78"/>
      <c r="T35" s="78"/>
      <c r="U35" s="78"/>
      <c r="V35" s="78"/>
      <c r="W35" s="78">
        <v>0</v>
      </c>
      <c r="X35" s="78">
        <v>777.60000000000014</v>
      </c>
      <c r="Y35" s="79">
        <v>134.39999999999998</v>
      </c>
      <c r="Z35" s="78">
        <v>177.60000000000008</v>
      </c>
      <c r="AA35" s="78">
        <v>115.19999999999996</v>
      </c>
      <c r="AB35" s="78">
        <v>57.599999999999994</v>
      </c>
      <c r="AC35" s="78">
        <v>215.99999999999994</v>
      </c>
      <c r="AD35" s="81">
        <v>24.000000000000007</v>
      </c>
      <c r="AE35" s="80">
        <v>206.39999999999995</v>
      </c>
      <c r="AF35" s="80">
        <v>-76.8</v>
      </c>
      <c r="AG35" s="80">
        <v>230.4</v>
      </c>
      <c r="AH35" s="80">
        <v>1012.8</v>
      </c>
      <c r="AI35" s="80">
        <v>379.2</v>
      </c>
      <c r="AJ35" s="114">
        <v>452</v>
      </c>
      <c r="AK35" s="79">
        <v>43.2</v>
      </c>
      <c r="AL35" s="79">
        <v>321.60000000000002</v>
      </c>
      <c r="AM35" s="83">
        <f t="shared" ref="AM35:AM56" si="16">IFERROR(AL35/AJ35,0)</f>
        <v>0.71150442477876108</v>
      </c>
      <c r="AN35" s="79">
        <f t="shared" ref="AN35:AN36" si="17">+AK35+AL35</f>
        <v>364.8</v>
      </c>
      <c r="AO35" s="84">
        <f t="shared" ref="AO35:AO36" si="18">IFERROR(+AN35/AJ35,0)</f>
        <v>0.8070796460176991</v>
      </c>
      <c r="AP35" s="50"/>
      <c r="AQ35" s="50"/>
    </row>
    <row r="36" spans="1:48" ht="12.75" customHeight="1" thickBot="1" x14ac:dyDescent="0.3">
      <c r="B36" s="64" t="s">
        <v>29</v>
      </c>
      <c r="C36" s="65" t="s">
        <v>126</v>
      </c>
      <c r="D36" s="66" t="s">
        <v>128</v>
      </c>
      <c r="E36" s="123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5"/>
      <c r="R36" s="124"/>
      <c r="S36" s="123"/>
      <c r="T36" s="123"/>
      <c r="U36" s="123"/>
      <c r="V36" s="123"/>
      <c r="W36" s="123">
        <v>0</v>
      </c>
      <c r="X36" s="123">
        <v>48</v>
      </c>
      <c r="Y36" s="124">
        <v>144</v>
      </c>
      <c r="Z36" s="123">
        <v>240</v>
      </c>
      <c r="AA36" s="123">
        <v>43.2</v>
      </c>
      <c r="AB36" s="123">
        <v>48</v>
      </c>
      <c r="AC36" s="123">
        <v>24</v>
      </c>
      <c r="AD36" s="126">
        <v>206.39999999999998</v>
      </c>
      <c r="AE36" s="125">
        <v>0</v>
      </c>
      <c r="AF36" s="125">
        <v>336</v>
      </c>
      <c r="AG36" s="125">
        <v>48</v>
      </c>
      <c r="AH36" s="125">
        <v>0</v>
      </c>
      <c r="AI36" s="125">
        <v>0</v>
      </c>
      <c r="AJ36" s="127">
        <v>48</v>
      </c>
      <c r="AK36" s="124">
        <v>14.4</v>
      </c>
      <c r="AL36" s="124">
        <v>0</v>
      </c>
      <c r="AM36" s="128">
        <f t="shared" si="16"/>
        <v>0</v>
      </c>
      <c r="AN36" s="124">
        <f t="shared" si="17"/>
        <v>14.4</v>
      </c>
      <c r="AO36" s="129">
        <f t="shared" si="18"/>
        <v>0.3</v>
      </c>
      <c r="AP36" s="50">
        <v>100002258</v>
      </c>
      <c r="AQ36" s="50"/>
    </row>
    <row r="37" spans="1:48" s="109" customFormat="1" ht="12.75" customHeight="1" thickBot="1" x14ac:dyDescent="0.35">
      <c r="A37" s="45"/>
      <c r="B37" s="98"/>
      <c r="C37" s="99"/>
      <c r="D37" s="100" t="s">
        <v>129</v>
      </c>
      <c r="E37" s="101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102"/>
      <c r="S37" s="101"/>
      <c r="T37" s="101"/>
      <c r="U37" s="101"/>
      <c r="V37" s="101"/>
      <c r="W37" s="101">
        <v>0</v>
      </c>
      <c r="X37" s="101">
        <v>825.60000000000014</v>
      </c>
      <c r="Y37" s="102">
        <v>278.39999999999998</v>
      </c>
      <c r="Z37" s="101">
        <v>417.60000000000008</v>
      </c>
      <c r="AA37" s="101">
        <v>158.39999999999998</v>
      </c>
      <c r="AB37" s="101">
        <v>105.6</v>
      </c>
      <c r="AC37" s="101">
        <v>239.99999999999994</v>
      </c>
      <c r="AD37" s="104">
        <v>230.39999999999998</v>
      </c>
      <c r="AE37" s="103">
        <v>206.39999999999995</v>
      </c>
      <c r="AF37" s="103">
        <v>259.2</v>
      </c>
      <c r="AG37" s="103">
        <v>278.39999999999998</v>
      </c>
      <c r="AH37" s="103">
        <v>1012.8</v>
      </c>
      <c r="AI37" s="103">
        <v>379.2</v>
      </c>
      <c r="AJ37" s="105">
        <v>500</v>
      </c>
      <c r="AK37" s="105">
        <f t="shared" ref="AK37:AL37" si="19">+SUM(AK34:AK36)</f>
        <v>57.6</v>
      </c>
      <c r="AL37" s="105">
        <f t="shared" si="19"/>
        <v>321.60000000000002</v>
      </c>
      <c r="AM37" s="106">
        <f t="shared" si="16"/>
        <v>0.64319999999999999</v>
      </c>
      <c r="AN37" s="105">
        <f t="shared" ref="AN37" si="20">+SUM(AN34:AN36)</f>
        <v>379.2</v>
      </c>
      <c r="AO37" s="107">
        <f t="shared" si="2"/>
        <v>0.75839999999999996</v>
      </c>
      <c r="AP37" s="49"/>
      <c r="AQ37" s="49"/>
      <c r="AR37" s="108"/>
      <c r="AS37" s="47"/>
    </row>
    <row r="38" spans="1:48" ht="12.75" customHeight="1" x14ac:dyDescent="0.25">
      <c r="A38" s="47"/>
      <c r="B38" s="75" t="s">
        <v>130</v>
      </c>
      <c r="C38" s="76" t="s">
        <v>126</v>
      </c>
      <c r="D38" s="77" t="s">
        <v>131</v>
      </c>
      <c r="E38" s="130"/>
      <c r="F38" s="131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80"/>
      <c r="U38" s="80"/>
      <c r="V38" s="80"/>
      <c r="W38" s="80">
        <v>0</v>
      </c>
      <c r="X38" s="80">
        <v>0</v>
      </c>
      <c r="Y38" s="80">
        <v>9.6</v>
      </c>
      <c r="Z38" s="79">
        <v>19.2</v>
      </c>
      <c r="AA38" s="78">
        <v>9.6</v>
      </c>
      <c r="AB38" s="79">
        <v>9.6</v>
      </c>
      <c r="AC38" s="78">
        <v>14.399999999999999</v>
      </c>
      <c r="AD38" s="80">
        <v>14.399999999999999</v>
      </c>
      <c r="AE38" s="80">
        <v>28.8</v>
      </c>
      <c r="AF38" s="80">
        <v>-9.5999999999999979</v>
      </c>
      <c r="AG38" s="80">
        <v>4.8</v>
      </c>
      <c r="AH38" s="80">
        <v>-4.8</v>
      </c>
      <c r="AI38" s="80">
        <v>0</v>
      </c>
      <c r="AJ38" s="114">
        <v>0</v>
      </c>
      <c r="AK38" s="79">
        <v>0</v>
      </c>
      <c r="AL38" s="79">
        <v>0</v>
      </c>
      <c r="AM38" s="83">
        <f t="shared" si="16"/>
        <v>0</v>
      </c>
      <c r="AN38" s="79">
        <f t="shared" si="15"/>
        <v>0</v>
      </c>
      <c r="AO38" s="84">
        <f t="shared" si="2"/>
        <v>0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8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>
        <v>0</v>
      </c>
      <c r="AK39" s="87">
        <v>0</v>
      </c>
      <c r="AL39" s="87">
        <v>0</v>
      </c>
      <c r="AM39" s="91">
        <f t="shared" si="16"/>
        <v>0</v>
      </c>
      <c r="AN39" s="87">
        <f>+AK39+AL39</f>
        <v>0</v>
      </c>
      <c r="AO39" s="92">
        <f t="shared" si="2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/>
      <c r="B40" s="75" t="s">
        <v>132</v>
      </c>
      <c r="C40" s="136" t="s">
        <v>128</v>
      </c>
      <c r="D40" s="77" t="s">
        <v>134</v>
      </c>
      <c r="E40" s="130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80"/>
      <c r="U40" s="80"/>
      <c r="V40" s="80"/>
      <c r="W40" s="80">
        <v>0</v>
      </c>
      <c r="X40" s="80">
        <v>0</v>
      </c>
      <c r="Y40" s="80">
        <v>0</v>
      </c>
      <c r="Z40" s="79">
        <v>2217.5999999999995</v>
      </c>
      <c r="AA40" s="78">
        <v>1377.5999999999997</v>
      </c>
      <c r="AB40" s="79">
        <v>350.4</v>
      </c>
      <c r="AC40" s="78">
        <v>792</v>
      </c>
      <c r="AD40" s="81">
        <v>-374.39999999999992</v>
      </c>
      <c r="AE40" s="80">
        <v>302.40000000000009</v>
      </c>
      <c r="AF40" s="80">
        <v>168</v>
      </c>
      <c r="AG40" s="80">
        <v>283.19999999999993</v>
      </c>
      <c r="AH40" s="80">
        <v>153.6</v>
      </c>
      <c r="AI40" s="80">
        <v>81.599999999999994</v>
      </c>
      <c r="AJ40" s="82">
        <v>200</v>
      </c>
      <c r="AK40" s="79">
        <v>48</v>
      </c>
      <c r="AL40" s="79">
        <v>-4.8000000000000025</v>
      </c>
      <c r="AM40" s="83">
        <f t="shared" si="16"/>
        <v>-2.4000000000000011E-2</v>
      </c>
      <c r="AN40" s="79">
        <f>+AK40+AL40</f>
        <v>43.199999999999996</v>
      </c>
      <c r="AO40" s="84">
        <f t="shared" si="2"/>
        <v>0.21599999999999997</v>
      </c>
      <c r="AP40" s="132"/>
      <c r="AQ40" s="132"/>
      <c r="AR40" s="133"/>
      <c r="AS40" s="193"/>
      <c r="AT40" s="139"/>
    </row>
    <row r="41" spans="1:48" ht="12.75" customHeight="1" x14ac:dyDescent="0.25">
      <c r="A41" s="47"/>
      <c r="B41" s="64" t="s">
        <v>132</v>
      </c>
      <c r="C41" s="134" t="s">
        <v>131</v>
      </c>
      <c r="D41" s="66" t="s">
        <v>135</v>
      </c>
      <c r="E41" s="135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8"/>
      <c r="U41" s="88"/>
      <c r="V41" s="88"/>
      <c r="W41" s="88">
        <v>0</v>
      </c>
      <c r="X41" s="88">
        <v>0</v>
      </c>
      <c r="Y41" s="88">
        <v>0</v>
      </c>
      <c r="Z41" s="87">
        <v>0</v>
      </c>
      <c r="AA41" s="86">
        <v>0</v>
      </c>
      <c r="AB41" s="87">
        <v>0</v>
      </c>
      <c r="AC41" s="86">
        <v>0</v>
      </c>
      <c r="AD41" s="89">
        <v>0</v>
      </c>
      <c r="AE41" s="88">
        <v>0</v>
      </c>
      <c r="AF41" s="88">
        <v>0</v>
      </c>
      <c r="AG41" s="88">
        <v>0</v>
      </c>
      <c r="AH41" s="88">
        <v>0</v>
      </c>
      <c r="AI41" s="88">
        <v>1209.5999999999999</v>
      </c>
      <c r="AJ41" s="115">
        <v>700</v>
      </c>
      <c r="AK41" s="87">
        <v>0</v>
      </c>
      <c r="AL41" s="87">
        <v>0</v>
      </c>
      <c r="AM41" s="91">
        <f t="shared" si="16"/>
        <v>0</v>
      </c>
      <c r="AN41" s="87">
        <f t="shared" si="15"/>
        <v>0</v>
      </c>
      <c r="AO41" s="92">
        <f t="shared" si="2"/>
        <v>0</v>
      </c>
      <c r="AP41" s="132"/>
      <c r="AQ41" s="132"/>
      <c r="AR41" s="133"/>
      <c r="AS41" s="193"/>
      <c r="AT41" s="139"/>
    </row>
    <row r="42" spans="1:48" ht="12.75" customHeight="1" x14ac:dyDescent="0.25">
      <c r="A42" s="47"/>
      <c r="B42" s="75" t="s">
        <v>132</v>
      </c>
      <c r="C42" s="136" t="s">
        <v>136</v>
      </c>
      <c r="D42" s="77" t="s">
        <v>137</v>
      </c>
      <c r="E42" s="130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80"/>
      <c r="U42" s="80"/>
      <c r="V42" s="80"/>
      <c r="W42" s="80">
        <v>0</v>
      </c>
      <c r="X42" s="80">
        <v>0</v>
      </c>
      <c r="Y42" s="80">
        <v>0</v>
      </c>
      <c r="Z42" s="79">
        <v>0</v>
      </c>
      <c r="AA42" s="78">
        <v>0</v>
      </c>
      <c r="AB42" s="79">
        <v>0</v>
      </c>
      <c r="AC42" s="78">
        <v>216</v>
      </c>
      <c r="AD42" s="81">
        <v>182.39999999999998</v>
      </c>
      <c r="AE42" s="80">
        <v>129.6</v>
      </c>
      <c r="AF42" s="80">
        <v>494.4</v>
      </c>
      <c r="AG42" s="80">
        <v>211.2</v>
      </c>
      <c r="AH42" s="80">
        <v>0</v>
      </c>
      <c r="AI42" s="80">
        <v>0</v>
      </c>
      <c r="AJ42" s="82">
        <v>0</v>
      </c>
      <c r="AK42" s="79">
        <v>0</v>
      </c>
      <c r="AL42" s="79">
        <v>0</v>
      </c>
      <c r="AM42" s="83">
        <f t="shared" si="16"/>
        <v>0</v>
      </c>
      <c r="AN42" s="79">
        <f t="shared" si="15"/>
        <v>0</v>
      </c>
      <c r="AO42" s="84">
        <f t="shared" si="2"/>
        <v>0</v>
      </c>
      <c r="AP42" s="132"/>
      <c r="AQ42" s="132"/>
      <c r="AR42" s="133"/>
      <c r="AS42" s="193"/>
      <c r="AT42" s="139"/>
    </row>
    <row r="43" spans="1:48" ht="12.75" customHeight="1" x14ac:dyDescent="0.25">
      <c r="A43" s="47"/>
      <c r="B43" s="64" t="s">
        <v>132</v>
      </c>
      <c r="C43" s="134" t="s">
        <v>136</v>
      </c>
      <c r="D43" s="66" t="s">
        <v>138</v>
      </c>
      <c r="E43" s="135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8"/>
      <c r="U43" s="88"/>
      <c r="V43" s="88"/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>
        <v>0</v>
      </c>
      <c r="AK43" s="87">
        <v>0</v>
      </c>
      <c r="AL43" s="87">
        <v>0</v>
      </c>
      <c r="AM43" s="91">
        <f t="shared" si="16"/>
        <v>0</v>
      </c>
      <c r="AN43" s="87">
        <f t="shared" si="15"/>
        <v>0</v>
      </c>
      <c r="AO43" s="92">
        <f t="shared" si="2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/>
      <c r="B44" s="75" t="s">
        <v>132</v>
      </c>
      <c r="C44" s="136" t="s">
        <v>131</v>
      </c>
      <c r="D44" s="77" t="s">
        <v>139</v>
      </c>
      <c r="E44" s="13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80"/>
      <c r="U44" s="80"/>
      <c r="V44" s="80"/>
      <c r="W44" s="80">
        <v>0</v>
      </c>
      <c r="X44" s="80">
        <v>0</v>
      </c>
      <c r="Y44" s="80">
        <v>0</v>
      </c>
      <c r="Z44" s="79">
        <v>0</v>
      </c>
      <c r="AA44" s="78">
        <v>0</v>
      </c>
      <c r="AB44" s="79">
        <v>0</v>
      </c>
      <c r="AC44" s="78">
        <v>0</v>
      </c>
      <c r="AD44" s="81">
        <v>0</v>
      </c>
      <c r="AE44" s="80">
        <v>0</v>
      </c>
      <c r="AF44" s="80">
        <v>0</v>
      </c>
      <c r="AG44" s="80">
        <v>0</v>
      </c>
      <c r="AH44" s="80">
        <v>945.59999999999991</v>
      </c>
      <c r="AI44" s="80">
        <v>0</v>
      </c>
      <c r="AJ44" s="82">
        <v>600</v>
      </c>
      <c r="AK44" s="79">
        <v>984</v>
      </c>
      <c r="AL44" s="79">
        <v>451.20000000000005</v>
      </c>
      <c r="AM44" s="83">
        <f t="shared" si="16"/>
        <v>0.75200000000000011</v>
      </c>
      <c r="AN44" s="79">
        <f t="shared" si="15"/>
        <v>1435.2</v>
      </c>
      <c r="AO44" s="84">
        <f t="shared" si="2"/>
        <v>2.3919999999999999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/>
      <c r="B45" s="64" t="s">
        <v>132</v>
      </c>
      <c r="C45" s="134" t="s">
        <v>128</v>
      </c>
      <c r="D45" s="66" t="s">
        <v>140</v>
      </c>
      <c r="E45" s="137"/>
      <c r="F45" s="138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5"/>
      <c r="U45" s="125"/>
      <c r="V45" s="125"/>
      <c r="W45" s="125">
        <v>0</v>
      </c>
      <c r="X45" s="125">
        <v>0</v>
      </c>
      <c r="Y45" s="125">
        <v>0</v>
      </c>
      <c r="Z45" s="124">
        <v>0</v>
      </c>
      <c r="AA45" s="123">
        <v>0</v>
      </c>
      <c r="AB45" s="124">
        <v>0</v>
      </c>
      <c r="AC45" s="123">
        <v>0</v>
      </c>
      <c r="AD45" s="126">
        <v>0</v>
      </c>
      <c r="AE45" s="125">
        <v>0</v>
      </c>
      <c r="AF45" s="125">
        <v>0</v>
      </c>
      <c r="AG45" s="125">
        <v>0</v>
      </c>
      <c r="AH45" s="125">
        <v>0</v>
      </c>
      <c r="AI45" s="125">
        <v>0</v>
      </c>
      <c r="AJ45" s="127">
        <v>0</v>
      </c>
      <c r="AK45" s="124">
        <v>0</v>
      </c>
      <c r="AL45" s="124">
        <v>0</v>
      </c>
      <c r="AM45" s="128">
        <f t="shared" si="16"/>
        <v>0</v>
      </c>
      <c r="AN45" s="124">
        <f t="shared" si="15"/>
        <v>0</v>
      </c>
      <c r="AO45" s="129">
        <f t="shared" si="2"/>
        <v>0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5"/>
      <c r="B46" s="98"/>
      <c r="C46" s="99"/>
      <c r="D46" s="100" t="s">
        <v>141</v>
      </c>
      <c r="E46" s="101">
        <f t="shared" ref="E46:AD46" si="21">+SUM(E38:E45)</f>
        <v>0</v>
      </c>
      <c r="F46" s="102">
        <f t="shared" si="21"/>
        <v>0</v>
      </c>
      <c r="G46" s="102">
        <f t="shared" si="21"/>
        <v>0</v>
      </c>
      <c r="H46" s="102">
        <f t="shared" si="21"/>
        <v>0</v>
      </c>
      <c r="I46" s="102">
        <f t="shared" si="21"/>
        <v>0</v>
      </c>
      <c r="J46" s="102">
        <f t="shared" si="21"/>
        <v>0</v>
      </c>
      <c r="K46" s="102">
        <f t="shared" si="21"/>
        <v>0</v>
      </c>
      <c r="L46" s="102">
        <f t="shared" si="21"/>
        <v>0</v>
      </c>
      <c r="M46" s="102">
        <f t="shared" si="21"/>
        <v>0</v>
      </c>
      <c r="N46" s="102">
        <f t="shared" si="21"/>
        <v>0</v>
      </c>
      <c r="O46" s="102">
        <f t="shared" si="21"/>
        <v>0</v>
      </c>
      <c r="P46" s="102">
        <f t="shared" si="21"/>
        <v>0</v>
      </c>
      <c r="Q46" s="103">
        <f t="shared" si="21"/>
        <v>0</v>
      </c>
      <c r="R46" s="102">
        <f t="shared" si="21"/>
        <v>0</v>
      </c>
      <c r="S46" s="101">
        <f t="shared" si="21"/>
        <v>0</v>
      </c>
      <c r="T46" s="101">
        <f t="shared" si="21"/>
        <v>0</v>
      </c>
      <c r="U46" s="101">
        <f t="shared" si="21"/>
        <v>0</v>
      </c>
      <c r="V46" s="101">
        <f t="shared" si="21"/>
        <v>0</v>
      </c>
      <c r="W46" s="101">
        <f t="shared" si="21"/>
        <v>0</v>
      </c>
      <c r="X46" s="101">
        <f t="shared" si="21"/>
        <v>0</v>
      </c>
      <c r="Y46" s="102">
        <f t="shared" si="21"/>
        <v>9.6</v>
      </c>
      <c r="Z46" s="101">
        <f t="shared" si="21"/>
        <v>2236.7999999999993</v>
      </c>
      <c r="AA46" s="101">
        <f t="shared" si="21"/>
        <v>1387.1999999999996</v>
      </c>
      <c r="AB46" s="101">
        <f t="shared" si="21"/>
        <v>360</v>
      </c>
      <c r="AC46" s="101">
        <f t="shared" si="21"/>
        <v>1022.4</v>
      </c>
      <c r="AD46" s="104">
        <f t="shared" si="21"/>
        <v>-177.59999999999997</v>
      </c>
      <c r="AE46" s="103">
        <v>460.80000000000007</v>
      </c>
      <c r="AF46" s="103">
        <v>652.79999999999995</v>
      </c>
      <c r="AG46" s="103">
        <v>499.19999999999993</v>
      </c>
      <c r="AH46" s="103">
        <v>1094.3999999999999</v>
      </c>
      <c r="AI46" s="103">
        <v>1291.1999999999998</v>
      </c>
      <c r="AJ46" s="105">
        <v>1500</v>
      </c>
      <c r="AK46" s="102">
        <f>SUM(AK38:AK45)</f>
        <v>1032</v>
      </c>
      <c r="AL46" s="102">
        <f>SUM(AL38:AL45)</f>
        <v>446.40000000000003</v>
      </c>
      <c r="AM46" s="106">
        <f t="shared" si="16"/>
        <v>0.29760000000000003</v>
      </c>
      <c r="AN46" s="102">
        <f t="shared" si="15"/>
        <v>1478.4</v>
      </c>
      <c r="AO46" s="107">
        <f t="shared" si="2"/>
        <v>0.98560000000000003</v>
      </c>
      <c r="AP46" s="150"/>
      <c r="AQ46" s="150"/>
      <c r="AR46" s="108"/>
      <c r="AS46" s="47"/>
    </row>
    <row r="47" spans="1:48" ht="12.75" customHeight="1" thickBot="1" x14ac:dyDescent="0.3">
      <c r="B47" s="151" t="s">
        <v>142</v>
      </c>
      <c r="C47" s="152"/>
      <c r="D47" s="153" t="s">
        <v>5</v>
      </c>
      <c r="E47" s="154">
        <f t="shared" ref="E47:V47" si="22">+E18+E22+E28+E30+E33+E37+E46</f>
        <v>0</v>
      </c>
      <c r="F47" s="155">
        <f t="shared" si="22"/>
        <v>0</v>
      </c>
      <c r="G47" s="155">
        <f t="shared" si="22"/>
        <v>0</v>
      </c>
      <c r="H47" s="155">
        <f t="shared" si="22"/>
        <v>0</v>
      </c>
      <c r="I47" s="155">
        <f t="shared" si="22"/>
        <v>0</v>
      </c>
      <c r="J47" s="155">
        <f t="shared" si="22"/>
        <v>0</v>
      </c>
      <c r="K47" s="155">
        <f t="shared" si="22"/>
        <v>0</v>
      </c>
      <c r="L47" s="155">
        <f t="shared" si="22"/>
        <v>0</v>
      </c>
      <c r="M47" s="155">
        <f t="shared" si="22"/>
        <v>0</v>
      </c>
      <c r="N47" s="155">
        <f t="shared" si="22"/>
        <v>0</v>
      </c>
      <c r="O47" s="155">
        <f t="shared" si="22"/>
        <v>0</v>
      </c>
      <c r="P47" s="155">
        <f t="shared" si="22"/>
        <v>0</v>
      </c>
      <c r="Q47" s="156">
        <f t="shared" si="22"/>
        <v>0</v>
      </c>
      <c r="R47" s="155">
        <f t="shared" si="22"/>
        <v>0</v>
      </c>
      <c r="S47" s="154">
        <v>0</v>
      </c>
      <c r="T47" s="154">
        <f t="shared" si="22"/>
        <v>0</v>
      </c>
      <c r="U47" s="154">
        <f t="shared" si="22"/>
        <v>0</v>
      </c>
      <c r="V47" s="154">
        <f t="shared" si="22"/>
        <v>0</v>
      </c>
      <c r="W47" s="157">
        <v>2625.6000000000008</v>
      </c>
      <c r="X47" s="157">
        <f>+X18+X22+X28+X30+X33+X37+X46</f>
        <v>7329.5999999999995</v>
      </c>
      <c r="Y47" s="158">
        <v>4862.4000000000005</v>
      </c>
      <c r="Z47" s="157">
        <v>9072</v>
      </c>
      <c r="AA47" s="157">
        <v>9528</v>
      </c>
      <c r="AB47" s="157">
        <v>8352</v>
      </c>
      <c r="AC47" s="157">
        <v>6148.7999999999993</v>
      </c>
      <c r="AD47" s="194">
        <v>4387.2000000000007</v>
      </c>
      <c r="AE47" s="159">
        <v>5299.2</v>
      </c>
      <c r="AF47" s="159">
        <v>4454.4000000000005</v>
      </c>
      <c r="AG47" s="159">
        <v>5510.4</v>
      </c>
      <c r="AH47" s="159">
        <v>7872</v>
      </c>
      <c r="AI47" s="159">
        <v>7480.91</v>
      </c>
      <c r="AJ47" s="160">
        <v>10300</v>
      </c>
      <c r="AK47" s="158">
        <f>+AK18+AK22+AK28+AK30+AK33+AK37+AK46</f>
        <v>1592</v>
      </c>
      <c r="AL47" s="158">
        <f>+AL18+AL22+AL28+AL30+AL33+AL37+AL46</f>
        <v>3585.0399999999995</v>
      </c>
      <c r="AM47" s="161">
        <f t="shared" si="16"/>
        <v>0.34806213592233004</v>
      </c>
      <c r="AN47" s="158">
        <f>+AN18+AN22+AN28+AN30+AN33+AN37+AN46</f>
        <v>5177.0399999999991</v>
      </c>
      <c r="AO47" s="162">
        <f t="shared" si="2"/>
        <v>0.50262524271844655</v>
      </c>
      <c r="AP47" s="150"/>
      <c r="AQ47" s="150"/>
    </row>
    <row r="48" spans="1:48" ht="12.75" hidden="1" customHeight="1" x14ac:dyDescent="0.25">
      <c r="B48" s="75" t="s">
        <v>143</v>
      </c>
      <c r="C48" s="76"/>
      <c r="D48" s="163" t="s">
        <v>145</v>
      </c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1"/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16"/>
        <v>0</v>
      </c>
      <c r="AN48" s="79">
        <f t="shared" si="15"/>
        <v>0</v>
      </c>
      <c r="AO48" s="84">
        <f t="shared" si="2"/>
        <v>0</v>
      </c>
      <c r="AP48" s="49" t="s">
        <v>144</v>
      </c>
    </row>
    <row r="49" spans="1:46" ht="12.75" hidden="1" customHeight="1" x14ac:dyDescent="0.25">
      <c r="B49" s="64" t="s">
        <v>143</v>
      </c>
      <c r="C49" s="65"/>
      <c r="D49" s="167" t="s">
        <v>147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9"/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16"/>
        <v>0</v>
      </c>
      <c r="AN49" s="87">
        <f t="shared" si="15"/>
        <v>0</v>
      </c>
      <c r="AO49" s="92">
        <f t="shared" si="2"/>
        <v>0</v>
      </c>
      <c r="AP49" s="49" t="s">
        <v>144</v>
      </c>
    </row>
    <row r="50" spans="1:46" ht="12.75" hidden="1" customHeight="1" x14ac:dyDescent="0.25">
      <c r="B50" s="75" t="s">
        <v>143</v>
      </c>
      <c r="C50" s="76"/>
      <c r="D50" s="163" t="s">
        <v>148</v>
      </c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1"/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16"/>
        <v>0</v>
      </c>
      <c r="AN50" s="79">
        <f>+AK50+AL50</f>
        <v>0</v>
      </c>
      <c r="AO50" s="84">
        <f t="shared" si="2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>
        <v>0</v>
      </c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16"/>
        <v>0</v>
      </c>
      <c r="AN51" s="87">
        <f>+AK51+AL51</f>
        <v>0</v>
      </c>
      <c r="AO51" s="92">
        <f t="shared" si="2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B52" s="75" t="s">
        <v>151</v>
      </c>
      <c r="C52" s="76"/>
      <c r="D52" s="163" t="s">
        <v>151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1"/>
      <c r="W52" s="79">
        <v>0</v>
      </c>
      <c r="X52" s="79">
        <v>0</v>
      </c>
      <c r="Y52" s="79">
        <v>0</v>
      </c>
      <c r="Z52" s="79">
        <v>0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B53" s="64" t="s">
        <v>143</v>
      </c>
      <c r="C53" s="65" t="s">
        <v>154</v>
      </c>
      <c r="D53" s="167" t="s">
        <v>155</v>
      </c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9"/>
      <c r="W53" s="87">
        <v>0</v>
      </c>
      <c r="X53" s="87">
        <v>0</v>
      </c>
      <c r="Y53" s="87">
        <v>0</v>
      </c>
      <c r="Z53" s="87">
        <v>19</v>
      </c>
      <c r="AA53" s="87">
        <v>35</v>
      </c>
      <c r="AB53" s="87">
        <v>24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16"/>
        <v>0</v>
      </c>
      <c r="AN53" s="87">
        <f>+AK53+AL53</f>
        <v>0</v>
      </c>
      <c r="AO53" s="92">
        <f t="shared" si="2"/>
        <v>0</v>
      </c>
      <c r="AP53" s="50" t="s">
        <v>154</v>
      </c>
      <c r="AQ53" s="50"/>
    </row>
    <row r="54" spans="1:46" ht="12.75" hidden="1" customHeight="1" x14ac:dyDescent="0.25">
      <c r="B54" s="75" t="s">
        <v>143</v>
      </c>
      <c r="C54" s="76"/>
      <c r="D54" s="163" t="s">
        <v>149</v>
      </c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1"/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16"/>
        <v>0</v>
      </c>
      <c r="AN54" s="79">
        <f t="shared" si="15"/>
        <v>0</v>
      </c>
      <c r="AO54" s="84">
        <f t="shared" si="2"/>
        <v>0</v>
      </c>
      <c r="AP54" s="49" t="s">
        <v>156</v>
      </c>
    </row>
    <row r="55" spans="1:46" ht="12.75" hidden="1" customHeight="1" thickBot="1" x14ac:dyDescent="0.3">
      <c r="B55" s="64" t="s">
        <v>143</v>
      </c>
      <c r="C55" s="65"/>
      <c r="D55" s="167" t="s">
        <v>157</v>
      </c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9"/>
      <c r="W55" s="87">
        <v>0</v>
      </c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8"/>
      <c r="AJ55" s="90"/>
      <c r="AK55" s="87"/>
      <c r="AL55" s="87"/>
      <c r="AM55" s="91">
        <f t="shared" si="16"/>
        <v>0</v>
      </c>
      <c r="AN55" s="87"/>
      <c r="AO55" s="92"/>
      <c r="AP55" s="50"/>
      <c r="AQ55" s="50"/>
    </row>
    <row r="56" spans="1:46" ht="12.75" hidden="1" customHeight="1" thickBot="1" x14ac:dyDescent="0.3">
      <c r="B56" s="173"/>
      <c r="C56" s="174"/>
      <c r="D56" s="152" t="s">
        <v>158</v>
      </c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75">
        <v>2625.6000000000008</v>
      </c>
      <c r="X56" s="175">
        <v>7329.6</v>
      </c>
      <c r="Y56" s="175">
        <v>4862.4000000000005</v>
      </c>
      <c r="Z56" s="175">
        <v>9091</v>
      </c>
      <c r="AA56" s="175">
        <v>9563</v>
      </c>
      <c r="AB56" s="175">
        <v>8376</v>
      </c>
      <c r="AC56" s="175">
        <v>5548.7999999999993</v>
      </c>
      <c r="AD56" s="175">
        <v>4387.2000000000007</v>
      </c>
      <c r="AE56" s="175">
        <v>5299.2</v>
      </c>
      <c r="AF56" s="175">
        <v>4454.4000000000005</v>
      </c>
      <c r="AG56" s="175">
        <v>5510.4</v>
      </c>
      <c r="AH56" s="175">
        <v>7872</v>
      </c>
      <c r="AI56" s="176">
        <v>7480.91</v>
      </c>
      <c r="AJ56" s="177">
        <v>10300</v>
      </c>
      <c r="AK56" s="175">
        <f>+AK47+SUM(AK48:AK55)</f>
        <v>1592</v>
      </c>
      <c r="AL56" s="175">
        <f>SUM(AL47:AL55)</f>
        <v>3585.0399999999995</v>
      </c>
      <c r="AM56" s="178">
        <f t="shared" si="16"/>
        <v>0.34806213592233004</v>
      </c>
      <c r="AN56" s="175">
        <f>+AK56+AL56</f>
        <v>5177.0399999999991</v>
      </c>
      <c r="AO56" s="179">
        <f>IFERROR(+AN56/AJ56,0)</f>
        <v>0.50262524271844655</v>
      </c>
      <c r="AP56" s="50"/>
      <c r="AQ56" s="50"/>
    </row>
    <row r="57" spans="1:46" x14ac:dyDescent="0.25">
      <c r="A57" s="47"/>
      <c r="B57" s="47"/>
      <c r="C57" s="47"/>
      <c r="D57" s="180" t="s">
        <v>164</v>
      </c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-9.0949470177292824E-13</v>
      </c>
      <c r="AL57" s="196">
        <v>4.0927261579781771E-12</v>
      </c>
      <c r="AM57" s="197"/>
      <c r="AO57" s="198"/>
    </row>
    <row r="58" spans="1:46" x14ac:dyDescent="0.25">
      <c r="B58" s="185"/>
      <c r="C58" s="185"/>
      <c r="D58" s="186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59" spans="1:46" s="47" customFormat="1" x14ac:dyDescent="0.25">
      <c r="A59" s="45"/>
      <c r="D59" s="47" t="s">
        <v>185</v>
      </c>
      <c r="X59" s="47">
        <v>0</v>
      </c>
      <c r="Y59" s="47">
        <v>0</v>
      </c>
      <c r="Z59" s="47">
        <v>0</v>
      </c>
      <c r="AA59" s="47">
        <v>-105.59999999999997</v>
      </c>
      <c r="AB59" s="47">
        <v>-43.199999999999996</v>
      </c>
      <c r="AC59" s="47">
        <v>0</v>
      </c>
      <c r="AD59" s="47">
        <v>-28.799999999999997</v>
      </c>
      <c r="AE59" s="47">
        <v>0</v>
      </c>
      <c r="AG59" s="47">
        <v>0</v>
      </c>
      <c r="AH59" s="47">
        <v>0</v>
      </c>
      <c r="AI59" s="47">
        <v>0</v>
      </c>
      <c r="AK59" s="47">
        <v>0</v>
      </c>
      <c r="AL59" s="47">
        <v>0</v>
      </c>
      <c r="AO59" s="212"/>
      <c r="AP59" s="49"/>
      <c r="AQ59" s="49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240F9-69A9-48E9-A2BE-A05FF7CCE33A}">
  <dimension ref="A1:AV122"/>
  <sheetViews>
    <sheetView showGridLines="0" zoomScale="88" zoomScaleNormal="88" workbookViewId="0">
      <pane xSplit="4" ySplit="2" topLeftCell="AF25" activePane="bottomRight" state="frozen"/>
      <selection activeCell="L10" sqref="L10"/>
      <selection pane="topRight" activeCell="L10" sqref="L10"/>
      <selection pane="bottomLeft" activeCell="L10" sqref="L10"/>
      <selection pane="bottomRight" activeCell="L10" sqref="L10"/>
    </sheetView>
  </sheetViews>
  <sheetFormatPr baseColWidth="10" defaultRowHeight="12.5" x14ac:dyDescent="0.25"/>
  <cols>
    <col min="1" max="1" width="2.453125" style="45" customWidth="1"/>
    <col min="2" max="3" width="23.81640625" customWidth="1"/>
    <col min="4" max="4" width="33.26953125" customWidth="1"/>
    <col min="5" max="16" width="10.1796875" hidden="1" customWidth="1"/>
    <col min="17" max="22" width="11" hidden="1" customWidth="1"/>
    <col min="23" max="35" width="11" customWidth="1"/>
    <col min="36" max="36" width="9.6328125" customWidth="1"/>
    <col min="37" max="40" width="11.453125" customWidth="1"/>
    <col min="41" max="41" width="11.453125" style="48" customWidth="1"/>
    <col min="42" max="43" width="3.453125" style="49" customWidth="1"/>
    <col min="44" max="44" width="3.453125" style="47" customWidth="1"/>
    <col min="45" max="45" width="10.90625" style="47"/>
  </cols>
  <sheetData>
    <row r="1" spans="1:45" ht="13" thickBot="1" x14ac:dyDescent="0.3">
      <c r="B1" s="47" t="s">
        <v>186</v>
      </c>
      <c r="C1" s="47" t="s">
        <v>187</v>
      </c>
      <c r="D1" s="47">
        <v>100027726</v>
      </c>
      <c r="AQ1" s="50"/>
    </row>
    <row r="2" spans="1:45" s="63" customFormat="1" ht="26.25" customHeight="1" thickBot="1" x14ac:dyDescent="0.3">
      <c r="A2" s="51"/>
      <c r="B2" s="52" t="s">
        <v>33</v>
      </c>
      <c r="C2" s="53" t="s">
        <v>34</v>
      </c>
      <c r="D2" s="54" t="s">
        <v>35</v>
      </c>
      <c r="E2" s="53" t="s">
        <v>36</v>
      </c>
      <c r="F2" s="53" t="s">
        <v>37</v>
      </c>
      <c r="G2" s="53" t="s">
        <v>38</v>
      </c>
      <c r="H2" s="53" t="s">
        <v>39</v>
      </c>
      <c r="I2" s="53" t="s">
        <v>40</v>
      </c>
      <c r="J2" s="53" t="s">
        <v>41</v>
      </c>
      <c r="K2" s="53" t="s">
        <v>42</v>
      </c>
      <c r="L2" s="53" t="s">
        <v>43</v>
      </c>
      <c r="M2" s="53" t="s">
        <v>44</v>
      </c>
      <c r="N2" s="53" t="s">
        <v>45</v>
      </c>
      <c r="O2" s="53" t="s">
        <v>46</v>
      </c>
      <c r="P2" s="53" t="s">
        <v>47</v>
      </c>
      <c r="Q2" s="55" t="s">
        <v>48</v>
      </c>
      <c r="R2" s="55" t="s">
        <v>49</v>
      </c>
      <c r="S2" s="55" t="s">
        <v>50</v>
      </c>
      <c r="T2" s="55" t="s">
        <v>51</v>
      </c>
      <c r="U2" s="55" t="s">
        <v>52</v>
      </c>
      <c r="V2" s="55" t="s">
        <v>53</v>
      </c>
      <c r="W2" s="55" t="s">
        <v>54</v>
      </c>
      <c r="X2" s="55" t="s">
        <v>55</v>
      </c>
      <c r="Y2" s="56" t="s">
        <v>56</v>
      </c>
      <c r="Z2" s="55" t="s">
        <v>57</v>
      </c>
      <c r="AA2" s="55" t="s">
        <v>58</v>
      </c>
      <c r="AB2" s="55" t="s">
        <v>59</v>
      </c>
      <c r="AC2" s="55" t="s">
        <v>60</v>
      </c>
      <c r="AD2" s="58" t="s">
        <v>61</v>
      </c>
      <c r="AE2" s="57" t="s">
        <v>62</v>
      </c>
      <c r="AF2" s="57" t="s">
        <v>63</v>
      </c>
      <c r="AG2" s="57" t="s">
        <v>64</v>
      </c>
      <c r="AH2" s="57" t="s">
        <v>65</v>
      </c>
      <c r="AI2" s="57" t="s">
        <v>66</v>
      </c>
      <c r="AJ2" s="213" t="s">
        <v>67</v>
      </c>
      <c r="AK2" s="60" t="s">
        <v>68</v>
      </c>
      <c r="AL2" s="60" t="s">
        <v>69</v>
      </c>
      <c r="AM2" s="60" t="s">
        <v>70</v>
      </c>
      <c r="AN2" s="60" t="s">
        <v>5</v>
      </c>
      <c r="AO2" s="61" t="s">
        <v>7</v>
      </c>
      <c r="AP2" s="62"/>
      <c r="AQ2" s="62"/>
      <c r="AR2" s="51"/>
      <c r="AS2" s="51"/>
    </row>
    <row r="3" spans="1:45" ht="12.75" customHeight="1" x14ac:dyDescent="0.25">
      <c r="A3" s="47"/>
      <c r="B3" s="64" t="s">
        <v>71</v>
      </c>
      <c r="C3" s="65" t="s">
        <v>72</v>
      </c>
      <c r="D3" s="66" t="s">
        <v>73</v>
      </c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67">
        <v>0</v>
      </c>
      <c r="R3" s="68">
        <v>0</v>
      </c>
      <c r="S3" s="67">
        <v>0</v>
      </c>
      <c r="T3" s="67">
        <v>0</v>
      </c>
      <c r="U3" s="67">
        <v>0</v>
      </c>
      <c r="V3" s="67">
        <v>0</v>
      </c>
      <c r="W3" s="67">
        <v>0</v>
      </c>
      <c r="X3" s="67">
        <v>0</v>
      </c>
      <c r="Y3" s="68">
        <v>0</v>
      </c>
      <c r="Z3" s="67">
        <v>0</v>
      </c>
      <c r="AA3" s="67">
        <v>0</v>
      </c>
      <c r="AB3" s="67">
        <v>0</v>
      </c>
      <c r="AC3" s="67">
        <v>0</v>
      </c>
      <c r="AD3" s="70">
        <v>0</v>
      </c>
      <c r="AE3" s="69">
        <v>0</v>
      </c>
      <c r="AF3" s="69">
        <v>0</v>
      </c>
      <c r="AG3" s="69">
        <v>0</v>
      </c>
      <c r="AH3" s="69">
        <v>0</v>
      </c>
      <c r="AI3" s="69">
        <v>0</v>
      </c>
      <c r="AJ3" s="71"/>
      <c r="AK3" s="214">
        <v>0</v>
      </c>
      <c r="AL3" s="72">
        <v>0</v>
      </c>
      <c r="AM3" s="73">
        <v>0</v>
      </c>
      <c r="AN3" s="72">
        <f t="shared" ref="AN3:AN15" si="0">+AK3+AL3</f>
        <v>0</v>
      </c>
      <c r="AO3" s="74">
        <f t="shared" ref="AO3:AO54" si="1">IFERROR(+AN3/AJ3,0)</f>
        <v>0</v>
      </c>
      <c r="AP3" s="50"/>
      <c r="AQ3" s="50"/>
    </row>
    <row r="4" spans="1:45" ht="12.75" customHeight="1" x14ac:dyDescent="0.25">
      <c r="A4" s="47"/>
      <c r="B4" s="75" t="s">
        <v>74</v>
      </c>
      <c r="C4" s="76" t="s">
        <v>72</v>
      </c>
      <c r="D4" s="77" t="s">
        <v>75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78">
        <v>43.635999999999996</v>
      </c>
      <c r="R4" s="79">
        <v>78.662999999999997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X4" s="78">
        <v>0</v>
      </c>
      <c r="Y4" s="79">
        <v>0</v>
      </c>
      <c r="Z4" s="78">
        <v>0</v>
      </c>
      <c r="AA4" s="78">
        <v>0</v>
      </c>
      <c r="AB4" s="78">
        <v>0</v>
      </c>
      <c r="AC4" s="78">
        <v>0</v>
      </c>
      <c r="AD4" s="81">
        <v>0</v>
      </c>
      <c r="AE4" s="80">
        <v>0</v>
      </c>
      <c r="AF4" s="80">
        <v>0</v>
      </c>
      <c r="AG4" s="80">
        <v>0</v>
      </c>
      <c r="AH4" s="80">
        <v>0</v>
      </c>
      <c r="AI4" s="80">
        <v>0</v>
      </c>
      <c r="AJ4" s="82"/>
      <c r="AK4" s="78">
        <v>0</v>
      </c>
      <c r="AL4" s="79">
        <v>0</v>
      </c>
      <c r="AM4" s="83">
        <v>0</v>
      </c>
      <c r="AN4" s="79">
        <f t="shared" si="0"/>
        <v>0</v>
      </c>
      <c r="AO4" s="84">
        <f t="shared" si="1"/>
        <v>0</v>
      </c>
      <c r="AP4" s="50"/>
      <c r="AQ4" s="50"/>
    </row>
    <row r="5" spans="1:45" s="208" customFormat="1" ht="12.75" customHeight="1" x14ac:dyDescent="0.25">
      <c r="A5" s="47"/>
      <c r="B5" s="64" t="s">
        <v>74</v>
      </c>
      <c r="C5" s="65" t="s">
        <v>72</v>
      </c>
      <c r="D5" s="66" t="s">
        <v>76</v>
      </c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86">
        <v>0</v>
      </c>
      <c r="R5" s="87">
        <v>0</v>
      </c>
      <c r="S5" s="86">
        <v>59.926000000000002</v>
      </c>
      <c r="T5" s="86">
        <v>0</v>
      </c>
      <c r="U5" s="86">
        <v>0</v>
      </c>
      <c r="V5" s="86">
        <v>0</v>
      </c>
      <c r="W5" s="86">
        <v>0</v>
      </c>
      <c r="X5" s="86">
        <v>0</v>
      </c>
      <c r="Y5" s="87">
        <v>0</v>
      </c>
      <c r="Z5" s="86">
        <v>0</v>
      </c>
      <c r="AA5" s="86">
        <v>0</v>
      </c>
      <c r="AB5" s="86">
        <v>0</v>
      </c>
      <c r="AC5" s="86">
        <v>0</v>
      </c>
      <c r="AD5" s="89">
        <v>0</v>
      </c>
      <c r="AE5" s="88">
        <v>0</v>
      </c>
      <c r="AF5" s="88">
        <v>40</v>
      </c>
      <c r="AG5" s="88">
        <v>-40</v>
      </c>
      <c r="AH5" s="88">
        <v>0</v>
      </c>
      <c r="AI5" s="88">
        <v>0</v>
      </c>
      <c r="AJ5" s="90"/>
      <c r="AK5" s="86">
        <v>0</v>
      </c>
      <c r="AL5" s="87">
        <v>0</v>
      </c>
      <c r="AM5" s="91">
        <v>0</v>
      </c>
      <c r="AN5" s="87">
        <f t="shared" si="0"/>
        <v>0</v>
      </c>
      <c r="AO5" s="92">
        <f t="shared" si="1"/>
        <v>0</v>
      </c>
      <c r="AP5" s="50" t="s">
        <v>77</v>
      </c>
      <c r="AQ5" s="50"/>
      <c r="AR5" s="47"/>
      <c r="AS5" s="47"/>
    </row>
    <row r="6" spans="1:45" ht="12.75" customHeight="1" x14ac:dyDescent="0.25">
      <c r="A6" s="47"/>
      <c r="B6" s="75" t="s">
        <v>74</v>
      </c>
      <c r="C6" s="76" t="s">
        <v>72</v>
      </c>
      <c r="D6" s="77" t="s">
        <v>78</v>
      </c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78">
        <v>182.96499999999997</v>
      </c>
      <c r="R6" s="79">
        <v>99.796999999999997</v>
      </c>
      <c r="S6" s="78">
        <v>0</v>
      </c>
      <c r="T6" s="78">
        <v>0</v>
      </c>
      <c r="U6" s="78">
        <v>0</v>
      </c>
      <c r="V6" s="78">
        <v>15.887</v>
      </c>
      <c r="W6" s="78">
        <v>0</v>
      </c>
      <c r="X6" s="78">
        <v>0</v>
      </c>
      <c r="Y6" s="79">
        <v>0</v>
      </c>
      <c r="Z6" s="78">
        <v>0</v>
      </c>
      <c r="AA6" s="78">
        <v>0</v>
      </c>
      <c r="AB6" s="78">
        <v>0</v>
      </c>
      <c r="AC6" s="78">
        <v>0</v>
      </c>
      <c r="AD6" s="81">
        <v>0</v>
      </c>
      <c r="AE6" s="80">
        <v>0</v>
      </c>
      <c r="AF6" s="80">
        <v>0</v>
      </c>
      <c r="AG6" s="80">
        <v>0</v>
      </c>
      <c r="AH6" s="80">
        <v>0</v>
      </c>
      <c r="AI6" s="80">
        <v>0</v>
      </c>
      <c r="AJ6" s="82"/>
      <c r="AK6" s="78">
        <v>0</v>
      </c>
      <c r="AL6" s="79">
        <v>0</v>
      </c>
      <c r="AM6" s="83">
        <v>0</v>
      </c>
      <c r="AN6" s="79">
        <f t="shared" si="0"/>
        <v>0</v>
      </c>
      <c r="AO6" s="84">
        <f t="shared" si="1"/>
        <v>0</v>
      </c>
      <c r="AP6" s="50"/>
      <c r="AQ6" s="50"/>
    </row>
    <row r="7" spans="1:45" ht="12.75" customHeight="1" x14ac:dyDescent="0.25">
      <c r="A7" s="47"/>
      <c r="B7" s="64" t="s">
        <v>79</v>
      </c>
      <c r="C7" s="65" t="s">
        <v>72</v>
      </c>
      <c r="D7" s="66" t="s">
        <v>80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86">
        <v>0</v>
      </c>
      <c r="R7" s="87">
        <v>0</v>
      </c>
      <c r="S7" s="86">
        <v>140.77699999999999</v>
      </c>
      <c r="T7" s="86">
        <v>0</v>
      </c>
      <c r="U7" s="86">
        <v>0</v>
      </c>
      <c r="V7" s="86">
        <v>0</v>
      </c>
      <c r="W7" s="86">
        <v>0</v>
      </c>
      <c r="X7" s="86">
        <v>0</v>
      </c>
      <c r="Y7" s="87">
        <v>0</v>
      </c>
      <c r="Z7" s="86">
        <v>0</v>
      </c>
      <c r="AA7" s="86">
        <v>0</v>
      </c>
      <c r="AB7" s="86">
        <v>0</v>
      </c>
      <c r="AC7" s="86">
        <v>0</v>
      </c>
      <c r="AD7" s="89">
        <v>0</v>
      </c>
      <c r="AE7" s="88">
        <v>0</v>
      </c>
      <c r="AF7" s="88">
        <v>0</v>
      </c>
      <c r="AG7" s="88">
        <v>0</v>
      </c>
      <c r="AH7" s="88">
        <v>0</v>
      </c>
      <c r="AI7" s="88">
        <v>0</v>
      </c>
      <c r="AJ7" s="90"/>
      <c r="AK7" s="86">
        <v>0</v>
      </c>
      <c r="AL7" s="87">
        <v>0</v>
      </c>
      <c r="AM7" s="91">
        <v>0</v>
      </c>
      <c r="AN7" s="87">
        <f t="shared" si="0"/>
        <v>0</v>
      </c>
      <c r="AO7" s="92">
        <f t="shared" si="1"/>
        <v>0</v>
      </c>
      <c r="AP7" s="50"/>
      <c r="AQ7" s="50"/>
    </row>
    <row r="8" spans="1:45" ht="12.75" customHeight="1" x14ac:dyDescent="0.25">
      <c r="A8" s="47"/>
      <c r="B8" s="75" t="s">
        <v>79</v>
      </c>
      <c r="C8" s="76" t="s">
        <v>72</v>
      </c>
      <c r="D8" s="77" t="s">
        <v>81</v>
      </c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78">
        <v>0</v>
      </c>
      <c r="R8" s="79">
        <v>1000.5980000000001</v>
      </c>
      <c r="S8" s="78">
        <v>443.34199999999998</v>
      </c>
      <c r="T8" s="78">
        <v>713.66</v>
      </c>
      <c r="U8" s="78">
        <v>0</v>
      </c>
      <c r="V8" s="78">
        <v>0</v>
      </c>
      <c r="W8" s="78">
        <v>0</v>
      </c>
      <c r="X8" s="78">
        <v>0</v>
      </c>
      <c r="Y8" s="79">
        <v>0</v>
      </c>
      <c r="Z8" s="78">
        <v>0</v>
      </c>
      <c r="AA8" s="78">
        <v>0</v>
      </c>
      <c r="AB8" s="78">
        <v>0</v>
      </c>
      <c r="AC8" s="78">
        <v>0</v>
      </c>
      <c r="AD8" s="81">
        <v>0</v>
      </c>
      <c r="AE8" s="80">
        <v>0</v>
      </c>
      <c r="AF8" s="80">
        <v>0</v>
      </c>
      <c r="AG8" s="80">
        <v>0</v>
      </c>
      <c r="AH8" s="80">
        <v>0</v>
      </c>
      <c r="AI8" s="80">
        <v>0</v>
      </c>
      <c r="AJ8" s="82"/>
      <c r="AK8" s="78">
        <v>0</v>
      </c>
      <c r="AL8" s="79">
        <v>0</v>
      </c>
      <c r="AM8" s="83">
        <v>0</v>
      </c>
      <c r="AN8" s="79">
        <f t="shared" si="0"/>
        <v>0</v>
      </c>
      <c r="AO8" s="84">
        <f t="shared" si="1"/>
        <v>0</v>
      </c>
      <c r="AP8" s="50"/>
      <c r="AQ8" s="50"/>
    </row>
    <row r="9" spans="1:45" s="208" customFormat="1" ht="12.75" customHeight="1" x14ac:dyDescent="0.25">
      <c r="A9" s="47"/>
      <c r="B9" s="64" t="s">
        <v>82</v>
      </c>
      <c r="C9" s="65" t="s">
        <v>72</v>
      </c>
      <c r="D9" s="66" t="s">
        <v>83</v>
      </c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86">
        <v>228.273</v>
      </c>
      <c r="R9" s="87">
        <v>235.41300000000001</v>
      </c>
      <c r="S9" s="86">
        <v>171.04400000000001</v>
      </c>
      <c r="T9" s="86">
        <v>93.818000000000012</v>
      </c>
      <c r="U9" s="86">
        <v>0</v>
      </c>
      <c r="V9" s="86">
        <v>0</v>
      </c>
      <c r="W9" s="86">
        <v>0</v>
      </c>
      <c r="X9" s="86">
        <v>0</v>
      </c>
      <c r="Y9" s="87">
        <v>0</v>
      </c>
      <c r="Z9" s="86">
        <v>0</v>
      </c>
      <c r="AA9" s="86">
        <v>0</v>
      </c>
      <c r="AB9" s="86">
        <v>0</v>
      </c>
      <c r="AC9" s="86">
        <v>0</v>
      </c>
      <c r="AD9" s="89">
        <v>0</v>
      </c>
      <c r="AE9" s="88">
        <v>0</v>
      </c>
      <c r="AF9" s="88">
        <v>40</v>
      </c>
      <c r="AG9" s="88">
        <v>-20</v>
      </c>
      <c r="AH9" s="88">
        <v>0</v>
      </c>
      <c r="AI9" s="88">
        <v>0</v>
      </c>
      <c r="AJ9" s="90"/>
      <c r="AK9" s="86">
        <v>0</v>
      </c>
      <c r="AL9" s="87">
        <v>0</v>
      </c>
      <c r="AM9" s="91">
        <v>0</v>
      </c>
      <c r="AN9" s="87">
        <f t="shared" si="0"/>
        <v>0</v>
      </c>
      <c r="AO9" s="92">
        <f t="shared" si="1"/>
        <v>0</v>
      </c>
      <c r="AP9" s="50"/>
      <c r="AQ9" s="50"/>
      <c r="AR9" s="47"/>
      <c r="AS9" s="47"/>
    </row>
    <row r="10" spans="1:45" ht="12.75" customHeight="1" x14ac:dyDescent="0.25">
      <c r="A10" s="47"/>
      <c r="B10" s="75" t="s">
        <v>82</v>
      </c>
      <c r="C10" s="76" t="s">
        <v>72</v>
      </c>
      <c r="D10" s="77" t="s">
        <v>84</v>
      </c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78">
        <v>289.53800000000001</v>
      </c>
      <c r="R10" s="79">
        <v>439.529</v>
      </c>
      <c r="S10" s="78">
        <v>44.988999999999997</v>
      </c>
      <c r="T10" s="78">
        <v>0</v>
      </c>
      <c r="U10" s="78">
        <v>106.181</v>
      </c>
      <c r="V10" s="78">
        <v>64.694000000000003</v>
      </c>
      <c r="W10" s="78">
        <v>0</v>
      </c>
      <c r="X10" s="78">
        <v>0</v>
      </c>
      <c r="Y10" s="79">
        <v>0</v>
      </c>
      <c r="Z10" s="78">
        <v>0</v>
      </c>
      <c r="AA10" s="78">
        <v>107.15</v>
      </c>
      <c r="AB10" s="78">
        <v>145.66</v>
      </c>
      <c r="AC10" s="78">
        <v>72.760000000000005</v>
      </c>
      <c r="AD10" s="81">
        <v>12.19</v>
      </c>
      <c r="AE10" s="80">
        <v>0</v>
      </c>
      <c r="AF10" s="80">
        <v>0</v>
      </c>
      <c r="AG10" s="80">
        <v>0</v>
      </c>
      <c r="AH10" s="80">
        <v>0</v>
      </c>
      <c r="AI10" s="80">
        <v>0</v>
      </c>
      <c r="AJ10" s="82"/>
      <c r="AK10" s="78">
        <v>0</v>
      </c>
      <c r="AL10" s="79">
        <v>0</v>
      </c>
      <c r="AM10" s="83">
        <v>0</v>
      </c>
      <c r="AN10" s="79">
        <f t="shared" si="0"/>
        <v>0</v>
      </c>
      <c r="AO10" s="84">
        <f t="shared" si="1"/>
        <v>0</v>
      </c>
      <c r="AP10" s="50"/>
      <c r="AQ10" s="50"/>
    </row>
    <row r="11" spans="1:45" ht="12.75" customHeight="1" x14ac:dyDescent="0.25">
      <c r="A11" s="47"/>
      <c r="B11" s="64" t="s">
        <v>85</v>
      </c>
      <c r="C11" s="65" t="s">
        <v>86</v>
      </c>
      <c r="D11" s="66" t="s">
        <v>87</v>
      </c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86">
        <v>0</v>
      </c>
      <c r="R11" s="87">
        <v>0</v>
      </c>
      <c r="S11" s="86">
        <v>42.58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7">
        <v>0</v>
      </c>
      <c r="Z11" s="86">
        <v>0</v>
      </c>
      <c r="AA11" s="86">
        <v>0</v>
      </c>
      <c r="AB11" s="86">
        <v>0</v>
      </c>
      <c r="AC11" s="86">
        <v>0</v>
      </c>
      <c r="AD11" s="89">
        <v>0</v>
      </c>
      <c r="AE11" s="88">
        <v>0</v>
      </c>
      <c r="AF11" s="88">
        <v>0</v>
      </c>
      <c r="AG11" s="88">
        <v>660</v>
      </c>
      <c r="AH11" s="88">
        <v>0</v>
      </c>
      <c r="AI11" s="88">
        <v>0</v>
      </c>
      <c r="AJ11" s="90"/>
      <c r="AK11" s="86">
        <v>0</v>
      </c>
      <c r="AL11" s="87">
        <v>0</v>
      </c>
      <c r="AM11" s="91">
        <v>0</v>
      </c>
      <c r="AN11" s="87">
        <f t="shared" si="0"/>
        <v>0</v>
      </c>
      <c r="AO11" s="92">
        <f t="shared" si="1"/>
        <v>0</v>
      </c>
      <c r="AP11" s="50"/>
      <c r="AQ11" s="50"/>
    </row>
    <row r="12" spans="1:45" ht="12.75" customHeight="1" x14ac:dyDescent="0.25">
      <c r="A12" s="47"/>
      <c r="B12" s="75" t="s">
        <v>85</v>
      </c>
      <c r="C12" s="76" t="s">
        <v>86</v>
      </c>
      <c r="D12" s="77" t="s">
        <v>88</v>
      </c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78">
        <v>0</v>
      </c>
      <c r="R12" s="79">
        <v>0</v>
      </c>
      <c r="S12" s="78">
        <v>0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9">
        <v>0</v>
      </c>
      <c r="Z12" s="78">
        <v>0</v>
      </c>
      <c r="AA12" s="78">
        <v>0</v>
      </c>
      <c r="AB12" s="78">
        <v>0</v>
      </c>
      <c r="AC12" s="78">
        <v>0</v>
      </c>
      <c r="AD12" s="81">
        <v>0</v>
      </c>
      <c r="AE12" s="80">
        <v>0</v>
      </c>
      <c r="AF12" s="80">
        <v>0</v>
      </c>
      <c r="AG12" s="80">
        <v>160</v>
      </c>
      <c r="AH12" s="80">
        <v>80</v>
      </c>
      <c r="AI12" s="80">
        <v>94.9</v>
      </c>
      <c r="AJ12" s="82"/>
      <c r="AK12" s="78">
        <v>0</v>
      </c>
      <c r="AL12" s="79">
        <v>0</v>
      </c>
      <c r="AM12" s="83">
        <v>0</v>
      </c>
      <c r="AN12" s="79">
        <f t="shared" si="0"/>
        <v>0</v>
      </c>
      <c r="AO12" s="84">
        <f t="shared" si="1"/>
        <v>0</v>
      </c>
      <c r="AP12" s="50"/>
      <c r="AQ12" s="50"/>
    </row>
    <row r="13" spans="1:45" s="208" customFormat="1" ht="12.75" customHeight="1" x14ac:dyDescent="0.25">
      <c r="A13" s="47"/>
      <c r="B13" s="64" t="s">
        <v>89</v>
      </c>
      <c r="C13" s="65" t="s">
        <v>86</v>
      </c>
      <c r="D13" s="66" t="s">
        <v>90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86">
        <v>0</v>
      </c>
      <c r="R13" s="87">
        <v>102.59899999999999</v>
      </c>
      <c r="S13" s="86">
        <v>100.53100000000001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7">
        <v>0</v>
      </c>
      <c r="Z13" s="86">
        <v>0</v>
      </c>
      <c r="AA13" s="86">
        <v>0</v>
      </c>
      <c r="AB13" s="86">
        <v>0</v>
      </c>
      <c r="AC13" s="86">
        <v>0</v>
      </c>
      <c r="AD13" s="89">
        <v>0</v>
      </c>
      <c r="AE13" s="88">
        <v>0</v>
      </c>
      <c r="AF13" s="88">
        <v>0</v>
      </c>
      <c r="AG13" s="88">
        <v>0</v>
      </c>
      <c r="AH13" s="88">
        <v>0</v>
      </c>
      <c r="AI13" s="88">
        <v>0</v>
      </c>
      <c r="AJ13" s="90"/>
      <c r="AK13" s="86">
        <v>0</v>
      </c>
      <c r="AL13" s="87">
        <v>0</v>
      </c>
      <c r="AM13" s="91">
        <v>0</v>
      </c>
      <c r="AN13" s="87">
        <f t="shared" si="0"/>
        <v>0</v>
      </c>
      <c r="AO13" s="92">
        <f t="shared" si="1"/>
        <v>0</v>
      </c>
      <c r="AP13" s="50"/>
      <c r="AQ13" s="50"/>
      <c r="AR13" s="47"/>
      <c r="AS13" s="47"/>
    </row>
    <row r="14" spans="1:45" ht="12.75" hidden="1" customHeight="1" x14ac:dyDescent="0.25">
      <c r="A14" s="47"/>
      <c r="B14" s="75" t="s">
        <v>89</v>
      </c>
      <c r="C14" s="76" t="s">
        <v>86</v>
      </c>
      <c r="D14" s="77" t="s">
        <v>91</v>
      </c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78">
        <v>0</v>
      </c>
      <c r="R14" s="79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9">
        <v>0</v>
      </c>
      <c r="Z14" s="78">
        <v>0</v>
      </c>
      <c r="AA14" s="78">
        <v>0</v>
      </c>
      <c r="AB14" s="78">
        <v>0</v>
      </c>
      <c r="AC14" s="78">
        <v>0</v>
      </c>
      <c r="AD14" s="81">
        <v>0</v>
      </c>
      <c r="AE14" s="80">
        <v>0</v>
      </c>
      <c r="AF14" s="80">
        <v>0</v>
      </c>
      <c r="AG14" s="80">
        <v>0</v>
      </c>
      <c r="AH14" s="80">
        <v>0</v>
      </c>
      <c r="AI14" s="80">
        <v>0</v>
      </c>
      <c r="AJ14" s="82"/>
      <c r="AK14" s="78">
        <v>0</v>
      </c>
      <c r="AL14" s="79">
        <v>0</v>
      </c>
      <c r="AM14" s="83">
        <v>0</v>
      </c>
      <c r="AN14" s="79">
        <f t="shared" si="0"/>
        <v>0</v>
      </c>
      <c r="AO14" s="84">
        <f t="shared" si="1"/>
        <v>0</v>
      </c>
      <c r="AP14" s="50"/>
      <c r="AQ14" s="50"/>
    </row>
    <row r="15" spans="1:45" s="208" customFormat="1" ht="12.75" customHeight="1" x14ac:dyDescent="0.25">
      <c r="A15" s="47"/>
      <c r="B15" s="75" t="s">
        <v>89</v>
      </c>
      <c r="C15" s="76" t="s">
        <v>86</v>
      </c>
      <c r="D15" s="77" t="s">
        <v>93</v>
      </c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78">
        <v>0</v>
      </c>
      <c r="R15" s="79">
        <v>146.935</v>
      </c>
      <c r="S15" s="78">
        <v>110.73399999999999</v>
      </c>
      <c r="T15" s="78">
        <v>33.137</v>
      </c>
      <c r="U15" s="78">
        <v>14.847</v>
      </c>
      <c r="V15" s="78">
        <v>0</v>
      </c>
      <c r="W15" s="78">
        <v>0</v>
      </c>
      <c r="X15" s="78">
        <v>0</v>
      </c>
      <c r="Y15" s="79">
        <v>0</v>
      </c>
      <c r="Z15" s="78">
        <v>0</v>
      </c>
      <c r="AA15" s="78">
        <v>0</v>
      </c>
      <c r="AB15" s="78">
        <v>0</v>
      </c>
      <c r="AC15" s="78">
        <v>0</v>
      </c>
      <c r="AD15" s="81">
        <v>0</v>
      </c>
      <c r="AE15" s="80">
        <v>0</v>
      </c>
      <c r="AF15" s="80">
        <v>0</v>
      </c>
      <c r="AG15" s="80">
        <v>0</v>
      </c>
      <c r="AH15" s="80">
        <v>0</v>
      </c>
      <c r="AI15" s="80">
        <v>0</v>
      </c>
      <c r="AJ15" s="82"/>
      <c r="AK15" s="78">
        <v>0</v>
      </c>
      <c r="AL15" s="79">
        <v>0</v>
      </c>
      <c r="AM15" s="83">
        <v>0</v>
      </c>
      <c r="AN15" s="79">
        <f t="shared" si="0"/>
        <v>0</v>
      </c>
      <c r="AO15" s="84">
        <f t="shared" si="1"/>
        <v>0</v>
      </c>
      <c r="AP15" s="50"/>
      <c r="AQ15" s="50"/>
      <c r="AR15" s="47"/>
      <c r="AS15" s="47"/>
    </row>
    <row r="16" spans="1:45" ht="12.75" customHeight="1" x14ac:dyDescent="0.25">
      <c r="A16" s="47"/>
      <c r="B16" s="64" t="s">
        <v>94</v>
      </c>
      <c r="C16" s="65" t="s">
        <v>86</v>
      </c>
      <c r="D16" s="66" t="s">
        <v>95</v>
      </c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86">
        <v>446.45699999999999</v>
      </c>
      <c r="R16" s="87">
        <v>405.82500000000005</v>
      </c>
      <c r="S16" s="86">
        <v>0</v>
      </c>
      <c r="T16" s="86">
        <v>0</v>
      </c>
      <c r="U16" s="86">
        <v>15</v>
      </c>
      <c r="V16" s="86">
        <v>0</v>
      </c>
      <c r="W16" s="86">
        <v>0</v>
      </c>
      <c r="X16" s="86">
        <v>0</v>
      </c>
      <c r="Y16" s="87">
        <v>0</v>
      </c>
      <c r="Z16" s="86">
        <v>15</v>
      </c>
      <c r="AA16" s="86">
        <v>-15</v>
      </c>
      <c r="AB16" s="86">
        <v>22.25</v>
      </c>
      <c r="AC16" s="86">
        <v>0</v>
      </c>
      <c r="AD16" s="89">
        <v>0</v>
      </c>
      <c r="AE16" s="88">
        <v>0</v>
      </c>
      <c r="AF16" s="88">
        <v>0</v>
      </c>
      <c r="AG16" s="88">
        <v>0</v>
      </c>
      <c r="AH16" s="88">
        <v>0</v>
      </c>
      <c r="AI16" s="88">
        <v>0</v>
      </c>
      <c r="AJ16" s="90"/>
      <c r="AK16" s="86">
        <v>0</v>
      </c>
      <c r="AL16" s="87">
        <v>0</v>
      </c>
      <c r="AM16" s="91">
        <v>0</v>
      </c>
      <c r="AN16" s="87">
        <f>+AK16+AL16</f>
        <v>0</v>
      </c>
      <c r="AO16" s="92">
        <f>IFERROR(+AN16/AJ16,0)</f>
        <v>0</v>
      </c>
      <c r="AP16" s="50"/>
      <c r="AQ16" s="50"/>
    </row>
    <row r="17" spans="1:45" s="208" customFormat="1" ht="12.75" customHeight="1" thickBot="1" x14ac:dyDescent="0.3">
      <c r="A17" s="47"/>
      <c r="B17" s="75" t="s">
        <v>94</v>
      </c>
      <c r="C17" s="76" t="s">
        <v>86</v>
      </c>
      <c r="D17" s="77" t="s">
        <v>96</v>
      </c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78">
        <v>717.33199999999988</v>
      </c>
      <c r="R17" s="79">
        <v>2600.3509999999997</v>
      </c>
      <c r="S17" s="78">
        <v>323.512</v>
      </c>
      <c r="T17" s="78">
        <v>22.21</v>
      </c>
      <c r="U17" s="78">
        <v>0</v>
      </c>
      <c r="V17" s="78">
        <v>0</v>
      </c>
      <c r="W17" s="78">
        <v>21.84</v>
      </c>
      <c r="X17" s="78">
        <v>0</v>
      </c>
      <c r="Y17" s="79">
        <v>21.05</v>
      </c>
      <c r="Z17" s="78">
        <v>0</v>
      </c>
      <c r="AA17" s="78">
        <v>60.43</v>
      </c>
      <c r="AB17" s="78">
        <v>228.52</v>
      </c>
      <c r="AC17" s="78">
        <v>13.2</v>
      </c>
      <c r="AD17" s="81">
        <v>48.624000000000002</v>
      </c>
      <c r="AE17" s="93">
        <v>64.322000000000003</v>
      </c>
      <c r="AF17" s="93">
        <v>40</v>
      </c>
      <c r="AG17" s="93">
        <v>-4</v>
      </c>
      <c r="AH17" s="93">
        <v>0</v>
      </c>
      <c r="AI17" s="93">
        <v>0</v>
      </c>
      <c r="AJ17" s="94"/>
      <c r="AK17" s="215">
        <v>0</v>
      </c>
      <c r="AL17" s="95">
        <v>0</v>
      </c>
      <c r="AM17" s="96">
        <v>0</v>
      </c>
      <c r="AN17" s="95">
        <f>+AK17+AL17</f>
        <v>0</v>
      </c>
      <c r="AO17" s="97">
        <f>IFERROR(+AN17/AJ17,0)</f>
        <v>0</v>
      </c>
      <c r="AP17" s="50"/>
      <c r="AQ17" s="50"/>
      <c r="AR17" s="47"/>
      <c r="AS17" s="47"/>
    </row>
    <row r="18" spans="1:45" s="109" customFormat="1" ht="12.75" customHeight="1" thickBot="1" x14ac:dyDescent="0.35">
      <c r="A18" s="47"/>
      <c r="B18" s="216"/>
      <c r="C18" s="99"/>
      <c r="D18" s="100" t="s">
        <v>97</v>
      </c>
      <c r="E18" s="209">
        <f t="shared" ref="E18:AD18" si="2">+SUM(E3:E17)</f>
        <v>0</v>
      </c>
      <c r="F18" s="209">
        <f t="shared" si="2"/>
        <v>0</v>
      </c>
      <c r="G18" s="209">
        <f t="shared" si="2"/>
        <v>0</v>
      </c>
      <c r="H18" s="209">
        <f t="shared" si="2"/>
        <v>0</v>
      </c>
      <c r="I18" s="209">
        <f t="shared" si="2"/>
        <v>0</v>
      </c>
      <c r="J18" s="209">
        <f t="shared" si="2"/>
        <v>0</v>
      </c>
      <c r="K18" s="209">
        <f t="shared" si="2"/>
        <v>0</v>
      </c>
      <c r="L18" s="209">
        <f t="shared" si="2"/>
        <v>0</v>
      </c>
      <c r="M18" s="209">
        <f t="shared" si="2"/>
        <v>0</v>
      </c>
      <c r="N18" s="209">
        <f t="shared" si="2"/>
        <v>0</v>
      </c>
      <c r="O18" s="209">
        <f t="shared" si="2"/>
        <v>0</v>
      </c>
      <c r="P18" s="209">
        <f t="shared" si="2"/>
        <v>0</v>
      </c>
      <c r="Q18" s="101">
        <f t="shared" si="2"/>
        <v>1908.201</v>
      </c>
      <c r="R18" s="101">
        <f t="shared" si="2"/>
        <v>5109.71</v>
      </c>
      <c r="S18" s="101">
        <f t="shared" si="2"/>
        <v>1437.4349999999999</v>
      </c>
      <c r="T18" s="101">
        <f t="shared" si="2"/>
        <v>862.82500000000005</v>
      </c>
      <c r="U18" s="101">
        <f t="shared" si="2"/>
        <v>136.02799999999999</v>
      </c>
      <c r="V18" s="101">
        <f t="shared" si="2"/>
        <v>80.581000000000003</v>
      </c>
      <c r="W18" s="101">
        <f t="shared" si="2"/>
        <v>21.84</v>
      </c>
      <c r="X18" s="101">
        <f t="shared" si="2"/>
        <v>0</v>
      </c>
      <c r="Y18" s="102">
        <f t="shared" si="2"/>
        <v>21.05</v>
      </c>
      <c r="Z18" s="101">
        <f t="shared" si="2"/>
        <v>15</v>
      </c>
      <c r="AA18" s="101">
        <f t="shared" si="2"/>
        <v>152.58000000000001</v>
      </c>
      <c r="AB18" s="101">
        <f t="shared" si="2"/>
        <v>396.43</v>
      </c>
      <c r="AC18" s="101">
        <f t="shared" si="2"/>
        <v>85.960000000000008</v>
      </c>
      <c r="AD18" s="104">
        <f t="shared" si="2"/>
        <v>60.814</v>
      </c>
      <c r="AE18" s="103">
        <v>64.322000000000003</v>
      </c>
      <c r="AF18" s="103">
        <v>120</v>
      </c>
      <c r="AG18" s="103">
        <v>756</v>
      </c>
      <c r="AH18" s="103">
        <v>80</v>
      </c>
      <c r="AI18" s="103">
        <v>94.9</v>
      </c>
      <c r="AJ18" s="105"/>
      <c r="AK18" s="102">
        <f t="shared" ref="AK18:AN18" si="3">+SUM(AK3:AK17)</f>
        <v>0</v>
      </c>
      <c r="AL18" s="102">
        <f t="shared" si="3"/>
        <v>0</v>
      </c>
      <c r="AM18" s="106">
        <f t="shared" ref="AM18:AM33" si="4">IFERROR(AL18/AJ18,0)</f>
        <v>0</v>
      </c>
      <c r="AN18" s="102">
        <f t="shared" si="3"/>
        <v>0</v>
      </c>
      <c r="AO18" s="107">
        <f t="shared" si="1"/>
        <v>0</v>
      </c>
      <c r="AP18" s="49"/>
      <c r="AQ18" s="49"/>
      <c r="AR18" s="108"/>
      <c r="AS18" s="47"/>
    </row>
    <row r="19" spans="1:45" ht="12.75" customHeight="1" x14ac:dyDescent="0.25">
      <c r="A19" s="47"/>
      <c r="B19" s="64" t="s">
        <v>98</v>
      </c>
      <c r="C19" s="65" t="s">
        <v>99</v>
      </c>
      <c r="D19" s="66" t="s">
        <v>100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67">
        <v>0</v>
      </c>
      <c r="R19" s="67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8">
        <v>0</v>
      </c>
      <c r="Z19" s="67">
        <v>0</v>
      </c>
      <c r="AA19" s="67">
        <v>0</v>
      </c>
      <c r="AB19" s="67">
        <v>0</v>
      </c>
      <c r="AC19" s="67">
        <v>0</v>
      </c>
      <c r="AD19" s="70">
        <v>0</v>
      </c>
      <c r="AE19" s="69">
        <v>0</v>
      </c>
      <c r="AF19" s="69">
        <v>0</v>
      </c>
      <c r="AG19" s="69">
        <v>0</v>
      </c>
      <c r="AH19" s="69">
        <v>0</v>
      </c>
      <c r="AI19" s="69">
        <v>0</v>
      </c>
      <c r="AJ19" s="110"/>
      <c r="AK19" s="68">
        <v>0</v>
      </c>
      <c r="AL19" s="68">
        <v>0</v>
      </c>
      <c r="AM19" s="111">
        <f>IFERROR(AL19/AJ19,0)</f>
        <v>0</v>
      </c>
      <c r="AN19" s="68">
        <f t="shared" ref="AN19:AN21" si="5">+AK19+AL19</f>
        <v>0</v>
      </c>
      <c r="AO19" s="112">
        <f>IFERROR(+AN19/AJ19,0)</f>
        <v>0</v>
      </c>
      <c r="AP19" s="50"/>
      <c r="AQ19" s="50"/>
    </row>
    <row r="20" spans="1:45" ht="12.75" customHeight="1" x14ac:dyDescent="0.25">
      <c r="A20" s="47"/>
      <c r="B20" s="75" t="s">
        <v>98</v>
      </c>
      <c r="C20" s="113" t="s">
        <v>99</v>
      </c>
      <c r="D20" s="77" t="s">
        <v>101</v>
      </c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9">
        <v>0</v>
      </c>
      <c r="Z20" s="78">
        <v>0</v>
      </c>
      <c r="AA20" s="78">
        <v>0</v>
      </c>
      <c r="AB20" s="78">
        <v>0</v>
      </c>
      <c r="AC20" s="78">
        <v>0</v>
      </c>
      <c r="AD20" s="81">
        <v>0</v>
      </c>
      <c r="AE20" s="80">
        <v>0</v>
      </c>
      <c r="AF20" s="80">
        <v>0</v>
      </c>
      <c r="AG20" s="80">
        <v>0</v>
      </c>
      <c r="AH20" s="80">
        <v>0</v>
      </c>
      <c r="AI20" s="80">
        <v>0</v>
      </c>
      <c r="AJ20" s="114"/>
      <c r="AK20" s="79">
        <v>0</v>
      </c>
      <c r="AL20" s="79">
        <v>0</v>
      </c>
      <c r="AM20" s="83">
        <f>IFERROR(AL20/AJ20,0)</f>
        <v>0</v>
      </c>
      <c r="AN20" s="79">
        <f t="shared" si="5"/>
        <v>0</v>
      </c>
      <c r="AO20" s="84">
        <f>IFERROR(+AN20/AJ20,0)</f>
        <v>0</v>
      </c>
      <c r="AP20" s="50"/>
      <c r="AQ20" s="50"/>
    </row>
    <row r="21" spans="1:45" ht="12.75" customHeight="1" thickBot="1" x14ac:dyDescent="0.3">
      <c r="A21" s="47"/>
      <c r="B21" s="64" t="s">
        <v>98</v>
      </c>
      <c r="C21" s="65" t="s">
        <v>99</v>
      </c>
      <c r="D21" s="66" t="s">
        <v>102</v>
      </c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6">
        <v>0</v>
      </c>
      <c r="Y21" s="87">
        <v>0</v>
      </c>
      <c r="Z21" s="86">
        <v>0</v>
      </c>
      <c r="AA21" s="86">
        <v>0</v>
      </c>
      <c r="AB21" s="86">
        <v>0</v>
      </c>
      <c r="AC21" s="86">
        <v>0</v>
      </c>
      <c r="AD21" s="89">
        <v>0</v>
      </c>
      <c r="AE21" s="88">
        <v>0</v>
      </c>
      <c r="AF21" s="88">
        <v>0</v>
      </c>
      <c r="AG21" s="88">
        <v>0</v>
      </c>
      <c r="AH21" s="88">
        <v>0</v>
      </c>
      <c r="AI21" s="88">
        <v>0</v>
      </c>
      <c r="AJ21" s="115"/>
      <c r="AK21" s="87">
        <v>0</v>
      </c>
      <c r="AL21" s="87">
        <v>0</v>
      </c>
      <c r="AM21" s="91">
        <f>IFERROR(AL21/AJ21,0)</f>
        <v>0</v>
      </c>
      <c r="AN21" s="87">
        <f t="shared" si="5"/>
        <v>0</v>
      </c>
      <c r="AO21" s="92">
        <f>IFERROR(+AN21/AJ21,0)</f>
        <v>0</v>
      </c>
      <c r="AP21" s="50"/>
      <c r="AQ21" s="50"/>
    </row>
    <row r="22" spans="1:45" s="109" customFormat="1" ht="12.75" customHeight="1" thickBot="1" x14ac:dyDescent="0.35">
      <c r="A22" s="47"/>
      <c r="B22" s="216"/>
      <c r="C22" s="99"/>
      <c r="D22" s="100" t="s">
        <v>103</v>
      </c>
      <c r="E22" s="209">
        <f t="shared" ref="E22:X22" si="6">+SUM(E19:E21)</f>
        <v>0</v>
      </c>
      <c r="F22" s="209">
        <f t="shared" si="6"/>
        <v>0</v>
      </c>
      <c r="G22" s="209">
        <f t="shared" si="6"/>
        <v>0</v>
      </c>
      <c r="H22" s="209">
        <f t="shared" si="6"/>
        <v>0</v>
      </c>
      <c r="I22" s="209">
        <f t="shared" si="6"/>
        <v>0</v>
      </c>
      <c r="J22" s="209">
        <f t="shared" si="6"/>
        <v>0</v>
      </c>
      <c r="K22" s="209">
        <f t="shared" si="6"/>
        <v>0</v>
      </c>
      <c r="L22" s="209">
        <f t="shared" si="6"/>
        <v>0</v>
      </c>
      <c r="M22" s="209">
        <f t="shared" si="6"/>
        <v>0</v>
      </c>
      <c r="N22" s="209">
        <f t="shared" si="6"/>
        <v>0</v>
      </c>
      <c r="O22" s="209">
        <f t="shared" si="6"/>
        <v>0</v>
      </c>
      <c r="P22" s="209">
        <f t="shared" si="6"/>
        <v>0</v>
      </c>
      <c r="Q22" s="101">
        <f t="shared" si="6"/>
        <v>0</v>
      </c>
      <c r="R22" s="101">
        <f t="shared" si="6"/>
        <v>0</v>
      </c>
      <c r="S22" s="101">
        <v>0</v>
      </c>
      <c r="T22" s="101">
        <f t="shared" si="6"/>
        <v>0</v>
      </c>
      <c r="U22" s="101">
        <f t="shared" si="6"/>
        <v>0</v>
      </c>
      <c r="V22" s="101">
        <f t="shared" si="6"/>
        <v>0</v>
      </c>
      <c r="W22" s="101">
        <f t="shared" si="6"/>
        <v>0</v>
      </c>
      <c r="X22" s="101">
        <f t="shared" si="6"/>
        <v>0</v>
      </c>
      <c r="Y22" s="102">
        <v>0</v>
      </c>
      <c r="Z22" s="101">
        <v>0</v>
      </c>
      <c r="AA22" s="101">
        <v>0</v>
      </c>
      <c r="AB22" s="101">
        <v>0</v>
      </c>
      <c r="AC22" s="101">
        <v>0</v>
      </c>
      <c r="AD22" s="104">
        <v>0</v>
      </c>
      <c r="AE22" s="103">
        <v>0</v>
      </c>
      <c r="AF22" s="103">
        <v>0</v>
      </c>
      <c r="AG22" s="103">
        <v>0</v>
      </c>
      <c r="AH22" s="103">
        <v>0</v>
      </c>
      <c r="AI22" s="103">
        <v>0</v>
      </c>
      <c r="AJ22" s="105"/>
      <c r="AK22" s="102">
        <f t="shared" ref="AK22:AN22" si="7">+SUM(AK19:AK21)</f>
        <v>0</v>
      </c>
      <c r="AL22" s="102">
        <f t="shared" si="7"/>
        <v>0</v>
      </c>
      <c r="AM22" s="106">
        <f t="shared" ref="AM22" si="8">IFERROR(AL22/AJ22,0)</f>
        <v>0</v>
      </c>
      <c r="AN22" s="102">
        <f t="shared" si="7"/>
        <v>0</v>
      </c>
      <c r="AO22" s="107">
        <f t="shared" ref="AO22:AO28" si="9">IFERROR(+AN22/AJ22,0)</f>
        <v>0</v>
      </c>
      <c r="AP22" s="49"/>
      <c r="AQ22" s="49"/>
      <c r="AR22" s="108"/>
      <c r="AS22" s="47"/>
    </row>
    <row r="23" spans="1:45" ht="12.75" customHeight="1" x14ac:dyDescent="0.25">
      <c r="A23" s="47"/>
      <c r="B23" s="64" t="s">
        <v>104</v>
      </c>
      <c r="C23" s="65" t="s">
        <v>105</v>
      </c>
      <c r="D23" s="66" t="s">
        <v>106</v>
      </c>
      <c r="E23" s="167"/>
      <c r="F23" s="167"/>
      <c r="G23" s="167"/>
      <c r="H23" s="167"/>
      <c r="I23" s="167"/>
      <c r="J23" s="167"/>
      <c r="K23" s="167"/>
      <c r="L23" s="167" t="s">
        <v>177</v>
      </c>
      <c r="M23" s="167"/>
      <c r="N23" s="167"/>
      <c r="O23" s="167"/>
      <c r="P23" s="167"/>
      <c r="Q23" s="86">
        <v>160.39499999999998</v>
      </c>
      <c r="R23" s="87">
        <v>259.36799999999999</v>
      </c>
      <c r="S23" s="86">
        <v>104.474</v>
      </c>
      <c r="T23" s="86">
        <v>93.272999999999996</v>
      </c>
      <c r="U23" s="86">
        <v>0</v>
      </c>
      <c r="V23" s="86">
        <v>0</v>
      </c>
      <c r="W23" s="86">
        <v>0</v>
      </c>
      <c r="X23" s="86">
        <v>0</v>
      </c>
      <c r="Y23" s="87">
        <v>0</v>
      </c>
      <c r="Z23" s="86">
        <v>0</v>
      </c>
      <c r="AA23" s="86">
        <v>0</v>
      </c>
      <c r="AB23" s="86">
        <v>0</v>
      </c>
      <c r="AC23" s="86">
        <v>0</v>
      </c>
      <c r="AD23" s="89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</v>
      </c>
      <c r="AJ23" s="115"/>
      <c r="AK23" s="86">
        <v>0</v>
      </c>
      <c r="AL23" s="87">
        <v>0</v>
      </c>
      <c r="AM23" s="91">
        <v>0</v>
      </c>
      <c r="AN23" s="87">
        <f>+AK23+AL23</f>
        <v>0</v>
      </c>
      <c r="AO23" s="92">
        <v>18</v>
      </c>
      <c r="AP23" s="50"/>
      <c r="AQ23" s="50"/>
    </row>
    <row r="24" spans="1:45" s="208" customFormat="1" ht="12.75" customHeight="1" x14ac:dyDescent="0.25">
      <c r="A24" s="47"/>
      <c r="B24" s="75" t="s">
        <v>107</v>
      </c>
      <c r="C24" s="76" t="s">
        <v>105</v>
      </c>
      <c r="D24" s="77" t="s">
        <v>108</v>
      </c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78">
        <v>236.751</v>
      </c>
      <c r="R24" s="79">
        <v>0</v>
      </c>
      <c r="S24" s="78">
        <v>0</v>
      </c>
      <c r="T24" s="78">
        <v>21.17</v>
      </c>
      <c r="U24" s="78">
        <v>0</v>
      </c>
      <c r="V24" s="78">
        <v>0</v>
      </c>
      <c r="W24" s="78">
        <v>0</v>
      </c>
      <c r="X24" s="78">
        <v>309.11200000000002</v>
      </c>
      <c r="Y24" s="79">
        <v>0</v>
      </c>
      <c r="Z24" s="78">
        <v>328.01</v>
      </c>
      <c r="AA24" s="78">
        <v>314.58</v>
      </c>
      <c r="AB24" s="78">
        <v>441.68400000000003</v>
      </c>
      <c r="AC24" s="78">
        <v>0</v>
      </c>
      <c r="AD24" s="81">
        <v>0</v>
      </c>
      <c r="AE24" s="80">
        <v>0</v>
      </c>
      <c r="AF24" s="80">
        <v>0</v>
      </c>
      <c r="AG24" s="80">
        <v>0</v>
      </c>
      <c r="AH24" s="80">
        <v>0</v>
      </c>
      <c r="AI24" s="80">
        <v>0</v>
      </c>
      <c r="AJ24" s="114"/>
      <c r="AK24" s="78">
        <v>0</v>
      </c>
      <c r="AL24" s="79">
        <v>0</v>
      </c>
      <c r="AM24" s="83">
        <v>0</v>
      </c>
      <c r="AN24" s="79">
        <f t="shared" ref="AN24:AN27" si="10">+AK24+AL24</f>
        <v>0</v>
      </c>
      <c r="AO24" s="84">
        <f t="shared" si="9"/>
        <v>0</v>
      </c>
      <c r="AP24" s="50"/>
      <c r="AQ24" s="50"/>
      <c r="AR24" s="47"/>
      <c r="AS24" s="47"/>
    </row>
    <row r="25" spans="1:45" ht="12.75" customHeight="1" x14ac:dyDescent="0.25">
      <c r="A25" s="47"/>
      <c r="B25" s="64" t="s">
        <v>109</v>
      </c>
      <c r="C25" s="65" t="s">
        <v>105</v>
      </c>
      <c r="D25" s="66" t="s">
        <v>110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86">
        <v>370.85399999999998</v>
      </c>
      <c r="R25" s="87">
        <v>391.34399999999999</v>
      </c>
      <c r="S25" s="86">
        <v>43.76</v>
      </c>
      <c r="T25" s="86">
        <v>173.71199999999999</v>
      </c>
      <c r="U25" s="86">
        <v>-173.71199999999999</v>
      </c>
      <c r="V25" s="86">
        <v>186.685</v>
      </c>
      <c r="W25" s="86">
        <v>0</v>
      </c>
      <c r="X25" s="86">
        <v>0</v>
      </c>
      <c r="Y25" s="87">
        <v>0</v>
      </c>
      <c r="Z25" s="86">
        <v>0</v>
      </c>
      <c r="AA25" s="86">
        <v>0</v>
      </c>
      <c r="AB25" s="86">
        <v>0</v>
      </c>
      <c r="AC25" s="86">
        <v>0</v>
      </c>
      <c r="AD25" s="89">
        <v>0</v>
      </c>
      <c r="AE25" s="88">
        <v>0</v>
      </c>
      <c r="AF25" s="88">
        <v>0</v>
      </c>
      <c r="AG25" s="88">
        <v>0</v>
      </c>
      <c r="AH25" s="88">
        <v>0</v>
      </c>
      <c r="AI25" s="88">
        <v>0</v>
      </c>
      <c r="AJ25" s="115"/>
      <c r="AK25" s="86">
        <v>0</v>
      </c>
      <c r="AL25" s="87">
        <v>0</v>
      </c>
      <c r="AM25" s="91">
        <v>0</v>
      </c>
      <c r="AN25" s="87">
        <f t="shared" si="10"/>
        <v>0</v>
      </c>
      <c r="AO25" s="92">
        <f t="shared" si="9"/>
        <v>0</v>
      </c>
      <c r="AP25" s="50"/>
      <c r="AQ25" s="50"/>
    </row>
    <row r="26" spans="1:45" s="208" customFormat="1" ht="12.75" customHeight="1" x14ac:dyDescent="0.25">
      <c r="A26" s="47"/>
      <c r="B26" s="75" t="s">
        <v>109</v>
      </c>
      <c r="C26" s="76" t="s">
        <v>105</v>
      </c>
      <c r="D26" s="77" t="s">
        <v>111</v>
      </c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78">
        <v>0</v>
      </c>
      <c r="R26" s="79">
        <v>41.194000000000003</v>
      </c>
      <c r="S26" s="78">
        <v>0</v>
      </c>
      <c r="T26" s="78">
        <v>0</v>
      </c>
      <c r="U26" s="78">
        <v>36.911000000000001</v>
      </c>
      <c r="V26" s="78">
        <v>75.163999999999987</v>
      </c>
      <c r="W26" s="78">
        <v>0</v>
      </c>
      <c r="X26" s="78">
        <v>0</v>
      </c>
      <c r="Y26" s="79">
        <v>21.687999999999999</v>
      </c>
      <c r="Z26" s="78">
        <v>16.927</v>
      </c>
      <c r="AA26" s="78">
        <v>0</v>
      </c>
      <c r="AB26" s="78">
        <v>43.83</v>
      </c>
      <c r="AC26" s="78">
        <v>0</v>
      </c>
      <c r="AD26" s="81">
        <v>0</v>
      </c>
      <c r="AE26" s="80">
        <v>0</v>
      </c>
      <c r="AF26" s="80">
        <v>0</v>
      </c>
      <c r="AG26" s="80">
        <v>0</v>
      </c>
      <c r="AH26" s="80">
        <v>0</v>
      </c>
      <c r="AI26" s="80">
        <v>0</v>
      </c>
      <c r="AJ26" s="114"/>
      <c r="AK26" s="78">
        <v>0</v>
      </c>
      <c r="AL26" s="79">
        <v>0</v>
      </c>
      <c r="AM26" s="83">
        <v>0</v>
      </c>
      <c r="AN26" s="79">
        <f t="shared" si="10"/>
        <v>0</v>
      </c>
      <c r="AO26" s="84">
        <f t="shared" si="9"/>
        <v>0</v>
      </c>
      <c r="AP26" s="50"/>
      <c r="AQ26" s="50"/>
      <c r="AR26" s="47"/>
      <c r="AS26" s="47"/>
    </row>
    <row r="27" spans="1:45" ht="12.75" customHeight="1" thickBot="1" x14ac:dyDescent="0.3">
      <c r="A27" s="47"/>
      <c r="B27" s="64" t="s">
        <v>112</v>
      </c>
      <c r="C27" s="65" t="s">
        <v>105</v>
      </c>
      <c r="D27" s="66" t="s">
        <v>113</v>
      </c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86">
        <v>0</v>
      </c>
      <c r="R27" s="87">
        <v>0</v>
      </c>
      <c r="S27" s="86">
        <v>0</v>
      </c>
      <c r="T27" s="86">
        <v>0</v>
      </c>
      <c r="U27" s="86">
        <v>0</v>
      </c>
      <c r="V27" s="86">
        <v>0</v>
      </c>
      <c r="W27" s="86">
        <v>0</v>
      </c>
      <c r="X27" s="86">
        <v>0</v>
      </c>
      <c r="Y27" s="87">
        <v>0</v>
      </c>
      <c r="Z27" s="86">
        <v>0</v>
      </c>
      <c r="AA27" s="86">
        <v>0</v>
      </c>
      <c r="AB27" s="86">
        <v>0</v>
      </c>
      <c r="AC27" s="86">
        <v>0</v>
      </c>
      <c r="AD27" s="89">
        <v>0</v>
      </c>
      <c r="AE27" s="88">
        <v>0</v>
      </c>
      <c r="AF27" s="88">
        <v>0</v>
      </c>
      <c r="AG27" s="88">
        <v>0</v>
      </c>
      <c r="AH27" s="88">
        <v>0</v>
      </c>
      <c r="AI27" s="88">
        <v>0</v>
      </c>
      <c r="AJ27" s="115"/>
      <c r="AK27" s="86">
        <v>0</v>
      </c>
      <c r="AL27" s="87">
        <v>0</v>
      </c>
      <c r="AM27" s="91">
        <v>0</v>
      </c>
      <c r="AN27" s="87">
        <f t="shared" si="10"/>
        <v>0</v>
      </c>
      <c r="AO27" s="92">
        <f t="shared" si="9"/>
        <v>0</v>
      </c>
      <c r="AP27" s="50"/>
      <c r="AQ27" s="50"/>
    </row>
    <row r="28" spans="1:45" s="109" customFormat="1" ht="12.75" customHeight="1" thickBot="1" x14ac:dyDescent="0.35">
      <c r="A28" s="47"/>
      <c r="B28" s="216"/>
      <c r="C28" s="99"/>
      <c r="D28" s="100" t="s">
        <v>114</v>
      </c>
      <c r="E28" s="209">
        <f t="shared" ref="E28:AD28" si="11">+SUM(E23:E27)</f>
        <v>0</v>
      </c>
      <c r="F28" s="209">
        <f t="shared" si="11"/>
        <v>0</v>
      </c>
      <c r="G28" s="209">
        <f t="shared" si="11"/>
        <v>0</v>
      </c>
      <c r="H28" s="209">
        <f t="shared" si="11"/>
        <v>0</v>
      </c>
      <c r="I28" s="209">
        <f t="shared" si="11"/>
        <v>0</v>
      </c>
      <c r="J28" s="209">
        <f t="shared" si="11"/>
        <v>0</v>
      </c>
      <c r="K28" s="209">
        <f t="shared" si="11"/>
        <v>0</v>
      </c>
      <c r="L28" s="209">
        <f t="shared" si="11"/>
        <v>0</v>
      </c>
      <c r="M28" s="209">
        <f t="shared" si="11"/>
        <v>0</v>
      </c>
      <c r="N28" s="209">
        <f t="shared" si="11"/>
        <v>0</v>
      </c>
      <c r="O28" s="209">
        <f t="shared" si="11"/>
        <v>0</v>
      </c>
      <c r="P28" s="209">
        <f t="shared" si="11"/>
        <v>0</v>
      </c>
      <c r="Q28" s="101">
        <f t="shared" si="11"/>
        <v>768</v>
      </c>
      <c r="R28" s="101">
        <f t="shared" si="11"/>
        <v>691.90599999999995</v>
      </c>
      <c r="S28" s="101">
        <f t="shared" si="11"/>
        <v>148.23400000000001</v>
      </c>
      <c r="T28" s="101">
        <f t="shared" si="11"/>
        <v>288.15499999999997</v>
      </c>
      <c r="U28" s="101">
        <f t="shared" si="11"/>
        <v>-136.80099999999999</v>
      </c>
      <c r="V28" s="101">
        <f t="shared" si="11"/>
        <v>261.84899999999999</v>
      </c>
      <c r="W28" s="101">
        <f t="shared" si="11"/>
        <v>0</v>
      </c>
      <c r="X28" s="101">
        <f t="shared" si="11"/>
        <v>309.11200000000002</v>
      </c>
      <c r="Y28" s="102">
        <f t="shared" si="11"/>
        <v>21.687999999999999</v>
      </c>
      <c r="Z28" s="101">
        <f t="shared" si="11"/>
        <v>344.93700000000001</v>
      </c>
      <c r="AA28" s="101">
        <f t="shared" si="11"/>
        <v>314.58</v>
      </c>
      <c r="AB28" s="101">
        <f t="shared" si="11"/>
        <v>485.51400000000001</v>
      </c>
      <c r="AC28" s="101">
        <f t="shared" si="11"/>
        <v>0</v>
      </c>
      <c r="AD28" s="104">
        <f t="shared" si="11"/>
        <v>0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5"/>
      <c r="AK28" s="102">
        <f>+SUM(AK23:AK27)</f>
        <v>0</v>
      </c>
      <c r="AL28" s="102">
        <f>+SUM(AL23:AL27)</f>
        <v>0</v>
      </c>
      <c r="AM28" s="106">
        <f t="shared" ref="AM28" si="12">IFERROR(AL28/AJ28,0)</f>
        <v>0</v>
      </c>
      <c r="AN28" s="102">
        <f>+SUM(AN23:AN27)</f>
        <v>0</v>
      </c>
      <c r="AO28" s="107">
        <f t="shared" si="9"/>
        <v>0</v>
      </c>
      <c r="AP28" s="49"/>
      <c r="AQ28" s="49"/>
      <c r="AR28" s="108"/>
      <c r="AS28" s="47"/>
    </row>
    <row r="29" spans="1:45" ht="12.75" customHeight="1" thickBot="1" x14ac:dyDescent="0.3">
      <c r="A29" s="47"/>
      <c r="B29" s="64" t="s">
        <v>115</v>
      </c>
      <c r="C29" s="65" t="s">
        <v>105</v>
      </c>
      <c r="D29" s="66" t="s">
        <v>116</v>
      </c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86">
        <v>0</v>
      </c>
      <c r="R29" s="87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6">
        <v>0</v>
      </c>
      <c r="Y29" s="87">
        <v>0</v>
      </c>
      <c r="Z29" s="86">
        <v>0</v>
      </c>
      <c r="AA29" s="86">
        <v>0</v>
      </c>
      <c r="AB29" s="86">
        <v>0</v>
      </c>
      <c r="AC29" s="86">
        <v>0</v>
      </c>
      <c r="AD29" s="89">
        <v>0</v>
      </c>
      <c r="AE29" s="88">
        <v>0</v>
      </c>
      <c r="AF29" s="88">
        <v>0</v>
      </c>
      <c r="AG29" s="88">
        <v>0</v>
      </c>
      <c r="AH29" s="88">
        <v>0</v>
      </c>
      <c r="AI29" s="88">
        <v>0</v>
      </c>
      <c r="AJ29" s="115"/>
      <c r="AK29" s="86">
        <v>0</v>
      </c>
      <c r="AL29" s="87">
        <v>0</v>
      </c>
      <c r="AM29" s="91">
        <f>IFERROR(AL29/AJ29,0)</f>
        <v>0</v>
      </c>
      <c r="AN29" s="87">
        <f t="shared" ref="AN29" si="13">+AK29+AL29</f>
        <v>0</v>
      </c>
      <c r="AO29" s="92">
        <f>IFERROR(+AN29/AJ29,0)</f>
        <v>0</v>
      </c>
      <c r="AP29" s="50">
        <v>100088964</v>
      </c>
      <c r="AQ29" s="50" t="s">
        <v>117</v>
      </c>
    </row>
    <row r="30" spans="1:45" s="109" customFormat="1" ht="12.75" customHeight="1" thickBot="1" x14ac:dyDescent="0.35">
      <c r="A30" s="47"/>
      <c r="B30" s="216"/>
      <c r="C30" s="99"/>
      <c r="D30" s="100" t="s">
        <v>118</v>
      </c>
      <c r="E30" s="102">
        <f t="shared" ref="E30:AK30" si="14">+SUM(E29)</f>
        <v>0</v>
      </c>
      <c r="F30" s="102">
        <f t="shared" si="14"/>
        <v>0</v>
      </c>
      <c r="G30" s="102">
        <f t="shared" si="14"/>
        <v>0</v>
      </c>
      <c r="H30" s="102">
        <f t="shared" si="14"/>
        <v>0</v>
      </c>
      <c r="I30" s="102">
        <f t="shared" si="14"/>
        <v>0</v>
      </c>
      <c r="J30" s="102">
        <f t="shared" si="14"/>
        <v>0</v>
      </c>
      <c r="K30" s="102">
        <f t="shared" si="14"/>
        <v>0</v>
      </c>
      <c r="L30" s="102">
        <f t="shared" si="14"/>
        <v>0</v>
      </c>
      <c r="M30" s="102">
        <f t="shared" si="14"/>
        <v>0</v>
      </c>
      <c r="N30" s="102">
        <f t="shared" si="14"/>
        <v>0</v>
      </c>
      <c r="O30" s="102">
        <f t="shared" si="14"/>
        <v>0</v>
      </c>
      <c r="P30" s="102">
        <f t="shared" si="14"/>
        <v>0</v>
      </c>
      <c r="Q30" s="102">
        <f t="shared" si="14"/>
        <v>0</v>
      </c>
      <c r="R30" s="102">
        <f t="shared" si="14"/>
        <v>0</v>
      </c>
      <c r="S30" s="102">
        <v>0</v>
      </c>
      <c r="T30" s="102">
        <f t="shared" si="14"/>
        <v>0</v>
      </c>
      <c r="U30" s="102">
        <f t="shared" si="14"/>
        <v>0</v>
      </c>
      <c r="V30" s="102">
        <f t="shared" si="14"/>
        <v>0</v>
      </c>
      <c r="W30" s="102">
        <f t="shared" si="14"/>
        <v>0</v>
      </c>
      <c r="X30" s="102">
        <f t="shared" si="14"/>
        <v>0</v>
      </c>
      <c r="Y30" s="102">
        <v>0</v>
      </c>
      <c r="Z30" s="102">
        <v>0</v>
      </c>
      <c r="AA30" s="102">
        <v>0</v>
      </c>
      <c r="AB30" s="102">
        <v>0</v>
      </c>
      <c r="AC30" s="102">
        <v>0</v>
      </c>
      <c r="AD30" s="103">
        <v>0</v>
      </c>
      <c r="AE30" s="103">
        <v>0</v>
      </c>
      <c r="AF30" s="103">
        <v>0</v>
      </c>
      <c r="AG30" s="103">
        <v>0</v>
      </c>
      <c r="AH30" s="103">
        <v>0</v>
      </c>
      <c r="AI30" s="103">
        <v>0</v>
      </c>
      <c r="AJ30" s="105"/>
      <c r="AK30" s="102">
        <f t="shared" si="14"/>
        <v>0</v>
      </c>
      <c r="AL30" s="102">
        <f>+SUM(AL29)</f>
        <v>0</v>
      </c>
      <c r="AM30" s="106">
        <f t="shared" ref="AM30" si="15">IFERROR(AL30/AJ30,0)</f>
        <v>0</v>
      </c>
      <c r="AN30" s="102">
        <f>+SUM(AN29)</f>
        <v>0</v>
      </c>
      <c r="AO30" s="107">
        <f t="shared" ref="AO30" si="16">IFERROR(+AN30/AJ30,0)</f>
        <v>0</v>
      </c>
      <c r="AP30" s="49"/>
      <c r="AQ30" s="49"/>
      <c r="AR30" s="108"/>
      <c r="AS30" s="47"/>
    </row>
    <row r="31" spans="1:45" ht="12.75" customHeight="1" x14ac:dyDescent="0.25">
      <c r="A31" s="47"/>
      <c r="B31" s="75" t="s">
        <v>119</v>
      </c>
      <c r="C31" s="76" t="s">
        <v>120</v>
      </c>
      <c r="D31" s="77" t="s">
        <v>121</v>
      </c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16">
        <v>0</v>
      </c>
      <c r="R31" s="116">
        <v>60.582999999999998</v>
      </c>
      <c r="S31" s="116">
        <v>20.3</v>
      </c>
      <c r="T31" s="116">
        <v>0</v>
      </c>
      <c r="U31" s="116">
        <v>38.113999999999997</v>
      </c>
      <c r="V31" s="116">
        <v>19.167000000000002</v>
      </c>
      <c r="W31" s="116">
        <v>0</v>
      </c>
      <c r="X31" s="116">
        <v>0</v>
      </c>
      <c r="Y31" s="117">
        <v>0</v>
      </c>
      <c r="Z31" s="116">
        <v>0</v>
      </c>
      <c r="AA31" s="116">
        <v>0</v>
      </c>
      <c r="AB31" s="116">
        <v>103.49000000000001</v>
      </c>
      <c r="AC31" s="116">
        <v>0</v>
      </c>
      <c r="AD31" s="119">
        <v>136.82599999999999</v>
      </c>
      <c r="AE31" s="118">
        <v>0</v>
      </c>
      <c r="AF31" s="118">
        <v>0</v>
      </c>
      <c r="AG31" s="118">
        <v>0</v>
      </c>
      <c r="AH31" s="118">
        <v>0</v>
      </c>
      <c r="AI31" s="118">
        <v>0</v>
      </c>
      <c r="AJ31" s="120"/>
      <c r="AK31" s="117">
        <v>0</v>
      </c>
      <c r="AL31" s="117">
        <v>0</v>
      </c>
      <c r="AM31" s="121">
        <v>0</v>
      </c>
      <c r="AN31" s="117">
        <f t="shared" ref="AN31:AN54" si="17">+AK31+AL31</f>
        <v>0</v>
      </c>
      <c r="AO31" s="122">
        <f t="shared" si="1"/>
        <v>0</v>
      </c>
      <c r="AP31" s="50"/>
      <c r="AQ31" s="50"/>
    </row>
    <row r="32" spans="1:45" ht="12.75" customHeight="1" thickBot="1" x14ac:dyDescent="0.3">
      <c r="A32" s="47"/>
      <c r="B32" s="64" t="s">
        <v>119</v>
      </c>
      <c r="C32" s="65" t="s">
        <v>120</v>
      </c>
      <c r="D32" s="66" t="s">
        <v>122</v>
      </c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23">
        <v>0</v>
      </c>
      <c r="R32" s="123">
        <v>0</v>
      </c>
      <c r="S32" s="123">
        <v>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4">
        <v>0</v>
      </c>
      <c r="Z32" s="123">
        <v>0</v>
      </c>
      <c r="AA32" s="123">
        <v>0</v>
      </c>
      <c r="AB32" s="123">
        <v>0</v>
      </c>
      <c r="AC32" s="123">
        <v>0</v>
      </c>
      <c r="AD32" s="126">
        <v>0</v>
      </c>
      <c r="AE32" s="125">
        <v>0</v>
      </c>
      <c r="AF32" s="125">
        <v>0</v>
      </c>
      <c r="AG32" s="125">
        <v>0</v>
      </c>
      <c r="AH32" s="125">
        <v>0</v>
      </c>
      <c r="AI32" s="125">
        <v>0</v>
      </c>
      <c r="AJ32" s="127"/>
      <c r="AK32" s="124">
        <v>0</v>
      </c>
      <c r="AL32" s="124">
        <v>0</v>
      </c>
      <c r="AM32" s="128">
        <v>0</v>
      </c>
      <c r="AN32" s="124">
        <f>+AK32+AL32</f>
        <v>0</v>
      </c>
      <c r="AO32" s="129">
        <f t="shared" si="1"/>
        <v>0</v>
      </c>
      <c r="AP32" s="50" t="s">
        <v>123</v>
      </c>
      <c r="AQ32" s="50"/>
    </row>
    <row r="33" spans="1:48" ht="12.75" customHeight="1" thickBot="1" x14ac:dyDescent="0.3">
      <c r="A33" s="47"/>
      <c r="B33" s="216"/>
      <c r="C33" s="99"/>
      <c r="D33" s="100" t="s">
        <v>124</v>
      </c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101">
        <v>0</v>
      </c>
      <c r="R33" s="101">
        <v>60.582999999999998</v>
      </c>
      <c r="S33" s="101">
        <v>20.3</v>
      </c>
      <c r="T33" s="101">
        <v>0</v>
      </c>
      <c r="U33" s="101">
        <v>38.113999999999997</v>
      </c>
      <c r="V33" s="101">
        <v>19.167000000000002</v>
      </c>
      <c r="W33" s="101">
        <v>0</v>
      </c>
      <c r="X33" s="101">
        <v>0</v>
      </c>
      <c r="Y33" s="102">
        <v>0</v>
      </c>
      <c r="Z33" s="101">
        <v>0</v>
      </c>
      <c r="AA33" s="101">
        <v>0</v>
      </c>
      <c r="AB33" s="101">
        <v>103.49000000000001</v>
      </c>
      <c r="AC33" s="101">
        <v>0</v>
      </c>
      <c r="AD33" s="104">
        <v>136.82599999999999</v>
      </c>
      <c r="AE33" s="103">
        <v>0</v>
      </c>
      <c r="AF33" s="103">
        <v>0</v>
      </c>
      <c r="AG33" s="103">
        <v>0</v>
      </c>
      <c r="AH33" s="103">
        <v>0</v>
      </c>
      <c r="AI33" s="103">
        <v>0</v>
      </c>
      <c r="AJ33" s="105"/>
      <c r="AK33" s="102">
        <f>+AK31+AK32</f>
        <v>0</v>
      </c>
      <c r="AL33" s="102">
        <f>+AL31+AL32</f>
        <v>0</v>
      </c>
      <c r="AM33" s="106">
        <f t="shared" si="4"/>
        <v>0</v>
      </c>
      <c r="AN33" s="102">
        <f>+AN31+AN32</f>
        <v>0</v>
      </c>
      <c r="AO33" s="107">
        <f t="shared" si="1"/>
        <v>0</v>
      </c>
      <c r="AP33" s="50"/>
      <c r="AQ33" s="50"/>
    </row>
    <row r="34" spans="1:48" ht="12.75" hidden="1" customHeight="1" thickBot="1" x14ac:dyDescent="0.3">
      <c r="A34" s="47"/>
      <c r="B34" s="75" t="s">
        <v>29</v>
      </c>
      <c r="C34" s="76" t="s">
        <v>125</v>
      </c>
      <c r="D34" s="77" t="s">
        <v>126</v>
      </c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16"/>
      <c r="R34" s="116"/>
      <c r="S34" s="116"/>
      <c r="T34" s="116"/>
      <c r="U34" s="116"/>
      <c r="V34" s="116"/>
      <c r="W34" s="116"/>
      <c r="X34" s="116"/>
      <c r="Y34" s="117"/>
      <c r="Z34" s="116"/>
      <c r="AA34" s="116"/>
      <c r="AB34" s="116"/>
      <c r="AC34" s="116"/>
      <c r="AD34" s="119"/>
      <c r="AE34" s="118"/>
      <c r="AF34" s="118"/>
      <c r="AG34" s="118"/>
      <c r="AH34" s="118"/>
      <c r="AI34" s="118"/>
      <c r="AJ34" s="120"/>
      <c r="AK34" s="68"/>
      <c r="AL34" s="117"/>
      <c r="AM34" s="121"/>
      <c r="AN34" s="117"/>
      <c r="AO34" s="122"/>
      <c r="AP34" s="50"/>
      <c r="AQ34" s="50"/>
    </row>
    <row r="35" spans="1:48" ht="12.75" customHeight="1" x14ac:dyDescent="0.25">
      <c r="A35" s="47"/>
      <c r="B35" s="75" t="s">
        <v>29</v>
      </c>
      <c r="C35" s="76" t="s">
        <v>126</v>
      </c>
      <c r="D35" s="77" t="s">
        <v>127</v>
      </c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9">
        <v>0</v>
      </c>
      <c r="Z35" s="78">
        <v>0</v>
      </c>
      <c r="AA35" s="78">
        <v>0</v>
      </c>
      <c r="AB35" s="78">
        <v>0</v>
      </c>
      <c r="AC35" s="78">
        <v>0</v>
      </c>
      <c r="AD35" s="81">
        <v>0</v>
      </c>
      <c r="AE35" s="80">
        <v>0</v>
      </c>
      <c r="AF35" s="80">
        <v>0</v>
      </c>
      <c r="AG35" s="80">
        <v>0</v>
      </c>
      <c r="AH35" s="80">
        <v>0</v>
      </c>
      <c r="AI35" s="80">
        <v>0</v>
      </c>
      <c r="AJ35" s="114"/>
      <c r="AK35" s="79">
        <v>0</v>
      </c>
      <c r="AL35" s="79">
        <v>0</v>
      </c>
      <c r="AM35" s="83">
        <v>0</v>
      </c>
      <c r="AN35" s="79">
        <f t="shared" ref="AN35" si="18">+AK35+AL35</f>
        <v>0</v>
      </c>
      <c r="AO35" s="84">
        <f t="shared" ref="AO35" si="19">IFERROR(+AN35/AJ35,0)</f>
        <v>0</v>
      </c>
      <c r="AP35" s="50"/>
      <c r="AQ35" s="50"/>
    </row>
    <row r="36" spans="1:48" ht="12.75" customHeight="1" thickBot="1" x14ac:dyDescent="0.3">
      <c r="A36" s="47"/>
      <c r="B36" s="64" t="s">
        <v>29</v>
      </c>
      <c r="C36" s="65" t="s">
        <v>126</v>
      </c>
      <c r="D36" s="66" t="s">
        <v>128</v>
      </c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23"/>
      <c r="R36" s="123"/>
      <c r="S36" s="123"/>
      <c r="T36" s="123"/>
      <c r="U36" s="123">
        <v>0</v>
      </c>
      <c r="V36" s="123">
        <v>0</v>
      </c>
      <c r="W36" s="123">
        <v>0</v>
      </c>
      <c r="X36" s="123">
        <v>0</v>
      </c>
      <c r="Y36" s="124">
        <v>0</v>
      </c>
      <c r="Z36" s="123">
        <v>0</v>
      </c>
      <c r="AA36" s="123">
        <v>0</v>
      </c>
      <c r="AB36" s="123">
        <v>0</v>
      </c>
      <c r="AC36" s="123">
        <v>0</v>
      </c>
      <c r="AD36" s="126">
        <v>0</v>
      </c>
      <c r="AE36" s="125">
        <v>0</v>
      </c>
      <c r="AF36" s="125">
        <v>0</v>
      </c>
      <c r="AG36" s="125">
        <v>0</v>
      </c>
      <c r="AH36" s="125">
        <v>0</v>
      </c>
      <c r="AI36" s="125">
        <v>0</v>
      </c>
      <c r="AJ36" s="127"/>
      <c r="AK36" s="124">
        <v>0</v>
      </c>
      <c r="AL36" s="124">
        <v>0</v>
      </c>
      <c r="AM36" s="128">
        <v>0</v>
      </c>
      <c r="AN36" s="124"/>
      <c r="AO36" s="129"/>
      <c r="AP36" s="50">
        <v>100002258</v>
      </c>
      <c r="AQ36" s="50"/>
    </row>
    <row r="37" spans="1:48" s="109" customFormat="1" ht="12.75" customHeight="1" thickBot="1" x14ac:dyDescent="0.35">
      <c r="A37" s="47"/>
      <c r="B37" s="216"/>
      <c r="C37" s="99"/>
      <c r="D37" s="100" t="s">
        <v>129</v>
      </c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0</v>
      </c>
      <c r="W37" s="101">
        <v>0</v>
      </c>
      <c r="X37" s="101">
        <v>0</v>
      </c>
      <c r="Y37" s="102">
        <v>0</v>
      </c>
      <c r="Z37" s="101">
        <v>0</v>
      </c>
      <c r="AA37" s="101">
        <v>0</v>
      </c>
      <c r="AB37" s="101">
        <v>0</v>
      </c>
      <c r="AC37" s="101">
        <v>0</v>
      </c>
      <c r="AD37" s="104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5"/>
      <c r="AK37" s="102">
        <f t="shared" ref="AK37:AL37" si="20">+SUM(AK34:AK36)</f>
        <v>0</v>
      </c>
      <c r="AL37" s="102">
        <f t="shared" si="20"/>
        <v>0</v>
      </c>
      <c r="AM37" s="106">
        <f t="shared" ref="AM37:AM56" si="21">IFERROR(AL37/AJ37,0)</f>
        <v>0</v>
      </c>
      <c r="AN37" s="102">
        <f t="shared" ref="AN37" si="22">+SUM(AN34:AN36)</f>
        <v>0</v>
      </c>
      <c r="AO37" s="107">
        <f t="shared" si="1"/>
        <v>0</v>
      </c>
      <c r="AP37" s="49"/>
      <c r="AQ37" s="49"/>
      <c r="AR37" s="108"/>
      <c r="AS37" s="47"/>
    </row>
    <row r="38" spans="1:48" ht="12.75" customHeight="1" x14ac:dyDescent="0.25">
      <c r="A38" s="47"/>
      <c r="B38" s="75" t="s">
        <v>130</v>
      </c>
      <c r="C38" s="76" t="s">
        <v>126</v>
      </c>
      <c r="D38" s="77" t="s">
        <v>131</v>
      </c>
      <c r="E38" s="130"/>
      <c r="F38" s="131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>
        <v>0</v>
      </c>
      <c r="R38" s="79">
        <v>0</v>
      </c>
      <c r="S38" s="79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79">
        <v>0</v>
      </c>
      <c r="AA38" s="78">
        <v>0</v>
      </c>
      <c r="AB38" s="79">
        <v>0</v>
      </c>
      <c r="AC38" s="78">
        <v>0</v>
      </c>
      <c r="AD38" s="81">
        <v>0</v>
      </c>
      <c r="AE38" s="80">
        <v>0</v>
      </c>
      <c r="AF38" s="80">
        <v>0</v>
      </c>
      <c r="AG38" s="80">
        <v>0</v>
      </c>
      <c r="AH38" s="80">
        <v>0</v>
      </c>
      <c r="AI38" s="80">
        <v>0</v>
      </c>
      <c r="AJ38" s="114"/>
      <c r="AK38" s="79">
        <v>0</v>
      </c>
      <c r="AL38" s="79">
        <v>0</v>
      </c>
      <c r="AM38" s="83">
        <f t="shared" si="21"/>
        <v>0</v>
      </c>
      <c r="AN38" s="79">
        <f t="shared" si="17"/>
        <v>0</v>
      </c>
      <c r="AO38" s="84">
        <f t="shared" si="1"/>
        <v>0</v>
      </c>
      <c r="AP38" s="132">
        <v>100001914</v>
      </c>
      <c r="AQ38" s="132">
        <v>100001979</v>
      </c>
      <c r="AR38" s="133">
        <v>100086833</v>
      </c>
      <c r="AS38" s="193"/>
      <c r="AT38" s="49"/>
      <c r="AU38" s="49"/>
      <c r="AV38" s="49"/>
    </row>
    <row r="39" spans="1:48" ht="12.75" customHeight="1" x14ac:dyDescent="0.25">
      <c r="A39" s="47"/>
      <c r="B39" s="64" t="s">
        <v>132</v>
      </c>
      <c r="C39" s="134" t="s">
        <v>128</v>
      </c>
      <c r="D39" s="66" t="s">
        <v>133</v>
      </c>
      <c r="E39" s="135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8"/>
      <c r="U39" s="88"/>
      <c r="V39" s="88"/>
      <c r="W39" s="88"/>
      <c r="X39" s="88"/>
      <c r="Y39" s="88"/>
      <c r="Z39" s="87"/>
      <c r="AA39" s="86"/>
      <c r="AB39" s="87"/>
      <c r="AC39" s="86"/>
      <c r="AD39" s="89"/>
      <c r="AE39" s="88">
        <v>0</v>
      </c>
      <c r="AF39" s="88">
        <v>0</v>
      </c>
      <c r="AG39" s="88">
        <v>0</v>
      </c>
      <c r="AH39" s="88">
        <v>0</v>
      </c>
      <c r="AI39" s="88">
        <v>0</v>
      </c>
      <c r="AJ39" s="115"/>
      <c r="AK39" s="87">
        <v>0</v>
      </c>
      <c r="AL39" s="87">
        <v>0</v>
      </c>
      <c r="AM39" s="91">
        <f t="shared" si="21"/>
        <v>0</v>
      </c>
      <c r="AN39" s="87">
        <f>+AK39+AL39</f>
        <v>0</v>
      </c>
      <c r="AO39" s="92">
        <f t="shared" si="1"/>
        <v>0</v>
      </c>
      <c r="AP39" s="132"/>
      <c r="AQ39" s="132"/>
      <c r="AR39" s="133"/>
      <c r="AS39" s="193"/>
      <c r="AT39" s="139"/>
    </row>
    <row r="40" spans="1:48" ht="12.75" customHeight="1" x14ac:dyDescent="0.25">
      <c r="A40" s="47"/>
      <c r="B40" s="75" t="s">
        <v>132</v>
      </c>
      <c r="C40" s="136" t="s">
        <v>128</v>
      </c>
      <c r="D40" s="77" t="s">
        <v>134</v>
      </c>
      <c r="E40" s="130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>
        <v>0</v>
      </c>
      <c r="R40" s="79">
        <v>0</v>
      </c>
      <c r="S40" s="79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79">
        <v>0</v>
      </c>
      <c r="AA40" s="78">
        <v>0</v>
      </c>
      <c r="AB40" s="79">
        <v>0</v>
      </c>
      <c r="AC40" s="78">
        <v>0</v>
      </c>
      <c r="AD40" s="81">
        <v>0</v>
      </c>
      <c r="AE40" s="80">
        <v>0</v>
      </c>
      <c r="AF40" s="80">
        <v>0</v>
      </c>
      <c r="AG40" s="80">
        <v>0</v>
      </c>
      <c r="AH40" s="80">
        <v>0</v>
      </c>
      <c r="AI40" s="80">
        <v>0</v>
      </c>
      <c r="AJ40" s="82"/>
      <c r="AK40" s="79">
        <v>0</v>
      </c>
      <c r="AL40" s="79">
        <v>0</v>
      </c>
      <c r="AM40" s="83">
        <f t="shared" si="21"/>
        <v>0</v>
      </c>
      <c r="AN40" s="79">
        <f>+AK40+AL40</f>
        <v>0</v>
      </c>
      <c r="AO40" s="84">
        <f t="shared" si="1"/>
        <v>0</v>
      </c>
      <c r="AP40" s="132"/>
      <c r="AQ40" s="132"/>
      <c r="AR40" s="133"/>
      <c r="AS40" s="193"/>
      <c r="AT40" s="139"/>
    </row>
    <row r="41" spans="1:48" ht="12.75" customHeight="1" x14ac:dyDescent="0.25">
      <c r="A41" s="47"/>
      <c r="B41" s="64" t="s">
        <v>132</v>
      </c>
      <c r="C41" s="134" t="s">
        <v>131</v>
      </c>
      <c r="D41" s="66" t="s">
        <v>135</v>
      </c>
      <c r="E41" s="135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>
        <v>0</v>
      </c>
      <c r="R41" s="87">
        <v>0</v>
      </c>
      <c r="S41" s="87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7">
        <v>0</v>
      </c>
      <c r="AA41" s="86">
        <v>0</v>
      </c>
      <c r="AB41" s="87">
        <v>0</v>
      </c>
      <c r="AC41" s="86">
        <v>0</v>
      </c>
      <c r="AD41" s="89">
        <v>0</v>
      </c>
      <c r="AE41" s="88">
        <v>0</v>
      </c>
      <c r="AF41" s="88">
        <v>0</v>
      </c>
      <c r="AG41" s="88">
        <v>0</v>
      </c>
      <c r="AH41" s="88">
        <v>0</v>
      </c>
      <c r="AI41" s="88">
        <v>0</v>
      </c>
      <c r="AJ41" s="115"/>
      <c r="AK41" s="87">
        <v>0</v>
      </c>
      <c r="AL41" s="87">
        <v>0</v>
      </c>
      <c r="AM41" s="91">
        <f t="shared" si="21"/>
        <v>0</v>
      </c>
      <c r="AN41" s="87">
        <f t="shared" si="17"/>
        <v>0</v>
      </c>
      <c r="AO41" s="92">
        <f t="shared" si="1"/>
        <v>0</v>
      </c>
      <c r="AP41" s="132"/>
      <c r="AQ41" s="132"/>
      <c r="AR41" s="133"/>
      <c r="AS41" s="193"/>
      <c r="AT41" s="139"/>
    </row>
    <row r="42" spans="1:48" ht="12.75" customHeight="1" x14ac:dyDescent="0.25">
      <c r="A42" s="47"/>
      <c r="B42" s="75" t="s">
        <v>132</v>
      </c>
      <c r="C42" s="136" t="s">
        <v>136</v>
      </c>
      <c r="D42" s="77" t="s">
        <v>137</v>
      </c>
      <c r="E42" s="130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>
        <v>0</v>
      </c>
      <c r="R42" s="79">
        <v>0</v>
      </c>
      <c r="S42" s="79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79">
        <v>0</v>
      </c>
      <c r="AA42" s="78">
        <v>0</v>
      </c>
      <c r="AB42" s="79">
        <v>0</v>
      </c>
      <c r="AC42" s="78">
        <v>0</v>
      </c>
      <c r="AD42" s="81">
        <v>0</v>
      </c>
      <c r="AE42" s="80">
        <v>0</v>
      </c>
      <c r="AF42" s="80">
        <v>0</v>
      </c>
      <c r="AG42" s="80">
        <v>0</v>
      </c>
      <c r="AH42" s="80">
        <v>0</v>
      </c>
      <c r="AI42" s="80">
        <v>0</v>
      </c>
      <c r="AJ42" s="82"/>
      <c r="AK42" s="79">
        <v>0</v>
      </c>
      <c r="AL42" s="79">
        <v>0</v>
      </c>
      <c r="AM42" s="83">
        <f t="shared" si="21"/>
        <v>0</v>
      </c>
      <c r="AN42" s="79">
        <f t="shared" si="17"/>
        <v>0</v>
      </c>
      <c r="AO42" s="84">
        <f t="shared" si="1"/>
        <v>0</v>
      </c>
      <c r="AP42" s="132"/>
      <c r="AQ42" s="132"/>
      <c r="AR42" s="133"/>
      <c r="AS42" s="193"/>
      <c r="AT42" s="139"/>
    </row>
    <row r="43" spans="1:48" ht="12.75" customHeight="1" x14ac:dyDescent="0.25">
      <c r="A43" s="47"/>
      <c r="B43" s="64" t="s">
        <v>132</v>
      </c>
      <c r="C43" s="134" t="s">
        <v>136</v>
      </c>
      <c r="D43" s="66" t="s">
        <v>138</v>
      </c>
      <c r="E43" s="135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>
        <v>0</v>
      </c>
      <c r="R43" s="87">
        <v>0</v>
      </c>
      <c r="S43" s="87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7">
        <v>0</v>
      </c>
      <c r="AA43" s="86">
        <v>0</v>
      </c>
      <c r="AB43" s="87">
        <v>0</v>
      </c>
      <c r="AC43" s="86">
        <v>0</v>
      </c>
      <c r="AD43" s="89">
        <v>0</v>
      </c>
      <c r="AE43" s="88">
        <v>0</v>
      </c>
      <c r="AF43" s="88">
        <v>0</v>
      </c>
      <c r="AG43" s="88">
        <v>0</v>
      </c>
      <c r="AH43" s="88">
        <v>0</v>
      </c>
      <c r="AI43" s="88">
        <v>0</v>
      </c>
      <c r="AJ43" s="115"/>
      <c r="AK43" s="87">
        <v>0</v>
      </c>
      <c r="AL43" s="87">
        <v>0</v>
      </c>
      <c r="AM43" s="91">
        <f t="shared" si="21"/>
        <v>0</v>
      </c>
      <c r="AN43" s="87">
        <f t="shared" si="17"/>
        <v>0</v>
      </c>
      <c r="AO43" s="92">
        <f t="shared" si="1"/>
        <v>0</v>
      </c>
      <c r="AP43" s="132"/>
      <c r="AQ43" s="132"/>
      <c r="AR43" s="133"/>
      <c r="AS43" s="193"/>
      <c r="AT43" s="139"/>
    </row>
    <row r="44" spans="1:48" ht="12.75" customHeight="1" x14ac:dyDescent="0.25">
      <c r="A44" s="47"/>
      <c r="B44" s="75" t="s">
        <v>132</v>
      </c>
      <c r="C44" s="136" t="s">
        <v>131</v>
      </c>
      <c r="D44" s="77" t="s">
        <v>139</v>
      </c>
      <c r="E44" s="130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>
        <v>0</v>
      </c>
      <c r="R44" s="79">
        <v>0</v>
      </c>
      <c r="S44" s="79">
        <v>0</v>
      </c>
      <c r="T44" s="80">
        <v>0</v>
      </c>
      <c r="U44" s="80">
        <v>0</v>
      </c>
      <c r="V44" s="80">
        <v>0</v>
      </c>
      <c r="W44" s="80">
        <v>0</v>
      </c>
      <c r="X44" s="80">
        <v>0</v>
      </c>
      <c r="Y44" s="80">
        <v>0</v>
      </c>
      <c r="Z44" s="79">
        <v>0</v>
      </c>
      <c r="AA44" s="78">
        <v>0</v>
      </c>
      <c r="AB44" s="79">
        <v>0</v>
      </c>
      <c r="AC44" s="78">
        <v>0</v>
      </c>
      <c r="AD44" s="81">
        <v>0</v>
      </c>
      <c r="AE44" s="80">
        <v>0</v>
      </c>
      <c r="AF44" s="80">
        <v>0</v>
      </c>
      <c r="AG44" s="80">
        <v>0</v>
      </c>
      <c r="AH44" s="80">
        <v>0</v>
      </c>
      <c r="AI44" s="80">
        <v>0</v>
      </c>
      <c r="AJ44" s="82"/>
      <c r="AK44" s="79">
        <v>0</v>
      </c>
      <c r="AL44" s="79">
        <v>0</v>
      </c>
      <c r="AM44" s="83">
        <f t="shared" si="21"/>
        <v>0</v>
      </c>
      <c r="AN44" s="79">
        <f t="shared" si="17"/>
        <v>0</v>
      </c>
      <c r="AO44" s="84">
        <f t="shared" si="1"/>
        <v>0</v>
      </c>
      <c r="AP44" s="132"/>
      <c r="AQ44" s="132"/>
      <c r="AR44" s="133"/>
      <c r="AS44" s="193"/>
      <c r="AT44" s="139"/>
    </row>
    <row r="45" spans="1:48" ht="12.75" customHeight="1" thickBot="1" x14ac:dyDescent="0.3">
      <c r="A45" s="47"/>
      <c r="B45" s="64" t="s">
        <v>132</v>
      </c>
      <c r="C45" s="134" t="s">
        <v>128</v>
      </c>
      <c r="D45" s="66" t="s">
        <v>140</v>
      </c>
      <c r="E45" s="137"/>
      <c r="F45" s="138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>
        <v>0</v>
      </c>
      <c r="R45" s="124">
        <v>0</v>
      </c>
      <c r="S45" s="124">
        <v>0</v>
      </c>
      <c r="T45" s="125">
        <v>0</v>
      </c>
      <c r="U45" s="125">
        <v>0</v>
      </c>
      <c r="V45" s="125">
        <v>0</v>
      </c>
      <c r="W45" s="125">
        <v>0</v>
      </c>
      <c r="X45" s="125">
        <v>0</v>
      </c>
      <c r="Y45" s="125">
        <v>0</v>
      </c>
      <c r="Z45" s="124">
        <v>0</v>
      </c>
      <c r="AA45" s="123">
        <v>0</v>
      </c>
      <c r="AB45" s="124">
        <v>0</v>
      </c>
      <c r="AC45" s="123">
        <v>0</v>
      </c>
      <c r="AD45" s="126">
        <v>0</v>
      </c>
      <c r="AE45" s="125">
        <v>0</v>
      </c>
      <c r="AF45" s="125">
        <v>0</v>
      </c>
      <c r="AG45" s="125">
        <v>0</v>
      </c>
      <c r="AH45" s="125">
        <v>0</v>
      </c>
      <c r="AI45" s="125">
        <v>0</v>
      </c>
      <c r="AJ45" s="127"/>
      <c r="AK45" s="124">
        <v>0</v>
      </c>
      <c r="AL45" s="124">
        <v>0</v>
      </c>
      <c r="AM45" s="128">
        <f t="shared" si="21"/>
        <v>0</v>
      </c>
      <c r="AN45" s="124">
        <f t="shared" si="17"/>
        <v>0</v>
      </c>
      <c r="AO45" s="129">
        <f t="shared" si="1"/>
        <v>0</v>
      </c>
      <c r="AP45" s="139"/>
      <c r="AQ45" s="132"/>
      <c r="AR45" s="133"/>
      <c r="AS45" s="193"/>
      <c r="AT45" s="139"/>
    </row>
    <row r="46" spans="1:48" s="109" customFormat="1" ht="12.75" customHeight="1" thickBot="1" x14ac:dyDescent="0.35">
      <c r="A46" s="47"/>
      <c r="B46" s="216"/>
      <c r="C46" s="99"/>
      <c r="D46" s="100" t="s">
        <v>141</v>
      </c>
      <c r="E46" s="209">
        <f t="shared" ref="E46:AD46" si="23">+SUM(E38:E45)</f>
        <v>0</v>
      </c>
      <c r="F46" s="209">
        <f t="shared" si="23"/>
        <v>0</v>
      </c>
      <c r="G46" s="209">
        <f t="shared" si="23"/>
        <v>0</v>
      </c>
      <c r="H46" s="209">
        <f t="shared" si="23"/>
        <v>0</v>
      </c>
      <c r="I46" s="209">
        <f t="shared" si="23"/>
        <v>0</v>
      </c>
      <c r="J46" s="209">
        <f t="shared" si="23"/>
        <v>0</v>
      </c>
      <c r="K46" s="209">
        <f t="shared" si="23"/>
        <v>0</v>
      </c>
      <c r="L46" s="209">
        <f t="shared" si="23"/>
        <v>0</v>
      </c>
      <c r="M46" s="209">
        <f t="shared" si="23"/>
        <v>0</v>
      </c>
      <c r="N46" s="209">
        <f t="shared" si="23"/>
        <v>0</v>
      </c>
      <c r="O46" s="209">
        <f t="shared" si="23"/>
        <v>0</v>
      </c>
      <c r="P46" s="209">
        <f t="shared" si="23"/>
        <v>0</v>
      </c>
      <c r="Q46" s="101">
        <f t="shared" si="23"/>
        <v>0</v>
      </c>
      <c r="R46" s="101">
        <f t="shared" si="23"/>
        <v>0</v>
      </c>
      <c r="S46" s="101">
        <f t="shared" si="23"/>
        <v>0</v>
      </c>
      <c r="T46" s="101">
        <f t="shared" si="23"/>
        <v>0</v>
      </c>
      <c r="U46" s="101">
        <f t="shared" si="23"/>
        <v>0</v>
      </c>
      <c r="V46" s="101">
        <f t="shared" si="23"/>
        <v>0</v>
      </c>
      <c r="W46" s="101">
        <f t="shared" si="23"/>
        <v>0</v>
      </c>
      <c r="X46" s="101">
        <f t="shared" si="23"/>
        <v>0</v>
      </c>
      <c r="Y46" s="102">
        <f t="shared" si="23"/>
        <v>0</v>
      </c>
      <c r="Z46" s="101">
        <f t="shared" si="23"/>
        <v>0</v>
      </c>
      <c r="AA46" s="101">
        <f t="shared" si="23"/>
        <v>0</v>
      </c>
      <c r="AB46" s="101">
        <f t="shared" si="23"/>
        <v>0</v>
      </c>
      <c r="AC46" s="101">
        <f t="shared" si="23"/>
        <v>0</v>
      </c>
      <c r="AD46" s="104">
        <f t="shared" si="23"/>
        <v>0</v>
      </c>
      <c r="AE46" s="103">
        <v>0</v>
      </c>
      <c r="AF46" s="103">
        <v>0</v>
      </c>
      <c r="AG46" s="103">
        <v>0</v>
      </c>
      <c r="AH46" s="103">
        <v>0</v>
      </c>
      <c r="AI46" s="103">
        <v>0</v>
      </c>
      <c r="AJ46" s="105"/>
      <c r="AK46" s="102">
        <f>SUM(AK38:AK45)</f>
        <v>0</v>
      </c>
      <c r="AL46" s="102">
        <f>SUM(AL38:AL45)</f>
        <v>0</v>
      </c>
      <c r="AM46" s="106">
        <f t="shared" si="21"/>
        <v>0</v>
      </c>
      <c r="AN46" s="102">
        <f t="shared" si="17"/>
        <v>0</v>
      </c>
      <c r="AO46" s="107">
        <f t="shared" si="1"/>
        <v>0</v>
      </c>
      <c r="AP46" s="150"/>
      <c r="AQ46" s="150"/>
      <c r="AR46" s="108"/>
      <c r="AS46" s="47"/>
    </row>
    <row r="47" spans="1:48" ht="12.75" customHeight="1" thickBot="1" x14ac:dyDescent="0.3">
      <c r="A47" s="47" t="s">
        <v>178</v>
      </c>
      <c r="B47" s="151" t="s">
        <v>142</v>
      </c>
      <c r="C47" s="152"/>
      <c r="D47" s="153" t="s">
        <v>5</v>
      </c>
      <c r="E47" s="211">
        <f t="shared" ref="E47:X47" si="24">+E18+E22+E28+E30+E33+E37+E46</f>
        <v>0</v>
      </c>
      <c r="F47" s="211">
        <f t="shared" si="24"/>
        <v>0</v>
      </c>
      <c r="G47" s="211">
        <f t="shared" si="24"/>
        <v>0</v>
      </c>
      <c r="H47" s="211">
        <f t="shared" si="24"/>
        <v>0</v>
      </c>
      <c r="I47" s="211">
        <f t="shared" si="24"/>
        <v>0</v>
      </c>
      <c r="J47" s="211">
        <f t="shared" si="24"/>
        <v>0</v>
      </c>
      <c r="K47" s="211">
        <f t="shared" si="24"/>
        <v>0</v>
      </c>
      <c r="L47" s="211">
        <f t="shared" si="24"/>
        <v>0</v>
      </c>
      <c r="M47" s="211">
        <f t="shared" si="24"/>
        <v>0</v>
      </c>
      <c r="N47" s="211">
        <f t="shared" si="24"/>
        <v>0</v>
      </c>
      <c r="O47" s="211">
        <f t="shared" si="24"/>
        <v>0</v>
      </c>
      <c r="P47" s="211">
        <f t="shared" si="24"/>
        <v>0</v>
      </c>
      <c r="Q47" s="154">
        <f t="shared" si="24"/>
        <v>2676.201</v>
      </c>
      <c r="R47" s="154">
        <f t="shared" si="24"/>
        <v>5862.1989999999996</v>
      </c>
      <c r="S47" s="154">
        <v>1605.9689999999998</v>
      </c>
      <c r="T47" s="154">
        <f t="shared" si="24"/>
        <v>1150.98</v>
      </c>
      <c r="U47" s="154">
        <f t="shared" si="24"/>
        <v>37.341000000000001</v>
      </c>
      <c r="V47" s="154">
        <f t="shared" si="24"/>
        <v>361.59699999999998</v>
      </c>
      <c r="W47" s="157">
        <f t="shared" si="24"/>
        <v>21.84</v>
      </c>
      <c r="X47" s="157">
        <f t="shared" si="24"/>
        <v>309.11200000000002</v>
      </c>
      <c r="Y47" s="158">
        <v>42.738</v>
      </c>
      <c r="Z47" s="157">
        <v>359.93700000000001</v>
      </c>
      <c r="AA47" s="157">
        <v>467.15999999999997</v>
      </c>
      <c r="AB47" s="157">
        <v>985.43399999999997</v>
      </c>
      <c r="AC47" s="157">
        <v>85.960000000000008</v>
      </c>
      <c r="AD47" s="194">
        <v>197.64</v>
      </c>
      <c r="AE47" s="159">
        <v>64.322000000000003</v>
      </c>
      <c r="AF47" s="159">
        <v>120</v>
      </c>
      <c r="AG47" s="159">
        <v>756</v>
      </c>
      <c r="AH47" s="159">
        <v>80</v>
      </c>
      <c r="AI47" s="159">
        <v>94.9</v>
      </c>
      <c r="AJ47" s="160"/>
      <c r="AK47" s="158">
        <f>+AK18+AK22+AK28+AK30+AK33+AK37+AK46</f>
        <v>0</v>
      </c>
      <c r="AL47" s="158">
        <f>+AL18+AL22+AL28+AL30+AL33+AL37+AL46</f>
        <v>0</v>
      </c>
      <c r="AM47" s="161">
        <f t="shared" si="21"/>
        <v>0</v>
      </c>
      <c r="AN47" s="158">
        <f>+AN18+AN22+AN28+AN30+AN33+AN37+AN46</f>
        <v>0</v>
      </c>
      <c r="AO47" s="162">
        <f t="shared" si="1"/>
        <v>0</v>
      </c>
      <c r="AP47" s="150"/>
      <c r="AQ47" s="150"/>
    </row>
    <row r="48" spans="1:48" ht="12.75" hidden="1" customHeight="1" x14ac:dyDescent="0.25">
      <c r="A48" s="47" t="s">
        <v>178</v>
      </c>
      <c r="B48" s="75" t="s">
        <v>143</v>
      </c>
      <c r="C48" s="76"/>
      <c r="D48" s="163" t="s">
        <v>145</v>
      </c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70"/>
      <c r="R48" s="170"/>
      <c r="S48" s="171"/>
      <c r="T48" s="171"/>
      <c r="U48" s="171">
        <v>0</v>
      </c>
      <c r="V48" s="171">
        <v>0</v>
      </c>
      <c r="W48" s="79">
        <v>0</v>
      </c>
      <c r="X48" s="79">
        <v>0</v>
      </c>
      <c r="Y48" s="79">
        <v>0</v>
      </c>
      <c r="Z48" s="79">
        <v>0</v>
      </c>
      <c r="AA48" s="79">
        <v>0</v>
      </c>
      <c r="AB48" s="79">
        <v>0</v>
      </c>
      <c r="AC48" s="79">
        <v>0</v>
      </c>
      <c r="AD48" s="79">
        <v>0</v>
      </c>
      <c r="AE48" s="79">
        <v>0</v>
      </c>
      <c r="AF48" s="79">
        <v>0</v>
      </c>
      <c r="AG48" s="79">
        <v>0</v>
      </c>
      <c r="AH48" s="79">
        <v>0</v>
      </c>
      <c r="AI48" s="80">
        <v>0</v>
      </c>
      <c r="AJ48" s="82"/>
      <c r="AK48" s="79">
        <v>0</v>
      </c>
      <c r="AL48" s="79">
        <v>0</v>
      </c>
      <c r="AM48" s="83">
        <f t="shared" si="21"/>
        <v>0</v>
      </c>
      <c r="AN48" s="79">
        <f t="shared" si="17"/>
        <v>0</v>
      </c>
      <c r="AO48" s="84">
        <f t="shared" si="1"/>
        <v>0</v>
      </c>
      <c r="AP48" s="49" t="s">
        <v>144</v>
      </c>
    </row>
    <row r="49" spans="1:46" ht="12.75" hidden="1" customHeight="1" x14ac:dyDescent="0.25">
      <c r="A49" s="47" t="s">
        <v>178</v>
      </c>
      <c r="B49" s="64" t="s">
        <v>143</v>
      </c>
      <c r="C49" s="65"/>
      <c r="D49" s="167" t="s">
        <v>147</v>
      </c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8"/>
      <c r="R49" s="168"/>
      <c r="S49" s="169"/>
      <c r="T49" s="169"/>
      <c r="U49" s="169">
        <v>0</v>
      </c>
      <c r="V49" s="169">
        <v>0</v>
      </c>
      <c r="W49" s="87">
        <v>0</v>
      </c>
      <c r="X49" s="87">
        <v>0</v>
      </c>
      <c r="Y49" s="87">
        <v>0</v>
      </c>
      <c r="Z49" s="87">
        <v>0</v>
      </c>
      <c r="AA49" s="87">
        <v>0</v>
      </c>
      <c r="AB49" s="87">
        <v>0</v>
      </c>
      <c r="AC49" s="87">
        <v>0</v>
      </c>
      <c r="AD49" s="87">
        <v>0</v>
      </c>
      <c r="AE49" s="87">
        <v>0</v>
      </c>
      <c r="AF49" s="87">
        <v>0</v>
      </c>
      <c r="AG49" s="87">
        <v>0</v>
      </c>
      <c r="AH49" s="87">
        <v>0</v>
      </c>
      <c r="AI49" s="88">
        <v>0</v>
      </c>
      <c r="AJ49" s="90"/>
      <c r="AK49" s="87">
        <v>0</v>
      </c>
      <c r="AL49" s="87">
        <v>0</v>
      </c>
      <c r="AM49" s="91">
        <f t="shared" si="21"/>
        <v>0</v>
      </c>
      <c r="AN49" s="87">
        <f t="shared" si="17"/>
        <v>0</v>
      </c>
      <c r="AO49" s="92">
        <f t="shared" si="1"/>
        <v>0</v>
      </c>
      <c r="AP49" s="49" t="s">
        <v>144</v>
      </c>
    </row>
    <row r="50" spans="1:46" ht="12.75" hidden="1" customHeight="1" x14ac:dyDescent="0.25">
      <c r="A50" s="47" t="s">
        <v>178</v>
      </c>
      <c r="B50" s="75" t="s">
        <v>143</v>
      </c>
      <c r="C50" s="76"/>
      <c r="D50" s="163" t="s">
        <v>148</v>
      </c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70"/>
      <c r="R50" s="170"/>
      <c r="S50" s="171"/>
      <c r="T50" s="171"/>
      <c r="U50" s="171">
        <v>0</v>
      </c>
      <c r="V50" s="171">
        <v>0</v>
      </c>
      <c r="W50" s="79">
        <v>0</v>
      </c>
      <c r="X50" s="79">
        <v>0</v>
      </c>
      <c r="Y50" s="79">
        <v>0</v>
      </c>
      <c r="Z50" s="79">
        <v>0</v>
      </c>
      <c r="AA50" s="79">
        <v>0</v>
      </c>
      <c r="AB50" s="79">
        <v>0</v>
      </c>
      <c r="AC50" s="79">
        <v>0</v>
      </c>
      <c r="AD50" s="79">
        <v>0</v>
      </c>
      <c r="AE50" s="79">
        <v>0</v>
      </c>
      <c r="AF50" s="79">
        <v>0</v>
      </c>
      <c r="AG50" s="79">
        <v>0</v>
      </c>
      <c r="AH50" s="79">
        <v>0</v>
      </c>
      <c r="AI50" s="80">
        <v>0</v>
      </c>
      <c r="AJ50" s="82"/>
      <c r="AK50" s="79">
        <v>0</v>
      </c>
      <c r="AL50" s="79">
        <v>0</v>
      </c>
      <c r="AM50" s="83">
        <f t="shared" si="21"/>
        <v>0</v>
      </c>
      <c r="AN50" s="79">
        <f>+AK50+AL50</f>
        <v>0</v>
      </c>
      <c r="AO50" s="84">
        <f t="shared" si="1"/>
        <v>0</v>
      </c>
      <c r="AP50" s="49" t="s">
        <v>144</v>
      </c>
      <c r="AQ50" s="49" t="s">
        <v>149</v>
      </c>
    </row>
    <row r="51" spans="1:46" ht="12.75" hidden="1" customHeight="1" x14ac:dyDescent="0.25">
      <c r="A51" s="47"/>
      <c r="B51" s="64" t="s">
        <v>143</v>
      </c>
      <c r="C51" s="134" t="s">
        <v>144</v>
      </c>
      <c r="D51" s="66" t="s">
        <v>162</v>
      </c>
      <c r="E51" s="135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8"/>
      <c r="U51" s="88"/>
      <c r="V51" s="88"/>
      <c r="W51" s="88"/>
      <c r="X51" s="88"/>
      <c r="Y51" s="88"/>
      <c r="Z51" s="87">
        <v>0</v>
      </c>
      <c r="AA51" s="86">
        <v>0</v>
      </c>
      <c r="AB51" s="87">
        <v>0</v>
      </c>
      <c r="AC51" s="86">
        <v>0</v>
      </c>
      <c r="AD51" s="89">
        <v>0</v>
      </c>
      <c r="AE51" s="88">
        <v>0</v>
      </c>
      <c r="AF51" s="88">
        <v>0</v>
      </c>
      <c r="AG51" s="88">
        <v>0</v>
      </c>
      <c r="AH51" s="88">
        <v>0</v>
      </c>
      <c r="AI51" s="88">
        <v>0</v>
      </c>
      <c r="AJ51" s="115"/>
      <c r="AK51" s="87">
        <v>0</v>
      </c>
      <c r="AL51" s="87">
        <v>0</v>
      </c>
      <c r="AM51" s="91">
        <f t="shared" si="21"/>
        <v>0</v>
      </c>
      <c r="AN51" s="87">
        <f>+AK51+AL51</f>
        <v>0</v>
      </c>
      <c r="AO51" s="92">
        <f t="shared" si="1"/>
        <v>0</v>
      </c>
      <c r="AP51" s="132" t="s">
        <v>144</v>
      </c>
      <c r="AQ51" s="132"/>
      <c r="AR51" s="133"/>
      <c r="AS51" s="193"/>
      <c r="AT51" s="139"/>
    </row>
    <row r="52" spans="1:46" ht="12.75" hidden="1" customHeight="1" thickBot="1" x14ac:dyDescent="0.3">
      <c r="A52" s="47" t="s">
        <v>178</v>
      </c>
      <c r="B52" s="75" t="s">
        <v>151</v>
      </c>
      <c r="C52" s="76"/>
      <c r="D52" s="163" t="s">
        <v>151</v>
      </c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70"/>
      <c r="R52" s="170"/>
      <c r="S52" s="171"/>
      <c r="T52" s="171"/>
      <c r="U52" s="171">
        <v>0</v>
      </c>
      <c r="V52" s="171">
        <v>0</v>
      </c>
      <c r="W52" s="79">
        <v>0</v>
      </c>
      <c r="X52" s="79">
        <v>0</v>
      </c>
      <c r="Y52" s="79">
        <v>0</v>
      </c>
      <c r="Z52" s="79">
        <v>696.2</v>
      </c>
      <c r="AA52" s="79">
        <v>0</v>
      </c>
      <c r="AB52" s="79">
        <v>0</v>
      </c>
      <c r="AC52" s="79">
        <v>0</v>
      </c>
      <c r="AD52" s="79">
        <v>0</v>
      </c>
      <c r="AE52" s="79">
        <v>0</v>
      </c>
      <c r="AF52" s="79">
        <v>0</v>
      </c>
      <c r="AG52" s="79">
        <v>0</v>
      </c>
      <c r="AH52" s="79">
        <v>0</v>
      </c>
      <c r="AI52" s="80">
        <v>0</v>
      </c>
      <c r="AJ52" s="82"/>
      <c r="AK52" s="79">
        <v>0</v>
      </c>
      <c r="AL52" s="79">
        <v>0</v>
      </c>
      <c r="AM52" s="83">
        <f>IFERROR(AL52/AJ52,0)</f>
        <v>0</v>
      </c>
      <c r="AN52" s="79">
        <f>+AK52+AL52</f>
        <v>0</v>
      </c>
      <c r="AO52" s="84">
        <f>IFERROR(+AN52/AJ52,0)</f>
        <v>0</v>
      </c>
      <c r="AP52" s="49" t="s">
        <v>153</v>
      </c>
    </row>
    <row r="53" spans="1:46" ht="12.75" hidden="1" customHeight="1" x14ac:dyDescent="0.25">
      <c r="A53" s="47" t="s">
        <v>178</v>
      </c>
      <c r="B53" s="64" t="s">
        <v>143</v>
      </c>
      <c r="C53" s="65" t="s">
        <v>154</v>
      </c>
      <c r="D53" s="167" t="s">
        <v>155</v>
      </c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8"/>
      <c r="R53" s="168"/>
      <c r="S53" s="169"/>
      <c r="T53" s="169"/>
      <c r="U53" s="169">
        <v>0</v>
      </c>
      <c r="V53" s="169">
        <v>0</v>
      </c>
      <c r="W53" s="87">
        <v>0</v>
      </c>
      <c r="X53" s="87">
        <v>0</v>
      </c>
      <c r="Y53" s="87">
        <v>0</v>
      </c>
      <c r="Z53" s="87">
        <v>0</v>
      </c>
      <c r="AA53" s="87">
        <v>0</v>
      </c>
      <c r="AB53" s="87">
        <v>0</v>
      </c>
      <c r="AC53" s="87">
        <v>0</v>
      </c>
      <c r="AD53" s="87">
        <v>0</v>
      </c>
      <c r="AE53" s="87">
        <v>0</v>
      </c>
      <c r="AF53" s="87">
        <v>0</v>
      </c>
      <c r="AG53" s="87">
        <v>0</v>
      </c>
      <c r="AH53" s="87">
        <v>0</v>
      </c>
      <c r="AI53" s="88">
        <v>0</v>
      </c>
      <c r="AJ53" s="90"/>
      <c r="AK53" s="87">
        <v>0</v>
      </c>
      <c r="AL53" s="87">
        <v>0</v>
      </c>
      <c r="AM53" s="91">
        <f t="shared" si="21"/>
        <v>0</v>
      </c>
      <c r="AN53" s="87">
        <f>+AK53+AL53</f>
        <v>0</v>
      </c>
      <c r="AO53" s="92">
        <f t="shared" si="1"/>
        <v>0</v>
      </c>
      <c r="AP53" s="50" t="s">
        <v>154</v>
      </c>
      <c r="AQ53" s="50"/>
    </row>
    <row r="54" spans="1:46" ht="12.75" hidden="1" customHeight="1" x14ac:dyDescent="0.25">
      <c r="A54" s="47" t="s">
        <v>178</v>
      </c>
      <c r="B54" s="75" t="s">
        <v>143</v>
      </c>
      <c r="C54" s="76"/>
      <c r="D54" s="163" t="s">
        <v>149</v>
      </c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70"/>
      <c r="R54" s="170"/>
      <c r="S54" s="171"/>
      <c r="T54" s="171"/>
      <c r="U54" s="171">
        <v>0</v>
      </c>
      <c r="V54" s="171">
        <v>0</v>
      </c>
      <c r="W54" s="79">
        <v>0</v>
      </c>
      <c r="X54" s="79">
        <v>0</v>
      </c>
      <c r="Y54" s="79">
        <v>0</v>
      </c>
      <c r="Z54" s="79">
        <v>0</v>
      </c>
      <c r="AA54" s="79">
        <v>0</v>
      </c>
      <c r="AB54" s="79">
        <v>0</v>
      </c>
      <c r="AC54" s="79">
        <v>0</v>
      </c>
      <c r="AD54" s="79">
        <v>0</v>
      </c>
      <c r="AE54" s="79">
        <v>0</v>
      </c>
      <c r="AF54" s="79">
        <v>0</v>
      </c>
      <c r="AG54" s="79">
        <v>0</v>
      </c>
      <c r="AH54" s="79">
        <v>0</v>
      </c>
      <c r="AI54" s="80">
        <v>0</v>
      </c>
      <c r="AJ54" s="82"/>
      <c r="AK54" s="79">
        <v>0</v>
      </c>
      <c r="AL54" s="79">
        <v>0</v>
      </c>
      <c r="AM54" s="83">
        <f t="shared" si="21"/>
        <v>0</v>
      </c>
      <c r="AN54" s="79">
        <f t="shared" si="17"/>
        <v>0</v>
      </c>
      <c r="AO54" s="84">
        <f t="shared" si="1"/>
        <v>0</v>
      </c>
      <c r="AP54" s="49" t="s">
        <v>156</v>
      </c>
    </row>
    <row r="55" spans="1:46" ht="12.75" hidden="1" customHeight="1" thickBot="1" x14ac:dyDescent="0.3">
      <c r="A55" s="47" t="s">
        <v>178</v>
      </c>
      <c r="B55" s="64" t="s">
        <v>143</v>
      </c>
      <c r="C55" s="65"/>
      <c r="D55" s="167" t="s">
        <v>157</v>
      </c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8"/>
      <c r="R55" s="168"/>
      <c r="S55" s="169"/>
      <c r="T55" s="169"/>
      <c r="U55" s="169"/>
      <c r="V55" s="169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8"/>
      <c r="AJ55" s="90"/>
      <c r="AK55" s="87"/>
      <c r="AL55" s="87"/>
      <c r="AM55" s="91"/>
      <c r="AN55" s="87"/>
      <c r="AO55" s="92"/>
      <c r="AP55" s="50"/>
      <c r="AQ55" s="50"/>
    </row>
    <row r="56" spans="1:46" ht="12.75" hidden="1" customHeight="1" thickBot="1" x14ac:dyDescent="0.3">
      <c r="A56" s="47" t="s">
        <v>178</v>
      </c>
      <c r="B56" s="173"/>
      <c r="C56" s="174"/>
      <c r="D56" s="152" t="s">
        <v>158</v>
      </c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O56" s="152"/>
      <c r="P56" s="152"/>
      <c r="Q56" s="155"/>
      <c r="R56" s="155"/>
      <c r="S56" s="155"/>
      <c r="T56" s="155"/>
      <c r="U56" s="155">
        <v>37.341000000000001</v>
      </c>
      <c r="V56" s="155">
        <v>361.59699999999998</v>
      </c>
      <c r="W56" s="175">
        <v>21.84</v>
      </c>
      <c r="X56" s="175">
        <v>309.11200000000002</v>
      </c>
      <c r="Y56" s="175">
        <v>42.738</v>
      </c>
      <c r="Z56" s="175">
        <v>1056.1370000000002</v>
      </c>
      <c r="AA56" s="175">
        <v>467.15999999999997</v>
      </c>
      <c r="AB56" s="175">
        <v>985.43399999999997</v>
      </c>
      <c r="AC56" s="175">
        <v>85.960000000000008</v>
      </c>
      <c r="AD56" s="175">
        <v>197.64</v>
      </c>
      <c r="AE56" s="175">
        <v>64.322000000000003</v>
      </c>
      <c r="AF56" s="175">
        <v>120</v>
      </c>
      <c r="AG56" s="175">
        <v>756</v>
      </c>
      <c r="AH56" s="175">
        <v>80</v>
      </c>
      <c r="AI56" s="176">
        <v>94.9</v>
      </c>
      <c r="AJ56" s="177">
        <v>0</v>
      </c>
      <c r="AK56" s="175">
        <f>+AK47+SUM(AK48:AK55)</f>
        <v>0</v>
      </c>
      <c r="AL56" s="175">
        <f>SUM(AL47:AL55)</f>
        <v>0</v>
      </c>
      <c r="AM56" s="178">
        <f t="shared" si="21"/>
        <v>0</v>
      </c>
      <c r="AN56" s="175">
        <f>+AK56+AL56</f>
        <v>0</v>
      </c>
      <c r="AO56" s="179">
        <f>IFERROR(+AN56/AJ56,0)</f>
        <v>0</v>
      </c>
      <c r="AP56" s="50"/>
      <c r="AQ56" s="50"/>
    </row>
    <row r="57" spans="1:46" x14ac:dyDescent="0.25">
      <c r="A57" s="47" t="s">
        <v>174</v>
      </c>
      <c r="B57" s="47"/>
      <c r="C57" s="47"/>
      <c r="D57" s="180" t="s">
        <v>164</v>
      </c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95"/>
      <c r="AK57" s="196">
        <v>0</v>
      </c>
      <c r="AL57" s="196">
        <v>0</v>
      </c>
      <c r="AM57" s="197"/>
      <c r="AO57" s="198"/>
    </row>
    <row r="58" spans="1:46" x14ac:dyDescent="0.25">
      <c r="A58" s="47" t="s">
        <v>174</v>
      </c>
      <c r="B58" s="185"/>
      <c r="C58" s="185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</row>
    <row r="112" spans="2:3" x14ac:dyDescent="0.25">
      <c r="B112" s="187"/>
      <c r="C112" s="187"/>
    </row>
    <row r="122" spans="2:3" x14ac:dyDescent="0.25">
      <c r="B122" s="187"/>
      <c r="C122" s="18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HG</vt:lpstr>
      <vt:lpstr>SCH</vt:lpstr>
      <vt:lpstr>UNT</vt:lpstr>
      <vt:lpstr>RB</vt:lpstr>
      <vt:lpstr>SJ</vt:lpstr>
      <vt:lpstr>GRASA</vt:lpstr>
      <vt:lpstr>PICADA</vt:lpstr>
      <vt:lpstr>PAPAS</vt:lpstr>
      <vt:lpstr>ATUN</vt:lpstr>
      <vt:lpstr>CHORIZOS</vt:lpstr>
      <vt:lpstr>CORTES PORC</vt:lpstr>
    </vt:vector>
  </TitlesOfParts>
  <Company>Swift Argentina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Aicardi</dc:creator>
  <cp:lastModifiedBy>Pablo Aicardi</cp:lastModifiedBy>
  <dcterms:created xsi:type="dcterms:W3CDTF">2026-02-24T11:40:27Z</dcterms:created>
  <dcterms:modified xsi:type="dcterms:W3CDTF">2026-02-24T11:40:41Z</dcterms:modified>
</cp:coreProperties>
</file>