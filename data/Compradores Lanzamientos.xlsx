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ablo.aicardi\Desktop\BI\FEBRERO '26\2402\Envios\"/>
    </mc:Choice>
  </mc:AlternateContent>
  <xr:revisionPtr revIDLastSave="0" documentId="8_{B55CB19E-9E40-4FFA-A72D-D9419C3DCD1B}" xr6:coauthVersionLast="47" xr6:coauthVersionMax="47" xr10:uidLastSave="{00000000-0000-0000-0000-000000000000}"/>
  <bookViews>
    <workbookView xWindow="-110" yWindow="-110" windowWidth="19420" windowHeight="10300" xr2:uid="{4A1A72B8-0F96-4F63-A426-D3A2FB3FF15F}"/>
  </bookViews>
  <sheets>
    <sheet name="DINAMICA ENERO 26" sheetId="1" r:id="rId1"/>
    <sheet name="Chorizos" sheetId="2" r:id="rId2"/>
    <sheet name="Papas" sheetId="3" r:id="rId3"/>
    <sheet name="Veggies" sheetId="4" r:id="rId4"/>
    <sheet name="Untables" sheetId="5" r:id="rId5"/>
    <sheet name="ATUN" sheetId="6" r:id="rId6"/>
    <sheet name="RB (Kids+Crunchies)" sheetId="7" r:id="rId7"/>
    <sheet name="RB (Milanesitas)" sheetId="8" r:id="rId8"/>
  </sheets>
  <definedNames>
    <definedName name="_xlnm._FilterDatabase" localSheetId="5" hidden="1">ATUN!$A$2:$AP$366</definedName>
    <definedName name="_xlnm._FilterDatabase" localSheetId="1" hidden="1">Chorizos!$A$2:$W$366</definedName>
    <definedName name="_xlnm._FilterDatabase" localSheetId="0" hidden="1">'DINAMICA ENERO 26'!$B$4:$I$41</definedName>
    <definedName name="_xlnm._FilterDatabase" localSheetId="2" hidden="1">Papas!$A$2:$V$366</definedName>
    <definedName name="_xlnm._FilterDatabase" localSheetId="6" hidden="1">'RB (Kids+Crunchies)'!$A$2:$AP$366</definedName>
    <definedName name="_xlnm._FilterDatabase" localSheetId="7" hidden="1">'RB (Milanesitas)'!$A$2:$S$366</definedName>
    <definedName name="_xlnm._FilterDatabase" localSheetId="4" hidden="1">Untables!$A$2:$AP$366</definedName>
    <definedName name="_xlnm._FilterDatabase" localSheetId="3" hidden="1">Veggies!$A$2:$Y$366</definedName>
  </definedNames>
  <calcPr calcId="191029"/>
  <pivotCaches>
    <pivotCache cacheId="34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66" i="8" l="1"/>
  <c r="R366" i="8" s="1"/>
  <c r="N366" i="8"/>
  <c r="Q365" i="8"/>
  <c r="R365" i="8" s="1"/>
  <c r="N365" i="8"/>
  <c r="Q364" i="8"/>
  <c r="R364" i="8" s="1"/>
  <c r="N364" i="8"/>
  <c r="Q363" i="8"/>
  <c r="R363" i="8" s="1"/>
  <c r="N363" i="8"/>
  <c r="Q362" i="8"/>
  <c r="R362" i="8" s="1"/>
  <c r="N362" i="8"/>
  <c r="Q361" i="8"/>
  <c r="R361" i="8" s="1"/>
  <c r="N361" i="8"/>
  <c r="Q360" i="8"/>
  <c r="R360" i="8" s="1"/>
  <c r="N360" i="8"/>
  <c r="Q359" i="8"/>
  <c r="R359" i="8" s="1"/>
  <c r="N359" i="8"/>
  <c r="Q358" i="8"/>
  <c r="R358" i="8" s="1"/>
  <c r="N358" i="8"/>
  <c r="Q357" i="8"/>
  <c r="R357" i="8" s="1"/>
  <c r="N357" i="8"/>
  <c r="Q356" i="8"/>
  <c r="R356" i="8" s="1"/>
  <c r="N356" i="8"/>
  <c r="Q355" i="8"/>
  <c r="R355" i="8" s="1"/>
  <c r="N355" i="8"/>
  <c r="Q354" i="8"/>
  <c r="R354" i="8" s="1"/>
  <c r="N354" i="8"/>
  <c r="Q353" i="8"/>
  <c r="R353" i="8" s="1"/>
  <c r="N353" i="8"/>
  <c r="Q352" i="8"/>
  <c r="R352" i="8" s="1"/>
  <c r="N352" i="8"/>
  <c r="Q351" i="8"/>
  <c r="R351" i="8" s="1"/>
  <c r="N351" i="8"/>
  <c r="Q350" i="8"/>
  <c r="R350" i="8" s="1"/>
  <c r="N350" i="8"/>
  <c r="Q349" i="8"/>
  <c r="R349" i="8" s="1"/>
  <c r="N349" i="8"/>
  <c r="Q348" i="8"/>
  <c r="R348" i="8" s="1"/>
  <c r="N348" i="8"/>
  <c r="Q347" i="8"/>
  <c r="R347" i="8" s="1"/>
  <c r="N347" i="8"/>
  <c r="Q346" i="8"/>
  <c r="R346" i="8" s="1"/>
  <c r="N346" i="8"/>
  <c r="Q345" i="8"/>
  <c r="R345" i="8" s="1"/>
  <c r="N345" i="8"/>
  <c r="Q344" i="8"/>
  <c r="R344" i="8" s="1"/>
  <c r="N344" i="8"/>
  <c r="Q343" i="8"/>
  <c r="R343" i="8" s="1"/>
  <c r="N343" i="8"/>
  <c r="Q342" i="8"/>
  <c r="R342" i="8" s="1"/>
  <c r="N342" i="8"/>
  <c r="Q341" i="8"/>
  <c r="R341" i="8" s="1"/>
  <c r="N341" i="8"/>
  <c r="Q340" i="8"/>
  <c r="R340" i="8" s="1"/>
  <c r="N340" i="8"/>
  <c r="Q339" i="8"/>
  <c r="R339" i="8" s="1"/>
  <c r="N339" i="8"/>
  <c r="Q338" i="8"/>
  <c r="R338" i="8" s="1"/>
  <c r="N338" i="8"/>
  <c r="Q337" i="8"/>
  <c r="R337" i="8" s="1"/>
  <c r="N337" i="8"/>
  <c r="Q336" i="8"/>
  <c r="R336" i="8" s="1"/>
  <c r="N336" i="8"/>
  <c r="Q335" i="8"/>
  <c r="R335" i="8" s="1"/>
  <c r="N335" i="8"/>
  <c r="Q334" i="8"/>
  <c r="R334" i="8" s="1"/>
  <c r="N334" i="8"/>
  <c r="Q333" i="8"/>
  <c r="R333" i="8" s="1"/>
  <c r="N333" i="8"/>
  <c r="Q332" i="8"/>
  <c r="R332" i="8" s="1"/>
  <c r="N332" i="8"/>
  <c r="Q331" i="8"/>
  <c r="R331" i="8" s="1"/>
  <c r="N331" i="8"/>
  <c r="Q330" i="8"/>
  <c r="R330" i="8" s="1"/>
  <c r="N330" i="8"/>
  <c r="Q329" i="8"/>
  <c r="R329" i="8" s="1"/>
  <c r="N329" i="8"/>
  <c r="Q328" i="8"/>
  <c r="R328" i="8" s="1"/>
  <c r="N328" i="8"/>
  <c r="Q327" i="8"/>
  <c r="R327" i="8" s="1"/>
  <c r="N327" i="8"/>
  <c r="Q326" i="8"/>
  <c r="R326" i="8" s="1"/>
  <c r="N326" i="8"/>
  <c r="Q325" i="8"/>
  <c r="R325" i="8" s="1"/>
  <c r="N325" i="8"/>
  <c r="Q324" i="8"/>
  <c r="R324" i="8" s="1"/>
  <c r="N324" i="8"/>
  <c r="R323" i="8"/>
  <c r="Q323" i="8"/>
  <c r="N323" i="8"/>
  <c r="Q322" i="8"/>
  <c r="R322" i="8" s="1"/>
  <c r="N322" i="8"/>
  <c r="Q321" i="8"/>
  <c r="R321" i="8" s="1"/>
  <c r="N321" i="8"/>
  <c r="Q320" i="8"/>
  <c r="R320" i="8" s="1"/>
  <c r="N320" i="8"/>
  <c r="Q319" i="8"/>
  <c r="R319" i="8" s="1"/>
  <c r="N319" i="8"/>
  <c r="Q318" i="8"/>
  <c r="R318" i="8" s="1"/>
  <c r="N318" i="8"/>
  <c r="Q317" i="8"/>
  <c r="R317" i="8" s="1"/>
  <c r="N317" i="8"/>
  <c r="Q316" i="8"/>
  <c r="R316" i="8" s="1"/>
  <c r="N316" i="8"/>
  <c r="Q315" i="8"/>
  <c r="R315" i="8" s="1"/>
  <c r="N315" i="8"/>
  <c r="Q314" i="8"/>
  <c r="R314" i="8" s="1"/>
  <c r="N314" i="8"/>
  <c r="Q313" i="8"/>
  <c r="R313" i="8" s="1"/>
  <c r="N313" i="8"/>
  <c r="Q312" i="8"/>
  <c r="R312" i="8" s="1"/>
  <c r="N312" i="8"/>
  <c r="R311" i="8"/>
  <c r="Q311" i="8"/>
  <c r="N311" i="8"/>
  <c r="Q310" i="8"/>
  <c r="R310" i="8" s="1"/>
  <c r="N310" i="8"/>
  <c r="Q309" i="8"/>
  <c r="R309" i="8" s="1"/>
  <c r="N309" i="8"/>
  <c r="Q308" i="8"/>
  <c r="R308" i="8" s="1"/>
  <c r="N308" i="8"/>
  <c r="Q307" i="8"/>
  <c r="R307" i="8" s="1"/>
  <c r="N307" i="8"/>
  <c r="Q306" i="8"/>
  <c r="R306" i="8" s="1"/>
  <c r="N306" i="8"/>
  <c r="Q305" i="8"/>
  <c r="R305" i="8" s="1"/>
  <c r="N305" i="8"/>
  <c r="Q304" i="8"/>
  <c r="R304" i="8" s="1"/>
  <c r="N304" i="8"/>
  <c r="Q303" i="8"/>
  <c r="R303" i="8" s="1"/>
  <c r="N303" i="8"/>
  <c r="Q302" i="8"/>
  <c r="R302" i="8" s="1"/>
  <c r="N302" i="8"/>
  <c r="Q301" i="8"/>
  <c r="R301" i="8" s="1"/>
  <c r="N301" i="8"/>
  <c r="Q300" i="8"/>
  <c r="R300" i="8" s="1"/>
  <c r="N300" i="8"/>
  <c r="R299" i="8"/>
  <c r="Q299" i="8"/>
  <c r="N299" i="8"/>
  <c r="Q298" i="8"/>
  <c r="R298" i="8" s="1"/>
  <c r="N298" i="8"/>
  <c r="Q297" i="8"/>
  <c r="R297" i="8" s="1"/>
  <c r="N297" i="8"/>
  <c r="Q296" i="8"/>
  <c r="R296" i="8" s="1"/>
  <c r="N296" i="8"/>
  <c r="Q295" i="8"/>
  <c r="R295" i="8" s="1"/>
  <c r="N295" i="8"/>
  <c r="Q294" i="8"/>
  <c r="R294" i="8" s="1"/>
  <c r="N294" i="8"/>
  <c r="Q293" i="8"/>
  <c r="R293" i="8" s="1"/>
  <c r="N293" i="8"/>
  <c r="Q292" i="8"/>
  <c r="R292" i="8" s="1"/>
  <c r="N292" i="8"/>
  <c r="Q291" i="8"/>
  <c r="R291" i="8" s="1"/>
  <c r="N291" i="8"/>
  <c r="Q290" i="8"/>
  <c r="R290" i="8" s="1"/>
  <c r="N290" i="8"/>
  <c r="Q289" i="8"/>
  <c r="R289" i="8" s="1"/>
  <c r="N289" i="8"/>
  <c r="Q288" i="8"/>
  <c r="R288" i="8" s="1"/>
  <c r="N288" i="8"/>
  <c r="R287" i="8"/>
  <c r="Q287" i="8"/>
  <c r="N287" i="8"/>
  <c r="Q286" i="8"/>
  <c r="R286" i="8" s="1"/>
  <c r="N286" i="8"/>
  <c r="Q285" i="8"/>
  <c r="R285" i="8" s="1"/>
  <c r="N285" i="8"/>
  <c r="Q284" i="8"/>
  <c r="R284" i="8" s="1"/>
  <c r="N284" i="8"/>
  <c r="Q283" i="8"/>
  <c r="R283" i="8" s="1"/>
  <c r="N283" i="8"/>
  <c r="Q282" i="8"/>
  <c r="R282" i="8" s="1"/>
  <c r="N282" i="8"/>
  <c r="Q281" i="8"/>
  <c r="R281" i="8" s="1"/>
  <c r="N281" i="8"/>
  <c r="Q280" i="8"/>
  <c r="R280" i="8" s="1"/>
  <c r="N280" i="8"/>
  <c r="Q279" i="8"/>
  <c r="R279" i="8" s="1"/>
  <c r="N279" i="8"/>
  <c r="Q278" i="8"/>
  <c r="R278" i="8" s="1"/>
  <c r="N278" i="8"/>
  <c r="Q277" i="8"/>
  <c r="R277" i="8" s="1"/>
  <c r="N277" i="8"/>
  <c r="Q276" i="8"/>
  <c r="R276" i="8" s="1"/>
  <c r="N276" i="8"/>
  <c r="R275" i="8"/>
  <c r="Q275" i="8"/>
  <c r="N275" i="8"/>
  <c r="Q274" i="8"/>
  <c r="R274" i="8" s="1"/>
  <c r="N274" i="8"/>
  <c r="Q273" i="8"/>
  <c r="R273" i="8" s="1"/>
  <c r="N273" i="8"/>
  <c r="Q272" i="8"/>
  <c r="R272" i="8" s="1"/>
  <c r="N272" i="8"/>
  <c r="Q271" i="8"/>
  <c r="R271" i="8" s="1"/>
  <c r="N271" i="8"/>
  <c r="Q270" i="8"/>
  <c r="R270" i="8" s="1"/>
  <c r="N270" i="8"/>
  <c r="Q269" i="8"/>
  <c r="R269" i="8" s="1"/>
  <c r="N269" i="8"/>
  <c r="Q268" i="8"/>
  <c r="R268" i="8" s="1"/>
  <c r="N268" i="8"/>
  <c r="Q267" i="8"/>
  <c r="N267" i="8"/>
  <c r="R267" i="8" s="1"/>
  <c r="Q266" i="8"/>
  <c r="R266" i="8" s="1"/>
  <c r="N266" i="8"/>
  <c r="Q265" i="8"/>
  <c r="R265" i="8" s="1"/>
  <c r="N265" i="8"/>
  <c r="Q264" i="8"/>
  <c r="R264" i="8" s="1"/>
  <c r="N264" i="8"/>
  <c r="R263" i="8"/>
  <c r="Q263" i="8"/>
  <c r="N263" i="8"/>
  <c r="Q262" i="8"/>
  <c r="R262" i="8" s="1"/>
  <c r="N262" i="8"/>
  <c r="Q261" i="8"/>
  <c r="R261" i="8" s="1"/>
  <c r="N261" i="8"/>
  <c r="Q260" i="8"/>
  <c r="R260" i="8" s="1"/>
  <c r="N260" i="8"/>
  <c r="Q259" i="8"/>
  <c r="R259" i="8" s="1"/>
  <c r="N259" i="8"/>
  <c r="Q258" i="8"/>
  <c r="R258" i="8" s="1"/>
  <c r="N258" i="8"/>
  <c r="Q257" i="8"/>
  <c r="R257" i="8" s="1"/>
  <c r="N257" i="8"/>
  <c r="Q256" i="8"/>
  <c r="R256" i="8" s="1"/>
  <c r="N256" i="8"/>
  <c r="R255" i="8"/>
  <c r="Q255" i="8"/>
  <c r="N255" i="8"/>
  <c r="Q254" i="8"/>
  <c r="R254" i="8" s="1"/>
  <c r="N254" i="8"/>
  <c r="Q253" i="8"/>
  <c r="R253" i="8" s="1"/>
  <c r="N253" i="8"/>
  <c r="Q252" i="8"/>
  <c r="R252" i="8" s="1"/>
  <c r="N252" i="8"/>
  <c r="R251" i="8"/>
  <c r="Q251" i="8"/>
  <c r="N251" i="8"/>
  <c r="Q250" i="8"/>
  <c r="R250" i="8" s="1"/>
  <c r="N250" i="8"/>
  <c r="Q249" i="8"/>
  <c r="R249" i="8" s="1"/>
  <c r="N249" i="8"/>
  <c r="Q248" i="8"/>
  <c r="R248" i="8" s="1"/>
  <c r="N248" i="8"/>
  <c r="Q247" i="8"/>
  <c r="R247" i="8" s="1"/>
  <c r="N247" i="8"/>
  <c r="Q246" i="8"/>
  <c r="R246" i="8" s="1"/>
  <c r="N246" i="8"/>
  <c r="Q245" i="8"/>
  <c r="R245" i="8" s="1"/>
  <c r="N245" i="8"/>
  <c r="Q244" i="8"/>
  <c r="R244" i="8" s="1"/>
  <c r="N244" i="8"/>
  <c r="Q243" i="8"/>
  <c r="R243" i="8" s="1"/>
  <c r="N243" i="8"/>
  <c r="Q242" i="8"/>
  <c r="R242" i="8" s="1"/>
  <c r="N242" i="8"/>
  <c r="Q241" i="8"/>
  <c r="R241" i="8" s="1"/>
  <c r="N241" i="8"/>
  <c r="Q240" i="8"/>
  <c r="R240" i="8" s="1"/>
  <c r="N240" i="8"/>
  <c r="R239" i="8"/>
  <c r="Q239" i="8"/>
  <c r="N239" i="8"/>
  <c r="Q238" i="8"/>
  <c r="R238" i="8" s="1"/>
  <c r="N238" i="8"/>
  <c r="Q237" i="8"/>
  <c r="R237" i="8" s="1"/>
  <c r="N237" i="8"/>
  <c r="Q236" i="8"/>
  <c r="R236" i="8" s="1"/>
  <c r="N236" i="8"/>
  <c r="Q235" i="8"/>
  <c r="R235" i="8" s="1"/>
  <c r="N235" i="8"/>
  <c r="Q234" i="8"/>
  <c r="R234" i="8" s="1"/>
  <c r="N234" i="8"/>
  <c r="Q233" i="8"/>
  <c r="R233" i="8" s="1"/>
  <c r="N233" i="8"/>
  <c r="Q232" i="8"/>
  <c r="R232" i="8" s="1"/>
  <c r="N232" i="8"/>
  <c r="Q231" i="8"/>
  <c r="N231" i="8"/>
  <c r="R231" i="8" s="1"/>
  <c r="Q230" i="8"/>
  <c r="R230" i="8" s="1"/>
  <c r="N230" i="8"/>
  <c r="Q229" i="8"/>
  <c r="R229" i="8" s="1"/>
  <c r="N229" i="8"/>
  <c r="Q228" i="8"/>
  <c r="R228" i="8" s="1"/>
  <c r="N228" i="8"/>
  <c r="R227" i="8"/>
  <c r="Q227" i="8"/>
  <c r="N227" i="8"/>
  <c r="Q226" i="8"/>
  <c r="R226" i="8" s="1"/>
  <c r="N226" i="8"/>
  <c r="Q225" i="8"/>
  <c r="R225" i="8" s="1"/>
  <c r="N225" i="8"/>
  <c r="Q224" i="8"/>
  <c r="R224" i="8" s="1"/>
  <c r="N224" i="8"/>
  <c r="Q223" i="8"/>
  <c r="R223" i="8" s="1"/>
  <c r="N223" i="8"/>
  <c r="Q222" i="8"/>
  <c r="R222" i="8" s="1"/>
  <c r="N222" i="8"/>
  <c r="Q221" i="8"/>
  <c r="R221" i="8" s="1"/>
  <c r="N221" i="8"/>
  <c r="Q220" i="8"/>
  <c r="R220" i="8" s="1"/>
  <c r="N220" i="8"/>
  <c r="Q219" i="8"/>
  <c r="N219" i="8"/>
  <c r="R219" i="8" s="1"/>
  <c r="Q218" i="8"/>
  <c r="R218" i="8" s="1"/>
  <c r="N218" i="8"/>
  <c r="Q217" i="8"/>
  <c r="R217" i="8" s="1"/>
  <c r="N217" i="8"/>
  <c r="Q216" i="8"/>
  <c r="R216" i="8" s="1"/>
  <c r="N216" i="8"/>
  <c r="R215" i="8"/>
  <c r="Q215" i="8"/>
  <c r="N215" i="8"/>
  <c r="Q214" i="8"/>
  <c r="R214" i="8" s="1"/>
  <c r="N214" i="8"/>
  <c r="Q213" i="8"/>
  <c r="R213" i="8" s="1"/>
  <c r="N213" i="8"/>
  <c r="Q212" i="8"/>
  <c r="R212" i="8" s="1"/>
  <c r="N212" i="8"/>
  <c r="Q211" i="8"/>
  <c r="R211" i="8" s="1"/>
  <c r="N211" i="8"/>
  <c r="Q210" i="8"/>
  <c r="R210" i="8" s="1"/>
  <c r="N210" i="8"/>
  <c r="Q209" i="8"/>
  <c r="R209" i="8" s="1"/>
  <c r="N209" i="8"/>
  <c r="Q208" i="8"/>
  <c r="R208" i="8" s="1"/>
  <c r="N208" i="8"/>
  <c r="Q207" i="8"/>
  <c r="N207" i="8"/>
  <c r="R207" i="8" s="1"/>
  <c r="Q206" i="8"/>
  <c r="R206" i="8" s="1"/>
  <c r="N206" i="8"/>
  <c r="Q205" i="8"/>
  <c r="R205" i="8" s="1"/>
  <c r="N205" i="8"/>
  <c r="Q204" i="8"/>
  <c r="R204" i="8" s="1"/>
  <c r="N204" i="8"/>
  <c r="R203" i="8"/>
  <c r="Q203" i="8"/>
  <c r="N203" i="8"/>
  <c r="Q202" i="8"/>
  <c r="R202" i="8" s="1"/>
  <c r="N202" i="8"/>
  <c r="Q201" i="8"/>
  <c r="R201" i="8" s="1"/>
  <c r="N201" i="8"/>
  <c r="Q200" i="8"/>
  <c r="R200" i="8" s="1"/>
  <c r="N200" i="8"/>
  <c r="Q199" i="8"/>
  <c r="R199" i="8" s="1"/>
  <c r="N199" i="8"/>
  <c r="Q198" i="8"/>
  <c r="R198" i="8" s="1"/>
  <c r="N198" i="8"/>
  <c r="Q197" i="8"/>
  <c r="R197" i="8" s="1"/>
  <c r="N197" i="8"/>
  <c r="Q196" i="8"/>
  <c r="R196" i="8" s="1"/>
  <c r="N196" i="8"/>
  <c r="Q195" i="8"/>
  <c r="N195" i="8"/>
  <c r="R195" i="8" s="1"/>
  <c r="Q194" i="8"/>
  <c r="R194" i="8" s="1"/>
  <c r="N194" i="8"/>
  <c r="Q193" i="8"/>
  <c r="R193" i="8" s="1"/>
  <c r="N193" i="8"/>
  <c r="Q192" i="8"/>
  <c r="R192" i="8" s="1"/>
  <c r="N192" i="8"/>
  <c r="R191" i="8"/>
  <c r="Q191" i="8"/>
  <c r="N191" i="8"/>
  <c r="Q190" i="8"/>
  <c r="R190" i="8" s="1"/>
  <c r="N190" i="8"/>
  <c r="Q189" i="8"/>
  <c r="R189" i="8" s="1"/>
  <c r="N189" i="8"/>
  <c r="Q188" i="8"/>
  <c r="R188" i="8" s="1"/>
  <c r="N188" i="8"/>
  <c r="Q187" i="8"/>
  <c r="R187" i="8" s="1"/>
  <c r="N187" i="8"/>
  <c r="Q186" i="8"/>
  <c r="R186" i="8" s="1"/>
  <c r="N186" i="8"/>
  <c r="Q185" i="8"/>
  <c r="R185" i="8" s="1"/>
  <c r="N185" i="8"/>
  <c r="Q184" i="8"/>
  <c r="R184" i="8" s="1"/>
  <c r="N184" i="8"/>
  <c r="Q183" i="8"/>
  <c r="N183" i="8"/>
  <c r="R183" i="8" s="1"/>
  <c r="Q182" i="8"/>
  <c r="R182" i="8" s="1"/>
  <c r="N182" i="8"/>
  <c r="Q181" i="8"/>
  <c r="R181" i="8" s="1"/>
  <c r="N181" i="8"/>
  <c r="Q180" i="8"/>
  <c r="R180" i="8" s="1"/>
  <c r="N180" i="8"/>
  <c r="R179" i="8"/>
  <c r="Q179" i="8"/>
  <c r="N179" i="8"/>
  <c r="Q178" i="8"/>
  <c r="R178" i="8" s="1"/>
  <c r="N178" i="8"/>
  <c r="Q177" i="8"/>
  <c r="R177" i="8" s="1"/>
  <c r="N177" i="8"/>
  <c r="Q176" i="8"/>
  <c r="R176" i="8" s="1"/>
  <c r="N176" i="8"/>
  <c r="Q175" i="8"/>
  <c r="R175" i="8" s="1"/>
  <c r="N175" i="8"/>
  <c r="Q174" i="8"/>
  <c r="R174" i="8" s="1"/>
  <c r="N174" i="8"/>
  <c r="Q173" i="8"/>
  <c r="R173" i="8" s="1"/>
  <c r="N173" i="8"/>
  <c r="Q172" i="8"/>
  <c r="R172" i="8" s="1"/>
  <c r="N172" i="8"/>
  <c r="Q171" i="8"/>
  <c r="N171" i="8"/>
  <c r="R171" i="8" s="1"/>
  <c r="Q170" i="8"/>
  <c r="R170" i="8" s="1"/>
  <c r="N170" i="8"/>
  <c r="Q169" i="8"/>
  <c r="R169" i="8" s="1"/>
  <c r="N169" i="8"/>
  <c r="Q168" i="8"/>
  <c r="R168" i="8" s="1"/>
  <c r="N168" i="8"/>
  <c r="R167" i="8"/>
  <c r="Q167" i="8"/>
  <c r="N167" i="8"/>
  <c r="Q166" i="8"/>
  <c r="R166" i="8" s="1"/>
  <c r="N166" i="8"/>
  <c r="Q165" i="8"/>
  <c r="R165" i="8" s="1"/>
  <c r="N165" i="8"/>
  <c r="Q164" i="8"/>
  <c r="R164" i="8" s="1"/>
  <c r="N164" i="8"/>
  <c r="Q163" i="8"/>
  <c r="R163" i="8" s="1"/>
  <c r="N163" i="8"/>
  <c r="Q162" i="8"/>
  <c r="R162" i="8" s="1"/>
  <c r="N162" i="8"/>
  <c r="Q161" i="8"/>
  <c r="R161" i="8" s="1"/>
  <c r="N161" i="8"/>
  <c r="Q160" i="8"/>
  <c r="R160" i="8" s="1"/>
  <c r="N160" i="8"/>
  <c r="Q159" i="8"/>
  <c r="N159" i="8"/>
  <c r="R159" i="8" s="1"/>
  <c r="Q158" i="8"/>
  <c r="R158" i="8" s="1"/>
  <c r="N158" i="8"/>
  <c r="Q157" i="8"/>
  <c r="R157" i="8" s="1"/>
  <c r="N157" i="8"/>
  <c r="Q156" i="8"/>
  <c r="R156" i="8" s="1"/>
  <c r="N156" i="8"/>
  <c r="R155" i="8"/>
  <c r="Q155" i="8"/>
  <c r="N155" i="8"/>
  <c r="Q154" i="8"/>
  <c r="R154" i="8" s="1"/>
  <c r="N154" i="8"/>
  <c r="Q153" i="8"/>
  <c r="R153" i="8" s="1"/>
  <c r="N153" i="8"/>
  <c r="Q152" i="8"/>
  <c r="R152" i="8" s="1"/>
  <c r="N152" i="8"/>
  <c r="Q151" i="8"/>
  <c r="R151" i="8" s="1"/>
  <c r="N151" i="8"/>
  <c r="Q150" i="8"/>
  <c r="R150" i="8" s="1"/>
  <c r="N150" i="8"/>
  <c r="Q149" i="8"/>
  <c r="R149" i="8" s="1"/>
  <c r="N149" i="8"/>
  <c r="Q148" i="8"/>
  <c r="R148" i="8" s="1"/>
  <c r="N148" i="8"/>
  <c r="Q147" i="8"/>
  <c r="N147" i="8"/>
  <c r="R147" i="8" s="1"/>
  <c r="Q146" i="8"/>
  <c r="R146" i="8" s="1"/>
  <c r="N146" i="8"/>
  <c r="Q145" i="8"/>
  <c r="R145" i="8" s="1"/>
  <c r="N145" i="8"/>
  <c r="Q144" i="8"/>
  <c r="R144" i="8" s="1"/>
  <c r="N144" i="8"/>
  <c r="R143" i="8"/>
  <c r="Q143" i="8"/>
  <c r="N143" i="8"/>
  <c r="Q142" i="8"/>
  <c r="R142" i="8" s="1"/>
  <c r="N142" i="8"/>
  <c r="Q141" i="8"/>
  <c r="R141" i="8" s="1"/>
  <c r="N141" i="8"/>
  <c r="Q140" i="8"/>
  <c r="R140" i="8" s="1"/>
  <c r="N140" i="8"/>
  <c r="Q139" i="8"/>
  <c r="R139" i="8" s="1"/>
  <c r="N139" i="8"/>
  <c r="Q138" i="8"/>
  <c r="R138" i="8" s="1"/>
  <c r="N138" i="8"/>
  <c r="Q137" i="8"/>
  <c r="R137" i="8" s="1"/>
  <c r="N137" i="8"/>
  <c r="Q136" i="8"/>
  <c r="R136" i="8" s="1"/>
  <c r="N136" i="8"/>
  <c r="Q135" i="8"/>
  <c r="N135" i="8"/>
  <c r="R135" i="8" s="1"/>
  <c r="Q134" i="8"/>
  <c r="R134" i="8" s="1"/>
  <c r="N134" i="8"/>
  <c r="Q133" i="8"/>
  <c r="R133" i="8" s="1"/>
  <c r="N133" i="8"/>
  <c r="Q132" i="8"/>
  <c r="R132" i="8" s="1"/>
  <c r="N132" i="8"/>
  <c r="R131" i="8"/>
  <c r="Q131" i="8"/>
  <c r="N131" i="8"/>
  <c r="Q130" i="8"/>
  <c r="R130" i="8" s="1"/>
  <c r="N130" i="8"/>
  <c r="Q129" i="8"/>
  <c r="R129" i="8" s="1"/>
  <c r="N129" i="8"/>
  <c r="Q128" i="8"/>
  <c r="R128" i="8" s="1"/>
  <c r="N128" i="8"/>
  <c r="Q127" i="8"/>
  <c r="R127" i="8" s="1"/>
  <c r="N127" i="8"/>
  <c r="Q126" i="8"/>
  <c r="R126" i="8" s="1"/>
  <c r="N126" i="8"/>
  <c r="Q125" i="8"/>
  <c r="R125" i="8" s="1"/>
  <c r="N125" i="8"/>
  <c r="Q124" i="8"/>
  <c r="R124" i="8" s="1"/>
  <c r="N124" i="8"/>
  <c r="Q123" i="8"/>
  <c r="N123" i="8"/>
  <c r="R123" i="8" s="1"/>
  <c r="Q122" i="8"/>
  <c r="R122" i="8" s="1"/>
  <c r="N122" i="8"/>
  <c r="Q121" i="8"/>
  <c r="R121" i="8" s="1"/>
  <c r="N121" i="8"/>
  <c r="Q120" i="8"/>
  <c r="R120" i="8" s="1"/>
  <c r="N120" i="8"/>
  <c r="R119" i="8"/>
  <c r="Q119" i="8"/>
  <c r="N119" i="8"/>
  <c r="Q118" i="8"/>
  <c r="R118" i="8" s="1"/>
  <c r="N118" i="8"/>
  <c r="Q117" i="8"/>
  <c r="R117" i="8" s="1"/>
  <c r="N117" i="8"/>
  <c r="Q116" i="8"/>
  <c r="R116" i="8" s="1"/>
  <c r="N116" i="8"/>
  <c r="Q115" i="8"/>
  <c r="R115" i="8" s="1"/>
  <c r="N115" i="8"/>
  <c r="Q114" i="8"/>
  <c r="R114" i="8" s="1"/>
  <c r="N114" i="8"/>
  <c r="Q113" i="8"/>
  <c r="R113" i="8" s="1"/>
  <c r="N113" i="8"/>
  <c r="Q112" i="8"/>
  <c r="R112" i="8" s="1"/>
  <c r="N112" i="8"/>
  <c r="Q111" i="8"/>
  <c r="N111" i="8"/>
  <c r="R111" i="8" s="1"/>
  <c r="Q110" i="8"/>
  <c r="R110" i="8" s="1"/>
  <c r="N110" i="8"/>
  <c r="Q109" i="8"/>
  <c r="R109" i="8" s="1"/>
  <c r="N109" i="8"/>
  <c r="Q108" i="8"/>
  <c r="R108" i="8" s="1"/>
  <c r="N108" i="8"/>
  <c r="R107" i="8"/>
  <c r="Q107" i="8"/>
  <c r="N107" i="8"/>
  <c r="Q106" i="8"/>
  <c r="R106" i="8" s="1"/>
  <c r="N106" i="8"/>
  <c r="Q105" i="8"/>
  <c r="R105" i="8" s="1"/>
  <c r="N105" i="8"/>
  <c r="Q104" i="8"/>
  <c r="R104" i="8" s="1"/>
  <c r="N104" i="8"/>
  <c r="Q103" i="8"/>
  <c r="R103" i="8" s="1"/>
  <c r="N103" i="8"/>
  <c r="Q102" i="8"/>
  <c r="R102" i="8" s="1"/>
  <c r="N102" i="8"/>
  <c r="Q101" i="8"/>
  <c r="R101" i="8" s="1"/>
  <c r="N101" i="8"/>
  <c r="Q100" i="8"/>
  <c r="R100" i="8" s="1"/>
  <c r="N100" i="8"/>
  <c r="Q99" i="8"/>
  <c r="N99" i="8"/>
  <c r="R99" i="8" s="1"/>
  <c r="Q98" i="8"/>
  <c r="R98" i="8" s="1"/>
  <c r="N98" i="8"/>
  <c r="Q97" i="8"/>
  <c r="R97" i="8" s="1"/>
  <c r="N97" i="8"/>
  <c r="Q96" i="8"/>
  <c r="R96" i="8" s="1"/>
  <c r="N96" i="8"/>
  <c r="R95" i="8"/>
  <c r="Q95" i="8"/>
  <c r="N95" i="8"/>
  <c r="Q94" i="8"/>
  <c r="R94" i="8" s="1"/>
  <c r="N94" i="8"/>
  <c r="Q93" i="8"/>
  <c r="R93" i="8" s="1"/>
  <c r="N93" i="8"/>
  <c r="Q92" i="8"/>
  <c r="R92" i="8" s="1"/>
  <c r="N92" i="8"/>
  <c r="Q91" i="8"/>
  <c r="R91" i="8" s="1"/>
  <c r="N91" i="8"/>
  <c r="Q90" i="8"/>
  <c r="R90" i="8" s="1"/>
  <c r="N90" i="8"/>
  <c r="Q89" i="8"/>
  <c r="R89" i="8" s="1"/>
  <c r="N89" i="8"/>
  <c r="Q88" i="8"/>
  <c r="R88" i="8" s="1"/>
  <c r="N88" i="8"/>
  <c r="Q87" i="8"/>
  <c r="N87" i="8"/>
  <c r="R87" i="8" s="1"/>
  <c r="Q86" i="8"/>
  <c r="R86" i="8" s="1"/>
  <c r="N86" i="8"/>
  <c r="Q85" i="8"/>
  <c r="R85" i="8" s="1"/>
  <c r="N85" i="8"/>
  <c r="Q84" i="8"/>
  <c r="R84" i="8" s="1"/>
  <c r="N84" i="8"/>
  <c r="R83" i="8"/>
  <c r="Q83" i="8"/>
  <c r="N83" i="8"/>
  <c r="Q82" i="8"/>
  <c r="R82" i="8" s="1"/>
  <c r="N82" i="8"/>
  <c r="Q81" i="8"/>
  <c r="R81" i="8" s="1"/>
  <c r="N81" i="8"/>
  <c r="Q80" i="8"/>
  <c r="R80" i="8" s="1"/>
  <c r="N80" i="8"/>
  <c r="Q79" i="8"/>
  <c r="R79" i="8" s="1"/>
  <c r="N79" i="8"/>
  <c r="Q78" i="8"/>
  <c r="R78" i="8" s="1"/>
  <c r="N78" i="8"/>
  <c r="Q77" i="8"/>
  <c r="R77" i="8" s="1"/>
  <c r="N77" i="8"/>
  <c r="Q76" i="8"/>
  <c r="R76" i="8" s="1"/>
  <c r="N76" i="8"/>
  <c r="Q75" i="8"/>
  <c r="N75" i="8"/>
  <c r="R75" i="8" s="1"/>
  <c r="Q74" i="8"/>
  <c r="R74" i="8" s="1"/>
  <c r="N74" i="8"/>
  <c r="Q73" i="8"/>
  <c r="R73" i="8" s="1"/>
  <c r="N73" i="8"/>
  <c r="Q72" i="8"/>
  <c r="R72" i="8" s="1"/>
  <c r="N72" i="8"/>
  <c r="R71" i="8"/>
  <c r="Q71" i="8"/>
  <c r="N71" i="8"/>
  <c r="Q70" i="8"/>
  <c r="R70" i="8" s="1"/>
  <c r="N70" i="8"/>
  <c r="Q69" i="8"/>
  <c r="R69" i="8" s="1"/>
  <c r="N69" i="8"/>
  <c r="Q68" i="8"/>
  <c r="R68" i="8" s="1"/>
  <c r="N68" i="8"/>
  <c r="Q67" i="8"/>
  <c r="R67" i="8" s="1"/>
  <c r="N67" i="8"/>
  <c r="Q66" i="8"/>
  <c r="R66" i="8" s="1"/>
  <c r="N66" i="8"/>
  <c r="Q65" i="8"/>
  <c r="R65" i="8" s="1"/>
  <c r="N65" i="8"/>
  <c r="Q64" i="8"/>
  <c r="R64" i="8" s="1"/>
  <c r="N64" i="8"/>
  <c r="Q63" i="8"/>
  <c r="N63" i="8"/>
  <c r="R63" i="8" s="1"/>
  <c r="Q62" i="8"/>
  <c r="R62" i="8" s="1"/>
  <c r="N62" i="8"/>
  <c r="Q61" i="8"/>
  <c r="R61" i="8" s="1"/>
  <c r="N61" i="8"/>
  <c r="Q60" i="8"/>
  <c r="R60" i="8" s="1"/>
  <c r="N60" i="8"/>
  <c r="R59" i="8"/>
  <c r="Q59" i="8"/>
  <c r="N59" i="8"/>
  <c r="Q58" i="8"/>
  <c r="R58" i="8" s="1"/>
  <c r="N58" i="8"/>
  <c r="Q57" i="8"/>
  <c r="R57" i="8" s="1"/>
  <c r="N57" i="8"/>
  <c r="Q56" i="8"/>
  <c r="R56" i="8" s="1"/>
  <c r="N56" i="8"/>
  <c r="Q55" i="8"/>
  <c r="R55" i="8" s="1"/>
  <c r="N55" i="8"/>
  <c r="Q54" i="8"/>
  <c r="R54" i="8" s="1"/>
  <c r="N54" i="8"/>
  <c r="Q53" i="8"/>
  <c r="R53" i="8" s="1"/>
  <c r="N53" i="8"/>
  <c r="Q52" i="8"/>
  <c r="R52" i="8" s="1"/>
  <c r="N52" i="8"/>
  <c r="Q51" i="8"/>
  <c r="N51" i="8"/>
  <c r="R51" i="8" s="1"/>
  <c r="Q50" i="8"/>
  <c r="R50" i="8" s="1"/>
  <c r="N50" i="8"/>
  <c r="Q49" i="8"/>
  <c r="R49" i="8" s="1"/>
  <c r="N49" i="8"/>
  <c r="Q48" i="8"/>
  <c r="R48" i="8" s="1"/>
  <c r="N48" i="8"/>
  <c r="R47" i="8"/>
  <c r="Q47" i="8"/>
  <c r="N47" i="8"/>
  <c r="Q46" i="8"/>
  <c r="R46" i="8" s="1"/>
  <c r="N46" i="8"/>
  <c r="N45" i="8"/>
  <c r="Q44" i="8"/>
  <c r="R44" i="8" s="1"/>
  <c r="N44" i="8"/>
  <c r="Q43" i="8"/>
  <c r="N43" i="8"/>
  <c r="Q42" i="8"/>
  <c r="R42" i="8" s="1"/>
  <c r="N42" i="8"/>
  <c r="Q41" i="8"/>
  <c r="R41" i="8" s="1"/>
  <c r="N41" i="8"/>
  <c r="Q40" i="8"/>
  <c r="R40" i="8" s="1"/>
  <c r="N40" i="8"/>
  <c r="Q39" i="8"/>
  <c r="N39" i="8"/>
  <c r="R39" i="8" s="1"/>
  <c r="Q38" i="8"/>
  <c r="R38" i="8" s="1"/>
  <c r="N38" i="8"/>
  <c r="Q37" i="8"/>
  <c r="R37" i="8" s="1"/>
  <c r="N37" i="8"/>
  <c r="Q36" i="8"/>
  <c r="R36" i="8" s="1"/>
  <c r="N36" i="8"/>
  <c r="R35" i="8"/>
  <c r="Q35" i="8"/>
  <c r="N35" i="8"/>
  <c r="Q34" i="8"/>
  <c r="R34" i="8" s="1"/>
  <c r="N34" i="8"/>
  <c r="N33" i="8"/>
  <c r="Q32" i="8"/>
  <c r="R32" i="8" s="1"/>
  <c r="N32" i="8"/>
  <c r="Q31" i="8"/>
  <c r="N31" i="8"/>
  <c r="Q30" i="8"/>
  <c r="R30" i="8" s="1"/>
  <c r="N30" i="8"/>
  <c r="Q29" i="8"/>
  <c r="R29" i="8" s="1"/>
  <c r="N29" i="8"/>
  <c r="Q28" i="8"/>
  <c r="R28" i="8" s="1"/>
  <c r="N28" i="8"/>
  <c r="Q27" i="8"/>
  <c r="N27" i="8"/>
  <c r="R27" i="8" s="1"/>
  <c r="Q26" i="8"/>
  <c r="R26" i="8" s="1"/>
  <c r="N26" i="8"/>
  <c r="Q25" i="8"/>
  <c r="R25" i="8" s="1"/>
  <c r="N25" i="8"/>
  <c r="Q24" i="8"/>
  <c r="R24" i="8" s="1"/>
  <c r="N24" i="8"/>
  <c r="R23" i="8"/>
  <c r="Q23" i="8"/>
  <c r="N23" i="8"/>
  <c r="Q22" i="8"/>
  <c r="R22" i="8" s="1"/>
  <c r="N22" i="8"/>
  <c r="N21" i="8"/>
  <c r="Q20" i="8"/>
  <c r="R20" i="8" s="1"/>
  <c r="N20" i="8"/>
  <c r="Q19" i="8"/>
  <c r="N19" i="8"/>
  <c r="Q18" i="8"/>
  <c r="R18" i="8" s="1"/>
  <c r="N18" i="8"/>
  <c r="Q17" i="8"/>
  <c r="R17" i="8" s="1"/>
  <c r="N17" i="8"/>
  <c r="Q16" i="8"/>
  <c r="R16" i="8" s="1"/>
  <c r="N16" i="8"/>
  <c r="Q15" i="8"/>
  <c r="N15" i="8"/>
  <c r="R15" i="8" s="1"/>
  <c r="Q14" i="8"/>
  <c r="R14" i="8" s="1"/>
  <c r="N14" i="8"/>
  <c r="Q13" i="8"/>
  <c r="R13" i="8" s="1"/>
  <c r="N13" i="8"/>
  <c r="Q12" i="8"/>
  <c r="R12" i="8" s="1"/>
  <c r="N12" i="8"/>
  <c r="R11" i="8"/>
  <c r="Q11" i="8"/>
  <c r="N11" i="8"/>
  <c r="Q10" i="8"/>
  <c r="R10" i="8" s="1"/>
  <c r="N10" i="8"/>
  <c r="N9" i="8"/>
  <c r="Q8" i="8"/>
  <c r="R8" i="8" s="1"/>
  <c r="N8" i="8"/>
  <c r="Q7" i="8"/>
  <c r="N7" i="8"/>
  <c r="Q6" i="8"/>
  <c r="R6" i="8" s="1"/>
  <c r="N6" i="8"/>
  <c r="Q5" i="8"/>
  <c r="R5" i="8" s="1"/>
  <c r="N5" i="8"/>
  <c r="Q4" i="8"/>
  <c r="R4" i="8" s="1"/>
  <c r="N4" i="8"/>
  <c r="Q3" i="8"/>
  <c r="N3" i="8"/>
  <c r="R3" i="8" s="1"/>
  <c r="Q2" i="8"/>
  <c r="P2" i="8"/>
  <c r="O2" i="8"/>
  <c r="AK366" i="7"/>
  <c r="AI366" i="7"/>
  <c r="AJ366" i="7" s="1"/>
  <c r="AF366" i="7"/>
  <c r="AB366" i="7"/>
  <c r="AA366" i="7"/>
  <c r="AI365" i="7"/>
  <c r="AF365" i="7"/>
  <c r="AJ365" i="7" s="1"/>
  <c r="AK365" i="7" s="1"/>
  <c r="AB365" i="7"/>
  <c r="AA365" i="7"/>
  <c r="AI364" i="7"/>
  <c r="AF364" i="7"/>
  <c r="AJ364" i="7" s="1"/>
  <c r="AB364" i="7"/>
  <c r="AA364" i="7"/>
  <c r="AI363" i="7"/>
  <c r="AF363" i="7"/>
  <c r="AJ363" i="7" s="1"/>
  <c r="AB363" i="7"/>
  <c r="AA363" i="7"/>
  <c r="AK363" i="7" s="1"/>
  <c r="AI362" i="7"/>
  <c r="AF362" i="7"/>
  <c r="AJ362" i="7" s="1"/>
  <c r="AB362" i="7"/>
  <c r="AA362" i="7"/>
  <c r="AI361" i="7"/>
  <c r="AF361" i="7"/>
  <c r="AJ361" i="7" s="1"/>
  <c r="AB361" i="7"/>
  <c r="AK361" i="7" s="1"/>
  <c r="AA361" i="7"/>
  <c r="AI360" i="7"/>
  <c r="AJ360" i="7" s="1"/>
  <c r="AK360" i="7" s="1"/>
  <c r="AF360" i="7"/>
  <c r="AB360" i="7"/>
  <c r="AA360" i="7"/>
  <c r="AI359" i="7"/>
  <c r="AF359" i="7"/>
  <c r="AB359" i="7"/>
  <c r="AA359" i="7"/>
  <c r="AI358" i="7"/>
  <c r="AF358" i="7"/>
  <c r="AB358" i="7"/>
  <c r="AA358" i="7"/>
  <c r="AI357" i="7"/>
  <c r="AB357" i="7"/>
  <c r="AA357" i="7"/>
  <c r="AI356" i="7"/>
  <c r="AF356" i="7"/>
  <c r="AB356" i="7"/>
  <c r="AA356" i="7"/>
  <c r="AI355" i="7"/>
  <c r="AF355" i="7"/>
  <c r="AJ355" i="7" s="1"/>
  <c r="AB355" i="7"/>
  <c r="AK355" i="7" s="1"/>
  <c r="AA355" i="7"/>
  <c r="AK354" i="7"/>
  <c r="AI354" i="7"/>
  <c r="AJ354" i="7" s="1"/>
  <c r="AF354" i="7"/>
  <c r="AB354" i="7"/>
  <c r="AA354" i="7"/>
  <c r="AI353" i="7"/>
  <c r="AF353" i="7"/>
  <c r="AJ353" i="7" s="1"/>
  <c r="AB353" i="7"/>
  <c r="AA353" i="7"/>
  <c r="AI352" i="7"/>
  <c r="AF352" i="7"/>
  <c r="AB352" i="7"/>
  <c r="AA352" i="7"/>
  <c r="AI351" i="7"/>
  <c r="AF351" i="7"/>
  <c r="AJ351" i="7" s="1"/>
  <c r="AB351" i="7"/>
  <c r="AA351" i="7"/>
  <c r="AK351" i="7" s="1"/>
  <c r="AI350" i="7"/>
  <c r="AF350" i="7"/>
  <c r="AJ350" i="7" s="1"/>
  <c r="AB350" i="7"/>
  <c r="AA350" i="7"/>
  <c r="AI349" i="7"/>
  <c r="AF349" i="7"/>
  <c r="AJ349" i="7" s="1"/>
  <c r="AB349" i="7"/>
  <c r="AK349" i="7" s="1"/>
  <c r="AA349" i="7"/>
  <c r="AJ348" i="7"/>
  <c r="AK348" i="7" s="1"/>
  <c r="AI348" i="7"/>
  <c r="AF348" i="7"/>
  <c r="AB348" i="7"/>
  <c r="AA348" i="7"/>
  <c r="AI347" i="7"/>
  <c r="AF347" i="7"/>
  <c r="AB347" i="7"/>
  <c r="AA347" i="7"/>
  <c r="AI346" i="7"/>
  <c r="AF346" i="7"/>
  <c r="AJ346" i="7" s="1"/>
  <c r="AK346" i="7" s="1"/>
  <c r="AB346" i="7"/>
  <c r="AA346" i="7"/>
  <c r="AI345" i="7"/>
  <c r="AF345" i="7"/>
  <c r="AJ345" i="7" s="1"/>
  <c r="AB345" i="7"/>
  <c r="AA345" i="7"/>
  <c r="AK345" i="7" s="1"/>
  <c r="AI344" i="7"/>
  <c r="AF344" i="7"/>
  <c r="AJ344" i="7" s="1"/>
  <c r="AB344" i="7"/>
  <c r="AK344" i="7" s="1"/>
  <c r="AA344" i="7"/>
  <c r="AI343" i="7"/>
  <c r="AF343" i="7"/>
  <c r="AJ343" i="7" s="1"/>
  <c r="AB343" i="7"/>
  <c r="AA343" i="7"/>
  <c r="AI342" i="7"/>
  <c r="AJ342" i="7" s="1"/>
  <c r="AK342" i="7" s="1"/>
  <c r="AF342" i="7"/>
  <c r="AB342" i="7"/>
  <c r="AA342" i="7"/>
  <c r="AI341" i="7"/>
  <c r="AF341" i="7"/>
  <c r="AB341" i="7"/>
  <c r="AA341" i="7"/>
  <c r="AI340" i="7"/>
  <c r="AF340" i="7"/>
  <c r="AB340" i="7"/>
  <c r="AA340" i="7"/>
  <c r="AI339" i="7"/>
  <c r="AB339" i="7"/>
  <c r="AA339" i="7"/>
  <c r="AI338" i="7"/>
  <c r="AF338" i="7"/>
  <c r="AJ338" i="7" s="1"/>
  <c r="AB338" i="7"/>
  <c r="AA338" i="7"/>
  <c r="AI337" i="7"/>
  <c r="AB337" i="7"/>
  <c r="AA337" i="7"/>
  <c r="AJ336" i="7"/>
  <c r="AI336" i="7"/>
  <c r="AF336" i="7"/>
  <c r="AB336" i="7"/>
  <c r="AK336" i="7" s="1"/>
  <c r="AA336" i="7"/>
  <c r="AI335" i="7"/>
  <c r="AF335" i="7"/>
  <c r="AB335" i="7"/>
  <c r="AA335" i="7"/>
  <c r="AI334" i="7"/>
  <c r="AF334" i="7"/>
  <c r="AJ334" i="7" s="1"/>
  <c r="AB334" i="7"/>
  <c r="AK334" i="7" s="1"/>
  <c r="AA334" i="7"/>
  <c r="AI333" i="7"/>
  <c r="AF333" i="7"/>
  <c r="AB333" i="7"/>
  <c r="AA333" i="7"/>
  <c r="AI332" i="7"/>
  <c r="AF332" i="7"/>
  <c r="AJ332" i="7" s="1"/>
  <c r="AB332" i="7"/>
  <c r="AA332" i="7"/>
  <c r="AK332" i="7" s="1"/>
  <c r="AI331" i="7"/>
  <c r="AF331" i="7"/>
  <c r="AJ331" i="7" s="1"/>
  <c r="AB331" i="7"/>
  <c r="AK331" i="7" s="1"/>
  <c r="AA331" i="7"/>
  <c r="AI330" i="7"/>
  <c r="AJ330" i="7" s="1"/>
  <c r="AF330" i="7"/>
  <c r="AB330" i="7"/>
  <c r="AA330" i="7"/>
  <c r="AI329" i="7"/>
  <c r="AF329" i="7"/>
  <c r="AB329" i="7"/>
  <c r="AA329" i="7"/>
  <c r="AI328" i="7"/>
  <c r="AF328" i="7"/>
  <c r="AB328" i="7"/>
  <c r="AA328" i="7"/>
  <c r="AI327" i="7"/>
  <c r="AF327" i="7"/>
  <c r="AJ327" i="7" s="1"/>
  <c r="AB327" i="7"/>
  <c r="AA327" i="7"/>
  <c r="AI326" i="7"/>
  <c r="AF326" i="7"/>
  <c r="AJ326" i="7" s="1"/>
  <c r="AB326" i="7"/>
  <c r="AK326" i="7" s="1"/>
  <c r="AA326" i="7"/>
  <c r="AI325" i="7"/>
  <c r="AB325" i="7"/>
  <c r="AA325" i="7"/>
  <c r="AI324" i="7"/>
  <c r="AJ324" i="7" s="1"/>
  <c r="AK324" i="7" s="1"/>
  <c r="AF324" i="7"/>
  <c r="AB324" i="7"/>
  <c r="AA324" i="7"/>
  <c r="AI323" i="7"/>
  <c r="AB323" i="7"/>
  <c r="AA323" i="7"/>
  <c r="AI322" i="7"/>
  <c r="AF322" i="7"/>
  <c r="AB322" i="7"/>
  <c r="AA322" i="7"/>
  <c r="AI321" i="7"/>
  <c r="AB321" i="7"/>
  <c r="AA321" i="7"/>
  <c r="AJ320" i="7"/>
  <c r="AI320" i="7"/>
  <c r="AF320" i="7"/>
  <c r="AB320" i="7"/>
  <c r="AA320" i="7"/>
  <c r="AK320" i="7" s="1"/>
  <c r="AI319" i="7"/>
  <c r="AF319" i="7"/>
  <c r="AB319" i="7"/>
  <c r="AA319" i="7"/>
  <c r="AI318" i="7"/>
  <c r="AF318" i="7"/>
  <c r="AJ318" i="7" s="1"/>
  <c r="AB318" i="7"/>
  <c r="AA318" i="7"/>
  <c r="AI317" i="7"/>
  <c r="AF317" i="7"/>
  <c r="AJ317" i="7" s="1"/>
  <c r="AB317" i="7"/>
  <c r="AA317" i="7"/>
  <c r="AI316" i="7"/>
  <c r="AF316" i="7"/>
  <c r="AJ316" i="7" s="1"/>
  <c r="AK316" i="7" s="1"/>
  <c r="AB316" i="7"/>
  <c r="AA316" i="7"/>
  <c r="AI315" i="7"/>
  <c r="AF315" i="7"/>
  <c r="AJ315" i="7" s="1"/>
  <c r="AB315" i="7"/>
  <c r="AA315" i="7"/>
  <c r="AI314" i="7"/>
  <c r="AJ314" i="7" s="1"/>
  <c r="AK314" i="7" s="1"/>
  <c r="AF314" i="7"/>
  <c r="AB314" i="7"/>
  <c r="AA314" i="7"/>
  <c r="AI313" i="7"/>
  <c r="AB313" i="7"/>
  <c r="AA313" i="7"/>
  <c r="AI312" i="7"/>
  <c r="AF312" i="7"/>
  <c r="AJ312" i="7" s="1"/>
  <c r="AB312" i="7"/>
  <c r="AK312" i="7" s="1"/>
  <c r="AA312" i="7"/>
  <c r="AI311" i="7"/>
  <c r="AF311" i="7"/>
  <c r="AB311" i="7"/>
  <c r="AA311" i="7"/>
  <c r="AI310" i="7"/>
  <c r="AF310" i="7"/>
  <c r="AJ310" i="7" s="1"/>
  <c r="AB310" i="7"/>
  <c r="AK310" i="7" s="1"/>
  <c r="AA310" i="7"/>
  <c r="AI309" i="7"/>
  <c r="AF309" i="7"/>
  <c r="AB309" i="7"/>
  <c r="AA309" i="7"/>
  <c r="AI308" i="7"/>
  <c r="AF308" i="7"/>
  <c r="AJ308" i="7" s="1"/>
  <c r="AK308" i="7" s="1"/>
  <c r="AB308" i="7"/>
  <c r="AA308" i="7"/>
  <c r="AI307" i="7"/>
  <c r="AJ307" i="7" s="1"/>
  <c r="AF307" i="7"/>
  <c r="AB307" i="7"/>
  <c r="AA307" i="7"/>
  <c r="AF306" i="7"/>
  <c r="AB306" i="7"/>
  <c r="AA306" i="7"/>
  <c r="AI305" i="7"/>
  <c r="AF305" i="7"/>
  <c r="AJ305" i="7" s="1"/>
  <c r="AB305" i="7"/>
  <c r="AK305" i="7" s="1"/>
  <c r="AA305" i="7"/>
  <c r="AI304" i="7"/>
  <c r="AF304" i="7"/>
  <c r="AJ304" i="7" s="1"/>
  <c r="AK304" i="7" s="1"/>
  <c r="AB304" i="7"/>
  <c r="AA304" i="7"/>
  <c r="AI303" i="7"/>
  <c r="AF303" i="7"/>
  <c r="AB303" i="7"/>
  <c r="AA303" i="7"/>
  <c r="AI302" i="7"/>
  <c r="AF302" i="7"/>
  <c r="AB302" i="7"/>
  <c r="AA302" i="7"/>
  <c r="AI301" i="7"/>
  <c r="AF301" i="7"/>
  <c r="AB301" i="7"/>
  <c r="AA301" i="7"/>
  <c r="AF300" i="7"/>
  <c r="AB300" i="7"/>
  <c r="AA300" i="7"/>
  <c r="AI299" i="7"/>
  <c r="AF299" i="7"/>
  <c r="AJ299" i="7" s="1"/>
  <c r="AB299" i="7"/>
  <c r="AK299" i="7" s="1"/>
  <c r="AA299" i="7"/>
  <c r="AI298" i="7"/>
  <c r="AF298" i="7"/>
  <c r="AJ298" i="7" s="1"/>
  <c r="AK298" i="7" s="1"/>
  <c r="AB298" i="7"/>
  <c r="AA298" i="7"/>
  <c r="AI297" i="7"/>
  <c r="AF297" i="7"/>
  <c r="AB297" i="7"/>
  <c r="AA297" i="7"/>
  <c r="AI296" i="7"/>
  <c r="AF296" i="7"/>
  <c r="AJ296" i="7" s="1"/>
  <c r="AB296" i="7"/>
  <c r="AK296" i="7" s="1"/>
  <c r="AA296" i="7"/>
  <c r="AI295" i="7"/>
  <c r="AF295" i="7"/>
  <c r="AJ295" i="7" s="1"/>
  <c r="AB295" i="7"/>
  <c r="AA295" i="7"/>
  <c r="P295" i="7"/>
  <c r="AI294" i="7"/>
  <c r="AF294" i="7"/>
  <c r="AB294" i="7"/>
  <c r="AA294" i="7"/>
  <c r="P294" i="7"/>
  <c r="AI293" i="7"/>
  <c r="AF293" i="7"/>
  <c r="AJ293" i="7" s="1"/>
  <c r="AB293" i="7"/>
  <c r="AA293" i="7"/>
  <c r="P293" i="7"/>
  <c r="AI292" i="7"/>
  <c r="AF292" i="7"/>
  <c r="AJ292" i="7" s="1"/>
  <c r="AB292" i="7"/>
  <c r="AK292" i="7" s="1"/>
  <c r="AA292" i="7"/>
  <c r="P292" i="7"/>
  <c r="AI291" i="7"/>
  <c r="AF291" i="7"/>
  <c r="AJ291" i="7" s="1"/>
  <c r="AB291" i="7"/>
  <c r="AA291" i="7"/>
  <c r="P291" i="7"/>
  <c r="AI290" i="7"/>
  <c r="AF290" i="7"/>
  <c r="AB290" i="7"/>
  <c r="AA290" i="7"/>
  <c r="P290" i="7"/>
  <c r="AI289" i="7"/>
  <c r="AF289" i="7"/>
  <c r="AB289" i="7"/>
  <c r="AA289" i="7"/>
  <c r="P289" i="7"/>
  <c r="AI288" i="7"/>
  <c r="AF288" i="7"/>
  <c r="AJ288" i="7" s="1"/>
  <c r="AB288" i="7"/>
  <c r="AA288" i="7"/>
  <c r="AK288" i="7" s="1"/>
  <c r="P288" i="7"/>
  <c r="AI287" i="7"/>
  <c r="AF287" i="7"/>
  <c r="AJ287" i="7" s="1"/>
  <c r="AB287" i="7"/>
  <c r="AA287" i="7"/>
  <c r="P287" i="7"/>
  <c r="AI286" i="7"/>
  <c r="AF286" i="7"/>
  <c r="AB286" i="7"/>
  <c r="AA286" i="7"/>
  <c r="P286" i="7"/>
  <c r="AI285" i="7"/>
  <c r="AF285" i="7"/>
  <c r="AB285" i="7"/>
  <c r="AA285" i="7"/>
  <c r="P285" i="7"/>
  <c r="AI284" i="7"/>
  <c r="AJ284" i="7" s="1"/>
  <c r="AF284" i="7"/>
  <c r="AB284" i="7"/>
  <c r="AA284" i="7"/>
  <c r="P284" i="7"/>
  <c r="AI283" i="7"/>
  <c r="AF283" i="7"/>
  <c r="AJ283" i="7" s="1"/>
  <c r="AB283" i="7"/>
  <c r="AA283" i="7"/>
  <c r="P283" i="7"/>
  <c r="AI282" i="7"/>
  <c r="AF282" i="7"/>
  <c r="AB282" i="7"/>
  <c r="AA282" i="7"/>
  <c r="P282" i="7"/>
  <c r="AI281" i="7"/>
  <c r="AF281" i="7"/>
  <c r="AB281" i="7"/>
  <c r="AA281" i="7"/>
  <c r="P281" i="7"/>
  <c r="AI280" i="7"/>
  <c r="AF280" i="7"/>
  <c r="AJ280" i="7" s="1"/>
  <c r="AB280" i="7"/>
  <c r="AK280" i="7" s="1"/>
  <c r="AA280" i="7"/>
  <c r="P280" i="7"/>
  <c r="AI279" i="7"/>
  <c r="AF279" i="7"/>
  <c r="AJ279" i="7" s="1"/>
  <c r="AB279" i="7"/>
  <c r="AA279" i="7"/>
  <c r="AK279" i="7" s="1"/>
  <c r="P279" i="7"/>
  <c r="AI278" i="7"/>
  <c r="AF278" i="7"/>
  <c r="AB278" i="7"/>
  <c r="AA278" i="7"/>
  <c r="P278" i="7"/>
  <c r="AI277" i="7"/>
  <c r="AF277" i="7"/>
  <c r="AB277" i="7"/>
  <c r="AA277" i="7"/>
  <c r="P277" i="7"/>
  <c r="AI276" i="7"/>
  <c r="AF276" i="7"/>
  <c r="AB276" i="7"/>
  <c r="AA276" i="7"/>
  <c r="P276" i="7"/>
  <c r="AI275" i="7"/>
  <c r="AF275" i="7"/>
  <c r="AJ275" i="7" s="1"/>
  <c r="AB275" i="7"/>
  <c r="AA275" i="7"/>
  <c r="P275" i="7"/>
  <c r="AI274" i="7"/>
  <c r="AF274" i="7"/>
  <c r="AB274" i="7"/>
  <c r="AA274" i="7"/>
  <c r="P274" i="7"/>
  <c r="AI273" i="7"/>
  <c r="AF273" i="7"/>
  <c r="AB273" i="7"/>
  <c r="AA273" i="7"/>
  <c r="P273" i="7"/>
  <c r="AI272" i="7"/>
  <c r="AF272" i="7"/>
  <c r="AJ272" i="7" s="1"/>
  <c r="AB272" i="7"/>
  <c r="AA272" i="7"/>
  <c r="P272" i="7"/>
  <c r="AI271" i="7"/>
  <c r="AF271" i="7"/>
  <c r="AJ271" i="7" s="1"/>
  <c r="AB271" i="7"/>
  <c r="AA271" i="7"/>
  <c r="P271" i="7"/>
  <c r="AI270" i="7"/>
  <c r="AF270" i="7"/>
  <c r="AB270" i="7"/>
  <c r="AA270" i="7"/>
  <c r="P270" i="7"/>
  <c r="AI269" i="7"/>
  <c r="AF269" i="7"/>
  <c r="AJ269" i="7" s="1"/>
  <c r="AB269" i="7"/>
  <c r="AA269" i="7"/>
  <c r="P269" i="7"/>
  <c r="AI268" i="7"/>
  <c r="AF268" i="7"/>
  <c r="AJ268" i="7" s="1"/>
  <c r="AB268" i="7"/>
  <c r="AK268" i="7" s="1"/>
  <c r="AA268" i="7"/>
  <c r="P268" i="7"/>
  <c r="AI267" i="7"/>
  <c r="AF267" i="7"/>
  <c r="AJ267" i="7" s="1"/>
  <c r="AB267" i="7"/>
  <c r="AA267" i="7"/>
  <c r="P267" i="7"/>
  <c r="AI266" i="7"/>
  <c r="AF266" i="7"/>
  <c r="AB266" i="7"/>
  <c r="AA266" i="7"/>
  <c r="P266" i="7"/>
  <c r="AI265" i="7"/>
  <c r="AF265" i="7"/>
  <c r="AJ265" i="7" s="1"/>
  <c r="AK265" i="7" s="1"/>
  <c r="AB265" i="7"/>
  <c r="AA265" i="7"/>
  <c r="P265" i="7"/>
  <c r="AI264" i="7"/>
  <c r="AF264" i="7"/>
  <c r="AJ264" i="7" s="1"/>
  <c r="AB264" i="7"/>
  <c r="AA264" i="7"/>
  <c r="P264" i="7"/>
  <c r="AI263" i="7"/>
  <c r="AF263" i="7"/>
  <c r="AJ263" i="7" s="1"/>
  <c r="AK263" i="7" s="1"/>
  <c r="AB263" i="7"/>
  <c r="AA263" i="7"/>
  <c r="P263" i="7"/>
  <c r="AI262" i="7"/>
  <c r="AF262" i="7"/>
  <c r="AB262" i="7"/>
  <c r="AA262" i="7"/>
  <c r="P262" i="7"/>
  <c r="AI261" i="7"/>
  <c r="AF261" i="7"/>
  <c r="AB261" i="7"/>
  <c r="AA261" i="7"/>
  <c r="P261" i="7"/>
  <c r="AI260" i="7"/>
  <c r="AF260" i="7"/>
  <c r="AJ260" i="7" s="1"/>
  <c r="AB260" i="7"/>
  <c r="AA260" i="7"/>
  <c r="AK260" i="7" s="1"/>
  <c r="P260" i="7"/>
  <c r="AI259" i="7"/>
  <c r="AF259" i="7"/>
  <c r="AJ259" i="7" s="1"/>
  <c r="AB259" i="7"/>
  <c r="AA259" i="7"/>
  <c r="P259" i="7"/>
  <c r="AI258" i="7"/>
  <c r="AF258" i="7"/>
  <c r="AJ258" i="7" s="1"/>
  <c r="AK258" i="7" s="1"/>
  <c r="AB258" i="7"/>
  <c r="AA258" i="7"/>
  <c r="P258" i="7"/>
  <c r="AI257" i="7"/>
  <c r="AF257" i="7"/>
  <c r="AJ257" i="7" s="1"/>
  <c r="AB257" i="7"/>
  <c r="AK257" i="7" s="1"/>
  <c r="AA257" i="7"/>
  <c r="P257" i="7"/>
  <c r="AI256" i="7"/>
  <c r="AF256" i="7"/>
  <c r="AJ256" i="7" s="1"/>
  <c r="AB256" i="7"/>
  <c r="AA256" i="7"/>
  <c r="P256" i="7"/>
  <c r="AI255" i="7"/>
  <c r="AF255" i="7"/>
  <c r="AB255" i="7"/>
  <c r="AA255" i="7"/>
  <c r="P255" i="7"/>
  <c r="AI254" i="7"/>
  <c r="AF254" i="7"/>
  <c r="AB254" i="7"/>
  <c r="AA254" i="7"/>
  <c r="P254" i="7"/>
  <c r="AI253" i="7"/>
  <c r="AF253" i="7"/>
  <c r="AJ253" i="7" s="1"/>
  <c r="AK253" i="7" s="1"/>
  <c r="AB253" i="7"/>
  <c r="AA253" i="7"/>
  <c r="P253" i="7"/>
  <c r="AI252" i="7"/>
  <c r="AF252" i="7"/>
  <c r="AB252" i="7"/>
  <c r="AA252" i="7"/>
  <c r="P252" i="7"/>
  <c r="AI251" i="7"/>
  <c r="AF251" i="7"/>
  <c r="AJ251" i="7" s="1"/>
  <c r="AK251" i="7" s="1"/>
  <c r="AB251" i="7"/>
  <c r="AA251" i="7"/>
  <c r="P251" i="7"/>
  <c r="AI250" i="7"/>
  <c r="AF250" i="7"/>
  <c r="AJ250" i="7" s="1"/>
  <c r="AB250" i="7"/>
  <c r="AK250" i="7" s="1"/>
  <c r="AA250" i="7"/>
  <c r="P250" i="7"/>
  <c r="AI249" i="7"/>
  <c r="AF249" i="7"/>
  <c r="AJ249" i="7" s="1"/>
  <c r="AB249" i="7"/>
  <c r="AA249" i="7"/>
  <c r="P249" i="7"/>
  <c r="AI248" i="7"/>
  <c r="AF248" i="7"/>
  <c r="AJ248" i="7" s="1"/>
  <c r="AB248" i="7"/>
  <c r="AA248" i="7"/>
  <c r="P248" i="7"/>
  <c r="AI247" i="7"/>
  <c r="AF247" i="7"/>
  <c r="AJ247" i="7" s="1"/>
  <c r="AB247" i="7"/>
  <c r="AA247" i="7"/>
  <c r="P247" i="7"/>
  <c r="AI246" i="7"/>
  <c r="AF246" i="7"/>
  <c r="AJ246" i="7" s="1"/>
  <c r="AK246" i="7" s="1"/>
  <c r="AB246" i="7"/>
  <c r="AA246" i="7"/>
  <c r="P246" i="7"/>
  <c r="AI245" i="7"/>
  <c r="AF245" i="7"/>
  <c r="AB245" i="7"/>
  <c r="AA245" i="7"/>
  <c r="P245" i="7"/>
  <c r="AI244" i="7"/>
  <c r="AF244" i="7"/>
  <c r="AJ244" i="7" s="1"/>
  <c r="AB244" i="7"/>
  <c r="AK244" i="7" s="1"/>
  <c r="AA244" i="7"/>
  <c r="P244" i="7"/>
  <c r="AI243" i="7"/>
  <c r="AF243" i="7"/>
  <c r="AB243" i="7"/>
  <c r="AA243" i="7"/>
  <c r="P243" i="7"/>
  <c r="AI242" i="7"/>
  <c r="AF242" i="7"/>
  <c r="AJ242" i="7" s="1"/>
  <c r="AB242" i="7"/>
  <c r="AK242" i="7" s="1"/>
  <c r="AA242" i="7"/>
  <c r="P242" i="7"/>
  <c r="AI241" i="7"/>
  <c r="AF241" i="7"/>
  <c r="AJ241" i="7" s="1"/>
  <c r="AK241" i="7" s="1"/>
  <c r="AB241" i="7"/>
  <c r="AA241" i="7"/>
  <c r="P241" i="7"/>
  <c r="AI240" i="7"/>
  <c r="AF240" i="7"/>
  <c r="AB240" i="7"/>
  <c r="AA240" i="7"/>
  <c r="P240" i="7"/>
  <c r="AI239" i="7"/>
  <c r="AF239" i="7"/>
  <c r="AJ239" i="7" s="1"/>
  <c r="AB239" i="7"/>
  <c r="AK239" i="7" s="1"/>
  <c r="AA239" i="7"/>
  <c r="P239" i="7"/>
  <c r="AI238" i="7"/>
  <c r="AF238" i="7"/>
  <c r="AJ238" i="7" s="1"/>
  <c r="AB238" i="7"/>
  <c r="AA238" i="7"/>
  <c r="P238" i="7"/>
  <c r="AI237" i="7"/>
  <c r="AF237" i="7"/>
  <c r="AB237" i="7"/>
  <c r="AA237" i="7"/>
  <c r="P237" i="7"/>
  <c r="AI236" i="7"/>
  <c r="AF236" i="7"/>
  <c r="AJ236" i="7" s="1"/>
  <c r="AB236" i="7"/>
  <c r="AA236" i="7"/>
  <c r="AK236" i="7" s="1"/>
  <c r="P236" i="7"/>
  <c r="AI235" i="7"/>
  <c r="AF235" i="7"/>
  <c r="AJ235" i="7" s="1"/>
  <c r="AB235" i="7"/>
  <c r="AA235" i="7"/>
  <c r="P235" i="7"/>
  <c r="AI234" i="7"/>
  <c r="AF234" i="7"/>
  <c r="AB234" i="7"/>
  <c r="AA234" i="7"/>
  <c r="P234" i="7"/>
  <c r="AI233" i="7"/>
  <c r="AF233" i="7"/>
  <c r="AJ233" i="7" s="1"/>
  <c r="AB233" i="7"/>
  <c r="AA233" i="7"/>
  <c r="P233" i="7"/>
  <c r="AI232" i="7"/>
  <c r="AF232" i="7"/>
  <c r="AJ232" i="7" s="1"/>
  <c r="AB232" i="7"/>
  <c r="AK232" i="7" s="1"/>
  <c r="AA232" i="7"/>
  <c r="P232" i="7"/>
  <c r="AI231" i="7"/>
  <c r="AF231" i="7"/>
  <c r="AJ231" i="7" s="1"/>
  <c r="AK231" i="7" s="1"/>
  <c r="AB231" i="7"/>
  <c r="AA231" i="7"/>
  <c r="P231" i="7"/>
  <c r="AI230" i="7"/>
  <c r="AF230" i="7"/>
  <c r="AB230" i="7"/>
  <c r="AA230" i="7"/>
  <c r="P230" i="7"/>
  <c r="AI229" i="7"/>
  <c r="AF229" i="7"/>
  <c r="AJ229" i="7" s="1"/>
  <c r="AK229" i="7" s="1"/>
  <c r="AB229" i="7"/>
  <c r="AA229" i="7"/>
  <c r="P229" i="7"/>
  <c r="AI228" i="7"/>
  <c r="AF228" i="7"/>
  <c r="AJ228" i="7" s="1"/>
  <c r="AB228" i="7"/>
  <c r="AA228" i="7"/>
  <c r="P228" i="7"/>
  <c r="AI227" i="7"/>
  <c r="AF227" i="7"/>
  <c r="AJ227" i="7" s="1"/>
  <c r="AK227" i="7" s="1"/>
  <c r="AB227" i="7"/>
  <c r="AA227" i="7"/>
  <c r="P227" i="7"/>
  <c r="AI226" i="7"/>
  <c r="AF226" i="7"/>
  <c r="AB226" i="7"/>
  <c r="AA226" i="7"/>
  <c r="P226" i="7"/>
  <c r="AI225" i="7"/>
  <c r="AF225" i="7"/>
  <c r="AB225" i="7"/>
  <c r="AA225" i="7"/>
  <c r="P225" i="7"/>
  <c r="AI224" i="7"/>
  <c r="AF224" i="7"/>
  <c r="AJ224" i="7" s="1"/>
  <c r="AB224" i="7"/>
  <c r="AA224" i="7"/>
  <c r="AK224" i="7" s="1"/>
  <c r="P224" i="7"/>
  <c r="AI223" i="7"/>
  <c r="AF223" i="7"/>
  <c r="AJ223" i="7" s="1"/>
  <c r="AB223" i="7"/>
  <c r="AA223" i="7"/>
  <c r="P223" i="7"/>
  <c r="AI222" i="7"/>
  <c r="AF222" i="7"/>
  <c r="AJ222" i="7" s="1"/>
  <c r="AK222" i="7" s="1"/>
  <c r="AB222" i="7"/>
  <c r="AA222" i="7"/>
  <c r="P222" i="7"/>
  <c r="AI221" i="7"/>
  <c r="AF221" i="7"/>
  <c r="AJ221" i="7" s="1"/>
  <c r="AB221" i="7"/>
  <c r="AK221" i="7" s="1"/>
  <c r="AA221" i="7"/>
  <c r="P221" i="7"/>
  <c r="AI220" i="7"/>
  <c r="AF220" i="7"/>
  <c r="AJ220" i="7" s="1"/>
  <c r="AB220" i="7"/>
  <c r="AA220" i="7"/>
  <c r="P220" i="7"/>
  <c r="AI219" i="7"/>
  <c r="AF219" i="7"/>
  <c r="AB219" i="7"/>
  <c r="AA219" i="7"/>
  <c r="P219" i="7"/>
  <c r="AI218" i="7"/>
  <c r="AF218" i="7"/>
  <c r="AB218" i="7"/>
  <c r="AA218" i="7"/>
  <c r="P218" i="7"/>
  <c r="AI217" i="7"/>
  <c r="AF217" i="7"/>
  <c r="AJ217" i="7" s="1"/>
  <c r="AK217" i="7" s="1"/>
  <c r="AB217" i="7"/>
  <c r="AA217" i="7"/>
  <c r="P217" i="7"/>
  <c r="AI216" i="7"/>
  <c r="AF216" i="7"/>
  <c r="AJ216" i="7" s="1"/>
  <c r="AB216" i="7"/>
  <c r="AA216" i="7"/>
  <c r="P216" i="7"/>
  <c r="AI215" i="7"/>
  <c r="AF215" i="7"/>
  <c r="AJ215" i="7" s="1"/>
  <c r="AB215" i="7"/>
  <c r="AK215" i="7" s="1"/>
  <c r="AA215" i="7"/>
  <c r="P215" i="7"/>
  <c r="AI214" i="7"/>
  <c r="AF214" i="7"/>
  <c r="AB214" i="7"/>
  <c r="AA214" i="7"/>
  <c r="P214" i="7"/>
  <c r="AI213" i="7"/>
  <c r="AF213" i="7"/>
  <c r="AJ213" i="7" s="1"/>
  <c r="AB213" i="7"/>
  <c r="AA213" i="7"/>
  <c r="P213" i="7"/>
  <c r="AI212" i="7"/>
  <c r="AF212" i="7"/>
  <c r="AJ212" i="7" s="1"/>
  <c r="AB212" i="7"/>
  <c r="AA212" i="7"/>
  <c r="P212" i="7"/>
  <c r="AI211" i="7"/>
  <c r="AF211" i="7"/>
  <c r="AJ211" i="7" s="1"/>
  <c r="AB211" i="7"/>
  <c r="AA211" i="7"/>
  <c r="P211" i="7"/>
  <c r="AI210" i="7"/>
  <c r="AF210" i="7"/>
  <c r="AJ210" i="7" s="1"/>
  <c r="AK210" i="7" s="1"/>
  <c r="AB210" i="7"/>
  <c r="AA210" i="7"/>
  <c r="P210" i="7"/>
  <c r="AI209" i="7"/>
  <c r="AF209" i="7"/>
  <c r="AB209" i="7"/>
  <c r="AA209" i="7"/>
  <c r="P209" i="7"/>
  <c r="AI208" i="7"/>
  <c r="AF208" i="7"/>
  <c r="AJ208" i="7" s="1"/>
  <c r="AB208" i="7"/>
  <c r="AK208" i="7" s="1"/>
  <c r="AA208" i="7"/>
  <c r="P208" i="7"/>
  <c r="AI207" i="7"/>
  <c r="AF207" i="7"/>
  <c r="AB207" i="7"/>
  <c r="AA207" i="7"/>
  <c r="P207" i="7"/>
  <c r="AI206" i="7"/>
  <c r="AF206" i="7"/>
  <c r="AB206" i="7"/>
  <c r="AA206" i="7"/>
  <c r="P206" i="7"/>
  <c r="AI205" i="7"/>
  <c r="AF205" i="7"/>
  <c r="AJ205" i="7" s="1"/>
  <c r="AK205" i="7" s="1"/>
  <c r="AB205" i="7"/>
  <c r="AA205" i="7"/>
  <c r="P205" i="7"/>
  <c r="AI204" i="7"/>
  <c r="AF204" i="7"/>
  <c r="AB204" i="7"/>
  <c r="AA204" i="7"/>
  <c r="P204" i="7"/>
  <c r="AI203" i="7"/>
  <c r="AF203" i="7"/>
  <c r="AJ203" i="7" s="1"/>
  <c r="AB203" i="7"/>
  <c r="AK203" i="7" s="1"/>
  <c r="AA203" i="7"/>
  <c r="P203" i="7"/>
  <c r="AI202" i="7"/>
  <c r="AF202" i="7"/>
  <c r="AJ202" i="7" s="1"/>
  <c r="AB202" i="7"/>
  <c r="AA202" i="7"/>
  <c r="P202" i="7"/>
  <c r="AI201" i="7"/>
  <c r="AF201" i="7"/>
  <c r="AB201" i="7"/>
  <c r="AA201" i="7"/>
  <c r="P201" i="7"/>
  <c r="AI200" i="7"/>
  <c r="AF200" i="7"/>
  <c r="AJ200" i="7" s="1"/>
  <c r="AB200" i="7"/>
  <c r="AA200" i="7"/>
  <c r="AK200" i="7" s="1"/>
  <c r="P200" i="7"/>
  <c r="AI199" i="7"/>
  <c r="AF199" i="7"/>
  <c r="AJ199" i="7" s="1"/>
  <c r="AB199" i="7"/>
  <c r="AA199" i="7"/>
  <c r="P199" i="7"/>
  <c r="AI198" i="7"/>
  <c r="AF198" i="7"/>
  <c r="AB198" i="7"/>
  <c r="AA198" i="7"/>
  <c r="P198" i="7"/>
  <c r="AI197" i="7"/>
  <c r="AF197" i="7"/>
  <c r="AB197" i="7"/>
  <c r="AA197" i="7"/>
  <c r="P197" i="7"/>
  <c r="AI196" i="7"/>
  <c r="AF196" i="7"/>
  <c r="AJ196" i="7" s="1"/>
  <c r="AB196" i="7"/>
  <c r="AK196" i="7" s="1"/>
  <c r="AA196" i="7"/>
  <c r="P196" i="7"/>
  <c r="AI195" i="7"/>
  <c r="AF195" i="7"/>
  <c r="AJ195" i="7" s="1"/>
  <c r="AB195" i="7"/>
  <c r="AA195" i="7"/>
  <c r="P195" i="7"/>
  <c r="AI194" i="7"/>
  <c r="AF194" i="7"/>
  <c r="AB194" i="7"/>
  <c r="AA194" i="7"/>
  <c r="P194" i="7"/>
  <c r="AI193" i="7"/>
  <c r="AF193" i="7"/>
  <c r="AB193" i="7"/>
  <c r="AA193" i="7"/>
  <c r="P193" i="7"/>
  <c r="AI192" i="7"/>
  <c r="AF192" i="7"/>
  <c r="AJ192" i="7" s="1"/>
  <c r="AB192" i="7"/>
  <c r="AA192" i="7"/>
  <c r="AK192" i="7" s="1"/>
  <c r="P192" i="7"/>
  <c r="AI191" i="7"/>
  <c r="AF191" i="7"/>
  <c r="AJ191" i="7" s="1"/>
  <c r="AK191" i="7" s="1"/>
  <c r="AB191" i="7"/>
  <c r="AA191" i="7"/>
  <c r="P191" i="7"/>
  <c r="AI190" i="7"/>
  <c r="AF190" i="7"/>
  <c r="AJ190" i="7" s="1"/>
  <c r="AB190" i="7"/>
  <c r="AA190" i="7"/>
  <c r="P190" i="7"/>
  <c r="AI189" i="7"/>
  <c r="AF189" i="7"/>
  <c r="AJ189" i="7" s="1"/>
  <c r="AB189" i="7"/>
  <c r="AA189" i="7"/>
  <c r="P189" i="7"/>
  <c r="AI188" i="7"/>
  <c r="AF188" i="7"/>
  <c r="AB188" i="7"/>
  <c r="AA188" i="7"/>
  <c r="P188" i="7"/>
  <c r="AI187" i="7"/>
  <c r="AF187" i="7"/>
  <c r="AJ187" i="7" s="1"/>
  <c r="AB187" i="7"/>
  <c r="AA187" i="7"/>
  <c r="P187" i="7"/>
  <c r="AI186" i="7"/>
  <c r="AF186" i="7"/>
  <c r="AB186" i="7"/>
  <c r="AA186" i="7"/>
  <c r="P186" i="7"/>
  <c r="AI185" i="7"/>
  <c r="AF185" i="7"/>
  <c r="AB185" i="7"/>
  <c r="AA185" i="7"/>
  <c r="P185" i="7"/>
  <c r="AI184" i="7"/>
  <c r="AF184" i="7"/>
  <c r="AJ184" i="7" s="1"/>
  <c r="AB184" i="7"/>
  <c r="AA184" i="7"/>
  <c r="P184" i="7"/>
  <c r="AI183" i="7"/>
  <c r="AF183" i="7"/>
  <c r="AB183" i="7"/>
  <c r="AA183" i="7"/>
  <c r="P183" i="7"/>
  <c r="AI182" i="7"/>
  <c r="AF182" i="7"/>
  <c r="AB182" i="7"/>
  <c r="AA182" i="7"/>
  <c r="P182" i="7"/>
  <c r="AI181" i="7"/>
  <c r="AF181" i="7"/>
  <c r="AJ181" i="7" s="1"/>
  <c r="AK181" i="7" s="1"/>
  <c r="AB181" i="7"/>
  <c r="AA181" i="7"/>
  <c r="P181" i="7"/>
  <c r="AI180" i="7"/>
  <c r="AF180" i="7"/>
  <c r="AJ180" i="7" s="1"/>
  <c r="AB180" i="7"/>
  <c r="AA180" i="7"/>
  <c r="P180" i="7"/>
  <c r="AI179" i="7"/>
  <c r="AF179" i="7"/>
  <c r="AJ179" i="7" s="1"/>
  <c r="AB179" i="7"/>
  <c r="AA179" i="7"/>
  <c r="P179" i="7"/>
  <c r="AI178" i="7"/>
  <c r="AF178" i="7"/>
  <c r="AJ178" i="7" s="1"/>
  <c r="AB178" i="7"/>
  <c r="AA178" i="7"/>
  <c r="P178" i="7"/>
  <c r="AI177" i="7"/>
  <c r="AF177" i="7"/>
  <c r="AJ177" i="7" s="1"/>
  <c r="AB177" i="7"/>
  <c r="AA177" i="7"/>
  <c r="P177" i="7"/>
  <c r="AI176" i="7"/>
  <c r="AF176" i="7"/>
  <c r="AB176" i="7"/>
  <c r="AA176" i="7"/>
  <c r="P176" i="7"/>
  <c r="AI175" i="7"/>
  <c r="AF175" i="7"/>
  <c r="AJ175" i="7" s="1"/>
  <c r="AB175" i="7"/>
  <c r="AK175" i="7" s="1"/>
  <c r="AA175" i="7"/>
  <c r="P175" i="7"/>
  <c r="AI174" i="7"/>
  <c r="AF174" i="7"/>
  <c r="AJ174" i="7" s="1"/>
  <c r="AK174" i="7" s="1"/>
  <c r="AB174" i="7"/>
  <c r="AA174" i="7"/>
  <c r="P174" i="7"/>
  <c r="AJ173" i="7"/>
  <c r="AI173" i="7"/>
  <c r="AF173" i="7"/>
  <c r="AB173" i="7"/>
  <c r="AK173" i="7" s="1"/>
  <c r="AA173" i="7"/>
  <c r="P173" i="7"/>
  <c r="AI172" i="7"/>
  <c r="AF172" i="7"/>
  <c r="AB172" i="7"/>
  <c r="AA172" i="7"/>
  <c r="P172" i="7"/>
  <c r="AF171" i="7"/>
  <c r="AB171" i="7"/>
  <c r="AA171" i="7"/>
  <c r="P171" i="7"/>
  <c r="AI170" i="7"/>
  <c r="AF170" i="7"/>
  <c r="AB170" i="7"/>
  <c r="AA170" i="7"/>
  <c r="P170" i="7"/>
  <c r="AI169" i="7"/>
  <c r="AF169" i="7"/>
  <c r="AJ169" i="7" s="1"/>
  <c r="AK169" i="7" s="1"/>
  <c r="AB169" i="7"/>
  <c r="AA169" i="7"/>
  <c r="P169" i="7"/>
  <c r="AI168" i="7"/>
  <c r="AF168" i="7"/>
  <c r="AJ168" i="7" s="1"/>
  <c r="AB168" i="7"/>
  <c r="AA168" i="7"/>
  <c r="AK168" i="7" s="1"/>
  <c r="P168" i="7"/>
  <c r="AI167" i="7"/>
  <c r="AF167" i="7"/>
  <c r="AJ167" i="7" s="1"/>
  <c r="AB167" i="7"/>
  <c r="AA167" i="7"/>
  <c r="P167" i="7"/>
  <c r="AI166" i="7"/>
  <c r="AF166" i="7"/>
  <c r="AB166" i="7"/>
  <c r="AA166" i="7"/>
  <c r="P166" i="7"/>
  <c r="AI165" i="7"/>
  <c r="AF165" i="7"/>
  <c r="AJ165" i="7" s="1"/>
  <c r="AB165" i="7"/>
  <c r="AA165" i="7"/>
  <c r="P165" i="7"/>
  <c r="AI164" i="7"/>
  <c r="AF164" i="7"/>
  <c r="AB164" i="7"/>
  <c r="AA164" i="7"/>
  <c r="P164" i="7"/>
  <c r="AI163" i="7"/>
  <c r="AF163" i="7"/>
  <c r="AJ163" i="7" s="1"/>
  <c r="AB163" i="7"/>
  <c r="AK163" i="7" s="1"/>
  <c r="AA163" i="7"/>
  <c r="P163" i="7"/>
  <c r="AK162" i="7"/>
  <c r="AI162" i="7"/>
  <c r="AF162" i="7"/>
  <c r="AJ162" i="7" s="1"/>
  <c r="AB162" i="7"/>
  <c r="AA162" i="7"/>
  <c r="P162" i="7"/>
  <c r="AI161" i="7"/>
  <c r="AF161" i="7"/>
  <c r="AJ161" i="7" s="1"/>
  <c r="AB161" i="7"/>
  <c r="AA161" i="7"/>
  <c r="P161" i="7"/>
  <c r="AI160" i="7"/>
  <c r="AF160" i="7"/>
  <c r="AJ160" i="7" s="1"/>
  <c r="AB160" i="7"/>
  <c r="AA160" i="7"/>
  <c r="P160" i="7"/>
  <c r="AI159" i="7"/>
  <c r="AF159" i="7"/>
  <c r="AB159" i="7"/>
  <c r="AA159" i="7"/>
  <c r="P159" i="7"/>
  <c r="AI158" i="7"/>
  <c r="AF158" i="7"/>
  <c r="AJ158" i="7" s="1"/>
  <c r="AB158" i="7"/>
  <c r="AA158" i="7"/>
  <c r="P158" i="7"/>
  <c r="AI157" i="7"/>
  <c r="AF157" i="7"/>
  <c r="AJ157" i="7" s="1"/>
  <c r="AK157" i="7" s="1"/>
  <c r="AB157" i="7"/>
  <c r="AA157" i="7"/>
  <c r="P157" i="7"/>
  <c r="AI156" i="7"/>
  <c r="AF156" i="7"/>
  <c r="AJ156" i="7" s="1"/>
  <c r="AB156" i="7"/>
  <c r="AA156" i="7"/>
  <c r="P156" i="7"/>
  <c r="AI155" i="7"/>
  <c r="AF155" i="7"/>
  <c r="AJ155" i="7" s="1"/>
  <c r="AB155" i="7"/>
  <c r="AA155" i="7"/>
  <c r="P155" i="7"/>
  <c r="AI154" i="7"/>
  <c r="AF154" i="7"/>
  <c r="AB154" i="7"/>
  <c r="AA154" i="7"/>
  <c r="P154" i="7"/>
  <c r="AI153" i="7"/>
  <c r="AF153" i="7"/>
  <c r="AJ153" i="7" s="1"/>
  <c r="AB153" i="7"/>
  <c r="AA153" i="7"/>
  <c r="P153" i="7"/>
  <c r="AI152" i="7"/>
  <c r="AF152" i="7"/>
  <c r="AB152" i="7"/>
  <c r="AA152" i="7"/>
  <c r="P152" i="7"/>
  <c r="AI151" i="7"/>
  <c r="AF151" i="7"/>
  <c r="AJ151" i="7" s="1"/>
  <c r="AB151" i="7"/>
  <c r="AA151" i="7"/>
  <c r="P151" i="7"/>
  <c r="AI150" i="7"/>
  <c r="AF150" i="7"/>
  <c r="AJ150" i="7" s="1"/>
  <c r="AK150" i="7" s="1"/>
  <c r="AB150" i="7"/>
  <c r="AA150" i="7"/>
  <c r="P150" i="7"/>
  <c r="AJ149" i="7"/>
  <c r="AI149" i="7"/>
  <c r="AF149" i="7"/>
  <c r="AB149" i="7"/>
  <c r="AK149" i="7" s="1"/>
  <c r="AA149" i="7"/>
  <c r="P149" i="7"/>
  <c r="AI148" i="7"/>
  <c r="AF148" i="7"/>
  <c r="AB148" i="7"/>
  <c r="AA148" i="7"/>
  <c r="P148" i="7"/>
  <c r="AI147" i="7"/>
  <c r="AF147" i="7"/>
  <c r="AB147" i="7"/>
  <c r="AA147" i="7"/>
  <c r="P147" i="7"/>
  <c r="AI146" i="7"/>
  <c r="AF146" i="7"/>
  <c r="AJ146" i="7" s="1"/>
  <c r="AB146" i="7"/>
  <c r="AA146" i="7"/>
  <c r="P146" i="7"/>
  <c r="AI145" i="7"/>
  <c r="AF145" i="7"/>
  <c r="AJ145" i="7" s="1"/>
  <c r="AK145" i="7" s="1"/>
  <c r="AB145" i="7"/>
  <c r="AA145" i="7"/>
  <c r="P145" i="7"/>
  <c r="AI144" i="7"/>
  <c r="AF144" i="7"/>
  <c r="AJ144" i="7" s="1"/>
  <c r="AB144" i="7"/>
  <c r="AA144" i="7"/>
  <c r="AK144" i="7" s="1"/>
  <c r="P144" i="7"/>
  <c r="AI143" i="7"/>
  <c r="AF143" i="7"/>
  <c r="AJ143" i="7" s="1"/>
  <c r="AB143" i="7"/>
  <c r="AA143" i="7"/>
  <c r="P143" i="7"/>
  <c r="AI142" i="7"/>
  <c r="AF142" i="7"/>
  <c r="AJ142" i="7" s="1"/>
  <c r="AB142" i="7"/>
  <c r="AA142" i="7"/>
  <c r="P142" i="7"/>
  <c r="AI141" i="7"/>
  <c r="AF141" i="7"/>
  <c r="AJ141" i="7" s="1"/>
  <c r="AB141" i="7"/>
  <c r="AA141" i="7"/>
  <c r="P141" i="7"/>
  <c r="AI140" i="7"/>
  <c r="AF140" i="7"/>
  <c r="AJ140" i="7" s="1"/>
  <c r="AB140" i="7"/>
  <c r="AA140" i="7"/>
  <c r="P140" i="7"/>
  <c r="AI139" i="7"/>
  <c r="AF139" i="7"/>
  <c r="AJ139" i="7" s="1"/>
  <c r="AB139" i="7"/>
  <c r="AA139" i="7"/>
  <c r="P139" i="7"/>
  <c r="AI138" i="7"/>
  <c r="AF138" i="7"/>
  <c r="AJ138" i="7" s="1"/>
  <c r="AK138" i="7" s="1"/>
  <c r="AB138" i="7"/>
  <c r="AA138" i="7"/>
  <c r="P138" i="7"/>
  <c r="AI137" i="7"/>
  <c r="AJ137" i="7" s="1"/>
  <c r="AF137" i="7"/>
  <c r="AB137" i="7"/>
  <c r="AA137" i="7"/>
  <c r="P137" i="7"/>
  <c r="AI136" i="7"/>
  <c r="AF136" i="7"/>
  <c r="AJ136" i="7" s="1"/>
  <c r="AB136" i="7"/>
  <c r="AA136" i="7"/>
  <c r="P136" i="7"/>
  <c r="AF135" i="7"/>
  <c r="AB135" i="7"/>
  <c r="AA135" i="7"/>
  <c r="P135" i="7"/>
  <c r="AI134" i="7"/>
  <c r="AF134" i="7"/>
  <c r="AB134" i="7"/>
  <c r="AA134" i="7"/>
  <c r="P134" i="7"/>
  <c r="AI133" i="7"/>
  <c r="AF133" i="7"/>
  <c r="AJ133" i="7" s="1"/>
  <c r="AK133" i="7" s="1"/>
  <c r="AB133" i="7"/>
  <c r="AA133" i="7"/>
  <c r="P133" i="7"/>
  <c r="AI132" i="7"/>
  <c r="AF132" i="7"/>
  <c r="AJ132" i="7" s="1"/>
  <c r="AB132" i="7"/>
  <c r="AA132" i="7"/>
  <c r="P132" i="7"/>
  <c r="AI131" i="7"/>
  <c r="AF131" i="7"/>
  <c r="AJ131" i="7" s="1"/>
  <c r="AB131" i="7"/>
  <c r="AA131" i="7"/>
  <c r="P131" i="7"/>
  <c r="AI130" i="7"/>
  <c r="AF130" i="7"/>
  <c r="AJ130" i="7" s="1"/>
  <c r="AB130" i="7"/>
  <c r="AA130" i="7"/>
  <c r="P130" i="7"/>
  <c r="AI129" i="7"/>
  <c r="AF129" i="7"/>
  <c r="AJ129" i="7" s="1"/>
  <c r="AB129" i="7"/>
  <c r="AA129" i="7"/>
  <c r="P129" i="7"/>
  <c r="AI128" i="7"/>
  <c r="AF128" i="7"/>
  <c r="AB128" i="7"/>
  <c r="AA128" i="7"/>
  <c r="P128" i="7"/>
  <c r="AI127" i="7"/>
  <c r="AF127" i="7"/>
  <c r="AJ127" i="7" s="1"/>
  <c r="AB127" i="7"/>
  <c r="AK127" i="7" s="1"/>
  <c r="AA127" i="7"/>
  <c r="P127" i="7"/>
  <c r="AK126" i="7"/>
  <c r="AI126" i="7"/>
  <c r="AF126" i="7"/>
  <c r="AJ126" i="7" s="1"/>
  <c r="AB126" i="7"/>
  <c r="AA126" i="7"/>
  <c r="P126" i="7"/>
  <c r="AI125" i="7"/>
  <c r="AF125" i="7"/>
  <c r="AJ125" i="7" s="1"/>
  <c r="AB125" i="7"/>
  <c r="AA125" i="7"/>
  <c r="P125" i="7"/>
  <c r="AI124" i="7"/>
  <c r="AF124" i="7"/>
  <c r="AJ124" i="7" s="1"/>
  <c r="AB124" i="7"/>
  <c r="AA124" i="7"/>
  <c r="P124" i="7"/>
  <c r="AF123" i="7"/>
  <c r="AB123" i="7"/>
  <c r="AA123" i="7"/>
  <c r="P123" i="7"/>
  <c r="AI122" i="7"/>
  <c r="AF122" i="7"/>
  <c r="AB122" i="7"/>
  <c r="AA122" i="7"/>
  <c r="P122" i="7"/>
  <c r="AK121" i="7"/>
  <c r="AI121" i="7"/>
  <c r="AF121" i="7"/>
  <c r="AJ121" i="7" s="1"/>
  <c r="AB121" i="7"/>
  <c r="AA121" i="7"/>
  <c r="P121" i="7"/>
  <c r="AI120" i="7"/>
  <c r="AF120" i="7"/>
  <c r="AJ120" i="7" s="1"/>
  <c r="AB120" i="7"/>
  <c r="AA120" i="7"/>
  <c r="P120" i="7"/>
  <c r="AI119" i="7"/>
  <c r="AF119" i="7"/>
  <c r="AJ119" i="7" s="1"/>
  <c r="AB119" i="7"/>
  <c r="AA119" i="7"/>
  <c r="P119" i="7"/>
  <c r="AI118" i="7"/>
  <c r="AF118" i="7"/>
  <c r="AB118" i="7"/>
  <c r="AA118" i="7"/>
  <c r="P118" i="7"/>
  <c r="AI117" i="7"/>
  <c r="AF117" i="7"/>
  <c r="AJ117" i="7" s="1"/>
  <c r="AB117" i="7"/>
  <c r="AA117" i="7"/>
  <c r="P117" i="7"/>
  <c r="AI116" i="7"/>
  <c r="AF116" i="7"/>
  <c r="AB116" i="7"/>
  <c r="AA116" i="7"/>
  <c r="P116" i="7"/>
  <c r="AI115" i="7"/>
  <c r="AB115" i="7"/>
  <c r="AA115" i="7"/>
  <c r="P115" i="7"/>
  <c r="AI114" i="7"/>
  <c r="AF114" i="7"/>
  <c r="AJ114" i="7" s="1"/>
  <c r="AK114" i="7" s="1"/>
  <c r="AB114" i="7"/>
  <c r="AA114" i="7"/>
  <c r="P114" i="7"/>
  <c r="AI113" i="7"/>
  <c r="AF113" i="7"/>
  <c r="AJ113" i="7" s="1"/>
  <c r="AB113" i="7"/>
  <c r="AA113" i="7"/>
  <c r="P113" i="7"/>
  <c r="AI112" i="7"/>
  <c r="AF112" i="7"/>
  <c r="AJ112" i="7" s="1"/>
  <c r="AB112" i="7"/>
  <c r="AA112" i="7"/>
  <c r="P112" i="7"/>
  <c r="AB111" i="7"/>
  <c r="AA111" i="7"/>
  <c r="P111" i="7"/>
  <c r="AI110" i="7"/>
  <c r="AF110" i="7"/>
  <c r="AB110" i="7"/>
  <c r="AA110" i="7"/>
  <c r="P110" i="7"/>
  <c r="AK109" i="7"/>
  <c r="AI109" i="7"/>
  <c r="AF109" i="7"/>
  <c r="AJ109" i="7" s="1"/>
  <c r="AB109" i="7"/>
  <c r="AA109" i="7"/>
  <c r="P109" i="7"/>
  <c r="AI108" i="7"/>
  <c r="AF108" i="7"/>
  <c r="AJ108" i="7" s="1"/>
  <c r="AB108" i="7"/>
  <c r="AA108" i="7"/>
  <c r="P108" i="7"/>
  <c r="AI107" i="7"/>
  <c r="AF107" i="7"/>
  <c r="AJ107" i="7" s="1"/>
  <c r="AB107" i="7"/>
  <c r="AA107" i="7"/>
  <c r="P107" i="7"/>
  <c r="AF106" i="7"/>
  <c r="AB106" i="7"/>
  <c r="AA106" i="7"/>
  <c r="P106" i="7"/>
  <c r="AI105" i="7"/>
  <c r="AF105" i="7"/>
  <c r="AB105" i="7"/>
  <c r="AA105" i="7"/>
  <c r="P105" i="7"/>
  <c r="AI104" i="7"/>
  <c r="AF104" i="7"/>
  <c r="AJ104" i="7" s="1"/>
  <c r="AB104" i="7"/>
  <c r="AA104" i="7"/>
  <c r="P104" i="7"/>
  <c r="AI103" i="7"/>
  <c r="AF103" i="7"/>
  <c r="AJ103" i="7" s="1"/>
  <c r="AB103" i="7"/>
  <c r="AA103" i="7"/>
  <c r="P103" i="7"/>
  <c r="AI102" i="7"/>
  <c r="AF102" i="7"/>
  <c r="AB102" i="7"/>
  <c r="AA102" i="7"/>
  <c r="P102" i="7"/>
  <c r="AI101" i="7"/>
  <c r="AF101" i="7"/>
  <c r="AJ101" i="7" s="1"/>
  <c r="AB101" i="7"/>
  <c r="AA101" i="7"/>
  <c r="P101" i="7"/>
  <c r="AI100" i="7"/>
  <c r="AF100" i="7"/>
  <c r="AB100" i="7"/>
  <c r="AA100" i="7"/>
  <c r="P100" i="7"/>
  <c r="AB99" i="7"/>
  <c r="AA99" i="7"/>
  <c r="P99" i="7"/>
  <c r="AI98" i="7"/>
  <c r="AF98" i="7"/>
  <c r="AJ98" i="7" s="1"/>
  <c r="AK98" i="7" s="1"/>
  <c r="AB98" i="7"/>
  <c r="AA98" i="7"/>
  <c r="P98" i="7"/>
  <c r="AI97" i="7"/>
  <c r="AF97" i="7"/>
  <c r="AJ97" i="7" s="1"/>
  <c r="AB97" i="7"/>
  <c r="AA97" i="7"/>
  <c r="P97" i="7"/>
  <c r="AI96" i="7"/>
  <c r="AB96" i="7"/>
  <c r="AA96" i="7"/>
  <c r="P96" i="7"/>
  <c r="AI95" i="7"/>
  <c r="AF95" i="7"/>
  <c r="AB95" i="7"/>
  <c r="AA95" i="7"/>
  <c r="P95" i="7"/>
  <c r="AI94" i="7"/>
  <c r="AF94" i="7"/>
  <c r="AB94" i="7"/>
  <c r="AA94" i="7"/>
  <c r="P94" i="7"/>
  <c r="AF93" i="7"/>
  <c r="AB93" i="7"/>
  <c r="AA93" i="7"/>
  <c r="P93" i="7"/>
  <c r="AI92" i="7"/>
  <c r="AF92" i="7"/>
  <c r="AB92" i="7"/>
  <c r="AA92" i="7"/>
  <c r="P92" i="7"/>
  <c r="AI91" i="7"/>
  <c r="AF91" i="7"/>
  <c r="AJ91" i="7" s="1"/>
  <c r="AB91" i="7"/>
  <c r="AA91" i="7"/>
  <c r="P91" i="7"/>
  <c r="AF90" i="7"/>
  <c r="AB90" i="7"/>
  <c r="AA90" i="7"/>
  <c r="P90" i="7"/>
  <c r="AI89" i="7"/>
  <c r="AF89" i="7"/>
  <c r="AJ89" i="7" s="1"/>
  <c r="AK89" i="7" s="1"/>
  <c r="AB89" i="7"/>
  <c r="AA89" i="7"/>
  <c r="P89" i="7"/>
  <c r="AI88" i="7"/>
  <c r="AF88" i="7"/>
  <c r="AJ88" i="7" s="1"/>
  <c r="AB88" i="7"/>
  <c r="AA88" i="7"/>
  <c r="P88" i="7"/>
  <c r="AI87" i="7"/>
  <c r="AB87" i="7"/>
  <c r="AA87" i="7"/>
  <c r="P87" i="7"/>
  <c r="AI86" i="7"/>
  <c r="AF86" i="7"/>
  <c r="AJ86" i="7" s="1"/>
  <c r="AB86" i="7"/>
  <c r="AA86" i="7"/>
  <c r="P86" i="7"/>
  <c r="AI85" i="7"/>
  <c r="AF85" i="7"/>
  <c r="AB85" i="7"/>
  <c r="AA85" i="7"/>
  <c r="P85" i="7"/>
  <c r="AI84" i="7"/>
  <c r="AF84" i="7"/>
  <c r="AJ84" i="7" s="1"/>
  <c r="AK84" i="7" s="1"/>
  <c r="AB84" i="7"/>
  <c r="AA84" i="7"/>
  <c r="P84" i="7"/>
  <c r="AI83" i="7"/>
  <c r="AB83" i="7"/>
  <c r="AA83" i="7"/>
  <c r="P83" i="7"/>
  <c r="AI82" i="7"/>
  <c r="AF82" i="7"/>
  <c r="AJ82" i="7" s="1"/>
  <c r="AK82" i="7" s="1"/>
  <c r="AB82" i="7"/>
  <c r="AA82" i="7"/>
  <c r="P82" i="7"/>
  <c r="AI81" i="7"/>
  <c r="AF81" i="7"/>
  <c r="AJ81" i="7" s="1"/>
  <c r="AK81" i="7" s="1"/>
  <c r="AB81" i="7"/>
  <c r="AA81" i="7"/>
  <c r="P81" i="7"/>
  <c r="AI80" i="7"/>
  <c r="AF80" i="7"/>
  <c r="AJ80" i="7" s="1"/>
  <c r="AB80" i="7"/>
  <c r="AA80" i="7"/>
  <c r="P80" i="7"/>
  <c r="AI79" i="7"/>
  <c r="AF79" i="7"/>
  <c r="AB79" i="7"/>
  <c r="AA79" i="7"/>
  <c r="P79" i="7"/>
  <c r="AI78" i="7"/>
  <c r="AF78" i="7"/>
  <c r="AB78" i="7"/>
  <c r="AA78" i="7"/>
  <c r="P78" i="7"/>
  <c r="AI77" i="7"/>
  <c r="AF77" i="7"/>
  <c r="AJ77" i="7" s="1"/>
  <c r="AB77" i="7"/>
  <c r="AK77" i="7" s="1"/>
  <c r="AA77" i="7"/>
  <c r="P77" i="7"/>
  <c r="AI76" i="7"/>
  <c r="AF76" i="7"/>
  <c r="AB76" i="7"/>
  <c r="AA76" i="7"/>
  <c r="P76" i="7"/>
  <c r="AI75" i="7"/>
  <c r="AF75" i="7"/>
  <c r="AB75" i="7"/>
  <c r="AA75" i="7"/>
  <c r="P75" i="7"/>
  <c r="AI74" i="7"/>
  <c r="AF74" i="7"/>
  <c r="AB74" i="7"/>
  <c r="AA74" i="7"/>
  <c r="P74" i="7"/>
  <c r="AI73" i="7"/>
  <c r="AF73" i="7"/>
  <c r="AJ73" i="7" s="1"/>
  <c r="AB73" i="7"/>
  <c r="AA73" i="7"/>
  <c r="P73" i="7"/>
  <c r="AI72" i="7"/>
  <c r="AF72" i="7"/>
  <c r="AJ72" i="7" s="1"/>
  <c r="AB72" i="7"/>
  <c r="AK72" i="7" s="1"/>
  <c r="AA72" i="7"/>
  <c r="P72" i="7"/>
  <c r="AI71" i="7"/>
  <c r="AF71" i="7"/>
  <c r="AB71" i="7"/>
  <c r="AA71" i="7"/>
  <c r="P71" i="7"/>
  <c r="AI70" i="7"/>
  <c r="AF70" i="7"/>
  <c r="AJ70" i="7" s="1"/>
  <c r="AK70" i="7" s="1"/>
  <c r="AB70" i="7"/>
  <c r="AA70" i="7"/>
  <c r="P70" i="7"/>
  <c r="AI69" i="7"/>
  <c r="AF69" i="7"/>
  <c r="AB69" i="7"/>
  <c r="AA69" i="7"/>
  <c r="P69" i="7"/>
  <c r="AI68" i="7"/>
  <c r="AF68" i="7"/>
  <c r="AJ68" i="7" s="1"/>
  <c r="AB68" i="7"/>
  <c r="AA68" i="7"/>
  <c r="P68" i="7"/>
  <c r="AI67" i="7"/>
  <c r="AF67" i="7"/>
  <c r="AJ67" i="7" s="1"/>
  <c r="AB67" i="7"/>
  <c r="AA67" i="7"/>
  <c r="P67" i="7"/>
  <c r="AI66" i="7"/>
  <c r="AF66" i="7"/>
  <c r="AB66" i="7"/>
  <c r="AA66" i="7"/>
  <c r="P66" i="7"/>
  <c r="AI65" i="7"/>
  <c r="AF65" i="7"/>
  <c r="AB65" i="7"/>
  <c r="AA65" i="7"/>
  <c r="P65" i="7"/>
  <c r="AI64" i="7"/>
  <c r="AF64" i="7"/>
  <c r="AJ64" i="7" s="1"/>
  <c r="AB64" i="7"/>
  <c r="AA64" i="7"/>
  <c r="P64" i="7"/>
  <c r="AI63" i="7"/>
  <c r="AF63" i="7"/>
  <c r="AB63" i="7"/>
  <c r="AA63" i="7"/>
  <c r="P63" i="7"/>
  <c r="AI62" i="7"/>
  <c r="AF62" i="7"/>
  <c r="AB62" i="7"/>
  <c r="AA62" i="7"/>
  <c r="P62" i="7"/>
  <c r="AI61" i="7"/>
  <c r="AF61" i="7"/>
  <c r="AB61" i="7"/>
  <c r="AA61" i="7"/>
  <c r="P61" i="7"/>
  <c r="AI60" i="7"/>
  <c r="AF60" i="7"/>
  <c r="AJ60" i="7" s="1"/>
  <c r="AB60" i="7"/>
  <c r="AA60" i="7"/>
  <c r="P60" i="7"/>
  <c r="AI59" i="7"/>
  <c r="AF59" i="7"/>
  <c r="AJ59" i="7" s="1"/>
  <c r="AK59" i="7" s="1"/>
  <c r="AB59" i="7"/>
  <c r="AA59" i="7"/>
  <c r="P59" i="7"/>
  <c r="AI58" i="7"/>
  <c r="AF58" i="7"/>
  <c r="AB58" i="7"/>
  <c r="AA58" i="7"/>
  <c r="P58" i="7"/>
  <c r="AI57" i="7"/>
  <c r="AF57" i="7"/>
  <c r="AB57" i="7"/>
  <c r="AA57" i="7"/>
  <c r="P57" i="7"/>
  <c r="AI56" i="7"/>
  <c r="AF56" i="7"/>
  <c r="AJ56" i="7" s="1"/>
  <c r="AB56" i="7"/>
  <c r="AK56" i="7" s="1"/>
  <c r="AA56" i="7"/>
  <c r="P56" i="7"/>
  <c r="AI55" i="7"/>
  <c r="AF55" i="7"/>
  <c r="AB55" i="7"/>
  <c r="AA55" i="7"/>
  <c r="P55" i="7"/>
  <c r="AI54" i="7"/>
  <c r="AF54" i="7"/>
  <c r="AJ54" i="7" s="1"/>
  <c r="AB54" i="7"/>
  <c r="AK54" i="7" s="1"/>
  <c r="AA54" i="7"/>
  <c r="P54" i="7"/>
  <c r="AI53" i="7"/>
  <c r="AF53" i="7"/>
  <c r="AB53" i="7"/>
  <c r="AA53" i="7"/>
  <c r="P53" i="7"/>
  <c r="AI52" i="7"/>
  <c r="AF52" i="7"/>
  <c r="AJ52" i="7" s="1"/>
  <c r="AB52" i="7"/>
  <c r="AK52" i="7" s="1"/>
  <c r="AA52" i="7"/>
  <c r="P52" i="7"/>
  <c r="AI51" i="7"/>
  <c r="AF51" i="7"/>
  <c r="AB51" i="7"/>
  <c r="AA51" i="7"/>
  <c r="P51" i="7"/>
  <c r="AI50" i="7"/>
  <c r="AF50" i="7"/>
  <c r="AJ50" i="7" s="1"/>
  <c r="AB50" i="7"/>
  <c r="AA50" i="7"/>
  <c r="P50" i="7"/>
  <c r="AI49" i="7"/>
  <c r="AF49" i="7"/>
  <c r="AJ49" i="7" s="1"/>
  <c r="AB49" i="7"/>
  <c r="AA49" i="7"/>
  <c r="P49" i="7"/>
  <c r="AI48" i="7"/>
  <c r="AF48" i="7"/>
  <c r="AJ48" i="7" s="1"/>
  <c r="AB48" i="7"/>
  <c r="AA48" i="7"/>
  <c r="P48" i="7"/>
  <c r="AI47" i="7"/>
  <c r="AF47" i="7"/>
  <c r="AJ47" i="7" s="1"/>
  <c r="AK47" i="7" s="1"/>
  <c r="AB47" i="7"/>
  <c r="AA47" i="7"/>
  <c r="P47" i="7"/>
  <c r="AI46" i="7"/>
  <c r="AF46" i="7"/>
  <c r="AB46" i="7"/>
  <c r="AA46" i="7"/>
  <c r="P46" i="7"/>
  <c r="AI45" i="7"/>
  <c r="AF45" i="7"/>
  <c r="AJ45" i="7" s="1"/>
  <c r="AB45" i="7"/>
  <c r="AA45" i="7"/>
  <c r="P45" i="7"/>
  <c r="AI44" i="7"/>
  <c r="AF44" i="7"/>
  <c r="AJ44" i="7" s="1"/>
  <c r="AB44" i="7"/>
  <c r="AK44" i="7" s="1"/>
  <c r="AA44" i="7"/>
  <c r="P44" i="7"/>
  <c r="AI43" i="7"/>
  <c r="AF43" i="7"/>
  <c r="AB43" i="7"/>
  <c r="AA43" i="7"/>
  <c r="P43" i="7"/>
  <c r="AI42" i="7"/>
  <c r="AF42" i="7"/>
  <c r="AJ42" i="7" s="1"/>
  <c r="AB42" i="7"/>
  <c r="AA42" i="7"/>
  <c r="P42" i="7"/>
  <c r="AI41" i="7"/>
  <c r="AF41" i="7"/>
  <c r="AB41" i="7"/>
  <c r="AA41" i="7"/>
  <c r="P41" i="7"/>
  <c r="AI40" i="7"/>
  <c r="AF40" i="7"/>
  <c r="AB40" i="7"/>
  <c r="AA40" i="7"/>
  <c r="P40" i="7"/>
  <c r="AI39" i="7"/>
  <c r="AF39" i="7"/>
  <c r="AB39" i="7"/>
  <c r="AA39" i="7"/>
  <c r="P39" i="7"/>
  <c r="AI38" i="7"/>
  <c r="AF38" i="7"/>
  <c r="AB38" i="7"/>
  <c r="AA38" i="7"/>
  <c r="P38" i="7"/>
  <c r="AI37" i="7"/>
  <c r="AF37" i="7"/>
  <c r="AJ37" i="7" s="1"/>
  <c r="AB37" i="7"/>
  <c r="AA37" i="7"/>
  <c r="P37" i="7"/>
  <c r="AI36" i="7"/>
  <c r="AF36" i="7"/>
  <c r="AJ36" i="7" s="1"/>
  <c r="AB36" i="7"/>
  <c r="AK36" i="7" s="1"/>
  <c r="AA36" i="7"/>
  <c r="P36" i="7"/>
  <c r="AI35" i="7"/>
  <c r="AF35" i="7"/>
  <c r="AB35" i="7"/>
  <c r="AA35" i="7"/>
  <c r="P35" i="7"/>
  <c r="AI34" i="7"/>
  <c r="AF34" i="7"/>
  <c r="AJ34" i="7" s="1"/>
  <c r="AK34" i="7" s="1"/>
  <c r="AB34" i="7"/>
  <c r="AA34" i="7"/>
  <c r="P34" i="7"/>
  <c r="AI33" i="7"/>
  <c r="AF33" i="7"/>
  <c r="AB33" i="7"/>
  <c r="AA33" i="7"/>
  <c r="P33" i="7"/>
  <c r="AI32" i="7"/>
  <c r="AF32" i="7"/>
  <c r="AJ32" i="7" s="1"/>
  <c r="AK32" i="7" s="1"/>
  <c r="AB32" i="7"/>
  <c r="AA32" i="7"/>
  <c r="P32" i="7"/>
  <c r="AI31" i="7"/>
  <c r="AF31" i="7"/>
  <c r="AJ31" i="7" s="1"/>
  <c r="AB31" i="7"/>
  <c r="AA31" i="7"/>
  <c r="P31" i="7"/>
  <c r="AI30" i="7"/>
  <c r="AF30" i="7"/>
  <c r="AB30" i="7"/>
  <c r="AA30" i="7"/>
  <c r="P30" i="7"/>
  <c r="AI29" i="7"/>
  <c r="AF29" i="7"/>
  <c r="AB29" i="7"/>
  <c r="AA29" i="7"/>
  <c r="P29" i="7"/>
  <c r="AI28" i="7"/>
  <c r="AF28" i="7"/>
  <c r="AJ28" i="7" s="1"/>
  <c r="AB28" i="7"/>
  <c r="AA28" i="7"/>
  <c r="P28" i="7"/>
  <c r="AI27" i="7"/>
  <c r="AF27" i="7"/>
  <c r="AB27" i="7"/>
  <c r="AA27" i="7"/>
  <c r="P27" i="7"/>
  <c r="AI26" i="7"/>
  <c r="AF26" i="7"/>
  <c r="AJ26" i="7" s="1"/>
  <c r="AB26" i="7"/>
  <c r="AA26" i="7"/>
  <c r="P26" i="7"/>
  <c r="AI25" i="7"/>
  <c r="AF25" i="7"/>
  <c r="AB25" i="7"/>
  <c r="AA25" i="7"/>
  <c r="P25" i="7"/>
  <c r="AI24" i="7"/>
  <c r="AF24" i="7"/>
  <c r="AJ24" i="7" s="1"/>
  <c r="AK24" i="7" s="1"/>
  <c r="AB24" i="7"/>
  <c r="AA24" i="7"/>
  <c r="P24" i="7"/>
  <c r="AI23" i="7"/>
  <c r="AF23" i="7"/>
  <c r="AJ23" i="7" s="1"/>
  <c r="AK23" i="7" s="1"/>
  <c r="AB23" i="7"/>
  <c r="AA23" i="7"/>
  <c r="P23" i="7"/>
  <c r="AI22" i="7"/>
  <c r="AF22" i="7"/>
  <c r="AB22" i="7"/>
  <c r="AA22" i="7"/>
  <c r="P22" i="7"/>
  <c r="AI21" i="7"/>
  <c r="AF21" i="7"/>
  <c r="AB21" i="7"/>
  <c r="AA21" i="7"/>
  <c r="P21" i="7"/>
  <c r="AI20" i="7"/>
  <c r="AF20" i="7"/>
  <c r="AJ20" i="7" s="1"/>
  <c r="AB20" i="7"/>
  <c r="AK20" i="7" s="1"/>
  <c r="AA20" i="7"/>
  <c r="P20" i="7"/>
  <c r="AI19" i="7"/>
  <c r="AF19" i="7"/>
  <c r="AB19" i="7"/>
  <c r="AA19" i="7"/>
  <c r="P19" i="7"/>
  <c r="AI18" i="7"/>
  <c r="AF18" i="7"/>
  <c r="AJ18" i="7" s="1"/>
  <c r="AB18" i="7"/>
  <c r="AK18" i="7" s="1"/>
  <c r="AA18" i="7"/>
  <c r="P18" i="7"/>
  <c r="AI17" i="7"/>
  <c r="AF17" i="7"/>
  <c r="AJ17" i="7" s="1"/>
  <c r="AB17" i="7"/>
  <c r="AA17" i="7"/>
  <c r="P17" i="7"/>
  <c r="AI16" i="7"/>
  <c r="AF16" i="7"/>
  <c r="AJ16" i="7" s="1"/>
  <c r="AB16" i="7"/>
  <c r="AK16" i="7" s="1"/>
  <c r="AA16" i="7"/>
  <c r="P16" i="7"/>
  <c r="AI15" i="7"/>
  <c r="AF15" i="7"/>
  <c r="AB15" i="7"/>
  <c r="AA15" i="7"/>
  <c r="P15" i="7"/>
  <c r="AI14" i="7"/>
  <c r="AF14" i="7"/>
  <c r="AJ14" i="7" s="1"/>
  <c r="AB14" i="7"/>
  <c r="AA14" i="7"/>
  <c r="P14" i="7"/>
  <c r="AI13" i="7"/>
  <c r="AF13" i="7"/>
  <c r="AJ13" i="7" s="1"/>
  <c r="AB13" i="7"/>
  <c r="AA13" i="7"/>
  <c r="P13" i="7"/>
  <c r="AI12" i="7"/>
  <c r="AF12" i="7"/>
  <c r="AJ12" i="7" s="1"/>
  <c r="AK12" i="7" s="1"/>
  <c r="AB12" i="7"/>
  <c r="AA12" i="7"/>
  <c r="P12" i="7"/>
  <c r="AI11" i="7"/>
  <c r="AF11" i="7"/>
  <c r="AJ11" i="7" s="1"/>
  <c r="AK11" i="7" s="1"/>
  <c r="AB11" i="7"/>
  <c r="AA11" i="7"/>
  <c r="P11" i="7"/>
  <c r="AI10" i="7"/>
  <c r="AF10" i="7"/>
  <c r="AB10" i="7"/>
  <c r="AA10" i="7"/>
  <c r="P10" i="7"/>
  <c r="AI9" i="7"/>
  <c r="AF9" i="7"/>
  <c r="AJ9" i="7" s="1"/>
  <c r="AB9" i="7"/>
  <c r="AA9" i="7"/>
  <c r="P9" i="7"/>
  <c r="AI8" i="7"/>
  <c r="AF8" i="7"/>
  <c r="AJ8" i="7" s="1"/>
  <c r="AB8" i="7"/>
  <c r="AK8" i="7" s="1"/>
  <c r="AA8" i="7"/>
  <c r="P8" i="7"/>
  <c r="AI7" i="7"/>
  <c r="AF7" i="7"/>
  <c r="AB7" i="7"/>
  <c r="AA7" i="7"/>
  <c r="P7" i="7"/>
  <c r="AI6" i="7"/>
  <c r="AF6" i="7"/>
  <c r="AJ6" i="7" s="1"/>
  <c r="AB6" i="7"/>
  <c r="AA6" i="7"/>
  <c r="P6" i="7"/>
  <c r="AI5" i="7"/>
  <c r="AF5" i="7"/>
  <c r="AB5" i="7"/>
  <c r="AA5" i="7"/>
  <c r="P5" i="7"/>
  <c r="AI4" i="7"/>
  <c r="AF4" i="7"/>
  <c r="AB4" i="7"/>
  <c r="AA4" i="7"/>
  <c r="P4" i="7"/>
  <c r="AI3" i="7"/>
  <c r="AF3" i="7"/>
  <c r="AB3" i="7"/>
  <c r="AA3" i="7"/>
  <c r="P3" i="7"/>
  <c r="AI2" i="7"/>
  <c r="AH2" i="7"/>
  <c r="AG2" i="7"/>
  <c r="AF2" i="7"/>
  <c r="AE2" i="7"/>
  <c r="AD2" i="7"/>
  <c r="AI366" i="6"/>
  <c r="AF366" i="6"/>
  <c r="AJ366" i="6" s="1"/>
  <c r="AK366" i="6" s="1"/>
  <c r="AB366" i="6"/>
  <c r="AA366" i="6"/>
  <c r="AI365" i="6"/>
  <c r="AF365" i="6"/>
  <c r="AB365" i="6"/>
  <c r="AA365" i="6"/>
  <c r="AI364" i="6"/>
  <c r="AF364" i="6"/>
  <c r="AJ364" i="6" s="1"/>
  <c r="AK364" i="6" s="1"/>
  <c r="AB364" i="6"/>
  <c r="AA364" i="6"/>
  <c r="AI363" i="6"/>
  <c r="AF363" i="6"/>
  <c r="AB363" i="6"/>
  <c r="AA363" i="6"/>
  <c r="AI362" i="6"/>
  <c r="AF362" i="6"/>
  <c r="AJ362" i="6" s="1"/>
  <c r="AK362" i="6" s="1"/>
  <c r="AB362" i="6"/>
  <c r="AA362" i="6"/>
  <c r="AI361" i="6"/>
  <c r="AF361" i="6"/>
  <c r="AB361" i="6"/>
  <c r="AA361" i="6"/>
  <c r="AI360" i="6"/>
  <c r="AF360" i="6"/>
  <c r="AJ360" i="6" s="1"/>
  <c r="AK360" i="6" s="1"/>
  <c r="AB360" i="6"/>
  <c r="AA360" i="6"/>
  <c r="AI359" i="6"/>
  <c r="AF359" i="6"/>
  <c r="AJ359" i="6" s="1"/>
  <c r="AK359" i="6" s="1"/>
  <c r="AB359" i="6"/>
  <c r="AA359" i="6"/>
  <c r="AI358" i="6"/>
  <c r="AF358" i="6"/>
  <c r="AB358" i="6"/>
  <c r="AA358" i="6"/>
  <c r="AI357" i="6"/>
  <c r="AF357" i="6"/>
  <c r="AJ357" i="6" s="1"/>
  <c r="AK357" i="6" s="1"/>
  <c r="AB357" i="6"/>
  <c r="AA357" i="6"/>
  <c r="AI356" i="6"/>
  <c r="AF356" i="6"/>
  <c r="AJ356" i="6" s="1"/>
  <c r="AK356" i="6" s="1"/>
  <c r="AB356" i="6"/>
  <c r="AA356" i="6"/>
  <c r="AI355" i="6"/>
  <c r="AF355" i="6"/>
  <c r="AB355" i="6"/>
  <c r="AA355" i="6"/>
  <c r="AI354" i="6"/>
  <c r="AF354" i="6"/>
  <c r="AJ354" i="6" s="1"/>
  <c r="AK354" i="6" s="1"/>
  <c r="AB354" i="6"/>
  <c r="AA354" i="6"/>
  <c r="AI353" i="6"/>
  <c r="AF353" i="6"/>
  <c r="AB353" i="6"/>
  <c r="AA353" i="6"/>
  <c r="AI352" i="6"/>
  <c r="AF352" i="6"/>
  <c r="AB352" i="6"/>
  <c r="AA352" i="6"/>
  <c r="AI351" i="6"/>
  <c r="AF351" i="6"/>
  <c r="AJ351" i="6" s="1"/>
  <c r="AK351" i="6" s="1"/>
  <c r="AB351" i="6"/>
  <c r="AA351" i="6"/>
  <c r="AI350" i="6"/>
  <c r="AF350" i="6"/>
  <c r="AJ350" i="6" s="1"/>
  <c r="AK350" i="6" s="1"/>
  <c r="AB350" i="6"/>
  <c r="AA350" i="6"/>
  <c r="AI349" i="6"/>
  <c r="AF349" i="6"/>
  <c r="AJ349" i="6" s="1"/>
  <c r="AK349" i="6" s="1"/>
  <c r="AB349" i="6"/>
  <c r="AA349" i="6"/>
  <c r="AI348" i="6"/>
  <c r="AF348" i="6"/>
  <c r="AJ348" i="6" s="1"/>
  <c r="AK348" i="6" s="1"/>
  <c r="AB348" i="6"/>
  <c r="AA348" i="6"/>
  <c r="AI347" i="6"/>
  <c r="AF347" i="6"/>
  <c r="AB347" i="6"/>
  <c r="AA347" i="6"/>
  <c r="AI346" i="6"/>
  <c r="AF346" i="6"/>
  <c r="AJ346" i="6" s="1"/>
  <c r="AK346" i="6" s="1"/>
  <c r="AB346" i="6"/>
  <c r="AA346" i="6"/>
  <c r="AI345" i="6"/>
  <c r="AF345" i="6"/>
  <c r="AJ345" i="6" s="1"/>
  <c r="AK345" i="6" s="1"/>
  <c r="AB345" i="6"/>
  <c r="AA345" i="6"/>
  <c r="AI344" i="6"/>
  <c r="AF344" i="6"/>
  <c r="AJ344" i="6" s="1"/>
  <c r="AK344" i="6" s="1"/>
  <c r="AB344" i="6"/>
  <c r="AA344" i="6"/>
  <c r="AI343" i="6"/>
  <c r="AF343" i="6"/>
  <c r="AJ343" i="6" s="1"/>
  <c r="AK343" i="6" s="1"/>
  <c r="AB343" i="6"/>
  <c r="AA343" i="6"/>
  <c r="AI342" i="6"/>
  <c r="AF342" i="6"/>
  <c r="AJ342" i="6" s="1"/>
  <c r="AK342" i="6" s="1"/>
  <c r="AB342" i="6"/>
  <c r="AA342" i="6"/>
  <c r="AI341" i="6"/>
  <c r="AF341" i="6"/>
  <c r="AB341" i="6"/>
  <c r="AA341" i="6"/>
  <c r="AI340" i="6"/>
  <c r="AF340" i="6"/>
  <c r="AJ340" i="6" s="1"/>
  <c r="AK340" i="6" s="1"/>
  <c r="AB340" i="6"/>
  <c r="AA340" i="6"/>
  <c r="AI339" i="6"/>
  <c r="AF339" i="6"/>
  <c r="AJ339" i="6" s="1"/>
  <c r="AK339" i="6" s="1"/>
  <c r="AB339" i="6"/>
  <c r="AA339" i="6"/>
  <c r="AI338" i="6"/>
  <c r="AF338" i="6"/>
  <c r="AJ338" i="6" s="1"/>
  <c r="AK338" i="6" s="1"/>
  <c r="AB338" i="6"/>
  <c r="AA338" i="6"/>
  <c r="AI337" i="6"/>
  <c r="AF337" i="6"/>
  <c r="AB337" i="6"/>
  <c r="AA337" i="6"/>
  <c r="AI336" i="6"/>
  <c r="AF336" i="6"/>
  <c r="AJ336" i="6" s="1"/>
  <c r="AK336" i="6" s="1"/>
  <c r="AB336" i="6"/>
  <c r="AA336" i="6"/>
  <c r="AI335" i="6"/>
  <c r="AF335" i="6"/>
  <c r="AJ335" i="6" s="1"/>
  <c r="AK335" i="6" s="1"/>
  <c r="AB335" i="6"/>
  <c r="AA335" i="6"/>
  <c r="AI334" i="6"/>
  <c r="AF334" i="6"/>
  <c r="AB334" i="6"/>
  <c r="AA334" i="6"/>
  <c r="AI333" i="6"/>
  <c r="AF333" i="6"/>
  <c r="AJ333" i="6" s="1"/>
  <c r="AK333" i="6" s="1"/>
  <c r="AB333" i="6"/>
  <c r="AA333" i="6"/>
  <c r="AI332" i="6"/>
  <c r="AF332" i="6"/>
  <c r="AJ332" i="6" s="1"/>
  <c r="AK332" i="6" s="1"/>
  <c r="AB332" i="6"/>
  <c r="AA332" i="6"/>
  <c r="AI331" i="6"/>
  <c r="AF331" i="6"/>
  <c r="AB331" i="6"/>
  <c r="AA331" i="6"/>
  <c r="AI330" i="6"/>
  <c r="AF330" i="6"/>
  <c r="AJ330" i="6" s="1"/>
  <c r="AK330" i="6" s="1"/>
  <c r="AB330" i="6"/>
  <c r="AA330" i="6"/>
  <c r="AI329" i="6"/>
  <c r="AF329" i="6"/>
  <c r="AJ329" i="6" s="1"/>
  <c r="AK329" i="6" s="1"/>
  <c r="AB329" i="6"/>
  <c r="AA329" i="6"/>
  <c r="AI328" i="6"/>
  <c r="AF328" i="6"/>
  <c r="AB328" i="6"/>
  <c r="AA328" i="6"/>
  <c r="AI327" i="6"/>
  <c r="AF327" i="6"/>
  <c r="AJ327" i="6" s="1"/>
  <c r="AK327" i="6" s="1"/>
  <c r="AB327" i="6"/>
  <c r="AA327" i="6"/>
  <c r="AI326" i="6"/>
  <c r="AF326" i="6"/>
  <c r="AJ326" i="6" s="1"/>
  <c r="AK326" i="6" s="1"/>
  <c r="AB326" i="6"/>
  <c r="AA326" i="6"/>
  <c r="AI325" i="6"/>
  <c r="AF325" i="6"/>
  <c r="AB325" i="6"/>
  <c r="AA325" i="6"/>
  <c r="AI324" i="6"/>
  <c r="AF324" i="6"/>
  <c r="AJ324" i="6" s="1"/>
  <c r="AK324" i="6" s="1"/>
  <c r="AB324" i="6"/>
  <c r="AA324" i="6"/>
  <c r="AI323" i="6"/>
  <c r="AF323" i="6"/>
  <c r="AJ323" i="6" s="1"/>
  <c r="AK323" i="6" s="1"/>
  <c r="AB323" i="6"/>
  <c r="AA323" i="6"/>
  <c r="AI322" i="6"/>
  <c r="AB322" i="6"/>
  <c r="AA322" i="6"/>
  <c r="AI321" i="6"/>
  <c r="AF321" i="6"/>
  <c r="AJ321" i="6" s="1"/>
  <c r="AK321" i="6" s="1"/>
  <c r="AB321" i="6"/>
  <c r="AA321" i="6"/>
  <c r="AI320" i="6"/>
  <c r="AF320" i="6"/>
  <c r="AJ320" i="6" s="1"/>
  <c r="AK320" i="6" s="1"/>
  <c r="AB320" i="6"/>
  <c r="AA320" i="6"/>
  <c r="AI319" i="6"/>
  <c r="AF319" i="6"/>
  <c r="AB319" i="6"/>
  <c r="AA319" i="6"/>
  <c r="AI318" i="6"/>
  <c r="AF318" i="6"/>
  <c r="AB318" i="6"/>
  <c r="AA318" i="6"/>
  <c r="AI317" i="6"/>
  <c r="AF317" i="6"/>
  <c r="AB317" i="6"/>
  <c r="AA317" i="6"/>
  <c r="AI316" i="6"/>
  <c r="AF316" i="6"/>
  <c r="AJ316" i="6" s="1"/>
  <c r="AK316" i="6" s="1"/>
  <c r="AB316" i="6"/>
  <c r="AA316" i="6"/>
  <c r="AI315" i="6"/>
  <c r="AF315" i="6"/>
  <c r="AJ315" i="6" s="1"/>
  <c r="AK315" i="6" s="1"/>
  <c r="AB315" i="6"/>
  <c r="AA315" i="6"/>
  <c r="AI314" i="6"/>
  <c r="AF314" i="6"/>
  <c r="AJ314" i="6" s="1"/>
  <c r="AK314" i="6" s="1"/>
  <c r="AB314" i="6"/>
  <c r="AA314" i="6"/>
  <c r="AK313" i="6"/>
  <c r="AI313" i="6"/>
  <c r="AF313" i="6"/>
  <c r="AJ313" i="6" s="1"/>
  <c r="AB313" i="6"/>
  <c r="AA313" i="6"/>
  <c r="AI312" i="6"/>
  <c r="AF312" i="6"/>
  <c r="AJ312" i="6" s="1"/>
  <c r="AK312" i="6" s="1"/>
  <c r="AB312" i="6"/>
  <c r="AA312" i="6"/>
  <c r="AI311" i="6"/>
  <c r="AF311" i="6"/>
  <c r="AB311" i="6"/>
  <c r="AA311" i="6"/>
  <c r="AI310" i="6"/>
  <c r="AF310" i="6"/>
  <c r="AJ310" i="6" s="1"/>
  <c r="AK310" i="6" s="1"/>
  <c r="AB310" i="6"/>
  <c r="AA310" i="6"/>
  <c r="AI309" i="6"/>
  <c r="AF309" i="6"/>
  <c r="AJ309" i="6" s="1"/>
  <c r="AK309" i="6" s="1"/>
  <c r="AB309" i="6"/>
  <c r="AA309" i="6"/>
  <c r="AI308" i="6"/>
  <c r="AF308" i="6"/>
  <c r="AB308" i="6"/>
  <c r="AA308" i="6"/>
  <c r="AI307" i="6"/>
  <c r="AF307" i="6"/>
  <c r="AB307" i="6"/>
  <c r="AA307" i="6"/>
  <c r="AI306" i="6"/>
  <c r="AF306" i="6"/>
  <c r="AJ306" i="6" s="1"/>
  <c r="AK306" i="6" s="1"/>
  <c r="AB306" i="6"/>
  <c r="AA306" i="6"/>
  <c r="AI305" i="6"/>
  <c r="AF305" i="6"/>
  <c r="AB305" i="6"/>
  <c r="AA305" i="6"/>
  <c r="AI304" i="6"/>
  <c r="AB304" i="6"/>
  <c r="AA304" i="6"/>
  <c r="AK303" i="6"/>
  <c r="AI303" i="6"/>
  <c r="AF303" i="6"/>
  <c r="AJ303" i="6" s="1"/>
  <c r="AB303" i="6"/>
  <c r="AA303" i="6"/>
  <c r="AJ302" i="6"/>
  <c r="AK302" i="6" s="1"/>
  <c r="AI302" i="6"/>
  <c r="AF302" i="6"/>
  <c r="AB302" i="6"/>
  <c r="AA302" i="6"/>
  <c r="AI301" i="6"/>
  <c r="AF301" i="6"/>
  <c r="AB301" i="6"/>
  <c r="AA301" i="6"/>
  <c r="AI300" i="6"/>
  <c r="AF300" i="6"/>
  <c r="AJ300" i="6" s="1"/>
  <c r="AK300" i="6" s="1"/>
  <c r="AB300" i="6"/>
  <c r="AA300" i="6"/>
  <c r="AI299" i="6"/>
  <c r="AF299" i="6"/>
  <c r="AJ299" i="6" s="1"/>
  <c r="AK299" i="6" s="1"/>
  <c r="AB299" i="6"/>
  <c r="AA299" i="6"/>
  <c r="AI298" i="6"/>
  <c r="AF298" i="6"/>
  <c r="AJ298" i="6" s="1"/>
  <c r="AK298" i="6" s="1"/>
  <c r="AB298" i="6"/>
  <c r="AA298" i="6"/>
  <c r="AI297" i="6"/>
  <c r="AF297" i="6"/>
  <c r="AJ297" i="6" s="1"/>
  <c r="AK297" i="6" s="1"/>
  <c r="AB297" i="6"/>
  <c r="AA297" i="6"/>
  <c r="AI296" i="6"/>
  <c r="AJ296" i="6" s="1"/>
  <c r="AK296" i="6" s="1"/>
  <c r="AF296" i="6"/>
  <c r="AB296" i="6"/>
  <c r="AA296" i="6"/>
  <c r="AI295" i="6"/>
  <c r="AF295" i="6"/>
  <c r="AJ295" i="6" s="1"/>
  <c r="AK295" i="6" s="1"/>
  <c r="AB295" i="6"/>
  <c r="AA295" i="6"/>
  <c r="AI294" i="6"/>
  <c r="AF294" i="6"/>
  <c r="AB294" i="6"/>
  <c r="AA294" i="6"/>
  <c r="AI293" i="6"/>
  <c r="AF293" i="6"/>
  <c r="AJ293" i="6" s="1"/>
  <c r="AK293" i="6" s="1"/>
  <c r="AB293" i="6"/>
  <c r="AA293" i="6"/>
  <c r="AI292" i="6"/>
  <c r="AF292" i="6"/>
  <c r="AB292" i="6"/>
  <c r="AA292" i="6"/>
  <c r="AI291" i="6"/>
  <c r="AF291" i="6"/>
  <c r="AJ291" i="6" s="1"/>
  <c r="AK291" i="6" s="1"/>
  <c r="AB291" i="6"/>
  <c r="AA291" i="6"/>
  <c r="AJ290" i="6"/>
  <c r="AK290" i="6" s="1"/>
  <c r="AI290" i="6"/>
  <c r="AF290" i="6"/>
  <c r="AB290" i="6"/>
  <c r="AA290" i="6"/>
  <c r="AI289" i="6"/>
  <c r="AJ289" i="6" s="1"/>
  <c r="AK289" i="6" s="1"/>
  <c r="AF289" i="6"/>
  <c r="AB289" i="6"/>
  <c r="AA289" i="6"/>
  <c r="AI288" i="6"/>
  <c r="AF288" i="6"/>
  <c r="AJ288" i="6" s="1"/>
  <c r="AK288" i="6" s="1"/>
  <c r="AB288" i="6"/>
  <c r="AA288" i="6"/>
  <c r="AI287" i="6"/>
  <c r="AF287" i="6"/>
  <c r="AJ287" i="6" s="1"/>
  <c r="AK287" i="6" s="1"/>
  <c r="AB287" i="6"/>
  <c r="AA287" i="6"/>
  <c r="AI286" i="6"/>
  <c r="AB286" i="6"/>
  <c r="AA286" i="6"/>
  <c r="AI285" i="6"/>
  <c r="AF285" i="6"/>
  <c r="AJ285" i="6" s="1"/>
  <c r="AK285" i="6" s="1"/>
  <c r="AB285" i="6"/>
  <c r="AA285" i="6"/>
  <c r="AI284" i="6"/>
  <c r="AF284" i="6"/>
  <c r="AJ284" i="6" s="1"/>
  <c r="AK284" i="6" s="1"/>
  <c r="AB284" i="6"/>
  <c r="AA284" i="6"/>
  <c r="AI283" i="6"/>
  <c r="AF283" i="6"/>
  <c r="AJ283" i="6" s="1"/>
  <c r="AK283" i="6" s="1"/>
  <c r="AB283" i="6"/>
  <c r="AA283" i="6"/>
  <c r="AI282" i="6"/>
  <c r="AF282" i="6"/>
  <c r="AJ282" i="6" s="1"/>
  <c r="AK282" i="6" s="1"/>
  <c r="AB282" i="6"/>
  <c r="AA282" i="6"/>
  <c r="AI281" i="6"/>
  <c r="AF281" i="6"/>
  <c r="AJ281" i="6" s="1"/>
  <c r="AK281" i="6" s="1"/>
  <c r="AB281" i="6"/>
  <c r="AA281" i="6"/>
  <c r="AI280" i="6"/>
  <c r="AF280" i="6"/>
  <c r="AB280" i="6"/>
  <c r="AA280" i="6"/>
  <c r="AI279" i="6"/>
  <c r="AB279" i="6"/>
  <c r="AA279" i="6"/>
  <c r="AI278" i="6"/>
  <c r="AB278" i="6"/>
  <c r="AA278" i="6"/>
  <c r="AI277" i="6"/>
  <c r="AJ277" i="6" s="1"/>
  <c r="AK277" i="6" s="1"/>
  <c r="AF277" i="6"/>
  <c r="AB277" i="6"/>
  <c r="AA277" i="6"/>
  <c r="AI276" i="6"/>
  <c r="AF276" i="6"/>
  <c r="AJ276" i="6" s="1"/>
  <c r="AK276" i="6" s="1"/>
  <c r="AB276" i="6"/>
  <c r="AA276" i="6"/>
  <c r="AI275" i="6"/>
  <c r="AF275" i="6"/>
  <c r="AJ275" i="6" s="1"/>
  <c r="AK275" i="6" s="1"/>
  <c r="AB275" i="6"/>
  <c r="AA275" i="6"/>
  <c r="AI274" i="6"/>
  <c r="AF274" i="6"/>
  <c r="AJ274" i="6" s="1"/>
  <c r="AK274" i="6" s="1"/>
  <c r="AB274" i="6"/>
  <c r="AA274" i="6"/>
  <c r="AI273" i="6"/>
  <c r="AF273" i="6"/>
  <c r="AJ273" i="6" s="1"/>
  <c r="AK273" i="6" s="1"/>
  <c r="AB273" i="6"/>
  <c r="AA273" i="6"/>
  <c r="AI272" i="6"/>
  <c r="AF272" i="6"/>
  <c r="AJ272" i="6" s="1"/>
  <c r="AK272" i="6" s="1"/>
  <c r="AB272" i="6"/>
  <c r="AA272" i="6"/>
  <c r="AI271" i="6"/>
  <c r="AF271" i="6"/>
  <c r="AJ271" i="6" s="1"/>
  <c r="AK271" i="6" s="1"/>
  <c r="AB271" i="6"/>
  <c r="AA271" i="6"/>
  <c r="AI270" i="6"/>
  <c r="AF270" i="6"/>
  <c r="AJ270" i="6" s="1"/>
  <c r="AK270" i="6" s="1"/>
  <c r="AB270" i="6"/>
  <c r="AA270" i="6"/>
  <c r="AI269" i="6"/>
  <c r="AF269" i="6"/>
  <c r="AJ269" i="6" s="1"/>
  <c r="AK269" i="6" s="1"/>
  <c r="AB269" i="6"/>
  <c r="AA269" i="6"/>
  <c r="AI268" i="6"/>
  <c r="AF268" i="6"/>
  <c r="AJ268" i="6" s="1"/>
  <c r="AK268" i="6" s="1"/>
  <c r="AB268" i="6"/>
  <c r="AA268" i="6"/>
  <c r="AI267" i="6"/>
  <c r="AF267" i="6"/>
  <c r="AJ267" i="6" s="1"/>
  <c r="AK267" i="6" s="1"/>
  <c r="AB267" i="6"/>
  <c r="AA267" i="6"/>
  <c r="AI266" i="6"/>
  <c r="AF266" i="6"/>
  <c r="AJ266" i="6" s="1"/>
  <c r="AK266" i="6" s="1"/>
  <c r="AB266" i="6"/>
  <c r="AA266" i="6"/>
  <c r="AI265" i="6"/>
  <c r="AF265" i="6"/>
  <c r="AJ265" i="6" s="1"/>
  <c r="AK265" i="6" s="1"/>
  <c r="AB265" i="6"/>
  <c r="AA265" i="6"/>
  <c r="AI264" i="6"/>
  <c r="AF264" i="6"/>
  <c r="AJ264" i="6" s="1"/>
  <c r="AK264" i="6" s="1"/>
  <c r="AB264" i="6"/>
  <c r="AA264" i="6"/>
  <c r="AI263" i="6"/>
  <c r="AF263" i="6"/>
  <c r="AJ263" i="6" s="1"/>
  <c r="AK263" i="6" s="1"/>
  <c r="AB263" i="6"/>
  <c r="AA263" i="6"/>
  <c r="AI262" i="6"/>
  <c r="AF262" i="6"/>
  <c r="AJ262" i="6" s="1"/>
  <c r="AK262" i="6" s="1"/>
  <c r="AB262" i="6"/>
  <c r="AA262" i="6"/>
  <c r="AI261" i="6"/>
  <c r="AF261" i="6"/>
  <c r="AJ261" i="6" s="1"/>
  <c r="AK261" i="6" s="1"/>
  <c r="AB261" i="6"/>
  <c r="AA261" i="6"/>
  <c r="AI260" i="6"/>
  <c r="AF260" i="6"/>
  <c r="AJ260" i="6" s="1"/>
  <c r="AK260" i="6" s="1"/>
  <c r="AB260" i="6"/>
  <c r="AA260" i="6"/>
  <c r="AI259" i="6"/>
  <c r="AF259" i="6"/>
  <c r="AJ259" i="6" s="1"/>
  <c r="AK259" i="6" s="1"/>
  <c r="AB259" i="6"/>
  <c r="AA259" i="6"/>
  <c r="AI258" i="6"/>
  <c r="AF258" i="6"/>
  <c r="AJ258" i="6" s="1"/>
  <c r="AK258" i="6" s="1"/>
  <c r="AB258" i="6"/>
  <c r="AA258" i="6"/>
  <c r="AI257" i="6"/>
  <c r="AF257" i="6"/>
  <c r="AJ257" i="6" s="1"/>
  <c r="AK257" i="6" s="1"/>
  <c r="AB257" i="6"/>
  <c r="AA257" i="6"/>
  <c r="AI256" i="6"/>
  <c r="AF256" i="6"/>
  <c r="AJ256" i="6" s="1"/>
  <c r="AK256" i="6" s="1"/>
  <c r="AB256" i="6"/>
  <c r="AA256" i="6"/>
  <c r="AI255" i="6"/>
  <c r="AF255" i="6"/>
  <c r="AJ255" i="6" s="1"/>
  <c r="AK255" i="6" s="1"/>
  <c r="AB255" i="6"/>
  <c r="AA255" i="6"/>
  <c r="AI254" i="6"/>
  <c r="AF254" i="6"/>
  <c r="AJ254" i="6" s="1"/>
  <c r="AK254" i="6" s="1"/>
  <c r="AB254" i="6"/>
  <c r="AA254" i="6"/>
  <c r="AI253" i="6"/>
  <c r="AF253" i="6"/>
  <c r="AJ253" i="6" s="1"/>
  <c r="AK253" i="6" s="1"/>
  <c r="AB253" i="6"/>
  <c r="AA253" i="6"/>
  <c r="AI252" i="6"/>
  <c r="AF252" i="6"/>
  <c r="AJ252" i="6" s="1"/>
  <c r="AK252" i="6" s="1"/>
  <c r="AB252" i="6"/>
  <c r="AA252" i="6"/>
  <c r="AI251" i="6"/>
  <c r="AF251" i="6"/>
  <c r="AJ251" i="6" s="1"/>
  <c r="AK251" i="6" s="1"/>
  <c r="AB251" i="6"/>
  <c r="AA251" i="6"/>
  <c r="AI250" i="6"/>
  <c r="AF250" i="6"/>
  <c r="AJ250" i="6" s="1"/>
  <c r="AK250" i="6" s="1"/>
  <c r="AB250" i="6"/>
  <c r="AA250" i="6"/>
  <c r="AI249" i="6"/>
  <c r="AF249" i="6"/>
  <c r="AJ249" i="6" s="1"/>
  <c r="AK249" i="6" s="1"/>
  <c r="AB249" i="6"/>
  <c r="AA249" i="6"/>
  <c r="AI248" i="6"/>
  <c r="AF248" i="6"/>
  <c r="AJ248" i="6" s="1"/>
  <c r="AK248" i="6" s="1"/>
  <c r="AB248" i="6"/>
  <c r="AA248" i="6"/>
  <c r="AI247" i="6"/>
  <c r="AF247" i="6"/>
  <c r="AJ247" i="6" s="1"/>
  <c r="AK247" i="6" s="1"/>
  <c r="AB247" i="6"/>
  <c r="AA247" i="6"/>
  <c r="AI246" i="6"/>
  <c r="AF246" i="6"/>
  <c r="AJ246" i="6" s="1"/>
  <c r="AK246" i="6" s="1"/>
  <c r="AB246" i="6"/>
  <c r="AA246" i="6"/>
  <c r="AI245" i="6"/>
  <c r="AF245" i="6"/>
  <c r="AJ245" i="6" s="1"/>
  <c r="AK245" i="6" s="1"/>
  <c r="AB245" i="6"/>
  <c r="AA245" i="6"/>
  <c r="AI244" i="6"/>
  <c r="AF244" i="6"/>
  <c r="AJ244" i="6" s="1"/>
  <c r="AK244" i="6" s="1"/>
  <c r="AB244" i="6"/>
  <c r="AA244" i="6"/>
  <c r="AI243" i="6"/>
  <c r="AF243" i="6"/>
  <c r="AJ243" i="6" s="1"/>
  <c r="AK243" i="6" s="1"/>
  <c r="AB243" i="6"/>
  <c r="AA243" i="6"/>
  <c r="AI242" i="6"/>
  <c r="AF242" i="6"/>
  <c r="AJ242" i="6" s="1"/>
  <c r="AK242" i="6" s="1"/>
  <c r="AB242" i="6"/>
  <c r="AA242" i="6"/>
  <c r="AI241" i="6"/>
  <c r="AF241" i="6"/>
  <c r="AJ241" i="6" s="1"/>
  <c r="AK241" i="6" s="1"/>
  <c r="AB241" i="6"/>
  <c r="AA241" i="6"/>
  <c r="AI240" i="6"/>
  <c r="AF240" i="6"/>
  <c r="AJ240" i="6" s="1"/>
  <c r="AK240" i="6" s="1"/>
  <c r="AB240" i="6"/>
  <c r="AA240" i="6"/>
  <c r="AI239" i="6"/>
  <c r="AF239" i="6"/>
  <c r="AJ239" i="6" s="1"/>
  <c r="AK239" i="6" s="1"/>
  <c r="AB239" i="6"/>
  <c r="AA239" i="6"/>
  <c r="AI238" i="6"/>
  <c r="AF238" i="6"/>
  <c r="AJ238" i="6" s="1"/>
  <c r="AK238" i="6" s="1"/>
  <c r="AB238" i="6"/>
  <c r="AA238" i="6"/>
  <c r="AI237" i="6"/>
  <c r="AF237" i="6"/>
  <c r="AJ237" i="6" s="1"/>
  <c r="AK237" i="6" s="1"/>
  <c r="AB237" i="6"/>
  <c r="AA237" i="6"/>
  <c r="AI236" i="6"/>
  <c r="AF236" i="6"/>
  <c r="AJ236" i="6" s="1"/>
  <c r="AK236" i="6" s="1"/>
  <c r="AB236" i="6"/>
  <c r="AA236" i="6"/>
  <c r="AI235" i="6"/>
  <c r="AF235" i="6"/>
  <c r="AJ235" i="6" s="1"/>
  <c r="AK235" i="6" s="1"/>
  <c r="AB235" i="6"/>
  <c r="AA235" i="6"/>
  <c r="AI234" i="6"/>
  <c r="AF234" i="6"/>
  <c r="AJ234" i="6" s="1"/>
  <c r="AK234" i="6" s="1"/>
  <c r="AB234" i="6"/>
  <c r="AA234" i="6"/>
  <c r="AI233" i="6"/>
  <c r="AF233" i="6"/>
  <c r="AJ233" i="6" s="1"/>
  <c r="AK233" i="6" s="1"/>
  <c r="AB233" i="6"/>
  <c r="AA233" i="6"/>
  <c r="AI232" i="6"/>
  <c r="AF232" i="6"/>
  <c r="AJ232" i="6" s="1"/>
  <c r="AK232" i="6" s="1"/>
  <c r="AB232" i="6"/>
  <c r="AA232" i="6"/>
  <c r="AI231" i="6"/>
  <c r="AF231" i="6"/>
  <c r="AJ231" i="6" s="1"/>
  <c r="AK231" i="6" s="1"/>
  <c r="AB231" i="6"/>
  <c r="AA231" i="6"/>
  <c r="AI230" i="6"/>
  <c r="AF230" i="6"/>
  <c r="AJ230" i="6" s="1"/>
  <c r="AK230" i="6" s="1"/>
  <c r="AB230" i="6"/>
  <c r="AA230" i="6"/>
  <c r="AI229" i="6"/>
  <c r="AF229" i="6"/>
  <c r="AJ229" i="6" s="1"/>
  <c r="AK229" i="6" s="1"/>
  <c r="AB229" i="6"/>
  <c r="AA229" i="6"/>
  <c r="AI228" i="6"/>
  <c r="AF228" i="6"/>
  <c r="AJ228" i="6" s="1"/>
  <c r="AK228" i="6" s="1"/>
  <c r="AB228" i="6"/>
  <c r="AA228" i="6"/>
  <c r="AI227" i="6"/>
  <c r="AF227" i="6"/>
  <c r="AJ227" i="6" s="1"/>
  <c r="AK227" i="6" s="1"/>
  <c r="AB227" i="6"/>
  <c r="AA227" i="6"/>
  <c r="AI226" i="6"/>
  <c r="AF226" i="6"/>
  <c r="AJ226" i="6" s="1"/>
  <c r="AK226" i="6" s="1"/>
  <c r="AB226" i="6"/>
  <c r="AA226" i="6"/>
  <c r="AI225" i="6"/>
  <c r="AF225" i="6"/>
  <c r="AJ225" i="6" s="1"/>
  <c r="AK225" i="6" s="1"/>
  <c r="AB225" i="6"/>
  <c r="AA225" i="6"/>
  <c r="AI224" i="6"/>
  <c r="AF224" i="6"/>
  <c r="AJ224" i="6" s="1"/>
  <c r="AK224" i="6" s="1"/>
  <c r="AB224" i="6"/>
  <c r="AA224" i="6"/>
  <c r="AI223" i="6"/>
  <c r="AF223" i="6"/>
  <c r="AJ223" i="6" s="1"/>
  <c r="AK223" i="6" s="1"/>
  <c r="AB223" i="6"/>
  <c r="AA223" i="6"/>
  <c r="AI222" i="6"/>
  <c r="AF222" i="6"/>
  <c r="AJ222" i="6" s="1"/>
  <c r="AK222" i="6" s="1"/>
  <c r="AB222" i="6"/>
  <c r="AA222" i="6"/>
  <c r="AI221" i="6"/>
  <c r="AF221" i="6"/>
  <c r="AJ221" i="6" s="1"/>
  <c r="AK221" i="6" s="1"/>
  <c r="AB221" i="6"/>
  <c r="AA221" i="6"/>
  <c r="AI220" i="6"/>
  <c r="AF220" i="6"/>
  <c r="AJ220" i="6" s="1"/>
  <c r="AK220" i="6" s="1"/>
  <c r="AB220" i="6"/>
  <c r="AA220" i="6"/>
  <c r="AI219" i="6"/>
  <c r="AF219" i="6"/>
  <c r="AJ219" i="6" s="1"/>
  <c r="AK219" i="6" s="1"/>
  <c r="AB219" i="6"/>
  <c r="AA219" i="6"/>
  <c r="AI218" i="6"/>
  <c r="AF218" i="6"/>
  <c r="AJ218" i="6" s="1"/>
  <c r="AK218" i="6" s="1"/>
  <c r="AB218" i="6"/>
  <c r="AA218" i="6"/>
  <c r="AI217" i="6"/>
  <c r="AF217" i="6"/>
  <c r="AJ217" i="6" s="1"/>
  <c r="AK217" i="6" s="1"/>
  <c r="AB217" i="6"/>
  <c r="AA217" i="6"/>
  <c r="AI216" i="6"/>
  <c r="AF216" i="6"/>
  <c r="AJ216" i="6" s="1"/>
  <c r="AK216" i="6" s="1"/>
  <c r="AB216" i="6"/>
  <c r="AA216" i="6"/>
  <c r="AI215" i="6"/>
  <c r="AF215" i="6"/>
  <c r="AJ215" i="6" s="1"/>
  <c r="AK215" i="6" s="1"/>
  <c r="AB215" i="6"/>
  <c r="AA215" i="6"/>
  <c r="AI214" i="6"/>
  <c r="AF214" i="6"/>
  <c r="AJ214" i="6" s="1"/>
  <c r="AK214" i="6" s="1"/>
  <c r="AB214" i="6"/>
  <c r="AA214" i="6"/>
  <c r="AI213" i="6"/>
  <c r="AF213" i="6"/>
  <c r="AJ213" i="6" s="1"/>
  <c r="AK213" i="6" s="1"/>
  <c r="AB213" i="6"/>
  <c r="AA213" i="6"/>
  <c r="AI212" i="6"/>
  <c r="AF212" i="6"/>
  <c r="AJ212" i="6" s="1"/>
  <c r="AK212" i="6" s="1"/>
  <c r="AB212" i="6"/>
  <c r="AA212" i="6"/>
  <c r="AI211" i="6"/>
  <c r="AF211" i="6"/>
  <c r="AJ211" i="6" s="1"/>
  <c r="AK211" i="6" s="1"/>
  <c r="AB211" i="6"/>
  <c r="AA211" i="6"/>
  <c r="AI210" i="6"/>
  <c r="AF210" i="6"/>
  <c r="AJ210" i="6" s="1"/>
  <c r="AK210" i="6" s="1"/>
  <c r="AB210" i="6"/>
  <c r="AA210" i="6"/>
  <c r="AI209" i="6"/>
  <c r="AF209" i="6"/>
  <c r="AJ209" i="6" s="1"/>
  <c r="AK209" i="6" s="1"/>
  <c r="AB209" i="6"/>
  <c r="AA209" i="6"/>
  <c r="AI208" i="6"/>
  <c r="AF208" i="6"/>
  <c r="AJ208" i="6" s="1"/>
  <c r="AK208" i="6" s="1"/>
  <c r="AB208" i="6"/>
  <c r="AA208" i="6"/>
  <c r="AI207" i="6"/>
  <c r="AF207" i="6"/>
  <c r="AJ207" i="6" s="1"/>
  <c r="AK207" i="6" s="1"/>
  <c r="AB207" i="6"/>
  <c r="AA207" i="6"/>
  <c r="AI206" i="6"/>
  <c r="AF206" i="6"/>
  <c r="AJ206" i="6" s="1"/>
  <c r="AK206" i="6" s="1"/>
  <c r="AB206" i="6"/>
  <c r="AA206" i="6"/>
  <c r="AI205" i="6"/>
  <c r="AF205" i="6"/>
  <c r="AJ205" i="6" s="1"/>
  <c r="AK205" i="6" s="1"/>
  <c r="AB205" i="6"/>
  <c r="AA205" i="6"/>
  <c r="AI204" i="6"/>
  <c r="AF204" i="6"/>
  <c r="AJ204" i="6" s="1"/>
  <c r="AK204" i="6" s="1"/>
  <c r="AB204" i="6"/>
  <c r="AA204" i="6"/>
  <c r="AI203" i="6"/>
  <c r="AF203" i="6"/>
  <c r="AJ203" i="6" s="1"/>
  <c r="AK203" i="6" s="1"/>
  <c r="AB203" i="6"/>
  <c r="AA203" i="6"/>
  <c r="AI202" i="6"/>
  <c r="AF202" i="6"/>
  <c r="AJ202" i="6" s="1"/>
  <c r="AK202" i="6" s="1"/>
  <c r="AB202" i="6"/>
  <c r="AA202" i="6"/>
  <c r="AI201" i="6"/>
  <c r="AF201" i="6"/>
  <c r="AJ201" i="6" s="1"/>
  <c r="AK201" i="6" s="1"/>
  <c r="AB201" i="6"/>
  <c r="AA201" i="6"/>
  <c r="AI200" i="6"/>
  <c r="AF200" i="6"/>
  <c r="AJ200" i="6" s="1"/>
  <c r="AK200" i="6" s="1"/>
  <c r="AB200" i="6"/>
  <c r="AA200" i="6"/>
  <c r="AI199" i="6"/>
  <c r="AF199" i="6"/>
  <c r="AJ199" i="6" s="1"/>
  <c r="AK199" i="6" s="1"/>
  <c r="AB199" i="6"/>
  <c r="AA199" i="6"/>
  <c r="AI198" i="6"/>
  <c r="AF198" i="6"/>
  <c r="AJ198" i="6" s="1"/>
  <c r="AK198" i="6" s="1"/>
  <c r="AB198" i="6"/>
  <c r="AA198" i="6"/>
  <c r="AI197" i="6"/>
  <c r="AF197" i="6"/>
  <c r="AJ197" i="6" s="1"/>
  <c r="AK197" i="6" s="1"/>
  <c r="AB197" i="6"/>
  <c r="AA197" i="6"/>
  <c r="AI196" i="6"/>
  <c r="AF196" i="6"/>
  <c r="AJ196" i="6" s="1"/>
  <c r="AK196" i="6" s="1"/>
  <c r="AB196" i="6"/>
  <c r="AA196" i="6"/>
  <c r="AI195" i="6"/>
  <c r="AF195" i="6"/>
  <c r="AJ195" i="6" s="1"/>
  <c r="AK195" i="6" s="1"/>
  <c r="AB195" i="6"/>
  <c r="AA195" i="6"/>
  <c r="AI194" i="6"/>
  <c r="AF194" i="6"/>
  <c r="AJ194" i="6" s="1"/>
  <c r="AK194" i="6" s="1"/>
  <c r="AB194" i="6"/>
  <c r="AA194" i="6"/>
  <c r="AI193" i="6"/>
  <c r="AF193" i="6"/>
  <c r="AJ193" i="6" s="1"/>
  <c r="AK193" i="6" s="1"/>
  <c r="AB193" i="6"/>
  <c r="AA193" i="6"/>
  <c r="AI192" i="6"/>
  <c r="AF192" i="6"/>
  <c r="AJ192" i="6" s="1"/>
  <c r="AK192" i="6" s="1"/>
  <c r="AB192" i="6"/>
  <c r="AA192" i="6"/>
  <c r="AI191" i="6"/>
  <c r="AF191" i="6"/>
  <c r="AJ191" i="6" s="1"/>
  <c r="AK191" i="6" s="1"/>
  <c r="AB191" i="6"/>
  <c r="AA191" i="6"/>
  <c r="AI190" i="6"/>
  <c r="AF190" i="6"/>
  <c r="AJ190" i="6" s="1"/>
  <c r="AK190" i="6" s="1"/>
  <c r="AB190" i="6"/>
  <c r="AA190" i="6"/>
  <c r="AI189" i="6"/>
  <c r="AF189" i="6"/>
  <c r="AJ189" i="6" s="1"/>
  <c r="AK189" i="6" s="1"/>
  <c r="AB189" i="6"/>
  <c r="AA189" i="6"/>
  <c r="AI188" i="6"/>
  <c r="AF188" i="6"/>
  <c r="AJ188" i="6" s="1"/>
  <c r="AK188" i="6" s="1"/>
  <c r="AB188" i="6"/>
  <c r="AA188" i="6"/>
  <c r="AI187" i="6"/>
  <c r="AF187" i="6"/>
  <c r="AJ187" i="6" s="1"/>
  <c r="AK187" i="6" s="1"/>
  <c r="AB187" i="6"/>
  <c r="AA187" i="6"/>
  <c r="AI186" i="6"/>
  <c r="AF186" i="6"/>
  <c r="AJ186" i="6" s="1"/>
  <c r="AK186" i="6" s="1"/>
  <c r="AB186" i="6"/>
  <c r="AA186" i="6"/>
  <c r="AI185" i="6"/>
  <c r="AF185" i="6"/>
  <c r="AJ185" i="6" s="1"/>
  <c r="AK185" i="6" s="1"/>
  <c r="AB185" i="6"/>
  <c r="AA185" i="6"/>
  <c r="AI184" i="6"/>
  <c r="AF184" i="6"/>
  <c r="AJ184" i="6" s="1"/>
  <c r="AK184" i="6" s="1"/>
  <c r="AB184" i="6"/>
  <c r="AA184" i="6"/>
  <c r="AI183" i="6"/>
  <c r="AF183" i="6"/>
  <c r="AJ183" i="6" s="1"/>
  <c r="AK183" i="6" s="1"/>
  <c r="AB183" i="6"/>
  <c r="AA183" i="6"/>
  <c r="AQ182" i="6"/>
  <c r="AI182" i="6"/>
  <c r="AF182" i="6"/>
  <c r="AJ182" i="6" s="1"/>
  <c r="AK182" i="6" s="1"/>
  <c r="AB182" i="6"/>
  <c r="AA182" i="6"/>
  <c r="AI181" i="6"/>
  <c r="AF181" i="6"/>
  <c r="AJ181" i="6" s="1"/>
  <c r="AK181" i="6" s="1"/>
  <c r="AB181" i="6"/>
  <c r="AA181" i="6"/>
  <c r="AI180" i="6"/>
  <c r="AF180" i="6"/>
  <c r="AJ180" i="6" s="1"/>
  <c r="AK180" i="6" s="1"/>
  <c r="AB180" i="6"/>
  <c r="AA180" i="6"/>
  <c r="AI179" i="6"/>
  <c r="AF179" i="6"/>
  <c r="AJ179" i="6" s="1"/>
  <c r="AK179" i="6" s="1"/>
  <c r="AB179" i="6"/>
  <c r="AA179" i="6"/>
  <c r="AI178" i="6"/>
  <c r="AF178" i="6"/>
  <c r="AJ178" i="6" s="1"/>
  <c r="AK178" i="6" s="1"/>
  <c r="AB178" i="6"/>
  <c r="AA178" i="6"/>
  <c r="AI177" i="6"/>
  <c r="AF177" i="6"/>
  <c r="AJ177" i="6" s="1"/>
  <c r="AK177" i="6" s="1"/>
  <c r="AB177" i="6"/>
  <c r="AA177" i="6"/>
  <c r="AI176" i="6"/>
  <c r="AF176" i="6"/>
  <c r="AJ176" i="6" s="1"/>
  <c r="AK176" i="6" s="1"/>
  <c r="AB176" i="6"/>
  <c r="AA176" i="6"/>
  <c r="AI175" i="6"/>
  <c r="AF175" i="6"/>
  <c r="AJ175" i="6" s="1"/>
  <c r="AK175" i="6" s="1"/>
  <c r="AB175" i="6"/>
  <c r="AA175" i="6"/>
  <c r="AI174" i="6"/>
  <c r="AF174" i="6"/>
  <c r="AJ174" i="6" s="1"/>
  <c r="AK174" i="6" s="1"/>
  <c r="AB174" i="6"/>
  <c r="AA174" i="6"/>
  <c r="AI173" i="6"/>
  <c r="AF173" i="6"/>
  <c r="AJ173" i="6" s="1"/>
  <c r="AK173" i="6" s="1"/>
  <c r="AB173" i="6"/>
  <c r="AA173" i="6"/>
  <c r="AI172" i="6"/>
  <c r="AF172" i="6"/>
  <c r="AJ172" i="6" s="1"/>
  <c r="AK172" i="6" s="1"/>
  <c r="AB172" i="6"/>
  <c r="AA172" i="6"/>
  <c r="AI171" i="6"/>
  <c r="AF171" i="6"/>
  <c r="AJ171" i="6" s="1"/>
  <c r="AK171" i="6" s="1"/>
  <c r="AB171" i="6"/>
  <c r="AA171" i="6"/>
  <c r="AI170" i="6"/>
  <c r="AF170" i="6"/>
  <c r="AJ170" i="6" s="1"/>
  <c r="AK170" i="6" s="1"/>
  <c r="AB170" i="6"/>
  <c r="AA170" i="6"/>
  <c r="AI169" i="6"/>
  <c r="AF169" i="6"/>
  <c r="AJ169" i="6" s="1"/>
  <c r="AK169" i="6" s="1"/>
  <c r="AB169" i="6"/>
  <c r="AA169" i="6"/>
  <c r="AI168" i="6"/>
  <c r="AF168" i="6"/>
  <c r="AJ168" i="6" s="1"/>
  <c r="AK168" i="6" s="1"/>
  <c r="AB168" i="6"/>
  <c r="AA168" i="6"/>
  <c r="AI167" i="6"/>
  <c r="AF167" i="6"/>
  <c r="AJ167" i="6" s="1"/>
  <c r="AK167" i="6" s="1"/>
  <c r="AB167" i="6"/>
  <c r="AA167" i="6"/>
  <c r="AI166" i="6"/>
  <c r="AF166" i="6"/>
  <c r="AJ166" i="6" s="1"/>
  <c r="AK166" i="6" s="1"/>
  <c r="AB166" i="6"/>
  <c r="AA166" i="6"/>
  <c r="AQ165" i="6"/>
  <c r="AI165" i="6"/>
  <c r="AF165" i="6"/>
  <c r="AJ165" i="6" s="1"/>
  <c r="AK165" i="6" s="1"/>
  <c r="AB165" i="6"/>
  <c r="AA165" i="6"/>
  <c r="AI164" i="6"/>
  <c r="AJ164" i="6" s="1"/>
  <c r="AK164" i="6" s="1"/>
  <c r="AF164" i="6"/>
  <c r="AB164" i="6"/>
  <c r="AA164" i="6"/>
  <c r="AQ163" i="6"/>
  <c r="AI163" i="6"/>
  <c r="AF163" i="6"/>
  <c r="AJ163" i="6" s="1"/>
  <c r="AK163" i="6" s="1"/>
  <c r="AB163" i="6"/>
  <c r="AA163" i="6"/>
  <c r="AQ162" i="6"/>
  <c r="AI162" i="6"/>
  <c r="AF162" i="6"/>
  <c r="AJ162" i="6" s="1"/>
  <c r="AK162" i="6" s="1"/>
  <c r="AB162" i="6"/>
  <c r="AA162" i="6"/>
  <c r="AQ161" i="6"/>
  <c r="AI161" i="6"/>
  <c r="AF161" i="6"/>
  <c r="AJ161" i="6" s="1"/>
  <c r="AK161" i="6" s="1"/>
  <c r="AB161" i="6"/>
  <c r="AA161" i="6"/>
  <c r="AQ160" i="6"/>
  <c r="AI160" i="6"/>
  <c r="AF160" i="6"/>
  <c r="AJ160" i="6" s="1"/>
  <c r="AK160" i="6" s="1"/>
  <c r="AB160" i="6"/>
  <c r="AA160" i="6"/>
  <c r="AI159" i="6"/>
  <c r="AF159" i="6"/>
  <c r="AJ159" i="6" s="1"/>
  <c r="AK159" i="6" s="1"/>
  <c r="AB159" i="6"/>
  <c r="AA159" i="6"/>
  <c r="AI158" i="6"/>
  <c r="AF158" i="6"/>
  <c r="AJ158" i="6" s="1"/>
  <c r="AK158" i="6" s="1"/>
  <c r="AB158" i="6"/>
  <c r="AA158" i="6"/>
  <c r="AJ157" i="6"/>
  <c r="AK157" i="6" s="1"/>
  <c r="AI157" i="6"/>
  <c r="AF157" i="6"/>
  <c r="AB157" i="6"/>
  <c r="AA157" i="6"/>
  <c r="AI156" i="6"/>
  <c r="AJ156" i="6" s="1"/>
  <c r="AK156" i="6" s="1"/>
  <c r="AF156" i="6"/>
  <c r="AB156" i="6"/>
  <c r="AA156" i="6"/>
  <c r="AI155" i="6"/>
  <c r="AF155" i="6"/>
  <c r="AJ155" i="6" s="1"/>
  <c r="AK155" i="6" s="1"/>
  <c r="AB155" i="6"/>
  <c r="AA155" i="6"/>
  <c r="AI154" i="6"/>
  <c r="AF154" i="6"/>
  <c r="AJ154" i="6" s="1"/>
  <c r="AK154" i="6" s="1"/>
  <c r="AB154" i="6"/>
  <c r="AA154" i="6"/>
  <c r="AI153" i="6"/>
  <c r="AF153" i="6"/>
  <c r="AJ153" i="6" s="1"/>
  <c r="AK153" i="6" s="1"/>
  <c r="AB153" i="6"/>
  <c r="AA153" i="6"/>
  <c r="AI152" i="6"/>
  <c r="AF152" i="6"/>
  <c r="AJ152" i="6" s="1"/>
  <c r="AK152" i="6" s="1"/>
  <c r="AB152" i="6"/>
  <c r="AA152" i="6"/>
  <c r="AJ151" i="6"/>
  <c r="AK151" i="6" s="1"/>
  <c r="AI151" i="6"/>
  <c r="AF151" i="6"/>
  <c r="AB151" i="6"/>
  <c r="AA151" i="6"/>
  <c r="AI150" i="6"/>
  <c r="AJ150" i="6" s="1"/>
  <c r="AK150" i="6" s="1"/>
  <c r="AF150" i="6"/>
  <c r="AB150" i="6"/>
  <c r="AA150" i="6"/>
  <c r="AI149" i="6"/>
  <c r="AF149" i="6"/>
  <c r="AJ149" i="6" s="1"/>
  <c r="AK149" i="6" s="1"/>
  <c r="AB149" i="6"/>
  <c r="AA149" i="6"/>
  <c r="AI148" i="6"/>
  <c r="AF148" i="6"/>
  <c r="AJ148" i="6" s="1"/>
  <c r="AK148" i="6" s="1"/>
  <c r="AB148" i="6"/>
  <c r="AA148" i="6"/>
  <c r="AI147" i="6"/>
  <c r="AF147" i="6"/>
  <c r="AJ147" i="6" s="1"/>
  <c r="AK147" i="6" s="1"/>
  <c r="AB147" i="6"/>
  <c r="AA147" i="6"/>
  <c r="AI146" i="6"/>
  <c r="AF146" i="6"/>
  <c r="AJ146" i="6" s="1"/>
  <c r="AK146" i="6" s="1"/>
  <c r="AB146" i="6"/>
  <c r="AA146" i="6"/>
  <c r="AJ145" i="6"/>
  <c r="AK145" i="6" s="1"/>
  <c r="AI145" i="6"/>
  <c r="AF145" i="6"/>
  <c r="AB145" i="6"/>
  <c r="AA145" i="6"/>
  <c r="AI144" i="6"/>
  <c r="AJ144" i="6" s="1"/>
  <c r="AK144" i="6" s="1"/>
  <c r="AF144" i="6"/>
  <c r="AB144" i="6"/>
  <c r="AA144" i="6"/>
  <c r="AI143" i="6"/>
  <c r="AF143" i="6"/>
  <c r="AJ143" i="6" s="1"/>
  <c r="AK143" i="6" s="1"/>
  <c r="AB143" i="6"/>
  <c r="AA143" i="6"/>
  <c r="AI142" i="6"/>
  <c r="AF142" i="6"/>
  <c r="AJ142" i="6" s="1"/>
  <c r="AK142" i="6" s="1"/>
  <c r="AB142" i="6"/>
  <c r="AA142" i="6"/>
  <c r="AI141" i="6"/>
  <c r="AF141" i="6"/>
  <c r="AJ141" i="6" s="1"/>
  <c r="AK141" i="6" s="1"/>
  <c r="AB141" i="6"/>
  <c r="AA141" i="6"/>
  <c r="AI140" i="6"/>
  <c r="AF140" i="6"/>
  <c r="AJ140" i="6" s="1"/>
  <c r="AK140" i="6" s="1"/>
  <c r="AB140" i="6"/>
  <c r="AA140" i="6"/>
  <c r="AJ139" i="6"/>
  <c r="AK139" i="6" s="1"/>
  <c r="AI139" i="6"/>
  <c r="AF139" i="6"/>
  <c r="AB139" i="6"/>
  <c r="AA139" i="6"/>
  <c r="AI138" i="6"/>
  <c r="AJ138" i="6" s="1"/>
  <c r="AK138" i="6" s="1"/>
  <c r="AF138" i="6"/>
  <c r="AB138" i="6"/>
  <c r="AA138" i="6"/>
  <c r="AI137" i="6"/>
  <c r="AF137" i="6"/>
  <c r="AJ137" i="6" s="1"/>
  <c r="AK137" i="6" s="1"/>
  <c r="AB137" i="6"/>
  <c r="AA137" i="6"/>
  <c r="AI136" i="6"/>
  <c r="AF136" i="6"/>
  <c r="AJ136" i="6" s="1"/>
  <c r="AK136" i="6" s="1"/>
  <c r="AB136" i="6"/>
  <c r="AA136" i="6"/>
  <c r="AI135" i="6"/>
  <c r="AF135" i="6"/>
  <c r="AJ135" i="6" s="1"/>
  <c r="AK135" i="6" s="1"/>
  <c r="AB135" i="6"/>
  <c r="AA135" i="6"/>
  <c r="AI134" i="6"/>
  <c r="AF134" i="6"/>
  <c r="AJ134" i="6" s="1"/>
  <c r="AK134" i="6" s="1"/>
  <c r="AB134" i="6"/>
  <c r="AA134" i="6"/>
  <c r="AJ133" i="6"/>
  <c r="AK133" i="6" s="1"/>
  <c r="AI133" i="6"/>
  <c r="AF133" i="6"/>
  <c r="AB133" i="6"/>
  <c r="AA133" i="6"/>
  <c r="AI132" i="6"/>
  <c r="AJ132" i="6" s="1"/>
  <c r="AK132" i="6" s="1"/>
  <c r="AF132" i="6"/>
  <c r="AB132" i="6"/>
  <c r="AA132" i="6"/>
  <c r="AI131" i="6"/>
  <c r="AF131" i="6"/>
  <c r="AJ131" i="6" s="1"/>
  <c r="AK131" i="6" s="1"/>
  <c r="AB131" i="6"/>
  <c r="AA131" i="6"/>
  <c r="AI130" i="6"/>
  <c r="AF130" i="6"/>
  <c r="AJ130" i="6" s="1"/>
  <c r="AK130" i="6" s="1"/>
  <c r="AB130" i="6"/>
  <c r="AA130" i="6"/>
  <c r="AI129" i="6"/>
  <c r="AF129" i="6"/>
  <c r="AJ129" i="6" s="1"/>
  <c r="AK129" i="6" s="1"/>
  <c r="AB129" i="6"/>
  <c r="AA129" i="6"/>
  <c r="AI128" i="6"/>
  <c r="AF128" i="6"/>
  <c r="AJ128" i="6" s="1"/>
  <c r="AK128" i="6" s="1"/>
  <c r="AB128" i="6"/>
  <c r="AA128" i="6"/>
  <c r="AQ127" i="6"/>
  <c r="AK127" i="6"/>
  <c r="AI127" i="6"/>
  <c r="AF127" i="6"/>
  <c r="AJ127" i="6" s="1"/>
  <c r="AB127" i="6"/>
  <c r="AA127" i="6"/>
  <c r="AI126" i="6"/>
  <c r="AF126" i="6"/>
  <c r="AJ126" i="6" s="1"/>
  <c r="AK126" i="6" s="1"/>
  <c r="AB126" i="6"/>
  <c r="AA126" i="6"/>
  <c r="AI125" i="6"/>
  <c r="AF125" i="6"/>
  <c r="AJ125" i="6" s="1"/>
  <c r="AK125" i="6" s="1"/>
  <c r="AB125" i="6"/>
  <c r="AA125" i="6"/>
  <c r="AJ124" i="6"/>
  <c r="AK124" i="6" s="1"/>
  <c r="AI124" i="6"/>
  <c r="AF124" i="6"/>
  <c r="AB124" i="6"/>
  <c r="AA124" i="6"/>
  <c r="AI123" i="6"/>
  <c r="AF123" i="6"/>
  <c r="AB123" i="6"/>
  <c r="AA123" i="6"/>
  <c r="AI122" i="6"/>
  <c r="AF122" i="6"/>
  <c r="AJ122" i="6" s="1"/>
  <c r="AK122" i="6" s="1"/>
  <c r="AB122" i="6"/>
  <c r="AA122" i="6"/>
  <c r="AK121" i="6"/>
  <c r="AI121" i="6"/>
  <c r="AF121" i="6"/>
  <c r="AJ121" i="6" s="1"/>
  <c r="AB121" i="6"/>
  <c r="AA121" i="6"/>
  <c r="AI120" i="6"/>
  <c r="AF120" i="6"/>
  <c r="AJ120" i="6" s="1"/>
  <c r="AK120" i="6" s="1"/>
  <c r="AB120" i="6"/>
  <c r="AA120" i="6"/>
  <c r="AI119" i="6"/>
  <c r="AF119" i="6"/>
  <c r="AJ119" i="6" s="1"/>
  <c r="AK119" i="6" s="1"/>
  <c r="AB119" i="6"/>
  <c r="AA119" i="6"/>
  <c r="AJ118" i="6"/>
  <c r="AK118" i="6" s="1"/>
  <c r="AI118" i="6"/>
  <c r="AF118" i="6"/>
  <c r="AB118" i="6"/>
  <c r="AA118" i="6"/>
  <c r="AI117" i="6"/>
  <c r="AF117" i="6"/>
  <c r="AJ117" i="6" s="1"/>
  <c r="AK117" i="6" s="1"/>
  <c r="AB117" i="6"/>
  <c r="AA117" i="6"/>
  <c r="AI116" i="6"/>
  <c r="AF116" i="6"/>
  <c r="AJ116" i="6" s="1"/>
  <c r="AK116" i="6" s="1"/>
  <c r="AB116" i="6"/>
  <c r="AA116" i="6"/>
  <c r="AK115" i="6"/>
  <c r="AI115" i="6"/>
  <c r="AF115" i="6"/>
  <c r="AJ115" i="6" s="1"/>
  <c r="AB115" i="6"/>
  <c r="AA115" i="6"/>
  <c r="AQ114" i="6"/>
  <c r="AJ114" i="6"/>
  <c r="AK114" i="6" s="1"/>
  <c r="AI114" i="6"/>
  <c r="AF114" i="6"/>
  <c r="AB114" i="6"/>
  <c r="AA114" i="6"/>
  <c r="AQ113" i="6"/>
  <c r="AI113" i="6"/>
  <c r="AF113" i="6"/>
  <c r="AJ113" i="6" s="1"/>
  <c r="AK113" i="6" s="1"/>
  <c r="AB113" i="6"/>
  <c r="AA113" i="6"/>
  <c r="AQ112" i="6"/>
  <c r="AI112" i="6"/>
  <c r="AF112" i="6"/>
  <c r="AJ112" i="6" s="1"/>
  <c r="AK112" i="6" s="1"/>
  <c r="AB112" i="6"/>
  <c r="AA112" i="6"/>
  <c r="AQ111" i="6"/>
  <c r="AI111" i="6"/>
  <c r="AF111" i="6"/>
  <c r="AJ111" i="6" s="1"/>
  <c r="AK111" i="6" s="1"/>
  <c r="AB111" i="6"/>
  <c r="AA111" i="6"/>
  <c r="AQ110" i="6"/>
  <c r="AI110" i="6"/>
  <c r="AF110" i="6"/>
  <c r="AJ110" i="6" s="1"/>
  <c r="AK110" i="6" s="1"/>
  <c r="AB110" i="6"/>
  <c r="AA110" i="6"/>
  <c r="AQ109" i="6"/>
  <c r="AJ109" i="6"/>
  <c r="AK109" i="6" s="1"/>
  <c r="AI109" i="6"/>
  <c r="AF109" i="6"/>
  <c r="AB109" i="6"/>
  <c r="AA109" i="6"/>
  <c r="AQ108" i="6"/>
  <c r="AI108" i="6"/>
  <c r="AF108" i="6"/>
  <c r="AJ108" i="6" s="1"/>
  <c r="AK108" i="6" s="1"/>
  <c r="AB108" i="6"/>
  <c r="AA108" i="6"/>
  <c r="AQ107" i="6"/>
  <c r="AI107" i="6"/>
  <c r="AF107" i="6"/>
  <c r="AJ107" i="6" s="1"/>
  <c r="AK107" i="6" s="1"/>
  <c r="AB107" i="6"/>
  <c r="AA107" i="6"/>
  <c r="AQ106" i="6"/>
  <c r="AI106" i="6"/>
  <c r="AF106" i="6"/>
  <c r="AJ106" i="6" s="1"/>
  <c r="AK106" i="6" s="1"/>
  <c r="AB106" i="6"/>
  <c r="AA106" i="6"/>
  <c r="AI105" i="6"/>
  <c r="AF105" i="6"/>
  <c r="AJ105" i="6" s="1"/>
  <c r="AK105" i="6" s="1"/>
  <c r="AB105" i="6"/>
  <c r="AA105" i="6"/>
  <c r="AJ104" i="6"/>
  <c r="AK104" i="6" s="1"/>
  <c r="AI104" i="6"/>
  <c r="AF104" i="6"/>
  <c r="AB104" i="6"/>
  <c r="AA104" i="6"/>
  <c r="AI103" i="6"/>
  <c r="AJ103" i="6" s="1"/>
  <c r="AK103" i="6" s="1"/>
  <c r="AF103" i="6"/>
  <c r="AB103" i="6"/>
  <c r="AA103" i="6"/>
  <c r="AK102" i="6"/>
  <c r="AI102" i="6"/>
  <c r="AF102" i="6"/>
  <c r="AJ102" i="6" s="1"/>
  <c r="AB102" i="6"/>
  <c r="AA102" i="6"/>
  <c r="AI101" i="6"/>
  <c r="AF101" i="6"/>
  <c r="AJ101" i="6" s="1"/>
  <c r="AK101" i="6" s="1"/>
  <c r="AB101" i="6"/>
  <c r="AA101" i="6"/>
  <c r="AI100" i="6"/>
  <c r="AF100" i="6"/>
  <c r="AJ100" i="6" s="1"/>
  <c r="AK100" i="6" s="1"/>
  <c r="AB100" i="6"/>
  <c r="AA100" i="6"/>
  <c r="AI99" i="6"/>
  <c r="AF99" i="6"/>
  <c r="AJ99" i="6" s="1"/>
  <c r="AK99" i="6" s="1"/>
  <c r="AB99" i="6"/>
  <c r="AA99" i="6"/>
  <c r="AI98" i="6"/>
  <c r="AJ98" i="6" s="1"/>
  <c r="AK98" i="6" s="1"/>
  <c r="AF98" i="6"/>
  <c r="AB98" i="6"/>
  <c r="AA98" i="6"/>
  <c r="AJ97" i="6"/>
  <c r="AK97" i="6" s="1"/>
  <c r="AI97" i="6"/>
  <c r="AF97" i="6"/>
  <c r="AB97" i="6"/>
  <c r="AA97" i="6"/>
  <c r="AI96" i="6"/>
  <c r="AF96" i="6"/>
  <c r="AJ96" i="6" s="1"/>
  <c r="AK96" i="6" s="1"/>
  <c r="AB96" i="6"/>
  <c r="AA96" i="6"/>
  <c r="AI95" i="6"/>
  <c r="AF95" i="6"/>
  <c r="AJ95" i="6" s="1"/>
  <c r="AK95" i="6" s="1"/>
  <c r="AB95" i="6"/>
  <c r="AA95" i="6"/>
  <c r="AI94" i="6"/>
  <c r="AF94" i="6"/>
  <c r="AJ94" i="6" s="1"/>
  <c r="AK94" i="6" s="1"/>
  <c r="AB94" i="6"/>
  <c r="AA94" i="6"/>
  <c r="AJ93" i="6"/>
  <c r="AK93" i="6" s="1"/>
  <c r="AI93" i="6"/>
  <c r="AF93" i="6"/>
  <c r="AB93" i="6"/>
  <c r="AA93" i="6"/>
  <c r="AJ92" i="6"/>
  <c r="AK92" i="6" s="1"/>
  <c r="AI92" i="6"/>
  <c r="AF92" i="6"/>
  <c r="AB92" i="6"/>
  <c r="AA92" i="6"/>
  <c r="AJ91" i="6"/>
  <c r="AK91" i="6" s="1"/>
  <c r="AI91" i="6"/>
  <c r="AF91" i="6"/>
  <c r="AB91" i="6"/>
  <c r="AA91" i="6"/>
  <c r="AI90" i="6"/>
  <c r="AF90" i="6"/>
  <c r="AJ90" i="6" s="1"/>
  <c r="AK90" i="6" s="1"/>
  <c r="AB90" i="6"/>
  <c r="AA90" i="6"/>
  <c r="AI89" i="6"/>
  <c r="AF89" i="6"/>
  <c r="AB89" i="6"/>
  <c r="AA89" i="6"/>
  <c r="AI88" i="6"/>
  <c r="AF88" i="6"/>
  <c r="AB88" i="6"/>
  <c r="AA88" i="6"/>
  <c r="AJ87" i="6"/>
  <c r="AK87" i="6" s="1"/>
  <c r="AI87" i="6"/>
  <c r="AF87" i="6"/>
  <c r="AB87" i="6"/>
  <c r="AA87" i="6"/>
  <c r="AI86" i="6"/>
  <c r="AJ86" i="6" s="1"/>
  <c r="AK86" i="6" s="1"/>
  <c r="AF86" i="6"/>
  <c r="AB86" i="6"/>
  <c r="AA86" i="6"/>
  <c r="AJ85" i="6"/>
  <c r="AK85" i="6" s="1"/>
  <c r="AI85" i="6"/>
  <c r="AF85" i="6"/>
  <c r="AB85" i="6"/>
  <c r="AA85" i="6"/>
  <c r="AJ84" i="6"/>
  <c r="AK84" i="6" s="1"/>
  <c r="AI84" i="6"/>
  <c r="AF84" i="6"/>
  <c r="AB84" i="6"/>
  <c r="AA84" i="6"/>
  <c r="AI83" i="6"/>
  <c r="AF83" i="6"/>
  <c r="AJ83" i="6" s="1"/>
  <c r="AK83" i="6" s="1"/>
  <c r="AB83" i="6"/>
  <c r="AA83" i="6"/>
  <c r="AI82" i="6"/>
  <c r="AJ82" i="6" s="1"/>
  <c r="AK82" i="6" s="1"/>
  <c r="AF82" i="6"/>
  <c r="AB82" i="6"/>
  <c r="AA82" i="6"/>
  <c r="AI81" i="6"/>
  <c r="AF81" i="6"/>
  <c r="AJ81" i="6" s="1"/>
  <c r="AK81" i="6" s="1"/>
  <c r="AB81" i="6"/>
  <c r="AA81" i="6"/>
  <c r="AK80" i="6"/>
  <c r="AJ80" i="6"/>
  <c r="AI80" i="6"/>
  <c r="AF80" i="6"/>
  <c r="AB80" i="6"/>
  <c r="AA80" i="6"/>
  <c r="AI79" i="6"/>
  <c r="AJ79" i="6" s="1"/>
  <c r="AK79" i="6" s="1"/>
  <c r="AF79" i="6"/>
  <c r="AB79" i="6"/>
  <c r="AA79" i="6"/>
  <c r="AI78" i="6"/>
  <c r="AF78" i="6"/>
  <c r="AJ78" i="6" s="1"/>
  <c r="AK78" i="6" s="1"/>
  <c r="AB78" i="6"/>
  <c r="AA78" i="6"/>
  <c r="AK77" i="6"/>
  <c r="AI77" i="6"/>
  <c r="AF77" i="6"/>
  <c r="AJ77" i="6" s="1"/>
  <c r="AB77" i="6"/>
  <c r="AA77" i="6"/>
  <c r="AI76" i="6"/>
  <c r="AJ76" i="6" s="1"/>
  <c r="AK76" i="6" s="1"/>
  <c r="AF76" i="6"/>
  <c r="AB76" i="6"/>
  <c r="AA76" i="6"/>
  <c r="AJ75" i="6"/>
  <c r="AK75" i="6" s="1"/>
  <c r="AI75" i="6"/>
  <c r="AF75" i="6"/>
  <c r="AB75" i="6"/>
  <c r="AA75" i="6"/>
  <c r="AJ74" i="6"/>
  <c r="AK74" i="6" s="1"/>
  <c r="AI74" i="6"/>
  <c r="AF74" i="6"/>
  <c r="AB74" i="6"/>
  <c r="AA74" i="6"/>
  <c r="AI73" i="6"/>
  <c r="AJ73" i="6" s="1"/>
  <c r="AK73" i="6" s="1"/>
  <c r="AF73" i="6"/>
  <c r="AB73" i="6"/>
  <c r="AA73" i="6"/>
  <c r="AJ72" i="6"/>
  <c r="AK72" i="6" s="1"/>
  <c r="AI72" i="6"/>
  <c r="AF72" i="6"/>
  <c r="AB72" i="6"/>
  <c r="AA72" i="6"/>
  <c r="AK71" i="6"/>
  <c r="AI71" i="6"/>
  <c r="AF71" i="6"/>
  <c r="AJ71" i="6" s="1"/>
  <c r="AB71" i="6"/>
  <c r="AA71" i="6"/>
  <c r="AI70" i="6"/>
  <c r="AJ70" i="6" s="1"/>
  <c r="AK70" i="6" s="1"/>
  <c r="AF70" i="6"/>
  <c r="AB70" i="6"/>
  <c r="AA70" i="6"/>
  <c r="AI69" i="6"/>
  <c r="AF69" i="6"/>
  <c r="AJ69" i="6" s="1"/>
  <c r="AK69" i="6" s="1"/>
  <c r="AB69" i="6"/>
  <c r="AA69" i="6"/>
  <c r="AI68" i="6"/>
  <c r="AJ68" i="6" s="1"/>
  <c r="AK68" i="6" s="1"/>
  <c r="AF68" i="6"/>
  <c r="AB68" i="6"/>
  <c r="AA68" i="6"/>
  <c r="AJ67" i="6"/>
  <c r="AK67" i="6" s="1"/>
  <c r="AI67" i="6"/>
  <c r="AF67" i="6"/>
  <c r="AB67" i="6"/>
  <c r="AA67" i="6"/>
  <c r="AI66" i="6"/>
  <c r="AJ66" i="6" s="1"/>
  <c r="AK66" i="6" s="1"/>
  <c r="AF66" i="6"/>
  <c r="AB66" i="6"/>
  <c r="AA66" i="6"/>
  <c r="AJ65" i="6"/>
  <c r="AK65" i="6" s="1"/>
  <c r="AI65" i="6"/>
  <c r="AF65" i="6"/>
  <c r="AB65" i="6"/>
  <c r="AA65" i="6"/>
  <c r="AI64" i="6"/>
  <c r="AJ64" i="6" s="1"/>
  <c r="AK64" i="6" s="1"/>
  <c r="AF64" i="6"/>
  <c r="AB64" i="6"/>
  <c r="AA64" i="6"/>
  <c r="AI63" i="6"/>
  <c r="AF63" i="6"/>
  <c r="AJ63" i="6" s="1"/>
  <c r="AK63" i="6" s="1"/>
  <c r="AB63" i="6"/>
  <c r="AA63" i="6"/>
  <c r="AI62" i="6"/>
  <c r="AJ62" i="6" s="1"/>
  <c r="AK62" i="6" s="1"/>
  <c r="AF62" i="6"/>
  <c r="AB62" i="6"/>
  <c r="AA62" i="6"/>
  <c r="AJ61" i="6"/>
  <c r="AK61" i="6" s="1"/>
  <c r="AI61" i="6"/>
  <c r="AF61" i="6"/>
  <c r="AB61" i="6"/>
  <c r="AA61" i="6"/>
  <c r="AI60" i="6"/>
  <c r="AJ60" i="6" s="1"/>
  <c r="AK60" i="6" s="1"/>
  <c r="AF60" i="6"/>
  <c r="AB60" i="6"/>
  <c r="AA60" i="6"/>
  <c r="AJ59" i="6"/>
  <c r="AK59" i="6" s="1"/>
  <c r="AI59" i="6"/>
  <c r="AF59" i="6"/>
  <c r="AB59" i="6"/>
  <c r="AA59" i="6"/>
  <c r="AI58" i="6"/>
  <c r="AJ58" i="6" s="1"/>
  <c r="AK58" i="6" s="1"/>
  <c r="AF58" i="6"/>
  <c r="AB58" i="6"/>
  <c r="AA58" i="6"/>
  <c r="AI57" i="6"/>
  <c r="AF57" i="6"/>
  <c r="AJ57" i="6" s="1"/>
  <c r="AK57" i="6" s="1"/>
  <c r="AB57" i="6"/>
  <c r="AA57" i="6"/>
  <c r="AI56" i="6"/>
  <c r="AJ56" i="6" s="1"/>
  <c r="AK56" i="6" s="1"/>
  <c r="AF56" i="6"/>
  <c r="AB56" i="6"/>
  <c r="AA56" i="6"/>
  <c r="AJ55" i="6"/>
  <c r="AK55" i="6" s="1"/>
  <c r="AI55" i="6"/>
  <c r="AF55" i="6"/>
  <c r="AB55" i="6"/>
  <c r="AA55" i="6"/>
  <c r="AI54" i="6"/>
  <c r="AJ54" i="6" s="1"/>
  <c r="AK54" i="6" s="1"/>
  <c r="AF54" i="6"/>
  <c r="AB54" i="6"/>
  <c r="AA54" i="6"/>
  <c r="AJ53" i="6"/>
  <c r="AK53" i="6" s="1"/>
  <c r="AI53" i="6"/>
  <c r="AF53" i="6"/>
  <c r="AB53" i="6"/>
  <c r="AA53" i="6"/>
  <c r="AI52" i="6"/>
  <c r="AJ52" i="6" s="1"/>
  <c r="AK52" i="6" s="1"/>
  <c r="AF52" i="6"/>
  <c r="AB52" i="6"/>
  <c r="AA52" i="6"/>
  <c r="AI51" i="6"/>
  <c r="AF51" i="6"/>
  <c r="AJ51" i="6" s="1"/>
  <c r="AK51" i="6" s="1"/>
  <c r="AB51" i="6"/>
  <c r="AA51" i="6"/>
  <c r="AI50" i="6"/>
  <c r="AJ50" i="6" s="1"/>
  <c r="AK50" i="6" s="1"/>
  <c r="AF50" i="6"/>
  <c r="AB50" i="6"/>
  <c r="AA50" i="6"/>
  <c r="AJ49" i="6"/>
  <c r="AK49" i="6" s="1"/>
  <c r="AI49" i="6"/>
  <c r="AF49" i="6"/>
  <c r="AB49" i="6"/>
  <c r="AA49" i="6"/>
  <c r="AI48" i="6"/>
  <c r="AJ48" i="6" s="1"/>
  <c r="AK48" i="6" s="1"/>
  <c r="AF48" i="6"/>
  <c r="AB48" i="6"/>
  <c r="AA48" i="6"/>
  <c r="AJ47" i="6"/>
  <c r="AK47" i="6" s="1"/>
  <c r="AI47" i="6"/>
  <c r="AF47" i="6"/>
  <c r="AB47" i="6"/>
  <c r="AA47" i="6"/>
  <c r="AI46" i="6"/>
  <c r="AJ46" i="6" s="1"/>
  <c r="AK46" i="6" s="1"/>
  <c r="AF46" i="6"/>
  <c r="AB46" i="6"/>
  <c r="AA46" i="6"/>
  <c r="AI45" i="6"/>
  <c r="AF45" i="6"/>
  <c r="AJ45" i="6" s="1"/>
  <c r="AK45" i="6" s="1"/>
  <c r="AB45" i="6"/>
  <c r="AA45" i="6"/>
  <c r="AI44" i="6"/>
  <c r="AJ44" i="6" s="1"/>
  <c r="AK44" i="6" s="1"/>
  <c r="AF44" i="6"/>
  <c r="AB44" i="6"/>
  <c r="AA44" i="6"/>
  <c r="AJ43" i="6"/>
  <c r="AK43" i="6" s="1"/>
  <c r="AI43" i="6"/>
  <c r="AF43" i="6"/>
  <c r="AB43" i="6"/>
  <c r="AA43" i="6"/>
  <c r="AI42" i="6"/>
  <c r="AJ42" i="6" s="1"/>
  <c r="AK42" i="6" s="1"/>
  <c r="AF42" i="6"/>
  <c r="AB42" i="6"/>
  <c r="AA42" i="6"/>
  <c r="AJ41" i="6"/>
  <c r="AK41" i="6" s="1"/>
  <c r="AI41" i="6"/>
  <c r="AF41" i="6"/>
  <c r="AB41" i="6"/>
  <c r="AA41" i="6"/>
  <c r="AI40" i="6"/>
  <c r="AJ40" i="6" s="1"/>
  <c r="AK40" i="6" s="1"/>
  <c r="AF40" i="6"/>
  <c r="AB40" i="6"/>
  <c r="AA40" i="6"/>
  <c r="AI39" i="6"/>
  <c r="AF39" i="6"/>
  <c r="AJ39" i="6" s="1"/>
  <c r="AK39" i="6" s="1"/>
  <c r="AB39" i="6"/>
  <c r="AA39" i="6"/>
  <c r="AI38" i="6"/>
  <c r="AJ38" i="6" s="1"/>
  <c r="AK38" i="6" s="1"/>
  <c r="AF38" i="6"/>
  <c r="AB38" i="6"/>
  <c r="AA38" i="6"/>
  <c r="AJ37" i="6"/>
  <c r="AK37" i="6" s="1"/>
  <c r="AI37" i="6"/>
  <c r="AF37" i="6"/>
  <c r="AB37" i="6"/>
  <c r="AA37" i="6"/>
  <c r="AI36" i="6"/>
  <c r="AJ36" i="6" s="1"/>
  <c r="AK36" i="6" s="1"/>
  <c r="AF36" i="6"/>
  <c r="AB36" i="6"/>
  <c r="AA36" i="6"/>
  <c r="AJ35" i="6"/>
  <c r="AK35" i="6" s="1"/>
  <c r="AI35" i="6"/>
  <c r="AF35" i="6"/>
  <c r="AB35" i="6"/>
  <c r="AA35" i="6"/>
  <c r="AI34" i="6"/>
  <c r="AJ34" i="6" s="1"/>
  <c r="AK34" i="6" s="1"/>
  <c r="AF34" i="6"/>
  <c r="AB34" i="6"/>
  <c r="AA34" i="6"/>
  <c r="AI33" i="6"/>
  <c r="AF33" i="6"/>
  <c r="AJ33" i="6" s="1"/>
  <c r="AK33" i="6" s="1"/>
  <c r="AB33" i="6"/>
  <c r="AA33" i="6"/>
  <c r="AI32" i="6"/>
  <c r="AJ32" i="6" s="1"/>
  <c r="AK32" i="6" s="1"/>
  <c r="AF32" i="6"/>
  <c r="AB32" i="6"/>
  <c r="AA32" i="6"/>
  <c r="AJ31" i="6"/>
  <c r="AK31" i="6" s="1"/>
  <c r="AI31" i="6"/>
  <c r="AF31" i="6"/>
  <c r="AB31" i="6"/>
  <c r="AA31" i="6"/>
  <c r="AI30" i="6"/>
  <c r="AJ30" i="6" s="1"/>
  <c r="AK30" i="6" s="1"/>
  <c r="AF30" i="6"/>
  <c r="AB30" i="6"/>
  <c r="AA30" i="6"/>
  <c r="AJ29" i="6"/>
  <c r="AK29" i="6" s="1"/>
  <c r="AI29" i="6"/>
  <c r="AF29" i="6"/>
  <c r="AB29" i="6"/>
  <c r="AA29" i="6"/>
  <c r="AI28" i="6"/>
  <c r="AJ28" i="6" s="1"/>
  <c r="AK28" i="6" s="1"/>
  <c r="AF28" i="6"/>
  <c r="AB28" i="6"/>
  <c r="AA28" i="6"/>
  <c r="AI27" i="6"/>
  <c r="AF27" i="6"/>
  <c r="AJ27" i="6" s="1"/>
  <c r="AK27" i="6" s="1"/>
  <c r="AB27" i="6"/>
  <c r="AA27" i="6"/>
  <c r="AI26" i="6"/>
  <c r="AJ26" i="6" s="1"/>
  <c r="AK26" i="6" s="1"/>
  <c r="AF26" i="6"/>
  <c r="AB26" i="6"/>
  <c r="AA26" i="6"/>
  <c r="AJ25" i="6"/>
  <c r="AK25" i="6" s="1"/>
  <c r="AI25" i="6"/>
  <c r="AF25" i="6"/>
  <c r="AB25" i="6"/>
  <c r="AA25" i="6"/>
  <c r="AI24" i="6"/>
  <c r="AJ24" i="6" s="1"/>
  <c r="AK24" i="6" s="1"/>
  <c r="AF24" i="6"/>
  <c r="AB24" i="6"/>
  <c r="AA24" i="6"/>
  <c r="AI23" i="6"/>
  <c r="AF23" i="6"/>
  <c r="AJ23" i="6" s="1"/>
  <c r="AK23" i="6" s="1"/>
  <c r="AB23" i="6"/>
  <c r="AA23" i="6"/>
  <c r="AI22" i="6"/>
  <c r="AJ22" i="6" s="1"/>
  <c r="AK22" i="6" s="1"/>
  <c r="AF22" i="6"/>
  <c r="AB22" i="6"/>
  <c r="AA22" i="6"/>
  <c r="AI21" i="6"/>
  <c r="AF21" i="6"/>
  <c r="AJ21" i="6" s="1"/>
  <c r="AK21" i="6" s="1"/>
  <c r="AB21" i="6"/>
  <c r="AA21" i="6"/>
  <c r="AI20" i="6"/>
  <c r="AJ20" i="6" s="1"/>
  <c r="AK20" i="6" s="1"/>
  <c r="AF20" i="6"/>
  <c r="AB20" i="6"/>
  <c r="AA20" i="6"/>
  <c r="AI19" i="6"/>
  <c r="AJ19" i="6" s="1"/>
  <c r="AK19" i="6" s="1"/>
  <c r="AF19" i="6"/>
  <c r="AB19" i="6"/>
  <c r="AA19" i="6"/>
  <c r="AI18" i="6"/>
  <c r="AJ18" i="6" s="1"/>
  <c r="AK18" i="6" s="1"/>
  <c r="AF18" i="6"/>
  <c r="AB18" i="6"/>
  <c r="AA18" i="6"/>
  <c r="AI17" i="6"/>
  <c r="AF17" i="6"/>
  <c r="AJ17" i="6" s="1"/>
  <c r="AK17" i="6" s="1"/>
  <c r="AB17" i="6"/>
  <c r="AA17" i="6"/>
  <c r="AI16" i="6"/>
  <c r="AJ16" i="6" s="1"/>
  <c r="AK16" i="6" s="1"/>
  <c r="AF16" i="6"/>
  <c r="AB16" i="6"/>
  <c r="AA16" i="6"/>
  <c r="AI15" i="6"/>
  <c r="AF15" i="6"/>
  <c r="AJ15" i="6" s="1"/>
  <c r="AK15" i="6" s="1"/>
  <c r="AB15" i="6"/>
  <c r="AA15" i="6"/>
  <c r="AI14" i="6"/>
  <c r="AJ14" i="6" s="1"/>
  <c r="AK14" i="6" s="1"/>
  <c r="AF14" i="6"/>
  <c r="AB14" i="6"/>
  <c r="AA14" i="6"/>
  <c r="AI13" i="6"/>
  <c r="AJ13" i="6" s="1"/>
  <c r="AK13" i="6" s="1"/>
  <c r="AF13" i="6"/>
  <c r="AB13" i="6"/>
  <c r="AA13" i="6"/>
  <c r="AI12" i="6"/>
  <c r="AJ12" i="6" s="1"/>
  <c r="AK12" i="6" s="1"/>
  <c r="AF12" i="6"/>
  <c r="AB12" i="6"/>
  <c r="AA12" i="6"/>
  <c r="AI11" i="6"/>
  <c r="AF11" i="6"/>
  <c r="AJ11" i="6" s="1"/>
  <c r="AK11" i="6" s="1"/>
  <c r="AB11" i="6"/>
  <c r="AA11" i="6"/>
  <c r="AI10" i="6"/>
  <c r="AJ10" i="6" s="1"/>
  <c r="AK10" i="6" s="1"/>
  <c r="AF10" i="6"/>
  <c r="AB10" i="6"/>
  <c r="AA10" i="6"/>
  <c r="AI9" i="6"/>
  <c r="AF9" i="6"/>
  <c r="AJ9" i="6" s="1"/>
  <c r="AK9" i="6" s="1"/>
  <c r="AB9" i="6"/>
  <c r="AA9" i="6"/>
  <c r="AK8" i="6"/>
  <c r="AI8" i="6"/>
  <c r="AJ8" i="6" s="1"/>
  <c r="AF8" i="6"/>
  <c r="AB8" i="6"/>
  <c r="AA8" i="6"/>
  <c r="AI7" i="6"/>
  <c r="AJ7" i="6" s="1"/>
  <c r="AK7" i="6" s="1"/>
  <c r="AF7" i="6"/>
  <c r="AB7" i="6"/>
  <c r="AA7" i="6"/>
  <c r="AI6" i="6"/>
  <c r="AJ6" i="6" s="1"/>
  <c r="AK6" i="6" s="1"/>
  <c r="AF6" i="6"/>
  <c r="AB6" i="6"/>
  <c r="AA6" i="6"/>
  <c r="AI5" i="6"/>
  <c r="AF5" i="6"/>
  <c r="AJ5" i="6" s="1"/>
  <c r="AK5" i="6" s="1"/>
  <c r="AB5" i="6"/>
  <c r="AA5" i="6"/>
  <c r="AI4" i="6"/>
  <c r="AJ4" i="6" s="1"/>
  <c r="AK4" i="6" s="1"/>
  <c r="AF4" i="6"/>
  <c r="AB4" i="6"/>
  <c r="AA4" i="6"/>
  <c r="AI3" i="6"/>
  <c r="AF3" i="6"/>
  <c r="AJ3" i="6" s="1"/>
  <c r="AK3" i="6" s="1"/>
  <c r="AB3" i="6"/>
  <c r="AA3" i="6"/>
  <c r="AI2" i="6"/>
  <c r="AH2" i="6"/>
  <c r="AG2" i="6"/>
  <c r="AF2" i="6"/>
  <c r="AE2" i="6"/>
  <c r="AD2" i="6"/>
  <c r="AI366" i="5"/>
  <c r="AF366" i="5"/>
  <c r="AJ366" i="5" s="1"/>
  <c r="AK366" i="5" s="1"/>
  <c r="AB366" i="5"/>
  <c r="AA366" i="5"/>
  <c r="AI365" i="5"/>
  <c r="AJ365" i="5" s="1"/>
  <c r="AF365" i="5"/>
  <c r="AB365" i="5"/>
  <c r="AK365" i="5" s="1"/>
  <c r="AA365" i="5"/>
  <c r="AI364" i="5"/>
  <c r="AF364" i="5"/>
  <c r="AJ364" i="5" s="1"/>
  <c r="AK364" i="5" s="1"/>
  <c r="AB364" i="5"/>
  <c r="AA364" i="5"/>
  <c r="AK363" i="5"/>
  <c r="AI363" i="5"/>
  <c r="AJ363" i="5" s="1"/>
  <c r="AF363" i="5"/>
  <c r="AB363" i="5"/>
  <c r="AA363" i="5"/>
  <c r="AI362" i="5"/>
  <c r="AJ362" i="5" s="1"/>
  <c r="AK362" i="5" s="1"/>
  <c r="AF362" i="5"/>
  <c r="AB362" i="5"/>
  <c r="AA362" i="5"/>
  <c r="AI361" i="5"/>
  <c r="AJ361" i="5" s="1"/>
  <c r="AK361" i="5" s="1"/>
  <c r="AF361" i="5"/>
  <c r="AB361" i="5"/>
  <c r="AA361" i="5"/>
  <c r="AI360" i="5"/>
  <c r="AF360" i="5"/>
  <c r="AJ360" i="5" s="1"/>
  <c r="AK360" i="5" s="1"/>
  <c r="AB360" i="5"/>
  <c r="AA360" i="5"/>
  <c r="AI359" i="5"/>
  <c r="AJ359" i="5" s="1"/>
  <c r="AF359" i="5"/>
  <c r="AB359" i="5"/>
  <c r="AA359" i="5"/>
  <c r="AI358" i="5"/>
  <c r="AF358" i="5"/>
  <c r="AJ358" i="5" s="1"/>
  <c r="AK358" i="5" s="1"/>
  <c r="AB358" i="5"/>
  <c r="AA358" i="5"/>
  <c r="AI357" i="5"/>
  <c r="AJ357" i="5" s="1"/>
  <c r="AK357" i="5" s="1"/>
  <c r="AF357" i="5"/>
  <c r="AB357" i="5"/>
  <c r="AA357" i="5"/>
  <c r="AI356" i="5"/>
  <c r="AJ356" i="5" s="1"/>
  <c r="AK356" i="5" s="1"/>
  <c r="AF356" i="5"/>
  <c r="AB356" i="5"/>
  <c r="AA356" i="5"/>
  <c r="AI355" i="5"/>
  <c r="AJ355" i="5" s="1"/>
  <c r="AK355" i="5" s="1"/>
  <c r="AF355" i="5"/>
  <c r="AB355" i="5"/>
  <c r="AA355" i="5"/>
  <c r="AI354" i="5"/>
  <c r="AF354" i="5"/>
  <c r="AJ354" i="5" s="1"/>
  <c r="AK354" i="5" s="1"/>
  <c r="AB354" i="5"/>
  <c r="AA354" i="5"/>
  <c r="AI353" i="5"/>
  <c r="AJ353" i="5" s="1"/>
  <c r="AF353" i="5"/>
  <c r="AB353" i="5"/>
  <c r="AA353" i="5"/>
  <c r="AI352" i="5"/>
  <c r="AF352" i="5"/>
  <c r="AJ352" i="5" s="1"/>
  <c r="AK352" i="5" s="1"/>
  <c r="AB352" i="5"/>
  <c r="AA352" i="5"/>
  <c r="AI351" i="5"/>
  <c r="AJ351" i="5" s="1"/>
  <c r="AK351" i="5" s="1"/>
  <c r="AF351" i="5"/>
  <c r="AB351" i="5"/>
  <c r="AA351" i="5"/>
  <c r="AI350" i="5"/>
  <c r="AJ350" i="5" s="1"/>
  <c r="AK350" i="5" s="1"/>
  <c r="AF350" i="5"/>
  <c r="AB350" i="5"/>
  <c r="AA350" i="5"/>
  <c r="AI349" i="5"/>
  <c r="AJ349" i="5" s="1"/>
  <c r="AK349" i="5" s="1"/>
  <c r="AF349" i="5"/>
  <c r="AB349" i="5"/>
  <c r="AA349" i="5"/>
  <c r="AI348" i="5"/>
  <c r="AF348" i="5"/>
  <c r="AJ348" i="5" s="1"/>
  <c r="AK348" i="5" s="1"/>
  <c r="AB348" i="5"/>
  <c r="AA348" i="5"/>
  <c r="AI347" i="5"/>
  <c r="AJ347" i="5" s="1"/>
  <c r="AF347" i="5"/>
  <c r="AB347" i="5"/>
  <c r="AA347" i="5"/>
  <c r="AI346" i="5"/>
  <c r="AF346" i="5"/>
  <c r="AJ346" i="5" s="1"/>
  <c r="AK346" i="5" s="1"/>
  <c r="AB346" i="5"/>
  <c r="AA346" i="5"/>
  <c r="AK345" i="5"/>
  <c r="AI345" i="5"/>
  <c r="AJ345" i="5" s="1"/>
  <c r="AF345" i="5"/>
  <c r="AB345" i="5"/>
  <c r="AA345" i="5"/>
  <c r="AI344" i="5"/>
  <c r="AJ344" i="5" s="1"/>
  <c r="AK344" i="5" s="1"/>
  <c r="AF344" i="5"/>
  <c r="AB344" i="5"/>
  <c r="AA344" i="5"/>
  <c r="AI343" i="5"/>
  <c r="AJ343" i="5" s="1"/>
  <c r="AK343" i="5" s="1"/>
  <c r="AF343" i="5"/>
  <c r="AB343" i="5"/>
  <c r="AA343" i="5"/>
  <c r="AI342" i="5"/>
  <c r="AF342" i="5"/>
  <c r="AJ342" i="5" s="1"/>
  <c r="AK342" i="5" s="1"/>
  <c r="AB342" i="5"/>
  <c r="AA342" i="5"/>
  <c r="AJ341" i="5"/>
  <c r="AI341" i="5"/>
  <c r="AF341" i="5"/>
  <c r="AB341" i="5"/>
  <c r="AK341" i="5" s="1"/>
  <c r="AA341" i="5"/>
  <c r="AI340" i="5"/>
  <c r="AF340" i="5"/>
  <c r="AJ340" i="5" s="1"/>
  <c r="AK340" i="5" s="1"/>
  <c r="AB340" i="5"/>
  <c r="AA340" i="5"/>
  <c r="AK339" i="5"/>
  <c r="AI339" i="5"/>
  <c r="AJ339" i="5" s="1"/>
  <c r="AF339" i="5"/>
  <c r="AB339" i="5"/>
  <c r="AA339" i="5"/>
  <c r="AI338" i="5"/>
  <c r="AJ338" i="5" s="1"/>
  <c r="AK338" i="5" s="1"/>
  <c r="AF338" i="5"/>
  <c r="AB338" i="5"/>
  <c r="AA338" i="5"/>
  <c r="AI337" i="5"/>
  <c r="AJ337" i="5" s="1"/>
  <c r="AK337" i="5" s="1"/>
  <c r="AF337" i="5"/>
  <c r="AB337" i="5"/>
  <c r="AA337" i="5"/>
  <c r="AI336" i="5"/>
  <c r="AF336" i="5"/>
  <c r="AJ336" i="5" s="1"/>
  <c r="AK336" i="5" s="1"/>
  <c r="AB336" i="5"/>
  <c r="AA336" i="5"/>
  <c r="AI335" i="5"/>
  <c r="AJ335" i="5" s="1"/>
  <c r="AF335" i="5"/>
  <c r="AB335" i="5"/>
  <c r="AA335" i="5"/>
  <c r="AI334" i="5"/>
  <c r="AF334" i="5"/>
  <c r="AJ334" i="5" s="1"/>
  <c r="AK334" i="5" s="1"/>
  <c r="AB334" i="5"/>
  <c r="AA334" i="5"/>
  <c r="AK333" i="5"/>
  <c r="AI333" i="5"/>
  <c r="AJ333" i="5" s="1"/>
  <c r="AF333" i="5"/>
  <c r="AB333" i="5"/>
  <c r="AA333" i="5"/>
  <c r="AI332" i="5"/>
  <c r="AJ332" i="5" s="1"/>
  <c r="AK332" i="5" s="1"/>
  <c r="AF332" i="5"/>
  <c r="AB332" i="5"/>
  <c r="AA332" i="5"/>
  <c r="AI331" i="5"/>
  <c r="AJ331" i="5" s="1"/>
  <c r="AK331" i="5" s="1"/>
  <c r="AF331" i="5"/>
  <c r="AB331" i="5"/>
  <c r="AA331" i="5"/>
  <c r="AI330" i="5"/>
  <c r="AF330" i="5"/>
  <c r="AJ330" i="5" s="1"/>
  <c r="AK330" i="5" s="1"/>
  <c r="AB330" i="5"/>
  <c r="AA330" i="5"/>
  <c r="AI329" i="5"/>
  <c r="AJ329" i="5" s="1"/>
  <c r="AF329" i="5"/>
  <c r="AB329" i="5"/>
  <c r="AA329" i="5"/>
  <c r="AI328" i="5"/>
  <c r="AF328" i="5"/>
  <c r="AJ328" i="5" s="1"/>
  <c r="AK328" i="5" s="1"/>
  <c r="AB328" i="5"/>
  <c r="AA328" i="5"/>
  <c r="AI327" i="5"/>
  <c r="AJ327" i="5" s="1"/>
  <c r="AK327" i="5" s="1"/>
  <c r="AF327" i="5"/>
  <c r="AB327" i="5"/>
  <c r="AA327" i="5"/>
  <c r="AI326" i="5"/>
  <c r="AJ326" i="5" s="1"/>
  <c r="AK326" i="5" s="1"/>
  <c r="AF326" i="5"/>
  <c r="AB326" i="5"/>
  <c r="AA326" i="5"/>
  <c r="AI325" i="5"/>
  <c r="AJ325" i="5" s="1"/>
  <c r="AK325" i="5" s="1"/>
  <c r="AF325" i="5"/>
  <c r="AB325" i="5"/>
  <c r="AA325" i="5"/>
  <c r="AI324" i="5"/>
  <c r="AF324" i="5"/>
  <c r="AJ324" i="5" s="1"/>
  <c r="AK324" i="5" s="1"/>
  <c r="AB324" i="5"/>
  <c r="AA324" i="5"/>
  <c r="AI323" i="5"/>
  <c r="AJ323" i="5" s="1"/>
  <c r="AF323" i="5"/>
  <c r="AB323" i="5"/>
  <c r="AA323" i="5"/>
  <c r="AI322" i="5"/>
  <c r="AF322" i="5"/>
  <c r="AJ322" i="5" s="1"/>
  <c r="AK322" i="5" s="1"/>
  <c r="AB322" i="5"/>
  <c r="AA322" i="5"/>
  <c r="AK321" i="5"/>
  <c r="AI321" i="5"/>
  <c r="AJ321" i="5" s="1"/>
  <c r="AF321" i="5"/>
  <c r="AB321" i="5"/>
  <c r="AA321" i="5"/>
  <c r="AI320" i="5"/>
  <c r="AJ320" i="5" s="1"/>
  <c r="AK320" i="5" s="1"/>
  <c r="AF320" i="5"/>
  <c r="AB320" i="5"/>
  <c r="AA320" i="5"/>
  <c r="AI319" i="5"/>
  <c r="AJ319" i="5" s="1"/>
  <c r="AK319" i="5" s="1"/>
  <c r="AF319" i="5"/>
  <c r="AB319" i="5"/>
  <c r="AA319" i="5"/>
  <c r="AI318" i="5"/>
  <c r="AF318" i="5"/>
  <c r="AJ318" i="5" s="1"/>
  <c r="AK318" i="5" s="1"/>
  <c r="AB318" i="5"/>
  <c r="AA318" i="5"/>
  <c r="AI317" i="5"/>
  <c r="AJ317" i="5" s="1"/>
  <c r="AF317" i="5"/>
  <c r="AB317" i="5"/>
  <c r="AA317" i="5"/>
  <c r="AI316" i="5"/>
  <c r="AF316" i="5"/>
  <c r="AJ316" i="5" s="1"/>
  <c r="AK316" i="5" s="1"/>
  <c r="AB316" i="5"/>
  <c r="AA316" i="5"/>
  <c r="AK315" i="5"/>
  <c r="AI315" i="5"/>
  <c r="AJ315" i="5" s="1"/>
  <c r="AF315" i="5"/>
  <c r="AB315" i="5"/>
  <c r="AA315" i="5"/>
  <c r="AI314" i="5"/>
  <c r="AJ314" i="5" s="1"/>
  <c r="AK314" i="5" s="1"/>
  <c r="AF314" i="5"/>
  <c r="AB314" i="5"/>
  <c r="AA314" i="5"/>
  <c r="AI313" i="5"/>
  <c r="AJ313" i="5" s="1"/>
  <c r="AK313" i="5" s="1"/>
  <c r="AF313" i="5"/>
  <c r="AB313" i="5"/>
  <c r="AA313" i="5"/>
  <c r="AI312" i="5"/>
  <c r="AF312" i="5"/>
  <c r="AJ312" i="5" s="1"/>
  <c r="AK312" i="5" s="1"/>
  <c r="AB312" i="5"/>
  <c r="AA312" i="5"/>
  <c r="AI311" i="5"/>
  <c r="AJ311" i="5" s="1"/>
  <c r="AF311" i="5"/>
  <c r="AB311" i="5"/>
  <c r="AA311" i="5"/>
  <c r="AI310" i="5"/>
  <c r="AF310" i="5"/>
  <c r="AJ310" i="5" s="1"/>
  <c r="AK310" i="5" s="1"/>
  <c r="AB310" i="5"/>
  <c r="AA310" i="5"/>
  <c r="AK309" i="5"/>
  <c r="AI309" i="5"/>
  <c r="AJ309" i="5" s="1"/>
  <c r="AF309" i="5"/>
  <c r="AB309" i="5"/>
  <c r="AA309" i="5"/>
  <c r="AI308" i="5"/>
  <c r="AJ308" i="5" s="1"/>
  <c r="AK308" i="5" s="1"/>
  <c r="AF308" i="5"/>
  <c r="AB308" i="5"/>
  <c r="AA308" i="5"/>
  <c r="AI307" i="5"/>
  <c r="AJ307" i="5" s="1"/>
  <c r="AK307" i="5" s="1"/>
  <c r="AF307" i="5"/>
  <c r="AB307" i="5"/>
  <c r="AA307" i="5"/>
  <c r="AI306" i="5"/>
  <c r="AF306" i="5"/>
  <c r="AJ306" i="5" s="1"/>
  <c r="AK306" i="5" s="1"/>
  <c r="AB306" i="5"/>
  <c r="AA306" i="5"/>
  <c r="AI305" i="5"/>
  <c r="AJ305" i="5" s="1"/>
  <c r="AF305" i="5"/>
  <c r="AB305" i="5"/>
  <c r="AA305" i="5"/>
  <c r="AI304" i="5"/>
  <c r="AF304" i="5"/>
  <c r="AJ304" i="5" s="1"/>
  <c r="AK304" i="5" s="1"/>
  <c r="AB304" i="5"/>
  <c r="AA304" i="5"/>
  <c r="AK303" i="5"/>
  <c r="AI303" i="5"/>
  <c r="AJ303" i="5" s="1"/>
  <c r="AF303" i="5"/>
  <c r="AB303" i="5"/>
  <c r="AA303" i="5"/>
  <c r="AI302" i="5"/>
  <c r="AJ302" i="5" s="1"/>
  <c r="AK302" i="5" s="1"/>
  <c r="AF302" i="5"/>
  <c r="AB302" i="5"/>
  <c r="AA302" i="5"/>
  <c r="AI301" i="5"/>
  <c r="AJ301" i="5" s="1"/>
  <c r="AK301" i="5" s="1"/>
  <c r="AF301" i="5"/>
  <c r="AB301" i="5"/>
  <c r="AA301" i="5"/>
  <c r="AI300" i="5"/>
  <c r="AF300" i="5"/>
  <c r="AJ300" i="5" s="1"/>
  <c r="AK300" i="5" s="1"/>
  <c r="AB300" i="5"/>
  <c r="AA300" i="5"/>
  <c r="AI299" i="5"/>
  <c r="AJ299" i="5" s="1"/>
  <c r="AF299" i="5"/>
  <c r="AB299" i="5"/>
  <c r="AA299" i="5"/>
  <c r="AI298" i="5"/>
  <c r="AF298" i="5"/>
  <c r="AJ298" i="5" s="1"/>
  <c r="AK298" i="5" s="1"/>
  <c r="AB298" i="5"/>
  <c r="AA298" i="5"/>
  <c r="AK297" i="5"/>
  <c r="AI297" i="5"/>
  <c r="AJ297" i="5" s="1"/>
  <c r="AF297" i="5"/>
  <c r="AB297" i="5"/>
  <c r="AA297" i="5"/>
  <c r="AI296" i="5"/>
  <c r="AJ296" i="5" s="1"/>
  <c r="AK296" i="5" s="1"/>
  <c r="AF296" i="5"/>
  <c r="AB296" i="5"/>
  <c r="AA296" i="5"/>
  <c r="AI295" i="5"/>
  <c r="AJ295" i="5" s="1"/>
  <c r="AK295" i="5" s="1"/>
  <c r="AF295" i="5"/>
  <c r="AB295" i="5"/>
  <c r="AA295" i="5"/>
  <c r="AI294" i="5"/>
  <c r="AF294" i="5"/>
  <c r="AJ294" i="5" s="1"/>
  <c r="AK294" i="5" s="1"/>
  <c r="AB294" i="5"/>
  <c r="AA294" i="5"/>
  <c r="AI293" i="5"/>
  <c r="AJ293" i="5" s="1"/>
  <c r="AF293" i="5"/>
  <c r="AB293" i="5"/>
  <c r="AK293" i="5" s="1"/>
  <c r="AA293" i="5"/>
  <c r="AI292" i="5"/>
  <c r="AF292" i="5"/>
  <c r="AJ292" i="5" s="1"/>
  <c r="AK292" i="5" s="1"/>
  <c r="AB292" i="5"/>
  <c r="AA292" i="5"/>
  <c r="AI291" i="5"/>
  <c r="AJ291" i="5" s="1"/>
  <c r="AK291" i="5" s="1"/>
  <c r="AF291" i="5"/>
  <c r="AB291" i="5"/>
  <c r="AA291" i="5"/>
  <c r="AI290" i="5"/>
  <c r="AJ290" i="5" s="1"/>
  <c r="AK290" i="5" s="1"/>
  <c r="AF290" i="5"/>
  <c r="AB290" i="5"/>
  <c r="AA290" i="5"/>
  <c r="AI289" i="5"/>
  <c r="AJ289" i="5" s="1"/>
  <c r="AK289" i="5" s="1"/>
  <c r="AF289" i="5"/>
  <c r="AB289" i="5"/>
  <c r="AA289" i="5"/>
  <c r="AI288" i="5"/>
  <c r="AF288" i="5"/>
  <c r="AJ288" i="5" s="1"/>
  <c r="AK288" i="5" s="1"/>
  <c r="AB288" i="5"/>
  <c r="AA288" i="5"/>
  <c r="AI287" i="5"/>
  <c r="AJ287" i="5" s="1"/>
  <c r="AF287" i="5"/>
  <c r="AB287" i="5"/>
  <c r="AK287" i="5" s="1"/>
  <c r="AA287" i="5"/>
  <c r="AI286" i="5"/>
  <c r="AF286" i="5"/>
  <c r="AJ286" i="5" s="1"/>
  <c r="AK286" i="5" s="1"/>
  <c r="AB286" i="5"/>
  <c r="AA286" i="5"/>
  <c r="AK285" i="5"/>
  <c r="AI285" i="5"/>
  <c r="AJ285" i="5" s="1"/>
  <c r="AF285" i="5"/>
  <c r="AB285" i="5"/>
  <c r="AA285" i="5"/>
  <c r="AI284" i="5"/>
  <c r="AJ284" i="5" s="1"/>
  <c r="AK284" i="5" s="1"/>
  <c r="AF284" i="5"/>
  <c r="AB284" i="5"/>
  <c r="AA284" i="5"/>
  <c r="AI283" i="5"/>
  <c r="AJ283" i="5" s="1"/>
  <c r="AK283" i="5" s="1"/>
  <c r="AF283" i="5"/>
  <c r="AB283" i="5"/>
  <c r="AA283" i="5"/>
  <c r="AI282" i="5"/>
  <c r="AF282" i="5"/>
  <c r="AJ282" i="5" s="1"/>
  <c r="AK282" i="5" s="1"/>
  <c r="AB282" i="5"/>
  <c r="AA282" i="5"/>
  <c r="AI281" i="5"/>
  <c r="AJ281" i="5" s="1"/>
  <c r="AF281" i="5"/>
  <c r="AB281" i="5"/>
  <c r="AK281" i="5" s="1"/>
  <c r="AA281" i="5"/>
  <c r="AI280" i="5"/>
  <c r="AF280" i="5"/>
  <c r="AJ280" i="5" s="1"/>
  <c r="AK280" i="5" s="1"/>
  <c r="AB280" i="5"/>
  <c r="AA280" i="5"/>
  <c r="AI279" i="5"/>
  <c r="AJ279" i="5" s="1"/>
  <c r="AK279" i="5" s="1"/>
  <c r="AF279" i="5"/>
  <c r="AB279" i="5"/>
  <c r="AA279" i="5"/>
  <c r="AI278" i="5"/>
  <c r="AJ278" i="5" s="1"/>
  <c r="AK278" i="5" s="1"/>
  <c r="AF278" i="5"/>
  <c r="AB278" i="5"/>
  <c r="AA278" i="5"/>
  <c r="AI277" i="5"/>
  <c r="AJ277" i="5" s="1"/>
  <c r="AK277" i="5" s="1"/>
  <c r="AF277" i="5"/>
  <c r="AB277" i="5"/>
  <c r="AA277" i="5"/>
  <c r="AI276" i="5"/>
  <c r="AF276" i="5"/>
  <c r="AB276" i="5"/>
  <c r="AA276" i="5"/>
  <c r="AI275" i="5"/>
  <c r="AF275" i="5"/>
  <c r="AJ275" i="5" s="1"/>
  <c r="AB275" i="5"/>
  <c r="AA275" i="5"/>
  <c r="AI274" i="5"/>
  <c r="AF274" i="5"/>
  <c r="AJ274" i="5" s="1"/>
  <c r="AB274" i="5"/>
  <c r="AK274" i="5" s="1"/>
  <c r="AA274" i="5"/>
  <c r="AI273" i="5"/>
  <c r="AJ273" i="5" s="1"/>
  <c r="AK273" i="5" s="1"/>
  <c r="AF273" i="5"/>
  <c r="AB273" i="5"/>
  <c r="AA273" i="5"/>
  <c r="AI272" i="5"/>
  <c r="AJ272" i="5" s="1"/>
  <c r="AK272" i="5" s="1"/>
  <c r="AF272" i="5"/>
  <c r="AB272" i="5"/>
  <c r="AA272" i="5"/>
  <c r="AI271" i="5"/>
  <c r="AJ271" i="5" s="1"/>
  <c r="AK271" i="5" s="1"/>
  <c r="AF271" i="5"/>
  <c r="AB271" i="5"/>
  <c r="AA271" i="5"/>
  <c r="AI270" i="5"/>
  <c r="AB270" i="5"/>
  <c r="AA270" i="5"/>
  <c r="AI269" i="5"/>
  <c r="AF269" i="5"/>
  <c r="AJ269" i="5" s="1"/>
  <c r="AB269" i="5"/>
  <c r="AA269" i="5"/>
  <c r="AI268" i="5"/>
  <c r="AF268" i="5"/>
  <c r="AJ268" i="5" s="1"/>
  <c r="AB268" i="5"/>
  <c r="AK268" i="5" s="1"/>
  <c r="AA268" i="5"/>
  <c r="AK267" i="5"/>
  <c r="AJ267" i="5"/>
  <c r="AI267" i="5"/>
  <c r="AF267" i="5"/>
  <c r="AB267" i="5"/>
  <c r="AA267" i="5"/>
  <c r="AI266" i="5"/>
  <c r="AJ266" i="5" s="1"/>
  <c r="AK266" i="5" s="1"/>
  <c r="AF266" i="5"/>
  <c r="AB266" i="5"/>
  <c r="AA266" i="5"/>
  <c r="AI265" i="5"/>
  <c r="AJ265" i="5" s="1"/>
  <c r="AK265" i="5" s="1"/>
  <c r="AF265" i="5"/>
  <c r="AB265" i="5"/>
  <c r="AA265" i="5"/>
  <c r="AI264" i="5"/>
  <c r="AF264" i="5"/>
  <c r="AB264" i="5"/>
  <c r="AA264" i="5"/>
  <c r="AI263" i="5"/>
  <c r="AF263" i="5"/>
  <c r="AJ263" i="5" s="1"/>
  <c r="AB263" i="5"/>
  <c r="AA263" i="5"/>
  <c r="AI262" i="5"/>
  <c r="AF262" i="5"/>
  <c r="AB262" i="5"/>
  <c r="AA262" i="5"/>
  <c r="AK261" i="5"/>
  <c r="AJ261" i="5"/>
  <c r="AI261" i="5"/>
  <c r="AF261" i="5"/>
  <c r="AB261" i="5"/>
  <c r="AA261" i="5"/>
  <c r="AI260" i="5"/>
  <c r="AF260" i="5"/>
  <c r="AJ260" i="5" s="1"/>
  <c r="AK260" i="5" s="1"/>
  <c r="AB260" i="5"/>
  <c r="AA260" i="5"/>
  <c r="AI259" i="5"/>
  <c r="AF259" i="5"/>
  <c r="AB259" i="5"/>
  <c r="AA259" i="5"/>
  <c r="AI258" i="5"/>
  <c r="AB258" i="5"/>
  <c r="AA258" i="5"/>
  <c r="AI257" i="5"/>
  <c r="AF257" i="5"/>
  <c r="AJ257" i="5" s="1"/>
  <c r="AB257" i="5"/>
  <c r="AK257" i="5" s="1"/>
  <c r="AA257" i="5"/>
  <c r="AI256" i="5"/>
  <c r="AF256" i="5"/>
  <c r="AB256" i="5"/>
  <c r="AA256" i="5"/>
  <c r="AI255" i="5"/>
  <c r="AJ255" i="5" s="1"/>
  <c r="AK255" i="5" s="1"/>
  <c r="AF255" i="5"/>
  <c r="AB255" i="5"/>
  <c r="AA255" i="5"/>
  <c r="AI254" i="5"/>
  <c r="AF254" i="5"/>
  <c r="AB254" i="5"/>
  <c r="AA254" i="5"/>
  <c r="AI253" i="5"/>
  <c r="AF253" i="5"/>
  <c r="AB253" i="5"/>
  <c r="AA253" i="5"/>
  <c r="AI252" i="5"/>
  <c r="AB252" i="5"/>
  <c r="AA252" i="5"/>
  <c r="AI251" i="5"/>
  <c r="AF251" i="5"/>
  <c r="AJ251" i="5" s="1"/>
  <c r="AB251" i="5"/>
  <c r="AA251" i="5"/>
  <c r="AI250" i="5"/>
  <c r="AF250" i="5"/>
  <c r="AB250" i="5"/>
  <c r="AA250" i="5"/>
  <c r="AK249" i="5"/>
  <c r="AI249" i="5"/>
  <c r="AJ249" i="5" s="1"/>
  <c r="AF249" i="5"/>
  <c r="AB249" i="5"/>
  <c r="AA249" i="5"/>
  <c r="AI248" i="5"/>
  <c r="AF248" i="5"/>
  <c r="AJ248" i="5" s="1"/>
  <c r="AK248" i="5" s="1"/>
  <c r="AB248" i="5"/>
  <c r="AA248" i="5"/>
  <c r="AI247" i="5"/>
  <c r="AF247" i="5"/>
  <c r="AB247" i="5"/>
  <c r="AA247" i="5"/>
  <c r="AI246" i="5"/>
  <c r="AF246" i="5"/>
  <c r="AJ246" i="5" s="1"/>
  <c r="AB246" i="5"/>
  <c r="AA246" i="5"/>
  <c r="AI245" i="5"/>
  <c r="AF245" i="5"/>
  <c r="AB245" i="5"/>
  <c r="AA245" i="5"/>
  <c r="AI244" i="5"/>
  <c r="AF244" i="5"/>
  <c r="AJ244" i="5" s="1"/>
  <c r="AB244" i="5"/>
  <c r="AA244" i="5"/>
  <c r="AK243" i="5"/>
  <c r="AI243" i="5"/>
  <c r="AJ243" i="5" s="1"/>
  <c r="AF243" i="5"/>
  <c r="AB243" i="5"/>
  <c r="AA243" i="5"/>
  <c r="AI242" i="5"/>
  <c r="AF242" i="5"/>
  <c r="AJ242" i="5" s="1"/>
  <c r="AK242" i="5" s="1"/>
  <c r="AB242" i="5"/>
  <c r="AA242" i="5"/>
  <c r="AI241" i="5"/>
  <c r="AF241" i="5"/>
  <c r="AB241" i="5"/>
  <c r="AA241" i="5"/>
  <c r="AI240" i="5"/>
  <c r="AF240" i="5"/>
  <c r="AJ240" i="5" s="1"/>
  <c r="AB240" i="5"/>
  <c r="AA240" i="5"/>
  <c r="AI239" i="5"/>
  <c r="AF239" i="5"/>
  <c r="AB239" i="5"/>
  <c r="AA239" i="5"/>
  <c r="AI238" i="5"/>
  <c r="AF238" i="5"/>
  <c r="AJ238" i="5" s="1"/>
  <c r="AB238" i="5"/>
  <c r="AA238" i="5"/>
  <c r="AK237" i="5"/>
  <c r="AI237" i="5"/>
  <c r="AJ237" i="5" s="1"/>
  <c r="AF237" i="5"/>
  <c r="AB237" i="5"/>
  <c r="AA237" i="5"/>
  <c r="AI236" i="5"/>
  <c r="AF236" i="5"/>
  <c r="AB236" i="5"/>
  <c r="AA236" i="5"/>
  <c r="AI235" i="5"/>
  <c r="AF235" i="5"/>
  <c r="AB235" i="5"/>
  <c r="AA235" i="5"/>
  <c r="AI234" i="5"/>
  <c r="AF234" i="5"/>
  <c r="AJ234" i="5" s="1"/>
  <c r="AB234" i="5"/>
  <c r="AA234" i="5"/>
  <c r="AI233" i="5"/>
  <c r="AF233" i="5"/>
  <c r="AB233" i="5"/>
  <c r="AA233" i="5"/>
  <c r="AI232" i="5"/>
  <c r="AF232" i="5"/>
  <c r="AJ232" i="5" s="1"/>
  <c r="AB232" i="5"/>
  <c r="AA232" i="5"/>
  <c r="AI231" i="5"/>
  <c r="AJ231" i="5" s="1"/>
  <c r="AK231" i="5" s="1"/>
  <c r="AF231" i="5"/>
  <c r="AB231" i="5"/>
  <c r="AA231" i="5"/>
  <c r="AI230" i="5"/>
  <c r="AF230" i="5"/>
  <c r="AB230" i="5"/>
  <c r="AA230" i="5"/>
  <c r="AI229" i="5"/>
  <c r="AF229" i="5"/>
  <c r="AB229" i="5"/>
  <c r="AA229" i="5"/>
  <c r="AI228" i="5"/>
  <c r="AF228" i="5"/>
  <c r="AJ228" i="5" s="1"/>
  <c r="AB228" i="5"/>
  <c r="AA228" i="5"/>
  <c r="AK228" i="5" s="1"/>
  <c r="AI227" i="5"/>
  <c r="AF227" i="5"/>
  <c r="AB227" i="5"/>
  <c r="AA227" i="5"/>
  <c r="AI226" i="5"/>
  <c r="AF226" i="5"/>
  <c r="AJ226" i="5" s="1"/>
  <c r="AB226" i="5"/>
  <c r="AA226" i="5"/>
  <c r="AK225" i="5"/>
  <c r="AI225" i="5"/>
  <c r="AJ225" i="5" s="1"/>
  <c r="AF225" i="5"/>
  <c r="AB225" i="5"/>
  <c r="AA225" i="5"/>
  <c r="AI224" i="5"/>
  <c r="AF224" i="5"/>
  <c r="AJ224" i="5" s="1"/>
  <c r="AK224" i="5" s="1"/>
  <c r="AB224" i="5"/>
  <c r="AA224" i="5"/>
  <c r="AI223" i="5"/>
  <c r="AF223" i="5"/>
  <c r="AB223" i="5"/>
  <c r="AA223" i="5"/>
  <c r="AI222" i="5"/>
  <c r="AF222" i="5"/>
  <c r="AJ222" i="5" s="1"/>
  <c r="AB222" i="5"/>
  <c r="AA222" i="5"/>
  <c r="AI221" i="5"/>
  <c r="AF221" i="5"/>
  <c r="AB221" i="5"/>
  <c r="AA221" i="5"/>
  <c r="AI220" i="5"/>
  <c r="AJ220" i="5" s="1"/>
  <c r="AF220" i="5"/>
  <c r="AB220" i="5"/>
  <c r="AA220" i="5"/>
  <c r="AK219" i="5"/>
  <c r="AI219" i="5"/>
  <c r="AJ219" i="5" s="1"/>
  <c r="AF219" i="5"/>
  <c r="AB219" i="5"/>
  <c r="AA219" i="5"/>
  <c r="AI218" i="5"/>
  <c r="AF218" i="5"/>
  <c r="AB218" i="5"/>
  <c r="AA218" i="5"/>
  <c r="AI217" i="5"/>
  <c r="AF217" i="5"/>
  <c r="AJ217" i="5" s="1"/>
  <c r="AK217" i="5" s="1"/>
  <c r="AB217" i="5"/>
  <c r="AA217" i="5"/>
  <c r="AI216" i="5"/>
  <c r="AF216" i="5"/>
  <c r="AJ216" i="5" s="1"/>
  <c r="AB216" i="5"/>
  <c r="AA216" i="5"/>
  <c r="AI215" i="5"/>
  <c r="AF215" i="5"/>
  <c r="AJ215" i="5" s="1"/>
  <c r="AB215" i="5"/>
  <c r="AA215" i="5"/>
  <c r="AI214" i="5"/>
  <c r="AF214" i="5"/>
  <c r="AJ214" i="5" s="1"/>
  <c r="AB214" i="5"/>
  <c r="AA214" i="5"/>
  <c r="AI213" i="5"/>
  <c r="AJ213" i="5" s="1"/>
  <c r="AK213" i="5" s="1"/>
  <c r="AF213" i="5"/>
  <c r="AB213" i="5"/>
  <c r="AA213" i="5"/>
  <c r="AI212" i="5"/>
  <c r="AF212" i="5"/>
  <c r="AJ212" i="5" s="1"/>
  <c r="AK212" i="5" s="1"/>
  <c r="AB212" i="5"/>
  <c r="AA212" i="5"/>
  <c r="AI211" i="5"/>
  <c r="AF211" i="5"/>
  <c r="AJ211" i="5" s="1"/>
  <c r="AK211" i="5" s="1"/>
  <c r="AB211" i="5"/>
  <c r="AA211" i="5"/>
  <c r="AI210" i="5"/>
  <c r="AF210" i="5"/>
  <c r="AB210" i="5"/>
  <c r="AA210" i="5"/>
  <c r="AI209" i="5"/>
  <c r="AF209" i="5"/>
  <c r="AJ209" i="5" s="1"/>
  <c r="AB209" i="5"/>
  <c r="AA209" i="5"/>
  <c r="AI208" i="5"/>
  <c r="AF208" i="5"/>
  <c r="AJ208" i="5" s="1"/>
  <c r="AB208" i="5"/>
  <c r="AA208" i="5"/>
  <c r="AI207" i="5"/>
  <c r="AJ207" i="5" s="1"/>
  <c r="AK207" i="5" s="1"/>
  <c r="AF207" i="5"/>
  <c r="AB207" i="5"/>
  <c r="AA207" i="5"/>
  <c r="AI206" i="5"/>
  <c r="AF206" i="5"/>
  <c r="AB206" i="5"/>
  <c r="AA206" i="5"/>
  <c r="AI205" i="5"/>
  <c r="AF205" i="5"/>
  <c r="AJ205" i="5" s="1"/>
  <c r="AK205" i="5" s="1"/>
  <c r="AB205" i="5"/>
  <c r="AA205" i="5"/>
  <c r="AI204" i="5"/>
  <c r="AF204" i="5"/>
  <c r="AJ204" i="5" s="1"/>
  <c r="AB204" i="5"/>
  <c r="AA204" i="5"/>
  <c r="AI203" i="5"/>
  <c r="AF203" i="5"/>
  <c r="AJ203" i="5" s="1"/>
  <c r="AB203" i="5"/>
  <c r="AA203" i="5"/>
  <c r="AI202" i="5"/>
  <c r="AF202" i="5"/>
  <c r="AJ202" i="5" s="1"/>
  <c r="AB202" i="5"/>
  <c r="AA202" i="5"/>
  <c r="AF201" i="5"/>
  <c r="AB201" i="5"/>
  <c r="AA201" i="5"/>
  <c r="AI200" i="5"/>
  <c r="AF200" i="5"/>
  <c r="AB200" i="5"/>
  <c r="AA200" i="5"/>
  <c r="AI199" i="5"/>
  <c r="AF199" i="5"/>
  <c r="AB199" i="5"/>
  <c r="AA199" i="5"/>
  <c r="AI198" i="5"/>
  <c r="AF198" i="5"/>
  <c r="AJ198" i="5" s="1"/>
  <c r="AB198" i="5"/>
  <c r="AA198" i="5"/>
  <c r="AK198" i="5" s="1"/>
  <c r="AI197" i="5"/>
  <c r="AF197" i="5"/>
  <c r="AB197" i="5"/>
  <c r="AA197" i="5"/>
  <c r="AI196" i="5"/>
  <c r="AF196" i="5"/>
  <c r="AJ196" i="5" s="1"/>
  <c r="AB196" i="5"/>
  <c r="AA196" i="5"/>
  <c r="AK195" i="5"/>
  <c r="AI195" i="5"/>
  <c r="AJ195" i="5" s="1"/>
  <c r="AF195" i="5"/>
  <c r="AB195" i="5"/>
  <c r="AA195" i="5"/>
  <c r="AI194" i="5"/>
  <c r="AF194" i="5"/>
  <c r="AB194" i="5"/>
  <c r="AA194" i="5"/>
  <c r="AI193" i="5"/>
  <c r="AF193" i="5"/>
  <c r="AJ193" i="5" s="1"/>
  <c r="AK193" i="5" s="1"/>
  <c r="AB193" i="5"/>
  <c r="AA193" i="5"/>
  <c r="AI192" i="5"/>
  <c r="AF192" i="5"/>
  <c r="AJ192" i="5" s="1"/>
  <c r="AB192" i="5"/>
  <c r="AA192" i="5"/>
  <c r="AI191" i="5"/>
  <c r="AF191" i="5"/>
  <c r="AJ191" i="5" s="1"/>
  <c r="AB191" i="5"/>
  <c r="AK191" i="5" s="1"/>
  <c r="AA191" i="5"/>
  <c r="AI190" i="5"/>
  <c r="AF190" i="5"/>
  <c r="AJ190" i="5" s="1"/>
  <c r="AB190" i="5"/>
  <c r="AA190" i="5"/>
  <c r="AI189" i="5"/>
  <c r="AJ189" i="5" s="1"/>
  <c r="AK189" i="5" s="1"/>
  <c r="AF189" i="5"/>
  <c r="AB189" i="5"/>
  <c r="AA189" i="5"/>
  <c r="AI188" i="5"/>
  <c r="AF188" i="5"/>
  <c r="AJ188" i="5" s="1"/>
  <c r="AK188" i="5" s="1"/>
  <c r="AB188" i="5"/>
  <c r="AA188" i="5"/>
  <c r="AI187" i="5"/>
  <c r="AF187" i="5"/>
  <c r="AB187" i="5"/>
  <c r="AA187" i="5"/>
  <c r="AI186" i="5"/>
  <c r="AF186" i="5"/>
  <c r="AJ186" i="5" s="1"/>
  <c r="AB186" i="5"/>
  <c r="AA186" i="5"/>
  <c r="AI185" i="5"/>
  <c r="AF185" i="5"/>
  <c r="AB185" i="5"/>
  <c r="AA185" i="5"/>
  <c r="AI184" i="5"/>
  <c r="AF184" i="5"/>
  <c r="AJ184" i="5" s="1"/>
  <c r="AB184" i="5"/>
  <c r="AA184" i="5"/>
  <c r="AK183" i="5"/>
  <c r="AI183" i="5"/>
  <c r="AJ183" i="5" s="1"/>
  <c r="AF183" i="5"/>
  <c r="AB183" i="5"/>
  <c r="AA183" i="5"/>
  <c r="AQ182" i="5"/>
  <c r="AI182" i="5"/>
  <c r="AF182" i="5"/>
  <c r="AJ182" i="5" s="1"/>
  <c r="AK182" i="5" s="1"/>
  <c r="AB182" i="5"/>
  <c r="AA182" i="5"/>
  <c r="AI181" i="5"/>
  <c r="AB181" i="5"/>
  <c r="AA181" i="5"/>
  <c r="AI180" i="5"/>
  <c r="AF180" i="5"/>
  <c r="AJ180" i="5" s="1"/>
  <c r="AB180" i="5"/>
  <c r="AA180" i="5"/>
  <c r="AI179" i="5"/>
  <c r="AF179" i="5"/>
  <c r="AB179" i="5"/>
  <c r="AA179" i="5"/>
  <c r="AI178" i="5"/>
  <c r="AF178" i="5"/>
  <c r="AB178" i="5"/>
  <c r="AA178" i="5"/>
  <c r="AI177" i="5"/>
  <c r="AF177" i="5"/>
  <c r="AJ177" i="5" s="1"/>
  <c r="AK177" i="5" s="1"/>
  <c r="AB177" i="5"/>
  <c r="AA177" i="5"/>
  <c r="AI176" i="5"/>
  <c r="AF176" i="5"/>
  <c r="AJ176" i="5" s="1"/>
  <c r="AK176" i="5" s="1"/>
  <c r="AB176" i="5"/>
  <c r="AA176" i="5"/>
  <c r="AI175" i="5"/>
  <c r="AB175" i="5"/>
  <c r="AA175" i="5"/>
  <c r="AI174" i="5"/>
  <c r="AF174" i="5"/>
  <c r="AJ174" i="5" s="1"/>
  <c r="AB174" i="5"/>
  <c r="AK174" i="5" s="1"/>
  <c r="AA174" i="5"/>
  <c r="AI173" i="5"/>
  <c r="AF173" i="5"/>
  <c r="AJ173" i="5" s="1"/>
  <c r="AB173" i="5"/>
  <c r="AA173" i="5"/>
  <c r="AI172" i="5"/>
  <c r="AF172" i="5"/>
  <c r="AJ172" i="5" s="1"/>
  <c r="AB172" i="5"/>
  <c r="AK172" i="5" s="1"/>
  <c r="AA172" i="5"/>
  <c r="AI171" i="5"/>
  <c r="AF171" i="5"/>
  <c r="AB171" i="5"/>
  <c r="AA171" i="5"/>
  <c r="AI170" i="5"/>
  <c r="AF170" i="5"/>
  <c r="AJ170" i="5" s="1"/>
  <c r="AK170" i="5" s="1"/>
  <c r="AB170" i="5"/>
  <c r="AA170" i="5"/>
  <c r="AI169" i="5"/>
  <c r="AB169" i="5"/>
  <c r="AA169" i="5"/>
  <c r="AI168" i="5"/>
  <c r="AF168" i="5"/>
  <c r="AJ168" i="5" s="1"/>
  <c r="AB168" i="5"/>
  <c r="AA168" i="5"/>
  <c r="AI167" i="5"/>
  <c r="AF167" i="5"/>
  <c r="AB167" i="5"/>
  <c r="AA167" i="5"/>
  <c r="AI166" i="5"/>
  <c r="AB166" i="5"/>
  <c r="AA166" i="5"/>
  <c r="AQ165" i="5"/>
  <c r="AI165" i="5"/>
  <c r="AF165" i="5"/>
  <c r="AJ165" i="5" s="1"/>
  <c r="AB165" i="5"/>
  <c r="AA165" i="5"/>
  <c r="AI164" i="5"/>
  <c r="AF164" i="5"/>
  <c r="AJ164" i="5" s="1"/>
  <c r="AK164" i="5" s="1"/>
  <c r="AB164" i="5"/>
  <c r="AA164" i="5"/>
  <c r="AQ163" i="5"/>
  <c r="AJ163" i="5"/>
  <c r="AK163" i="5" s="1"/>
  <c r="AI163" i="5"/>
  <c r="AF163" i="5"/>
  <c r="AB163" i="5"/>
  <c r="AA163" i="5"/>
  <c r="AQ162" i="5"/>
  <c r="AI162" i="5"/>
  <c r="AJ162" i="5" s="1"/>
  <c r="AK162" i="5" s="1"/>
  <c r="AF162" i="5"/>
  <c r="AB162" i="5"/>
  <c r="AA162" i="5"/>
  <c r="AQ161" i="5"/>
  <c r="AI161" i="5"/>
  <c r="AB161" i="5"/>
  <c r="AA161" i="5"/>
  <c r="AQ160" i="5"/>
  <c r="AI160" i="5"/>
  <c r="AF160" i="5"/>
  <c r="AJ160" i="5" s="1"/>
  <c r="AB160" i="5"/>
  <c r="AA160" i="5"/>
  <c r="AI159" i="5"/>
  <c r="AF159" i="5"/>
  <c r="AJ159" i="5" s="1"/>
  <c r="AB159" i="5"/>
  <c r="AA159" i="5"/>
  <c r="AI158" i="5"/>
  <c r="AF158" i="5"/>
  <c r="AJ158" i="5" s="1"/>
  <c r="AB158" i="5"/>
  <c r="AA158" i="5"/>
  <c r="AI157" i="5"/>
  <c r="AF157" i="5"/>
  <c r="AJ157" i="5" s="1"/>
  <c r="AB157" i="5"/>
  <c r="AA157" i="5"/>
  <c r="AF156" i="5"/>
  <c r="AB156" i="5"/>
  <c r="AA156" i="5"/>
  <c r="AI155" i="5"/>
  <c r="AJ155" i="5" s="1"/>
  <c r="AK155" i="5" s="1"/>
  <c r="AF155" i="5"/>
  <c r="AB155" i="5"/>
  <c r="AA155" i="5"/>
  <c r="AI154" i="5"/>
  <c r="AF154" i="5"/>
  <c r="AJ154" i="5" s="1"/>
  <c r="AK154" i="5" s="1"/>
  <c r="AB154" i="5"/>
  <c r="AA154" i="5"/>
  <c r="AI153" i="5"/>
  <c r="AF153" i="5"/>
  <c r="AJ153" i="5" s="1"/>
  <c r="AB153" i="5"/>
  <c r="AA153" i="5"/>
  <c r="AI152" i="5"/>
  <c r="AF152" i="5"/>
  <c r="AJ152" i="5" s="1"/>
  <c r="AB152" i="5"/>
  <c r="AA152" i="5"/>
  <c r="AI151" i="5"/>
  <c r="AF151" i="5"/>
  <c r="AJ151" i="5" s="1"/>
  <c r="AB151" i="5"/>
  <c r="AA151" i="5"/>
  <c r="AF150" i="5"/>
  <c r="AB150" i="5"/>
  <c r="AA150" i="5"/>
  <c r="AI149" i="5"/>
  <c r="AJ149" i="5" s="1"/>
  <c r="AF149" i="5"/>
  <c r="AB149" i="5"/>
  <c r="AK149" i="5" s="1"/>
  <c r="AA149" i="5"/>
  <c r="AI148" i="5"/>
  <c r="AF148" i="5"/>
  <c r="AJ148" i="5" s="1"/>
  <c r="AK148" i="5" s="1"/>
  <c r="AB148" i="5"/>
  <c r="AA148" i="5"/>
  <c r="AF147" i="5"/>
  <c r="AB147" i="5"/>
  <c r="AA147" i="5"/>
  <c r="AI146" i="5"/>
  <c r="AF146" i="5"/>
  <c r="AJ146" i="5" s="1"/>
  <c r="AB146" i="5"/>
  <c r="AA146" i="5"/>
  <c r="AI145" i="5"/>
  <c r="AF145" i="5"/>
  <c r="AJ145" i="5" s="1"/>
  <c r="AB145" i="5"/>
  <c r="AA145" i="5"/>
  <c r="AF144" i="5"/>
  <c r="AB144" i="5"/>
  <c r="AA144" i="5"/>
  <c r="AI143" i="5"/>
  <c r="AF143" i="5"/>
  <c r="AJ143" i="5" s="1"/>
  <c r="AK143" i="5" s="1"/>
  <c r="AB143" i="5"/>
  <c r="AA143" i="5"/>
  <c r="AI142" i="5"/>
  <c r="AJ142" i="5" s="1"/>
  <c r="AF142" i="5"/>
  <c r="AB142" i="5"/>
  <c r="AK142" i="5" s="1"/>
  <c r="AA142" i="5"/>
  <c r="AI141" i="5"/>
  <c r="AF141" i="5"/>
  <c r="AJ141" i="5" s="1"/>
  <c r="AB141" i="5"/>
  <c r="AA141" i="5"/>
  <c r="AK141" i="5" s="1"/>
  <c r="AI140" i="5"/>
  <c r="AF140" i="5"/>
  <c r="AJ140" i="5" s="1"/>
  <c r="AB140" i="5"/>
  <c r="AA140" i="5"/>
  <c r="AK140" i="5" s="1"/>
  <c r="AI139" i="5"/>
  <c r="AB139" i="5"/>
  <c r="AA139" i="5"/>
  <c r="AI138" i="5"/>
  <c r="AF138" i="5"/>
  <c r="AJ138" i="5" s="1"/>
  <c r="AB138" i="5"/>
  <c r="AK138" i="5" s="1"/>
  <c r="AA138" i="5"/>
  <c r="AI137" i="5"/>
  <c r="AF137" i="5"/>
  <c r="AJ137" i="5" s="1"/>
  <c r="AB137" i="5"/>
  <c r="AK137" i="5" s="1"/>
  <c r="AA137" i="5"/>
  <c r="AI136" i="5"/>
  <c r="AF136" i="5"/>
  <c r="AJ136" i="5" s="1"/>
  <c r="AB136" i="5"/>
  <c r="AA136" i="5"/>
  <c r="AK136" i="5" s="1"/>
  <c r="AI135" i="5"/>
  <c r="AF135" i="5"/>
  <c r="AB135" i="5"/>
  <c r="AA135" i="5"/>
  <c r="AI134" i="5"/>
  <c r="AF134" i="5"/>
  <c r="AJ134" i="5" s="1"/>
  <c r="AK134" i="5" s="1"/>
  <c r="AB134" i="5"/>
  <c r="AA134" i="5"/>
  <c r="AI133" i="5"/>
  <c r="AF133" i="5"/>
  <c r="AJ133" i="5" s="1"/>
  <c r="AB133" i="5"/>
  <c r="AA133" i="5"/>
  <c r="AJ132" i="5"/>
  <c r="AI132" i="5"/>
  <c r="AF132" i="5"/>
  <c r="AB132" i="5"/>
  <c r="AA132" i="5"/>
  <c r="AK132" i="5" s="1"/>
  <c r="AI131" i="5"/>
  <c r="AF131" i="5"/>
  <c r="AJ131" i="5" s="1"/>
  <c r="AK131" i="5" s="1"/>
  <c r="AB131" i="5"/>
  <c r="AA131" i="5"/>
  <c r="AI130" i="5"/>
  <c r="AJ130" i="5" s="1"/>
  <c r="AF130" i="5"/>
  <c r="AB130" i="5"/>
  <c r="AK130" i="5" s="1"/>
  <c r="AA130" i="5"/>
  <c r="AI129" i="5"/>
  <c r="AF129" i="5"/>
  <c r="AJ129" i="5" s="1"/>
  <c r="AB129" i="5"/>
  <c r="AA129" i="5"/>
  <c r="AK129" i="5" s="1"/>
  <c r="AI128" i="5"/>
  <c r="AF128" i="5"/>
  <c r="AJ128" i="5" s="1"/>
  <c r="AB128" i="5"/>
  <c r="AK128" i="5" s="1"/>
  <c r="AA128" i="5"/>
  <c r="AQ127" i="5"/>
  <c r="AI127" i="5"/>
  <c r="AF127" i="5"/>
  <c r="AJ127" i="5" s="1"/>
  <c r="AB127" i="5"/>
  <c r="AK127" i="5" s="1"/>
  <c r="AA127" i="5"/>
  <c r="AI126" i="5"/>
  <c r="AF126" i="5"/>
  <c r="AB126" i="5"/>
  <c r="AA126" i="5"/>
  <c r="AI125" i="5"/>
  <c r="AJ125" i="5" s="1"/>
  <c r="AK125" i="5" s="1"/>
  <c r="AF125" i="5"/>
  <c r="AB125" i="5"/>
  <c r="AA125" i="5"/>
  <c r="AI124" i="5"/>
  <c r="AF124" i="5"/>
  <c r="AJ124" i="5" s="1"/>
  <c r="AK124" i="5" s="1"/>
  <c r="AB124" i="5"/>
  <c r="AA124" i="5"/>
  <c r="AI123" i="5"/>
  <c r="AF123" i="5"/>
  <c r="AJ123" i="5" s="1"/>
  <c r="AB123" i="5"/>
  <c r="AK123" i="5" s="1"/>
  <c r="AA123" i="5"/>
  <c r="AI122" i="5"/>
  <c r="AF122" i="5"/>
  <c r="AJ122" i="5" s="1"/>
  <c r="AB122" i="5"/>
  <c r="AK122" i="5" s="1"/>
  <c r="AA122" i="5"/>
  <c r="AI121" i="5"/>
  <c r="AF121" i="5"/>
  <c r="AJ121" i="5" s="1"/>
  <c r="AB121" i="5"/>
  <c r="AK121" i="5" s="1"/>
  <c r="AA121" i="5"/>
  <c r="AI120" i="5"/>
  <c r="AF120" i="5"/>
  <c r="AJ120" i="5" s="1"/>
  <c r="AB120" i="5"/>
  <c r="AK120" i="5" s="1"/>
  <c r="AA120" i="5"/>
  <c r="AI119" i="5"/>
  <c r="AJ119" i="5" s="1"/>
  <c r="AK119" i="5" s="1"/>
  <c r="AF119" i="5"/>
  <c r="AB119" i="5"/>
  <c r="AA119" i="5"/>
  <c r="AI118" i="5"/>
  <c r="AF118" i="5"/>
  <c r="AJ118" i="5" s="1"/>
  <c r="AK118" i="5" s="1"/>
  <c r="AB118" i="5"/>
  <c r="AA118" i="5"/>
  <c r="AI117" i="5"/>
  <c r="AF117" i="5"/>
  <c r="AJ117" i="5" s="1"/>
  <c r="AB117" i="5"/>
  <c r="AK117" i="5" s="1"/>
  <c r="AA117" i="5"/>
  <c r="AI116" i="5"/>
  <c r="AF116" i="5"/>
  <c r="AJ116" i="5" s="1"/>
  <c r="AB116" i="5"/>
  <c r="AK116" i="5" s="1"/>
  <c r="AA116" i="5"/>
  <c r="AI115" i="5"/>
  <c r="AF115" i="5"/>
  <c r="AJ115" i="5" s="1"/>
  <c r="AB115" i="5"/>
  <c r="AA115" i="5"/>
  <c r="AQ114" i="5"/>
  <c r="AI114" i="5"/>
  <c r="AF114" i="5"/>
  <c r="AJ114" i="5" s="1"/>
  <c r="AB114" i="5"/>
  <c r="AA114" i="5"/>
  <c r="AK114" i="5" s="1"/>
  <c r="AQ113" i="5"/>
  <c r="AI113" i="5"/>
  <c r="AF113" i="5"/>
  <c r="AJ113" i="5" s="1"/>
  <c r="AB113" i="5"/>
  <c r="AK113" i="5" s="1"/>
  <c r="AA113" i="5"/>
  <c r="AQ112" i="5"/>
  <c r="AI112" i="5"/>
  <c r="AF112" i="5"/>
  <c r="AJ112" i="5" s="1"/>
  <c r="AK112" i="5" s="1"/>
  <c r="AB112" i="5"/>
  <c r="AA112" i="5"/>
  <c r="AQ111" i="5"/>
  <c r="AI111" i="5"/>
  <c r="AJ111" i="5" s="1"/>
  <c r="AK111" i="5" s="1"/>
  <c r="AF111" i="5"/>
  <c r="AB111" i="5"/>
  <c r="AA111" i="5"/>
  <c r="AQ110" i="5"/>
  <c r="AI110" i="5"/>
  <c r="AF110" i="5"/>
  <c r="AJ110" i="5" s="1"/>
  <c r="AB110" i="5"/>
  <c r="AK110" i="5" s="1"/>
  <c r="AA110" i="5"/>
  <c r="AQ109" i="5"/>
  <c r="AI109" i="5"/>
  <c r="AF109" i="5"/>
  <c r="AJ109" i="5" s="1"/>
  <c r="AK109" i="5" s="1"/>
  <c r="AB109" i="5"/>
  <c r="AA109" i="5"/>
  <c r="AQ108" i="5"/>
  <c r="AI108" i="5"/>
  <c r="AF108" i="5"/>
  <c r="AJ108" i="5" s="1"/>
  <c r="AB108" i="5"/>
  <c r="AK108" i="5" s="1"/>
  <c r="AA108" i="5"/>
  <c r="AQ107" i="5"/>
  <c r="AI107" i="5"/>
  <c r="AF107" i="5"/>
  <c r="AJ107" i="5" s="1"/>
  <c r="AB107" i="5"/>
  <c r="AK107" i="5" s="1"/>
  <c r="AA107" i="5"/>
  <c r="AQ106" i="5"/>
  <c r="AI106" i="5"/>
  <c r="AF106" i="5"/>
  <c r="AJ106" i="5" s="1"/>
  <c r="AB106" i="5"/>
  <c r="AK106" i="5" s="1"/>
  <c r="AA106" i="5"/>
  <c r="AI105" i="5"/>
  <c r="AF105" i="5"/>
  <c r="AJ105" i="5" s="1"/>
  <c r="AB105" i="5"/>
  <c r="AK105" i="5" s="1"/>
  <c r="AA105" i="5"/>
  <c r="AI104" i="5"/>
  <c r="AF104" i="5"/>
  <c r="AJ104" i="5" s="1"/>
  <c r="AB104" i="5"/>
  <c r="AA104" i="5"/>
  <c r="AK104" i="5" s="1"/>
  <c r="AI103" i="5"/>
  <c r="AF103" i="5"/>
  <c r="AJ103" i="5" s="1"/>
  <c r="AK103" i="5" s="1"/>
  <c r="AB103" i="5"/>
  <c r="AA103" i="5"/>
  <c r="AI102" i="5"/>
  <c r="AF102" i="5"/>
  <c r="AJ102" i="5" s="1"/>
  <c r="AB102" i="5"/>
  <c r="AK102" i="5" s="1"/>
  <c r="AA102" i="5"/>
  <c r="AI101" i="5"/>
  <c r="AF101" i="5"/>
  <c r="AJ101" i="5" s="1"/>
  <c r="AB101" i="5"/>
  <c r="AA101" i="5"/>
  <c r="AI100" i="5"/>
  <c r="AF100" i="5"/>
  <c r="AJ100" i="5" s="1"/>
  <c r="AB100" i="5"/>
  <c r="AA100" i="5"/>
  <c r="AI99" i="5"/>
  <c r="AF99" i="5"/>
  <c r="AJ99" i="5" s="1"/>
  <c r="AB99" i="5"/>
  <c r="AK99" i="5" s="1"/>
  <c r="AA99" i="5"/>
  <c r="AI98" i="5"/>
  <c r="AF98" i="5"/>
  <c r="AJ98" i="5" s="1"/>
  <c r="AB98" i="5"/>
  <c r="AA98" i="5"/>
  <c r="AK98" i="5" s="1"/>
  <c r="AI97" i="5"/>
  <c r="AF97" i="5"/>
  <c r="AJ97" i="5" s="1"/>
  <c r="AK97" i="5" s="1"/>
  <c r="AB97" i="5"/>
  <c r="AA97" i="5"/>
  <c r="AI96" i="5"/>
  <c r="AF96" i="5"/>
  <c r="AJ96" i="5" s="1"/>
  <c r="AB96" i="5"/>
  <c r="AK96" i="5" s="1"/>
  <c r="AA96" i="5"/>
  <c r="AI95" i="5"/>
  <c r="AF95" i="5"/>
  <c r="AJ95" i="5" s="1"/>
  <c r="AB95" i="5"/>
  <c r="AK95" i="5" s="1"/>
  <c r="AA95" i="5"/>
  <c r="AI94" i="5"/>
  <c r="AF94" i="5"/>
  <c r="AJ94" i="5" s="1"/>
  <c r="AB94" i="5"/>
  <c r="AK94" i="5" s="1"/>
  <c r="AA94" i="5"/>
  <c r="AI93" i="5"/>
  <c r="AF93" i="5"/>
  <c r="AJ93" i="5" s="1"/>
  <c r="AB93" i="5"/>
  <c r="AK93" i="5" s="1"/>
  <c r="AA93" i="5"/>
  <c r="AI92" i="5"/>
  <c r="AF92" i="5"/>
  <c r="AJ92" i="5" s="1"/>
  <c r="AB92" i="5"/>
  <c r="AA92" i="5"/>
  <c r="AK92" i="5" s="1"/>
  <c r="AI91" i="5"/>
  <c r="AF91" i="5"/>
  <c r="AJ91" i="5" s="1"/>
  <c r="AK91" i="5" s="1"/>
  <c r="AB91" i="5"/>
  <c r="AA91" i="5"/>
  <c r="AI90" i="5"/>
  <c r="AF90" i="5"/>
  <c r="AJ90" i="5" s="1"/>
  <c r="AB90" i="5"/>
  <c r="AK90" i="5" s="1"/>
  <c r="AA90" i="5"/>
  <c r="AI89" i="5"/>
  <c r="AF89" i="5"/>
  <c r="AJ89" i="5" s="1"/>
  <c r="AB89" i="5"/>
  <c r="AK89" i="5" s="1"/>
  <c r="AA89" i="5"/>
  <c r="AI88" i="5"/>
  <c r="AF88" i="5"/>
  <c r="AJ88" i="5" s="1"/>
  <c r="AB88" i="5"/>
  <c r="AA88" i="5"/>
  <c r="AI87" i="5"/>
  <c r="AF87" i="5"/>
  <c r="AJ87" i="5" s="1"/>
  <c r="AB87" i="5"/>
  <c r="AK87" i="5" s="1"/>
  <c r="AA87" i="5"/>
  <c r="AI86" i="5"/>
  <c r="AF86" i="5"/>
  <c r="AJ86" i="5" s="1"/>
  <c r="AB86" i="5"/>
  <c r="AA86" i="5"/>
  <c r="AK86" i="5" s="1"/>
  <c r="AI85" i="5"/>
  <c r="AF85" i="5"/>
  <c r="AJ85" i="5" s="1"/>
  <c r="AK85" i="5" s="1"/>
  <c r="AB85" i="5"/>
  <c r="AA85" i="5"/>
  <c r="AI84" i="5"/>
  <c r="AF84" i="5"/>
  <c r="AJ84" i="5" s="1"/>
  <c r="AB84" i="5"/>
  <c r="AK84" i="5" s="1"/>
  <c r="AA84" i="5"/>
  <c r="AI83" i="5"/>
  <c r="AF83" i="5"/>
  <c r="AJ83" i="5" s="1"/>
  <c r="AB83" i="5"/>
  <c r="AK83" i="5" s="1"/>
  <c r="AA83" i="5"/>
  <c r="AI82" i="5"/>
  <c r="AF82" i="5"/>
  <c r="AJ82" i="5" s="1"/>
  <c r="AB82" i="5"/>
  <c r="AK82" i="5" s="1"/>
  <c r="AA82" i="5"/>
  <c r="AI81" i="5"/>
  <c r="AF81" i="5"/>
  <c r="AJ81" i="5" s="1"/>
  <c r="AB81" i="5"/>
  <c r="AK81" i="5" s="1"/>
  <c r="AA81" i="5"/>
  <c r="AI80" i="5"/>
  <c r="AF80" i="5"/>
  <c r="AJ80" i="5" s="1"/>
  <c r="AB80" i="5"/>
  <c r="AA80" i="5"/>
  <c r="AK80" i="5" s="1"/>
  <c r="AI79" i="5"/>
  <c r="AF79" i="5"/>
  <c r="AJ79" i="5" s="1"/>
  <c r="AK79" i="5" s="1"/>
  <c r="AB79" i="5"/>
  <c r="AA79" i="5"/>
  <c r="AI78" i="5"/>
  <c r="AF78" i="5"/>
  <c r="AJ78" i="5" s="1"/>
  <c r="AB78" i="5"/>
  <c r="AK78" i="5" s="1"/>
  <c r="AA78" i="5"/>
  <c r="AI77" i="5"/>
  <c r="AF77" i="5"/>
  <c r="AJ77" i="5" s="1"/>
  <c r="AB77" i="5"/>
  <c r="AA77" i="5"/>
  <c r="AI76" i="5"/>
  <c r="AF76" i="5"/>
  <c r="AJ76" i="5" s="1"/>
  <c r="AK76" i="5" s="1"/>
  <c r="AB76" i="5"/>
  <c r="AA76" i="5"/>
  <c r="AI75" i="5"/>
  <c r="AF75" i="5"/>
  <c r="AJ75" i="5" s="1"/>
  <c r="AB75" i="5"/>
  <c r="AK75" i="5" s="1"/>
  <c r="AA75" i="5"/>
  <c r="AI74" i="5"/>
  <c r="AF74" i="5"/>
  <c r="AJ74" i="5" s="1"/>
  <c r="AB74" i="5"/>
  <c r="AA74" i="5"/>
  <c r="AK74" i="5" s="1"/>
  <c r="AI73" i="5"/>
  <c r="AF73" i="5"/>
  <c r="AJ73" i="5" s="1"/>
  <c r="AK73" i="5" s="1"/>
  <c r="AB73" i="5"/>
  <c r="AA73" i="5"/>
  <c r="AI72" i="5"/>
  <c r="AF72" i="5"/>
  <c r="AJ72" i="5" s="1"/>
  <c r="AB72" i="5"/>
  <c r="AK72" i="5" s="1"/>
  <c r="AA72" i="5"/>
  <c r="AI71" i="5"/>
  <c r="AF71" i="5"/>
  <c r="AJ71" i="5" s="1"/>
  <c r="AB71" i="5"/>
  <c r="AA71" i="5"/>
  <c r="AI70" i="5"/>
  <c r="AF70" i="5"/>
  <c r="AJ70" i="5" s="1"/>
  <c r="AK70" i="5" s="1"/>
  <c r="AB70" i="5"/>
  <c r="AA70" i="5"/>
  <c r="AI69" i="5"/>
  <c r="AF69" i="5"/>
  <c r="AJ69" i="5" s="1"/>
  <c r="AB69" i="5"/>
  <c r="AK69" i="5" s="1"/>
  <c r="AA69" i="5"/>
  <c r="AI68" i="5"/>
  <c r="AF68" i="5"/>
  <c r="AJ68" i="5" s="1"/>
  <c r="AB68" i="5"/>
  <c r="AA68" i="5"/>
  <c r="AK68" i="5" s="1"/>
  <c r="AI67" i="5"/>
  <c r="AF67" i="5"/>
  <c r="AJ67" i="5" s="1"/>
  <c r="AK67" i="5" s="1"/>
  <c r="AB67" i="5"/>
  <c r="AA67" i="5"/>
  <c r="AI66" i="5"/>
  <c r="AF66" i="5"/>
  <c r="AJ66" i="5" s="1"/>
  <c r="AB66" i="5"/>
  <c r="AK66" i="5" s="1"/>
  <c r="AA66" i="5"/>
  <c r="AI65" i="5"/>
  <c r="AF65" i="5"/>
  <c r="AJ65" i="5" s="1"/>
  <c r="AB65" i="5"/>
  <c r="AK65" i="5" s="1"/>
  <c r="AA65" i="5"/>
  <c r="AI64" i="5"/>
  <c r="AF64" i="5"/>
  <c r="AJ64" i="5" s="1"/>
  <c r="AK64" i="5" s="1"/>
  <c r="AB64" i="5"/>
  <c r="AA64" i="5"/>
  <c r="AI63" i="5"/>
  <c r="AF63" i="5"/>
  <c r="AJ63" i="5" s="1"/>
  <c r="AB63" i="5"/>
  <c r="AK63" i="5" s="1"/>
  <c r="AA63" i="5"/>
  <c r="AI62" i="5"/>
  <c r="AF62" i="5"/>
  <c r="AJ62" i="5" s="1"/>
  <c r="AB62" i="5"/>
  <c r="AA62" i="5"/>
  <c r="AK62" i="5" s="1"/>
  <c r="AI61" i="5"/>
  <c r="AF61" i="5"/>
  <c r="AJ61" i="5" s="1"/>
  <c r="AK61" i="5" s="1"/>
  <c r="AB61" i="5"/>
  <c r="AA61" i="5"/>
  <c r="AI60" i="5"/>
  <c r="AF60" i="5"/>
  <c r="AJ60" i="5" s="1"/>
  <c r="AB60" i="5"/>
  <c r="AK60" i="5" s="1"/>
  <c r="AA60" i="5"/>
  <c r="AI59" i="5"/>
  <c r="AF59" i="5"/>
  <c r="AJ59" i="5" s="1"/>
  <c r="AB59" i="5"/>
  <c r="AK59" i="5" s="1"/>
  <c r="AA59" i="5"/>
  <c r="AI58" i="5"/>
  <c r="AF58" i="5"/>
  <c r="AJ58" i="5" s="1"/>
  <c r="AK58" i="5" s="1"/>
  <c r="AB58" i="5"/>
  <c r="AA58" i="5"/>
  <c r="AI57" i="5"/>
  <c r="AF57" i="5"/>
  <c r="AJ57" i="5" s="1"/>
  <c r="AB57" i="5"/>
  <c r="AK57" i="5" s="1"/>
  <c r="AA57" i="5"/>
  <c r="AI56" i="5"/>
  <c r="AF56" i="5"/>
  <c r="AJ56" i="5" s="1"/>
  <c r="AB56" i="5"/>
  <c r="AA56" i="5"/>
  <c r="AK56" i="5" s="1"/>
  <c r="AI55" i="5"/>
  <c r="AF55" i="5"/>
  <c r="AJ55" i="5" s="1"/>
  <c r="AK55" i="5" s="1"/>
  <c r="AB55" i="5"/>
  <c r="AA55" i="5"/>
  <c r="AI54" i="5"/>
  <c r="AF54" i="5"/>
  <c r="AJ54" i="5" s="1"/>
  <c r="AB54" i="5"/>
  <c r="AK54" i="5" s="1"/>
  <c r="AA54" i="5"/>
  <c r="AI53" i="5"/>
  <c r="AF53" i="5"/>
  <c r="AJ53" i="5" s="1"/>
  <c r="AB53" i="5"/>
  <c r="AK53" i="5" s="1"/>
  <c r="AA53" i="5"/>
  <c r="AI52" i="5"/>
  <c r="AF52" i="5"/>
  <c r="AJ52" i="5" s="1"/>
  <c r="AK52" i="5" s="1"/>
  <c r="AB52" i="5"/>
  <c r="AA52" i="5"/>
  <c r="AI51" i="5"/>
  <c r="AF51" i="5"/>
  <c r="AJ51" i="5" s="1"/>
  <c r="AB51" i="5"/>
  <c r="AK51" i="5" s="1"/>
  <c r="AA51" i="5"/>
  <c r="AI50" i="5"/>
  <c r="AF50" i="5"/>
  <c r="AJ50" i="5" s="1"/>
  <c r="AB50" i="5"/>
  <c r="AA50" i="5"/>
  <c r="AK50" i="5" s="1"/>
  <c r="AI49" i="5"/>
  <c r="AF49" i="5"/>
  <c r="AJ49" i="5" s="1"/>
  <c r="AK49" i="5" s="1"/>
  <c r="AB49" i="5"/>
  <c r="AA49" i="5"/>
  <c r="AI48" i="5"/>
  <c r="AF48" i="5"/>
  <c r="AJ48" i="5" s="1"/>
  <c r="AB48" i="5"/>
  <c r="AK48" i="5" s="1"/>
  <c r="AA48" i="5"/>
  <c r="AI47" i="5"/>
  <c r="AF47" i="5"/>
  <c r="AJ47" i="5" s="1"/>
  <c r="AB47" i="5"/>
  <c r="AK47" i="5" s="1"/>
  <c r="AA47" i="5"/>
  <c r="AI46" i="5"/>
  <c r="AF46" i="5"/>
  <c r="AJ46" i="5" s="1"/>
  <c r="AK46" i="5" s="1"/>
  <c r="AB46" i="5"/>
  <c r="AA46" i="5"/>
  <c r="AI45" i="5"/>
  <c r="AF45" i="5"/>
  <c r="AJ45" i="5" s="1"/>
  <c r="AB45" i="5"/>
  <c r="AK45" i="5" s="1"/>
  <c r="AA45" i="5"/>
  <c r="AI44" i="5"/>
  <c r="AF44" i="5"/>
  <c r="AJ44" i="5" s="1"/>
  <c r="AB44" i="5"/>
  <c r="AA44" i="5"/>
  <c r="AK44" i="5" s="1"/>
  <c r="AI43" i="5"/>
  <c r="AF43" i="5"/>
  <c r="AJ43" i="5" s="1"/>
  <c r="AK43" i="5" s="1"/>
  <c r="AB43" i="5"/>
  <c r="AA43" i="5"/>
  <c r="AI42" i="5"/>
  <c r="AF42" i="5"/>
  <c r="AJ42" i="5" s="1"/>
  <c r="AB42" i="5"/>
  <c r="AK42" i="5" s="1"/>
  <c r="AA42" i="5"/>
  <c r="AI41" i="5"/>
  <c r="AF41" i="5"/>
  <c r="AJ41" i="5" s="1"/>
  <c r="AB41" i="5"/>
  <c r="AK41" i="5" s="1"/>
  <c r="AA41" i="5"/>
  <c r="AI40" i="5"/>
  <c r="AF40" i="5"/>
  <c r="AJ40" i="5" s="1"/>
  <c r="AB40" i="5"/>
  <c r="AA40" i="5"/>
  <c r="AI39" i="5"/>
  <c r="AF39" i="5"/>
  <c r="AJ39" i="5" s="1"/>
  <c r="AB39" i="5"/>
  <c r="AK39" i="5" s="1"/>
  <c r="AA39" i="5"/>
  <c r="AI38" i="5"/>
  <c r="AF38" i="5"/>
  <c r="AJ38" i="5" s="1"/>
  <c r="AB38" i="5"/>
  <c r="AA38" i="5"/>
  <c r="AK38" i="5" s="1"/>
  <c r="AI37" i="5"/>
  <c r="AF37" i="5"/>
  <c r="AJ37" i="5" s="1"/>
  <c r="AK37" i="5" s="1"/>
  <c r="AB37" i="5"/>
  <c r="AA37" i="5"/>
  <c r="AI36" i="5"/>
  <c r="AF36" i="5"/>
  <c r="AJ36" i="5" s="1"/>
  <c r="AB36" i="5"/>
  <c r="AK36" i="5" s="1"/>
  <c r="AA36" i="5"/>
  <c r="AI35" i="5"/>
  <c r="AF35" i="5"/>
  <c r="AJ35" i="5" s="1"/>
  <c r="AB35" i="5"/>
  <c r="AK35" i="5" s="1"/>
  <c r="AA35" i="5"/>
  <c r="AI34" i="5"/>
  <c r="AF34" i="5"/>
  <c r="AJ34" i="5" s="1"/>
  <c r="AK34" i="5" s="1"/>
  <c r="AB34" i="5"/>
  <c r="AA34" i="5"/>
  <c r="AI33" i="5"/>
  <c r="AF33" i="5"/>
  <c r="AJ33" i="5" s="1"/>
  <c r="AB33" i="5"/>
  <c r="AK33" i="5" s="1"/>
  <c r="AA33" i="5"/>
  <c r="AI32" i="5"/>
  <c r="AF32" i="5"/>
  <c r="AJ32" i="5" s="1"/>
  <c r="AB32" i="5"/>
  <c r="AA32" i="5"/>
  <c r="AK32" i="5" s="1"/>
  <c r="AI31" i="5"/>
  <c r="AF31" i="5"/>
  <c r="AJ31" i="5" s="1"/>
  <c r="AK31" i="5" s="1"/>
  <c r="AB31" i="5"/>
  <c r="AA31" i="5"/>
  <c r="AI30" i="5"/>
  <c r="AF30" i="5"/>
  <c r="AJ30" i="5" s="1"/>
  <c r="AB30" i="5"/>
  <c r="AK30" i="5" s="1"/>
  <c r="AA30" i="5"/>
  <c r="AI29" i="5"/>
  <c r="AF29" i="5"/>
  <c r="AJ29" i="5" s="1"/>
  <c r="AB29" i="5"/>
  <c r="AK29" i="5" s="1"/>
  <c r="AA29" i="5"/>
  <c r="AI28" i="5"/>
  <c r="AF28" i="5"/>
  <c r="AJ28" i="5" s="1"/>
  <c r="AK28" i="5" s="1"/>
  <c r="AB28" i="5"/>
  <c r="AA28" i="5"/>
  <c r="AI27" i="5"/>
  <c r="AF27" i="5"/>
  <c r="AJ27" i="5" s="1"/>
  <c r="AB27" i="5"/>
  <c r="AK27" i="5" s="1"/>
  <c r="AA27" i="5"/>
  <c r="AI26" i="5"/>
  <c r="AF26" i="5"/>
  <c r="AJ26" i="5" s="1"/>
  <c r="AB26" i="5"/>
  <c r="AA26" i="5"/>
  <c r="AK26" i="5" s="1"/>
  <c r="AI25" i="5"/>
  <c r="AF25" i="5"/>
  <c r="AJ25" i="5" s="1"/>
  <c r="AK25" i="5" s="1"/>
  <c r="AB25" i="5"/>
  <c r="AA25" i="5"/>
  <c r="AI24" i="5"/>
  <c r="AF24" i="5"/>
  <c r="AJ24" i="5" s="1"/>
  <c r="AB24" i="5"/>
  <c r="AK24" i="5" s="1"/>
  <c r="AA24" i="5"/>
  <c r="AI23" i="5"/>
  <c r="AF23" i="5"/>
  <c r="AJ23" i="5" s="1"/>
  <c r="AB23" i="5"/>
  <c r="AK23" i="5" s="1"/>
  <c r="AA23" i="5"/>
  <c r="AI22" i="5"/>
  <c r="AF22" i="5"/>
  <c r="AJ22" i="5" s="1"/>
  <c r="AK22" i="5" s="1"/>
  <c r="AB22" i="5"/>
  <c r="AA22" i="5"/>
  <c r="AI21" i="5"/>
  <c r="AF21" i="5"/>
  <c r="AJ21" i="5" s="1"/>
  <c r="AB21" i="5"/>
  <c r="AK21" i="5" s="1"/>
  <c r="AA21" i="5"/>
  <c r="AI20" i="5"/>
  <c r="AF20" i="5"/>
  <c r="AJ20" i="5" s="1"/>
  <c r="AB20" i="5"/>
  <c r="AA20" i="5"/>
  <c r="AK20" i="5" s="1"/>
  <c r="AI19" i="5"/>
  <c r="AF19" i="5"/>
  <c r="AJ19" i="5" s="1"/>
  <c r="AK19" i="5" s="1"/>
  <c r="AB19" i="5"/>
  <c r="AA19" i="5"/>
  <c r="AI18" i="5"/>
  <c r="AF18" i="5"/>
  <c r="AJ18" i="5" s="1"/>
  <c r="AB18" i="5"/>
  <c r="AK18" i="5" s="1"/>
  <c r="AA18" i="5"/>
  <c r="AI17" i="5"/>
  <c r="AF17" i="5"/>
  <c r="AJ17" i="5" s="1"/>
  <c r="AB17" i="5"/>
  <c r="AK17" i="5" s="1"/>
  <c r="AA17" i="5"/>
  <c r="AI16" i="5"/>
  <c r="AF16" i="5"/>
  <c r="AJ16" i="5" s="1"/>
  <c r="AK16" i="5" s="1"/>
  <c r="AB16" i="5"/>
  <c r="AA16" i="5"/>
  <c r="AI15" i="5"/>
  <c r="AF15" i="5"/>
  <c r="AJ15" i="5" s="1"/>
  <c r="AB15" i="5"/>
  <c r="AK15" i="5" s="1"/>
  <c r="AA15" i="5"/>
  <c r="AI14" i="5"/>
  <c r="AF14" i="5"/>
  <c r="AJ14" i="5" s="1"/>
  <c r="AB14" i="5"/>
  <c r="AA14" i="5"/>
  <c r="AK14" i="5" s="1"/>
  <c r="AI13" i="5"/>
  <c r="AF13" i="5"/>
  <c r="AJ13" i="5" s="1"/>
  <c r="AK13" i="5" s="1"/>
  <c r="AB13" i="5"/>
  <c r="AA13" i="5"/>
  <c r="AI12" i="5"/>
  <c r="AF12" i="5"/>
  <c r="AJ12" i="5" s="1"/>
  <c r="AB12" i="5"/>
  <c r="AK12" i="5" s="1"/>
  <c r="AA12" i="5"/>
  <c r="AI11" i="5"/>
  <c r="AF11" i="5"/>
  <c r="AJ11" i="5" s="1"/>
  <c r="AB11" i="5"/>
  <c r="AK11" i="5" s="1"/>
  <c r="AA11" i="5"/>
  <c r="AI10" i="5"/>
  <c r="AF10" i="5"/>
  <c r="AJ10" i="5" s="1"/>
  <c r="AB10" i="5"/>
  <c r="AA10" i="5"/>
  <c r="AI9" i="5"/>
  <c r="AF9" i="5"/>
  <c r="AJ9" i="5" s="1"/>
  <c r="AB9" i="5"/>
  <c r="AK9" i="5" s="1"/>
  <c r="AA9" i="5"/>
  <c r="AI8" i="5"/>
  <c r="AF8" i="5"/>
  <c r="AJ8" i="5" s="1"/>
  <c r="AB8" i="5"/>
  <c r="AA8" i="5"/>
  <c r="AK8" i="5" s="1"/>
  <c r="AI7" i="5"/>
  <c r="AF7" i="5"/>
  <c r="AJ7" i="5" s="1"/>
  <c r="AK7" i="5" s="1"/>
  <c r="AB7" i="5"/>
  <c r="AA7" i="5"/>
  <c r="AI6" i="5"/>
  <c r="AF6" i="5"/>
  <c r="AJ6" i="5" s="1"/>
  <c r="AB6" i="5"/>
  <c r="AK6" i="5" s="1"/>
  <c r="AA6" i="5"/>
  <c r="AI5" i="5"/>
  <c r="AF5" i="5"/>
  <c r="AJ5" i="5" s="1"/>
  <c r="AB5" i="5"/>
  <c r="AK5" i="5" s="1"/>
  <c r="AA5" i="5"/>
  <c r="AI4" i="5"/>
  <c r="AF4" i="5"/>
  <c r="AJ4" i="5" s="1"/>
  <c r="AB4" i="5"/>
  <c r="AA4" i="5"/>
  <c r="AK4" i="5" s="1"/>
  <c r="AI3" i="5"/>
  <c r="AF3" i="5"/>
  <c r="AJ3" i="5" s="1"/>
  <c r="AB3" i="5"/>
  <c r="AK3" i="5" s="1"/>
  <c r="AA3" i="5"/>
  <c r="AI2" i="5"/>
  <c r="AH2" i="5"/>
  <c r="AG2" i="5"/>
  <c r="AF2" i="5"/>
  <c r="AE2" i="5"/>
  <c r="AD2" i="5"/>
  <c r="Q366" i="4"/>
  <c r="R366" i="4" s="1"/>
  <c r="N366" i="4"/>
  <c r="Q365" i="4"/>
  <c r="R365" i="4" s="1"/>
  <c r="N365" i="4"/>
  <c r="Q364" i="4"/>
  <c r="R364" i="4" s="1"/>
  <c r="N364" i="4"/>
  <c r="Q363" i="4"/>
  <c r="R363" i="4" s="1"/>
  <c r="N363" i="4"/>
  <c r="Q362" i="4"/>
  <c r="R362" i="4" s="1"/>
  <c r="N362" i="4"/>
  <c r="Q361" i="4"/>
  <c r="R361" i="4" s="1"/>
  <c r="N361" i="4"/>
  <c r="Q360" i="4"/>
  <c r="R360" i="4" s="1"/>
  <c r="N360" i="4"/>
  <c r="Q359" i="4"/>
  <c r="R359" i="4" s="1"/>
  <c r="N359" i="4"/>
  <c r="Q358" i="4"/>
  <c r="R358" i="4" s="1"/>
  <c r="N358" i="4"/>
  <c r="Q357" i="4"/>
  <c r="R357" i="4" s="1"/>
  <c r="N357" i="4"/>
  <c r="Q356" i="4"/>
  <c r="R356" i="4" s="1"/>
  <c r="N356" i="4"/>
  <c r="Q355" i="4"/>
  <c r="R355" i="4" s="1"/>
  <c r="N355" i="4"/>
  <c r="Q354" i="4"/>
  <c r="R354" i="4" s="1"/>
  <c r="N354" i="4"/>
  <c r="Q353" i="4"/>
  <c r="R353" i="4" s="1"/>
  <c r="N353" i="4"/>
  <c r="Q352" i="4"/>
  <c r="R352" i="4" s="1"/>
  <c r="N352" i="4"/>
  <c r="Q351" i="4"/>
  <c r="R351" i="4" s="1"/>
  <c r="N351" i="4"/>
  <c r="Q350" i="4"/>
  <c r="R350" i="4" s="1"/>
  <c r="N350" i="4"/>
  <c r="Q349" i="4"/>
  <c r="R349" i="4" s="1"/>
  <c r="N349" i="4"/>
  <c r="Q348" i="4"/>
  <c r="R348" i="4" s="1"/>
  <c r="N348" i="4"/>
  <c r="Q347" i="4"/>
  <c r="R347" i="4" s="1"/>
  <c r="N347" i="4"/>
  <c r="Q346" i="4"/>
  <c r="R346" i="4" s="1"/>
  <c r="N346" i="4"/>
  <c r="Q345" i="4"/>
  <c r="R345" i="4" s="1"/>
  <c r="N345" i="4"/>
  <c r="Q344" i="4"/>
  <c r="R344" i="4" s="1"/>
  <c r="N344" i="4"/>
  <c r="Q343" i="4"/>
  <c r="R343" i="4" s="1"/>
  <c r="N343" i="4"/>
  <c r="Q342" i="4"/>
  <c r="R342" i="4" s="1"/>
  <c r="N342" i="4"/>
  <c r="Q341" i="4"/>
  <c r="R341" i="4" s="1"/>
  <c r="N341" i="4"/>
  <c r="Q340" i="4"/>
  <c r="R340" i="4" s="1"/>
  <c r="N340" i="4"/>
  <c r="R339" i="4"/>
  <c r="Q339" i="4"/>
  <c r="N339" i="4"/>
  <c r="Q338" i="4"/>
  <c r="R338" i="4" s="1"/>
  <c r="N338" i="4"/>
  <c r="Q337" i="4"/>
  <c r="R337" i="4" s="1"/>
  <c r="N337" i="4"/>
  <c r="Q336" i="4"/>
  <c r="R336" i="4" s="1"/>
  <c r="N336" i="4"/>
  <c r="Q335" i="4"/>
  <c r="R335" i="4" s="1"/>
  <c r="N335" i="4"/>
  <c r="Q334" i="4"/>
  <c r="R334" i="4" s="1"/>
  <c r="N334" i="4"/>
  <c r="Q333" i="4"/>
  <c r="R333" i="4" s="1"/>
  <c r="N333" i="4"/>
  <c r="Q332" i="4"/>
  <c r="R332" i="4" s="1"/>
  <c r="N332" i="4"/>
  <c r="Q331" i="4"/>
  <c r="R331" i="4" s="1"/>
  <c r="N331" i="4"/>
  <c r="Q330" i="4"/>
  <c r="R330" i="4" s="1"/>
  <c r="N330" i="4"/>
  <c r="Q329" i="4"/>
  <c r="R329" i="4" s="1"/>
  <c r="N329" i="4"/>
  <c r="Q328" i="4"/>
  <c r="R328" i="4" s="1"/>
  <c r="N328" i="4"/>
  <c r="R327" i="4"/>
  <c r="Q327" i="4"/>
  <c r="N327" i="4"/>
  <c r="Q326" i="4"/>
  <c r="R326" i="4" s="1"/>
  <c r="N326" i="4"/>
  <c r="Q325" i="4"/>
  <c r="R325" i="4" s="1"/>
  <c r="N325" i="4"/>
  <c r="Q324" i="4"/>
  <c r="R324" i="4" s="1"/>
  <c r="N324" i="4"/>
  <c r="Q323" i="4"/>
  <c r="R323" i="4" s="1"/>
  <c r="N323" i="4"/>
  <c r="Q322" i="4"/>
  <c r="R322" i="4" s="1"/>
  <c r="N322" i="4"/>
  <c r="Q321" i="4"/>
  <c r="R321" i="4" s="1"/>
  <c r="N321" i="4"/>
  <c r="Q320" i="4"/>
  <c r="R320" i="4" s="1"/>
  <c r="N320" i="4"/>
  <c r="Q319" i="4"/>
  <c r="R319" i="4" s="1"/>
  <c r="N319" i="4"/>
  <c r="Q318" i="4"/>
  <c r="R318" i="4" s="1"/>
  <c r="N318" i="4"/>
  <c r="Q317" i="4"/>
  <c r="R317" i="4" s="1"/>
  <c r="N317" i="4"/>
  <c r="Q316" i="4"/>
  <c r="R316" i="4" s="1"/>
  <c r="N316" i="4"/>
  <c r="R315" i="4"/>
  <c r="Q315" i="4"/>
  <c r="N315" i="4"/>
  <c r="Q314" i="4"/>
  <c r="R314" i="4" s="1"/>
  <c r="N314" i="4"/>
  <c r="Q313" i="4"/>
  <c r="R313" i="4" s="1"/>
  <c r="N313" i="4"/>
  <c r="Q312" i="4"/>
  <c r="R312" i="4" s="1"/>
  <c r="N312" i="4"/>
  <c r="Q311" i="4"/>
  <c r="R311" i="4" s="1"/>
  <c r="N311" i="4"/>
  <c r="Q310" i="4"/>
  <c r="R310" i="4" s="1"/>
  <c r="N310" i="4"/>
  <c r="Q309" i="4"/>
  <c r="R309" i="4" s="1"/>
  <c r="N309" i="4"/>
  <c r="Q308" i="4"/>
  <c r="R308" i="4" s="1"/>
  <c r="N308" i="4"/>
  <c r="Q307" i="4"/>
  <c r="R307" i="4" s="1"/>
  <c r="N307" i="4"/>
  <c r="Q306" i="4"/>
  <c r="R306" i="4" s="1"/>
  <c r="N306" i="4"/>
  <c r="Q305" i="4"/>
  <c r="R305" i="4" s="1"/>
  <c r="N305" i="4"/>
  <c r="Q304" i="4"/>
  <c r="R304" i="4" s="1"/>
  <c r="N304" i="4"/>
  <c r="R303" i="4"/>
  <c r="Q303" i="4"/>
  <c r="N303" i="4"/>
  <c r="Q302" i="4"/>
  <c r="R302" i="4" s="1"/>
  <c r="N302" i="4"/>
  <c r="Q301" i="4"/>
  <c r="R301" i="4" s="1"/>
  <c r="N301" i="4"/>
  <c r="Q300" i="4"/>
  <c r="R300" i="4" s="1"/>
  <c r="N300" i="4"/>
  <c r="Q299" i="4"/>
  <c r="R299" i="4" s="1"/>
  <c r="N299" i="4"/>
  <c r="R298" i="4"/>
  <c r="Q298" i="4"/>
  <c r="N298" i="4"/>
  <c r="Q297" i="4"/>
  <c r="R297" i="4" s="1"/>
  <c r="N297" i="4"/>
  <c r="Q296" i="4"/>
  <c r="R296" i="4" s="1"/>
  <c r="N296" i="4"/>
  <c r="Q295" i="4"/>
  <c r="R295" i="4" s="1"/>
  <c r="N295" i="4"/>
  <c r="Q294" i="4"/>
  <c r="R294" i="4" s="1"/>
  <c r="N294" i="4"/>
  <c r="Q293" i="4"/>
  <c r="R293" i="4" s="1"/>
  <c r="N293" i="4"/>
  <c r="Q292" i="4"/>
  <c r="R292" i="4" s="1"/>
  <c r="N292" i="4"/>
  <c r="R291" i="4"/>
  <c r="Q291" i="4"/>
  <c r="N291" i="4"/>
  <c r="R290" i="4"/>
  <c r="Q290" i="4"/>
  <c r="N290" i="4"/>
  <c r="R289" i="4"/>
  <c r="Q289" i="4"/>
  <c r="N289" i="4"/>
  <c r="Q288" i="4"/>
  <c r="R288" i="4" s="1"/>
  <c r="N288" i="4"/>
  <c r="R287" i="4"/>
  <c r="Q287" i="4"/>
  <c r="N287" i="4"/>
  <c r="R286" i="4"/>
  <c r="Q286" i="4"/>
  <c r="N286" i="4"/>
  <c r="Q285" i="4"/>
  <c r="R285" i="4" s="1"/>
  <c r="N285" i="4"/>
  <c r="Q284" i="4"/>
  <c r="R284" i="4" s="1"/>
  <c r="N284" i="4"/>
  <c r="R283" i="4"/>
  <c r="Q283" i="4"/>
  <c r="N283" i="4"/>
  <c r="Q282" i="4"/>
  <c r="R282" i="4" s="1"/>
  <c r="N282" i="4"/>
  <c r="Q281" i="4"/>
  <c r="R281" i="4" s="1"/>
  <c r="N281" i="4"/>
  <c r="R280" i="4"/>
  <c r="Q280" i="4"/>
  <c r="N280" i="4"/>
  <c r="Q279" i="4"/>
  <c r="R279" i="4" s="1"/>
  <c r="N279" i="4"/>
  <c r="R278" i="4"/>
  <c r="Q278" i="4"/>
  <c r="N278" i="4"/>
  <c r="Q277" i="4"/>
  <c r="R277" i="4" s="1"/>
  <c r="N277" i="4"/>
  <c r="R276" i="4"/>
  <c r="Q276" i="4"/>
  <c r="N276" i="4"/>
  <c r="Q275" i="4"/>
  <c r="R275" i="4" s="1"/>
  <c r="N275" i="4"/>
  <c r="R274" i="4"/>
  <c r="Q274" i="4"/>
  <c r="N274" i="4"/>
  <c r="Q273" i="4"/>
  <c r="R273" i="4" s="1"/>
  <c r="N273" i="4"/>
  <c r="R272" i="4"/>
  <c r="Q272" i="4"/>
  <c r="N272" i="4"/>
  <c r="Q271" i="4"/>
  <c r="R271" i="4" s="1"/>
  <c r="N271" i="4"/>
  <c r="R270" i="4"/>
  <c r="Q270" i="4"/>
  <c r="N270" i="4"/>
  <c r="Q269" i="4"/>
  <c r="R269" i="4" s="1"/>
  <c r="N269" i="4"/>
  <c r="R268" i="4"/>
  <c r="Q268" i="4"/>
  <c r="N268" i="4"/>
  <c r="Q267" i="4"/>
  <c r="R267" i="4" s="1"/>
  <c r="N267" i="4"/>
  <c r="R266" i="4"/>
  <c r="Q266" i="4"/>
  <c r="N266" i="4"/>
  <c r="Q265" i="4"/>
  <c r="R265" i="4" s="1"/>
  <c r="N265" i="4"/>
  <c r="R264" i="4"/>
  <c r="Q264" i="4"/>
  <c r="N264" i="4"/>
  <c r="R263" i="4"/>
  <c r="Q263" i="4"/>
  <c r="N263" i="4"/>
  <c r="R262" i="4"/>
  <c r="Q262" i="4"/>
  <c r="N262" i="4"/>
  <c r="Q261" i="4"/>
  <c r="R261" i="4" s="1"/>
  <c r="N261" i="4"/>
  <c r="R260" i="4"/>
  <c r="Q260" i="4"/>
  <c r="N260" i="4"/>
  <c r="Q259" i="4"/>
  <c r="R259" i="4" s="1"/>
  <c r="N259" i="4"/>
  <c r="R258" i="4"/>
  <c r="Q258" i="4"/>
  <c r="N258" i="4"/>
  <c r="Q257" i="4"/>
  <c r="R257" i="4" s="1"/>
  <c r="N257" i="4"/>
  <c r="R256" i="4"/>
  <c r="Q256" i="4"/>
  <c r="N256" i="4"/>
  <c r="Q255" i="4"/>
  <c r="R255" i="4" s="1"/>
  <c r="N255" i="4"/>
  <c r="Q254" i="4"/>
  <c r="R254" i="4" s="1"/>
  <c r="N254" i="4"/>
  <c r="Q253" i="4"/>
  <c r="R253" i="4" s="1"/>
  <c r="N253" i="4"/>
  <c r="R252" i="4"/>
  <c r="Q252" i="4"/>
  <c r="N252" i="4"/>
  <c r="R251" i="4"/>
  <c r="Q251" i="4"/>
  <c r="N251" i="4"/>
  <c r="R250" i="4"/>
  <c r="Q250" i="4"/>
  <c r="N250" i="4"/>
  <c r="Q249" i="4"/>
  <c r="R249" i="4" s="1"/>
  <c r="N249" i="4"/>
  <c r="R248" i="4"/>
  <c r="Q248" i="4"/>
  <c r="N248" i="4"/>
  <c r="Q247" i="4"/>
  <c r="R247" i="4" s="1"/>
  <c r="N247" i="4"/>
  <c r="R246" i="4"/>
  <c r="Q246" i="4"/>
  <c r="N246" i="4"/>
  <c r="Q245" i="4"/>
  <c r="R245" i="4" s="1"/>
  <c r="N245" i="4"/>
  <c r="R244" i="4"/>
  <c r="Q244" i="4"/>
  <c r="N244" i="4"/>
  <c r="Q243" i="4"/>
  <c r="R243" i="4" s="1"/>
  <c r="N243" i="4"/>
  <c r="R242" i="4"/>
  <c r="Q242" i="4"/>
  <c r="N242" i="4"/>
  <c r="Q241" i="4"/>
  <c r="R241" i="4" s="1"/>
  <c r="N241" i="4"/>
  <c r="R240" i="4"/>
  <c r="Q240" i="4"/>
  <c r="N240" i="4"/>
  <c r="R239" i="4"/>
  <c r="Q239" i="4"/>
  <c r="N239" i="4"/>
  <c r="Q238" i="4"/>
  <c r="R238" i="4" s="1"/>
  <c r="N238" i="4"/>
  <c r="Q237" i="4"/>
  <c r="R237" i="4" s="1"/>
  <c r="N237" i="4"/>
  <c r="R236" i="4"/>
  <c r="Q236" i="4"/>
  <c r="N236" i="4"/>
  <c r="Q235" i="4"/>
  <c r="R235" i="4" s="1"/>
  <c r="N235" i="4"/>
  <c r="Q234" i="4"/>
  <c r="R234" i="4" s="1"/>
  <c r="N234" i="4"/>
  <c r="Q233" i="4"/>
  <c r="R233" i="4" s="1"/>
  <c r="N233" i="4"/>
  <c r="R232" i="4"/>
  <c r="Q232" i="4"/>
  <c r="N232" i="4"/>
  <c r="Q231" i="4"/>
  <c r="R231" i="4" s="1"/>
  <c r="N231" i="4"/>
  <c r="R230" i="4"/>
  <c r="Q230" i="4"/>
  <c r="N230" i="4"/>
  <c r="Q229" i="4"/>
  <c r="R229" i="4" s="1"/>
  <c r="N229" i="4"/>
  <c r="R228" i="4"/>
  <c r="Q228" i="4"/>
  <c r="N228" i="4"/>
  <c r="R227" i="4"/>
  <c r="Q227" i="4"/>
  <c r="N227" i="4"/>
  <c r="R226" i="4"/>
  <c r="Q226" i="4"/>
  <c r="N226" i="4"/>
  <c r="R225" i="4"/>
  <c r="Q225" i="4"/>
  <c r="N225" i="4"/>
  <c r="R224" i="4"/>
  <c r="Q224" i="4"/>
  <c r="N224" i="4"/>
  <c r="Q223" i="4"/>
  <c r="R223" i="4" s="1"/>
  <c r="N223" i="4"/>
  <c r="Q222" i="4"/>
  <c r="R222" i="4" s="1"/>
  <c r="N222" i="4"/>
  <c r="Q221" i="4"/>
  <c r="R221" i="4" s="1"/>
  <c r="N221" i="4"/>
  <c r="R220" i="4"/>
  <c r="Q220" i="4"/>
  <c r="N220" i="4"/>
  <c r="Q219" i="4"/>
  <c r="R219" i="4" s="1"/>
  <c r="N219" i="4"/>
  <c r="R218" i="4"/>
  <c r="Q218" i="4"/>
  <c r="N218" i="4"/>
  <c r="Q217" i="4"/>
  <c r="R217" i="4" s="1"/>
  <c r="N217" i="4"/>
  <c r="R216" i="4"/>
  <c r="Q216" i="4"/>
  <c r="N216" i="4"/>
  <c r="R215" i="4"/>
  <c r="Q215" i="4"/>
  <c r="N215" i="4"/>
  <c r="R214" i="4"/>
  <c r="Q214" i="4"/>
  <c r="N214" i="4"/>
  <c r="R213" i="4"/>
  <c r="Q213" i="4"/>
  <c r="N213" i="4"/>
  <c r="R212" i="4"/>
  <c r="Q212" i="4"/>
  <c r="N212" i="4"/>
  <c r="Q211" i="4"/>
  <c r="R211" i="4" s="1"/>
  <c r="N211" i="4"/>
  <c r="Q210" i="4"/>
  <c r="R210" i="4" s="1"/>
  <c r="N210" i="4"/>
  <c r="Q209" i="4"/>
  <c r="R209" i="4" s="1"/>
  <c r="N209" i="4"/>
  <c r="R208" i="4"/>
  <c r="Q208" i="4"/>
  <c r="N208" i="4"/>
  <c r="Q207" i="4"/>
  <c r="R207" i="4" s="1"/>
  <c r="N207" i="4"/>
  <c r="Q206" i="4"/>
  <c r="R206" i="4" s="1"/>
  <c r="N206" i="4"/>
  <c r="Q205" i="4"/>
  <c r="R205" i="4" s="1"/>
  <c r="N205" i="4"/>
  <c r="R204" i="4"/>
  <c r="Q204" i="4"/>
  <c r="N204" i="4"/>
  <c r="R203" i="4"/>
  <c r="Q203" i="4"/>
  <c r="N203" i="4"/>
  <c r="R202" i="4"/>
  <c r="Q202" i="4"/>
  <c r="N202" i="4"/>
  <c r="Q201" i="4"/>
  <c r="R201" i="4" s="1"/>
  <c r="N201" i="4"/>
  <c r="R200" i="4"/>
  <c r="Q200" i="4"/>
  <c r="N200" i="4"/>
  <c r="Q199" i="4"/>
  <c r="R199" i="4" s="1"/>
  <c r="N199" i="4"/>
  <c r="R198" i="4"/>
  <c r="Q198" i="4"/>
  <c r="N198" i="4"/>
  <c r="Q197" i="4"/>
  <c r="R197" i="4" s="1"/>
  <c r="N197" i="4"/>
  <c r="R196" i="4"/>
  <c r="Q196" i="4"/>
  <c r="N196" i="4"/>
  <c r="Q195" i="4"/>
  <c r="R195" i="4" s="1"/>
  <c r="N195" i="4"/>
  <c r="R194" i="4"/>
  <c r="Q194" i="4"/>
  <c r="N194" i="4"/>
  <c r="Q193" i="4"/>
  <c r="R193" i="4" s="1"/>
  <c r="N193" i="4"/>
  <c r="R192" i="4"/>
  <c r="Q192" i="4"/>
  <c r="N192" i="4"/>
  <c r="R191" i="4"/>
  <c r="Q191" i="4"/>
  <c r="N191" i="4"/>
  <c r="Q190" i="4"/>
  <c r="R190" i="4" s="1"/>
  <c r="N190" i="4"/>
  <c r="R189" i="4"/>
  <c r="Q189" i="4"/>
  <c r="N189" i="4"/>
  <c r="R188" i="4"/>
  <c r="Q188" i="4"/>
  <c r="N188" i="4"/>
  <c r="Q187" i="4"/>
  <c r="R187" i="4" s="1"/>
  <c r="N187" i="4"/>
  <c r="Q186" i="4"/>
  <c r="R186" i="4" s="1"/>
  <c r="N186" i="4"/>
  <c r="Q185" i="4"/>
  <c r="R185" i="4" s="1"/>
  <c r="N185" i="4"/>
  <c r="R184" i="4"/>
  <c r="Q184" i="4"/>
  <c r="N184" i="4"/>
  <c r="Q183" i="4"/>
  <c r="R183" i="4" s="1"/>
  <c r="N183" i="4"/>
  <c r="R182" i="4"/>
  <c r="Q182" i="4"/>
  <c r="N182" i="4"/>
  <c r="Q181" i="4"/>
  <c r="R181" i="4" s="1"/>
  <c r="N181" i="4"/>
  <c r="R180" i="4"/>
  <c r="Q180" i="4"/>
  <c r="N180" i="4"/>
  <c r="R179" i="4"/>
  <c r="Q179" i="4"/>
  <c r="N179" i="4"/>
  <c r="Q178" i="4"/>
  <c r="R178" i="4" s="1"/>
  <c r="N178" i="4"/>
  <c r="R177" i="4"/>
  <c r="Q177" i="4"/>
  <c r="N177" i="4"/>
  <c r="R176" i="4"/>
  <c r="Q176" i="4"/>
  <c r="N176" i="4"/>
  <c r="Q175" i="4"/>
  <c r="R175" i="4" s="1"/>
  <c r="N175" i="4"/>
  <c r="R174" i="4"/>
  <c r="Q174" i="4"/>
  <c r="N174" i="4"/>
  <c r="Q173" i="4"/>
  <c r="R173" i="4" s="1"/>
  <c r="N173" i="4"/>
  <c r="R172" i="4"/>
  <c r="Q172" i="4"/>
  <c r="N172" i="4"/>
  <c r="Q171" i="4"/>
  <c r="R171" i="4" s="1"/>
  <c r="N171" i="4"/>
  <c r="R170" i="4"/>
  <c r="Q170" i="4"/>
  <c r="N170" i="4"/>
  <c r="Q169" i="4"/>
  <c r="R169" i="4" s="1"/>
  <c r="N169" i="4"/>
  <c r="R168" i="4"/>
  <c r="Q168" i="4"/>
  <c r="N168" i="4"/>
  <c r="R167" i="4"/>
  <c r="Q167" i="4"/>
  <c r="N167" i="4"/>
  <c r="R166" i="4"/>
  <c r="Q166" i="4"/>
  <c r="N166" i="4"/>
  <c r="R165" i="4"/>
  <c r="Q165" i="4"/>
  <c r="N165" i="4"/>
  <c r="R164" i="4"/>
  <c r="Q164" i="4"/>
  <c r="N164" i="4"/>
  <c r="Q163" i="4"/>
  <c r="R163" i="4" s="1"/>
  <c r="N163" i="4"/>
  <c r="Q162" i="4"/>
  <c r="R162" i="4" s="1"/>
  <c r="N162" i="4"/>
  <c r="Q161" i="4"/>
  <c r="R161" i="4" s="1"/>
  <c r="N161" i="4"/>
  <c r="R160" i="4"/>
  <c r="Q160" i="4"/>
  <c r="N160" i="4"/>
  <c r="Q159" i="4"/>
  <c r="R159" i="4" s="1"/>
  <c r="N159" i="4"/>
  <c r="R158" i="4"/>
  <c r="Q158" i="4"/>
  <c r="N158" i="4"/>
  <c r="Q157" i="4"/>
  <c r="R157" i="4" s="1"/>
  <c r="N157" i="4"/>
  <c r="R156" i="4"/>
  <c r="Q156" i="4"/>
  <c r="N156" i="4"/>
  <c r="Q155" i="4"/>
  <c r="R155" i="4" s="1"/>
  <c r="N155" i="4"/>
  <c r="Q154" i="4"/>
  <c r="R154" i="4" s="1"/>
  <c r="N154" i="4"/>
  <c r="R153" i="4"/>
  <c r="Q153" i="4"/>
  <c r="N153" i="4"/>
  <c r="R152" i="4"/>
  <c r="Q152" i="4"/>
  <c r="N152" i="4"/>
  <c r="Q151" i="4"/>
  <c r="R151" i="4" s="1"/>
  <c r="N151" i="4"/>
  <c r="Q150" i="4"/>
  <c r="R150" i="4" s="1"/>
  <c r="N150" i="4"/>
  <c r="Q149" i="4"/>
  <c r="R149" i="4" s="1"/>
  <c r="N149" i="4"/>
  <c r="R148" i="4"/>
  <c r="Q148" i="4"/>
  <c r="N148" i="4"/>
  <c r="Q147" i="4"/>
  <c r="R147" i="4" s="1"/>
  <c r="N147" i="4"/>
  <c r="Q146" i="4"/>
  <c r="R146" i="4" s="1"/>
  <c r="N146" i="4"/>
  <c r="Q145" i="4"/>
  <c r="R145" i="4" s="1"/>
  <c r="N145" i="4"/>
  <c r="R144" i="4"/>
  <c r="Q144" i="4"/>
  <c r="N144" i="4"/>
  <c r="Q143" i="4"/>
  <c r="R143" i="4" s="1"/>
  <c r="N143" i="4"/>
  <c r="Q142" i="4"/>
  <c r="R142" i="4" s="1"/>
  <c r="N142" i="4"/>
  <c r="R141" i="4"/>
  <c r="Q141" i="4"/>
  <c r="N141" i="4"/>
  <c r="R140" i="4"/>
  <c r="Q140" i="4"/>
  <c r="N140" i="4"/>
  <c r="Q139" i="4"/>
  <c r="R139" i="4" s="1"/>
  <c r="N139" i="4"/>
  <c r="R138" i="4"/>
  <c r="Q138" i="4"/>
  <c r="N138" i="4"/>
  <c r="Q137" i="4"/>
  <c r="R137" i="4" s="1"/>
  <c r="N137" i="4"/>
  <c r="R136" i="4"/>
  <c r="Q136" i="4"/>
  <c r="N136" i="4"/>
  <c r="Q135" i="4"/>
  <c r="R135" i="4" s="1"/>
  <c r="N135" i="4"/>
  <c r="Q134" i="4"/>
  <c r="R134" i="4" s="1"/>
  <c r="N134" i="4"/>
  <c r="Q133" i="4"/>
  <c r="R133" i="4" s="1"/>
  <c r="N133" i="4"/>
  <c r="R132" i="4"/>
  <c r="Q132" i="4"/>
  <c r="N132" i="4"/>
  <c r="Q131" i="4"/>
  <c r="R131" i="4" s="1"/>
  <c r="N131" i="4"/>
  <c r="R130" i="4"/>
  <c r="Q130" i="4"/>
  <c r="N130" i="4"/>
  <c r="R129" i="4"/>
  <c r="Q129" i="4"/>
  <c r="N129" i="4"/>
  <c r="R128" i="4"/>
  <c r="Q128" i="4"/>
  <c r="N128" i="4"/>
  <c r="Q127" i="4"/>
  <c r="R127" i="4" s="1"/>
  <c r="N127" i="4"/>
  <c r="Q126" i="4"/>
  <c r="R126" i="4" s="1"/>
  <c r="N126" i="4"/>
  <c r="Q125" i="4"/>
  <c r="R125" i="4" s="1"/>
  <c r="N125" i="4"/>
  <c r="R124" i="4"/>
  <c r="Q124" i="4"/>
  <c r="N124" i="4"/>
  <c r="Q123" i="4"/>
  <c r="R123" i="4" s="1"/>
  <c r="N123" i="4"/>
  <c r="Q122" i="4"/>
  <c r="R122" i="4" s="1"/>
  <c r="N122" i="4"/>
  <c r="Q121" i="4"/>
  <c r="R121" i="4" s="1"/>
  <c r="N121" i="4"/>
  <c r="R120" i="4"/>
  <c r="Q120" i="4"/>
  <c r="N120" i="4"/>
  <c r="Q119" i="4"/>
  <c r="R119" i="4" s="1"/>
  <c r="N119" i="4"/>
  <c r="Q118" i="4"/>
  <c r="R118" i="4" s="1"/>
  <c r="N118" i="4"/>
  <c r="R117" i="4"/>
  <c r="Q117" i="4"/>
  <c r="N117" i="4"/>
  <c r="R116" i="4"/>
  <c r="Q116" i="4"/>
  <c r="N116" i="4"/>
  <c r="Q115" i="4"/>
  <c r="R115" i="4" s="1"/>
  <c r="N115" i="4"/>
  <c r="R114" i="4"/>
  <c r="Q114" i="4"/>
  <c r="N114" i="4"/>
  <c r="Q113" i="4"/>
  <c r="R113" i="4" s="1"/>
  <c r="N113" i="4"/>
  <c r="R112" i="4"/>
  <c r="Q112" i="4"/>
  <c r="N112" i="4"/>
  <c r="Q111" i="4"/>
  <c r="R111" i="4" s="1"/>
  <c r="N111" i="4"/>
  <c r="R110" i="4"/>
  <c r="Q110" i="4"/>
  <c r="N110" i="4"/>
  <c r="Q109" i="4"/>
  <c r="R109" i="4" s="1"/>
  <c r="N109" i="4"/>
  <c r="R108" i="4"/>
  <c r="Q108" i="4"/>
  <c r="N108" i="4"/>
  <c r="Q107" i="4"/>
  <c r="R107" i="4" s="1"/>
  <c r="N107" i="4"/>
  <c r="R106" i="4"/>
  <c r="Q106" i="4"/>
  <c r="N106" i="4"/>
  <c r="R105" i="4"/>
  <c r="Q105" i="4"/>
  <c r="N105" i="4"/>
  <c r="R104" i="4"/>
  <c r="Q104" i="4"/>
  <c r="N104" i="4"/>
  <c r="Q103" i="4"/>
  <c r="R103" i="4" s="1"/>
  <c r="N103" i="4"/>
  <c r="Q102" i="4"/>
  <c r="R102" i="4" s="1"/>
  <c r="N102" i="4"/>
  <c r="Q101" i="4"/>
  <c r="R101" i="4" s="1"/>
  <c r="N101" i="4"/>
  <c r="R100" i="4"/>
  <c r="Q100" i="4"/>
  <c r="N100" i="4"/>
  <c r="Q99" i="4"/>
  <c r="R99" i="4" s="1"/>
  <c r="N99" i="4"/>
  <c r="Q98" i="4"/>
  <c r="R98" i="4" s="1"/>
  <c r="N98" i="4"/>
  <c r="Q97" i="4"/>
  <c r="R97" i="4" s="1"/>
  <c r="N97" i="4"/>
  <c r="R96" i="4"/>
  <c r="Q96" i="4"/>
  <c r="N96" i="4"/>
  <c r="Q95" i="4"/>
  <c r="R95" i="4" s="1"/>
  <c r="N95" i="4"/>
  <c r="R94" i="4"/>
  <c r="Q94" i="4"/>
  <c r="N94" i="4"/>
  <c r="R93" i="4"/>
  <c r="Q93" i="4"/>
  <c r="N93" i="4"/>
  <c r="R92" i="4"/>
  <c r="Q92" i="4"/>
  <c r="N92" i="4"/>
  <c r="Q91" i="4"/>
  <c r="R91" i="4" s="1"/>
  <c r="N91" i="4"/>
  <c r="R90" i="4"/>
  <c r="Q90" i="4"/>
  <c r="N90" i="4"/>
  <c r="Q89" i="4"/>
  <c r="R89" i="4" s="1"/>
  <c r="N89" i="4"/>
  <c r="R88" i="4"/>
  <c r="Q88" i="4"/>
  <c r="N88" i="4"/>
  <c r="Q87" i="4"/>
  <c r="R87" i="4" s="1"/>
  <c r="N87" i="4"/>
  <c r="R86" i="4"/>
  <c r="Q86" i="4"/>
  <c r="N86" i="4"/>
  <c r="Q85" i="4"/>
  <c r="R85" i="4" s="1"/>
  <c r="N85" i="4"/>
  <c r="R84" i="4"/>
  <c r="Q84" i="4"/>
  <c r="N84" i="4"/>
  <c r="Q83" i="4"/>
  <c r="R83" i="4" s="1"/>
  <c r="N83" i="4"/>
  <c r="R82" i="4"/>
  <c r="Q82" i="4"/>
  <c r="N82" i="4"/>
  <c r="R81" i="4"/>
  <c r="Q81" i="4"/>
  <c r="N81" i="4"/>
  <c r="R80" i="4"/>
  <c r="Q80" i="4"/>
  <c r="N80" i="4"/>
  <c r="Q79" i="4"/>
  <c r="R79" i="4" s="1"/>
  <c r="N79" i="4"/>
  <c r="R78" i="4"/>
  <c r="Q78" i="4"/>
  <c r="N78" i="4"/>
  <c r="Q77" i="4"/>
  <c r="R77" i="4" s="1"/>
  <c r="N77" i="4"/>
  <c r="R76" i="4"/>
  <c r="Q76" i="4"/>
  <c r="N76" i="4"/>
  <c r="Q75" i="4"/>
  <c r="R75" i="4" s="1"/>
  <c r="N75" i="4"/>
  <c r="Q74" i="4"/>
  <c r="R74" i="4" s="1"/>
  <c r="N74" i="4"/>
  <c r="Q73" i="4"/>
  <c r="R73" i="4" s="1"/>
  <c r="N73" i="4"/>
  <c r="R72" i="4"/>
  <c r="Q72" i="4"/>
  <c r="N72" i="4"/>
  <c r="Q71" i="4"/>
  <c r="R71" i="4" s="1"/>
  <c r="N71" i="4"/>
  <c r="Q70" i="4"/>
  <c r="R70" i="4" s="1"/>
  <c r="N70" i="4"/>
  <c r="R69" i="4"/>
  <c r="Q69" i="4"/>
  <c r="N69" i="4"/>
  <c r="R68" i="4"/>
  <c r="Q68" i="4"/>
  <c r="N68" i="4"/>
  <c r="Q67" i="4"/>
  <c r="R67" i="4" s="1"/>
  <c r="N67" i="4"/>
  <c r="Q66" i="4"/>
  <c r="R66" i="4" s="1"/>
  <c r="N66" i="4"/>
  <c r="Q65" i="4"/>
  <c r="R65" i="4" s="1"/>
  <c r="N65" i="4"/>
  <c r="R64" i="4"/>
  <c r="Q64" i="4"/>
  <c r="N64" i="4"/>
  <c r="Q63" i="4"/>
  <c r="R63" i="4" s="1"/>
  <c r="N63" i="4"/>
  <c r="R62" i="4"/>
  <c r="Q62" i="4"/>
  <c r="N62" i="4"/>
  <c r="Q61" i="4"/>
  <c r="R61" i="4" s="1"/>
  <c r="N61" i="4"/>
  <c r="R60" i="4"/>
  <c r="Q60" i="4"/>
  <c r="N60" i="4"/>
  <c r="R59" i="4"/>
  <c r="Q59" i="4"/>
  <c r="N59" i="4"/>
  <c r="Q58" i="4"/>
  <c r="R58" i="4" s="1"/>
  <c r="N58" i="4"/>
  <c r="R57" i="4"/>
  <c r="Q57" i="4"/>
  <c r="N57" i="4"/>
  <c r="R56" i="4"/>
  <c r="Q56" i="4"/>
  <c r="N56" i="4"/>
  <c r="Q55" i="4"/>
  <c r="R55" i="4" s="1"/>
  <c r="N55" i="4"/>
  <c r="R54" i="4"/>
  <c r="Q54" i="4"/>
  <c r="N54" i="4"/>
  <c r="Q53" i="4"/>
  <c r="R53" i="4" s="1"/>
  <c r="N53" i="4"/>
  <c r="R52" i="4"/>
  <c r="Q52" i="4"/>
  <c r="N52" i="4"/>
  <c r="Q51" i="4"/>
  <c r="R51" i="4" s="1"/>
  <c r="N51" i="4"/>
  <c r="R50" i="4"/>
  <c r="Q50" i="4"/>
  <c r="N50" i="4"/>
  <c r="Q49" i="4"/>
  <c r="R49" i="4" s="1"/>
  <c r="N49" i="4"/>
  <c r="R48" i="4"/>
  <c r="Q48" i="4"/>
  <c r="N48" i="4"/>
  <c r="R47" i="4"/>
  <c r="Q47" i="4"/>
  <c r="N47" i="4"/>
  <c r="R46" i="4"/>
  <c r="Q46" i="4"/>
  <c r="N46" i="4"/>
  <c r="R45" i="4"/>
  <c r="Q45" i="4"/>
  <c r="N45" i="4"/>
  <c r="R44" i="4"/>
  <c r="Q44" i="4"/>
  <c r="N44" i="4"/>
  <c r="Q43" i="4"/>
  <c r="R43" i="4" s="1"/>
  <c r="N43" i="4"/>
  <c r="Q42" i="4"/>
  <c r="R42" i="4" s="1"/>
  <c r="N42" i="4"/>
  <c r="Q41" i="4"/>
  <c r="R41" i="4" s="1"/>
  <c r="N41" i="4"/>
  <c r="R40" i="4"/>
  <c r="Q40" i="4"/>
  <c r="N40" i="4"/>
  <c r="Q39" i="4"/>
  <c r="R39" i="4" s="1"/>
  <c r="N39" i="4"/>
  <c r="R38" i="4"/>
  <c r="Q38" i="4"/>
  <c r="N38" i="4"/>
  <c r="Q37" i="4"/>
  <c r="R37" i="4" s="1"/>
  <c r="N37" i="4"/>
  <c r="R36" i="4"/>
  <c r="Q36" i="4"/>
  <c r="N36" i="4"/>
  <c r="R35" i="4"/>
  <c r="Q35" i="4"/>
  <c r="N35" i="4"/>
  <c r="Q34" i="4"/>
  <c r="R34" i="4" s="1"/>
  <c r="N34" i="4"/>
  <c r="R33" i="4"/>
  <c r="Q33" i="4"/>
  <c r="N33" i="4"/>
  <c r="R32" i="4"/>
  <c r="Q32" i="4"/>
  <c r="N32" i="4"/>
  <c r="Q31" i="4"/>
  <c r="R31" i="4" s="1"/>
  <c r="N31" i="4"/>
  <c r="Q30" i="4"/>
  <c r="R30" i="4" s="1"/>
  <c r="N30" i="4"/>
  <c r="Q29" i="4"/>
  <c r="R29" i="4" s="1"/>
  <c r="N29" i="4"/>
  <c r="R28" i="4"/>
  <c r="Q28" i="4"/>
  <c r="N28" i="4"/>
  <c r="Q27" i="4"/>
  <c r="R27" i="4" s="1"/>
  <c r="N27" i="4"/>
  <c r="R26" i="4"/>
  <c r="Q26" i="4"/>
  <c r="N26" i="4"/>
  <c r="Q25" i="4"/>
  <c r="R25" i="4" s="1"/>
  <c r="N25" i="4"/>
  <c r="R24" i="4"/>
  <c r="Q24" i="4"/>
  <c r="N24" i="4"/>
  <c r="R23" i="4"/>
  <c r="Q23" i="4"/>
  <c r="N23" i="4"/>
  <c r="Q22" i="4"/>
  <c r="R22" i="4" s="1"/>
  <c r="N22" i="4"/>
  <c r="R21" i="4"/>
  <c r="Q21" i="4"/>
  <c r="N21" i="4"/>
  <c r="R20" i="4"/>
  <c r="Q20" i="4"/>
  <c r="N20" i="4"/>
  <c r="Q19" i="4"/>
  <c r="R19" i="4" s="1"/>
  <c r="N19" i="4"/>
  <c r="R18" i="4"/>
  <c r="Q18" i="4"/>
  <c r="N18" i="4"/>
  <c r="Q17" i="4"/>
  <c r="R17" i="4" s="1"/>
  <c r="N17" i="4"/>
  <c r="R16" i="4"/>
  <c r="Q16" i="4"/>
  <c r="N16" i="4"/>
  <c r="Q15" i="4"/>
  <c r="R15" i="4" s="1"/>
  <c r="N15" i="4"/>
  <c r="R14" i="4"/>
  <c r="Q14" i="4"/>
  <c r="N14" i="4"/>
  <c r="Q13" i="4"/>
  <c r="R13" i="4" s="1"/>
  <c r="N13" i="4"/>
  <c r="R12" i="4"/>
  <c r="Q12" i="4"/>
  <c r="N12" i="4"/>
  <c r="R11" i="4"/>
  <c r="Q11" i="4"/>
  <c r="N11" i="4"/>
  <c r="R10" i="4"/>
  <c r="Q10" i="4"/>
  <c r="N10" i="4"/>
  <c r="Q9" i="4"/>
  <c r="R9" i="4" s="1"/>
  <c r="N9" i="4"/>
  <c r="R8" i="4"/>
  <c r="Q8" i="4"/>
  <c r="N8" i="4"/>
  <c r="Q7" i="4"/>
  <c r="R7" i="4" s="1"/>
  <c r="N7" i="4"/>
  <c r="R6" i="4"/>
  <c r="Q6" i="4"/>
  <c r="N6" i="4"/>
  <c r="Q5" i="4"/>
  <c r="R5" i="4" s="1"/>
  <c r="N5" i="4"/>
  <c r="R4" i="4"/>
  <c r="Q4" i="4"/>
  <c r="N4" i="4"/>
  <c r="Q3" i="4"/>
  <c r="R3" i="4" s="1"/>
  <c r="N3" i="4"/>
  <c r="Q2" i="4"/>
  <c r="P2" i="4"/>
  <c r="O2" i="4"/>
  <c r="R366" i="3"/>
  <c r="Q366" i="3"/>
  <c r="N366" i="3"/>
  <c r="R365" i="3"/>
  <c r="Q365" i="3"/>
  <c r="N365" i="3"/>
  <c r="R364" i="3"/>
  <c r="Q364" i="3"/>
  <c r="N364" i="3"/>
  <c r="R363" i="3"/>
  <c r="Q363" i="3"/>
  <c r="N363" i="3"/>
  <c r="R362" i="3"/>
  <c r="Q362" i="3"/>
  <c r="N362" i="3"/>
  <c r="R361" i="3"/>
  <c r="Q361" i="3"/>
  <c r="N361" i="3"/>
  <c r="Q360" i="3"/>
  <c r="R360" i="3" s="1"/>
  <c r="N360" i="3"/>
  <c r="Q359" i="3"/>
  <c r="R359" i="3" s="1"/>
  <c r="N359" i="3"/>
  <c r="Q358" i="3"/>
  <c r="R358" i="3" s="1"/>
  <c r="N358" i="3"/>
  <c r="R357" i="3"/>
  <c r="Q357" i="3"/>
  <c r="N357" i="3"/>
  <c r="Q356" i="3"/>
  <c r="R356" i="3" s="1"/>
  <c r="N356" i="3"/>
  <c r="R355" i="3"/>
  <c r="Q355" i="3"/>
  <c r="N355" i="3"/>
  <c r="R354" i="3"/>
  <c r="Q354" i="3"/>
  <c r="N354" i="3"/>
  <c r="R353" i="3"/>
  <c r="Q353" i="3"/>
  <c r="N353" i="3"/>
  <c r="R352" i="3"/>
  <c r="Q352" i="3"/>
  <c r="N352" i="3"/>
  <c r="R351" i="3"/>
  <c r="Q351" i="3"/>
  <c r="N351" i="3"/>
  <c r="R350" i="3"/>
  <c r="Q350" i="3"/>
  <c r="N350" i="3"/>
  <c r="R349" i="3"/>
  <c r="Q349" i="3"/>
  <c r="N349" i="3"/>
  <c r="Q348" i="3"/>
  <c r="R348" i="3" s="1"/>
  <c r="N348" i="3"/>
  <c r="Q347" i="3"/>
  <c r="R347" i="3" s="1"/>
  <c r="N347" i="3"/>
  <c r="R346" i="3"/>
  <c r="Q346" i="3"/>
  <c r="N346" i="3"/>
  <c r="R345" i="3"/>
  <c r="Q345" i="3"/>
  <c r="N345" i="3"/>
  <c r="Q344" i="3"/>
  <c r="R344" i="3" s="1"/>
  <c r="N344" i="3"/>
  <c r="R343" i="3"/>
  <c r="Q343" i="3"/>
  <c r="N343" i="3"/>
  <c r="R342" i="3"/>
  <c r="Q342" i="3"/>
  <c r="N342" i="3"/>
  <c r="R341" i="3"/>
  <c r="Q341" i="3"/>
  <c r="N341" i="3"/>
  <c r="R340" i="3"/>
  <c r="Q340" i="3"/>
  <c r="N340" i="3"/>
  <c r="R339" i="3"/>
  <c r="Q339" i="3"/>
  <c r="N339" i="3"/>
  <c r="R338" i="3"/>
  <c r="Q338" i="3"/>
  <c r="N338" i="3"/>
  <c r="R337" i="3"/>
  <c r="Q337" i="3"/>
  <c r="N337" i="3"/>
  <c r="Q336" i="3"/>
  <c r="R336" i="3" s="1"/>
  <c r="N336" i="3"/>
  <c r="Q335" i="3"/>
  <c r="R335" i="3" s="1"/>
  <c r="N335" i="3"/>
  <c r="R334" i="3"/>
  <c r="Q334" i="3"/>
  <c r="N334" i="3"/>
  <c r="R333" i="3"/>
  <c r="Q333" i="3"/>
  <c r="N333" i="3"/>
  <c r="Q332" i="3"/>
  <c r="R332" i="3" s="1"/>
  <c r="N332" i="3"/>
  <c r="R331" i="3"/>
  <c r="Q331" i="3"/>
  <c r="N331" i="3"/>
  <c r="R330" i="3"/>
  <c r="Q330" i="3"/>
  <c r="N330" i="3"/>
  <c r="R329" i="3"/>
  <c r="Q329" i="3"/>
  <c r="N329" i="3"/>
  <c r="R328" i="3"/>
  <c r="Q328" i="3"/>
  <c r="N328" i="3"/>
  <c r="R327" i="3"/>
  <c r="Q327" i="3"/>
  <c r="N327" i="3"/>
  <c r="R326" i="3"/>
  <c r="Q326" i="3"/>
  <c r="N326" i="3"/>
  <c r="R325" i="3"/>
  <c r="Q325" i="3"/>
  <c r="N325" i="3"/>
  <c r="R324" i="3"/>
  <c r="Q324" i="3"/>
  <c r="N324" i="3"/>
  <c r="R323" i="3"/>
  <c r="Q323" i="3"/>
  <c r="N323" i="3"/>
  <c r="R322" i="3"/>
  <c r="Q322" i="3"/>
  <c r="N322" i="3"/>
  <c r="R321" i="3"/>
  <c r="Q321" i="3"/>
  <c r="N321" i="3"/>
  <c r="Q320" i="3"/>
  <c r="R320" i="3" s="1"/>
  <c r="N320" i="3"/>
  <c r="R319" i="3"/>
  <c r="Q319" i="3"/>
  <c r="N319" i="3"/>
  <c r="R318" i="3"/>
  <c r="Q318" i="3"/>
  <c r="N318" i="3"/>
  <c r="R317" i="3"/>
  <c r="Q317" i="3"/>
  <c r="N317" i="3"/>
  <c r="R316" i="3"/>
  <c r="Q316" i="3"/>
  <c r="N316" i="3"/>
  <c r="R315" i="3"/>
  <c r="Q315" i="3"/>
  <c r="N315" i="3"/>
  <c r="R314" i="3"/>
  <c r="Q314" i="3"/>
  <c r="N314" i="3"/>
  <c r="R313" i="3"/>
  <c r="Q313" i="3"/>
  <c r="N313" i="3"/>
  <c r="Q312" i="3"/>
  <c r="R312" i="3" s="1"/>
  <c r="N312" i="3"/>
  <c r="Q311" i="3"/>
  <c r="R311" i="3" s="1"/>
  <c r="N311" i="3"/>
  <c r="R310" i="3"/>
  <c r="Q310" i="3"/>
  <c r="N310" i="3"/>
  <c r="R309" i="3"/>
  <c r="Q309" i="3"/>
  <c r="N309" i="3"/>
  <c r="Q308" i="3"/>
  <c r="R308" i="3" s="1"/>
  <c r="N308" i="3"/>
  <c r="R307" i="3"/>
  <c r="Q307" i="3"/>
  <c r="N307" i="3"/>
  <c r="R306" i="3"/>
  <c r="Q306" i="3"/>
  <c r="N306" i="3"/>
  <c r="R305" i="3"/>
  <c r="Q305" i="3"/>
  <c r="N305" i="3"/>
  <c r="R304" i="3"/>
  <c r="Q304" i="3"/>
  <c r="N304" i="3"/>
  <c r="R303" i="3"/>
  <c r="Q303" i="3"/>
  <c r="N303" i="3"/>
  <c r="R302" i="3"/>
  <c r="Q302" i="3"/>
  <c r="N302" i="3"/>
  <c r="R301" i="3"/>
  <c r="Q301" i="3"/>
  <c r="N301" i="3"/>
  <c r="Q300" i="3"/>
  <c r="R300" i="3" s="1"/>
  <c r="N300" i="3"/>
  <c r="Q299" i="3"/>
  <c r="R299" i="3" s="1"/>
  <c r="N299" i="3"/>
  <c r="R298" i="3"/>
  <c r="Q298" i="3"/>
  <c r="N298" i="3"/>
  <c r="R297" i="3"/>
  <c r="Q297" i="3"/>
  <c r="N297" i="3"/>
  <c r="Q296" i="3"/>
  <c r="R296" i="3" s="1"/>
  <c r="N296" i="3"/>
  <c r="Q295" i="3"/>
  <c r="R295" i="3" s="1"/>
  <c r="N295" i="3"/>
  <c r="R294" i="3"/>
  <c r="Q294" i="3"/>
  <c r="N294" i="3"/>
  <c r="R293" i="3"/>
  <c r="Q293" i="3"/>
  <c r="N293" i="3"/>
  <c r="Q292" i="3"/>
  <c r="R292" i="3" s="1"/>
  <c r="N292" i="3"/>
  <c r="Q291" i="3"/>
  <c r="R291" i="3" s="1"/>
  <c r="N291" i="3"/>
  <c r="R290" i="3"/>
  <c r="Q290" i="3"/>
  <c r="N290" i="3"/>
  <c r="R289" i="3"/>
  <c r="Q289" i="3"/>
  <c r="N289" i="3"/>
  <c r="Q288" i="3"/>
  <c r="R288" i="3" s="1"/>
  <c r="N288" i="3"/>
  <c r="R287" i="3"/>
  <c r="Q287" i="3"/>
  <c r="N287" i="3"/>
  <c r="R286" i="3"/>
  <c r="Q286" i="3"/>
  <c r="N286" i="3"/>
  <c r="R285" i="3"/>
  <c r="Q285" i="3"/>
  <c r="N285" i="3"/>
  <c r="Q284" i="3"/>
  <c r="R284" i="3" s="1"/>
  <c r="N284" i="3"/>
  <c r="R283" i="3"/>
  <c r="Q283" i="3"/>
  <c r="N283" i="3"/>
  <c r="R282" i="3"/>
  <c r="Q282" i="3"/>
  <c r="N282" i="3"/>
  <c r="R281" i="3"/>
  <c r="Q281" i="3"/>
  <c r="N281" i="3"/>
  <c r="Q280" i="3"/>
  <c r="R280" i="3" s="1"/>
  <c r="N280" i="3"/>
  <c r="Q279" i="3"/>
  <c r="R279" i="3" s="1"/>
  <c r="N279" i="3"/>
  <c r="R278" i="3"/>
  <c r="Q278" i="3"/>
  <c r="N278" i="3"/>
  <c r="R277" i="3"/>
  <c r="Q277" i="3"/>
  <c r="N277" i="3"/>
  <c r="Q276" i="3"/>
  <c r="R276" i="3" s="1"/>
  <c r="N276" i="3"/>
  <c r="R275" i="3"/>
  <c r="Q275" i="3"/>
  <c r="N275" i="3"/>
  <c r="R274" i="3"/>
  <c r="Q274" i="3"/>
  <c r="N274" i="3"/>
  <c r="R273" i="3"/>
  <c r="Q273" i="3"/>
  <c r="N273" i="3"/>
  <c r="Q272" i="3"/>
  <c r="R272" i="3" s="1"/>
  <c r="N272" i="3"/>
  <c r="Q271" i="3"/>
  <c r="R271" i="3" s="1"/>
  <c r="N271" i="3"/>
  <c r="R270" i="3"/>
  <c r="Q270" i="3"/>
  <c r="N270" i="3"/>
  <c r="R269" i="3"/>
  <c r="Q269" i="3"/>
  <c r="N269" i="3"/>
  <c r="Q268" i="3"/>
  <c r="R268" i="3" s="1"/>
  <c r="N268" i="3"/>
  <c r="R267" i="3"/>
  <c r="Q267" i="3"/>
  <c r="N267" i="3"/>
  <c r="R266" i="3"/>
  <c r="Q266" i="3"/>
  <c r="N266" i="3"/>
  <c r="R265" i="3"/>
  <c r="Q265" i="3"/>
  <c r="N265" i="3"/>
  <c r="Q264" i="3"/>
  <c r="R264" i="3" s="1"/>
  <c r="N264" i="3"/>
  <c r="R263" i="3"/>
  <c r="Q263" i="3"/>
  <c r="N263" i="3"/>
  <c r="R262" i="3"/>
  <c r="Q262" i="3"/>
  <c r="N262" i="3"/>
  <c r="R261" i="3"/>
  <c r="Q261" i="3"/>
  <c r="N261" i="3"/>
  <c r="Q260" i="3"/>
  <c r="R260" i="3" s="1"/>
  <c r="N260" i="3"/>
  <c r="Q259" i="3"/>
  <c r="R259" i="3" s="1"/>
  <c r="N259" i="3"/>
  <c r="R258" i="3"/>
  <c r="Q258" i="3"/>
  <c r="N258" i="3"/>
  <c r="R257" i="3"/>
  <c r="Q257" i="3"/>
  <c r="N257" i="3"/>
  <c r="Q256" i="3"/>
  <c r="R256" i="3" s="1"/>
  <c r="N256" i="3"/>
  <c r="R255" i="3"/>
  <c r="Q255" i="3"/>
  <c r="N255" i="3"/>
  <c r="R254" i="3"/>
  <c r="Q254" i="3"/>
  <c r="N254" i="3"/>
  <c r="R253" i="3"/>
  <c r="Q253" i="3"/>
  <c r="N253" i="3"/>
  <c r="Q252" i="3"/>
  <c r="R252" i="3" s="1"/>
  <c r="N252" i="3"/>
  <c r="R251" i="3"/>
  <c r="Q251" i="3"/>
  <c r="N251" i="3"/>
  <c r="R250" i="3"/>
  <c r="Q250" i="3"/>
  <c r="N250" i="3"/>
  <c r="R249" i="3"/>
  <c r="Q249" i="3"/>
  <c r="N249" i="3"/>
  <c r="Q248" i="3"/>
  <c r="R248" i="3" s="1"/>
  <c r="N248" i="3"/>
  <c r="Q247" i="3"/>
  <c r="R247" i="3" s="1"/>
  <c r="N247" i="3"/>
  <c r="R246" i="3"/>
  <c r="Q246" i="3"/>
  <c r="N246" i="3"/>
  <c r="R245" i="3"/>
  <c r="Q245" i="3"/>
  <c r="N245" i="3"/>
  <c r="Q244" i="3"/>
  <c r="R244" i="3" s="1"/>
  <c r="N244" i="3"/>
  <c r="Q243" i="3"/>
  <c r="R243" i="3" s="1"/>
  <c r="N243" i="3"/>
  <c r="R242" i="3"/>
  <c r="Q242" i="3"/>
  <c r="N242" i="3"/>
  <c r="R241" i="3"/>
  <c r="Q241" i="3"/>
  <c r="N241" i="3"/>
  <c r="Q240" i="3"/>
  <c r="R240" i="3" s="1"/>
  <c r="N240" i="3"/>
  <c r="R239" i="3"/>
  <c r="Q239" i="3"/>
  <c r="N239" i="3"/>
  <c r="Q238" i="3"/>
  <c r="R238" i="3" s="1"/>
  <c r="N238" i="3"/>
  <c r="R237" i="3"/>
  <c r="Q237" i="3"/>
  <c r="N237" i="3"/>
  <c r="Q236" i="3"/>
  <c r="R236" i="3" s="1"/>
  <c r="N236" i="3"/>
  <c r="R235" i="3"/>
  <c r="Q235" i="3"/>
  <c r="N235" i="3"/>
  <c r="R234" i="3"/>
  <c r="Q234" i="3"/>
  <c r="N234" i="3"/>
  <c r="R233" i="3"/>
  <c r="Q233" i="3"/>
  <c r="N233" i="3"/>
  <c r="Q232" i="3"/>
  <c r="R232" i="3" s="1"/>
  <c r="N232" i="3"/>
  <c r="Q231" i="3"/>
  <c r="R231" i="3" s="1"/>
  <c r="N231" i="3"/>
  <c r="Q230" i="3"/>
  <c r="R230" i="3" s="1"/>
  <c r="N230" i="3"/>
  <c r="R229" i="3"/>
  <c r="Q229" i="3"/>
  <c r="N229" i="3"/>
  <c r="Q228" i="3"/>
  <c r="R228" i="3" s="1"/>
  <c r="N228" i="3"/>
  <c r="Q227" i="3"/>
  <c r="R227" i="3" s="1"/>
  <c r="N227" i="3"/>
  <c r="R226" i="3"/>
  <c r="Q226" i="3"/>
  <c r="N226" i="3"/>
  <c r="R225" i="3"/>
  <c r="Q225" i="3"/>
  <c r="N225" i="3"/>
  <c r="Q224" i="3"/>
  <c r="R224" i="3" s="1"/>
  <c r="N224" i="3"/>
  <c r="R223" i="3"/>
  <c r="Q223" i="3"/>
  <c r="N223" i="3"/>
  <c r="R222" i="3"/>
  <c r="Q222" i="3"/>
  <c r="N222" i="3"/>
  <c r="R221" i="3"/>
  <c r="Q221" i="3"/>
  <c r="N221" i="3"/>
  <c r="Q220" i="3"/>
  <c r="R220" i="3" s="1"/>
  <c r="N220" i="3"/>
  <c r="Q219" i="3"/>
  <c r="R219" i="3" s="1"/>
  <c r="N219" i="3"/>
  <c r="Q218" i="3"/>
  <c r="R218" i="3" s="1"/>
  <c r="N218" i="3"/>
  <c r="R217" i="3"/>
  <c r="Q217" i="3"/>
  <c r="N217" i="3"/>
  <c r="Q216" i="3"/>
  <c r="R216" i="3" s="1"/>
  <c r="N216" i="3"/>
  <c r="Q215" i="3"/>
  <c r="R215" i="3" s="1"/>
  <c r="N215" i="3"/>
  <c r="Q214" i="3"/>
  <c r="R214" i="3" s="1"/>
  <c r="N214" i="3"/>
  <c r="R213" i="3"/>
  <c r="Q213" i="3"/>
  <c r="N213" i="3"/>
  <c r="Q212" i="3"/>
  <c r="R212" i="3" s="1"/>
  <c r="N212" i="3"/>
  <c r="R211" i="3"/>
  <c r="Q211" i="3"/>
  <c r="N211" i="3"/>
  <c r="R210" i="3"/>
  <c r="Q210" i="3"/>
  <c r="N210" i="3"/>
  <c r="R209" i="3"/>
  <c r="Q209" i="3"/>
  <c r="N209" i="3"/>
  <c r="Q208" i="3"/>
  <c r="R208" i="3" s="1"/>
  <c r="N208" i="3"/>
  <c r="R207" i="3"/>
  <c r="Q207" i="3"/>
  <c r="N207" i="3"/>
  <c r="Q206" i="3"/>
  <c r="R206" i="3" s="1"/>
  <c r="N206" i="3"/>
  <c r="R205" i="3"/>
  <c r="Q205" i="3"/>
  <c r="N205" i="3"/>
  <c r="Q204" i="3"/>
  <c r="R204" i="3" s="1"/>
  <c r="N204" i="3"/>
  <c r="Q203" i="3"/>
  <c r="R203" i="3" s="1"/>
  <c r="N203" i="3"/>
  <c r="Q202" i="3"/>
  <c r="R202" i="3" s="1"/>
  <c r="N202" i="3"/>
  <c r="R201" i="3"/>
  <c r="Q201" i="3"/>
  <c r="N201" i="3"/>
  <c r="Q200" i="3"/>
  <c r="R200" i="3" s="1"/>
  <c r="N200" i="3"/>
  <c r="R199" i="3"/>
  <c r="Q199" i="3"/>
  <c r="N199" i="3"/>
  <c r="R198" i="3"/>
  <c r="Q198" i="3"/>
  <c r="N198" i="3"/>
  <c r="R197" i="3"/>
  <c r="Q197" i="3"/>
  <c r="N197" i="3"/>
  <c r="Q196" i="3"/>
  <c r="R196" i="3" s="1"/>
  <c r="N196" i="3"/>
  <c r="Q195" i="3"/>
  <c r="R195" i="3" s="1"/>
  <c r="N195" i="3"/>
  <c r="R194" i="3"/>
  <c r="Q194" i="3"/>
  <c r="N194" i="3"/>
  <c r="R193" i="3"/>
  <c r="Q193" i="3"/>
  <c r="N193" i="3"/>
  <c r="Q192" i="3"/>
  <c r="R192" i="3" s="1"/>
  <c r="N192" i="3"/>
  <c r="R191" i="3"/>
  <c r="Q191" i="3"/>
  <c r="N191" i="3"/>
  <c r="Q190" i="3"/>
  <c r="R190" i="3" s="1"/>
  <c r="N190" i="3"/>
  <c r="R189" i="3"/>
  <c r="Q189" i="3"/>
  <c r="N189" i="3"/>
  <c r="Q188" i="3"/>
  <c r="R188" i="3" s="1"/>
  <c r="N188" i="3"/>
  <c r="R187" i="3"/>
  <c r="Q187" i="3"/>
  <c r="N187" i="3"/>
  <c r="R186" i="3"/>
  <c r="Q186" i="3"/>
  <c r="N186" i="3"/>
  <c r="R185" i="3"/>
  <c r="Q185" i="3"/>
  <c r="N185" i="3"/>
  <c r="Q184" i="3"/>
  <c r="R184" i="3" s="1"/>
  <c r="N184" i="3"/>
  <c r="Q183" i="3"/>
  <c r="R183" i="3" s="1"/>
  <c r="N183" i="3"/>
  <c r="Q182" i="3"/>
  <c r="R182" i="3" s="1"/>
  <c r="N182" i="3"/>
  <c r="R181" i="3"/>
  <c r="Q181" i="3"/>
  <c r="N181" i="3"/>
  <c r="Q180" i="3"/>
  <c r="R180" i="3" s="1"/>
  <c r="N180" i="3"/>
  <c r="Q179" i="3"/>
  <c r="R179" i="3" s="1"/>
  <c r="N179" i="3"/>
  <c r="R178" i="3"/>
  <c r="Q178" i="3"/>
  <c r="N178" i="3"/>
  <c r="R177" i="3"/>
  <c r="Q177" i="3"/>
  <c r="N177" i="3"/>
  <c r="Q176" i="3"/>
  <c r="R176" i="3" s="1"/>
  <c r="N176" i="3"/>
  <c r="R175" i="3"/>
  <c r="Q175" i="3"/>
  <c r="N175" i="3"/>
  <c r="R174" i="3"/>
  <c r="Q174" i="3"/>
  <c r="N174" i="3"/>
  <c r="R173" i="3"/>
  <c r="Q173" i="3"/>
  <c r="N173" i="3"/>
  <c r="Q172" i="3"/>
  <c r="R172" i="3" s="1"/>
  <c r="N172" i="3"/>
  <c r="Q171" i="3"/>
  <c r="R171" i="3" s="1"/>
  <c r="N171" i="3"/>
  <c r="Q170" i="3"/>
  <c r="R170" i="3" s="1"/>
  <c r="N170" i="3"/>
  <c r="R169" i="3"/>
  <c r="Q169" i="3"/>
  <c r="N169" i="3"/>
  <c r="Q168" i="3"/>
  <c r="R168" i="3" s="1"/>
  <c r="N168" i="3"/>
  <c r="Q167" i="3"/>
  <c r="R167" i="3" s="1"/>
  <c r="N167" i="3"/>
  <c r="Q166" i="3"/>
  <c r="R166" i="3" s="1"/>
  <c r="N166" i="3"/>
  <c r="R165" i="3"/>
  <c r="Q165" i="3"/>
  <c r="N165" i="3"/>
  <c r="Q164" i="3"/>
  <c r="R164" i="3" s="1"/>
  <c r="N164" i="3"/>
  <c r="R163" i="3"/>
  <c r="Q163" i="3"/>
  <c r="N163" i="3"/>
  <c r="R162" i="3"/>
  <c r="Q162" i="3"/>
  <c r="N162" i="3"/>
  <c r="R161" i="3"/>
  <c r="Q161" i="3"/>
  <c r="N161" i="3"/>
  <c r="Q160" i="3"/>
  <c r="R160" i="3" s="1"/>
  <c r="N160" i="3"/>
  <c r="Q159" i="3"/>
  <c r="R159" i="3" s="1"/>
  <c r="N159" i="3"/>
  <c r="Q158" i="3"/>
  <c r="R158" i="3" s="1"/>
  <c r="N158" i="3"/>
  <c r="R157" i="3"/>
  <c r="Q157" i="3"/>
  <c r="N157" i="3"/>
  <c r="Q156" i="3"/>
  <c r="R156" i="3" s="1"/>
  <c r="N156" i="3"/>
  <c r="Q155" i="3"/>
  <c r="R155" i="3" s="1"/>
  <c r="N155" i="3"/>
  <c r="Q154" i="3"/>
  <c r="R154" i="3" s="1"/>
  <c r="N154" i="3"/>
  <c r="R153" i="3"/>
  <c r="Q153" i="3"/>
  <c r="N153" i="3"/>
  <c r="Q152" i="3"/>
  <c r="R152" i="3" s="1"/>
  <c r="N152" i="3"/>
  <c r="R151" i="3"/>
  <c r="Q151" i="3"/>
  <c r="N151" i="3"/>
  <c r="R150" i="3"/>
  <c r="Q150" i="3"/>
  <c r="N150" i="3"/>
  <c r="R149" i="3"/>
  <c r="Q149" i="3"/>
  <c r="N149" i="3"/>
  <c r="Q148" i="3"/>
  <c r="R148" i="3" s="1"/>
  <c r="N148" i="3"/>
  <c r="Q147" i="3"/>
  <c r="R147" i="3" s="1"/>
  <c r="N147" i="3"/>
  <c r="Q146" i="3"/>
  <c r="R146" i="3" s="1"/>
  <c r="N146" i="3"/>
  <c r="R145" i="3"/>
  <c r="Q145" i="3"/>
  <c r="N145" i="3"/>
  <c r="Q144" i="3"/>
  <c r="R144" i="3" s="1"/>
  <c r="N144" i="3"/>
  <c r="R143" i="3"/>
  <c r="Q143" i="3"/>
  <c r="N143" i="3"/>
  <c r="Q142" i="3"/>
  <c r="R142" i="3" s="1"/>
  <c r="N142" i="3"/>
  <c r="R141" i="3"/>
  <c r="Q141" i="3"/>
  <c r="N141" i="3"/>
  <c r="Q140" i="3"/>
  <c r="R140" i="3" s="1"/>
  <c r="N140" i="3"/>
  <c r="R139" i="3"/>
  <c r="Q139" i="3"/>
  <c r="N139" i="3"/>
  <c r="R138" i="3"/>
  <c r="Q138" i="3"/>
  <c r="N138" i="3"/>
  <c r="R137" i="3"/>
  <c r="Q137" i="3"/>
  <c r="N137" i="3"/>
  <c r="Q136" i="3"/>
  <c r="R136" i="3" s="1"/>
  <c r="N136" i="3"/>
  <c r="Q135" i="3"/>
  <c r="R135" i="3" s="1"/>
  <c r="N135" i="3"/>
  <c r="Q134" i="3"/>
  <c r="R134" i="3" s="1"/>
  <c r="N134" i="3"/>
  <c r="R133" i="3"/>
  <c r="Q133" i="3"/>
  <c r="N133" i="3"/>
  <c r="Q132" i="3"/>
  <c r="R132" i="3" s="1"/>
  <c r="N132" i="3"/>
  <c r="Q131" i="3"/>
  <c r="R131" i="3" s="1"/>
  <c r="N131" i="3"/>
  <c r="R130" i="3"/>
  <c r="Q130" i="3"/>
  <c r="N130" i="3"/>
  <c r="R129" i="3"/>
  <c r="Q129" i="3"/>
  <c r="N129" i="3"/>
  <c r="Q128" i="3"/>
  <c r="R128" i="3" s="1"/>
  <c r="N128" i="3"/>
  <c r="R127" i="3"/>
  <c r="Q127" i="3"/>
  <c r="N127" i="3"/>
  <c r="Q126" i="3"/>
  <c r="R126" i="3" s="1"/>
  <c r="N126" i="3"/>
  <c r="R125" i="3"/>
  <c r="Q125" i="3"/>
  <c r="N125" i="3"/>
  <c r="Q124" i="3"/>
  <c r="R124" i="3" s="1"/>
  <c r="N124" i="3"/>
  <c r="Q123" i="3"/>
  <c r="R123" i="3" s="1"/>
  <c r="N123" i="3"/>
  <c r="Q122" i="3"/>
  <c r="R122" i="3" s="1"/>
  <c r="N122" i="3"/>
  <c r="R121" i="3"/>
  <c r="Q121" i="3"/>
  <c r="N121" i="3"/>
  <c r="Q120" i="3"/>
  <c r="R120" i="3" s="1"/>
  <c r="N120" i="3"/>
  <c r="Q119" i="3"/>
  <c r="R119" i="3" s="1"/>
  <c r="N119" i="3"/>
  <c r="Q118" i="3"/>
  <c r="R118" i="3" s="1"/>
  <c r="N118" i="3"/>
  <c r="R117" i="3"/>
  <c r="Q117" i="3"/>
  <c r="N117" i="3"/>
  <c r="Q116" i="3"/>
  <c r="R116" i="3" s="1"/>
  <c r="N116" i="3"/>
  <c r="R115" i="3"/>
  <c r="Q115" i="3"/>
  <c r="N115" i="3"/>
  <c r="R114" i="3"/>
  <c r="Q114" i="3"/>
  <c r="N114" i="3"/>
  <c r="R113" i="3"/>
  <c r="Q113" i="3"/>
  <c r="N113" i="3"/>
  <c r="Q112" i="3"/>
  <c r="R112" i="3" s="1"/>
  <c r="N112" i="3"/>
  <c r="Q111" i="3"/>
  <c r="R111" i="3" s="1"/>
  <c r="N111" i="3"/>
  <c r="Q110" i="3"/>
  <c r="R110" i="3" s="1"/>
  <c r="N110" i="3"/>
  <c r="R109" i="3"/>
  <c r="Q109" i="3"/>
  <c r="N109" i="3"/>
  <c r="Q108" i="3"/>
  <c r="R108" i="3" s="1"/>
  <c r="N108" i="3"/>
  <c r="Q107" i="3"/>
  <c r="R107" i="3" s="1"/>
  <c r="N107" i="3"/>
  <c r="Q106" i="3"/>
  <c r="R106" i="3" s="1"/>
  <c r="N106" i="3"/>
  <c r="R105" i="3"/>
  <c r="Q105" i="3"/>
  <c r="N105" i="3"/>
  <c r="Q104" i="3"/>
  <c r="R104" i="3" s="1"/>
  <c r="N104" i="3"/>
  <c r="R103" i="3"/>
  <c r="Q103" i="3"/>
  <c r="N103" i="3"/>
  <c r="R102" i="3"/>
  <c r="Q102" i="3"/>
  <c r="N102" i="3"/>
  <c r="R101" i="3"/>
  <c r="Q101" i="3"/>
  <c r="N101" i="3"/>
  <c r="Q100" i="3"/>
  <c r="R100" i="3" s="1"/>
  <c r="N100" i="3"/>
  <c r="Q99" i="3"/>
  <c r="R99" i="3" s="1"/>
  <c r="N99" i="3"/>
  <c r="Q98" i="3"/>
  <c r="R98" i="3" s="1"/>
  <c r="N98" i="3"/>
  <c r="R97" i="3"/>
  <c r="Q97" i="3"/>
  <c r="N97" i="3"/>
  <c r="Q96" i="3"/>
  <c r="R96" i="3" s="1"/>
  <c r="N96" i="3"/>
  <c r="R95" i="3"/>
  <c r="Q95" i="3"/>
  <c r="N95" i="3"/>
  <c r="Q94" i="3"/>
  <c r="R94" i="3" s="1"/>
  <c r="N94" i="3"/>
  <c r="R93" i="3"/>
  <c r="Q93" i="3"/>
  <c r="N93" i="3"/>
  <c r="Q92" i="3"/>
  <c r="R92" i="3" s="1"/>
  <c r="N92" i="3"/>
  <c r="Q91" i="3"/>
  <c r="R91" i="3" s="1"/>
  <c r="N91" i="3"/>
  <c r="R90" i="3"/>
  <c r="Q90" i="3"/>
  <c r="N90" i="3"/>
  <c r="R89" i="3"/>
  <c r="Q89" i="3"/>
  <c r="N89" i="3"/>
  <c r="Q88" i="3"/>
  <c r="R88" i="3" s="1"/>
  <c r="N88" i="3"/>
  <c r="Q87" i="3"/>
  <c r="R87" i="3" s="1"/>
  <c r="N87" i="3"/>
  <c r="Q86" i="3"/>
  <c r="R86" i="3" s="1"/>
  <c r="N86" i="3"/>
  <c r="R85" i="3"/>
  <c r="Q85" i="3"/>
  <c r="N85" i="3"/>
  <c r="Q84" i="3"/>
  <c r="R84" i="3" s="1"/>
  <c r="N84" i="3"/>
  <c r="Q83" i="3"/>
  <c r="R83" i="3" s="1"/>
  <c r="N83" i="3"/>
  <c r="R82" i="3"/>
  <c r="Q82" i="3"/>
  <c r="N82" i="3"/>
  <c r="R81" i="3"/>
  <c r="Q81" i="3"/>
  <c r="N81" i="3"/>
  <c r="Q80" i="3"/>
  <c r="R80" i="3" s="1"/>
  <c r="N80" i="3"/>
  <c r="R79" i="3"/>
  <c r="Q79" i="3"/>
  <c r="N79" i="3"/>
  <c r="Q78" i="3"/>
  <c r="R78" i="3" s="1"/>
  <c r="N78" i="3"/>
  <c r="R77" i="3"/>
  <c r="Q77" i="3"/>
  <c r="N77" i="3"/>
  <c r="Q76" i="3"/>
  <c r="R76" i="3" s="1"/>
  <c r="N76" i="3"/>
  <c r="Q75" i="3"/>
  <c r="R75" i="3" s="1"/>
  <c r="N75" i="3"/>
  <c r="Q74" i="3"/>
  <c r="R74" i="3" s="1"/>
  <c r="N74" i="3"/>
  <c r="R73" i="3"/>
  <c r="Q73" i="3"/>
  <c r="N73" i="3"/>
  <c r="Q72" i="3"/>
  <c r="R72" i="3" s="1"/>
  <c r="N72" i="3"/>
  <c r="Q71" i="3"/>
  <c r="R71" i="3" s="1"/>
  <c r="N71" i="3"/>
  <c r="Q70" i="3"/>
  <c r="R70" i="3" s="1"/>
  <c r="N70" i="3"/>
  <c r="R69" i="3"/>
  <c r="Q69" i="3"/>
  <c r="N69" i="3"/>
  <c r="Q68" i="3"/>
  <c r="R68" i="3" s="1"/>
  <c r="N68" i="3"/>
  <c r="R67" i="3"/>
  <c r="Q67" i="3"/>
  <c r="N67" i="3"/>
  <c r="R66" i="3"/>
  <c r="Q66" i="3"/>
  <c r="N66" i="3"/>
  <c r="R65" i="3"/>
  <c r="Q65" i="3"/>
  <c r="N65" i="3"/>
  <c r="Q64" i="3"/>
  <c r="R64" i="3" s="1"/>
  <c r="N64" i="3"/>
  <c r="Q63" i="3"/>
  <c r="R63" i="3" s="1"/>
  <c r="N63" i="3"/>
  <c r="Q62" i="3"/>
  <c r="R62" i="3" s="1"/>
  <c r="N62" i="3"/>
  <c r="R61" i="3"/>
  <c r="Q61" i="3"/>
  <c r="N61" i="3"/>
  <c r="Q60" i="3"/>
  <c r="R60" i="3" s="1"/>
  <c r="N60" i="3"/>
  <c r="Q59" i="3"/>
  <c r="R59" i="3" s="1"/>
  <c r="N59" i="3"/>
  <c r="Q58" i="3"/>
  <c r="R58" i="3" s="1"/>
  <c r="N58" i="3"/>
  <c r="R57" i="3"/>
  <c r="Q57" i="3"/>
  <c r="N57" i="3"/>
  <c r="Q56" i="3"/>
  <c r="R56" i="3" s="1"/>
  <c r="N56" i="3"/>
  <c r="R55" i="3"/>
  <c r="Q55" i="3"/>
  <c r="N55" i="3"/>
  <c r="R54" i="3"/>
  <c r="Q54" i="3"/>
  <c r="N54" i="3"/>
  <c r="R53" i="3"/>
  <c r="Q53" i="3"/>
  <c r="N53" i="3"/>
  <c r="Q52" i="3"/>
  <c r="R52" i="3" s="1"/>
  <c r="N52" i="3"/>
  <c r="Q51" i="3"/>
  <c r="R51" i="3" s="1"/>
  <c r="N51" i="3"/>
  <c r="Q50" i="3"/>
  <c r="R50" i="3" s="1"/>
  <c r="N50" i="3"/>
  <c r="R49" i="3"/>
  <c r="Q49" i="3"/>
  <c r="N49" i="3"/>
  <c r="Q48" i="3"/>
  <c r="R48" i="3" s="1"/>
  <c r="N48" i="3"/>
  <c r="R47" i="3"/>
  <c r="Q47" i="3"/>
  <c r="N47" i="3"/>
  <c r="Q46" i="3"/>
  <c r="R46" i="3" s="1"/>
  <c r="N46" i="3"/>
  <c r="R45" i="3"/>
  <c r="Q45" i="3"/>
  <c r="N45" i="3"/>
  <c r="Q44" i="3"/>
  <c r="R44" i="3" s="1"/>
  <c r="N44" i="3"/>
  <c r="Q43" i="3"/>
  <c r="R43" i="3" s="1"/>
  <c r="N43" i="3"/>
  <c r="R42" i="3"/>
  <c r="Q42" i="3"/>
  <c r="N42" i="3"/>
  <c r="R41" i="3"/>
  <c r="Q41" i="3"/>
  <c r="N41" i="3"/>
  <c r="Q40" i="3"/>
  <c r="R40" i="3" s="1"/>
  <c r="N40" i="3"/>
  <c r="Q39" i="3"/>
  <c r="R39" i="3" s="1"/>
  <c r="N39" i="3"/>
  <c r="Q38" i="3"/>
  <c r="R38" i="3" s="1"/>
  <c r="N38" i="3"/>
  <c r="R37" i="3"/>
  <c r="Q37" i="3"/>
  <c r="N37" i="3"/>
  <c r="Q36" i="3"/>
  <c r="R36" i="3" s="1"/>
  <c r="N36" i="3"/>
  <c r="Q35" i="3"/>
  <c r="R35" i="3" s="1"/>
  <c r="N35" i="3"/>
  <c r="R34" i="3"/>
  <c r="Q34" i="3"/>
  <c r="N34" i="3"/>
  <c r="R33" i="3"/>
  <c r="Q33" i="3"/>
  <c r="N33" i="3"/>
  <c r="Q32" i="3"/>
  <c r="R32" i="3" s="1"/>
  <c r="N32" i="3"/>
  <c r="R31" i="3"/>
  <c r="Q31" i="3"/>
  <c r="N31" i="3"/>
  <c r="Q30" i="3"/>
  <c r="R30" i="3" s="1"/>
  <c r="N30" i="3"/>
  <c r="R29" i="3"/>
  <c r="Q29" i="3"/>
  <c r="N29" i="3"/>
  <c r="Q28" i="3"/>
  <c r="R28" i="3" s="1"/>
  <c r="N28" i="3"/>
  <c r="Q27" i="3"/>
  <c r="R27" i="3" s="1"/>
  <c r="N27" i="3"/>
  <c r="Q26" i="3"/>
  <c r="R26" i="3" s="1"/>
  <c r="N26" i="3"/>
  <c r="R25" i="3"/>
  <c r="Q25" i="3"/>
  <c r="N25" i="3"/>
  <c r="Q24" i="3"/>
  <c r="R24" i="3" s="1"/>
  <c r="N24" i="3"/>
  <c r="Q23" i="3"/>
  <c r="R23" i="3" s="1"/>
  <c r="N23" i="3"/>
  <c r="Q22" i="3"/>
  <c r="R22" i="3" s="1"/>
  <c r="N22" i="3"/>
  <c r="R21" i="3"/>
  <c r="Q21" i="3"/>
  <c r="N21" i="3"/>
  <c r="Q20" i="3"/>
  <c r="R20" i="3" s="1"/>
  <c r="N20" i="3"/>
  <c r="R19" i="3"/>
  <c r="Q19" i="3"/>
  <c r="N19" i="3"/>
  <c r="R18" i="3"/>
  <c r="Q18" i="3"/>
  <c r="N18" i="3"/>
  <c r="R17" i="3"/>
  <c r="Q17" i="3"/>
  <c r="N17" i="3"/>
  <c r="Q16" i="3"/>
  <c r="R16" i="3" s="1"/>
  <c r="N16" i="3"/>
  <c r="Q15" i="3"/>
  <c r="R15" i="3" s="1"/>
  <c r="N15" i="3"/>
  <c r="Q14" i="3"/>
  <c r="R14" i="3" s="1"/>
  <c r="N14" i="3"/>
  <c r="R13" i="3"/>
  <c r="Q13" i="3"/>
  <c r="N13" i="3"/>
  <c r="Q12" i="3"/>
  <c r="R12" i="3" s="1"/>
  <c r="N12" i="3"/>
  <c r="Q11" i="3"/>
  <c r="R11" i="3" s="1"/>
  <c r="N11" i="3"/>
  <c r="Q10" i="3"/>
  <c r="R10" i="3" s="1"/>
  <c r="N10" i="3"/>
  <c r="R9" i="3"/>
  <c r="Q9" i="3"/>
  <c r="N9" i="3"/>
  <c r="Q8" i="3"/>
  <c r="R8" i="3" s="1"/>
  <c r="N8" i="3"/>
  <c r="R7" i="3"/>
  <c r="Q7" i="3"/>
  <c r="N7" i="3"/>
  <c r="R6" i="3"/>
  <c r="Q6" i="3"/>
  <c r="N6" i="3"/>
  <c r="R5" i="3"/>
  <c r="Q5" i="3"/>
  <c r="N5" i="3"/>
  <c r="Q4" i="3"/>
  <c r="R4" i="3" s="1"/>
  <c r="N4" i="3"/>
  <c r="Q3" i="3"/>
  <c r="R3" i="3" s="1"/>
  <c r="N3" i="3"/>
  <c r="Q2" i="3"/>
  <c r="P2" i="3"/>
  <c r="O2" i="3"/>
  <c r="R366" i="2"/>
  <c r="Q366" i="2"/>
  <c r="N366" i="2"/>
  <c r="Q365" i="2"/>
  <c r="R365" i="2" s="1"/>
  <c r="N365" i="2"/>
  <c r="R364" i="2"/>
  <c r="Q364" i="2"/>
  <c r="N364" i="2"/>
  <c r="Q363" i="2"/>
  <c r="R363" i="2" s="1"/>
  <c r="N363" i="2"/>
  <c r="R362" i="2"/>
  <c r="Q362" i="2"/>
  <c r="N362" i="2"/>
  <c r="Q361" i="2"/>
  <c r="R361" i="2" s="1"/>
  <c r="N361" i="2"/>
  <c r="Q360" i="2"/>
  <c r="R360" i="2" s="1"/>
  <c r="N360" i="2"/>
  <c r="R359" i="2"/>
  <c r="Q359" i="2"/>
  <c r="N359" i="2"/>
  <c r="R358" i="2"/>
  <c r="Q358" i="2"/>
  <c r="N358" i="2"/>
  <c r="Q357" i="2"/>
  <c r="R357" i="2" s="1"/>
  <c r="N357" i="2"/>
  <c r="Q356" i="2"/>
  <c r="R356" i="2" s="1"/>
  <c r="N356" i="2"/>
  <c r="Q355" i="2"/>
  <c r="R355" i="2" s="1"/>
  <c r="N355" i="2"/>
  <c r="R354" i="2"/>
  <c r="Q354" i="2"/>
  <c r="N354" i="2"/>
  <c r="Q353" i="2"/>
  <c r="R353" i="2" s="1"/>
  <c r="N353" i="2"/>
  <c r="Q352" i="2"/>
  <c r="R352" i="2" s="1"/>
  <c r="N352" i="2"/>
  <c r="R351" i="2"/>
  <c r="Q351" i="2"/>
  <c r="N351" i="2"/>
  <c r="R350" i="2"/>
  <c r="Q350" i="2"/>
  <c r="N350" i="2"/>
  <c r="Q349" i="2"/>
  <c r="R349" i="2" s="1"/>
  <c r="N349" i="2"/>
  <c r="R348" i="2"/>
  <c r="Q348" i="2"/>
  <c r="N348" i="2"/>
  <c r="Q347" i="2"/>
  <c r="R347" i="2" s="1"/>
  <c r="N347" i="2"/>
  <c r="R346" i="2"/>
  <c r="Q346" i="2"/>
  <c r="N346" i="2"/>
  <c r="Q345" i="2"/>
  <c r="R345" i="2" s="1"/>
  <c r="N345" i="2"/>
  <c r="Q344" i="2"/>
  <c r="R344" i="2" s="1"/>
  <c r="N344" i="2"/>
  <c r="Q343" i="2"/>
  <c r="R343" i="2" s="1"/>
  <c r="N343" i="2"/>
  <c r="R342" i="2"/>
  <c r="Q342" i="2"/>
  <c r="N342" i="2"/>
  <c r="Q341" i="2"/>
  <c r="R341" i="2" s="1"/>
  <c r="N341" i="2"/>
  <c r="Q340" i="2"/>
  <c r="R340" i="2" s="1"/>
  <c r="N340" i="2"/>
  <c r="Q339" i="2"/>
  <c r="R339" i="2" s="1"/>
  <c r="N339" i="2"/>
  <c r="R338" i="2"/>
  <c r="Q338" i="2"/>
  <c r="N338" i="2"/>
  <c r="Q337" i="2"/>
  <c r="R337" i="2" s="1"/>
  <c r="N337" i="2"/>
  <c r="R336" i="2"/>
  <c r="Q336" i="2"/>
  <c r="N336" i="2"/>
  <c r="R335" i="2"/>
  <c r="Q335" i="2"/>
  <c r="N335" i="2"/>
  <c r="R334" i="2"/>
  <c r="Q334" i="2"/>
  <c r="N334" i="2"/>
  <c r="Q333" i="2"/>
  <c r="R333" i="2" s="1"/>
  <c r="N333" i="2"/>
  <c r="Q332" i="2"/>
  <c r="R332" i="2" s="1"/>
  <c r="N332" i="2"/>
  <c r="Q330" i="2"/>
  <c r="R330" i="2" s="1"/>
  <c r="N330" i="2"/>
  <c r="R327" i="2"/>
  <c r="Q327" i="2"/>
  <c r="N327" i="2"/>
  <c r="Q326" i="2"/>
  <c r="R326" i="2" s="1"/>
  <c r="N326" i="2"/>
  <c r="Q325" i="2"/>
  <c r="R325" i="2" s="1"/>
  <c r="N325" i="2"/>
  <c r="Q324" i="2"/>
  <c r="R324" i="2" s="1"/>
  <c r="N324" i="2"/>
  <c r="R323" i="2"/>
  <c r="Q323" i="2"/>
  <c r="N323" i="2"/>
  <c r="Q322" i="2"/>
  <c r="R322" i="2" s="1"/>
  <c r="N322" i="2"/>
  <c r="R321" i="2"/>
  <c r="Q321" i="2"/>
  <c r="N321" i="2"/>
  <c r="R320" i="2"/>
  <c r="Q320" i="2"/>
  <c r="N320" i="2"/>
  <c r="R319" i="2"/>
  <c r="Q319" i="2"/>
  <c r="N319" i="2"/>
  <c r="Q318" i="2"/>
  <c r="R318" i="2" s="1"/>
  <c r="N318" i="2"/>
  <c r="Q317" i="2"/>
  <c r="R317" i="2" s="1"/>
  <c r="N317" i="2"/>
  <c r="Q316" i="2"/>
  <c r="R316" i="2" s="1"/>
  <c r="N316" i="2"/>
  <c r="R315" i="2"/>
  <c r="Q315" i="2"/>
  <c r="N315" i="2"/>
  <c r="Q314" i="2"/>
  <c r="R314" i="2" s="1"/>
  <c r="N314" i="2"/>
  <c r="R313" i="2"/>
  <c r="Q313" i="2"/>
  <c r="N313" i="2"/>
  <c r="Q312" i="2"/>
  <c r="R312" i="2" s="1"/>
  <c r="N312" i="2"/>
  <c r="R311" i="2"/>
  <c r="Q311" i="2"/>
  <c r="N311" i="2"/>
  <c r="Q310" i="2"/>
  <c r="R310" i="2" s="1"/>
  <c r="N310" i="2"/>
  <c r="Q309" i="2"/>
  <c r="R309" i="2" s="1"/>
  <c r="N309" i="2"/>
  <c r="R308" i="2"/>
  <c r="Q308" i="2"/>
  <c r="N308" i="2"/>
  <c r="R307" i="2"/>
  <c r="Q307" i="2"/>
  <c r="N307" i="2"/>
  <c r="Q306" i="2"/>
  <c r="R306" i="2" s="1"/>
  <c r="N306" i="2"/>
  <c r="Q305" i="2"/>
  <c r="R305" i="2" s="1"/>
  <c r="N305" i="2"/>
  <c r="Q304" i="2"/>
  <c r="R304" i="2" s="1"/>
  <c r="N304" i="2"/>
  <c r="R303" i="2"/>
  <c r="Q303" i="2"/>
  <c r="N303" i="2"/>
  <c r="Q302" i="2"/>
  <c r="R302" i="2" s="1"/>
  <c r="N302" i="2"/>
  <c r="Q301" i="2"/>
  <c r="R301" i="2" s="1"/>
  <c r="N301" i="2"/>
  <c r="R300" i="2"/>
  <c r="Q300" i="2"/>
  <c r="N300" i="2"/>
  <c r="R299" i="2"/>
  <c r="Q299" i="2"/>
  <c r="N299" i="2"/>
  <c r="Q298" i="2"/>
  <c r="R298" i="2" s="1"/>
  <c r="N298" i="2"/>
  <c r="R297" i="2"/>
  <c r="Q297" i="2"/>
  <c r="N297" i="2"/>
  <c r="Q296" i="2"/>
  <c r="R296" i="2" s="1"/>
  <c r="N296" i="2"/>
  <c r="R295" i="2"/>
  <c r="Q295" i="2"/>
  <c r="N295" i="2"/>
  <c r="Q294" i="2"/>
  <c r="R294" i="2" s="1"/>
  <c r="N294" i="2"/>
  <c r="Q293" i="2"/>
  <c r="R293" i="2" s="1"/>
  <c r="N293" i="2"/>
  <c r="Q292" i="2"/>
  <c r="R292" i="2" s="1"/>
  <c r="N292" i="2"/>
  <c r="R291" i="2"/>
  <c r="Q291" i="2"/>
  <c r="N291" i="2"/>
  <c r="Q290" i="2"/>
  <c r="R290" i="2" s="1"/>
  <c r="N290" i="2"/>
  <c r="Q289" i="2"/>
  <c r="R289" i="2" s="1"/>
  <c r="N289" i="2"/>
  <c r="Q288" i="2"/>
  <c r="R288" i="2" s="1"/>
  <c r="N288" i="2"/>
  <c r="R287" i="2"/>
  <c r="Q287" i="2"/>
  <c r="N287" i="2"/>
  <c r="Q286" i="2"/>
  <c r="R286" i="2" s="1"/>
  <c r="N286" i="2"/>
  <c r="R285" i="2"/>
  <c r="Q285" i="2"/>
  <c r="N285" i="2"/>
  <c r="R284" i="2"/>
  <c r="Q284" i="2"/>
  <c r="N284" i="2"/>
  <c r="R283" i="2"/>
  <c r="Q283" i="2"/>
  <c r="N283" i="2"/>
  <c r="Q282" i="2"/>
  <c r="R282" i="2" s="1"/>
  <c r="N282" i="2"/>
  <c r="Q281" i="2"/>
  <c r="R281" i="2" s="1"/>
  <c r="N281" i="2"/>
  <c r="Q280" i="2"/>
  <c r="R280" i="2" s="1"/>
  <c r="N280" i="2"/>
  <c r="R279" i="2"/>
  <c r="Q279" i="2"/>
  <c r="N279" i="2"/>
  <c r="Q278" i="2"/>
  <c r="R278" i="2" s="1"/>
  <c r="N278" i="2"/>
  <c r="Q277" i="2"/>
  <c r="R277" i="2" s="1"/>
  <c r="N277" i="2"/>
  <c r="Q276" i="2"/>
  <c r="R276" i="2" s="1"/>
  <c r="N276" i="2"/>
  <c r="R275" i="2"/>
  <c r="Q275" i="2"/>
  <c r="N275" i="2"/>
  <c r="R274" i="2"/>
  <c r="Q274" i="2"/>
  <c r="N274" i="2"/>
  <c r="Q273" i="2"/>
  <c r="R273" i="2" s="1"/>
  <c r="N273" i="2"/>
  <c r="Q272" i="2"/>
  <c r="R272" i="2" s="1"/>
  <c r="N272" i="2"/>
  <c r="R271" i="2"/>
  <c r="Q271" i="2"/>
  <c r="N271" i="2"/>
  <c r="R270" i="2"/>
  <c r="Q270" i="2"/>
  <c r="N270" i="2"/>
  <c r="Q269" i="2"/>
  <c r="R269" i="2" s="1"/>
  <c r="N269" i="2"/>
  <c r="Q268" i="2"/>
  <c r="R268" i="2" s="1"/>
  <c r="N268" i="2"/>
  <c r="R267" i="2"/>
  <c r="Q267" i="2"/>
  <c r="N267" i="2"/>
  <c r="Q266" i="2"/>
  <c r="N266" i="2"/>
  <c r="R266" i="2" s="1"/>
  <c r="Q265" i="2"/>
  <c r="R265" i="2" s="1"/>
  <c r="N265" i="2"/>
  <c r="Q264" i="2"/>
  <c r="R264" i="2" s="1"/>
  <c r="N264" i="2"/>
  <c r="R263" i="2"/>
  <c r="Q263" i="2"/>
  <c r="N263" i="2"/>
  <c r="Q262" i="2"/>
  <c r="N262" i="2"/>
  <c r="R262" i="2" s="1"/>
  <c r="Q261" i="2"/>
  <c r="R261" i="2" s="1"/>
  <c r="N261" i="2"/>
  <c r="Q260" i="2"/>
  <c r="R260" i="2" s="1"/>
  <c r="N260" i="2"/>
  <c r="R259" i="2"/>
  <c r="Q259" i="2"/>
  <c r="N259" i="2"/>
  <c r="Q258" i="2"/>
  <c r="N258" i="2"/>
  <c r="R258" i="2" s="1"/>
  <c r="Q257" i="2"/>
  <c r="R257" i="2" s="1"/>
  <c r="N257" i="2"/>
  <c r="Q256" i="2"/>
  <c r="R256" i="2" s="1"/>
  <c r="N256" i="2"/>
  <c r="R255" i="2"/>
  <c r="Q255" i="2"/>
  <c r="N255" i="2"/>
  <c r="Q254" i="2"/>
  <c r="N254" i="2"/>
  <c r="R254" i="2" s="1"/>
  <c r="Q253" i="2"/>
  <c r="R253" i="2" s="1"/>
  <c r="N253" i="2"/>
  <c r="Q252" i="2"/>
  <c r="R252" i="2" s="1"/>
  <c r="N252" i="2"/>
  <c r="R251" i="2"/>
  <c r="Q251" i="2"/>
  <c r="N251" i="2"/>
  <c r="Q250" i="2"/>
  <c r="N250" i="2"/>
  <c r="R250" i="2" s="1"/>
  <c r="Q249" i="2"/>
  <c r="R249" i="2" s="1"/>
  <c r="N249" i="2"/>
  <c r="Q248" i="2"/>
  <c r="R248" i="2" s="1"/>
  <c r="N248" i="2"/>
  <c r="R247" i="2"/>
  <c r="Q247" i="2"/>
  <c r="N247" i="2"/>
  <c r="Q246" i="2"/>
  <c r="N246" i="2"/>
  <c r="R246" i="2" s="1"/>
  <c r="Q245" i="2"/>
  <c r="R245" i="2" s="1"/>
  <c r="N245" i="2"/>
  <c r="Q244" i="2"/>
  <c r="R244" i="2" s="1"/>
  <c r="N244" i="2"/>
  <c r="R243" i="2"/>
  <c r="Q243" i="2"/>
  <c r="N243" i="2"/>
  <c r="Q242" i="2"/>
  <c r="N242" i="2"/>
  <c r="R242" i="2" s="1"/>
  <c r="Q241" i="2"/>
  <c r="R241" i="2" s="1"/>
  <c r="N241" i="2"/>
  <c r="Q240" i="2"/>
  <c r="R240" i="2" s="1"/>
  <c r="N240" i="2"/>
  <c r="R239" i="2"/>
  <c r="Q239" i="2"/>
  <c r="N239" i="2"/>
  <c r="Q238" i="2"/>
  <c r="N238" i="2"/>
  <c r="R238" i="2" s="1"/>
  <c r="Q237" i="2"/>
  <c r="R237" i="2" s="1"/>
  <c r="N237" i="2"/>
  <c r="Q236" i="2"/>
  <c r="R236" i="2" s="1"/>
  <c r="N236" i="2"/>
  <c r="R235" i="2"/>
  <c r="Q235" i="2"/>
  <c r="N235" i="2"/>
  <c r="Q234" i="2"/>
  <c r="N234" i="2"/>
  <c r="R234" i="2" s="1"/>
  <c r="Q233" i="2"/>
  <c r="R233" i="2" s="1"/>
  <c r="N233" i="2"/>
  <c r="Q232" i="2"/>
  <c r="R232" i="2" s="1"/>
  <c r="N232" i="2"/>
  <c r="R231" i="2"/>
  <c r="Q231" i="2"/>
  <c r="N231" i="2"/>
  <c r="Q230" i="2"/>
  <c r="N230" i="2"/>
  <c r="R230" i="2" s="1"/>
  <c r="Q229" i="2"/>
  <c r="R229" i="2" s="1"/>
  <c r="N229" i="2"/>
  <c r="Q228" i="2"/>
  <c r="R228" i="2" s="1"/>
  <c r="N228" i="2"/>
  <c r="R227" i="2"/>
  <c r="Q227" i="2"/>
  <c r="N227" i="2"/>
  <c r="Q226" i="2"/>
  <c r="N226" i="2"/>
  <c r="R226" i="2" s="1"/>
  <c r="Q225" i="2"/>
  <c r="R225" i="2" s="1"/>
  <c r="N225" i="2"/>
  <c r="Q224" i="2"/>
  <c r="R224" i="2" s="1"/>
  <c r="N224" i="2"/>
  <c r="R223" i="2"/>
  <c r="Q223" i="2"/>
  <c r="N223" i="2"/>
  <c r="Q222" i="2"/>
  <c r="N222" i="2"/>
  <c r="R222" i="2" s="1"/>
  <c r="Q221" i="2"/>
  <c r="R221" i="2" s="1"/>
  <c r="N221" i="2"/>
  <c r="Q220" i="2"/>
  <c r="R220" i="2" s="1"/>
  <c r="N220" i="2"/>
  <c r="R219" i="2"/>
  <c r="Q219" i="2"/>
  <c r="N219" i="2"/>
  <c r="Q218" i="2"/>
  <c r="N218" i="2"/>
  <c r="R218" i="2" s="1"/>
  <c r="Q217" i="2"/>
  <c r="R217" i="2" s="1"/>
  <c r="N217" i="2"/>
  <c r="Q216" i="2"/>
  <c r="R216" i="2" s="1"/>
  <c r="N216" i="2"/>
  <c r="R215" i="2"/>
  <c r="Q215" i="2"/>
  <c r="N215" i="2"/>
  <c r="Q214" i="2"/>
  <c r="N214" i="2"/>
  <c r="R214" i="2" s="1"/>
  <c r="Q213" i="2"/>
  <c r="R213" i="2" s="1"/>
  <c r="N213" i="2"/>
  <c r="Q212" i="2"/>
  <c r="R212" i="2" s="1"/>
  <c r="N212" i="2"/>
  <c r="R211" i="2"/>
  <c r="Q211" i="2"/>
  <c r="N211" i="2"/>
  <c r="Q210" i="2"/>
  <c r="N210" i="2"/>
  <c r="R210" i="2" s="1"/>
  <c r="Q209" i="2"/>
  <c r="R209" i="2" s="1"/>
  <c r="N209" i="2"/>
  <c r="Q208" i="2"/>
  <c r="R208" i="2" s="1"/>
  <c r="N208" i="2"/>
  <c r="R207" i="2"/>
  <c r="Q207" i="2"/>
  <c r="N207" i="2"/>
  <c r="Q206" i="2"/>
  <c r="N206" i="2"/>
  <c r="R206" i="2" s="1"/>
  <c r="Q205" i="2"/>
  <c r="R205" i="2" s="1"/>
  <c r="N205" i="2"/>
  <c r="Q204" i="2"/>
  <c r="R204" i="2" s="1"/>
  <c r="N204" i="2"/>
  <c r="R203" i="2"/>
  <c r="Q203" i="2"/>
  <c r="N203" i="2"/>
  <c r="Q202" i="2"/>
  <c r="N202" i="2"/>
  <c r="R202" i="2" s="1"/>
  <c r="Q201" i="2"/>
  <c r="R201" i="2" s="1"/>
  <c r="N201" i="2"/>
  <c r="Q200" i="2"/>
  <c r="R200" i="2" s="1"/>
  <c r="N200" i="2"/>
  <c r="R199" i="2"/>
  <c r="Q199" i="2"/>
  <c r="N199" i="2"/>
  <c r="Q198" i="2"/>
  <c r="N198" i="2"/>
  <c r="R198" i="2" s="1"/>
  <c r="Q197" i="2"/>
  <c r="R197" i="2" s="1"/>
  <c r="N197" i="2"/>
  <c r="Q196" i="2"/>
  <c r="R196" i="2" s="1"/>
  <c r="N196" i="2"/>
  <c r="R195" i="2"/>
  <c r="Q195" i="2"/>
  <c r="N195" i="2"/>
  <c r="Q194" i="2"/>
  <c r="N194" i="2"/>
  <c r="R194" i="2" s="1"/>
  <c r="Q193" i="2"/>
  <c r="R193" i="2" s="1"/>
  <c r="N193" i="2"/>
  <c r="Q192" i="2"/>
  <c r="R192" i="2" s="1"/>
  <c r="N192" i="2"/>
  <c r="R191" i="2"/>
  <c r="Q191" i="2"/>
  <c r="N191" i="2"/>
  <c r="Q190" i="2"/>
  <c r="N190" i="2"/>
  <c r="R190" i="2" s="1"/>
  <c r="Q189" i="2"/>
  <c r="R189" i="2" s="1"/>
  <c r="N189" i="2"/>
  <c r="Q188" i="2"/>
  <c r="R188" i="2" s="1"/>
  <c r="N188" i="2"/>
  <c r="R187" i="2"/>
  <c r="Q187" i="2"/>
  <c r="N187" i="2"/>
  <c r="Q186" i="2"/>
  <c r="N186" i="2"/>
  <c r="R186" i="2" s="1"/>
  <c r="Q185" i="2"/>
  <c r="R185" i="2" s="1"/>
  <c r="N185" i="2"/>
  <c r="Q184" i="2"/>
  <c r="R184" i="2" s="1"/>
  <c r="N184" i="2"/>
  <c r="R183" i="2"/>
  <c r="Q183" i="2"/>
  <c r="N183" i="2"/>
  <c r="Q182" i="2"/>
  <c r="N182" i="2"/>
  <c r="R182" i="2" s="1"/>
  <c r="Q181" i="2"/>
  <c r="R181" i="2" s="1"/>
  <c r="N181" i="2"/>
  <c r="Q180" i="2"/>
  <c r="R180" i="2" s="1"/>
  <c r="N180" i="2"/>
  <c r="R179" i="2"/>
  <c r="Q179" i="2"/>
  <c r="N179" i="2"/>
  <c r="Q178" i="2"/>
  <c r="N178" i="2"/>
  <c r="R178" i="2" s="1"/>
  <c r="Q177" i="2"/>
  <c r="R177" i="2" s="1"/>
  <c r="N177" i="2"/>
  <c r="Q176" i="2"/>
  <c r="R176" i="2" s="1"/>
  <c r="N176" i="2"/>
  <c r="R175" i="2"/>
  <c r="Q175" i="2"/>
  <c r="N175" i="2"/>
  <c r="Q174" i="2"/>
  <c r="N174" i="2"/>
  <c r="R174" i="2" s="1"/>
  <c r="Q173" i="2"/>
  <c r="R173" i="2" s="1"/>
  <c r="N173" i="2"/>
  <c r="Q172" i="2"/>
  <c r="R172" i="2" s="1"/>
  <c r="N172" i="2"/>
  <c r="R171" i="2"/>
  <c r="Q171" i="2"/>
  <c r="N171" i="2"/>
  <c r="Q170" i="2"/>
  <c r="N170" i="2"/>
  <c r="R170" i="2" s="1"/>
  <c r="Q169" i="2"/>
  <c r="R169" i="2" s="1"/>
  <c r="N169" i="2"/>
  <c r="Q168" i="2"/>
  <c r="R168" i="2" s="1"/>
  <c r="N168" i="2"/>
  <c r="R167" i="2"/>
  <c r="Q167" i="2"/>
  <c r="N167" i="2"/>
  <c r="Q166" i="2"/>
  <c r="N166" i="2"/>
  <c r="R166" i="2" s="1"/>
  <c r="Q165" i="2"/>
  <c r="R165" i="2" s="1"/>
  <c r="N165" i="2"/>
  <c r="Q164" i="2"/>
  <c r="R164" i="2" s="1"/>
  <c r="N164" i="2"/>
  <c r="R163" i="2"/>
  <c r="Q163" i="2"/>
  <c r="N163" i="2"/>
  <c r="Q162" i="2"/>
  <c r="N162" i="2"/>
  <c r="R162" i="2" s="1"/>
  <c r="Q161" i="2"/>
  <c r="R161" i="2" s="1"/>
  <c r="N161" i="2"/>
  <c r="Q160" i="2"/>
  <c r="R160" i="2" s="1"/>
  <c r="N160" i="2"/>
  <c r="R159" i="2"/>
  <c r="Q159" i="2"/>
  <c r="N159" i="2"/>
  <c r="Q158" i="2"/>
  <c r="N158" i="2"/>
  <c r="R158" i="2" s="1"/>
  <c r="Q157" i="2"/>
  <c r="R157" i="2" s="1"/>
  <c r="N157" i="2"/>
  <c r="Q156" i="2"/>
  <c r="R156" i="2" s="1"/>
  <c r="N156" i="2"/>
  <c r="R155" i="2"/>
  <c r="Q155" i="2"/>
  <c r="N155" i="2"/>
  <c r="R154" i="2"/>
  <c r="N154" i="2"/>
  <c r="R153" i="2"/>
  <c r="Q153" i="2"/>
  <c r="N153" i="2"/>
  <c r="Q152" i="2"/>
  <c r="N152" i="2"/>
  <c r="Q151" i="2"/>
  <c r="R151" i="2" s="1"/>
  <c r="N151" i="2"/>
  <c r="Q150" i="2"/>
  <c r="R150" i="2" s="1"/>
  <c r="N150" i="2"/>
  <c r="Q149" i="2"/>
  <c r="R149" i="2" s="1"/>
  <c r="N149" i="2"/>
  <c r="Q148" i="2"/>
  <c r="R148" i="2" s="1"/>
  <c r="N148" i="2"/>
  <c r="Q147" i="2"/>
  <c r="R147" i="2" s="1"/>
  <c r="N147" i="2"/>
  <c r="Q146" i="2"/>
  <c r="N146" i="2"/>
  <c r="R145" i="2"/>
  <c r="Q145" i="2"/>
  <c r="N145" i="2"/>
  <c r="Q144" i="2"/>
  <c r="N144" i="2"/>
  <c r="Q143" i="2"/>
  <c r="R143" i="2" s="1"/>
  <c r="N143" i="2"/>
  <c r="Q142" i="2"/>
  <c r="N142" i="2"/>
  <c r="Q141" i="2"/>
  <c r="R141" i="2" s="1"/>
  <c r="N141" i="2"/>
  <c r="Q140" i="2"/>
  <c r="N140" i="2"/>
  <c r="Q139" i="2"/>
  <c r="R139" i="2" s="1"/>
  <c r="N139" i="2"/>
  <c r="Q138" i="2"/>
  <c r="N138" i="2"/>
  <c r="Q137" i="2"/>
  <c r="R137" i="2" s="1"/>
  <c r="N137" i="2"/>
  <c r="Q136" i="2"/>
  <c r="N136" i="2"/>
  <c r="Q135" i="2"/>
  <c r="R135" i="2" s="1"/>
  <c r="N135" i="2"/>
  <c r="Q134" i="2"/>
  <c r="R134" i="2" s="1"/>
  <c r="N134" i="2"/>
  <c r="Q133" i="2"/>
  <c r="R133" i="2" s="1"/>
  <c r="N133" i="2"/>
  <c r="Q132" i="2"/>
  <c r="N132" i="2"/>
  <c r="Q131" i="2"/>
  <c r="R131" i="2" s="1"/>
  <c r="N131" i="2"/>
  <c r="Q130" i="2"/>
  <c r="R130" i="2" s="1"/>
  <c r="N130" i="2"/>
  <c r="Q129" i="2"/>
  <c r="R129" i="2" s="1"/>
  <c r="N129" i="2"/>
  <c r="Q128" i="2"/>
  <c r="N128" i="2"/>
  <c r="Q127" i="2"/>
  <c r="R127" i="2" s="1"/>
  <c r="N127" i="2"/>
  <c r="Q126" i="2"/>
  <c r="R126" i="2" s="1"/>
  <c r="N126" i="2"/>
  <c r="Q125" i="2"/>
  <c r="N125" i="2"/>
  <c r="Q124" i="2"/>
  <c r="N124" i="2"/>
  <c r="Q123" i="2"/>
  <c r="R123" i="2" s="1"/>
  <c r="N123" i="2"/>
  <c r="Q122" i="2"/>
  <c r="N122" i="2"/>
  <c r="Q121" i="2"/>
  <c r="N121" i="2"/>
  <c r="R121" i="2" s="1"/>
  <c r="Q120" i="2"/>
  <c r="N120" i="2"/>
  <c r="Q119" i="2"/>
  <c r="R119" i="2" s="1"/>
  <c r="N119" i="2"/>
  <c r="Q118" i="2"/>
  <c r="N118" i="2"/>
  <c r="R117" i="2"/>
  <c r="Q117" i="2"/>
  <c r="N117" i="2"/>
  <c r="Q116" i="2"/>
  <c r="R116" i="2" s="1"/>
  <c r="N116" i="2"/>
  <c r="Q115" i="2"/>
  <c r="R115" i="2" s="1"/>
  <c r="N115" i="2"/>
  <c r="Q114" i="2"/>
  <c r="N114" i="2"/>
  <c r="Q113" i="2"/>
  <c r="R113" i="2" s="1"/>
  <c r="N113" i="2"/>
  <c r="Q112" i="2"/>
  <c r="R112" i="2" s="1"/>
  <c r="N112" i="2"/>
  <c r="Q111" i="2"/>
  <c r="R111" i="2" s="1"/>
  <c r="N111" i="2"/>
  <c r="Q110" i="2"/>
  <c r="N110" i="2"/>
  <c r="Q109" i="2"/>
  <c r="N109" i="2"/>
  <c r="Q108" i="2"/>
  <c r="R108" i="2" s="1"/>
  <c r="N108" i="2"/>
  <c r="Q107" i="2"/>
  <c r="R107" i="2" s="1"/>
  <c r="N107" i="2"/>
  <c r="Q106" i="2"/>
  <c r="R106" i="2" s="1"/>
  <c r="N106" i="2"/>
  <c r="Q105" i="2"/>
  <c r="R105" i="2" s="1"/>
  <c r="N105" i="2"/>
  <c r="Q104" i="2"/>
  <c r="N104" i="2"/>
  <c r="Q103" i="2"/>
  <c r="R103" i="2" s="1"/>
  <c r="N103" i="2"/>
  <c r="Q102" i="2"/>
  <c r="N102" i="2"/>
  <c r="R101" i="2"/>
  <c r="Q101" i="2"/>
  <c r="N101" i="2"/>
  <c r="Q100" i="2"/>
  <c r="N100" i="2"/>
  <c r="Q99" i="2"/>
  <c r="R99" i="2" s="1"/>
  <c r="N99" i="2"/>
  <c r="Q98" i="2"/>
  <c r="N98" i="2"/>
  <c r="R97" i="2"/>
  <c r="Q97" i="2"/>
  <c r="N97" i="2"/>
  <c r="Q96" i="2"/>
  <c r="R96" i="2" s="1"/>
  <c r="N96" i="2"/>
  <c r="Q95" i="2"/>
  <c r="R95" i="2" s="1"/>
  <c r="N95" i="2"/>
  <c r="Q94" i="2"/>
  <c r="R94" i="2" s="1"/>
  <c r="N94" i="2"/>
  <c r="Q93" i="2"/>
  <c r="R93" i="2" s="1"/>
  <c r="N93" i="2"/>
  <c r="Q92" i="2"/>
  <c r="N92" i="2"/>
  <c r="Q91" i="2"/>
  <c r="R91" i="2" s="1"/>
  <c r="N91" i="2"/>
  <c r="Q90" i="2"/>
  <c r="R90" i="2" s="1"/>
  <c r="N90" i="2"/>
  <c r="Q89" i="2"/>
  <c r="R89" i="2" s="1"/>
  <c r="N89" i="2"/>
  <c r="Q88" i="2"/>
  <c r="R88" i="2" s="1"/>
  <c r="N88" i="2"/>
  <c r="Q87" i="2"/>
  <c r="R87" i="2" s="1"/>
  <c r="N87" i="2"/>
  <c r="Q86" i="2"/>
  <c r="N86" i="2"/>
  <c r="R85" i="2"/>
  <c r="Q85" i="2"/>
  <c r="N85" i="2"/>
  <c r="Q84" i="2"/>
  <c r="R84" i="2" s="1"/>
  <c r="N84" i="2"/>
  <c r="R83" i="2"/>
  <c r="Q83" i="2"/>
  <c r="N83" i="2"/>
  <c r="Q82" i="2"/>
  <c r="R82" i="2" s="1"/>
  <c r="N82" i="2"/>
  <c r="Q81" i="2"/>
  <c r="R81" i="2" s="1"/>
  <c r="N81" i="2"/>
  <c r="Q80" i="2"/>
  <c r="N80" i="2"/>
  <c r="R79" i="2"/>
  <c r="Q79" i="2"/>
  <c r="N79" i="2"/>
  <c r="Q78" i="2"/>
  <c r="N78" i="2"/>
  <c r="R77" i="2"/>
  <c r="Q77" i="2"/>
  <c r="N77" i="2"/>
  <c r="Q76" i="2"/>
  <c r="R76" i="2" s="1"/>
  <c r="N76" i="2"/>
  <c r="Q75" i="2"/>
  <c r="R75" i="2" s="1"/>
  <c r="N75" i="2"/>
  <c r="Q74" i="2"/>
  <c r="N74" i="2"/>
  <c r="Q73" i="2"/>
  <c r="R73" i="2" s="1"/>
  <c r="N73" i="2"/>
  <c r="Q72" i="2"/>
  <c r="N72" i="2"/>
  <c r="R71" i="2"/>
  <c r="Q71" i="2"/>
  <c r="N71" i="2"/>
  <c r="Q70" i="2"/>
  <c r="N70" i="2"/>
  <c r="Q69" i="2"/>
  <c r="N69" i="2"/>
  <c r="Q68" i="2"/>
  <c r="N68" i="2"/>
  <c r="R67" i="2"/>
  <c r="Q67" i="2"/>
  <c r="N67" i="2"/>
  <c r="Q66" i="2"/>
  <c r="R66" i="2" s="1"/>
  <c r="N66" i="2"/>
  <c r="Q65" i="2"/>
  <c r="R65" i="2" s="1"/>
  <c r="N65" i="2"/>
  <c r="Q64" i="2"/>
  <c r="N64" i="2"/>
  <c r="Q63" i="2"/>
  <c r="R63" i="2" s="1"/>
  <c r="N63" i="2"/>
  <c r="Q62" i="2"/>
  <c r="N62" i="2"/>
  <c r="R61" i="2"/>
  <c r="Q61" i="2"/>
  <c r="N61" i="2"/>
  <c r="Q60" i="2"/>
  <c r="R60" i="2" s="1"/>
  <c r="N60" i="2"/>
  <c r="Q59" i="2"/>
  <c r="R59" i="2" s="1"/>
  <c r="N59" i="2"/>
  <c r="Q58" i="2"/>
  <c r="N58" i="2"/>
  <c r="Q57" i="2"/>
  <c r="R57" i="2" s="1"/>
  <c r="N57" i="2"/>
  <c r="Q56" i="2"/>
  <c r="R56" i="2" s="1"/>
  <c r="N56" i="2"/>
  <c r="R55" i="2"/>
  <c r="Q55" i="2"/>
  <c r="N55" i="2"/>
  <c r="Q54" i="2"/>
  <c r="R54" i="2" s="1"/>
  <c r="N54" i="2"/>
  <c r="Q53" i="2"/>
  <c r="R53" i="2" s="1"/>
  <c r="N53" i="2"/>
  <c r="Q52" i="2"/>
  <c r="N52" i="2"/>
  <c r="R51" i="2"/>
  <c r="Q51" i="2"/>
  <c r="N51" i="2"/>
  <c r="Q50" i="2"/>
  <c r="R50" i="2" s="1"/>
  <c r="N50" i="2"/>
  <c r="R49" i="2"/>
  <c r="Q49" i="2"/>
  <c r="N49" i="2"/>
  <c r="Q48" i="2"/>
  <c r="R48" i="2" s="1"/>
  <c r="N48" i="2"/>
  <c r="Q47" i="2"/>
  <c r="R47" i="2" s="1"/>
  <c r="N47" i="2"/>
  <c r="Q46" i="2"/>
  <c r="N46" i="2"/>
  <c r="Q45" i="2"/>
  <c r="N45" i="2"/>
  <c r="R45" i="2" s="1"/>
  <c r="Q44" i="2"/>
  <c r="N44" i="2"/>
  <c r="R43" i="2"/>
  <c r="Q43" i="2"/>
  <c r="N43" i="2"/>
  <c r="Q42" i="2"/>
  <c r="R42" i="2" s="1"/>
  <c r="N42" i="2"/>
  <c r="Q41" i="2"/>
  <c r="R41" i="2" s="1"/>
  <c r="N41" i="2"/>
  <c r="Q40" i="2"/>
  <c r="N40" i="2"/>
  <c r="Q39" i="2"/>
  <c r="R39" i="2" s="1"/>
  <c r="N39" i="2"/>
  <c r="Q38" i="2"/>
  <c r="N38" i="2"/>
  <c r="R37" i="2"/>
  <c r="Q37" i="2"/>
  <c r="N37" i="2"/>
  <c r="Q36" i="2"/>
  <c r="N36" i="2"/>
  <c r="Q35" i="2"/>
  <c r="R35" i="2" s="1"/>
  <c r="N35" i="2"/>
  <c r="Q34" i="2"/>
  <c r="N34" i="2"/>
  <c r="Q33" i="2"/>
  <c r="R33" i="2" s="1"/>
  <c r="N33" i="2"/>
  <c r="Q32" i="2"/>
  <c r="R32" i="2" s="1"/>
  <c r="N32" i="2"/>
  <c r="Q31" i="2"/>
  <c r="R31" i="2" s="1"/>
  <c r="N31" i="2"/>
  <c r="Q30" i="2"/>
  <c r="R30" i="2" s="1"/>
  <c r="N30" i="2"/>
  <c r="Q29" i="2"/>
  <c r="R29" i="2" s="1"/>
  <c r="N29" i="2"/>
  <c r="Q28" i="2"/>
  <c r="N28" i="2"/>
  <c r="R27" i="2"/>
  <c r="Q27" i="2"/>
  <c r="N27" i="2"/>
  <c r="Q26" i="2"/>
  <c r="R26" i="2" s="1"/>
  <c r="N26" i="2"/>
  <c r="R25" i="2"/>
  <c r="Q25" i="2"/>
  <c r="N25" i="2"/>
  <c r="Q24" i="2"/>
  <c r="R24" i="2" s="1"/>
  <c r="N24" i="2"/>
  <c r="Q23" i="2"/>
  <c r="R23" i="2" s="1"/>
  <c r="N23" i="2"/>
  <c r="Q22" i="2"/>
  <c r="N22" i="2"/>
  <c r="Q21" i="2"/>
  <c r="N21" i="2"/>
  <c r="R21" i="2" s="1"/>
  <c r="Q20" i="2"/>
  <c r="N20" i="2"/>
  <c r="R19" i="2"/>
  <c r="Q19" i="2"/>
  <c r="N19" i="2"/>
  <c r="Q18" i="2"/>
  <c r="N18" i="2"/>
  <c r="Q17" i="2"/>
  <c r="R17" i="2" s="1"/>
  <c r="N17" i="2"/>
  <c r="Q16" i="2"/>
  <c r="N16" i="2"/>
  <c r="Q15" i="2"/>
  <c r="R15" i="2" s="1"/>
  <c r="N15" i="2"/>
  <c r="Q14" i="2"/>
  <c r="N14" i="2"/>
  <c r="Q13" i="2"/>
  <c r="R13" i="2" s="1"/>
  <c r="N13" i="2"/>
  <c r="Q12" i="2"/>
  <c r="N12" i="2"/>
  <c r="Q11" i="2"/>
  <c r="R11" i="2" s="1"/>
  <c r="N11" i="2"/>
  <c r="Q10" i="2"/>
  <c r="N10" i="2"/>
  <c r="Q9" i="2"/>
  <c r="R9" i="2" s="1"/>
  <c r="N9" i="2"/>
  <c r="Q8" i="2"/>
  <c r="R8" i="2" s="1"/>
  <c r="N8" i="2"/>
  <c r="Q7" i="2"/>
  <c r="R7" i="2" s="1"/>
  <c r="N7" i="2"/>
  <c r="Q6" i="2"/>
  <c r="R6" i="2" s="1"/>
  <c r="N6" i="2"/>
  <c r="Q5" i="2"/>
  <c r="R5" i="2" s="1"/>
  <c r="N5" i="2"/>
  <c r="Q4" i="2"/>
  <c r="N4" i="2"/>
  <c r="R3" i="2"/>
  <c r="Q3" i="2"/>
  <c r="N3" i="2"/>
  <c r="Q2" i="2"/>
  <c r="P2" i="2"/>
  <c r="O2" i="2"/>
  <c r="R10" i="2" l="1"/>
  <c r="R34" i="2"/>
  <c r="R58" i="2"/>
  <c r="R92" i="2"/>
  <c r="R114" i="2"/>
  <c r="R125" i="2"/>
  <c r="R20" i="2"/>
  <c r="R44" i="2"/>
  <c r="R68" i="2"/>
  <c r="R78" i="2"/>
  <c r="R98" i="2"/>
  <c r="R109" i="2"/>
  <c r="R142" i="2"/>
  <c r="R16" i="2"/>
  <c r="R40" i="2"/>
  <c r="R64" i="2"/>
  <c r="R69" i="2"/>
  <c r="R110" i="2"/>
  <c r="R132" i="2"/>
  <c r="R12" i="2"/>
  <c r="R36" i="2"/>
  <c r="R70" i="2"/>
  <c r="R100" i="2"/>
  <c r="R138" i="2"/>
  <c r="R144" i="2"/>
  <c r="R22" i="2"/>
  <c r="R46" i="2"/>
  <c r="R80" i="2"/>
  <c r="R122" i="2"/>
  <c r="R128" i="2"/>
  <c r="R18" i="2"/>
  <c r="R4" i="2"/>
  <c r="R28" i="2"/>
  <c r="R52" i="2"/>
  <c r="R86" i="2"/>
  <c r="R118" i="2"/>
  <c r="R140" i="2"/>
  <c r="R14" i="2"/>
  <c r="R38" i="2"/>
  <c r="R62" i="2"/>
  <c r="R72" i="2"/>
  <c r="R102" i="2"/>
  <c r="R124" i="2"/>
  <c r="R146" i="2"/>
  <c r="R74" i="2"/>
  <c r="R104" i="2"/>
  <c r="R120" i="2"/>
  <c r="R136" i="2"/>
  <c r="R152" i="2"/>
  <c r="AK88" i="5"/>
  <c r="AK100" i="5"/>
  <c r="AK71" i="5"/>
  <c r="AK77" i="5"/>
  <c r="AK101" i="5"/>
  <c r="AJ156" i="5"/>
  <c r="AK156" i="5" s="1"/>
  <c r="AK126" i="5"/>
  <c r="AJ147" i="5"/>
  <c r="AK147" i="5" s="1"/>
  <c r="AK115" i="5"/>
  <c r="AK10" i="5"/>
  <c r="AK40" i="5"/>
  <c r="AK179" i="5"/>
  <c r="AJ194" i="5"/>
  <c r="AK194" i="5" s="1"/>
  <c r="AK233" i="5"/>
  <c r="AK151" i="5"/>
  <c r="AK157" i="5"/>
  <c r="AJ167" i="5"/>
  <c r="AK167" i="5" s="1"/>
  <c r="AJ179" i="5"/>
  <c r="AK184" i="5"/>
  <c r="AK186" i="5"/>
  <c r="AK196" i="5"/>
  <c r="AK203" i="5"/>
  <c r="AJ233" i="5"/>
  <c r="AJ235" i="5"/>
  <c r="AK235" i="5" s="1"/>
  <c r="AK246" i="5"/>
  <c r="AJ276" i="5"/>
  <c r="AK276" i="5" s="1"/>
  <c r="AK359" i="5"/>
  <c r="AK153" i="5"/>
  <c r="AK159" i="5"/>
  <c r="AF169" i="5"/>
  <c r="AJ169" i="5" s="1"/>
  <c r="AK169" i="5" s="1"/>
  <c r="AF181" i="5"/>
  <c r="AJ181" i="5" s="1"/>
  <c r="AK181" i="5" s="1"/>
  <c r="AI201" i="5"/>
  <c r="AJ201" i="5" s="1"/>
  <c r="AK201" i="5" s="1"/>
  <c r="AJ210" i="5"/>
  <c r="AK226" i="5"/>
  <c r="AK244" i="5"/>
  <c r="AJ253" i="5"/>
  <c r="AK353" i="5"/>
  <c r="AK241" i="5"/>
  <c r="AK347" i="5"/>
  <c r="AK171" i="5"/>
  <c r="AK214" i="5"/>
  <c r="AK216" i="5"/>
  <c r="AK239" i="5"/>
  <c r="AK252" i="5"/>
  <c r="AF270" i="5"/>
  <c r="AJ270" i="5" s="1"/>
  <c r="AK270" i="5" s="1"/>
  <c r="AK275" i="5"/>
  <c r="AK335" i="5"/>
  <c r="AJ126" i="5"/>
  <c r="AJ171" i="5"/>
  <c r="AJ200" i="5"/>
  <c r="AK200" i="5" s="1"/>
  <c r="AJ221" i="5"/>
  <c r="AK221" i="5" s="1"/>
  <c r="AJ223" i="5"/>
  <c r="AK223" i="5" s="1"/>
  <c r="AJ230" i="5"/>
  <c r="AK230" i="5" s="1"/>
  <c r="AK234" i="5"/>
  <c r="AJ239" i="5"/>
  <c r="AJ241" i="5"/>
  <c r="AK250" i="5"/>
  <c r="AJ262" i="5"/>
  <c r="AK262" i="5" s="1"/>
  <c r="AK329" i="5"/>
  <c r="AF139" i="5"/>
  <c r="AJ139" i="5" s="1"/>
  <c r="AK139" i="5" s="1"/>
  <c r="AI144" i="5"/>
  <c r="AJ144" i="5" s="1"/>
  <c r="AK144" i="5" s="1"/>
  <c r="AK146" i="5"/>
  <c r="AI147" i="5"/>
  <c r="AF166" i="5"/>
  <c r="AJ166" i="5" s="1"/>
  <c r="AK166" i="5" s="1"/>
  <c r="AK168" i="5"/>
  <c r="AK173" i="5"/>
  <c r="AJ178" i="5"/>
  <c r="AK178" i="5" s="1"/>
  <c r="AK180" i="5"/>
  <c r="AK202" i="5"/>
  <c r="AK204" i="5"/>
  <c r="AK209" i="5"/>
  <c r="AK232" i="5"/>
  <c r="AJ250" i="5"/>
  <c r="AF252" i="5"/>
  <c r="AJ252" i="5" s="1"/>
  <c r="AJ264" i="5"/>
  <c r="AK264" i="5" s="1"/>
  <c r="AK323" i="5"/>
  <c r="AJ135" i="5"/>
  <c r="AK135" i="5" s="1"/>
  <c r="AJ254" i="5"/>
  <c r="AK254" i="5" s="1"/>
  <c r="AJ259" i="5"/>
  <c r="AK259" i="5" s="1"/>
  <c r="AK269" i="5"/>
  <c r="AK317" i="5"/>
  <c r="AI150" i="5"/>
  <c r="AJ150" i="5" s="1"/>
  <c r="AK150" i="5" s="1"/>
  <c r="AK152" i="5"/>
  <c r="AI156" i="5"/>
  <c r="AK158" i="5"/>
  <c r="AF175" i="5"/>
  <c r="AJ175" i="5" s="1"/>
  <c r="AK175" i="5" s="1"/>
  <c r="AK185" i="5"/>
  <c r="AK190" i="5"/>
  <c r="AK192" i="5"/>
  <c r="AJ218" i="5"/>
  <c r="AK218" i="5" s="1"/>
  <c r="AK227" i="5"/>
  <c r="AK245" i="5"/>
  <c r="AK311" i="5"/>
  <c r="AF161" i="5"/>
  <c r="AJ161" i="5" s="1"/>
  <c r="AK161" i="5" s="1"/>
  <c r="AK165" i="5"/>
  <c r="AJ185" i="5"/>
  <c r="AJ197" i="5"/>
  <c r="AK197" i="5" s="1"/>
  <c r="AJ199" i="5"/>
  <c r="AK199" i="5" s="1"/>
  <c r="AK220" i="5"/>
  <c r="AK222" i="5"/>
  <c r="AJ227" i="5"/>
  <c r="AJ229" i="5"/>
  <c r="AK229" i="5" s="1"/>
  <c r="AJ236" i="5"/>
  <c r="AK236" i="5" s="1"/>
  <c r="AK240" i="5"/>
  <c r="AJ245" i="5"/>
  <c r="AJ247" i="5"/>
  <c r="AK247" i="5" s="1"/>
  <c r="AK305" i="5"/>
  <c r="AK133" i="5"/>
  <c r="AK160" i="5"/>
  <c r="AJ187" i="5"/>
  <c r="AK187" i="5" s="1"/>
  <c r="AJ206" i="5"/>
  <c r="AK206" i="5" s="1"/>
  <c r="AK238" i="5"/>
  <c r="AJ256" i="5"/>
  <c r="AK256" i="5" s="1"/>
  <c r="AK263" i="5"/>
  <c r="AK299" i="5"/>
  <c r="AK145" i="5"/>
  <c r="AK208" i="5"/>
  <c r="AK210" i="5"/>
  <c r="AK215" i="5"/>
  <c r="AK251" i="5"/>
  <c r="AK253" i="5"/>
  <c r="AF258" i="5"/>
  <c r="AJ258" i="5" s="1"/>
  <c r="AK258" i="5" s="1"/>
  <c r="AJ123" i="6"/>
  <c r="AK123" i="6" s="1"/>
  <c r="AJ89" i="6"/>
  <c r="AK89" i="6" s="1"/>
  <c r="AJ88" i="6"/>
  <c r="AK88" i="6" s="1"/>
  <c r="AJ292" i="6"/>
  <c r="AK292" i="6" s="1"/>
  <c r="AJ358" i="6"/>
  <c r="AK358" i="6" s="1"/>
  <c r="AK14" i="7"/>
  <c r="AJ27" i="7"/>
  <c r="AK37" i="7"/>
  <c r="AK50" i="7"/>
  <c r="AJ53" i="7"/>
  <c r="AK55" i="7"/>
  <c r="AJ63" i="7"/>
  <c r="AK73" i="7"/>
  <c r="AK78" i="7"/>
  <c r="AJ319" i="6"/>
  <c r="AK319" i="6" s="1"/>
  <c r="AJ334" i="6"/>
  <c r="AK334" i="6" s="1"/>
  <c r="AJ347" i="6"/>
  <c r="AK347" i="6" s="1"/>
  <c r="AK6" i="7"/>
  <c r="AJ19" i="7"/>
  <c r="AK19" i="7" s="1"/>
  <c r="AJ22" i="7"/>
  <c r="AK22" i="7" s="1"/>
  <c r="AK42" i="7"/>
  <c r="AJ55" i="7"/>
  <c r="AJ58" i="7"/>
  <c r="AK58" i="7" s="1"/>
  <c r="AK60" i="7"/>
  <c r="AJ78" i="7"/>
  <c r="AK80" i="7"/>
  <c r="AJ280" i="6"/>
  <c r="AK280" i="6" s="1"/>
  <c r="AJ305" i="6"/>
  <c r="AK305" i="6" s="1"/>
  <c r="AK3" i="7"/>
  <c r="AK75" i="7"/>
  <c r="AK85" i="7"/>
  <c r="AJ294" i="6"/>
  <c r="AK294" i="6" s="1"/>
  <c r="AJ325" i="6"/>
  <c r="AK325" i="6" s="1"/>
  <c r="AJ353" i="6"/>
  <c r="AK353" i="6" s="1"/>
  <c r="AJ3" i="7"/>
  <c r="AK13" i="7"/>
  <c r="AK26" i="7"/>
  <c r="AJ29" i="7"/>
  <c r="AK29" i="7" s="1"/>
  <c r="AK31" i="7"/>
  <c r="AJ39" i="7"/>
  <c r="AK39" i="7" s="1"/>
  <c r="AK49" i="7"/>
  <c r="AK62" i="7"/>
  <c r="AJ65" i="7"/>
  <c r="AK65" i="7" s="1"/>
  <c r="AK67" i="7"/>
  <c r="AJ75" i="7"/>
  <c r="AF279" i="6"/>
  <c r="AJ279" i="6" s="1"/>
  <c r="AK279" i="6" s="1"/>
  <c r="AJ307" i="6"/>
  <c r="AK307" i="6" s="1"/>
  <c r="AJ318" i="6"/>
  <c r="AK318" i="6" s="1"/>
  <c r="AJ331" i="6"/>
  <c r="AK331" i="6" s="1"/>
  <c r="AJ355" i="6"/>
  <c r="AK355" i="6" s="1"/>
  <c r="AJ21" i="7"/>
  <c r="AK21" i="7" s="1"/>
  <c r="AK28" i="7"/>
  <c r="AJ57" i="7"/>
  <c r="AK57" i="7" s="1"/>
  <c r="AJ62" i="7"/>
  <c r="AK64" i="7"/>
  <c r="AJ85" i="7"/>
  <c r="AJ93" i="7"/>
  <c r="AK93" i="7" s="1"/>
  <c r="AK51" i="7"/>
  <c r="AK69" i="7"/>
  <c r="AK79" i="7"/>
  <c r="AF278" i="6"/>
  <c r="AJ278" i="6" s="1"/>
  <c r="AK278" i="6" s="1"/>
  <c r="AF286" i="6"/>
  <c r="AJ286" i="6" s="1"/>
  <c r="AK286" i="6" s="1"/>
  <c r="AJ311" i="6"/>
  <c r="AK311" i="6" s="1"/>
  <c r="AF322" i="6"/>
  <c r="AJ322" i="6" s="1"/>
  <c r="AK322" i="6" s="1"/>
  <c r="AJ361" i="6"/>
  <c r="AK361" i="6" s="1"/>
  <c r="AJ365" i="6"/>
  <c r="AK365" i="6" s="1"/>
  <c r="AJ5" i="7"/>
  <c r="AK5" i="7" s="1"/>
  <c r="AJ15" i="7"/>
  <c r="AK15" i="7" s="1"/>
  <c r="AK38" i="7"/>
  <c r="AJ41" i="7"/>
  <c r="AK41" i="7" s="1"/>
  <c r="AJ51" i="7"/>
  <c r="AK61" i="7"/>
  <c r="AJ95" i="7"/>
  <c r="AF304" i="6"/>
  <c r="AJ304" i="6" s="1"/>
  <c r="AK304" i="6" s="1"/>
  <c r="AJ337" i="6"/>
  <c r="AK337" i="6" s="1"/>
  <c r="AJ363" i="6"/>
  <c r="AK363" i="6" s="1"/>
  <c r="AJ7" i="7"/>
  <c r="AK7" i="7" s="1"/>
  <c r="AJ10" i="7"/>
  <c r="AK10" i="7" s="1"/>
  <c r="AK17" i="7"/>
  <c r="AK30" i="7"/>
  <c r="AJ43" i="7"/>
  <c r="AK43" i="7" s="1"/>
  <c r="AJ46" i="7"/>
  <c r="AK46" i="7" s="1"/>
  <c r="AK48" i="7"/>
  <c r="AK53" i="7"/>
  <c r="AJ79" i="7"/>
  <c r="AJ92" i="7"/>
  <c r="AK97" i="7"/>
  <c r="AJ301" i="6"/>
  <c r="AK301" i="6" s="1"/>
  <c r="AJ328" i="6"/>
  <c r="AK328" i="6" s="1"/>
  <c r="AJ341" i="6"/>
  <c r="AK341" i="6" s="1"/>
  <c r="AJ352" i="6"/>
  <c r="AK352" i="6" s="1"/>
  <c r="AJ25" i="7"/>
  <c r="AK25" i="7" s="1"/>
  <c r="AJ30" i="7"/>
  <c r="AJ33" i="7"/>
  <c r="AK33" i="7" s="1"/>
  <c r="AJ38" i="7"/>
  <c r="AK40" i="7"/>
  <c r="AJ61" i="7"/>
  <c r="AJ66" i="7"/>
  <c r="AK66" i="7" s="1"/>
  <c r="AJ69" i="7"/>
  <c r="AJ74" i="7"/>
  <c r="AK74" i="7" s="1"/>
  <c r="AJ308" i="6"/>
  <c r="AK308" i="6" s="1"/>
  <c r="AJ317" i="6"/>
  <c r="AK317" i="6" s="1"/>
  <c r="AJ4" i="7"/>
  <c r="AK4" i="7" s="1"/>
  <c r="AK9" i="7"/>
  <c r="AK27" i="7"/>
  <c r="AJ35" i="7"/>
  <c r="AK35" i="7" s="1"/>
  <c r="AJ40" i="7"/>
  <c r="AK45" i="7"/>
  <c r="AK63" i="7"/>
  <c r="AK68" i="7"/>
  <c r="AJ71" i="7"/>
  <c r="AK71" i="7" s="1"/>
  <c r="AJ76" i="7"/>
  <c r="AK86" i="7"/>
  <c r="AI99" i="7"/>
  <c r="AI106" i="7"/>
  <c r="AJ106" i="7" s="1"/>
  <c r="AK106" i="7" s="1"/>
  <c r="AK117" i="7"/>
  <c r="AK129" i="7"/>
  <c r="AK155" i="7"/>
  <c r="AK158" i="7"/>
  <c r="AK172" i="7"/>
  <c r="AJ176" i="7"/>
  <c r="AK178" i="7"/>
  <c r="AK189" i="7"/>
  <c r="AJ206" i="7"/>
  <c r="AK206" i="7" s="1"/>
  <c r="AK211" i="7"/>
  <c r="AK247" i="7"/>
  <c r="AK272" i="7"/>
  <c r="AK318" i="7"/>
  <c r="AK277" i="7"/>
  <c r="AK285" i="7"/>
  <c r="AF87" i="7"/>
  <c r="AJ87" i="7" s="1"/>
  <c r="AK87" i="7" s="1"/>
  <c r="AI93" i="7"/>
  <c r="AK101" i="7"/>
  <c r="AK104" i="7"/>
  <c r="AJ105" i="7"/>
  <c r="AK105" i="7" s="1"/>
  <c r="AF111" i="7"/>
  <c r="AJ111" i="7" s="1"/>
  <c r="AK111" i="7" s="1"/>
  <c r="AI135" i="7"/>
  <c r="AJ135" i="7" s="1"/>
  <c r="AK135" i="7" s="1"/>
  <c r="AK140" i="7"/>
  <c r="AK143" i="7"/>
  <c r="AK146" i="7"/>
  <c r="AK160" i="7"/>
  <c r="AJ164" i="7"/>
  <c r="AK183" i="7"/>
  <c r="AK197" i="7"/>
  <c r="AJ214" i="7"/>
  <c r="AK216" i="7"/>
  <c r="AJ225" i="7"/>
  <c r="AK233" i="7"/>
  <c r="AK252" i="7"/>
  <c r="AJ261" i="7"/>
  <c r="AK261" i="7" s="1"/>
  <c r="AK269" i="7"/>
  <c r="AK293" i="7"/>
  <c r="AK76" i="7"/>
  <c r="AK91" i="7"/>
  <c r="AK137" i="7"/>
  <c r="AJ172" i="7"/>
  <c r="AK180" i="7"/>
  <c r="AJ186" i="7"/>
  <c r="AK186" i="7" s="1"/>
  <c r="AJ197" i="7"/>
  <c r="AK202" i="7"/>
  <c r="AK213" i="7"/>
  <c r="AJ219" i="7"/>
  <c r="AK219" i="7" s="1"/>
  <c r="AK238" i="7"/>
  <c r="AK249" i="7"/>
  <c r="AJ255" i="7"/>
  <c r="AK255" i="7" s="1"/>
  <c r="AK266" i="7"/>
  <c r="AF96" i="7"/>
  <c r="AJ96" i="7" s="1"/>
  <c r="AK96" i="7" s="1"/>
  <c r="AK107" i="7"/>
  <c r="AI111" i="7"/>
  <c r="AK116" i="7"/>
  <c r="AK119" i="7"/>
  <c r="AI123" i="7"/>
  <c r="AJ123" i="7" s="1"/>
  <c r="AK123" i="7" s="1"/>
  <c r="AK128" i="7"/>
  <c r="AK131" i="7"/>
  <c r="AK148" i="7"/>
  <c r="AJ152" i="7"/>
  <c r="AK152" i="7" s="1"/>
  <c r="AK177" i="7"/>
  <c r="AJ183" i="7"/>
  <c r="AK188" i="7"/>
  <c r="AJ194" i="7"/>
  <c r="AK194" i="7" s="1"/>
  <c r="AK199" i="7"/>
  <c r="AJ230" i="7"/>
  <c r="AK230" i="7" s="1"/>
  <c r="AK235" i="7"/>
  <c r="AJ266" i="7"/>
  <c r="AK271" i="7"/>
  <c r="AJ274" i="7"/>
  <c r="AK274" i="7" s="1"/>
  <c r="AJ277" i="7"/>
  <c r="AJ282" i="7"/>
  <c r="AK282" i="7" s="1"/>
  <c r="AJ285" i="7"/>
  <c r="AK287" i="7"/>
  <c r="AJ290" i="7"/>
  <c r="AK290" i="7" s="1"/>
  <c r="AJ302" i="7"/>
  <c r="AK302" i="7" s="1"/>
  <c r="AK100" i="7"/>
  <c r="AK113" i="7"/>
  <c r="AK125" i="7"/>
  <c r="AJ134" i="7"/>
  <c r="AK134" i="7" s="1"/>
  <c r="AK151" i="7"/>
  <c r="AJ166" i="7"/>
  <c r="AK166" i="7" s="1"/>
  <c r="AJ252" i="7"/>
  <c r="AK284" i="7"/>
  <c r="AK95" i="7"/>
  <c r="AK103" i="7"/>
  <c r="AK136" i="7"/>
  <c r="AK142" i="7"/>
  <c r="AK159" i="7"/>
  <c r="AK165" i="7"/>
  <c r="AJ171" i="7"/>
  <c r="AK171" i="7" s="1"/>
  <c r="AJ110" i="7"/>
  <c r="AK110" i="7" s="1"/>
  <c r="AJ122" i="7"/>
  <c r="AK122" i="7" s="1"/>
  <c r="AK139" i="7"/>
  <c r="AJ148" i="7"/>
  <c r="AJ154" i="7"/>
  <c r="AK154" i="7" s="1"/>
  <c r="AK156" i="7"/>
  <c r="AK185" i="7"/>
  <c r="AK201" i="7"/>
  <c r="AJ207" i="7"/>
  <c r="AK207" i="7" s="1"/>
  <c r="AK212" i="7"/>
  <c r="AJ243" i="7"/>
  <c r="AK243" i="7" s="1"/>
  <c r="AK248" i="7"/>
  <c r="AK289" i="7"/>
  <c r="AJ306" i="7"/>
  <c r="AK306" i="7" s="1"/>
  <c r="AF83" i="7"/>
  <c r="AJ83" i="7" s="1"/>
  <c r="AK83" i="7" s="1"/>
  <c r="AJ100" i="7"/>
  <c r="AK112" i="7"/>
  <c r="AJ116" i="7"/>
  <c r="AK118" i="7"/>
  <c r="AK124" i="7"/>
  <c r="AJ128" i="7"/>
  <c r="AK130" i="7"/>
  <c r="AK153" i="7"/>
  <c r="AJ159" i="7"/>
  <c r="AI171" i="7"/>
  <c r="AK176" i="7"/>
  <c r="AK179" i="7"/>
  <c r="AJ185" i="7"/>
  <c r="AJ188" i="7"/>
  <c r="AK190" i="7"/>
  <c r="AJ218" i="7"/>
  <c r="AK218" i="7" s="1"/>
  <c r="AK223" i="7"/>
  <c r="AJ254" i="7"/>
  <c r="AK254" i="7" s="1"/>
  <c r="AK259" i="7"/>
  <c r="AJ276" i="7"/>
  <c r="AK276" i="7" s="1"/>
  <c r="AJ297" i="7"/>
  <c r="AK297" i="7" s="1"/>
  <c r="AJ182" i="7"/>
  <c r="AK182" i="7" s="1"/>
  <c r="AK187" i="7"/>
  <c r="AK195" i="7"/>
  <c r="AJ204" i="7"/>
  <c r="AK204" i="7" s="1"/>
  <c r="AK220" i="7"/>
  <c r="AJ240" i="7"/>
  <c r="AK240" i="7" s="1"/>
  <c r="AK256" i="7"/>
  <c r="AK267" i="7"/>
  <c r="AK278" i="7"/>
  <c r="AJ281" i="7"/>
  <c r="AK281" i="7" s="1"/>
  <c r="AK286" i="7"/>
  <c r="AK291" i="7"/>
  <c r="AJ303" i="7"/>
  <c r="AK303" i="7" s="1"/>
  <c r="AK330" i="7"/>
  <c r="AK88" i="7"/>
  <c r="AI90" i="7"/>
  <c r="AJ90" i="7" s="1"/>
  <c r="AK90" i="7" s="1"/>
  <c r="AF99" i="7"/>
  <c r="AJ99" i="7" s="1"/>
  <c r="AK99" i="7" s="1"/>
  <c r="AF115" i="7"/>
  <c r="AJ115" i="7" s="1"/>
  <c r="AK115" i="7" s="1"/>
  <c r="AK141" i="7"/>
  <c r="AJ147" i="7"/>
  <c r="AK147" i="7" s="1"/>
  <c r="AK164" i="7"/>
  <c r="AK167" i="7"/>
  <c r="AK170" i="7"/>
  <c r="AK184" i="7"/>
  <c r="AJ193" i="7"/>
  <c r="AK193" i="7" s="1"/>
  <c r="AJ198" i="7"/>
  <c r="AK198" i="7" s="1"/>
  <c r="AJ201" i="7"/>
  <c r="AK209" i="7"/>
  <c r="AJ226" i="7"/>
  <c r="AK226" i="7" s="1"/>
  <c r="AK228" i="7"/>
  <c r="AJ234" i="7"/>
  <c r="AK234" i="7" s="1"/>
  <c r="AJ237" i="7"/>
  <c r="AK237" i="7" s="1"/>
  <c r="AJ262" i="7"/>
  <c r="AK262" i="7" s="1"/>
  <c r="AK264" i="7"/>
  <c r="AJ270" i="7"/>
  <c r="AK270" i="7" s="1"/>
  <c r="AJ273" i="7"/>
  <c r="AK273" i="7" s="1"/>
  <c r="AK275" i="7"/>
  <c r="AJ278" i="7"/>
  <c r="AK283" i="7"/>
  <c r="AJ286" i="7"/>
  <c r="AJ289" i="7"/>
  <c r="AJ294" i="7"/>
  <c r="AK294" i="7" s="1"/>
  <c r="AJ301" i="7"/>
  <c r="AK92" i="7"/>
  <c r="AJ94" i="7"/>
  <c r="AK94" i="7" s="1"/>
  <c r="AJ102" i="7"/>
  <c r="AK102" i="7" s="1"/>
  <c r="AK108" i="7"/>
  <c r="AJ118" i="7"/>
  <c r="AK120" i="7"/>
  <c r="AK132" i="7"/>
  <c r="AK161" i="7"/>
  <c r="AJ170" i="7"/>
  <c r="AJ209" i="7"/>
  <c r="AK214" i="7"/>
  <c r="AK225" i="7"/>
  <c r="AJ245" i="7"/>
  <c r="AK245" i="7" s="1"/>
  <c r="AK321" i="7"/>
  <c r="AJ335" i="7"/>
  <c r="AK301" i="7"/>
  <c r="AK309" i="7"/>
  <c r="AK315" i="7"/>
  <c r="AK329" i="7"/>
  <c r="AK350" i="7"/>
  <c r="AK362" i="7"/>
  <c r="AF321" i="7"/>
  <c r="AJ321" i="7" s="1"/>
  <c r="AJ340" i="7"/>
  <c r="AK340" i="7" s="1"/>
  <c r="AF357" i="7"/>
  <c r="AJ357" i="7" s="1"/>
  <c r="AK357" i="7" s="1"/>
  <c r="AK359" i="7"/>
  <c r="AK364" i="7"/>
  <c r="Q45" i="8"/>
  <c r="R45" i="8" s="1"/>
  <c r="AK295" i="7"/>
  <c r="AJ309" i="7"/>
  <c r="AJ329" i="7"/>
  <c r="AK337" i="7"/>
  <c r="AK339" i="7"/>
  <c r="AJ347" i="7"/>
  <c r="AK347" i="7" s="1"/>
  <c r="AI306" i="7"/>
  <c r="AK317" i="7"/>
  <c r="AF337" i="7"/>
  <c r="AJ337" i="7" s="1"/>
  <c r="AJ359" i="7"/>
  <c r="Q21" i="8"/>
  <c r="R21" i="8" s="1"/>
  <c r="R31" i="8"/>
  <c r="AK311" i="7"/>
  <c r="AF323" i="7"/>
  <c r="AJ323" i="7" s="1"/>
  <c r="AK323" i="7" s="1"/>
  <c r="AF339" i="7"/>
  <c r="AJ339" i="7" s="1"/>
  <c r="AJ352" i="7"/>
  <c r="AK352" i="7" s="1"/>
  <c r="AK341" i="7"/>
  <c r="R7" i="8"/>
  <c r="AJ311" i="7"/>
  <c r="AK333" i="7"/>
  <c r="AI300" i="7"/>
  <c r="AJ300" i="7" s="1"/>
  <c r="AK300" i="7" s="1"/>
  <c r="AJ341" i="7"/>
  <c r="AK353" i="7"/>
  <c r="AK358" i="7"/>
  <c r="AK307" i="7"/>
  <c r="AF325" i="7"/>
  <c r="AJ325" i="7" s="1"/>
  <c r="AK325" i="7" s="1"/>
  <c r="AJ328" i="7"/>
  <c r="AK328" i="7" s="1"/>
  <c r="AJ333" i="7"/>
  <c r="AJ356" i="7"/>
  <c r="AK356" i="7" s="1"/>
  <c r="Q33" i="8"/>
  <c r="R33" i="8" s="1"/>
  <c r="R43" i="8"/>
  <c r="AK313" i="7"/>
  <c r="AJ319" i="7"/>
  <c r="AK319" i="7" s="1"/>
  <c r="AK327" i="7"/>
  <c r="AK335" i="7"/>
  <c r="AK338" i="7"/>
  <c r="AF313" i="7"/>
  <c r="AJ313" i="7" s="1"/>
  <c r="AJ322" i="7"/>
  <c r="AK322" i="7" s="1"/>
  <c r="AK343" i="7"/>
  <c r="AJ358" i="7"/>
  <c r="Q9" i="8"/>
  <c r="R9" i="8" s="1"/>
  <c r="R19" i="8"/>
</calcChain>
</file>

<file path=xl/sharedStrings.xml><?xml version="1.0" encoding="utf-8"?>
<sst xmlns="http://schemas.openxmlformats.org/spreadsheetml/2006/main" count="12988" uniqueCount="472">
  <si>
    <t>MES:</t>
  </si>
  <si>
    <t>CHORIZOS</t>
  </si>
  <si>
    <t>PAPAS</t>
  </si>
  <si>
    <t>VEGGIES</t>
  </si>
  <si>
    <t>RB (kids + crunchies)</t>
  </si>
  <si>
    <t>UNT (picante/jalapeño)</t>
  </si>
  <si>
    <t>MILANESITAS</t>
  </si>
  <si>
    <t>ATUN</t>
  </si>
  <si>
    <t>Jefe</t>
  </si>
  <si>
    <t>NOM VENDEDOR</t>
  </si>
  <si>
    <t>NOM CENTRALIZADOR</t>
  </si>
  <si>
    <t>'Compradores (C)</t>
  </si>
  <si>
    <t>'No Compradores (C)</t>
  </si>
  <si>
    <t xml:space="preserve"> Cobertura (C)</t>
  </si>
  <si>
    <t>Compradores (P)</t>
  </si>
  <si>
    <t>No Compradores (P)</t>
  </si>
  <si>
    <t>Cobertura  (P)</t>
  </si>
  <si>
    <t>Compradores (V)</t>
  </si>
  <si>
    <t>No Compradores (V)</t>
  </si>
  <si>
    <t>Cobertura  (V)</t>
  </si>
  <si>
    <t>Compradores (RB)</t>
  </si>
  <si>
    <t>No Compradores (RB</t>
  </si>
  <si>
    <t xml:space="preserve">Cobertura (RB) </t>
  </si>
  <si>
    <t>Compradores (UNT)</t>
  </si>
  <si>
    <t>No compradores (UNT)</t>
  </si>
  <si>
    <t>Cobertura (UNT)</t>
  </si>
  <si>
    <t>Compradores (Mil.)</t>
  </si>
  <si>
    <t>No Compradores (Mil.)</t>
  </si>
  <si>
    <t>Cobertura (Mil.)</t>
  </si>
  <si>
    <t>Compradores (Atun)</t>
  </si>
  <si>
    <t>No compradores (Atun)</t>
  </si>
  <si>
    <t xml:space="preserve">Cobertura (ATUN) </t>
  </si>
  <si>
    <t>ARUANNO PARODI MARIA NOEL</t>
  </si>
  <si>
    <t>MENDEZ NAVARRO MARIA ALEJANDRA</t>
  </si>
  <si>
    <t>RAMONDINO LEONARDO ERNESTO</t>
  </si>
  <si>
    <t>RODRIGUEZ JUDITH</t>
  </si>
  <si>
    <t>BRION SEBASTIAN</t>
  </si>
  <si>
    <t>Total ARUANNO PARODI MARIA NOEL</t>
  </si>
  <si>
    <t>BESSONE JUAN</t>
  </si>
  <si>
    <t>CABARDOS CLAUDIO SANTIAGO</t>
  </si>
  <si>
    <t>FERNANDEZ JORGE OSCAR</t>
  </si>
  <si>
    <t>MEINERI JOSE MARIA</t>
  </si>
  <si>
    <t>Total BESSONE JUAN</t>
  </si>
  <si>
    <t>DALLA VERDE RAMON ADRIAN</t>
  </si>
  <si>
    <t>APUD ALEXANDER DARIO</t>
  </si>
  <si>
    <t>FUNES ANDRES</t>
  </si>
  <si>
    <t>PAZ CARRANZA EDUARDO</t>
  </si>
  <si>
    <t>ROBLEDO JORGE LUIS</t>
  </si>
  <si>
    <t>SANCHEZ JUAN CARLOS</t>
  </si>
  <si>
    <t>SCARAFIA YAMIL HERMES</t>
  </si>
  <si>
    <t>GENTILE NICOLAS</t>
  </si>
  <si>
    <t>Total DALLA VERDE RAMON ADRIAN</t>
  </si>
  <si>
    <t>MARCELO VEGA</t>
  </si>
  <si>
    <t>ALONSO GUSTAVO DANIEL</t>
  </si>
  <si>
    <t>ANDINO FACUNDO NICOLAS</t>
  </si>
  <si>
    <t>ORGAZ GUSTAVO EMANUEL</t>
  </si>
  <si>
    <t>VILOTTA SEBASTIAN</t>
  </si>
  <si>
    <t>VIVARES ABEL MAURICIO</t>
  </si>
  <si>
    <t>SCHAIGORODSKY IGNACIO</t>
  </si>
  <si>
    <t>Total MARCELO VEGA</t>
  </si>
  <si>
    <t>FEDERICO JACUM</t>
  </si>
  <si>
    <t>GOMEZ OURAL ALBERTO</t>
  </si>
  <si>
    <t>MARTINO FLAVIO</t>
  </si>
  <si>
    <t>TAPIA NERINA MARIELA</t>
  </si>
  <si>
    <t>VAL JULIAN</t>
  </si>
  <si>
    <t>VELAZQUEZ JONATAN WALTER</t>
  </si>
  <si>
    <t>VINCZE CINTIA LORENA</t>
  </si>
  <si>
    <t>Total FEDERICO JACUM</t>
  </si>
  <si>
    <t>DUARTE HERNAN</t>
  </si>
  <si>
    <t>RAMIREZ ARIEL SEBASTIAN</t>
  </si>
  <si>
    <t>Total DUARTE HERNAN</t>
  </si>
  <si>
    <t>Total general</t>
  </si>
  <si>
    <t>COMPRADORES CHORIZOS</t>
  </si>
  <si>
    <t>CANAL</t>
  </si>
  <si>
    <t>ZONA</t>
  </si>
  <si>
    <t>COD VENDEDOR</t>
  </si>
  <si>
    <t>COD CENTRALIZADOR</t>
  </si>
  <si>
    <t>AGO 25</t>
  </si>
  <si>
    <t>SEP 25</t>
  </si>
  <si>
    <t>OCT 25</t>
  </si>
  <si>
    <t>NOV '25</t>
  </si>
  <si>
    <t>DIC '25</t>
  </si>
  <si>
    <t>ENE '26</t>
  </si>
  <si>
    <t>PROMEDIO ULT 3 MESES</t>
  </si>
  <si>
    <t>ESTADO</t>
  </si>
  <si>
    <t>Distribuidores</t>
  </si>
  <si>
    <t>Capital</t>
  </si>
  <si>
    <t xml:space="preserve">LOGISTICA Y DISTRIBUCION RIBAUDO HNOS S.A. </t>
  </si>
  <si>
    <t>CINCUNEGUI MARCELO RODOLFO</t>
  </si>
  <si>
    <t xml:space="preserve">SUPERCONGELADOS FATIMA SOCIEDAD ANONIMA </t>
  </si>
  <si>
    <t>IQF DISTRIBUCION S.A.</t>
  </si>
  <si>
    <t>DANIEL BUENO SAU</t>
  </si>
  <si>
    <t>CAMPO DE SABORES S.A.S.</t>
  </si>
  <si>
    <t>ADN DISTRIBUCION S.R.L.</t>
  </si>
  <si>
    <t>FETECH INVESTMENTS S.A.</t>
  </si>
  <si>
    <t>BRIENZA DISTRIBUIDORA SOCIEDAD ANONIMA</t>
  </si>
  <si>
    <t>V&amp;D LAS DOS MARIAS SRL</t>
  </si>
  <si>
    <t>DOBLE V DISTRIBUIDORES</t>
  </si>
  <si>
    <t>GBA (Oeste)</t>
  </si>
  <si>
    <t>COMESTIBLES LUFAR SRL</t>
  </si>
  <si>
    <t>YANES FOOD S R L</t>
  </si>
  <si>
    <t>CONGELADOS DE LA GRANJA S.A.</t>
  </si>
  <si>
    <t>LATTE SRL</t>
  </si>
  <si>
    <t>DISTRIBUIDORA DON JUAN SOCIEDAD DE RESPONSABILIDAD</t>
  </si>
  <si>
    <t>GRUPO 2000 AGRUPACION</t>
  </si>
  <si>
    <t>GBA (Sur)</t>
  </si>
  <si>
    <t>SIRNA GABRIEL ALEJANDRO</t>
  </si>
  <si>
    <t>LACTOSUR S A</t>
  </si>
  <si>
    <t>FORCINITTI DISTRIBUIDORA S.A.</t>
  </si>
  <si>
    <t>REALES AGRUPACION DE COLABORACION EMPRESARIA</t>
  </si>
  <si>
    <t>SATIMA S.R.L</t>
  </si>
  <si>
    <t>BORATI SA</t>
  </si>
  <si>
    <t>RICARDO BLANCO E HIJOS S R L</t>
  </si>
  <si>
    <t>COSTA</t>
  </si>
  <si>
    <t>MAIOLO S.R.L.</t>
  </si>
  <si>
    <t>DASAJU DISTRIBUIDORA S.A</t>
  </si>
  <si>
    <t>DEANCAR SERVICIOS SA</t>
  </si>
  <si>
    <t>SABORES S R L</t>
  </si>
  <si>
    <t>MAYOTAN S.R.L EN FORMACION</t>
  </si>
  <si>
    <t>REPRESENTACIONES ALMAR S.R.L.</t>
  </si>
  <si>
    <t>Patagonia</t>
  </si>
  <si>
    <t>PUELCHE S.A.I.C.F.</t>
  </si>
  <si>
    <t>ABAMAR SOCIEDAD DE RESPONSABILIDAD LIMITADA</t>
  </si>
  <si>
    <t>HIPERS DISTRIBUIDORA S.A.S</t>
  </si>
  <si>
    <t>OTHILA SOCIEDAD ANONIMA</t>
  </si>
  <si>
    <t>DISTRIBUIDORA FERRARI S.A.</t>
  </si>
  <si>
    <t>SCDS SAS</t>
  </si>
  <si>
    <t>AIMETTA JORGE GUSTAVO</t>
  </si>
  <si>
    <t>ALCOM SOCIEDAD DE RESPONSABILIDAD LIMITADA</t>
  </si>
  <si>
    <t>DISTRIBUIDORA DE ALIMENTOS S.A</t>
  </si>
  <si>
    <t xml:space="preserve">ALDICOL S.R.L. </t>
  </si>
  <si>
    <t>DE LA COSTA PATAGONICA S.A.</t>
  </si>
  <si>
    <t>DISTRIBUIDORA ELPAR S.R.L.</t>
  </si>
  <si>
    <t>GUEVARA SANDRA VERONICA</t>
  </si>
  <si>
    <t>ORGANIZACION COMERCIAL DON TOMAS SRL</t>
  </si>
  <si>
    <t>CEDISUR S A</t>
  </si>
  <si>
    <t>MARAN ATHA SRL</t>
  </si>
  <si>
    <t>COLMAN YANINA EUNICE</t>
  </si>
  <si>
    <t>VICTOR SERRA S.R.L.</t>
  </si>
  <si>
    <t>CRICKA'S SRL</t>
  </si>
  <si>
    <t>H.A. S. A. S.</t>
  </si>
  <si>
    <t>COMPANIA COMERCIAL ANDINA SRL</t>
  </si>
  <si>
    <t>DIAZ CARLOS RAUL</t>
  </si>
  <si>
    <t>COLLOSSI JULIAN</t>
  </si>
  <si>
    <t>DIAZ CONGELADOS</t>
  </si>
  <si>
    <t>GUIVI S.R.L</t>
  </si>
  <si>
    <t>LARSEN MARIA ESTER</t>
  </si>
  <si>
    <t>DISTRIBUIDORA MATIAS S.R.L.</t>
  </si>
  <si>
    <t>GRAN FALUCHO REPRESENTACIONES SA</t>
  </si>
  <si>
    <t>SAN MARTIN ARMANDO OSCAR</t>
  </si>
  <si>
    <t>TABARROZZI DIEGO ANDRES</t>
  </si>
  <si>
    <t>CONTRERAS JULIO CESAR</t>
  </si>
  <si>
    <t>KLEJA REPRESENTACIONES S.R.L.</t>
  </si>
  <si>
    <t>DISTRIBUIDORA K &amp; M S.R.L.</t>
  </si>
  <si>
    <t>DISTRIBUIDORA URQUIZA S.R.L.</t>
  </si>
  <si>
    <t>COOPERATIVA OBRERA LIMITADA DE CONSUMO YVIVIENDA</t>
  </si>
  <si>
    <t>SUPERMERCADO LA BANDERITA BAHIA S.A.</t>
  </si>
  <si>
    <t>Cuyo</t>
  </si>
  <si>
    <t>LA UNICA SRL</t>
  </si>
  <si>
    <t>L &amp; G LOGISTICA Y GASTRONOMIA SRL</t>
  </si>
  <si>
    <t>ROFOR SRL</t>
  </si>
  <si>
    <t>DISTRIBUCIONES ALDANA S.R.L.</t>
  </si>
  <si>
    <t>VEGA ANA ROSA</t>
  </si>
  <si>
    <t>ALVAREZ DISTRIBUCIONES S.R.L.</t>
  </si>
  <si>
    <t>CASA BERCHIA DE BERMUDDEZ Y CHIAVAZZA</t>
  </si>
  <si>
    <t>CABRAL MAYORISTA S.R.L</t>
  </si>
  <si>
    <t>R. JAIME E HIJOS S.R.L.</t>
  </si>
  <si>
    <t>LA NOBLEZA S.R.L.</t>
  </si>
  <si>
    <t>LIÑAN LINARES S.R.L.</t>
  </si>
  <si>
    <t>SUPERMERCADOS MAYOR S.A.</t>
  </si>
  <si>
    <t xml:space="preserve">MAXICOMPRAS S.A. </t>
  </si>
  <si>
    <t>EDUFRANSER ALIMENTARIA SA</t>
  </si>
  <si>
    <t>UN RINCON DE NAPOLI S R L</t>
  </si>
  <si>
    <t>FRIO DISTRIBUCIONES S.R.L.</t>
  </si>
  <si>
    <t>FRIGHOOR S. A. S.</t>
  </si>
  <si>
    <t>REPRESENTACIONES COMERCIALES ABDALA LUIS JOSE S.A</t>
  </si>
  <si>
    <t>SAUDA S R L</t>
  </si>
  <si>
    <t>DESARROLLOS COMERCIALES S.R.L.</t>
  </si>
  <si>
    <t>SUAREZ ANALIA PAOLA</t>
  </si>
  <si>
    <t>ASOCIADOS L Y M S.R.L.</t>
  </si>
  <si>
    <t>ARCE MARIA MERCEDES</t>
  </si>
  <si>
    <t>COMERCIALIZADORA CENTRAL S.R.L.</t>
  </si>
  <si>
    <t>JR DISTRIBUCIONES SRL</t>
  </si>
  <si>
    <t>VIENTO ANDINO S.A.</t>
  </si>
  <si>
    <t>GRUPO SAKIM S.A.</t>
  </si>
  <si>
    <t>ARTURO LUIS HERNAN</t>
  </si>
  <si>
    <t>SERVIEXPRESS SRL</t>
  </si>
  <si>
    <t>DISTRIBUIDORA PIAZZE S.R.L.</t>
  </si>
  <si>
    <t>L.G. OESTE CONGELADOS S.A.S.</t>
  </si>
  <si>
    <t>KUCHEN FERNANDO ANDRES</t>
  </si>
  <si>
    <t>RODRIGUEZ SARA PATRICIA</t>
  </si>
  <si>
    <t>RIOS WALTER ARIEL</t>
  </si>
  <si>
    <t>MANCINO EDUARDO ALBERTO</t>
  </si>
  <si>
    <t>PELLIZZER PABLO SEBASTIAN</t>
  </si>
  <si>
    <t>PIETROFARMA SRL</t>
  </si>
  <si>
    <t>JESUS GUIRAO LAG E HIJOS S.R.L.</t>
  </si>
  <si>
    <t>DISOL S.R.L.</t>
  </si>
  <si>
    <t>CEREALES EL DIAMANTE S R L</t>
  </si>
  <si>
    <t>RAMON BUJ E HIJOS S.A.C.I.A.</t>
  </si>
  <si>
    <t>NUEVO MASOL MAYORISTA SOCIEDAD ANONIMA</t>
  </si>
  <si>
    <t>LORSANI SRL</t>
  </si>
  <si>
    <t>PABCAR S.A.</t>
  </si>
  <si>
    <t>IANARDI WALTER</t>
  </si>
  <si>
    <t>DON MARTIN S R L</t>
  </si>
  <si>
    <t>Cordoba</t>
  </si>
  <si>
    <t>KLOR CONSTANZA</t>
  </si>
  <si>
    <t>LUCONI S.R.L.</t>
  </si>
  <si>
    <t>BRANDING TEAM S.A.</t>
  </si>
  <si>
    <t>GONZALEZ GABRIEL ANDRES</t>
  </si>
  <si>
    <t xml:space="preserve">CARLOS DE PUERTA S.R.L. </t>
  </si>
  <si>
    <t>ALLCOR S.A.</t>
  </si>
  <si>
    <t>TINEM S.A.</t>
  </si>
  <si>
    <t>FREE DISTRIBUCIONES S.R.L.</t>
  </si>
  <si>
    <t>CALERO DALMA ANDREA</t>
  </si>
  <si>
    <t>M. RONCATO E HIJOS S. A.</t>
  </si>
  <si>
    <t>DISTRIBUIDORA BAEZA S.R.L.</t>
  </si>
  <si>
    <t>MENSEGUE SERGIO ARMANDO</t>
  </si>
  <si>
    <t>COLETTI RENATA</t>
  </si>
  <si>
    <t>BARALE HNOS S A</t>
  </si>
  <si>
    <t xml:space="preserve">CIPRIANO VICTOR </t>
  </si>
  <si>
    <t>EXITPROG SOCIEDAD POR ACCIONES SIMPLIFICADA</t>
  </si>
  <si>
    <t>PADIN KEVIN ELIAS</t>
  </si>
  <si>
    <t>SAFFADI ALEJANDRO YAMIL</t>
  </si>
  <si>
    <t>ANSELMI Y CIA. S.R.L.</t>
  </si>
  <si>
    <t>DISVESA S A</t>
  </si>
  <si>
    <t>V&amp;D FOOD S.A.S.</t>
  </si>
  <si>
    <t>SIMPLE DISTRIBUCIONES S.R.L.</t>
  </si>
  <si>
    <t>C Y F DISTRIBUCIONES S A</t>
  </si>
  <si>
    <t>STEFANICH SILVIO GERMAN</t>
  </si>
  <si>
    <t>RESSA IVAN</t>
  </si>
  <si>
    <t>FLUCK NICOLAS</t>
  </si>
  <si>
    <t xml:space="preserve">DISTRIBUIDORA REDOLFI S R L </t>
  </si>
  <si>
    <t>PANERO PABLO RAMON</t>
  </si>
  <si>
    <t>CAREGLIO HERMANOS S.R.L.</t>
  </si>
  <si>
    <t>FISSGAR S.A.</t>
  </si>
  <si>
    <t>ESTEMATI S.A.S. S. A. S.</t>
  </si>
  <si>
    <t>Gastronomia</t>
  </si>
  <si>
    <t xml:space="preserve">BETTER CATERING SA </t>
  </si>
  <si>
    <t>TRANSPORTES J C A S A</t>
  </si>
  <si>
    <t>PARQUE DE LA COSTA SOCIEDAD ANONIMA</t>
  </si>
  <si>
    <t>FOODGOL S.R.L.</t>
  </si>
  <si>
    <t>CHUSPITA MARTIN DANIEL</t>
  </si>
  <si>
    <t>CASUT FRIJON MATIAS EZEQUIEL</t>
  </si>
  <si>
    <t>PISANIELLO IVO</t>
  </si>
  <si>
    <t>RUANO ROJAS GREISSI</t>
  </si>
  <si>
    <t>AXIS LOGISTICA S.A.</t>
  </si>
  <si>
    <t>RECATUME ADALBERTO OSCAR</t>
  </si>
  <si>
    <t>PROMOFIESTA MAR DEL PLATA SRL</t>
  </si>
  <si>
    <t>ROSARIO BURGUER SRL</t>
  </si>
  <si>
    <t>PROMO FIESTA LA PLATA S.R.L.</t>
  </si>
  <si>
    <t>PADRONE MONICA RAQUEL</t>
  </si>
  <si>
    <t>VALDEZ MARIA ALEJANDRA</t>
  </si>
  <si>
    <t>RAMIREZ NEYRA LUIS ALBERTO</t>
  </si>
  <si>
    <t>PROMO BURGUER SRL</t>
  </si>
  <si>
    <t>TIANI KARINA BEATRIZ</t>
  </si>
  <si>
    <t>DISTRIBUIDORA BLANCALUNA S A</t>
  </si>
  <si>
    <t>MR TASTY LOMAS S.A.</t>
  </si>
  <si>
    <t>Litoral</t>
  </si>
  <si>
    <t>SALINAS RUBEN ALBERTO</t>
  </si>
  <si>
    <t>DISTRIBUCIONES LA ESTRELLA SOCIEDAD DE HECHO</t>
  </si>
  <si>
    <t>CHAVEZ JUAN CARLOS</t>
  </si>
  <si>
    <t xml:space="preserve">NUEVO PREMIUM S.A. </t>
  </si>
  <si>
    <t>FROZEN SUPPLIER SRL</t>
  </si>
  <si>
    <t>CENTRO DISTRIBUCION JUNIN S.A.</t>
  </si>
  <si>
    <t>DICAPO CHACABUCO S.R.L.</t>
  </si>
  <si>
    <t>CENTRO DE DISTRIBUCION CHACABUCO SA</t>
  </si>
  <si>
    <t>DISARIO TRADING S.A.</t>
  </si>
  <si>
    <t>FERRAN CESAR ALBERTO</t>
  </si>
  <si>
    <t>CENTRO DE DISTRIBUCION 9 DE JULIO SRL</t>
  </si>
  <si>
    <t>NEGELI MARCELO ARMANDO</t>
  </si>
  <si>
    <t>GONZALEZ LUIS GUSTAVO Y BINASCHI MARCELO RUBEN SOC</t>
  </si>
  <si>
    <t>DOMINGUEZ DANIEL EDUARDO</t>
  </si>
  <si>
    <t>FRIORED S.R.L.</t>
  </si>
  <si>
    <t>CARNICERIAS INTEGRADAS DE ROSARIO SRL</t>
  </si>
  <si>
    <t>CENTRO DE DISTRIBUCION PERGAMINO SA</t>
  </si>
  <si>
    <t>MUTUALIDAD DE OBR. SOC. PARA EMPL DE LA CIA SWIFT</t>
  </si>
  <si>
    <t>BATTISTIN DISTRIBUCIONES S.R.L</t>
  </si>
  <si>
    <t xml:space="preserve">OAB DISTRIBUIDORA S. CAP I SECC IV                </t>
  </si>
  <si>
    <t>ELNATAM S.A.S.</t>
  </si>
  <si>
    <t>LACTEOS SAN JOSE SRL</t>
  </si>
  <si>
    <t xml:space="preserve">JOSE OMAR DI ZEO SRL </t>
  </si>
  <si>
    <t>MANA DISTRIBUCIONES S.A.</t>
  </si>
  <si>
    <t>FENOVO S.A.</t>
  </si>
  <si>
    <t>JIANA DISTRIBUCIONES S.R.L.</t>
  </si>
  <si>
    <t>LUSSA CRISTIAN ARIEL</t>
  </si>
  <si>
    <t>TODO HELADO S.R.L.</t>
  </si>
  <si>
    <t>LA AGRICOLA REGIONAL COOPERATIVA LIMITADA</t>
  </si>
  <si>
    <t>DAVID ROSENTAL E HIJOS S.A.C.I</t>
  </si>
  <si>
    <t xml:space="preserve">SUPERMERCADOS MALAMBO S.A. </t>
  </si>
  <si>
    <t>JUAN CARLOS MAIOCCO S.R.L.</t>
  </si>
  <si>
    <t>LIBERTAD S.A.</t>
  </si>
  <si>
    <t>RED VITAL AGRUPACION DE COLABORACION</t>
  </si>
  <si>
    <t>CERATTI HNOS DISTRIBUCIONES S.A.S.</t>
  </si>
  <si>
    <t>HORACIO MARZAL E HIJOS S.R.L.</t>
  </si>
  <si>
    <t>DISTRIBUIDORA ANTARTIDA S.A.</t>
  </si>
  <si>
    <t>CASTETS Y TANINO SRL</t>
  </si>
  <si>
    <t>LENARDUZZI LUCAS</t>
  </si>
  <si>
    <t>RODRIGUEZ ALVARO FERNANDO</t>
  </si>
  <si>
    <t>CASSINA MAURICIO ROGELIO</t>
  </si>
  <si>
    <t>KEMMERER CARLOS DANIEL</t>
  </si>
  <si>
    <t>ZORZON FABIAN BAUTISTA</t>
  </si>
  <si>
    <t xml:space="preserve">POLAR DISTRIBUCIONES S.A. </t>
  </si>
  <si>
    <t>RUHL RICARDO RUBEN</t>
  </si>
  <si>
    <t>DON HIGINIO S.R.L.</t>
  </si>
  <si>
    <t>MUY BARATO SA</t>
  </si>
  <si>
    <t>DISPROAL S R L</t>
  </si>
  <si>
    <t>DISTRIBUIDORA MAJOIS S. R. L.</t>
  </si>
  <si>
    <t>GARCIA VARELA MARIO JORGE</t>
  </si>
  <si>
    <t>SAUBIDET ECHAZU AYELEN</t>
  </si>
  <si>
    <t>T&amp;T DISTRIBUCIONES S.R.L.</t>
  </si>
  <si>
    <t>EVOLUTION LIFE SRL</t>
  </si>
  <si>
    <t>STURTZ HECTOR SANTIAGO</t>
  </si>
  <si>
    <t>MISTURA S A</t>
  </si>
  <si>
    <t>BONANZEA OSCAR ANTONIO</t>
  </si>
  <si>
    <t>BUEN SOL SOCIEDAD DE RESPONSABILIDAD LIMITADA</t>
  </si>
  <si>
    <t>NOA</t>
  </si>
  <si>
    <t>EL INDIO S.R.L.</t>
  </si>
  <si>
    <t>LA LUGUENZE S.A</t>
  </si>
  <si>
    <t>ALVAREZ MARIELA ANA LIA</t>
  </si>
  <si>
    <t>CABAÑA LOS PAISANITOS S.R.L.</t>
  </si>
  <si>
    <t>ALBERDI S.A.</t>
  </si>
  <si>
    <t>AUTOSERVICIO CAPO SA</t>
  </si>
  <si>
    <t>DISTRIBUIDORA VIDT SRL</t>
  </si>
  <si>
    <t>EL OBRERO S.A.</t>
  </si>
  <si>
    <t>GERALA MARIO ERNESTO</t>
  </si>
  <si>
    <t>CAMINO DEL INCA SRL</t>
  </si>
  <si>
    <t>DAMESCO S.A.</t>
  </si>
  <si>
    <t xml:space="preserve">CATERING DE ALTURA S.A.S. </t>
  </si>
  <si>
    <t>ABRAHAM SERGIO HORACIO</t>
  </si>
  <si>
    <t>CASTILLO LEYTON ZULMA MONICA</t>
  </si>
  <si>
    <t>MAINA ALIMENTOS SRL</t>
  </si>
  <si>
    <t>CARFILA SRL</t>
  </si>
  <si>
    <t>PACCI HUGO FERNANDO</t>
  </si>
  <si>
    <t>HIPERMAYORISTA ATLAS S.R.L.</t>
  </si>
  <si>
    <t xml:space="preserve">SIDHU S.R.L </t>
  </si>
  <si>
    <t>MAMPRIN Y DE LA TORRE SRL</t>
  </si>
  <si>
    <t>HARO RODRIGUEZ SOFIA</t>
  </si>
  <si>
    <t>RIVERO FRANCISCO JAVIER</t>
  </si>
  <si>
    <t>TRANSABRIL S.A.</t>
  </si>
  <si>
    <t>SHARE OUT  S.R.L.</t>
  </si>
  <si>
    <t>PUNTO DE VENTA S.R.L.</t>
  </si>
  <si>
    <t>MORESCHINI LEONARDO DAVID</t>
  </si>
  <si>
    <t>MANLLA LEANDRO GERMAN</t>
  </si>
  <si>
    <t>VICTOR TIVANO E HIJOS S.R.L.</t>
  </si>
  <si>
    <t>TIMA S.R.L.</t>
  </si>
  <si>
    <t>BARRIONUEVO CESAR ALEJANDRO</t>
  </si>
  <si>
    <t>AUTOSERVICIO SAN RAMON SRL</t>
  </si>
  <si>
    <t>DISTRIBUIDORA FAR-PEP SOCIEDAD DE HECHO</t>
  </si>
  <si>
    <t>DISMAR SRL</t>
  </si>
  <si>
    <t>MERCON S.R.L</t>
  </si>
  <si>
    <t>LACTEOS CATAMARCA SRL</t>
  </si>
  <si>
    <t>NEA</t>
  </si>
  <si>
    <t>L-D DISTRIBUCIONES SRL</t>
  </si>
  <si>
    <t>DEPOT EXPRESS S.R.L</t>
  </si>
  <si>
    <t>PILONI ENRIQUE GUSTAVO</t>
  </si>
  <si>
    <t>MIMEN SRL</t>
  </si>
  <si>
    <t>ECONOR S.R.L.</t>
  </si>
  <si>
    <t>OMAR GUTIÉRREZ E HIJOS SRL</t>
  </si>
  <si>
    <t>AVICOLA SANTA ANA SOCIEDAD ANONIMA</t>
  </si>
  <si>
    <t>DINI Y CIA. S.R.L.</t>
  </si>
  <si>
    <t>J E M A N SRL</t>
  </si>
  <si>
    <t>CALIFORNIA S.A.</t>
  </si>
  <si>
    <t>MIGUEL ANGEL RAMONDA E HIJOS SA</t>
  </si>
  <si>
    <t>EL CONDOR S.R.L.</t>
  </si>
  <si>
    <t>BADARACCO HNOS SA</t>
  </si>
  <si>
    <t>QUIRELLI MARIO FABIAN</t>
  </si>
  <si>
    <t>AVALOS JOSE</t>
  </si>
  <si>
    <t>AVALOS JABIER FELIMER HEBARISTO</t>
  </si>
  <si>
    <t>ALBERTO HALDEMANN S.A.</t>
  </si>
  <si>
    <t>FIDANI WALTER DANIEL</t>
  </si>
  <si>
    <t>FUNCIONAL LEON S.A.</t>
  </si>
  <si>
    <t>KOHN FELIPE EDGARDO</t>
  </si>
  <si>
    <t>LIBARDI CARLOS HECTOR</t>
  </si>
  <si>
    <t>DISTRIBUIDORA GUERRA HNOS. SRL</t>
  </si>
  <si>
    <t>SUPERMERCADO REMO S.R.L.</t>
  </si>
  <si>
    <t>JAIME HECTOR LUIS</t>
  </si>
  <si>
    <t>FIDANI PATRICIA ELIZABETH</t>
  </si>
  <si>
    <t>EL PAJARITO S.A.</t>
  </si>
  <si>
    <t>TENTOLINI LEONARDO GUSTAVO</t>
  </si>
  <si>
    <t>Cadenas</t>
  </si>
  <si>
    <t>Interior</t>
  </si>
  <si>
    <t>COTO CENTRO INTEGRAL DE COMERCIALIZACON  S A</t>
  </si>
  <si>
    <t>KILBEL S.A.</t>
  </si>
  <si>
    <t>SUPERMERCADOS PETRELLI S.A - EN FORMACION-</t>
  </si>
  <si>
    <t>SUPERMERCADO EL TUNEL SA</t>
  </si>
  <si>
    <t>LUCIO DI SANTO SA</t>
  </si>
  <si>
    <t>LA GALLEGA SUPERMERCADOS S.A.</t>
  </si>
  <si>
    <t>CENCOSUD S A</t>
  </si>
  <si>
    <t>CAFE AMERICA MAYORISTA S.A.</t>
  </si>
  <si>
    <t xml:space="preserve">DAVID OSCAR RUBEN </t>
  </si>
  <si>
    <t>DINOSAURIO S.A.</t>
  </si>
  <si>
    <t>AIELLO SUPERMERCADOS S.A.</t>
  </si>
  <si>
    <t>MILLAN S.A.</t>
  </si>
  <si>
    <t>SUCESION DE BLANCH BENJAMIN LUIS</t>
  </si>
  <si>
    <t>DELFIN S.A.</t>
  </si>
  <si>
    <t>TADICOR S.A.</t>
  </si>
  <si>
    <t>MARIANO S.A.</t>
  </si>
  <si>
    <t>SUPERIMPERIO S.A.</t>
  </si>
  <si>
    <t>MIGUEL BECERRA S.A.</t>
  </si>
  <si>
    <t xml:space="preserve">MIGUEL ANGEL CHIARAVIGLIO Y CIA SRL </t>
  </si>
  <si>
    <t>CYRE SA</t>
  </si>
  <si>
    <t>Patagonia / Costa</t>
  </si>
  <si>
    <t>DAEDAZ S.A.</t>
  </si>
  <si>
    <t>DANODIS S.A.</t>
  </si>
  <si>
    <t>GINIAMO SOCIEDAD ANONIMA</t>
  </si>
  <si>
    <t>GBA</t>
  </si>
  <si>
    <t>JOSIMAR S.A.</t>
  </si>
  <si>
    <t>Mayoristas</t>
  </si>
  <si>
    <t>RICARDO NINI S.A.</t>
  </si>
  <si>
    <t>SUPERMERCADOS MAYORISTAS MAKRO SA</t>
  </si>
  <si>
    <t>SUPERMERCADOS MAY. YAGUAR S.A.</t>
  </si>
  <si>
    <t>MAYCAR S.A.</t>
  </si>
  <si>
    <t>MAXICONSUMO S.A.</t>
  </si>
  <si>
    <t>AUTOSERVICIO MAY. DIARCO S.A.</t>
  </si>
  <si>
    <t>DELIVERY HERO E-COMMERCE S. A.</t>
  </si>
  <si>
    <t>DBU - BAS</t>
  </si>
  <si>
    <t>S A IMPORTADORA Y EXPORTADORA DE LA PATAGONIA</t>
  </si>
  <si>
    <t>INC SOCIEDAD ANONIMA</t>
  </si>
  <si>
    <t>DIA ARGENTINA S.A.</t>
  </si>
  <si>
    <t>DORINKA S.R.L.</t>
  </si>
  <si>
    <t>GRUPO HEMA S. R. L.</t>
  </si>
  <si>
    <t>CUADRADO MAURO DAMIAN</t>
  </si>
  <si>
    <t>EL CHILENO S.R.L.</t>
  </si>
  <si>
    <t>HERNANDEZ JOSE LUIS</t>
  </si>
  <si>
    <t>MANZANAR S.R.L</t>
  </si>
  <si>
    <t>OVALO S.A.</t>
  </si>
  <si>
    <t>DISTRIBUIDORA CORDOBA S.R.L.</t>
  </si>
  <si>
    <t>AUTOSERVICIO LA YUNTA S.A</t>
  </si>
  <si>
    <t>JOSE ALBERTO TOSCANO SA</t>
  </si>
  <si>
    <t>DON EMILIO S R L</t>
  </si>
  <si>
    <t>COOP. DE PROV. CRED. DE SUPER.AUTO.Y ALM M. ALMACOR</t>
  </si>
  <si>
    <t>ALONSO J. Y JOSE A. REDOLFI S.R.L.</t>
  </si>
  <si>
    <t>CORRA PABLO LUIS</t>
  </si>
  <si>
    <t>PARODI SOCIEDAD DE RESPONSABILIDAD LIMITADA</t>
  </si>
  <si>
    <t>ROSARIO COMPRAS AGRUPACION DE COLABORACION</t>
  </si>
  <si>
    <t>HORIZONTE DISTRIBUCIONES S.R.L.</t>
  </si>
  <si>
    <t>CENTER S.R.L.</t>
  </si>
  <si>
    <t>MAGNO AR S. A.</t>
  </si>
  <si>
    <t>BASSO REPRESENTACIONES SRL</t>
  </si>
  <si>
    <t>RAUSCH PABLO JAVIER</t>
  </si>
  <si>
    <t>MULLER EMILIANO ANDRES</t>
  </si>
  <si>
    <t xml:space="preserve">CORMORAN S A SERVICIO MAYORISTA </t>
  </si>
  <si>
    <t>DE MARCO SANDRA DEL ROSARIO</t>
  </si>
  <si>
    <t xml:space="preserve">MYGRA S. R. L. </t>
  </si>
  <si>
    <t>DEL LITORAL DISTRIBUCIONES S.A</t>
  </si>
  <si>
    <t>LA ALEMANA S.R.L.</t>
  </si>
  <si>
    <t xml:space="preserve">CASA VELAZ SOCIEDAD DE RESPONSABILIDAD LIMITADA </t>
  </si>
  <si>
    <t>COMPRADORES PAPAS</t>
  </si>
  <si>
    <t>AGO '25</t>
  </si>
  <si>
    <t>COMPRADORES VEGGIES</t>
  </si>
  <si>
    <t>COMPRADORES NUEVOS LANZAMIENTOS RB</t>
  </si>
  <si>
    <t>OCT '25</t>
  </si>
  <si>
    <t>NOV 25</t>
  </si>
  <si>
    <t>DIC 25</t>
  </si>
  <si>
    <t>ENE 25</t>
  </si>
  <si>
    <t>PROMEDIO</t>
  </si>
  <si>
    <t>CHILE CHIPOTLE (522277)</t>
  </si>
  <si>
    <t>JALAPEÑO (522333)</t>
  </si>
  <si>
    <t>TOTAL</t>
  </si>
  <si>
    <t>COMPRADORES NUEVOS LANZAMIENTOS</t>
  </si>
  <si>
    <t>ATUN AL NATURAL (522246)</t>
  </si>
  <si>
    <t>ATUN EN ACEITE (522247)</t>
  </si>
  <si>
    <t>BOCADITOS KIDS (522130)</t>
  </si>
  <si>
    <t>CRUNCHIES (521357)</t>
  </si>
  <si>
    <t>ENE '25</t>
  </si>
  <si>
    <t>FEB '25</t>
  </si>
  <si>
    <t>MAR '25</t>
  </si>
  <si>
    <t>ABR 25</t>
  </si>
  <si>
    <t>MAY 25</t>
  </si>
  <si>
    <t>JUN 25</t>
  </si>
  <si>
    <t>JUL 25</t>
  </si>
  <si>
    <t>MILANESITAS (521663)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</si>
</sst>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name val="Aptos Narrow"/>
      <family val="2"/>
      <scheme val="minor"/>
    </font>
    <font>
      <sz val="11"/>
      <color theme="1"/>
      <name val="Caibri"/>
    </font>
    <font>
      <sz val="10"/>
      <name val="Aptos Narrow"/>
      <family val="2"/>
      <scheme val="minor"/>
    </font>
    <font>
      <sz val="11"/>
      <color indexed="8"/>
      <name val="Caibri"/>
    </font>
    <font>
      <sz val="10"/>
      <color rgb="FFFF0000"/>
      <name val="Aptos Narrow"/>
      <family val="2"/>
      <scheme val="minor"/>
    </font>
    <font>
      <sz val="11"/>
      <name val="Caibri"/>
    </font>
    <font>
      <b/>
      <sz val="10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BEDF7"/>
        <bgColor indexed="64"/>
      </patternFill>
    </fill>
    <fill>
      <patternFill patternType="solid">
        <fgColor theme="5" tint="0.39997558519241921"/>
        <bgColor theme="5" tint="-0.24997711111789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1">
    <xf numFmtId="0" fontId="0" fillId="0" borderId="0" xfId="0"/>
    <xf numFmtId="0" fontId="2" fillId="2" borderId="0" xfId="0" applyFont="1" applyFill="1" applyAlignment="1">
      <alignment horizontal="center"/>
    </xf>
    <xf numFmtId="17" fontId="2" fillId="2" borderId="0" xfId="0" applyNumberFormat="1" applyFont="1" applyFill="1" applyAlignment="1">
      <alignment horizontal="center"/>
    </xf>
    <xf numFmtId="0" fontId="3" fillId="0" borderId="0" xfId="0" applyFont="1"/>
    <xf numFmtId="9" fontId="0" fillId="0" borderId="0" xfId="1" applyFont="1" applyBorder="1"/>
    <xf numFmtId="9" fontId="0" fillId="0" borderId="0" xfId="0" applyNumberFormat="1"/>
    <xf numFmtId="9" fontId="0" fillId="0" borderId="0" xfId="1" applyFont="1"/>
    <xf numFmtId="0" fontId="6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6" fillId="9" borderId="2" xfId="0" applyFont="1" applyFill="1" applyBorder="1" applyAlignment="1">
      <alignment horizontal="center"/>
    </xf>
    <xf numFmtId="0" fontId="0" fillId="0" borderId="4" xfId="0" applyBorder="1"/>
    <xf numFmtId="0" fontId="7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9" fontId="0" fillId="3" borderId="3" xfId="0" applyNumberForma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5" fillId="6" borderId="0" xfId="0" applyFont="1" applyFill="1"/>
    <xf numFmtId="0" fontId="5" fillId="7" borderId="4" xfId="0" applyFont="1" applyFill="1" applyBorder="1"/>
    <xf numFmtId="0" fontId="5" fillId="7" borderId="0" xfId="0" applyFont="1" applyFill="1"/>
    <xf numFmtId="9" fontId="5" fillId="7" borderId="5" xfId="0" applyNumberFormat="1" applyFont="1" applyFill="1" applyBorder="1"/>
    <xf numFmtId="0" fontId="0" fillId="10" borderId="0" xfId="0" applyFill="1" applyAlignment="1">
      <alignment horizontal="center"/>
    </xf>
    <xf numFmtId="0" fontId="0" fillId="8" borderId="0" xfId="0" applyFill="1"/>
    <xf numFmtId="0" fontId="0" fillId="9" borderId="0" xfId="0" applyFill="1"/>
    <xf numFmtId="0" fontId="0" fillId="0" borderId="6" xfId="0" applyBorder="1"/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0" fillId="0" borderId="7" xfId="0" applyBorder="1"/>
    <xf numFmtId="0" fontId="0" fillId="0" borderId="4" xfId="0" applyBorder="1" applyAlignment="1">
      <alignment horizontal="center"/>
    </xf>
    <xf numFmtId="0" fontId="3" fillId="0" borderId="0" xfId="0" applyFont="1" applyAlignment="1">
      <alignment horizontal="center"/>
    </xf>
    <xf numFmtId="9" fontId="0" fillId="0" borderId="5" xfId="0" applyNumberFormat="1" applyBorder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8" xfId="0" applyBorder="1" applyAlignment="1">
      <alignment horizontal="center"/>
    </xf>
    <xf numFmtId="0" fontId="3" fillId="0" borderId="9" xfId="0" applyFont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9" fontId="0" fillId="0" borderId="9" xfId="0" applyNumberForma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1" xfId="0" applyBorder="1" applyAlignment="1">
      <alignment horizontal="center"/>
    </xf>
    <xf numFmtId="0" fontId="3" fillId="0" borderId="12" xfId="0" applyFont="1" applyBorder="1" applyAlignment="1">
      <alignment horizontal="center"/>
    </xf>
    <xf numFmtId="9" fontId="0" fillId="0" borderId="13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9" fontId="0" fillId="0" borderId="12" xfId="0" applyNumberFormat="1" applyBorder="1" applyAlignment="1">
      <alignment horizontal="center"/>
    </xf>
    <xf numFmtId="0" fontId="8" fillId="2" borderId="0" xfId="0" applyFont="1" applyFill="1"/>
    <xf numFmtId="0" fontId="9" fillId="2" borderId="0" xfId="0" applyFont="1" applyFill="1"/>
    <xf numFmtId="0" fontId="10" fillId="0" borderId="0" xfId="0" applyFont="1"/>
    <xf numFmtId="0" fontId="11" fillId="0" borderId="0" xfId="0" applyFont="1"/>
    <xf numFmtId="0" fontId="12" fillId="2" borderId="14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 wrapText="1"/>
    </xf>
    <xf numFmtId="4" fontId="13" fillId="11" borderId="8" xfId="0" quotePrefix="1" applyNumberFormat="1" applyFont="1" applyFill="1" applyBorder="1" applyAlignment="1">
      <alignment horizontal="center" vertical="center" wrapText="1"/>
    </xf>
    <xf numFmtId="4" fontId="13" fillId="11" borderId="17" xfId="0" quotePrefix="1" applyNumberFormat="1" applyFont="1" applyFill="1" applyBorder="1" applyAlignment="1">
      <alignment horizontal="center" vertical="center" wrapText="1"/>
    </xf>
    <xf numFmtId="4" fontId="13" fillId="11" borderId="9" xfId="0" quotePrefix="1" applyNumberFormat="1" applyFont="1" applyFill="1" applyBorder="1" applyAlignment="1">
      <alignment horizontal="center" vertical="center" wrapText="1"/>
    </xf>
    <xf numFmtId="4" fontId="13" fillId="11" borderId="18" xfId="0" quotePrefix="1" applyNumberFormat="1" applyFont="1" applyFill="1" applyBorder="1" applyAlignment="1">
      <alignment horizontal="center" vertical="center" wrapText="1"/>
    </xf>
    <xf numFmtId="4" fontId="13" fillId="12" borderId="9" xfId="0" quotePrefix="1" applyNumberFormat="1" applyFont="1" applyFill="1" applyBorder="1" applyAlignment="1">
      <alignment horizontal="center" vertical="center" wrapText="1"/>
    </xf>
    <xf numFmtId="4" fontId="13" fillId="13" borderId="19" xfId="0" quotePrefix="1" applyNumberFormat="1" applyFont="1" applyFill="1" applyBorder="1" applyAlignment="1">
      <alignment horizontal="center" vertical="center" wrapText="1"/>
    </xf>
    <xf numFmtId="4" fontId="13" fillId="13" borderId="17" xfId="0" quotePrefix="1" applyNumberFormat="1" applyFont="1" applyFill="1" applyBorder="1" applyAlignment="1">
      <alignment horizontal="center" vertical="center" wrapText="1"/>
    </xf>
    <xf numFmtId="4" fontId="13" fillId="14" borderId="20" xfId="0" quotePrefix="1" applyNumberFormat="1" applyFont="1" applyFill="1" applyBorder="1" applyAlignment="1">
      <alignment horizontal="center" vertical="center" wrapText="1"/>
    </xf>
    <xf numFmtId="4" fontId="13" fillId="15" borderId="10" xfId="0" quotePrefix="1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4" fillId="0" borderId="21" xfId="0" applyFont="1" applyBorder="1" applyAlignment="1">
      <alignment horizontal="center"/>
    </xf>
    <xf numFmtId="0" fontId="14" fillId="0" borderId="22" xfId="0" applyFont="1" applyBorder="1" applyAlignment="1">
      <alignment horizontal="center"/>
    </xf>
    <xf numFmtId="0" fontId="14" fillId="0" borderId="23" xfId="0" applyFont="1" applyBorder="1" applyAlignment="1">
      <alignment horizontal="center"/>
    </xf>
    <xf numFmtId="4" fontId="15" fillId="16" borderId="24" xfId="0" applyNumberFormat="1" applyFont="1" applyFill="1" applyBorder="1" applyAlignment="1">
      <alignment horizontal="center"/>
    </xf>
    <xf numFmtId="4" fontId="15" fillId="16" borderId="22" xfId="0" applyNumberFormat="1" applyFont="1" applyFill="1" applyBorder="1" applyAlignment="1">
      <alignment horizontal="center"/>
    </xf>
    <xf numFmtId="4" fontId="15" fillId="16" borderId="25" xfId="0" applyNumberFormat="1" applyFont="1" applyFill="1" applyBorder="1" applyAlignment="1">
      <alignment horizontal="center"/>
    </xf>
    <xf numFmtId="4" fontId="15" fillId="16" borderId="26" xfId="0" applyNumberFormat="1" applyFont="1" applyFill="1" applyBorder="1" applyAlignment="1">
      <alignment horizontal="center"/>
    </xf>
    <xf numFmtId="4" fontId="15" fillId="16" borderId="27" xfId="0" applyNumberFormat="1" applyFont="1" applyFill="1" applyBorder="1" applyAlignment="1">
      <alignment horizontal="center"/>
    </xf>
    <xf numFmtId="4" fontId="13" fillId="16" borderId="28" xfId="0" applyNumberFormat="1" applyFont="1" applyFill="1" applyBorder="1" applyAlignment="1">
      <alignment horizontal="center"/>
    </xf>
    <xf numFmtId="4" fontId="15" fillId="16" borderId="21" xfId="0" applyNumberFormat="1" applyFont="1" applyFill="1" applyBorder="1" applyAlignment="1">
      <alignment horizontal="center"/>
    </xf>
    <xf numFmtId="4" fontId="13" fillId="16" borderId="23" xfId="0" applyNumberFormat="1" applyFont="1" applyFill="1" applyBorder="1" applyAlignment="1">
      <alignment horizontal="center"/>
    </xf>
    <xf numFmtId="4" fontId="13" fillId="16" borderId="29" xfId="0" applyNumberFormat="1" applyFont="1" applyFill="1" applyBorder="1" applyAlignment="1">
      <alignment horizontal="center"/>
    </xf>
    <xf numFmtId="0" fontId="15" fillId="0" borderId="0" xfId="0" applyFont="1"/>
    <xf numFmtId="4" fontId="15" fillId="0" borderId="0" xfId="0" applyNumberFormat="1" applyFont="1"/>
    <xf numFmtId="4" fontId="13" fillId="16" borderId="30" xfId="0" applyNumberFormat="1" applyFont="1" applyFill="1" applyBorder="1" applyAlignment="1">
      <alignment horizontal="center"/>
    </xf>
    <xf numFmtId="0" fontId="16" fillId="0" borderId="22" xfId="0" applyFont="1" applyBorder="1" applyAlignment="1">
      <alignment horizontal="center"/>
    </xf>
    <xf numFmtId="0" fontId="17" fillId="0" borderId="0" xfId="0" applyFont="1"/>
    <xf numFmtId="0" fontId="0" fillId="2" borderId="4" xfId="0" applyFill="1" applyBorder="1"/>
    <xf numFmtId="0" fontId="0" fillId="2" borderId="0" xfId="0" applyFill="1"/>
    <xf numFmtId="0" fontId="0" fillId="2" borderId="31" xfId="0" applyFill="1" applyBorder="1"/>
    <xf numFmtId="4" fontId="0" fillId="2" borderId="7" xfId="0" applyNumberFormat="1" applyFill="1" applyBorder="1"/>
    <xf numFmtId="0" fontId="0" fillId="2" borderId="5" xfId="0" applyFill="1" applyBorder="1"/>
    <xf numFmtId="0" fontId="18" fillId="0" borderId="22" xfId="0" applyFont="1" applyBorder="1" applyAlignment="1">
      <alignment horizontal="center"/>
    </xf>
    <xf numFmtId="0" fontId="14" fillId="0" borderId="32" xfId="0" applyFont="1" applyBorder="1" applyAlignment="1">
      <alignment horizontal="center"/>
    </xf>
    <xf numFmtId="0" fontId="14" fillId="0" borderId="33" xfId="0" applyFont="1" applyBorder="1" applyAlignment="1">
      <alignment horizontal="center"/>
    </xf>
    <xf numFmtId="0" fontId="18" fillId="0" borderId="33" xfId="0" applyFont="1" applyBorder="1" applyAlignment="1">
      <alignment horizontal="center"/>
    </xf>
    <xf numFmtId="0" fontId="14" fillId="0" borderId="34" xfId="0" applyFont="1" applyBorder="1" applyAlignment="1">
      <alignment horizontal="center"/>
    </xf>
    <xf numFmtId="4" fontId="15" fillId="16" borderId="35" xfId="0" applyNumberFormat="1" applyFont="1" applyFill="1" applyBorder="1" applyAlignment="1">
      <alignment horizontal="center"/>
    </xf>
    <xf numFmtId="4" fontId="15" fillId="16" borderId="33" xfId="0" applyNumberFormat="1" applyFont="1" applyFill="1" applyBorder="1" applyAlignment="1">
      <alignment horizontal="center"/>
    </xf>
    <xf numFmtId="4" fontId="15" fillId="16" borderId="36" xfId="0" applyNumberFormat="1" applyFont="1" applyFill="1" applyBorder="1" applyAlignment="1">
      <alignment horizontal="center"/>
    </xf>
    <xf numFmtId="4" fontId="15" fillId="16" borderId="37" xfId="0" applyNumberFormat="1" applyFont="1" applyFill="1" applyBorder="1" applyAlignment="1">
      <alignment horizontal="center"/>
    </xf>
    <xf numFmtId="4" fontId="13" fillId="16" borderId="38" xfId="0" applyNumberFormat="1" applyFont="1" applyFill="1" applyBorder="1" applyAlignment="1">
      <alignment horizontal="center"/>
    </xf>
    <xf numFmtId="4" fontId="15" fillId="16" borderId="32" xfId="0" applyNumberFormat="1" applyFont="1" applyFill="1" applyBorder="1" applyAlignment="1">
      <alignment horizontal="center"/>
    </xf>
    <xf numFmtId="4" fontId="13" fillId="16" borderId="34" xfId="0" applyNumberFormat="1" applyFont="1" applyFill="1" applyBorder="1" applyAlignment="1">
      <alignment horizontal="center"/>
    </xf>
    <xf numFmtId="4" fontId="13" fillId="16" borderId="39" xfId="0" applyNumberFormat="1" applyFont="1" applyFill="1" applyBorder="1" applyAlignment="1">
      <alignment horizontal="center"/>
    </xf>
    <xf numFmtId="0" fontId="8" fillId="2" borderId="12" xfId="0" applyFont="1" applyFill="1" applyBorder="1"/>
    <xf numFmtId="0" fontId="12" fillId="2" borderId="40" xfId="0" applyFont="1" applyFill="1" applyBorder="1" applyAlignment="1">
      <alignment horizontal="center" vertical="center" wrapText="1"/>
    </xf>
    <xf numFmtId="4" fontId="13" fillId="12" borderId="41" xfId="0" quotePrefix="1" applyNumberFormat="1" applyFont="1" applyFill="1" applyBorder="1" applyAlignment="1">
      <alignment horizontal="center" vertical="center" wrapText="1"/>
    </xf>
    <xf numFmtId="4" fontId="13" fillId="15" borderId="41" xfId="0" quotePrefix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14" fillId="0" borderId="26" xfId="0" applyFont="1" applyBorder="1" applyAlignment="1">
      <alignment horizontal="center"/>
    </xf>
    <xf numFmtId="4" fontId="15" fillId="16" borderId="23" xfId="0" applyNumberFormat="1" applyFont="1" applyFill="1" applyBorder="1" applyAlignment="1">
      <alignment horizontal="center"/>
    </xf>
    <xf numFmtId="4" fontId="15" fillId="16" borderId="42" xfId="0" applyNumberFormat="1" applyFont="1" applyFill="1" applyBorder="1" applyAlignment="1">
      <alignment horizontal="center"/>
    </xf>
    <xf numFmtId="4" fontId="15" fillId="16" borderId="43" xfId="0" applyNumberFormat="1" applyFont="1" applyFill="1" applyBorder="1" applyAlignment="1">
      <alignment horizontal="center"/>
    </xf>
    <xf numFmtId="4" fontId="13" fillId="16" borderId="44" xfId="0" applyNumberFormat="1" applyFont="1" applyFill="1" applyBorder="1" applyAlignment="1">
      <alignment horizontal="center"/>
    </xf>
    <xf numFmtId="0" fontId="19" fillId="0" borderId="0" xfId="0" applyFont="1"/>
    <xf numFmtId="0" fontId="11" fillId="0" borderId="0" xfId="0" applyFont="1" applyAlignment="1">
      <alignment horizontal="left"/>
    </xf>
    <xf numFmtId="0" fontId="5" fillId="0" borderId="0" xfId="0" applyFont="1"/>
    <xf numFmtId="4" fontId="15" fillId="16" borderId="45" xfId="0" applyNumberFormat="1" applyFont="1" applyFill="1" applyBorder="1" applyAlignment="1">
      <alignment horizontal="center"/>
    </xf>
    <xf numFmtId="4" fontId="15" fillId="16" borderId="44" xfId="0" applyNumberFormat="1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17" fontId="8" fillId="2" borderId="8" xfId="0" quotePrefix="1" applyNumberFormat="1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10" xfId="0" applyFont="1" applyFill="1" applyBorder="1"/>
    <xf numFmtId="4" fontId="13" fillId="12" borderId="1" xfId="0" quotePrefix="1" applyNumberFormat="1" applyFont="1" applyFill="1" applyBorder="1" applyAlignment="1">
      <alignment horizontal="center" vertical="center" wrapText="1"/>
    </xf>
    <xf numFmtId="4" fontId="13" fillId="12" borderId="40" xfId="0" quotePrefix="1" applyNumberFormat="1" applyFont="1" applyFill="1" applyBorder="1" applyAlignment="1">
      <alignment horizontal="center" vertical="center" wrapText="1"/>
    </xf>
    <xf numFmtId="4" fontId="13" fillId="12" borderId="16" xfId="0" quotePrefix="1" applyNumberFormat="1" applyFont="1" applyFill="1" applyBorder="1" applyAlignment="1">
      <alignment horizontal="center" vertical="center" wrapText="1"/>
    </xf>
    <xf numFmtId="4" fontId="13" fillId="14" borderId="3" xfId="0" quotePrefix="1" applyNumberFormat="1" applyFont="1" applyFill="1" applyBorder="1" applyAlignment="1">
      <alignment horizontal="center" vertical="center" wrapText="1"/>
    </xf>
    <xf numFmtId="4" fontId="13" fillId="15" borderId="6" xfId="0" quotePrefix="1" applyNumberFormat="1" applyFont="1" applyFill="1" applyBorder="1" applyAlignment="1">
      <alignment horizontal="center" vertical="center" wrapText="1"/>
    </xf>
    <xf numFmtId="4" fontId="15" fillId="16" borderId="46" xfId="0" applyNumberFormat="1" applyFont="1" applyFill="1" applyBorder="1" applyAlignment="1">
      <alignment horizontal="center"/>
    </xf>
    <xf numFmtId="4" fontId="13" fillId="16" borderId="42" xfId="0" applyNumberFormat="1" applyFont="1" applyFill="1" applyBorder="1" applyAlignment="1">
      <alignment horizontal="center"/>
    </xf>
    <xf numFmtId="4" fontId="13" fillId="16" borderId="47" xfId="0" applyNumberFormat="1" applyFont="1" applyFill="1" applyBorder="1" applyAlignment="1">
      <alignment horizontal="center"/>
    </xf>
    <xf numFmtId="4" fontId="13" fillId="16" borderId="21" xfId="0" applyNumberFormat="1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4" fontId="13" fillId="14" borderId="9" xfId="0" quotePrefix="1" applyNumberFormat="1" applyFont="1" applyFill="1" applyBorder="1" applyAlignment="1">
      <alignment horizontal="center" vertical="center" wrapText="1"/>
    </xf>
    <xf numFmtId="4" fontId="15" fillId="16" borderId="48" xfId="0" applyNumberFormat="1" applyFont="1" applyFill="1" applyBorder="1" applyAlignment="1">
      <alignment horizontal="center"/>
    </xf>
    <xf numFmtId="4" fontId="13" fillId="11" borderId="14" xfId="0" quotePrefix="1" applyNumberFormat="1" applyFont="1" applyFill="1" applyBorder="1" applyAlignment="1">
      <alignment horizontal="center" vertical="center" wrapText="1"/>
    </xf>
    <xf numFmtId="4" fontId="13" fillId="11" borderId="15" xfId="0" quotePrefix="1" applyNumberFormat="1" applyFont="1" applyFill="1" applyBorder="1" applyAlignment="1">
      <alignment horizontal="center" vertical="center" wrapText="1"/>
    </xf>
    <xf numFmtId="4" fontId="13" fillId="11" borderId="40" xfId="0" quotePrefix="1" applyNumberFormat="1" applyFont="1" applyFill="1" applyBorder="1" applyAlignment="1">
      <alignment horizontal="center" vertical="center" wrapText="1"/>
    </xf>
    <xf numFmtId="4" fontId="13" fillId="11" borderId="16" xfId="0" quotePrefix="1" applyNumberFormat="1" applyFont="1" applyFill="1" applyBorder="1" applyAlignment="1">
      <alignment horizontal="center" vertical="center" wrapText="1"/>
    </xf>
    <xf numFmtId="4" fontId="13" fillId="12" borderId="8" xfId="0" quotePrefix="1" applyNumberFormat="1" applyFont="1" applyFill="1" applyBorder="1" applyAlignment="1">
      <alignment horizontal="center" vertical="center" wrapText="1"/>
    </xf>
    <xf numFmtId="4" fontId="15" fillId="16" borderId="49" xfId="0" applyNumberFormat="1" applyFont="1" applyFill="1" applyBorder="1" applyAlignment="1">
      <alignment horizontal="center"/>
    </xf>
    <xf numFmtId="4" fontId="13" fillId="16" borderId="46" xfId="0" applyNumberFormat="1" applyFont="1" applyFill="1" applyBorder="1" applyAlignment="1">
      <alignment horizontal="center"/>
    </xf>
    <xf numFmtId="4" fontId="15" fillId="16" borderId="50" xfId="0" applyNumberFormat="1" applyFont="1" applyFill="1" applyBorder="1" applyAlignment="1">
      <alignment horizontal="center"/>
    </xf>
    <xf numFmtId="4" fontId="13" fillId="16" borderId="24" xfId="0" applyNumberFormat="1" applyFont="1" applyFill="1" applyBorder="1" applyAlignment="1">
      <alignment horizontal="center"/>
    </xf>
    <xf numFmtId="0" fontId="11" fillId="0" borderId="50" xfId="0" applyFont="1" applyBorder="1"/>
    <xf numFmtId="0" fontId="11" fillId="0" borderId="22" xfId="0" applyFont="1" applyBorder="1"/>
    <xf numFmtId="0" fontId="11" fillId="0" borderId="51" xfId="0" applyFont="1" applyBorder="1"/>
    <xf numFmtId="0" fontId="11" fillId="0" borderId="33" xfId="0" applyFont="1" applyBorder="1"/>
    <xf numFmtId="4" fontId="15" fillId="16" borderId="34" xfId="0" applyNumberFormat="1" applyFont="1" applyFill="1" applyBorder="1" applyAlignment="1">
      <alignment horizontal="center"/>
    </xf>
    <xf numFmtId="4" fontId="13" fillId="16" borderId="35" xfId="0" applyNumberFormat="1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/>
    <xf numFmtId="0" fontId="12" fillId="2" borderId="19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 vertical="center" wrapText="1"/>
    </xf>
    <xf numFmtId="4" fontId="13" fillId="12" borderId="20" xfId="0" quotePrefix="1" applyNumberFormat="1" applyFont="1" applyFill="1" applyBorder="1" applyAlignment="1">
      <alignment horizontal="center" vertical="center" wrapText="1"/>
    </xf>
    <xf numFmtId="0" fontId="14" fillId="0" borderId="52" xfId="0" applyFont="1" applyBorder="1" applyAlignment="1">
      <alignment horizontal="center"/>
    </xf>
    <xf numFmtId="0" fontId="14" fillId="0" borderId="53" xfId="0" applyFont="1" applyBorder="1" applyAlignment="1">
      <alignment horizontal="center"/>
    </xf>
    <xf numFmtId="0" fontId="14" fillId="0" borderId="27" xfId="0" applyFont="1" applyBorder="1" applyAlignment="1">
      <alignment horizontal="center"/>
    </xf>
    <xf numFmtId="4" fontId="15" fillId="16" borderId="54" xfId="0" applyNumberFormat="1" applyFont="1" applyFill="1" applyBorder="1" applyAlignment="1">
      <alignment horizontal="center"/>
    </xf>
    <xf numFmtId="4" fontId="15" fillId="16" borderId="53" xfId="0" applyNumberFormat="1" applyFont="1" applyFill="1" applyBorder="1" applyAlignment="1">
      <alignment horizontal="center"/>
    </xf>
    <xf numFmtId="4" fontId="15" fillId="16" borderId="55" xfId="0" applyNumberFormat="1" applyFont="1" applyFill="1" applyBorder="1" applyAlignment="1">
      <alignment horizontal="center"/>
    </xf>
    <xf numFmtId="4" fontId="13" fillId="16" borderId="56" xfId="0" applyNumberFormat="1" applyFont="1" applyFill="1" applyBorder="1" applyAlignment="1">
      <alignment horizontal="center"/>
    </xf>
    <xf numFmtId="4" fontId="15" fillId="16" borderId="52" xfId="0" applyNumberFormat="1" applyFont="1" applyFill="1" applyBorder="1" applyAlignment="1">
      <alignment horizontal="center"/>
    </xf>
    <xf numFmtId="4" fontId="13" fillId="16" borderId="57" xfId="0" applyNumberFormat="1" applyFont="1" applyFill="1" applyBorder="1" applyAlignment="1">
      <alignment horizontal="center"/>
    </xf>
    <xf numFmtId="0" fontId="16" fillId="0" borderId="33" xfId="0" applyFont="1" applyBorder="1" applyAlignment="1">
      <alignment horizontal="center"/>
    </xf>
    <xf numFmtId="0" fontId="14" fillId="0" borderId="37" xfId="0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2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0" tint="-0.1499984740745262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5"/>
        </patternFill>
      </fill>
    </dxf>
    <dxf>
      <font>
        <color theme="0"/>
      </font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rgb="FFFFFF00"/>
        </patternFill>
      </fill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fill>
        <patternFill patternType="solid">
          <bgColor rgb="FFFFFF00"/>
        </patternFill>
      </fill>
    </dxf>
    <dxf>
      <alignment horizontal="center"/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vertical/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5" tint="0.59999389629810485"/>
        </patternFill>
      </fill>
    </dxf>
    <dxf>
      <font>
        <color auto="1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2" tint="-0.749992370372631"/>
        </patternFill>
      </fill>
    </dxf>
    <dxf>
      <fill>
        <patternFill patternType="solid">
          <bgColor theme="2" tint="-0.749992370372631"/>
        </patternFill>
      </fill>
    </dxf>
    <dxf>
      <fill>
        <patternFill patternType="solid">
          <bgColor theme="2" tint="-0.749992370372631"/>
        </patternFill>
      </fill>
    </dxf>
    <dxf>
      <fill>
        <patternFill patternType="solid">
          <bgColor theme="2" tint="-0.749992370372631"/>
        </patternFill>
      </fill>
    </dxf>
    <dxf>
      <fill>
        <patternFill patternType="solid">
          <bgColor theme="2" tint="-0.74999237037263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alignment horizontal="center"/>
    </dxf>
    <dxf>
      <fill>
        <patternFill patternType="solid">
          <bgColor rgb="FF92D050"/>
        </patternFill>
      </fill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font>
        <color rgb="FFFF0000"/>
      </font>
    </dxf>
    <dxf>
      <font>
        <color rgb="FFFF0000"/>
      </font>
    </dxf>
    <dxf>
      <numFmt numFmtId="13" formatCode="0%"/>
    </dxf>
    <dxf>
      <numFmt numFmtId="13" formatCode="0%"/>
    </dxf>
    <dxf>
      <fill>
        <patternFill>
          <bgColor theme="5" tint="0.59999389629810485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3" formatCode="0%"/>
    </dxf>
    <dxf>
      <numFmt numFmtId="13" formatCode="0%"/>
    </dxf>
    <dxf>
      <border>
        <left/>
        <top/>
        <horizontal/>
      </border>
    </dxf>
    <dxf>
      <border>
        <left/>
        <top/>
        <horizont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fill>
        <patternFill patternType="solid">
          <fgColor indexed="64"/>
          <bgColor rgb="FF92D050"/>
        </patternFill>
      </fill>
      <alignment horizontal="center"/>
    </dxf>
    <dxf>
      <fill>
        <patternFill>
          <bgColor theme="5" tint="-0.249977111117893"/>
        </patternFill>
      </fill>
    </dxf>
    <dxf>
      <font>
        <color theme="0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ont>
        <color rgb="FFFF0000"/>
      </font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numFmt numFmtId="13" formatCode="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  <horizontal/>
      </border>
    </dxf>
    <dxf>
      <border>
        <left/>
        <right/>
      </border>
    </dxf>
    <dxf>
      <border>
        <left/>
        <bottom/>
      </border>
    </dxf>
    <dxf>
      <border>
        <left/>
        <right/>
      </border>
    </dxf>
    <dxf>
      <border>
        <left/>
        <right/>
      </border>
    </dxf>
    <dxf>
      <border>
        <left/>
        <top/>
        <vertical/>
        <horizontal/>
      </border>
    </dxf>
    <dxf>
      <border>
        <left/>
        <top/>
        <vertical/>
        <horizontal/>
      </border>
    </dxf>
    <dxf>
      <border>
        <left/>
        <top/>
        <vertical/>
        <horizontal/>
      </border>
    </dxf>
    <dxf>
      <border>
        <left/>
        <top/>
        <vertical/>
        <horizontal/>
      </border>
    </dxf>
    <dxf>
      <border>
        <left/>
        <top/>
        <vertical/>
        <horizontal/>
      </border>
    </dxf>
    <dxf>
      <border>
        <left/>
        <top/>
        <vertical/>
        <horizontal/>
      </border>
    </dxf>
    <dxf>
      <border>
        <left/>
        <top/>
        <vertical/>
        <horizontal/>
      </border>
    </dxf>
    <dxf>
      <border>
        <left/>
        <top/>
        <vertical/>
        <horizontal/>
      </border>
    </dxf>
    <dxf>
      <border>
        <left/>
        <top/>
        <vertical/>
        <horizontal/>
      </border>
    </dxf>
    <dxf>
      <border>
        <left/>
        <top/>
        <vertical/>
        <horizontal/>
      </border>
    </dxf>
    <dxf>
      <border>
        <left/>
        <top/>
        <vertical/>
        <horizontal/>
      </border>
    </dxf>
    <dxf>
      <border>
        <left/>
        <top/>
        <vertical/>
        <horizontal/>
      </border>
    </dxf>
    <dxf>
      <border>
        <left/>
        <top/>
        <vertical/>
        <horizontal/>
      </border>
    </dxf>
    <dxf>
      <border>
        <left/>
        <top/>
        <vertical/>
        <horizontal/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fill>
        <patternFill patternType="solid">
          <bgColor theme="8"/>
        </patternFill>
      </fill>
    </dxf>
    <dxf>
      <font>
        <color theme="0"/>
      </font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numFmt numFmtId="13" formatCode="0%"/>
    </dxf>
    <dxf>
      <numFmt numFmtId="13" formatCode="0%"/>
    </dxf>
    <dxf>
      <fill>
        <patternFill>
          <fgColor theme="5" tint="-0.249977111117893"/>
        </patternFill>
      </fill>
      <alignment horizontal="center"/>
    </dxf>
    <dxf>
      <fill>
        <patternFill>
          <bgColor theme="5" tint="0.39997558519241921"/>
        </patternFill>
      </fill>
    </dxf>
    <dxf>
      <numFmt numFmtId="13" formatCode="0%"/>
    </dxf>
    <dxf>
      <border>
        <right style="medium">
          <color indexed="64"/>
        </right>
      </border>
    </dxf>
    <dxf>
      <fill>
        <patternFill>
          <bgColor rgb="FFCBEDF7"/>
        </patternFill>
      </fill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ablo.aicardi/Desktop/BI/FEBRERO%20'26/2402/Compradores%20Lanzamientos%202302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wift Argentina" refreshedDate="46077.363839583333" createdVersion="8" refreshedVersion="8" minRefreshableVersion="3" recordCount="364" xr:uid="{9C66E681-15CC-4B06-AEFB-4F3628E40DAA}">
  <cacheSource type="worksheet">
    <worksheetSource ref="C3:AB367" sheet="Base Dinamica" r:id="rId2"/>
  </cacheSource>
  <cacheFields count="33">
    <cacheField name="Jefe" numFmtId="0">
      <sharedItems count="6">
        <s v="FEDERICO JACUM"/>
        <s v="MARCELO VEGA"/>
        <s v="DUARTE HERNAN"/>
        <s v="DALLA VERDE RAMON ADRIAN"/>
        <s v="BESSONE JUAN"/>
        <s v="ARUANNO PARODI MARIA NOEL"/>
      </sharedItems>
    </cacheField>
    <cacheField name="COD VENDEDOR" numFmtId="0">
      <sharedItems containsSemiMixedTypes="0" containsString="0" containsNumber="1" containsInteger="1" minValue="100002748" maxValue="100089882"/>
    </cacheField>
    <cacheField name="NOM VENDEDOR" numFmtId="0">
      <sharedItems count="29">
        <s v="VELAZQUEZ JONATAN WALTER"/>
        <s v="TAPIA NERINA MARIELA"/>
        <s v="VINCZE CINTIA LORENA"/>
        <s v="GOMEZ OURAL ALBERTO"/>
        <s v="MARTINO FLAVIO"/>
        <s v="VILOTTA SEBASTIAN"/>
        <s v="ALONSO GUSTAVO DANIEL"/>
        <s v="VIVARES ABEL MAURICIO"/>
        <s v="ANDINO FACUNDO NICOLAS"/>
        <s v="SCHAIGORODSKY IGNACIO"/>
        <s v="ORGAZ GUSTAVO EMANUEL"/>
        <s v="DUARTE HERNAN"/>
        <s v="RAMIREZ ARIEL SEBASTIAN"/>
        <s v="FUNES ANDRES"/>
        <s v="SCARAFIA YAMIL HERMES"/>
        <s v="GENTILE NICOLAS"/>
        <s v="PAZ CARRANZA EDUARDO"/>
        <s v="APUD ALEXANDER DARIO"/>
        <s v="ROBLEDO JORGE LUIS"/>
        <s v="SANCHEZ JUAN CARLOS"/>
        <s v="CABARDOS CLAUDIO SANTIAGO"/>
        <s v="FERNANDEZ JORGE OSCAR"/>
        <s v="MEINERI JOSE MARIA"/>
        <s v="VAL JULIAN"/>
        <s v="BRION SEBASTIAN"/>
        <s v="RAMONDINO LEONARDO ERNESTO"/>
        <s v="MENDEZ NAVARRO MARIA ALEJANDRA"/>
        <s v="RODRIGUEZ JUDITH"/>
        <s v="PEROTTI MARCELO JOSÉ" u="1"/>
      </sharedItems>
    </cacheField>
    <cacheField name="COD CENTRALIZADOR" numFmtId="0">
      <sharedItems containsMixedTypes="1" containsNumber="1" containsInteger="1" minValue="100000073" maxValue="100089970"/>
    </cacheField>
    <cacheField name="NOM CENTRALIZADOR" numFmtId="0">
      <sharedItems count="346">
        <s v="LOGISTICA Y DISTRIBUCION RIBAUDO HNOS S.A. "/>
        <s v="CINCUNEGUI MARCELO RODOLFO"/>
        <s v="SUPERCONGELADOS FATIMA SOCIEDAD ANONIMA "/>
        <s v="IQF DISTRIBUCION S.A."/>
        <s v="DANIEL BUENO SAU"/>
        <s v="CAMPO DE SABORES S.A.S."/>
        <s v="ADN DISTRIBUCION S.R.L."/>
        <s v="FETECH INVESTMENTS S.A."/>
        <s v="BRIENZA DISTRIBUIDORA SOCIEDAD ANONIMA"/>
        <s v="V&amp;D LAS DOS MARIAS SRL"/>
        <s v="DOBLE V DISTRIBUIDORES"/>
        <s v="COMESTIBLES LUFAR SRL"/>
        <s v="YANES FOOD S R L"/>
        <s v="CONGELADOS DE LA GRANJA S.A."/>
        <s v="LATTE SRL"/>
        <s v="DISTRIBUIDORA DON JUAN SOCIEDAD DE RESPONSABILIDAD"/>
        <s v="GRUPO 2000 AGRUPACION"/>
        <s v="SIRNA GABRIEL ALEJANDRO"/>
        <s v="LACTOSUR S A"/>
        <s v="REALES AGRUPACION DE COLABORACION EMPRESARIA"/>
        <s v="FORCINITTI DISTRIBUIDORA S.A."/>
        <s v="SATIMA S.R.L"/>
        <s v="BORATI SA"/>
        <s v="RICARDO BLANCO E HIJOS S R L"/>
        <s v="MAIOLO S.R.L."/>
        <s v="DASAJU DISTRIBUIDORA S.A"/>
        <s v="DEANCAR SERVICIOS SA"/>
        <s v="SABORES S R L"/>
        <s v="MAYOTAN S.R.L EN FORMACION"/>
        <s v="REPRESENTACIONES ALMAR S.R.L."/>
        <s v="PUELCHE S.A.I.C.F."/>
        <s v="ABAMAR SOCIEDAD DE RESPONSABILIDAD LIMITADA"/>
        <s v="HIPERS DISTRIBUIDORA S.A.S"/>
        <s v="OTHILA SOCIEDAD ANONIMA"/>
        <s v="DISTRIBUIDORA FERRARI S.A."/>
        <s v="SCDS SAS"/>
        <s v="AIMETTA JORGE GUSTAVO"/>
        <s v="ALCOM SOCIEDAD DE RESPONSABILIDAD LIMITADA"/>
        <s v="DISTRIBUIDORA DE ALIMENTOS S.A"/>
        <s v="ALDICOL S.R.L. "/>
        <s v="DE LA COSTA PATAGONICA S.A."/>
        <s v="DISTRIBUIDORA ELPAR S.R.L."/>
        <s v="GUEVARA SANDRA VERONICA"/>
        <s v="ORGANIZACION COMERCIAL DON TOMAS SRL"/>
        <s v="CEDISUR S A"/>
        <s v="MARAN ATHA SRL"/>
        <s v="COLMAN YANINA EUNICE"/>
        <s v="VICTOR SERRA S.R.L."/>
        <s v="CRICKA'S SRL"/>
        <s v="H.A. S. A. S."/>
        <s v="COMPANIA COMERCIAL ANDINA SRL"/>
        <s v="GRUPO HEMA S. R. L."/>
        <s v="DIAZ CARLOS RAUL"/>
        <s v="COLLOSSI JULIAN"/>
        <s v="DIAZ CONGELADOS"/>
        <s v="GUIVI S.R.L"/>
        <s v="LARSEN MARIA ESTER"/>
        <s v="CUADRADO MAURO DAMIAN"/>
        <s v="DISTRIBUIDORA MATIAS S.R.L."/>
        <s v="GRAN FALUCHO REPRESENTACIONES SA"/>
        <s v="SAN MARTIN ARMANDO OSCAR"/>
        <s v="TABARROZZI DIEGO ANDRES"/>
        <s v="CONTRERAS JULIO CESAR"/>
        <s v="KLEJA REPRESENTACIONES S.R.L."/>
        <s v="DISTRIBUIDORA K &amp; M S.R.L."/>
        <s v="DISTRIBUIDORA URQUIZA S.R.L."/>
        <s v="COOPERATIVA OBRERA LIMITADA DE CONSUMO YVIVIENDA"/>
        <s v="SUPERMERCADO LA BANDERITA BAHIA S.A."/>
        <s v="LA UNICA SRL"/>
        <s v="L &amp; G LOGISTICA Y GASTRONOMIA SRL"/>
        <s v="ROFOR SRL"/>
        <s v="DISTRIBUCIONES ALDANA S.R.L."/>
        <s v="EL CHILENO S.R.L."/>
        <s v="VEGA ANA ROSA"/>
        <s v="ALVAREZ DISTRIBUCIONES S.R.L."/>
        <s v="CASA BERCHIA DE BERMUDDEZ Y CHIAVAZZA"/>
        <s v="CABRAL MAYORISTA S.R.L"/>
        <s v="R. JAIME E HIJOS S.R.L."/>
        <s v="HERNANDEZ JOSE LUIS"/>
        <s v="LA NOBLEZA S.R.L."/>
        <s v="LIÑAN LINARES S.R.L."/>
        <s v="SUPERMERCADOS MAYOR S.A."/>
        <s v="MANZANAR S.R.L"/>
        <s v="MAXICOMPRAS S.A. "/>
        <s v="EDUFRANSER ALIMENTARIA SA"/>
        <s v="UN RINCON DE NAPOLI S R L"/>
        <s v="FRIO DISTRIBUCIONES S.R.L."/>
        <s v="FRIGHOOR S. A. S."/>
        <s v="REPRESENTACIONES COMERCIALES ABDALA LUIS JOSE S.A"/>
        <s v="SAUDA S R L"/>
        <s v="DESARROLLOS COMERCIALES S.R.L."/>
        <s v="SUAREZ ANALIA PAOLA"/>
        <s v="ASOCIADOS L Y M S.R.L."/>
        <s v="ARCE MARIA MERCEDES"/>
        <s v="COMERCIALIZADORA CENTRAL S.R.L."/>
        <s v="JR DISTRIBUCIONES SRL"/>
        <s v="VIENTO ANDINO S.A."/>
        <s v="GRUPO SAKIM S.A."/>
        <s v="ARTURO LUIS HERNAN"/>
        <s v="SERVIEXPRESS SRL"/>
        <s v="DISTRIBUIDORA PIAZZE S.R.L."/>
        <s v="L.G. OESTE CONGELADOS S.A.S."/>
        <s v="KUCHEN FERNANDO ANDRES"/>
        <s v="OVALO S.A."/>
        <s v="DISTRIBUIDORA CORDOBA S.R.L."/>
        <s v="RODRIGUEZ SARA PATRICIA"/>
        <s v="RIOS WALTER ARIEL"/>
        <s v="AUTOSERVICIO LA YUNTA S.A"/>
        <s v="MANCINO EDUARDO ALBERTO"/>
        <s v="PELLIZZER PABLO SEBASTIAN"/>
        <s v="PIETROFARMA SRL"/>
        <s v="JESUS GUIRAO LAG E HIJOS S.R.L."/>
        <s v="DISOL S.R.L."/>
        <s v="CEREALES EL DIAMANTE S R L"/>
        <s v="RAMON BUJ E HIJOS S.A.C.I.A."/>
        <s v="NUEVO MASOL MAYORISTA SOCIEDAD ANONIMA"/>
        <s v="LORSANI SRL"/>
        <s v="PABCAR S.A."/>
        <s v="IANARDI WALTER"/>
        <s v="DON MARTIN S R L"/>
        <s v="KLOR CONSTANZA"/>
        <s v="LUCONI S.R.L."/>
        <s v="JOSE ALBERTO TOSCANO SA"/>
        <s v="BRANDING TEAM S.A."/>
        <s v="GONZALEZ GABRIEL ANDRES"/>
        <s v="CARLOS DE PUERTA S.R.L. "/>
        <s v="ALLCOR S.A."/>
        <s v="TINEM S.A."/>
        <s v="FREE DISTRIBUCIONES S.R.L."/>
        <s v="CALERO DALMA ANDREA"/>
        <s v="M. RONCATO E HIJOS S. A."/>
        <s v="DON EMILIO S R L"/>
        <s v="DISTRIBUIDORA BAEZA S.R.L."/>
        <s v="MENSEGUE SERGIO ARMANDO"/>
        <s v="COLETTI RENATA"/>
        <s v="BARALE HNOS S A"/>
        <s v="CIPRIANO VICTOR "/>
        <s v="EXITPROG SOCIEDAD POR ACCIONES SIMPLIFICADA"/>
        <s v="PADIN KEVIN ELIAS"/>
        <s v="SAFFADI ALEJANDRO YAMIL"/>
        <s v="ANSELMI Y CIA. S.R.L."/>
        <s v="DISVESA S A"/>
        <s v="V&amp;D FOOD S.A.S."/>
        <s v="SIMPLE DISTRIBUCIONES S.R.L."/>
        <s v="C Y F DISTRIBUCIONES S A"/>
        <s v="STEFANICH SILVIO GERMAN"/>
        <s v="COOP. DE PROV. CRED. DE SUPER.AUTO.Y ALM M. ALMACOR"/>
        <s v="RESSA IVAN"/>
        <s v="FLUCK NICOLAS"/>
        <s v="DISTRIBUIDORA REDOLFI S R L "/>
        <s v="PANERO PABLO RAMON"/>
        <s v="CAREGLIO HERMANOS S.R.L."/>
        <s v="FISSGAR S.A."/>
        <s v="ESTEMATI S.A.S. S. A. S."/>
        <s v="ALONSO J. Y JOSE A. REDOLFI S.R.L."/>
        <s v="BETTER CATERING SA "/>
        <s v="TRANSPORTES J C A S A"/>
        <s v="PARQUE DE LA COSTA SOCIEDAD ANONIMA"/>
        <s v="FOODGOL S.R.L."/>
        <s v="CHUSPITA MARTIN DANIEL"/>
        <s v="CASUT FRIJON MATIAS EZEQUIEL"/>
        <s v="PISANIELLO IVO"/>
        <s v="RUANO ROJAS GREISSI"/>
        <s v="AXIS LOGISTICA S.A."/>
        <s v="RECATUME ADALBERTO OSCAR"/>
        <s v="PROMOFIESTA MAR DEL PLATA SRL"/>
        <s v="ROSARIO BURGUER SRL"/>
        <s v="PROMO FIESTA LA PLATA S.R.L."/>
        <s v="PADRONE MONICA RAQUEL"/>
        <s v="VALDEZ MARIA ALEJANDRA"/>
        <s v="RAMIREZ NEYRA LUIS ALBERTO"/>
        <s v="PROMO BURGUER SRL"/>
        <s v="TIANI KARINA BEATRIZ"/>
        <s v="DISTRIBUIDORA BLANCALUNA S A"/>
        <s v="MR TASTY LOMAS S.A."/>
        <s v="CORRA PABLO LUIS"/>
        <s v="PARODI SOCIEDAD DE RESPONSABILIDAD LIMITADA"/>
        <s v="SALINAS RUBEN ALBERTO"/>
        <s v="DISTRIBUCIONES LA ESTRELLA SOCIEDAD DE HECHO"/>
        <s v="CHAVEZ JUAN CARLOS"/>
        <s v="NUEVO PREMIUM S.A. "/>
        <s v="DAVID ROSENTAL E HIJOS S.A.C.I"/>
        <s v="FROZEN SUPPLIER SRL"/>
        <s v="CENTRO DISTRIBUCION JUNIN S.A."/>
        <s v="ROSARIO COMPRAS AGRUPACION DE COLABORACION"/>
        <s v="DICAPO CHACABUCO S.R.L."/>
        <s v="CENTRO DE DISTRIBUCION CHACABUCO SA"/>
        <s v="DISARIO TRADING S.A."/>
        <s v="FERRAN CESAR ALBERTO"/>
        <s v="CENTRO DE DISTRIBUCION 9 DE JULIO SRL"/>
        <s v="NEGELI MARCELO ARMANDO"/>
        <s v="GONZALEZ LUIS GUSTAVO Y BINASCHI MARCELO RUBEN SOC"/>
        <s v="DOMINGUEZ DANIEL EDUARDO"/>
        <s v="FRIORED S.R.L."/>
        <s v="CARNICERIAS INTEGRADAS DE ROSARIO SRL"/>
        <s v="CENTRO DE DISTRIBUCION PERGAMINO SA"/>
        <s v="MUTUALIDAD DE OBR. SOC. PARA EMPL DE LA CIA SWIFT"/>
        <s v="BATTISTIN DISTRIBUCIONES S.R.L"/>
        <s v="OAB DISTRIBUIDORA S. CAP I SECC IV                "/>
        <s v="ELNATAM S.A.S."/>
        <s v="LACTEOS SAN JOSE SRL"/>
        <s v="HORIZONTE DISTRIBUCIONES S.R.L."/>
        <s v="JOSE OMAR DI ZEO SRL "/>
        <s v="MANA DISTRIBUCIONES S.A."/>
        <s v="FENOVO S.A."/>
        <s v="JIANA DISTRIBUCIONES S.R.L."/>
        <s v="LUSSA CRISTIAN ARIEL"/>
        <s v="TODO HELADO S.R.L."/>
        <s v="CENTER S.R.L."/>
        <s v="MAGNO AR S. A."/>
        <s v="LA AGRICOLA REGIONAL COOPERATIVA LIMITADA"/>
        <s v="SUPERMERCADOS MALAMBO S.A. "/>
        <s v="BASSO REPRESENTACIONES SRL"/>
        <s v="RAUSCH PABLO JAVIER"/>
        <s v="JUAN CARLOS MAIOCCO S.R.L."/>
        <s v="LIBERTAD S.A."/>
        <s v="RED VITAL AGRUPACION DE COLABORACION"/>
        <s v="CERATTI HNOS DISTRIBUCIONES S.A.S."/>
        <s v="HORACIO MARZAL E HIJOS S.R.L."/>
        <s v="MULLER EMILIANO ANDRES"/>
        <s v="DISTRIBUIDORA ANTARTIDA S.A."/>
        <s v="CASTETS Y TANINO SRL"/>
        <s v="LENARDUZZI LUCAS"/>
        <s v="RODRIGUEZ ALVARO FERNANDO"/>
        <s v="CASSINA MAURICIO ROGELIO"/>
        <s v="KEMMERER CARLOS DANIEL"/>
        <s v="CORMORAN S A SERVICIO MAYORISTA "/>
        <s v="ZORZON FABIAN BAUTISTA"/>
        <s v="POLAR DISTRIBUCIONES S.A. "/>
        <s v="RUHL RICARDO RUBEN"/>
        <s v="DON HIGINIO S.R.L."/>
        <s v="MUY BARATO SA"/>
        <s v="DISPROAL S R L"/>
        <s v="DISTRIBUIDORA MAJOIS S. R. L."/>
        <s v="GARCIA VARELA MARIO JORGE"/>
        <s v="SAUBIDET ECHAZU AYELEN"/>
        <s v="T&amp;T DISTRIBUCIONES S.R.L."/>
        <s v="EVOLUTION LIFE SRL"/>
        <s v="STURTZ HECTOR SANTIAGO"/>
        <s v="MISTURA S A"/>
        <s v="BONANZEA OSCAR ANTONIO"/>
        <s v="BUEN SOL SOCIEDAD DE RESPONSABILIDAD LIMITADA"/>
        <s v="EL INDIO S.R.L."/>
        <s v="LA LUGUENZE S.A"/>
        <s v="ALVAREZ MARIELA ANA LIA"/>
        <s v="CABAÑA LOS PAISANITOS S.R.L."/>
        <s v="ALBERDI S.A."/>
        <s v="AUTOSERVICIO CAPO SA"/>
        <s v="DISTRIBUIDORA VIDT SRL"/>
        <s v="EL OBRERO S.A."/>
        <s v="GERALA MARIO ERNESTO"/>
        <s v="CAMINO DEL INCA SRL"/>
        <s v="DAMESCO S.A."/>
        <s v="CATERING DE ALTURA S.A.S. "/>
        <s v="ABRAHAM SERGIO HORACIO"/>
        <s v="CASTILLO LEYTON ZULMA MONICA"/>
        <s v="MAINA ALIMENTOS SRL"/>
        <s v="CARFILA SRL"/>
        <s v="PACCI HUGO FERNANDO"/>
        <s v="HIPERMAYORISTA ATLAS S.R.L."/>
        <s v="SIDHU S.R.L "/>
        <s v="DE MARCO SANDRA DEL ROSARIO"/>
        <s v="MAMPRIN Y DE LA TORRE SRL"/>
        <s v="HARO RODRIGUEZ SOFIA"/>
        <s v="RIVERO FRANCISCO JAVIER"/>
        <s v="TRANSABRIL S.A."/>
        <s v="SHARE OUT  S.R.L."/>
        <s v="PUNTO DE VENTA S.R.L."/>
        <s v="MORESCHINI LEONARDO DAVID"/>
        <s v="MANLLA LEANDRO GERMAN"/>
        <s v="VICTOR TIVANO E HIJOS S.R.L."/>
        <s v="TIMA S.R.L."/>
        <s v="BARRIONUEVO CESAR ALEJANDRO"/>
        <s v="AUTOSERVICIO SAN RAMON SRL"/>
        <s v="DISTRIBUIDORA FAR-PEP SOCIEDAD DE HECHO"/>
        <s v="DISMAR SRL"/>
        <s v="MERCON S.R.L"/>
        <s v="LACTEOS CATAMARCA SRL"/>
        <s v="MYGRA S. R. L. "/>
        <s v="L-D DISTRIBUCIONES SRL"/>
        <s v="DEPOT EXPRESS S.R.L"/>
        <s v="PILONI ENRIQUE GUSTAVO"/>
        <s v="MIMEN SRL"/>
        <s v="ECONOR S.R.L."/>
        <s v="OMAR GUTIÉRREZ E HIJOS SRL"/>
        <s v="AVICOLA SANTA ANA SOCIEDAD ANONIMA"/>
        <s v="DINI Y CIA. S.R.L."/>
        <s v="J E M A N SRL"/>
        <s v="CALIFORNIA S.A."/>
        <s v="DEL LITORAL DISTRIBUCIONES S.A"/>
        <s v="MIGUEL ANGEL RAMONDA E HIJOS SA"/>
        <s v="EL CONDOR S.R.L."/>
        <s v="BADARACCO HNOS SA"/>
        <s v="QUIRELLI MARIO FABIAN"/>
        <s v="AVALOS JOSE"/>
        <s v="LA ALEMANA S.R.L."/>
        <s v="AVALOS JABIER FELIMER HEBARISTO"/>
        <s v="ALBERTO HALDEMANN S.A."/>
        <s v="FIDANI WALTER DANIEL"/>
        <s v="FUNCIONAL LEON S.A."/>
        <s v="KOHN FELIPE EDGARDO"/>
        <s v="LIBARDI CARLOS HECTOR"/>
        <s v="DISTRIBUIDORA GUERRA HNOS. SRL"/>
        <s v="SUPERMERCADO REMO S.R.L."/>
        <s v="JAIME HECTOR LUIS"/>
        <s v="FIDANI PATRICIA ELIZABETH"/>
        <s v="CASA VELAZ SOCIEDAD DE RESPONSABILIDAD LIMITADA "/>
        <s v="EL PAJARITO S.A."/>
        <s v="TENTOLINI LEONARDO GUSTAVO"/>
        <s v="COTO CENTRO INTEGRAL DE COMERCIALIZACON  S A"/>
        <s v="KILBEL S.A."/>
        <s v="SUPERMERCADOS PETRELLI S.A - EN FORMACION-"/>
        <s v="SUPERMERCADO EL TUNEL SA"/>
        <s v="LUCIO DI SANTO SA"/>
        <s v="LA GALLEGA SUPERMERCADOS S.A."/>
        <s v="CENCOSUD S A"/>
        <s v="CAFE AMERICA MAYORISTA S.A."/>
        <s v="DAVID OSCAR RUBEN "/>
        <s v="DINOSAURIO S.A."/>
        <s v="AIELLO SUPERMERCADOS S.A."/>
        <s v="MILLAN S.A."/>
        <s v="SUCESION DE BLANCH BENJAMIN LUIS"/>
        <s v="DELFIN S.A."/>
        <s v="TADICOR S.A."/>
        <s v="MARIANO S.A."/>
        <s v="SUPERIMPERIO S.A."/>
        <s v="MIGUEL BECERRA S.A."/>
        <s v="MIGUEL ANGEL CHIARAVIGLIO Y CIA SRL "/>
        <s v="CYRE SA"/>
        <s v="DAEDAZ S.A."/>
        <s v="DANODIS S.A."/>
        <s v="GINIAMO SOCIEDAD ANONIMA"/>
        <s v="JOSIMAR S.A."/>
        <s v="RICARDO NINI S.A."/>
        <s v="SUPERMERCADOS MAYORISTAS MAKRO SA"/>
        <s v="SUPERMERCADOS MAY. YAGUAR S.A."/>
        <s v="MAYCAR S.A."/>
        <s v="MAXICONSUMO S.A."/>
        <s v="AUTOSERVICIO MAY. DIARCO S.A."/>
        <s v="DELIVERY HERO E-COMMERCE S. A."/>
        <s v="S A IMPORTADORA Y EXPORTADORA DE LA PATAGONIA"/>
        <s v="INC SOCIEDAD ANONIMA"/>
        <s v="DIA ARGENTINA S.A."/>
        <s v="DORINKA S.R.L."/>
        <s v="MILHEM HERMANOS SOC DE HECHO " u="1"/>
        <s v="SERNICK SA" u="1"/>
      </sharedItems>
    </cacheField>
    <cacheField name="C - KGS " numFmtId="0">
      <sharedItems containsSemiMixedTypes="0" containsString="0" containsNumber="1" minValue="-48" maxValue="1435.2"/>
    </cacheField>
    <cacheField name="C - COMPRADOR" numFmtId="0">
      <sharedItems containsSemiMixedTypes="0" containsString="0" containsNumber="1" containsInteger="1" minValue="0" maxValue="1"/>
    </cacheField>
    <cacheField name="C - NO COMPRADOR" numFmtId="0">
      <sharedItems containsSemiMixedTypes="0" containsString="0" containsNumber="1" containsInteger="1" minValue="0" maxValue="1"/>
    </cacheField>
    <cacheField name="P - KGS " numFmtId="0">
      <sharedItems containsSemiMixedTypes="0" containsString="0" containsNumber="1" minValue="-9.8000000000000007" maxValue="4752.9999999999936"/>
    </cacheField>
    <cacheField name="P - COMPRADOR" numFmtId="0">
      <sharedItems containsSemiMixedTypes="0" containsString="0" containsNumber="1" containsInteger="1" minValue="0" maxValue="1"/>
    </cacheField>
    <cacheField name="P - NO COMPRADOR" numFmtId="0">
      <sharedItems containsSemiMixedTypes="0" containsString="0" containsNumber="1" containsInteger="1" minValue="0" maxValue="1"/>
    </cacheField>
    <cacheField name="V - KGS " numFmtId="0">
      <sharedItems containsSemiMixedTypes="0" containsString="0" containsNumber="1" minValue="-112.8" maxValue="1511.4000000000005"/>
    </cacheField>
    <cacheField name="V - COMPRADOR" numFmtId="0">
      <sharedItems containsSemiMixedTypes="0" containsString="0" containsNumber="1" containsInteger="1" minValue="0" maxValue="1"/>
    </cacheField>
    <cacheField name="V - NO COMPRADOR" numFmtId="0">
      <sharedItems containsSemiMixedTypes="0" containsString="0" containsNumber="1" containsInteger="1" minValue="0" maxValue="1"/>
    </cacheField>
    <cacheField name="RB - KGS " numFmtId="0">
      <sharedItems containsSemiMixedTypes="0" containsString="0" containsNumber="1" minValue="-18.72" maxValue="13855.68"/>
    </cacheField>
    <cacheField name="RB - COMPRADOR" numFmtId="0">
      <sharedItems containsSemiMixedTypes="0" containsString="0" containsNumber="1" containsInteger="1" minValue="0" maxValue="1"/>
    </cacheField>
    <cacheField name="RB - NO COMPRADOR" numFmtId="0">
      <sharedItems containsSemiMixedTypes="0" containsString="0" containsNumber="1" containsInteger="1" minValue="0" maxValue="1"/>
    </cacheField>
    <cacheField name="MILA - KGS " numFmtId="0">
      <sharedItems containsSemiMixedTypes="0" containsString="0" containsNumber="1" minValue="-19.2" maxValue="2020.8000000000029"/>
    </cacheField>
    <cacheField name="MILA - COMPRADOR" numFmtId="0">
      <sharedItems containsSemiMixedTypes="0" containsString="0" containsNumber="1" containsInteger="1" minValue="0" maxValue="1"/>
    </cacheField>
    <cacheField name="MILA - NO COMPRADOR" numFmtId="0">
      <sharedItems containsSemiMixedTypes="0" containsString="0" containsNumber="1" containsInteger="1" minValue="0" maxValue="1"/>
    </cacheField>
    <cacheField name="UNT - KGS " numFmtId="0">
      <sharedItems containsSemiMixedTypes="0" containsString="0" containsNumber="1" minValue="-4.32" maxValue="1481.7600000000002"/>
    </cacheField>
    <cacheField name="UNT - COMPRADOR" numFmtId="0">
      <sharedItems containsSemiMixedTypes="0" containsString="0" containsNumber="1" containsInteger="1" minValue="0" maxValue="1"/>
    </cacheField>
    <cacheField name="UNT - NO COMPRADOR" numFmtId="0">
      <sharedItems containsSemiMixedTypes="0" containsString="0" containsNumber="1" containsInteger="1" minValue="0" maxValue="1"/>
    </cacheField>
    <cacheField name="ATUN - KGS" numFmtId="0">
      <sharedItems containsSemiMixedTypes="0" containsString="0" containsNumber="1" minValue="-81.599999999999994" maxValue="1615.68"/>
    </cacheField>
    <cacheField name="ATUN - COMPRADOR" numFmtId="0">
      <sharedItems containsSemiMixedTypes="0" containsString="0" containsNumber="1" containsInteger="1" minValue="0" maxValue="1"/>
    </cacheField>
    <cacheField name="ATUN - NO COMPRADOR" numFmtId="0">
      <sharedItems containsSemiMixedTypes="0" containsString="0" containsNumber="1" containsInteger="1" minValue="0" maxValue="1"/>
    </cacheField>
    <cacheField name="Cobertura (C)" numFmtId="0" formula="'C - COMPRADOR'/ ('C - COMPRADOR'+'C - NO COMPRADOR')" databaseField="0"/>
    <cacheField name="Cobertura (P)" numFmtId="0" formula="'P - COMPRADOR'/('P - COMPRADOR'+'P - NO COMPRADOR')" databaseField="0"/>
    <cacheField name="Cobertura (V)" numFmtId="0" formula="'V - COMPRADOR'/('V - COMPRADOR'+'V - NO COMPRADOR')" databaseField="0"/>
    <cacheField name="Cobertura (RB)" numFmtId="0" formula="'RB - COMPRADOR'/('RB - COMPRADOR'+'RB - NO COMPRADOR')" databaseField="0"/>
    <cacheField name="Cobertura (UNT) " numFmtId="0" formula="'UNT - COMPRADOR'/('UNT - COMPRADOR'+'UNT - NO COMPRADOR')" databaseField="0"/>
    <cacheField name="Cobertura (Milanesitas)" numFmtId="0" formula="'MILA - COMPRADOR'/ ('MILA - COMPRADOR'+'MILA - NO COMPRADOR')" databaseField="0"/>
    <cacheField name="Cobertura (ATUN)" numFmtId="0" formula="'ATUN - COMPRADOR'/('ATUN - COMPRADOR'+'ATUN - NO COMPRADOR'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4">
  <r>
    <x v="0"/>
    <n v="100077477"/>
    <x v="0"/>
    <n v="100086577"/>
    <x v="0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0"/>
    <n v="100077477"/>
    <x v="0"/>
    <n v="100065731"/>
    <x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0"/>
    <n v="100077477"/>
    <x v="0"/>
    <n v="100010095"/>
    <x v="2"/>
    <n v="14.399999999999999"/>
    <n v="1"/>
    <n v="0"/>
    <n v="0"/>
    <n v="0"/>
    <n v="1"/>
    <n v="15"/>
    <n v="1"/>
    <n v="0"/>
    <n v="28.799999999999997"/>
    <n v="1"/>
    <n v="0"/>
    <n v="0"/>
    <n v="0"/>
    <n v="1"/>
    <n v="0"/>
    <n v="0"/>
    <n v="1"/>
    <n v="0"/>
    <n v="0"/>
    <n v="1"/>
  </r>
  <r>
    <x v="0"/>
    <n v="100077477"/>
    <x v="0"/>
    <n v="100079173"/>
    <x v="3"/>
    <n v="0"/>
    <n v="0"/>
    <n v="1"/>
    <n v="196"/>
    <n v="1"/>
    <n v="0"/>
    <n v="0"/>
    <n v="0"/>
    <n v="1"/>
    <n v="403.2"/>
    <n v="1"/>
    <n v="0"/>
    <n v="0"/>
    <n v="0"/>
    <n v="1"/>
    <n v="75.600000000000009"/>
    <n v="1"/>
    <n v="0"/>
    <n v="163.19999999999999"/>
    <n v="1"/>
    <n v="0"/>
  </r>
  <r>
    <x v="0"/>
    <n v="100077477"/>
    <x v="0"/>
    <n v="100079594"/>
    <x v="4"/>
    <n v="0"/>
    <n v="0"/>
    <n v="1"/>
    <n v="0"/>
    <n v="0"/>
    <n v="1"/>
    <n v="0"/>
    <n v="0"/>
    <n v="1"/>
    <n v="0"/>
    <n v="0"/>
    <n v="1"/>
    <n v="24"/>
    <n v="1"/>
    <n v="0"/>
    <n v="0"/>
    <n v="0"/>
    <n v="1"/>
    <n v="0"/>
    <n v="0"/>
    <n v="1"/>
  </r>
  <r>
    <x v="0"/>
    <n v="100077477"/>
    <x v="0"/>
    <n v="100078788"/>
    <x v="5"/>
    <n v="0"/>
    <n v="0"/>
    <n v="1"/>
    <n v="588"/>
    <n v="1"/>
    <n v="0"/>
    <n v="33.6"/>
    <n v="1"/>
    <n v="0"/>
    <n v="0"/>
    <n v="0"/>
    <n v="1"/>
    <n v="0"/>
    <n v="0"/>
    <n v="1"/>
    <n v="129.60000000000002"/>
    <n v="1"/>
    <n v="0"/>
    <n v="0"/>
    <n v="0"/>
    <n v="1"/>
  </r>
  <r>
    <x v="0"/>
    <n v="100077477"/>
    <x v="0"/>
    <n v="100084185"/>
    <x v="6"/>
    <n v="0"/>
    <n v="0"/>
    <n v="1"/>
    <n v="49"/>
    <n v="1"/>
    <n v="0"/>
    <n v="19.2"/>
    <n v="1"/>
    <n v="0"/>
    <n v="70.8"/>
    <n v="1"/>
    <n v="0"/>
    <n v="0"/>
    <n v="0"/>
    <n v="1"/>
    <n v="21.6"/>
    <n v="1"/>
    <n v="0"/>
    <n v="32.64"/>
    <n v="1"/>
    <n v="0"/>
  </r>
  <r>
    <x v="0"/>
    <n v="100077477"/>
    <x v="0"/>
    <n v="100087922"/>
    <x v="7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0"/>
    <n v="100077477"/>
    <x v="0"/>
    <n v="100071741"/>
    <x v="8"/>
    <n v="0"/>
    <n v="0"/>
    <n v="1"/>
    <n v="0"/>
    <n v="0"/>
    <n v="1"/>
    <n v="9.6"/>
    <n v="1"/>
    <n v="0"/>
    <n v="33.6"/>
    <n v="1"/>
    <n v="0"/>
    <n v="0"/>
    <n v="0"/>
    <n v="1"/>
    <n v="6.48"/>
    <n v="1"/>
    <n v="0"/>
    <n v="0"/>
    <n v="0"/>
    <n v="1"/>
  </r>
  <r>
    <x v="0"/>
    <n v="100077477"/>
    <x v="0"/>
    <n v="100075448"/>
    <x v="9"/>
    <n v="0"/>
    <n v="0"/>
    <n v="1"/>
    <n v="0"/>
    <n v="0"/>
    <n v="1"/>
    <n v="0"/>
    <n v="0"/>
    <n v="1"/>
    <n v="24"/>
    <n v="1"/>
    <n v="0"/>
    <n v="24"/>
    <n v="1"/>
    <n v="0"/>
    <n v="0"/>
    <n v="0"/>
    <n v="1"/>
    <n v="0"/>
    <n v="0"/>
    <n v="1"/>
  </r>
  <r>
    <x v="0"/>
    <n v="100077477"/>
    <x v="0"/>
    <n v="100089232"/>
    <x v="10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0"/>
    <n v="100041217"/>
    <x v="1"/>
    <n v="100073953"/>
    <x v="11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0"/>
    <n v="100041217"/>
    <x v="1"/>
    <n v="100081405"/>
    <x v="12"/>
    <n v="0"/>
    <n v="0"/>
    <n v="1"/>
    <n v="392"/>
    <n v="1"/>
    <n v="0"/>
    <n v="0"/>
    <n v="0"/>
    <n v="1"/>
    <n v="0"/>
    <n v="0"/>
    <n v="1"/>
    <n v="48"/>
    <n v="1"/>
    <n v="0"/>
    <n v="0"/>
    <n v="0"/>
    <n v="1"/>
    <n v="-16.32"/>
    <n v="0"/>
    <n v="1"/>
  </r>
  <r>
    <x v="0"/>
    <n v="100041217"/>
    <x v="1"/>
    <n v="100066079"/>
    <x v="13"/>
    <n v="24"/>
    <n v="1"/>
    <n v="0"/>
    <n v="98"/>
    <n v="1"/>
    <n v="0"/>
    <n v="72"/>
    <n v="1"/>
    <n v="0"/>
    <n v="1456.8"/>
    <n v="1"/>
    <n v="0"/>
    <n v="96"/>
    <n v="1"/>
    <n v="0"/>
    <n v="172.8"/>
    <n v="1"/>
    <n v="0"/>
    <n v="522.24"/>
    <n v="1"/>
    <n v="0"/>
  </r>
  <r>
    <x v="0"/>
    <n v="100041217"/>
    <x v="1"/>
    <n v="100041131"/>
    <x v="14"/>
    <n v="0"/>
    <n v="0"/>
    <n v="1"/>
    <n v="980.00000000000011"/>
    <n v="1"/>
    <n v="0"/>
    <n v="0"/>
    <n v="0"/>
    <n v="1"/>
    <n v="0"/>
    <n v="0"/>
    <n v="1"/>
    <n v="0"/>
    <n v="0"/>
    <n v="1"/>
    <n v="0"/>
    <n v="0"/>
    <n v="1"/>
    <n v="0"/>
    <n v="0"/>
    <n v="1"/>
  </r>
  <r>
    <x v="0"/>
    <n v="100041217"/>
    <x v="1"/>
    <n v="100012634"/>
    <x v="15"/>
    <n v="0"/>
    <n v="0"/>
    <n v="1"/>
    <n v="78.400000000000006"/>
    <n v="1"/>
    <n v="0"/>
    <n v="5.4"/>
    <n v="1"/>
    <n v="0"/>
    <n v="42"/>
    <n v="1"/>
    <n v="0"/>
    <n v="0"/>
    <n v="0"/>
    <n v="1"/>
    <n v="34.56"/>
    <n v="1"/>
    <n v="0"/>
    <n v="0"/>
    <n v="0"/>
    <n v="1"/>
  </r>
  <r>
    <x v="0"/>
    <n v="100041217"/>
    <x v="1"/>
    <n v="100049700"/>
    <x v="16"/>
    <n v="0"/>
    <n v="0"/>
    <n v="1"/>
    <n v="0"/>
    <n v="0"/>
    <n v="1"/>
    <n v="0"/>
    <n v="0"/>
    <n v="1"/>
    <n v="9.6"/>
    <n v="1"/>
    <n v="0"/>
    <n v="0"/>
    <n v="0"/>
    <n v="1"/>
    <n v="0"/>
    <n v="0"/>
    <n v="1"/>
    <n v="0"/>
    <n v="0"/>
    <n v="1"/>
  </r>
  <r>
    <x v="0"/>
    <n v="100080146"/>
    <x v="2"/>
    <n v="100061718"/>
    <x v="17"/>
    <n v="0"/>
    <n v="0"/>
    <n v="1"/>
    <n v="0"/>
    <n v="0"/>
    <n v="1"/>
    <n v="43.2"/>
    <n v="1"/>
    <n v="0"/>
    <n v="241.92"/>
    <n v="1"/>
    <n v="0"/>
    <n v="0"/>
    <n v="0"/>
    <n v="1"/>
    <n v="77.760000000000005"/>
    <n v="1"/>
    <n v="0"/>
    <n v="0"/>
    <n v="0"/>
    <n v="1"/>
  </r>
  <r>
    <x v="0"/>
    <n v="100080146"/>
    <x v="2"/>
    <n v="100067160"/>
    <x v="18"/>
    <n v="0"/>
    <n v="0"/>
    <n v="1"/>
    <n v="0"/>
    <n v="0"/>
    <n v="1"/>
    <n v="102"/>
    <n v="1"/>
    <n v="0"/>
    <n v="288"/>
    <n v="1"/>
    <n v="0"/>
    <n v="0"/>
    <n v="0"/>
    <n v="1"/>
    <n v="0"/>
    <n v="0"/>
    <n v="1"/>
    <n v="0"/>
    <n v="0"/>
    <n v="1"/>
  </r>
  <r>
    <x v="0"/>
    <n v="100080146"/>
    <x v="2"/>
    <n v="100025425"/>
    <x v="19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0"/>
    <n v="100080146"/>
    <x v="2"/>
    <n v="100001763"/>
    <x v="20"/>
    <n v="0"/>
    <n v="0"/>
    <n v="1"/>
    <n v="0"/>
    <n v="0"/>
    <n v="1"/>
    <n v="0"/>
    <n v="0"/>
    <n v="1"/>
    <n v="91.199999999999989"/>
    <n v="1"/>
    <n v="0"/>
    <n v="0"/>
    <n v="0"/>
    <n v="1"/>
    <n v="0"/>
    <n v="0"/>
    <n v="1"/>
    <n v="0"/>
    <n v="0"/>
    <n v="1"/>
  </r>
  <r>
    <x v="0"/>
    <n v="100068884"/>
    <x v="3"/>
    <n v="100079808"/>
    <x v="21"/>
    <n v="0"/>
    <n v="0"/>
    <n v="1"/>
    <n v="588"/>
    <n v="1"/>
    <n v="0"/>
    <n v="0"/>
    <n v="0"/>
    <n v="1"/>
    <n v="309.60000000000002"/>
    <n v="1"/>
    <n v="0"/>
    <n v="24"/>
    <n v="1"/>
    <n v="0"/>
    <n v="0"/>
    <n v="0"/>
    <n v="1"/>
    <n v="0"/>
    <n v="0"/>
    <n v="1"/>
  </r>
  <r>
    <x v="0"/>
    <n v="100068884"/>
    <x v="3"/>
    <n v="100069053"/>
    <x v="22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0"/>
    <n v="100068884"/>
    <x v="3"/>
    <n v="100061654"/>
    <x v="23"/>
    <n v="0"/>
    <n v="0"/>
    <n v="1"/>
    <n v="499.8"/>
    <n v="1"/>
    <n v="0"/>
    <n v="0"/>
    <n v="0"/>
    <n v="1"/>
    <n v="1193.76"/>
    <n v="1"/>
    <n v="0"/>
    <n v="0"/>
    <n v="0"/>
    <n v="1"/>
    <n v="0"/>
    <n v="0"/>
    <n v="1"/>
    <n v="0"/>
    <n v="0"/>
    <n v="1"/>
  </r>
  <r>
    <x v="0"/>
    <n v="100088165"/>
    <x v="4"/>
    <n v="100000073"/>
    <x v="24"/>
    <n v="0"/>
    <n v="0"/>
    <n v="1"/>
    <n v="1176"/>
    <n v="1"/>
    <n v="0"/>
    <n v="16.200000000000003"/>
    <n v="1"/>
    <n v="0"/>
    <n v="326.39999999999998"/>
    <n v="1"/>
    <n v="0"/>
    <n v="105.6"/>
    <n v="1"/>
    <n v="0"/>
    <n v="0"/>
    <n v="0"/>
    <n v="1"/>
    <n v="0"/>
    <n v="0"/>
    <n v="1"/>
  </r>
  <r>
    <x v="0"/>
    <n v="100088165"/>
    <x v="4"/>
    <n v="100078580"/>
    <x v="25"/>
    <n v="0"/>
    <n v="0"/>
    <n v="1"/>
    <n v="0"/>
    <n v="0"/>
    <n v="1"/>
    <n v="0"/>
    <n v="0"/>
    <n v="1"/>
    <n v="45.599999999999994"/>
    <n v="1"/>
    <n v="0"/>
    <n v="0"/>
    <n v="0"/>
    <n v="1"/>
    <n v="0"/>
    <n v="0"/>
    <n v="1"/>
    <n v="0"/>
    <n v="0"/>
    <n v="1"/>
  </r>
  <r>
    <x v="0"/>
    <n v="100088165"/>
    <x v="4"/>
    <n v="100080926"/>
    <x v="26"/>
    <n v="0"/>
    <n v="0"/>
    <n v="1"/>
    <n v="0"/>
    <n v="0"/>
    <n v="1"/>
    <n v="108"/>
    <n v="1"/>
    <n v="0"/>
    <n v="929.28"/>
    <n v="1"/>
    <n v="0"/>
    <n v="0"/>
    <n v="0"/>
    <n v="1"/>
    <n v="64.800000000000011"/>
    <n v="1"/>
    <n v="0"/>
    <n v="0"/>
    <n v="0"/>
    <n v="1"/>
  </r>
  <r>
    <x v="0"/>
    <n v="100088165"/>
    <x v="4"/>
    <n v="100077115"/>
    <x v="27"/>
    <n v="0"/>
    <n v="0"/>
    <n v="1"/>
    <n v="0"/>
    <n v="0"/>
    <n v="1"/>
    <n v="0"/>
    <n v="0"/>
    <n v="1"/>
    <n v="312"/>
    <n v="1"/>
    <n v="0"/>
    <n v="0"/>
    <n v="0"/>
    <n v="1"/>
    <n v="0"/>
    <n v="0"/>
    <n v="1"/>
    <n v="0"/>
    <n v="0"/>
    <n v="1"/>
  </r>
  <r>
    <x v="0"/>
    <n v="100088165"/>
    <x v="4"/>
    <n v="100078578"/>
    <x v="28"/>
    <n v="38.4"/>
    <n v="1"/>
    <n v="0"/>
    <n v="0"/>
    <n v="0"/>
    <n v="1"/>
    <n v="32.400000000000006"/>
    <n v="1"/>
    <n v="0"/>
    <n v="118.8"/>
    <n v="1"/>
    <n v="0"/>
    <n v="0"/>
    <n v="0"/>
    <n v="1"/>
    <n v="0"/>
    <n v="0"/>
    <n v="1"/>
    <n v="0"/>
    <n v="0"/>
    <n v="1"/>
  </r>
  <r>
    <x v="0"/>
    <n v="100088165"/>
    <x v="4"/>
    <n v="100021337"/>
    <x v="29"/>
    <n v="0"/>
    <n v="0"/>
    <n v="1"/>
    <n v="9.8000000000000007"/>
    <n v="1"/>
    <n v="0"/>
    <n v="40.799999999999997"/>
    <n v="1"/>
    <n v="0"/>
    <n v="9.1199999999999992"/>
    <n v="1"/>
    <n v="0"/>
    <n v="0"/>
    <n v="0"/>
    <n v="1"/>
    <n v="0"/>
    <n v="0"/>
    <n v="1"/>
    <n v="0"/>
    <n v="0"/>
    <n v="1"/>
  </r>
  <r>
    <x v="1"/>
    <n v="100088149"/>
    <x v="5"/>
    <n v="100002239"/>
    <x v="30"/>
    <n v="0"/>
    <n v="0"/>
    <n v="1"/>
    <n v="0"/>
    <n v="0"/>
    <n v="1"/>
    <n v="0"/>
    <n v="0"/>
    <n v="1"/>
    <n v="261.60000000000002"/>
    <n v="1"/>
    <n v="0"/>
    <n v="408"/>
    <n v="1"/>
    <n v="0"/>
    <n v="0"/>
    <n v="0"/>
    <n v="1"/>
    <n v="0"/>
    <n v="0"/>
    <n v="1"/>
  </r>
  <r>
    <x v="1"/>
    <n v="100088149"/>
    <x v="5"/>
    <n v="100024103"/>
    <x v="31"/>
    <n v="0"/>
    <n v="0"/>
    <n v="1"/>
    <n v="0"/>
    <n v="0"/>
    <n v="1"/>
    <n v="0"/>
    <n v="0"/>
    <n v="1"/>
    <n v="18.72"/>
    <n v="1"/>
    <n v="0"/>
    <n v="0"/>
    <n v="0"/>
    <n v="1"/>
    <n v="0"/>
    <n v="0"/>
    <n v="1"/>
    <n v="0"/>
    <n v="0"/>
    <n v="1"/>
  </r>
  <r>
    <x v="1"/>
    <n v="100088149"/>
    <x v="5"/>
    <n v="100086135"/>
    <x v="32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89.76"/>
    <n v="1"/>
    <n v="0"/>
  </r>
  <r>
    <x v="1"/>
    <n v="100088149"/>
    <x v="5"/>
    <n v="100077830"/>
    <x v="33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1"/>
    <n v="100088149"/>
    <x v="5"/>
    <n v="100066030"/>
    <x v="34"/>
    <n v="33.6"/>
    <n v="1"/>
    <n v="0"/>
    <n v="0"/>
    <n v="0"/>
    <n v="1"/>
    <n v="15.6"/>
    <n v="1"/>
    <n v="0"/>
    <n v="64.8"/>
    <n v="1"/>
    <n v="0"/>
    <n v="0"/>
    <n v="0"/>
    <n v="1"/>
    <n v="0"/>
    <n v="0"/>
    <n v="1"/>
    <n v="0"/>
    <n v="0"/>
    <n v="1"/>
  </r>
  <r>
    <x v="1"/>
    <n v="100088149"/>
    <x v="5"/>
    <n v="100085622"/>
    <x v="35"/>
    <n v="0"/>
    <n v="0"/>
    <n v="1"/>
    <n v="0"/>
    <n v="0"/>
    <n v="1"/>
    <n v="0"/>
    <n v="0"/>
    <n v="1"/>
    <n v="24"/>
    <n v="1"/>
    <n v="0"/>
    <n v="0"/>
    <n v="0"/>
    <n v="1"/>
    <n v="0"/>
    <n v="0"/>
    <n v="1"/>
    <n v="0"/>
    <n v="0"/>
    <n v="1"/>
  </r>
  <r>
    <x v="1"/>
    <n v="100088149"/>
    <x v="5"/>
    <n v="100079184"/>
    <x v="36"/>
    <n v="9.6"/>
    <n v="1"/>
    <n v="0"/>
    <n v="49"/>
    <n v="1"/>
    <n v="0"/>
    <n v="0"/>
    <n v="0"/>
    <n v="1"/>
    <n v="0"/>
    <n v="0"/>
    <n v="1"/>
    <n v="24"/>
    <n v="1"/>
    <n v="0"/>
    <n v="0"/>
    <n v="0"/>
    <n v="1"/>
    <n v="0"/>
    <n v="0"/>
    <n v="1"/>
  </r>
  <r>
    <x v="1"/>
    <n v="100088149"/>
    <x v="5"/>
    <n v="100071982"/>
    <x v="37"/>
    <n v="0"/>
    <n v="0"/>
    <n v="1"/>
    <n v="98"/>
    <n v="1"/>
    <n v="0"/>
    <n v="0"/>
    <n v="0"/>
    <n v="1"/>
    <n v="117.6"/>
    <n v="1"/>
    <n v="0"/>
    <n v="43.199999999999996"/>
    <n v="1"/>
    <n v="0"/>
    <n v="21.6"/>
    <n v="1"/>
    <n v="0"/>
    <n v="0"/>
    <n v="0"/>
    <n v="1"/>
  </r>
  <r>
    <x v="1"/>
    <n v="100088149"/>
    <x v="5"/>
    <n v="100001605"/>
    <x v="38"/>
    <n v="19.2"/>
    <n v="1"/>
    <n v="0"/>
    <n v="0"/>
    <n v="0"/>
    <n v="1"/>
    <n v="0"/>
    <n v="0"/>
    <n v="1"/>
    <n v="0"/>
    <n v="0"/>
    <n v="1"/>
    <n v="0"/>
    <n v="0"/>
    <n v="1"/>
    <n v="38.880000000000003"/>
    <n v="1"/>
    <n v="0"/>
    <n v="0"/>
    <n v="0"/>
    <n v="1"/>
  </r>
  <r>
    <x v="1"/>
    <n v="100088149"/>
    <x v="5"/>
    <n v="100082658"/>
    <x v="39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1"/>
    <n v="100088149"/>
    <x v="5"/>
    <n v="100060564"/>
    <x v="40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1"/>
    <n v="100088149"/>
    <x v="5"/>
    <n v="100001635"/>
    <x v="41"/>
    <n v="0"/>
    <n v="0"/>
    <n v="1"/>
    <n v="98"/>
    <n v="1"/>
    <n v="0"/>
    <n v="4.8"/>
    <n v="1"/>
    <n v="0"/>
    <n v="0"/>
    <n v="0"/>
    <n v="1"/>
    <n v="24"/>
    <n v="1"/>
    <n v="0"/>
    <n v="0"/>
    <n v="0"/>
    <n v="1"/>
    <n v="81.599999999999994"/>
    <n v="1"/>
    <n v="0"/>
  </r>
  <r>
    <x v="1"/>
    <n v="100088149"/>
    <x v="5"/>
    <n v="100001862"/>
    <x v="42"/>
    <n v="0"/>
    <n v="0"/>
    <n v="1"/>
    <n v="98"/>
    <n v="1"/>
    <n v="0"/>
    <n v="48.6"/>
    <n v="1"/>
    <n v="0"/>
    <n v="55.919999999999995"/>
    <n v="1"/>
    <n v="0"/>
    <n v="0"/>
    <n v="0"/>
    <n v="1"/>
    <n v="0"/>
    <n v="0"/>
    <n v="1"/>
    <n v="0"/>
    <n v="0"/>
    <n v="1"/>
  </r>
  <r>
    <x v="1"/>
    <n v="100088149"/>
    <x v="5"/>
    <n v="100010026"/>
    <x v="43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1"/>
    <n v="100088149"/>
    <x v="5"/>
    <n v="100064492"/>
    <x v="44"/>
    <n v="48"/>
    <n v="1"/>
    <n v="0"/>
    <n v="49"/>
    <n v="1"/>
    <n v="0"/>
    <n v="0"/>
    <n v="0"/>
    <n v="1"/>
    <n v="96"/>
    <n v="1"/>
    <n v="0"/>
    <n v="24"/>
    <n v="1"/>
    <n v="0"/>
    <n v="43.2"/>
    <n v="1"/>
    <n v="0"/>
    <n v="0"/>
    <n v="0"/>
    <n v="1"/>
  </r>
  <r>
    <x v="1"/>
    <n v="100088149"/>
    <x v="5"/>
    <n v="100084428"/>
    <x v="45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1"/>
    <n v="100088149"/>
    <x v="5"/>
    <n v="100088143"/>
    <x v="46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1"/>
    <n v="100088149"/>
    <x v="5"/>
    <n v="100069360"/>
    <x v="47"/>
    <n v="0"/>
    <n v="0"/>
    <n v="1"/>
    <n v="0"/>
    <n v="0"/>
    <n v="1"/>
    <n v="0"/>
    <n v="0"/>
    <n v="1"/>
    <n v="72"/>
    <n v="1"/>
    <n v="0"/>
    <n v="9.6"/>
    <n v="1"/>
    <n v="0"/>
    <n v="0"/>
    <n v="0"/>
    <n v="1"/>
    <n v="0"/>
    <n v="0"/>
    <n v="1"/>
  </r>
  <r>
    <x v="1"/>
    <n v="100088149"/>
    <x v="5"/>
    <n v="100022632"/>
    <x v="48"/>
    <n v="0"/>
    <n v="0"/>
    <n v="1"/>
    <n v="98"/>
    <n v="1"/>
    <n v="0"/>
    <n v="0"/>
    <n v="0"/>
    <n v="1"/>
    <n v="48"/>
    <n v="1"/>
    <n v="0"/>
    <n v="0"/>
    <n v="0"/>
    <n v="1"/>
    <n v="0"/>
    <n v="0"/>
    <n v="1"/>
    <n v="0"/>
    <n v="0"/>
    <n v="1"/>
  </r>
  <r>
    <x v="1"/>
    <n v="100088149"/>
    <x v="5"/>
    <n v="100089326"/>
    <x v="49"/>
    <n v="115.19999999999999"/>
    <n v="1"/>
    <n v="0"/>
    <n v="147"/>
    <n v="1"/>
    <n v="0"/>
    <n v="0"/>
    <n v="0"/>
    <n v="1"/>
    <n v="139.19999999999999"/>
    <n v="1"/>
    <n v="0"/>
    <n v="38.4"/>
    <n v="1"/>
    <n v="0"/>
    <n v="10.8"/>
    <n v="1"/>
    <n v="0"/>
    <n v="0"/>
    <n v="0"/>
    <n v="1"/>
  </r>
  <r>
    <x v="1"/>
    <n v="100088149"/>
    <x v="5"/>
    <n v="100001380"/>
    <x v="50"/>
    <n v="177.6"/>
    <n v="1"/>
    <n v="0"/>
    <n v="107.80000000000001"/>
    <n v="1"/>
    <n v="0"/>
    <n v="16.200000000000003"/>
    <n v="1"/>
    <n v="0"/>
    <n v="106.79999999999998"/>
    <n v="1"/>
    <n v="0"/>
    <n v="72"/>
    <n v="1"/>
    <n v="0"/>
    <n v="25.92"/>
    <n v="1"/>
    <n v="0"/>
    <n v="16.32"/>
    <n v="1"/>
    <n v="0"/>
  </r>
  <r>
    <x v="1"/>
    <n v="100088149"/>
    <x v="5"/>
    <n v="100089849"/>
    <x v="51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1"/>
    <n v="100079515"/>
    <x v="6"/>
    <n v="100070470"/>
    <x v="52"/>
    <n v="115.19999999999999"/>
    <n v="1"/>
    <n v="0"/>
    <n v="19.600000000000001"/>
    <n v="1"/>
    <n v="0"/>
    <n v="10.8"/>
    <n v="1"/>
    <n v="0"/>
    <n v="134.4"/>
    <n v="1"/>
    <n v="0"/>
    <n v="24"/>
    <n v="1"/>
    <n v="0"/>
    <n v="8.64"/>
    <n v="1"/>
    <n v="0"/>
    <n v="-16.32"/>
    <n v="0"/>
    <n v="1"/>
  </r>
  <r>
    <x v="1"/>
    <n v="100079515"/>
    <x v="6"/>
    <n v="100082270"/>
    <x v="53"/>
    <n v="72"/>
    <n v="1"/>
    <n v="0"/>
    <n v="0"/>
    <n v="0"/>
    <n v="1"/>
    <n v="0"/>
    <n v="0"/>
    <n v="1"/>
    <n v="0"/>
    <n v="0"/>
    <n v="1"/>
    <n v="0"/>
    <n v="0"/>
    <n v="1"/>
    <n v="0"/>
    <n v="0"/>
    <n v="1"/>
    <n v="81.599999999999994"/>
    <n v="1"/>
    <n v="0"/>
  </r>
  <r>
    <x v="1"/>
    <n v="100079515"/>
    <x v="6"/>
    <n v="100080489"/>
    <x v="54"/>
    <n v="24"/>
    <n v="1"/>
    <n v="0"/>
    <n v="0"/>
    <n v="0"/>
    <n v="1"/>
    <n v="10.8"/>
    <n v="1"/>
    <n v="0"/>
    <n v="48"/>
    <n v="1"/>
    <n v="0"/>
    <n v="9.6"/>
    <n v="1"/>
    <n v="0"/>
    <n v="0"/>
    <n v="0"/>
    <n v="1"/>
    <n v="0"/>
    <n v="0"/>
    <n v="1"/>
  </r>
  <r>
    <x v="1"/>
    <n v="100079515"/>
    <x v="6"/>
    <n v="100080370"/>
    <x v="55"/>
    <n v="0"/>
    <n v="0"/>
    <n v="1"/>
    <n v="0"/>
    <n v="0"/>
    <n v="1"/>
    <n v="20.399999999999999"/>
    <n v="1"/>
    <n v="0"/>
    <n v="4.8"/>
    <n v="1"/>
    <n v="0"/>
    <n v="4.8"/>
    <n v="1"/>
    <n v="0"/>
    <n v="0"/>
    <n v="0"/>
    <n v="1"/>
    <n v="16.32"/>
    <n v="1"/>
    <n v="0"/>
  </r>
  <r>
    <x v="1"/>
    <n v="100079515"/>
    <x v="6"/>
    <n v="100083809"/>
    <x v="56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1"/>
    <n v="100079515"/>
    <x v="6"/>
    <n v="100025640"/>
    <x v="57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1"/>
    <n v="100079515"/>
    <x v="6"/>
    <n v="100082448"/>
    <x v="58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1"/>
    <n v="100079515"/>
    <x v="6"/>
    <n v="100079845"/>
    <x v="59"/>
    <n v="52.8"/>
    <n v="1"/>
    <n v="0"/>
    <n v="196"/>
    <n v="1"/>
    <n v="0"/>
    <n v="51.600000000000009"/>
    <n v="1"/>
    <n v="0"/>
    <n v="19.2"/>
    <n v="1"/>
    <n v="0"/>
    <n v="4.8"/>
    <n v="1"/>
    <n v="0"/>
    <n v="12.96"/>
    <n v="1"/>
    <n v="0"/>
    <n v="0"/>
    <n v="0"/>
    <n v="1"/>
  </r>
  <r>
    <x v="1"/>
    <n v="100079515"/>
    <x v="6"/>
    <n v="100002289"/>
    <x v="60"/>
    <n v="0"/>
    <n v="0"/>
    <n v="1"/>
    <n v="0"/>
    <n v="0"/>
    <n v="1"/>
    <n v="0"/>
    <n v="0"/>
    <n v="1"/>
    <n v="9.1199999999999992"/>
    <n v="1"/>
    <n v="0"/>
    <n v="0"/>
    <n v="0"/>
    <n v="1"/>
    <n v="0"/>
    <n v="0"/>
    <n v="1"/>
    <n v="48.96"/>
    <n v="1"/>
    <n v="0"/>
  </r>
  <r>
    <x v="1"/>
    <n v="100079515"/>
    <x v="6"/>
    <n v="100078959"/>
    <x v="61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1"/>
    <n v="100079515"/>
    <x v="6"/>
    <n v="100084977"/>
    <x v="62"/>
    <n v="9.6"/>
    <n v="1"/>
    <n v="0"/>
    <n v="19.600000000000001"/>
    <n v="1"/>
    <n v="0"/>
    <n v="0"/>
    <n v="0"/>
    <n v="1"/>
    <n v="0"/>
    <n v="0"/>
    <n v="1"/>
    <n v="0"/>
    <n v="0"/>
    <n v="1"/>
    <n v="0"/>
    <n v="0"/>
    <n v="1"/>
    <n v="0"/>
    <n v="0"/>
    <n v="1"/>
  </r>
  <r>
    <x v="1"/>
    <n v="100079515"/>
    <x v="6"/>
    <n v="100074170"/>
    <x v="63"/>
    <n v="0"/>
    <n v="0"/>
    <n v="1"/>
    <n v="98"/>
    <n v="1"/>
    <n v="0"/>
    <n v="0"/>
    <n v="0"/>
    <n v="1"/>
    <n v="48"/>
    <n v="1"/>
    <n v="0"/>
    <n v="48"/>
    <n v="1"/>
    <n v="0"/>
    <n v="0"/>
    <n v="0"/>
    <n v="1"/>
    <n v="0"/>
    <n v="0"/>
    <n v="1"/>
  </r>
  <r>
    <x v="1"/>
    <n v="100079515"/>
    <x v="6"/>
    <n v="100087942"/>
    <x v="64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1"/>
    <n v="100079515"/>
    <x v="6"/>
    <n v="100068357"/>
    <x v="65"/>
    <n v="0"/>
    <n v="0"/>
    <n v="1"/>
    <n v="0"/>
    <n v="0"/>
    <n v="1"/>
    <n v="108"/>
    <n v="1"/>
    <n v="0"/>
    <n v="0"/>
    <n v="0"/>
    <n v="1"/>
    <n v="0"/>
    <n v="0"/>
    <n v="1"/>
    <n v="0"/>
    <n v="0"/>
    <n v="1"/>
    <n v="0"/>
    <n v="0"/>
    <n v="1"/>
  </r>
  <r>
    <x v="1"/>
    <n v="100079515"/>
    <x v="6"/>
    <n v="100001391"/>
    <x v="66"/>
    <n v="0"/>
    <n v="0"/>
    <n v="1"/>
    <n v="1401.3999999999999"/>
    <n v="1"/>
    <n v="0"/>
    <n v="683.4"/>
    <n v="1"/>
    <n v="0"/>
    <n v="89.28"/>
    <n v="1"/>
    <n v="0"/>
    <n v="129.59999999999997"/>
    <n v="1"/>
    <n v="0"/>
    <n v="140.4"/>
    <n v="1"/>
    <n v="0"/>
    <n v="0"/>
    <n v="0"/>
    <n v="1"/>
  </r>
  <r>
    <x v="1"/>
    <n v="100079515"/>
    <x v="6"/>
    <n v="100085149"/>
    <x v="67"/>
    <n v="0"/>
    <n v="0"/>
    <n v="1"/>
    <n v="0"/>
    <n v="0"/>
    <n v="1"/>
    <n v="0"/>
    <n v="0"/>
    <n v="1"/>
    <n v="0"/>
    <n v="0"/>
    <n v="1"/>
    <n v="0"/>
    <n v="0"/>
    <n v="1"/>
    <n v="64.800000000000011"/>
    <n v="1"/>
    <n v="0"/>
    <n v="0"/>
    <n v="0"/>
    <n v="1"/>
  </r>
  <r>
    <x v="1"/>
    <n v="100079674"/>
    <x v="7"/>
    <n v="100079807"/>
    <x v="68"/>
    <n v="0"/>
    <n v="0"/>
    <n v="1"/>
    <n v="9.8000000000000007"/>
    <n v="1"/>
    <n v="0"/>
    <n v="5.4"/>
    <n v="1"/>
    <n v="0"/>
    <n v="4.8"/>
    <n v="1"/>
    <n v="0"/>
    <n v="0"/>
    <n v="0"/>
    <n v="1"/>
    <n v="0"/>
    <n v="0"/>
    <n v="1"/>
    <n v="0"/>
    <n v="0"/>
    <n v="1"/>
  </r>
  <r>
    <x v="1"/>
    <n v="100079674"/>
    <x v="7"/>
    <n v="100086113"/>
    <x v="69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1"/>
    <n v="100079674"/>
    <x v="7"/>
    <n v="100086648"/>
    <x v="70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1"/>
    <n v="100079674"/>
    <x v="7"/>
    <n v="100085802"/>
    <x v="71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1"/>
    <n v="100079674"/>
    <x v="7"/>
    <n v="100080761"/>
    <x v="72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1"/>
    <n v="100079674"/>
    <x v="7"/>
    <n v="100079430"/>
    <x v="73"/>
    <n v="0"/>
    <n v="0"/>
    <n v="1"/>
    <n v="0"/>
    <n v="0"/>
    <n v="1"/>
    <n v="0"/>
    <n v="0"/>
    <n v="1"/>
    <n v="72"/>
    <n v="1"/>
    <n v="0"/>
    <n v="0"/>
    <n v="0"/>
    <n v="1"/>
    <n v="0"/>
    <n v="0"/>
    <n v="1"/>
    <n v="0"/>
    <n v="0"/>
    <n v="1"/>
  </r>
  <r>
    <x v="1"/>
    <n v="100079674"/>
    <x v="7"/>
    <n v="100001212"/>
    <x v="74"/>
    <n v="4.8"/>
    <n v="1"/>
    <n v="0"/>
    <n v="9.8000000000000007"/>
    <n v="1"/>
    <n v="0"/>
    <n v="5.4"/>
    <n v="1"/>
    <n v="0"/>
    <n v="50.399999999999991"/>
    <n v="1"/>
    <n v="0"/>
    <n v="4.8"/>
    <n v="1"/>
    <n v="0"/>
    <n v="4.32"/>
    <n v="1"/>
    <n v="0"/>
    <n v="16.32"/>
    <n v="1"/>
    <n v="0"/>
  </r>
  <r>
    <x v="1"/>
    <n v="100079674"/>
    <x v="7"/>
    <n v="100001259"/>
    <x v="75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1"/>
    <n v="100079674"/>
    <x v="7"/>
    <n v="100082864"/>
    <x v="76"/>
    <n v="0"/>
    <n v="0"/>
    <n v="1"/>
    <n v="19.600000000000001"/>
    <n v="1"/>
    <n v="0"/>
    <n v="0"/>
    <n v="0"/>
    <n v="1"/>
    <n v="9.36"/>
    <n v="1"/>
    <n v="0"/>
    <n v="0"/>
    <n v="0"/>
    <n v="1"/>
    <n v="0"/>
    <n v="0"/>
    <n v="1"/>
    <n v="16.32"/>
    <n v="1"/>
    <n v="0"/>
  </r>
  <r>
    <x v="1"/>
    <n v="100079674"/>
    <x v="7"/>
    <n v="100073859"/>
    <x v="77"/>
    <n v="0"/>
    <n v="0"/>
    <n v="1"/>
    <n v="29.400000000000002"/>
    <n v="1"/>
    <n v="0"/>
    <n v="0"/>
    <n v="0"/>
    <n v="1"/>
    <n v="43.199999999999996"/>
    <n v="1"/>
    <n v="0"/>
    <n v="0"/>
    <n v="0"/>
    <n v="1"/>
    <n v="86.4"/>
    <n v="1"/>
    <n v="0"/>
    <n v="0"/>
    <n v="0"/>
    <n v="1"/>
  </r>
  <r>
    <x v="1"/>
    <n v="100079674"/>
    <x v="7"/>
    <n v="100001878"/>
    <x v="78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1"/>
    <n v="100079674"/>
    <x v="7"/>
    <n v="100001941"/>
    <x v="79"/>
    <n v="0"/>
    <n v="0"/>
    <n v="1"/>
    <n v="9.8000000000000007"/>
    <n v="1"/>
    <n v="0"/>
    <n v="0"/>
    <n v="0"/>
    <n v="1"/>
    <n v="0"/>
    <n v="0"/>
    <n v="1"/>
    <n v="4.8"/>
    <n v="1"/>
    <n v="0"/>
    <n v="0"/>
    <n v="0"/>
    <n v="1"/>
    <n v="0"/>
    <n v="0"/>
    <n v="1"/>
  </r>
  <r>
    <x v="1"/>
    <n v="100079674"/>
    <x v="7"/>
    <n v="100005864"/>
    <x v="80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1"/>
    <n v="100079674"/>
    <x v="7"/>
    <n v="100009067"/>
    <x v="81"/>
    <n v="0"/>
    <n v="0"/>
    <n v="1"/>
    <n v="0"/>
    <n v="0"/>
    <n v="1"/>
    <n v="0"/>
    <n v="0"/>
    <n v="1"/>
    <n v="45.599999999999994"/>
    <n v="1"/>
    <n v="0"/>
    <n v="24"/>
    <n v="1"/>
    <n v="0"/>
    <n v="0"/>
    <n v="0"/>
    <n v="1"/>
    <n v="16.32"/>
    <n v="1"/>
    <n v="0"/>
  </r>
  <r>
    <x v="1"/>
    <n v="100079674"/>
    <x v="7"/>
    <n v="100085464"/>
    <x v="82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1"/>
    <n v="100079674"/>
    <x v="7"/>
    <n v="100059556"/>
    <x v="83"/>
    <n v="0"/>
    <n v="0"/>
    <n v="1"/>
    <n v="0"/>
    <n v="0"/>
    <n v="1"/>
    <n v="0"/>
    <n v="0"/>
    <n v="1"/>
    <n v="0"/>
    <n v="0"/>
    <n v="1"/>
    <n v="0"/>
    <n v="0"/>
    <n v="1"/>
    <n v="8.64"/>
    <n v="1"/>
    <n v="0"/>
    <n v="0"/>
    <n v="0"/>
    <n v="1"/>
  </r>
  <r>
    <x v="1"/>
    <n v="100079674"/>
    <x v="7"/>
    <n v="100082635"/>
    <x v="84"/>
    <n v="0"/>
    <n v="0"/>
    <n v="1"/>
    <n v="9.8000000000000007"/>
    <n v="1"/>
    <n v="0"/>
    <n v="5.4"/>
    <n v="1"/>
    <n v="0"/>
    <n v="4.5599999999999996"/>
    <n v="1"/>
    <n v="0"/>
    <n v="4.8"/>
    <n v="1"/>
    <n v="0"/>
    <n v="4.32"/>
    <n v="1"/>
    <n v="0"/>
    <n v="16.32"/>
    <n v="1"/>
    <n v="0"/>
  </r>
  <r>
    <x v="1"/>
    <n v="100079674"/>
    <x v="7"/>
    <n v="100087436"/>
    <x v="85"/>
    <n v="0"/>
    <n v="0"/>
    <n v="1"/>
    <n v="0"/>
    <n v="0"/>
    <n v="1"/>
    <n v="0"/>
    <n v="0"/>
    <n v="1"/>
    <n v="9.1199999999999992"/>
    <n v="1"/>
    <n v="0"/>
    <n v="0"/>
    <n v="0"/>
    <n v="1"/>
    <n v="0"/>
    <n v="0"/>
    <n v="1"/>
    <n v="65.28"/>
    <n v="1"/>
    <n v="0"/>
  </r>
  <r>
    <x v="1"/>
    <n v="100079674"/>
    <x v="7"/>
    <n v="100072236"/>
    <x v="86"/>
    <n v="4.8"/>
    <n v="1"/>
    <n v="0"/>
    <n v="9.8000000000000007"/>
    <n v="1"/>
    <n v="0"/>
    <n v="10.8"/>
    <n v="1"/>
    <n v="0"/>
    <n v="42.96"/>
    <n v="1"/>
    <n v="0"/>
    <n v="43.199999999999996"/>
    <n v="1"/>
    <n v="0"/>
    <n v="12.96"/>
    <n v="1"/>
    <n v="0"/>
    <n v="32.64"/>
    <n v="1"/>
    <n v="0"/>
  </r>
  <r>
    <x v="1"/>
    <n v="100079674"/>
    <x v="7"/>
    <n v="100087960"/>
    <x v="87"/>
    <n v="0"/>
    <n v="0"/>
    <n v="1"/>
    <n v="49"/>
    <n v="1"/>
    <n v="0"/>
    <n v="0"/>
    <n v="0"/>
    <n v="1"/>
    <n v="14.399999999999999"/>
    <n v="1"/>
    <n v="0"/>
    <n v="4.8"/>
    <n v="1"/>
    <n v="0"/>
    <n v="0"/>
    <n v="0"/>
    <n v="1"/>
    <n v="0"/>
    <n v="0"/>
    <n v="1"/>
  </r>
  <r>
    <x v="1"/>
    <n v="100079674"/>
    <x v="7"/>
    <n v="100080270"/>
    <x v="88"/>
    <n v="48"/>
    <n v="1"/>
    <n v="0"/>
    <n v="39.200000000000003"/>
    <n v="1"/>
    <n v="0"/>
    <n v="42.000000000000007"/>
    <n v="1"/>
    <n v="0"/>
    <n v="27.599999999999998"/>
    <n v="1"/>
    <n v="0"/>
    <n v="48"/>
    <n v="1"/>
    <n v="0"/>
    <n v="4.32"/>
    <n v="1"/>
    <n v="0"/>
    <n v="65.28"/>
    <n v="1"/>
    <n v="0"/>
  </r>
  <r>
    <x v="1"/>
    <n v="100079674"/>
    <x v="7"/>
    <n v="100073740"/>
    <x v="89"/>
    <n v="0"/>
    <n v="0"/>
    <n v="1"/>
    <n v="29.400000000000002"/>
    <n v="1"/>
    <n v="0"/>
    <n v="10.199999999999999"/>
    <n v="1"/>
    <n v="0"/>
    <n v="14.399999999999999"/>
    <n v="1"/>
    <n v="0"/>
    <n v="0"/>
    <n v="0"/>
    <n v="1"/>
    <n v="21.6"/>
    <n v="1"/>
    <n v="0"/>
    <n v="16.32"/>
    <n v="1"/>
    <n v="0"/>
  </r>
  <r>
    <x v="1"/>
    <n v="100079674"/>
    <x v="7"/>
    <n v="100073876"/>
    <x v="90"/>
    <n v="4.8"/>
    <n v="1"/>
    <n v="0"/>
    <n v="9.8000000000000007"/>
    <n v="1"/>
    <n v="0"/>
    <n v="5.4"/>
    <n v="1"/>
    <n v="0"/>
    <n v="9.36"/>
    <n v="1"/>
    <n v="0"/>
    <n v="4.8"/>
    <n v="1"/>
    <n v="0"/>
    <n v="4.32"/>
    <n v="1"/>
    <n v="0"/>
    <n v="16.32"/>
    <n v="1"/>
    <n v="0"/>
  </r>
  <r>
    <x v="1"/>
    <n v="100079674"/>
    <x v="7"/>
    <n v="100077196"/>
    <x v="91"/>
    <n v="0"/>
    <n v="0"/>
    <n v="1"/>
    <n v="9.8000000000000007"/>
    <n v="1"/>
    <n v="0"/>
    <n v="5.4"/>
    <n v="1"/>
    <n v="0"/>
    <n v="18.239999999999998"/>
    <n v="1"/>
    <n v="0"/>
    <n v="4.8"/>
    <n v="1"/>
    <n v="0"/>
    <n v="0"/>
    <n v="0"/>
    <n v="1"/>
    <n v="32.64"/>
    <n v="1"/>
    <n v="0"/>
  </r>
  <r>
    <x v="1"/>
    <n v="100079674"/>
    <x v="7"/>
    <n v="100063753"/>
    <x v="92"/>
    <n v="4.8"/>
    <n v="1"/>
    <n v="0"/>
    <n v="19.600000000000001"/>
    <n v="1"/>
    <n v="0"/>
    <n v="5.4"/>
    <n v="1"/>
    <n v="0"/>
    <n v="14.16"/>
    <n v="1"/>
    <n v="0"/>
    <n v="4.8"/>
    <n v="1"/>
    <n v="0"/>
    <n v="23.76"/>
    <n v="1"/>
    <n v="0"/>
    <n v="138.71999999999997"/>
    <n v="1"/>
    <n v="0"/>
  </r>
  <r>
    <x v="1"/>
    <n v="100079674"/>
    <x v="7"/>
    <n v="100084198"/>
    <x v="93"/>
    <n v="-4.8"/>
    <n v="0"/>
    <n v="1"/>
    <n v="0"/>
    <n v="0"/>
    <n v="1"/>
    <n v="-4.8"/>
    <n v="0"/>
    <n v="1"/>
    <n v="-4.5599999999999996"/>
    <n v="0"/>
    <n v="1"/>
    <n v="0"/>
    <n v="0"/>
    <n v="1"/>
    <n v="-2.16"/>
    <n v="0"/>
    <n v="1"/>
    <n v="-16.32"/>
    <n v="0"/>
    <n v="1"/>
  </r>
  <r>
    <x v="1"/>
    <n v="100079674"/>
    <x v="7"/>
    <n v="100084321"/>
    <x v="94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1"/>
    <n v="100079674"/>
    <x v="7"/>
    <n v="100088056"/>
    <x v="95"/>
    <n v="0"/>
    <n v="0"/>
    <n v="1"/>
    <n v="39.200000000000003"/>
    <n v="1"/>
    <n v="0"/>
    <n v="9.6"/>
    <n v="1"/>
    <n v="0"/>
    <n v="9.36"/>
    <n v="1"/>
    <n v="0"/>
    <n v="4.8"/>
    <n v="1"/>
    <n v="0"/>
    <n v="4.32"/>
    <n v="1"/>
    <n v="0"/>
    <n v="16.32"/>
    <n v="1"/>
    <n v="0"/>
  </r>
  <r>
    <x v="1"/>
    <n v="100079674"/>
    <x v="7"/>
    <n v="100089829"/>
    <x v="96"/>
    <n v="72"/>
    <n v="1"/>
    <n v="0"/>
    <n v="98"/>
    <n v="1"/>
    <n v="0"/>
    <n v="61.199999999999996"/>
    <n v="1"/>
    <n v="0"/>
    <n v="0"/>
    <n v="0"/>
    <n v="1"/>
    <n v="0"/>
    <n v="0"/>
    <n v="1"/>
    <n v="10.8"/>
    <n v="1"/>
    <n v="0"/>
    <n v="0"/>
    <n v="0"/>
    <n v="1"/>
  </r>
  <r>
    <x v="1"/>
    <n v="100066856"/>
    <x v="8"/>
    <n v="100080175"/>
    <x v="97"/>
    <n v="0"/>
    <n v="0"/>
    <n v="1"/>
    <n v="39.200000000000003"/>
    <n v="1"/>
    <n v="0"/>
    <n v="0"/>
    <n v="0"/>
    <n v="1"/>
    <n v="13.68"/>
    <n v="1"/>
    <n v="0"/>
    <n v="0"/>
    <n v="0"/>
    <n v="1"/>
    <n v="0"/>
    <n v="0"/>
    <n v="1"/>
    <n v="0"/>
    <n v="0"/>
    <n v="1"/>
  </r>
  <r>
    <x v="1"/>
    <n v="100066856"/>
    <x v="8"/>
    <n v="100086921"/>
    <x v="98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1"/>
    <n v="100066856"/>
    <x v="8"/>
    <n v="100063903"/>
    <x v="99"/>
    <n v="0"/>
    <n v="0"/>
    <n v="1"/>
    <n v="9.8000000000000007"/>
    <n v="1"/>
    <n v="0"/>
    <n v="0"/>
    <n v="0"/>
    <n v="1"/>
    <n v="0"/>
    <n v="0"/>
    <n v="1"/>
    <n v="0"/>
    <n v="0"/>
    <n v="1"/>
    <n v="0"/>
    <n v="0"/>
    <n v="1"/>
    <n v="16.32"/>
    <n v="1"/>
    <n v="0"/>
  </r>
  <r>
    <x v="1"/>
    <n v="100066856"/>
    <x v="8"/>
    <n v="100081047"/>
    <x v="100"/>
    <n v="0"/>
    <n v="0"/>
    <n v="1"/>
    <n v="29.400000000000002"/>
    <n v="1"/>
    <n v="0"/>
    <n v="0"/>
    <n v="0"/>
    <n v="1"/>
    <n v="0"/>
    <n v="0"/>
    <n v="1"/>
    <n v="0"/>
    <n v="0"/>
    <n v="1"/>
    <n v="43.2"/>
    <n v="1"/>
    <n v="0"/>
    <n v="0"/>
    <n v="0"/>
    <n v="1"/>
  </r>
  <r>
    <x v="1"/>
    <n v="100066856"/>
    <x v="8"/>
    <n v="100081503"/>
    <x v="101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1"/>
    <n v="100066856"/>
    <x v="8"/>
    <n v="100087607"/>
    <x v="102"/>
    <n v="0"/>
    <n v="0"/>
    <n v="1"/>
    <n v="0"/>
    <n v="0"/>
    <n v="1"/>
    <n v="16.200000000000003"/>
    <n v="1"/>
    <n v="0"/>
    <n v="38.4"/>
    <n v="1"/>
    <n v="0"/>
    <n v="28.799999999999997"/>
    <n v="1"/>
    <n v="0"/>
    <n v="0"/>
    <n v="0"/>
    <n v="1"/>
    <n v="0"/>
    <n v="0"/>
    <n v="1"/>
  </r>
  <r>
    <x v="1"/>
    <n v="100066856"/>
    <x v="8"/>
    <n v="100080160"/>
    <x v="103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1"/>
    <n v="100066856"/>
    <x v="8"/>
    <n v="100077613"/>
    <x v="104"/>
    <n v="0"/>
    <n v="0"/>
    <n v="1"/>
    <n v="0"/>
    <n v="0"/>
    <n v="1"/>
    <n v="0"/>
    <n v="0"/>
    <n v="1"/>
    <n v="0"/>
    <n v="0"/>
    <n v="1"/>
    <n v="0"/>
    <n v="0"/>
    <n v="1"/>
    <n v="21.6"/>
    <n v="1"/>
    <n v="0"/>
    <n v="163.19999999999999"/>
    <n v="1"/>
    <n v="0"/>
  </r>
  <r>
    <x v="1"/>
    <n v="100066856"/>
    <x v="8"/>
    <n v="100088062"/>
    <x v="105"/>
    <n v="-48"/>
    <n v="0"/>
    <n v="1"/>
    <n v="0"/>
    <n v="0"/>
    <n v="1"/>
    <n v="-20.400000000000002"/>
    <n v="0"/>
    <n v="1"/>
    <n v="0.24000000000000021"/>
    <n v="1"/>
    <n v="0"/>
    <n v="0"/>
    <n v="0"/>
    <n v="1"/>
    <n v="-2.16"/>
    <n v="0"/>
    <n v="1"/>
    <n v="-16.32"/>
    <n v="0"/>
    <n v="1"/>
  </r>
  <r>
    <x v="1"/>
    <n v="100066856"/>
    <x v="8"/>
    <n v="100087789"/>
    <x v="106"/>
    <n v="0"/>
    <n v="0"/>
    <n v="1"/>
    <n v="9.8000000000000007"/>
    <n v="1"/>
    <n v="0"/>
    <n v="0"/>
    <n v="0"/>
    <n v="1"/>
    <n v="0"/>
    <n v="0"/>
    <n v="1"/>
    <n v="0"/>
    <n v="0"/>
    <n v="1"/>
    <n v="43.2"/>
    <n v="1"/>
    <n v="0"/>
    <n v="40.799999999999997"/>
    <n v="1"/>
    <n v="0"/>
  </r>
  <r>
    <x v="1"/>
    <n v="100066856"/>
    <x v="8"/>
    <n v="100082823"/>
    <x v="107"/>
    <n v="0"/>
    <n v="0"/>
    <n v="1"/>
    <n v="0"/>
    <n v="0"/>
    <n v="1"/>
    <n v="0"/>
    <n v="0"/>
    <n v="1"/>
    <n v="0"/>
    <n v="0"/>
    <n v="1"/>
    <n v="0"/>
    <n v="0"/>
    <n v="1"/>
    <n v="2.16"/>
    <n v="1"/>
    <n v="0"/>
    <n v="0"/>
    <n v="0"/>
    <n v="1"/>
  </r>
  <r>
    <x v="1"/>
    <n v="100066856"/>
    <x v="8"/>
    <n v="100016352"/>
    <x v="108"/>
    <n v="0"/>
    <n v="0"/>
    <n v="1"/>
    <n v="0"/>
    <n v="0"/>
    <n v="1"/>
    <n v="0"/>
    <n v="0"/>
    <n v="1"/>
    <n v="9.6"/>
    <n v="1"/>
    <n v="0"/>
    <n v="0"/>
    <n v="0"/>
    <n v="1"/>
    <n v="0"/>
    <n v="0"/>
    <n v="1"/>
    <n v="0"/>
    <n v="0"/>
    <n v="1"/>
  </r>
  <r>
    <x v="1"/>
    <n v="100066856"/>
    <x v="8"/>
    <n v="100083764"/>
    <x v="109"/>
    <n v="0"/>
    <n v="0"/>
    <n v="1"/>
    <n v="0"/>
    <n v="0"/>
    <n v="1"/>
    <n v="5.4"/>
    <n v="1"/>
    <n v="0"/>
    <n v="24"/>
    <n v="1"/>
    <n v="0"/>
    <n v="0"/>
    <n v="0"/>
    <n v="1"/>
    <n v="0"/>
    <n v="0"/>
    <n v="1"/>
    <n v="0"/>
    <n v="0"/>
    <n v="1"/>
  </r>
  <r>
    <x v="1"/>
    <n v="100066856"/>
    <x v="8"/>
    <n v="100071616"/>
    <x v="110"/>
    <n v="0"/>
    <n v="0"/>
    <n v="1"/>
    <n v="0"/>
    <n v="0"/>
    <n v="1"/>
    <n v="37.800000000000004"/>
    <n v="1"/>
    <n v="0"/>
    <n v="212.39999999999998"/>
    <n v="1"/>
    <n v="0"/>
    <n v="14.399999999999999"/>
    <n v="1"/>
    <n v="0"/>
    <n v="21.6"/>
    <n v="1"/>
    <n v="0"/>
    <n v="0"/>
    <n v="0"/>
    <n v="1"/>
  </r>
  <r>
    <x v="1"/>
    <n v="100066856"/>
    <x v="8"/>
    <n v="100011726"/>
    <x v="111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1"/>
    <n v="100066856"/>
    <x v="8"/>
    <n v="100077612"/>
    <x v="112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1"/>
    <n v="100066856"/>
    <x v="8"/>
    <n v="100073860"/>
    <x v="113"/>
    <n v="0"/>
    <n v="0"/>
    <n v="1"/>
    <n v="107.80000000000001"/>
    <n v="1"/>
    <n v="0"/>
    <n v="57.6"/>
    <n v="1"/>
    <n v="0"/>
    <n v="27.839999999999996"/>
    <n v="1"/>
    <n v="0"/>
    <n v="14.399999999999999"/>
    <n v="1"/>
    <n v="0"/>
    <n v="0"/>
    <n v="0"/>
    <n v="1"/>
    <n v="0"/>
    <n v="0"/>
    <n v="1"/>
  </r>
  <r>
    <x v="1"/>
    <n v="100066856"/>
    <x v="8"/>
    <n v="100002246"/>
    <x v="114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1"/>
    <n v="100066856"/>
    <x v="8"/>
    <n v="100071232"/>
    <x v="115"/>
    <n v="0"/>
    <n v="0"/>
    <n v="1"/>
    <n v="0"/>
    <n v="0"/>
    <n v="1"/>
    <n v="0"/>
    <n v="0"/>
    <n v="1"/>
    <n v="4.8"/>
    <n v="1"/>
    <n v="0"/>
    <n v="4.8"/>
    <n v="1"/>
    <n v="0"/>
    <n v="0"/>
    <n v="0"/>
    <n v="1"/>
    <n v="0"/>
    <n v="0"/>
    <n v="1"/>
  </r>
  <r>
    <x v="1"/>
    <n v="100066856"/>
    <x v="8"/>
    <n v="100076868"/>
    <x v="116"/>
    <n v="0"/>
    <n v="0"/>
    <n v="1"/>
    <n v="0"/>
    <n v="0"/>
    <n v="1"/>
    <n v="40.800000000000004"/>
    <n v="1"/>
    <n v="0"/>
    <n v="0"/>
    <n v="0"/>
    <n v="1"/>
    <n v="0"/>
    <n v="0"/>
    <n v="1"/>
    <n v="0"/>
    <n v="0"/>
    <n v="1"/>
    <n v="16.32"/>
    <n v="1"/>
    <n v="0"/>
  </r>
  <r>
    <x v="1"/>
    <n v="100066856"/>
    <x v="8"/>
    <n v="100007082"/>
    <x v="117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1"/>
    <n v="100066856"/>
    <x v="8"/>
    <n v="100084941"/>
    <x v="118"/>
    <n v="0"/>
    <n v="0"/>
    <n v="1"/>
    <n v="58.800000000000004"/>
    <n v="1"/>
    <n v="0"/>
    <n v="37.800000000000004"/>
    <n v="1"/>
    <n v="0"/>
    <n v="0"/>
    <n v="0"/>
    <n v="1"/>
    <n v="0"/>
    <n v="0"/>
    <n v="1"/>
    <n v="0"/>
    <n v="0"/>
    <n v="1"/>
    <n v="0"/>
    <n v="0"/>
    <n v="1"/>
  </r>
  <r>
    <x v="1"/>
    <n v="100066856"/>
    <x v="8"/>
    <n v="100071677"/>
    <x v="119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1"/>
    <n v="100089701"/>
    <x v="9"/>
    <n v="100082346"/>
    <x v="120"/>
    <n v="148.80000000000001"/>
    <n v="1"/>
    <n v="0"/>
    <n v="166.60000000000002"/>
    <n v="1"/>
    <n v="0"/>
    <n v="0"/>
    <n v="0"/>
    <n v="1"/>
    <n v="142.80000000000001"/>
    <n v="1"/>
    <n v="0"/>
    <n v="33.6"/>
    <n v="1"/>
    <n v="0"/>
    <n v="0"/>
    <n v="0"/>
    <n v="1"/>
    <n v="0"/>
    <n v="0"/>
    <n v="1"/>
  </r>
  <r>
    <x v="1"/>
    <n v="100089701"/>
    <x v="9"/>
    <n v="100009863"/>
    <x v="121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1"/>
    <n v="100089701"/>
    <x v="9"/>
    <n v="100079045"/>
    <x v="122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1"/>
    <n v="100089701"/>
    <x v="9"/>
    <n v="100080357"/>
    <x v="123"/>
    <n v="0"/>
    <n v="0"/>
    <n v="1"/>
    <n v="39.200000000000003"/>
    <n v="1"/>
    <n v="0"/>
    <n v="10.199999999999999"/>
    <n v="1"/>
    <n v="0"/>
    <n v="13.68"/>
    <n v="1"/>
    <n v="0"/>
    <n v="0"/>
    <n v="0"/>
    <n v="1"/>
    <n v="2.16"/>
    <n v="1"/>
    <n v="0"/>
    <n v="0"/>
    <n v="0"/>
    <n v="1"/>
  </r>
  <r>
    <x v="1"/>
    <n v="100089701"/>
    <x v="9"/>
    <n v="100046307"/>
    <x v="124"/>
    <n v="0"/>
    <n v="0"/>
    <n v="1"/>
    <n v="0"/>
    <n v="0"/>
    <n v="1"/>
    <n v="0"/>
    <n v="0"/>
    <n v="1"/>
    <n v="4.5599999999999996"/>
    <n v="1"/>
    <n v="0"/>
    <n v="14.399999999999999"/>
    <n v="1"/>
    <n v="0"/>
    <n v="51.84"/>
    <n v="1"/>
    <n v="0"/>
    <n v="163.19999999999999"/>
    <n v="1"/>
    <n v="0"/>
  </r>
  <r>
    <x v="1"/>
    <n v="100089701"/>
    <x v="9"/>
    <n v="100087065"/>
    <x v="125"/>
    <n v="9.6"/>
    <n v="1"/>
    <n v="0"/>
    <n v="49"/>
    <n v="1"/>
    <n v="0"/>
    <n v="0"/>
    <n v="0"/>
    <n v="1"/>
    <n v="0"/>
    <n v="0"/>
    <n v="1"/>
    <n v="0"/>
    <n v="0"/>
    <n v="1"/>
    <n v="0"/>
    <n v="0"/>
    <n v="1"/>
    <n v="0"/>
    <n v="0"/>
    <n v="1"/>
  </r>
  <r>
    <x v="1"/>
    <n v="100089701"/>
    <x v="9"/>
    <n v="100087742"/>
    <x v="126"/>
    <n v="0"/>
    <n v="0"/>
    <n v="1"/>
    <n v="9.8000000000000007"/>
    <n v="1"/>
    <n v="0"/>
    <n v="21.000000000000004"/>
    <n v="1"/>
    <n v="0"/>
    <n v="9.6"/>
    <n v="1"/>
    <n v="0"/>
    <n v="0"/>
    <n v="0"/>
    <n v="1"/>
    <n v="0"/>
    <n v="0"/>
    <n v="1"/>
    <n v="0"/>
    <n v="0"/>
    <n v="1"/>
  </r>
  <r>
    <x v="1"/>
    <n v="100089701"/>
    <x v="9"/>
    <n v="100087748"/>
    <x v="127"/>
    <n v="0"/>
    <n v="0"/>
    <n v="1"/>
    <n v="0"/>
    <n v="0"/>
    <n v="1"/>
    <n v="25.2"/>
    <n v="1"/>
    <n v="0"/>
    <n v="0"/>
    <n v="0"/>
    <n v="1"/>
    <n v="0"/>
    <n v="0"/>
    <n v="1"/>
    <n v="0"/>
    <n v="0"/>
    <n v="1"/>
    <n v="0"/>
    <n v="0"/>
    <n v="1"/>
  </r>
  <r>
    <x v="1"/>
    <n v="100089701"/>
    <x v="9"/>
    <n v="100022260"/>
    <x v="128"/>
    <n v="0"/>
    <n v="0"/>
    <n v="1"/>
    <n v="0"/>
    <n v="0"/>
    <n v="1"/>
    <n v="15.600000000000001"/>
    <n v="1"/>
    <n v="0"/>
    <n v="14.399999999999999"/>
    <n v="1"/>
    <n v="0"/>
    <n v="0"/>
    <n v="0"/>
    <n v="1"/>
    <n v="0"/>
    <n v="0"/>
    <n v="1"/>
    <n v="0"/>
    <n v="0"/>
    <n v="1"/>
  </r>
  <r>
    <x v="1"/>
    <n v="100089701"/>
    <x v="9"/>
    <n v="100085159"/>
    <x v="129"/>
    <n v="0"/>
    <n v="0"/>
    <n v="1"/>
    <n v="0"/>
    <n v="0"/>
    <n v="1"/>
    <n v="0"/>
    <n v="0"/>
    <n v="1"/>
    <n v="14.399999999999999"/>
    <n v="1"/>
    <n v="0"/>
    <n v="0"/>
    <n v="0"/>
    <n v="1"/>
    <n v="0"/>
    <n v="0"/>
    <n v="1"/>
    <n v="0"/>
    <n v="0"/>
    <n v="1"/>
  </r>
  <r>
    <x v="1"/>
    <n v="100089701"/>
    <x v="9"/>
    <n v="100087283"/>
    <x v="130"/>
    <n v="0"/>
    <n v="0"/>
    <n v="1"/>
    <n v="0"/>
    <n v="0"/>
    <n v="1"/>
    <n v="0"/>
    <n v="0"/>
    <n v="1"/>
    <n v="9.6"/>
    <n v="1"/>
    <n v="0"/>
    <n v="0"/>
    <n v="0"/>
    <n v="1"/>
    <n v="0"/>
    <n v="0"/>
    <n v="1"/>
    <n v="65.28"/>
    <n v="1"/>
    <n v="0"/>
  </r>
  <r>
    <x v="1"/>
    <n v="100089701"/>
    <x v="9"/>
    <n v="100011496"/>
    <x v="131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1"/>
    <n v="100089701"/>
    <x v="9"/>
    <n v="100001601"/>
    <x v="132"/>
    <n v="9.6"/>
    <n v="1"/>
    <n v="0"/>
    <n v="0"/>
    <n v="0"/>
    <n v="1"/>
    <n v="0"/>
    <n v="0"/>
    <n v="1"/>
    <n v="9.6"/>
    <n v="1"/>
    <n v="0"/>
    <n v="0"/>
    <n v="0"/>
    <n v="1"/>
    <n v="0"/>
    <n v="0"/>
    <n v="1"/>
    <n v="16.32"/>
    <n v="1"/>
    <n v="0"/>
  </r>
  <r>
    <x v="1"/>
    <n v="100089701"/>
    <x v="9"/>
    <n v="100081880"/>
    <x v="133"/>
    <n v="0"/>
    <n v="0"/>
    <n v="1"/>
    <n v="58.800000000000004"/>
    <n v="1"/>
    <n v="0"/>
    <n v="16.2"/>
    <n v="1"/>
    <n v="0"/>
    <n v="24"/>
    <n v="1"/>
    <n v="0"/>
    <n v="0"/>
    <n v="0"/>
    <n v="1"/>
    <n v="0"/>
    <n v="0"/>
    <n v="1"/>
    <n v="0"/>
    <n v="0"/>
    <n v="1"/>
  </r>
  <r>
    <x v="1"/>
    <n v="100089701"/>
    <x v="9"/>
    <n v="100083522"/>
    <x v="134"/>
    <n v="0"/>
    <n v="0"/>
    <n v="1"/>
    <n v="107.80000000000001"/>
    <n v="1"/>
    <n v="0"/>
    <n v="52.800000000000004"/>
    <n v="1"/>
    <n v="0"/>
    <n v="99.36"/>
    <n v="1"/>
    <n v="0"/>
    <n v="0"/>
    <n v="0"/>
    <n v="1"/>
    <n v="0"/>
    <n v="0"/>
    <n v="1"/>
    <n v="40.799999999999997"/>
    <n v="1"/>
    <n v="0"/>
  </r>
  <r>
    <x v="1"/>
    <n v="100089701"/>
    <x v="9"/>
    <n v="100073281"/>
    <x v="135"/>
    <n v="19.2"/>
    <n v="1"/>
    <n v="0"/>
    <n v="0"/>
    <n v="0"/>
    <n v="1"/>
    <n v="0"/>
    <n v="0"/>
    <n v="1"/>
    <n v="4.5599999999999996"/>
    <n v="1"/>
    <n v="0"/>
    <n v="0"/>
    <n v="0"/>
    <n v="1"/>
    <n v="0"/>
    <n v="0"/>
    <n v="1"/>
    <n v="81.599999999999994"/>
    <n v="1"/>
    <n v="0"/>
  </r>
  <r>
    <x v="1"/>
    <n v="100089701"/>
    <x v="9"/>
    <n v="100051099"/>
    <x v="136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1"/>
    <n v="100089701"/>
    <x v="9"/>
    <s v="100087844"/>
    <x v="137"/>
    <n v="81.599999999999994"/>
    <n v="1"/>
    <n v="0"/>
    <n v="0"/>
    <n v="0"/>
    <n v="1"/>
    <n v="0"/>
    <n v="0"/>
    <n v="1"/>
    <n v="0"/>
    <n v="0"/>
    <n v="1"/>
    <n v="0"/>
    <n v="0"/>
    <n v="1"/>
    <n v="0"/>
    <n v="0"/>
    <n v="1"/>
    <n v="163.19999999999999"/>
    <n v="1"/>
    <n v="0"/>
  </r>
  <r>
    <x v="1"/>
    <n v="100089701"/>
    <x v="9"/>
    <n v="100088156"/>
    <x v="138"/>
    <n v="0"/>
    <n v="0"/>
    <n v="1"/>
    <n v="0"/>
    <n v="0"/>
    <n v="1"/>
    <n v="0"/>
    <n v="0"/>
    <n v="1"/>
    <n v="22.799999999999997"/>
    <n v="1"/>
    <n v="0"/>
    <n v="0"/>
    <n v="0"/>
    <n v="1"/>
    <n v="0"/>
    <n v="0"/>
    <n v="1"/>
    <n v="0"/>
    <n v="0"/>
    <n v="1"/>
  </r>
  <r>
    <x v="1"/>
    <n v="100089701"/>
    <x v="9"/>
    <n v="100088609"/>
    <x v="139"/>
    <n v="4.8"/>
    <n v="1"/>
    <n v="0"/>
    <n v="58.800000000000004"/>
    <n v="1"/>
    <n v="0"/>
    <n v="25.800000000000004"/>
    <n v="1"/>
    <n v="0"/>
    <n v="37.44"/>
    <n v="1"/>
    <n v="0"/>
    <n v="0"/>
    <n v="0"/>
    <n v="1"/>
    <n v="0"/>
    <n v="0"/>
    <n v="1"/>
    <n v="0"/>
    <n v="0"/>
    <n v="1"/>
  </r>
  <r>
    <x v="1"/>
    <n v="100073888"/>
    <x v="10"/>
    <n v="100001215"/>
    <x v="140"/>
    <n v="0"/>
    <n v="0"/>
    <n v="1"/>
    <n v="49"/>
    <n v="1"/>
    <n v="0"/>
    <n v="9.6"/>
    <n v="1"/>
    <n v="0"/>
    <n v="18.72"/>
    <n v="1"/>
    <n v="0"/>
    <n v="9.6"/>
    <n v="1"/>
    <n v="0"/>
    <n v="0"/>
    <n v="0"/>
    <n v="1"/>
    <n v="0"/>
    <n v="0"/>
    <n v="1"/>
  </r>
  <r>
    <x v="1"/>
    <n v="100073888"/>
    <x v="10"/>
    <n v="100060702"/>
    <x v="141"/>
    <n v="-24"/>
    <n v="0"/>
    <n v="1"/>
    <n v="19.600000000000001"/>
    <n v="1"/>
    <n v="0"/>
    <n v="0"/>
    <n v="0"/>
    <n v="1"/>
    <n v="4.8"/>
    <n v="1"/>
    <n v="0"/>
    <n v="-19.2"/>
    <n v="0"/>
    <n v="1"/>
    <n v="0"/>
    <n v="0"/>
    <n v="1"/>
    <n v="0"/>
    <n v="0"/>
    <n v="1"/>
  </r>
  <r>
    <x v="1"/>
    <n v="100073888"/>
    <x v="10"/>
    <n v="100086804"/>
    <x v="142"/>
    <n v="-19.2"/>
    <n v="0"/>
    <n v="1"/>
    <n v="0"/>
    <n v="0"/>
    <n v="1"/>
    <n v="0"/>
    <n v="0"/>
    <n v="1"/>
    <n v="87.839999999999989"/>
    <n v="1"/>
    <n v="0"/>
    <n v="19.2"/>
    <n v="1"/>
    <n v="0"/>
    <n v="4.32"/>
    <n v="1"/>
    <n v="0"/>
    <n v="0"/>
    <n v="0"/>
    <n v="1"/>
  </r>
  <r>
    <x v="1"/>
    <n v="100073888"/>
    <x v="10"/>
    <n v="100084349"/>
    <x v="143"/>
    <n v="0"/>
    <n v="0"/>
    <n v="1"/>
    <n v="49"/>
    <n v="1"/>
    <n v="0"/>
    <n v="0"/>
    <n v="0"/>
    <n v="1"/>
    <n v="48"/>
    <n v="1"/>
    <n v="0"/>
    <n v="0"/>
    <n v="0"/>
    <n v="1"/>
    <n v="0"/>
    <n v="0"/>
    <n v="1"/>
    <n v="0"/>
    <n v="0"/>
    <n v="1"/>
  </r>
  <r>
    <x v="1"/>
    <n v="100073888"/>
    <x v="10"/>
    <n v="100001752"/>
    <x v="144"/>
    <n v="0"/>
    <n v="0"/>
    <n v="1"/>
    <n v="0"/>
    <n v="0"/>
    <n v="1"/>
    <n v="0"/>
    <n v="0"/>
    <n v="1"/>
    <n v="72"/>
    <n v="1"/>
    <n v="0"/>
    <n v="24"/>
    <n v="1"/>
    <n v="0"/>
    <n v="0"/>
    <n v="0"/>
    <n v="1"/>
    <n v="0"/>
    <n v="0"/>
    <n v="1"/>
  </r>
  <r>
    <x v="1"/>
    <n v="100073888"/>
    <x v="10"/>
    <n v="100081166"/>
    <x v="145"/>
    <n v="0"/>
    <n v="0"/>
    <n v="1"/>
    <n v="0"/>
    <n v="0"/>
    <n v="1"/>
    <n v="0"/>
    <n v="0"/>
    <n v="1"/>
    <n v="9.36"/>
    <n v="1"/>
    <n v="0"/>
    <n v="0"/>
    <n v="0"/>
    <n v="1"/>
    <n v="0"/>
    <n v="0"/>
    <n v="1"/>
    <n v="0"/>
    <n v="0"/>
    <n v="1"/>
  </r>
  <r>
    <x v="1"/>
    <n v="100073888"/>
    <x v="10"/>
    <n v="100001404"/>
    <x v="146"/>
    <n v="0"/>
    <n v="0"/>
    <n v="1"/>
    <n v="0"/>
    <n v="0"/>
    <n v="1"/>
    <n v="0"/>
    <n v="0"/>
    <n v="1"/>
    <n v="0"/>
    <n v="0"/>
    <n v="1"/>
    <n v="0"/>
    <n v="0"/>
    <n v="1"/>
    <n v="19.440000000000001"/>
    <n v="1"/>
    <n v="0"/>
    <n v="0"/>
    <n v="0"/>
    <n v="1"/>
  </r>
  <r>
    <x v="1"/>
    <n v="100073888"/>
    <x v="10"/>
    <n v="100064228"/>
    <x v="147"/>
    <n v="0"/>
    <n v="0"/>
    <n v="1"/>
    <n v="39.200000000000003"/>
    <n v="1"/>
    <n v="0"/>
    <n v="0"/>
    <n v="0"/>
    <n v="1"/>
    <n v="33.599999999999994"/>
    <n v="1"/>
    <n v="0"/>
    <n v="4.8"/>
    <n v="1"/>
    <n v="0"/>
    <n v="0"/>
    <n v="0"/>
    <n v="1"/>
    <n v="0"/>
    <n v="0"/>
    <n v="1"/>
  </r>
  <r>
    <x v="1"/>
    <n v="100073888"/>
    <x v="10"/>
    <n v="100083588"/>
    <x v="148"/>
    <n v="0"/>
    <n v="0"/>
    <n v="1"/>
    <n v="29.400000000000002"/>
    <n v="1"/>
    <n v="0"/>
    <n v="40.800000000000004"/>
    <n v="1"/>
    <n v="0"/>
    <n v="48"/>
    <n v="1"/>
    <n v="0"/>
    <n v="24"/>
    <n v="1"/>
    <n v="0"/>
    <n v="0"/>
    <n v="0"/>
    <n v="1"/>
    <n v="0"/>
    <n v="0"/>
    <n v="1"/>
  </r>
  <r>
    <x v="1"/>
    <n v="100073888"/>
    <x v="10"/>
    <n v="100010576"/>
    <x v="149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1"/>
    <n v="100073888"/>
    <x v="10"/>
    <n v="100002203"/>
    <x v="150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1"/>
    <n v="100073888"/>
    <x v="10"/>
    <n v="100001329"/>
    <x v="151"/>
    <n v="0"/>
    <n v="0"/>
    <n v="1"/>
    <n v="19.600000000000001"/>
    <n v="1"/>
    <n v="0"/>
    <n v="0"/>
    <n v="0"/>
    <n v="1"/>
    <n v="9.1199999999999992"/>
    <n v="1"/>
    <n v="0"/>
    <n v="0"/>
    <n v="0"/>
    <n v="1"/>
    <n v="0"/>
    <n v="0"/>
    <n v="1"/>
    <n v="0"/>
    <n v="0"/>
    <n v="1"/>
  </r>
  <r>
    <x v="1"/>
    <n v="100073888"/>
    <x v="10"/>
    <n v="100077493"/>
    <x v="152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1"/>
    <n v="100073888"/>
    <x v="10"/>
    <n v="100084330"/>
    <x v="153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1"/>
    <n v="100073888"/>
    <x v="10"/>
    <n v="100002253"/>
    <x v="154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2"/>
    <n v="100089354"/>
    <x v="11"/>
    <n v="100058447"/>
    <x v="155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2"/>
    <n v="100089354"/>
    <x v="11"/>
    <n v="100079903"/>
    <x v="156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2"/>
    <n v="100089354"/>
    <x v="11"/>
    <n v="100083681"/>
    <x v="157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2"/>
    <n v="100031199"/>
    <x v="12"/>
    <n v="100088905"/>
    <x v="158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2"/>
    <n v="100031199"/>
    <x v="12"/>
    <n v="100087340"/>
    <x v="159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2"/>
    <n v="100031199"/>
    <x v="12"/>
    <n v="100087098"/>
    <x v="160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2"/>
    <n v="100031199"/>
    <x v="12"/>
    <n v="100085167"/>
    <x v="161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2"/>
    <n v="100031199"/>
    <x v="12"/>
    <n v="100085481"/>
    <x v="162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2"/>
    <n v="100031199"/>
    <x v="12"/>
    <n v="100008613"/>
    <x v="163"/>
    <n v="0"/>
    <n v="0"/>
    <n v="1"/>
    <n v="0"/>
    <n v="0"/>
    <n v="1"/>
    <n v="0"/>
    <n v="0"/>
    <n v="1"/>
    <n v="3696"/>
    <n v="1"/>
    <n v="0"/>
    <n v="0"/>
    <n v="0"/>
    <n v="1"/>
    <n v="0"/>
    <n v="0"/>
    <n v="1"/>
    <n v="0"/>
    <n v="0"/>
    <n v="1"/>
  </r>
  <r>
    <x v="2"/>
    <n v="100031199"/>
    <x v="12"/>
    <n v="100002250"/>
    <x v="164"/>
    <n v="0"/>
    <n v="0"/>
    <n v="1"/>
    <n v="0"/>
    <n v="0"/>
    <n v="1"/>
    <n v="5.4"/>
    <n v="1"/>
    <n v="0"/>
    <n v="133.68"/>
    <n v="1"/>
    <n v="0"/>
    <n v="14.399999999999999"/>
    <n v="1"/>
    <n v="0"/>
    <n v="0"/>
    <n v="0"/>
    <n v="1"/>
    <n v="0"/>
    <n v="0"/>
    <n v="1"/>
  </r>
  <r>
    <x v="2"/>
    <n v="100031199"/>
    <x v="12"/>
    <n v="100002229"/>
    <x v="165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2"/>
    <n v="100031199"/>
    <x v="12"/>
    <n v="100022327"/>
    <x v="166"/>
    <n v="0"/>
    <n v="0"/>
    <n v="1"/>
    <n v="0"/>
    <n v="0"/>
    <n v="1"/>
    <n v="0"/>
    <n v="0"/>
    <n v="1"/>
    <n v="0"/>
    <n v="0"/>
    <n v="1"/>
    <n v="48"/>
    <n v="1"/>
    <n v="0"/>
    <n v="0"/>
    <n v="0"/>
    <n v="1"/>
    <n v="0"/>
    <n v="0"/>
    <n v="1"/>
  </r>
  <r>
    <x v="2"/>
    <n v="100031199"/>
    <x v="12"/>
    <n v="100002225"/>
    <x v="167"/>
    <n v="0"/>
    <n v="0"/>
    <n v="1"/>
    <n v="0"/>
    <n v="0"/>
    <n v="1"/>
    <n v="0"/>
    <n v="0"/>
    <n v="1"/>
    <n v="24"/>
    <n v="1"/>
    <n v="0"/>
    <n v="9.6"/>
    <n v="1"/>
    <n v="0"/>
    <n v="0"/>
    <n v="0"/>
    <n v="1"/>
    <n v="0"/>
    <n v="0"/>
    <n v="1"/>
  </r>
  <r>
    <x v="2"/>
    <n v="100031199"/>
    <x v="12"/>
    <n v="100071477"/>
    <x v="168"/>
    <n v="0"/>
    <n v="0"/>
    <n v="1"/>
    <n v="0"/>
    <n v="0"/>
    <n v="1"/>
    <n v="0"/>
    <n v="0"/>
    <n v="1"/>
    <n v="24"/>
    <n v="1"/>
    <n v="0"/>
    <n v="0"/>
    <n v="0"/>
    <n v="1"/>
    <n v="0"/>
    <n v="0"/>
    <n v="1"/>
    <n v="0"/>
    <n v="0"/>
    <n v="1"/>
  </r>
  <r>
    <x v="2"/>
    <n v="100031199"/>
    <x v="12"/>
    <n v="100073868"/>
    <x v="169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2"/>
    <n v="100031199"/>
    <x v="12"/>
    <n v="100040021"/>
    <x v="170"/>
    <n v="0"/>
    <n v="0"/>
    <n v="1"/>
    <n v="0"/>
    <n v="0"/>
    <n v="1"/>
    <n v="0"/>
    <n v="0"/>
    <n v="1"/>
    <n v="24"/>
    <n v="1"/>
    <n v="0"/>
    <n v="14.399999999999999"/>
    <n v="1"/>
    <n v="0"/>
    <n v="0"/>
    <n v="0"/>
    <n v="1"/>
    <n v="0"/>
    <n v="0"/>
    <n v="1"/>
  </r>
  <r>
    <x v="2"/>
    <n v="100031199"/>
    <x v="12"/>
    <n v="100019451"/>
    <x v="171"/>
    <n v="0"/>
    <n v="0"/>
    <n v="1"/>
    <n v="0"/>
    <n v="0"/>
    <n v="1"/>
    <n v="0"/>
    <n v="0"/>
    <n v="1"/>
    <n v="24"/>
    <n v="1"/>
    <n v="0"/>
    <n v="0"/>
    <n v="0"/>
    <n v="1"/>
    <n v="0"/>
    <n v="0"/>
    <n v="1"/>
    <n v="0"/>
    <n v="0"/>
    <n v="1"/>
  </r>
  <r>
    <x v="2"/>
    <n v="100031199"/>
    <x v="12"/>
    <n v="100066048"/>
    <x v="172"/>
    <n v="48"/>
    <n v="1"/>
    <n v="0"/>
    <n v="0"/>
    <n v="0"/>
    <n v="1"/>
    <n v="0"/>
    <n v="0"/>
    <n v="1"/>
    <n v="96"/>
    <n v="1"/>
    <n v="0"/>
    <n v="96"/>
    <n v="1"/>
    <n v="0"/>
    <n v="0"/>
    <n v="0"/>
    <n v="1"/>
    <n v="0"/>
    <n v="0"/>
    <n v="1"/>
  </r>
  <r>
    <x v="2"/>
    <n v="100031199"/>
    <x v="12"/>
    <n v="100086078"/>
    <x v="173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2"/>
    <n v="100031199"/>
    <x v="12"/>
    <n v="100089860"/>
    <x v="174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2"/>
    <n v="100031199"/>
    <x v="12"/>
    <n v="100089970"/>
    <x v="175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3"/>
    <n v="100088690"/>
    <x v="13"/>
    <n v="100002208"/>
    <x v="176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3"/>
    <n v="100088690"/>
    <x v="13"/>
    <n v="100080700"/>
    <x v="177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3"/>
    <n v="100088690"/>
    <x v="13"/>
    <n v="100082871"/>
    <x v="178"/>
    <n v="9.6"/>
    <n v="1"/>
    <n v="0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3"/>
    <n v="100088690"/>
    <x v="13"/>
    <n v="100001500"/>
    <x v="179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3"/>
    <n v="100088690"/>
    <x v="13"/>
    <n v="100026401"/>
    <x v="180"/>
    <n v="4.8"/>
    <n v="1"/>
    <n v="0"/>
    <n v="294.00000000000011"/>
    <n v="1"/>
    <n v="0"/>
    <n v="40.200000000000003"/>
    <n v="1"/>
    <n v="0"/>
    <n v="107.52"/>
    <n v="1"/>
    <n v="0"/>
    <n v="38.4"/>
    <n v="1"/>
    <n v="0"/>
    <n v="19.440000000000001"/>
    <n v="1"/>
    <n v="0"/>
    <n v="65.28"/>
    <n v="1"/>
    <n v="0"/>
  </r>
  <r>
    <x v="3"/>
    <n v="100088690"/>
    <x v="13"/>
    <n v="100001513"/>
    <x v="181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3"/>
    <n v="100088690"/>
    <x v="13"/>
    <n v="100067627"/>
    <x v="182"/>
    <n v="734.4"/>
    <n v="1"/>
    <n v="0"/>
    <n v="127.4"/>
    <n v="1"/>
    <n v="0"/>
    <n v="132"/>
    <n v="1"/>
    <n v="0"/>
    <n v="1206.48"/>
    <n v="1"/>
    <n v="0"/>
    <n v="115.19999999999999"/>
    <n v="1"/>
    <n v="0"/>
    <n v="194.40000000000003"/>
    <n v="1"/>
    <n v="0"/>
    <n v="0"/>
    <n v="0"/>
    <n v="1"/>
  </r>
  <r>
    <x v="3"/>
    <n v="100088690"/>
    <x v="13"/>
    <n v="100072066"/>
    <x v="183"/>
    <n v="24"/>
    <n v="1"/>
    <n v="0"/>
    <n v="0"/>
    <n v="0"/>
    <n v="1"/>
    <n v="5.4"/>
    <n v="1"/>
    <n v="0"/>
    <n v="9.1199999999999992"/>
    <n v="1"/>
    <n v="0"/>
    <n v="4.8"/>
    <n v="1"/>
    <n v="0"/>
    <n v="10.8"/>
    <n v="1"/>
    <n v="0"/>
    <n v="73.44"/>
    <n v="1"/>
    <n v="0"/>
  </r>
  <r>
    <x v="3"/>
    <n v="100088690"/>
    <x v="13"/>
    <n v="100015740"/>
    <x v="184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3"/>
    <n v="100088690"/>
    <x v="13"/>
    <n v="100081814"/>
    <x v="185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3"/>
    <n v="100088690"/>
    <x v="13"/>
    <n v="100072064"/>
    <x v="186"/>
    <n v="14.399999999999999"/>
    <n v="1"/>
    <n v="0"/>
    <n v="88.2"/>
    <n v="1"/>
    <n v="0"/>
    <n v="10.199999999999999"/>
    <n v="1"/>
    <n v="0"/>
    <n v="38.159999999999997"/>
    <n v="1"/>
    <n v="0"/>
    <n v="9.6"/>
    <n v="1"/>
    <n v="0"/>
    <n v="8.64"/>
    <n v="1"/>
    <n v="0"/>
    <n v="0"/>
    <n v="0"/>
    <n v="1"/>
  </r>
  <r>
    <x v="3"/>
    <n v="100088690"/>
    <x v="13"/>
    <n v="100080445"/>
    <x v="187"/>
    <n v="0"/>
    <n v="0"/>
    <n v="1"/>
    <n v="117.60000000000001"/>
    <n v="1"/>
    <n v="0"/>
    <n v="27"/>
    <n v="1"/>
    <n v="0"/>
    <n v="62.400000000000006"/>
    <n v="1"/>
    <n v="0"/>
    <n v="24"/>
    <n v="1"/>
    <n v="0"/>
    <n v="8.64"/>
    <n v="1"/>
    <n v="0"/>
    <n v="0"/>
    <n v="0"/>
    <n v="1"/>
  </r>
  <r>
    <x v="3"/>
    <n v="100088690"/>
    <x v="13"/>
    <n v="100018910"/>
    <x v="188"/>
    <n v="0"/>
    <n v="0"/>
    <n v="1"/>
    <n v="0"/>
    <n v="0"/>
    <n v="1"/>
    <n v="10.8"/>
    <n v="1"/>
    <n v="0"/>
    <n v="46.56"/>
    <n v="1"/>
    <n v="0"/>
    <n v="0"/>
    <n v="0"/>
    <n v="1"/>
    <n v="0"/>
    <n v="0"/>
    <n v="1"/>
    <n v="8.16"/>
    <n v="1"/>
    <n v="0"/>
  </r>
  <r>
    <x v="3"/>
    <n v="100088690"/>
    <x v="13"/>
    <n v="100072065"/>
    <x v="189"/>
    <n v="96"/>
    <n v="1"/>
    <n v="0"/>
    <n v="352.80000000000007"/>
    <n v="1"/>
    <n v="0"/>
    <n v="5.4"/>
    <n v="1"/>
    <n v="0"/>
    <n v="9.84"/>
    <n v="1"/>
    <n v="0"/>
    <n v="14.399999999999999"/>
    <n v="1"/>
    <n v="0"/>
    <n v="43.2"/>
    <n v="1"/>
    <n v="0"/>
    <n v="48.959999999999994"/>
    <n v="1"/>
    <n v="0"/>
  </r>
  <r>
    <x v="3"/>
    <n v="100088690"/>
    <x v="13"/>
    <n v="100068677"/>
    <x v="190"/>
    <n v="0"/>
    <n v="0"/>
    <n v="1"/>
    <n v="29.400000000000002"/>
    <n v="1"/>
    <n v="0"/>
    <n v="10.8"/>
    <n v="1"/>
    <n v="0"/>
    <n v="0"/>
    <n v="0"/>
    <n v="1"/>
    <n v="0"/>
    <n v="0"/>
    <n v="1"/>
    <n v="0"/>
    <n v="0"/>
    <n v="1"/>
    <n v="0"/>
    <n v="0"/>
    <n v="1"/>
  </r>
  <r>
    <x v="3"/>
    <n v="100088690"/>
    <x v="13"/>
    <n v="100017754"/>
    <x v="191"/>
    <n v="0"/>
    <n v="0"/>
    <n v="1"/>
    <n v="0"/>
    <n v="0"/>
    <n v="1"/>
    <n v="0"/>
    <n v="0"/>
    <n v="1"/>
    <n v="24"/>
    <n v="1"/>
    <n v="0"/>
    <n v="0"/>
    <n v="0"/>
    <n v="1"/>
    <n v="0"/>
    <n v="0"/>
    <n v="1"/>
    <n v="0"/>
    <n v="0"/>
    <n v="1"/>
  </r>
  <r>
    <x v="3"/>
    <n v="100088690"/>
    <x v="13"/>
    <n v="100024126"/>
    <x v="192"/>
    <n v="0"/>
    <n v="0"/>
    <n v="1"/>
    <n v="68.599999999999994"/>
    <n v="1"/>
    <n v="0"/>
    <n v="0"/>
    <n v="0"/>
    <n v="1"/>
    <n v="32.879999999999995"/>
    <n v="1"/>
    <n v="0"/>
    <n v="24"/>
    <n v="1"/>
    <n v="0"/>
    <n v="0"/>
    <n v="0"/>
    <n v="1"/>
    <n v="0"/>
    <n v="0"/>
    <n v="1"/>
  </r>
  <r>
    <x v="3"/>
    <n v="100088690"/>
    <x v="13"/>
    <n v="100071480"/>
    <x v="193"/>
    <n v="0"/>
    <n v="0"/>
    <n v="1"/>
    <n v="0"/>
    <n v="0"/>
    <n v="1"/>
    <n v="0"/>
    <n v="0"/>
    <n v="1"/>
    <n v="4.8"/>
    <n v="1"/>
    <n v="0"/>
    <n v="0"/>
    <n v="0"/>
    <n v="1"/>
    <n v="0"/>
    <n v="0"/>
    <n v="1"/>
    <n v="0"/>
    <n v="0"/>
    <n v="1"/>
  </r>
  <r>
    <x v="3"/>
    <n v="100088690"/>
    <x v="13"/>
    <n v="100063075"/>
    <x v="194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3"/>
    <n v="100088690"/>
    <x v="13"/>
    <n v="100072084"/>
    <x v="195"/>
    <n v="0"/>
    <n v="0"/>
    <n v="1"/>
    <n v="39.200000000000003"/>
    <n v="1"/>
    <n v="0"/>
    <n v="0"/>
    <n v="0"/>
    <n v="1"/>
    <n v="0"/>
    <n v="0"/>
    <n v="1"/>
    <n v="4.8"/>
    <n v="1"/>
    <n v="0"/>
    <n v="15.120000000000001"/>
    <n v="1"/>
    <n v="0"/>
    <n v="0"/>
    <n v="0"/>
    <n v="1"/>
  </r>
  <r>
    <x v="3"/>
    <n v="100088690"/>
    <x v="13"/>
    <n v="100000283"/>
    <x v="196"/>
    <n v="139.19999999999999"/>
    <n v="1"/>
    <n v="0"/>
    <n v="68.599999999999994"/>
    <n v="1"/>
    <n v="0"/>
    <n v="15.600000000000001"/>
    <n v="1"/>
    <n v="0"/>
    <n v="51.11999999999999"/>
    <n v="1"/>
    <n v="0"/>
    <n v="24"/>
    <n v="1"/>
    <n v="0"/>
    <n v="0"/>
    <n v="0"/>
    <n v="1"/>
    <n v="32.64"/>
    <n v="1"/>
    <n v="0"/>
  </r>
  <r>
    <x v="3"/>
    <n v="100088690"/>
    <x v="13"/>
    <n v="100001254"/>
    <x v="197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3"/>
    <n v="100088690"/>
    <x v="13"/>
    <n v="100088794"/>
    <x v="198"/>
    <n v="19.2"/>
    <n v="1"/>
    <n v="0"/>
    <n v="49"/>
    <n v="1"/>
    <n v="0"/>
    <n v="0"/>
    <n v="0"/>
    <n v="1"/>
    <n v="9.6"/>
    <n v="1"/>
    <n v="0"/>
    <n v="0"/>
    <n v="0"/>
    <n v="1"/>
    <n v="0"/>
    <n v="0"/>
    <n v="1"/>
    <n v="0"/>
    <n v="0"/>
    <n v="1"/>
  </r>
  <r>
    <x v="3"/>
    <n v="100088690"/>
    <x v="13"/>
    <n v="100088316"/>
    <x v="199"/>
    <n v="9.6"/>
    <n v="1"/>
    <n v="0"/>
    <n v="117.60000000000001"/>
    <n v="1"/>
    <n v="0"/>
    <n v="37.200000000000003"/>
    <n v="1"/>
    <n v="0"/>
    <n v="42"/>
    <n v="1"/>
    <n v="0"/>
    <n v="76.8"/>
    <n v="1"/>
    <n v="0"/>
    <n v="0"/>
    <n v="0"/>
    <n v="1"/>
    <n v="8.16"/>
    <n v="1"/>
    <n v="0"/>
  </r>
  <r>
    <x v="3"/>
    <n v="100088690"/>
    <x v="13"/>
    <n v="100089468"/>
    <x v="200"/>
    <n v="9.6"/>
    <n v="1"/>
    <n v="0"/>
    <n v="0"/>
    <n v="0"/>
    <n v="1"/>
    <n v="4.8"/>
    <n v="1"/>
    <n v="0"/>
    <n v="9.120000000000001"/>
    <n v="1"/>
    <n v="0"/>
    <n v="19.2"/>
    <n v="1"/>
    <n v="0"/>
    <n v="0"/>
    <n v="0"/>
    <n v="1"/>
    <n v="0"/>
    <n v="0"/>
    <n v="1"/>
  </r>
  <r>
    <x v="3"/>
    <n v="100089856"/>
    <x v="14"/>
    <n v="100013280"/>
    <x v="201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3"/>
    <n v="100089856"/>
    <x v="14"/>
    <n v="100001543"/>
    <x v="202"/>
    <n v="0"/>
    <n v="0"/>
    <n v="1"/>
    <n v="0"/>
    <n v="0"/>
    <n v="1"/>
    <n v="10.199999999999999"/>
    <n v="1"/>
    <n v="0"/>
    <n v="4.5599999999999996"/>
    <n v="1"/>
    <n v="0"/>
    <n v="0"/>
    <n v="0"/>
    <n v="1"/>
    <n v="0"/>
    <n v="0"/>
    <n v="1"/>
    <n v="0"/>
    <n v="0"/>
    <n v="1"/>
  </r>
  <r>
    <x v="3"/>
    <n v="100089856"/>
    <x v="14"/>
    <n v="100066164"/>
    <x v="203"/>
    <n v="86.399999999999991"/>
    <n v="1"/>
    <n v="0"/>
    <n v="245"/>
    <n v="1"/>
    <n v="0"/>
    <n v="0"/>
    <n v="0"/>
    <n v="1"/>
    <n v="0"/>
    <n v="0"/>
    <n v="1"/>
    <n v="19.2"/>
    <n v="1"/>
    <n v="0"/>
    <n v="0"/>
    <n v="0"/>
    <n v="1"/>
    <n v="0"/>
    <n v="0"/>
    <n v="1"/>
  </r>
  <r>
    <x v="3"/>
    <n v="100089856"/>
    <x v="14"/>
    <n v="100034611"/>
    <x v="204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3"/>
    <n v="100089856"/>
    <x v="14"/>
    <n v="100001907"/>
    <x v="205"/>
    <n v="48"/>
    <n v="1"/>
    <n v="0"/>
    <n v="196"/>
    <n v="1"/>
    <n v="0"/>
    <n v="21.6"/>
    <n v="1"/>
    <n v="0"/>
    <n v="144"/>
    <n v="1"/>
    <n v="0"/>
    <n v="0"/>
    <n v="0"/>
    <n v="1"/>
    <n v="4.32"/>
    <n v="1"/>
    <n v="0"/>
    <n v="81.599999999999994"/>
    <n v="1"/>
    <n v="0"/>
  </r>
  <r>
    <x v="3"/>
    <n v="100089856"/>
    <x v="14"/>
    <n v="100068177"/>
    <x v="206"/>
    <n v="0"/>
    <n v="0"/>
    <n v="1"/>
    <n v="0"/>
    <n v="0"/>
    <n v="1"/>
    <n v="32.400000000000006"/>
    <n v="1"/>
    <n v="0"/>
    <n v="24"/>
    <n v="1"/>
    <n v="0"/>
    <n v="0"/>
    <n v="0"/>
    <n v="1"/>
    <n v="0"/>
    <n v="0"/>
    <n v="1"/>
    <n v="0"/>
    <n v="0"/>
    <n v="1"/>
  </r>
  <r>
    <x v="3"/>
    <n v="100089856"/>
    <x v="14"/>
    <n v="100062882"/>
    <x v="207"/>
    <n v="9.6"/>
    <n v="1"/>
    <n v="0"/>
    <n v="39.200000000000003"/>
    <n v="1"/>
    <n v="0"/>
    <n v="0"/>
    <n v="0"/>
    <n v="1"/>
    <n v="0"/>
    <n v="0"/>
    <n v="1"/>
    <n v="0"/>
    <n v="0"/>
    <n v="1"/>
    <n v="0"/>
    <n v="0"/>
    <n v="1"/>
    <n v="0"/>
    <n v="0"/>
    <n v="1"/>
  </r>
  <r>
    <x v="3"/>
    <n v="100089856"/>
    <x v="14"/>
    <n v="100081920"/>
    <x v="208"/>
    <n v="0"/>
    <n v="0"/>
    <n v="1"/>
    <n v="0"/>
    <n v="0"/>
    <n v="1"/>
    <n v="0"/>
    <n v="0"/>
    <n v="1"/>
    <n v="0"/>
    <n v="0"/>
    <n v="1"/>
    <n v="0"/>
    <n v="0"/>
    <n v="1"/>
    <n v="172.8"/>
    <n v="1"/>
    <n v="0"/>
    <n v="0"/>
    <n v="0"/>
    <n v="1"/>
  </r>
  <r>
    <x v="3"/>
    <n v="100089856"/>
    <x v="14"/>
    <n v="100087806"/>
    <x v="209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3"/>
    <n v="100089856"/>
    <x v="14"/>
    <n v="100001936"/>
    <x v="210"/>
    <n v="4.8"/>
    <n v="1"/>
    <n v="0"/>
    <n v="9.8000000000000007"/>
    <n v="1"/>
    <n v="0"/>
    <n v="0"/>
    <n v="0"/>
    <n v="1"/>
    <n v="4.8"/>
    <n v="1"/>
    <n v="0"/>
    <n v="4.8"/>
    <n v="1"/>
    <n v="0"/>
    <n v="0"/>
    <n v="0"/>
    <n v="1"/>
    <n v="0"/>
    <n v="0"/>
    <n v="1"/>
  </r>
  <r>
    <x v="3"/>
    <n v="100089856"/>
    <x v="14"/>
    <n v="100001513"/>
    <x v="181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3"/>
    <n v="100089856"/>
    <x v="14"/>
    <n v="100059754"/>
    <x v="211"/>
    <n v="24"/>
    <n v="1"/>
    <n v="0"/>
    <n v="68.599999999999994"/>
    <n v="1"/>
    <n v="0"/>
    <n v="0"/>
    <n v="0"/>
    <n v="1"/>
    <n v="33.119999999999997"/>
    <n v="1"/>
    <n v="0"/>
    <n v="0"/>
    <n v="0"/>
    <n v="1"/>
    <n v="0"/>
    <n v="0"/>
    <n v="1"/>
    <n v="0"/>
    <n v="0"/>
    <n v="1"/>
  </r>
  <r>
    <x v="3"/>
    <n v="100089856"/>
    <x v="14"/>
    <n v="100061574"/>
    <x v="212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3"/>
    <n v="100089856"/>
    <x v="14"/>
    <n v="100005860"/>
    <x v="213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3"/>
    <n v="100089856"/>
    <x v="14"/>
    <n v="100064962"/>
    <x v="214"/>
    <n v="0"/>
    <n v="0"/>
    <n v="1"/>
    <n v="19.600000000000001"/>
    <n v="1"/>
    <n v="0"/>
    <n v="15.600000000000001"/>
    <n v="1"/>
    <n v="0"/>
    <n v="0"/>
    <n v="0"/>
    <n v="1"/>
    <n v="0"/>
    <n v="0"/>
    <n v="1"/>
    <n v="0"/>
    <n v="0"/>
    <n v="1"/>
    <n v="0"/>
    <n v="0"/>
    <n v="1"/>
  </r>
  <r>
    <x v="3"/>
    <n v="100067806"/>
    <x v="15"/>
    <n v="100001979"/>
    <x v="215"/>
    <n v="0"/>
    <n v="0"/>
    <n v="1"/>
    <n v="29.400000000000002"/>
    <n v="1"/>
    <n v="0"/>
    <n v="0"/>
    <n v="0"/>
    <n v="1"/>
    <n v="9.6"/>
    <n v="1"/>
    <n v="0"/>
    <n v="0"/>
    <n v="0"/>
    <n v="1"/>
    <n v="0"/>
    <n v="0"/>
    <n v="1"/>
    <n v="0"/>
    <n v="0"/>
    <n v="1"/>
  </r>
  <r>
    <x v="3"/>
    <n v="100067806"/>
    <x v="15"/>
    <n v="100002252"/>
    <x v="216"/>
    <n v="24"/>
    <n v="1"/>
    <n v="0"/>
    <n v="0"/>
    <n v="0"/>
    <n v="1"/>
    <n v="0"/>
    <n v="0"/>
    <n v="1"/>
    <n v="9.36"/>
    <n v="1"/>
    <n v="0"/>
    <n v="0"/>
    <n v="0"/>
    <n v="1"/>
    <n v="0"/>
    <n v="0"/>
    <n v="1"/>
    <n v="0"/>
    <n v="0"/>
    <n v="1"/>
  </r>
  <r>
    <x v="3"/>
    <n v="100067806"/>
    <x v="15"/>
    <n v="100085225"/>
    <x v="217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3"/>
    <n v="100067806"/>
    <x v="15"/>
    <n v="100001891"/>
    <x v="218"/>
    <n v="14.399999999999999"/>
    <n v="1"/>
    <n v="0"/>
    <n v="107.80000000000001"/>
    <n v="1"/>
    <n v="0"/>
    <n v="0"/>
    <n v="0"/>
    <n v="1"/>
    <n v="66.47999999999999"/>
    <n v="1"/>
    <n v="0"/>
    <n v="38.4"/>
    <n v="1"/>
    <n v="0"/>
    <n v="10.8"/>
    <n v="1"/>
    <n v="0"/>
    <n v="0"/>
    <n v="0"/>
    <n v="1"/>
  </r>
  <r>
    <x v="3"/>
    <n v="100067806"/>
    <x v="15"/>
    <n v="100086144"/>
    <x v="219"/>
    <n v="0"/>
    <n v="0"/>
    <n v="1"/>
    <n v="9.8000000000000007"/>
    <n v="1"/>
    <n v="0"/>
    <n v="0"/>
    <n v="0"/>
    <n v="1"/>
    <n v="0"/>
    <n v="0"/>
    <n v="1"/>
    <n v="0"/>
    <n v="0"/>
    <n v="1"/>
    <n v="0"/>
    <n v="0"/>
    <n v="1"/>
    <n v="0"/>
    <n v="0"/>
    <n v="1"/>
  </r>
  <r>
    <x v="3"/>
    <n v="100067806"/>
    <x v="15"/>
    <n v="100001593"/>
    <x v="220"/>
    <n v="0"/>
    <n v="0"/>
    <n v="1"/>
    <n v="0"/>
    <n v="0"/>
    <n v="1"/>
    <n v="46.2"/>
    <n v="1"/>
    <n v="0"/>
    <n v="0"/>
    <n v="0"/>
    <n v="1"/>
    <n v="-4.8"/>
    <n v="0"/>
    <n v="1"/>
    <n v="19.440000000000001"/>
    <n v="1"/>
    <n v="0"/>
    <n v="0"/>
    <n v="0"/>
    <n v="1"/>
  </r>
  <r>
    <x v="3"/>
    <n v="100067806"/>
    <x v="15"/>
    <n v="100081330"/>
    <x v="221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3"/>
    <n v="100067806"/>
    <x v="15"/>
    <n v="100079383"/>
    <x v="222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3"/>
    <n v="100067806"/>
    <x v="15"/>
    <n v="100079030"/>
    <x v="223"/>
    <n v="0"/>
    <n v="0"/>
    <n v="1"/>
    <n v="19.600000000000001"/>
    <n v="1"/>
    <n v="0"/>
    <n v="0"/>
    <n v="0"/>
    <n v="1"/>
    <n v="0"/>
    <n v="0"/>
    <n v="1"/>
    <n v="0"/>
    <n v="0"/>
    <n v="1"/>
    <n v="0"/>
    <n v="0"/>
    <n v="1"/>
    <n v="0"/>
    <n v="0"/>
    <n v="1"/>
  </r>
  <r>
    <x v="3"/>
    <n v="100067806"/>
    <x v="15"/>
    <n v="100024035"/>
    <x v="224"/>
    <n v="14.399999999999999"/>
    <n v="1"/>
    <n v="0"/>
    <n v="0"/>
    <n v="0"/>
    <n v="1"/>
    <n v="27.000000000000004"/>
    <n v="1"/>
    <n v="0"/>
    <n v="86.399999999999991"/>
    <n v="1"/>
    <n v="0"/>
    <n v="14.399999999999999"/>
    <n v="1"/>
    <n v="0"/>
    <n v="8.64"/>
    <n v="1"/>
    <n v="0"/>
    <n v="0"/>
    <n v="0"/>
    <n v="1"/>
  </r>
  <r>
    <x v="3"/>
    <n v="100067806"/>
    <x v="15"/>
    <n v="100054056"/>
    <x v="225"/>
    <n v="24"/>
    <n v="1"/>
    <n v="0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3"/>
    <n v="100067806"/>
    <x v="15"/>
    <n v="100001431"/>
    <x v="226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3"/>
    <n v="100067806"/>
    <x v="15"/>
    <n v="100076315"/>
    <x v="227"/>
    <n v="4.8"/>
    <n v="1"/>
    <n v="0"/>
    <n v="0"/>
    <n v="0"/>
    <n v="1"/>
    <n v="31.200000000000003"/>
    <n v="1"/>
    <n v="0"/>
    <n v="57.6"/>
    <n v="1"/>
    <n v="0"/>
    <n v="81.599999999999994"/>
    <n v="1"/>
    <n v="0"/>
    <n v="0"/>
    <n v="0"/>
    <n v="1"/>
    <n v="81.599999999999994"/>
    <n v="1"/>
    <n v="0"/>
  </r>
  <r>
    <x v="3"/>
    <n v="100067806"/>
    <x v="15"/>
    <n v="100002218"/>
    <x v="228"/>
    <n v="0"/>
    <n v="0"/>
    <n v="1"/>
    <n v="19.600000000000001"/>
    <n v="1"/>
    <n v="0"/>
    <n v="10.8"/>
    <n v="1"/>
    <n v="0"/>
    <n v="0"/>
    <n v="0"/>
    <n v="1"/>
    <n v="0"/>
    <n v="0"/>
    <n v="1"/>
    <n v="0"/>
    <n v="0"/>
    <n v="1"/>
    <n v="0"/>
    <n v="0"/>
    <n v="1"/>
  </r>
  <r>
    <x v="3"/>
    <n v="100067806"/>
    <x v="15"/>
    <n v="100076218"/>
    <x v="229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3"/>
    <n v="100067806"/>
    <x v="15"/>
    <n v="100071903"/>
    <x v="230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326.39999999999998"/>
    <n v="1"/>
    <n v="0"/>
  </r>
  <r>
    <x v="3"/>
    <n v="100067806"/>
    <x v="15"/>
    <n v="100080254"/>
    <x v="231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3"/>
    <n v="100067806"/>
    <x v="15"/>
    <n v="100080176"/>
    <x v="232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3"/>
    <n v="100067806"/>
    <x v="15"/>
    <n v="100085312"/>
    <x v="233"/>
    <n v="4.8"/>
    <n v="1"/>
    <n v="0"/>
    <n v="0"/>
    <n v="0"/>
    <n v="1"/>
    <n v="0"/>
    <n v="0"/>
    <n v="1"/>
    <n v="0"/>
    <n v="0"/>
    <n v="1"/>
    <n v="4.8"/>
    <n v="1"/>
    <n v="0"/>
    <n v="0"/>
    <n v="0"/>
    <n v="1"/>
    <n v="0"/>
    <n v="0"/>
    <n v="1"/>
  </r>
  <r>
    <x v="3"/>
    <n v="100067806"/>
    <x v="15"/>
    <n v="100076730"/>
    <x v="234"/>
    <n v="4.8"/>
    <n v="1"/>
    <n v="0"/>
    <n v="0"/>
    <n v="0"/>
    <n v="1"/>
    <n v="0"/>
    <n v="0"/>
    <n v="1"/>
    <n v="0"/>
    <n v="0"/>
    <n v="1"/>
    <n v="4.8"/>
    <n v="1"/>
    <n v="0"/>
    <n v="0"/>
    <n v="0"/>
    <n v="1"/>
    <n v="0"/>
    <n v="0"/>
    <n v="1"/>
  </r>
  <r>
    <x v="3"/>
    <n v="100067806"/>
    <x v="15"/>
    <n v="100009892"/>
    <x v="235"/>
    <n v="0"/>
    <n v="0"/>
    <n v="1"/>
    <n v="137.20000000000002"/>
    <n v="1"/>
    <n v="0"/>
    <n v="0"/>
    <n v="0"/>
    <n v="1"/>
    <n v="14.399999999999999"/>
    <n v="1"/>
    <n v="0"/>
    <n v="0"/>
    <n v="0"/>
    <n v="1"/>
    <n v="0"/>
    <n v="0"/>
    <n v="1"/>
    <n v="0"/>
    <n v="0"/>
    <n v="1"/>
  </r>
  <r>
    <x v="3"/>
    <n v="100067806"/>
    <x v="15"/>
    <n v="100063728"/>
    <x v="236"/>
    <n v="0"/>
    <n v="0"/>
    <n v="1"/>
    <n v="0"/>
    <n v="0"/>
    <n v="1"/>
    <n v="0"/>
    <n v="0"/>
    <n v="1"/>
    <n v="93.6"/>
    <n v="1"/>
    <n v="0"/>
    <n v="0"/>
    <n v="0"/>
    <n v="1"/>
    <n v="0"/>
    <n v="0"/>
    <n v="1"/>
    <n v="0"/>
    <n v="0"/>
    <n v="1"/>
  </r>
  <r>
    <x v="3"/>
    <n v="100067806"/>
    <x v="15"/>
    <n v="100084491"/>
    <x v="237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3"/>
    <n v="100067806"/>
    <x v="15"/>
    <n v="100062883"/>
    <x v="238"/>
    <n v="0"/>
    <n v="0"/>
    <n v="1"/>
    <n v="0"/>
    <n v="0"/>
    <n v="1"/>
    <n v="5.4"/>
    <n v="1"/>
    <n v="0"/>
    <n v="9.6"/>
    <n v="1"/>
    <n v="0"/>
    <n v="9.6"/>
    <n v="1"/>
    <n v="0"/>
    <n v="0"/>
    <n v="0"/>
    <n v="1"/>
    <n v="0"/>
    <n v="0"/>
    <n v="1"/>
  </r>
  <r>
    <x v="3"/>
    <n v="100067806"/>
    <x v="15"/>
    <n v="100014014"/>
    <x v="239"/>
    <n v="0"/>
    <n v="0"/>
    <n v="1"/>
    <n v="19.600000000000001"/>
    <n v="1"/>
    <n v="0"/>
    <n v="0"/>
    <n v="0"/>
    <n v="1"/>
    <n v="0"/>
    <n v="0"/>
    <n v="1"/>
    <n v="0"/>
    <n v="0"/>
    <n v="1"/>
    <n v="0"/>
    <n v="0"/>
    <n v="1"/>
    <n v="0"/>
    <n v="0"/>
    <n v="1"/>
  </r>
  <r>
    <x v="3"/>
    <n v="100067806"/>
    <x v="15"/>
    <n v="100088613"/>
    <x v="240"/>
    <n v="0"/>
    <n v="0"/>
    <n v="1"/>
    <n v="29.400000000000002"/>
    <n v="1"/>
    <n v="0"/>
    <n v="15"/>
    <n v="1"/>
    <n v="0"/>
    <n v="0"/>
    <n v="0"/>
    <n v="1"/>
    <n v="14.399999999999999"/>
    <n v="1"/>
    <n v="0"/>
    <n v="0"/>
    <n v="0"/>
    <n v="1"/>
    <n v="0"/>
    <n v="0"/>
    <n v="1"/>
  </r>
  <r>
    <x v="3"/>
    <n v="100067806"/>
    <x v="15"/>
    <n v="100001513"/>
    <x v="181"/>
    <n v="0"/>
    <n v="0"/>
    <n v="1"/>
    <n v="29.400000000000002"/>
    <n v="1"/>
    <n v="0"/>
    <n v="0"/>
    <n v="0"/>
    <n v="1"/>
    <n v="0"/>
    <n v="0"/>
    <n v="1"/>
    <n v="0"/>
    <n v="0"/>
    <n v="1"/>
    <n v="0"/>
    <n v="0"/>
    <n v="1"/>
    <n v="0"/>
    <n v="0"/>
    <n v="1"/>
  </r>
  <r>
    <x v="3"/>
    <n v="100067806"/>
    <x v="15"/>
    <n v="100001295"/>
    <x v="241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3"/>
    <n v="100063546"/>
    <x v="16"/>
    <n v="100001979"/>
    <x v="215"/>
    <n v="4.8"/>
    <n v="1"/>
    <n v="0"/>
    <n v="19.600000000000001"/>
    <n v="1"/>
    <n v="0"/>
    <n v="0"/>
    <n v="0"/>
    <n v="1"/>
    <n v="0"/>
    <n v="0"/>
    <n v="1"/>
    <n v="0"/>
    <n v="0"/>
    <n v="1"/>
    <n v="0"/>
    <n v="0"/>
    <n v="1"/>
    <n v="0"/>
    <n v="0"/>
    <n v="1"/>
  </r>
  <r>
    <x v="3"/>
    <n v="100063546"/>
    <x v="16"/>
    <n v="100001709"/>
    <x v="242"/>
    <n v="9.6"/>
    <n v="1"/>
    <n v="0"/>
    <n v="39.200000000000003"/>
    <n v="1"/>
    <n v="0"/>
    <n v="54"/>
    <n v="1"/>
    <n v="0"/>
    <n v="47.519999999999996"/>
    <n v="1"/>
    <n v="0"/>
    <n v="28.8"/>
    <n v="1"/>
    <n v="0"/>
    <n v="302.39999999999998"/>
    <n v="1"/>
    <n v="0"/>
    <n v="652.79999999999995"/>
    <n v="1"/>
    <n v="0"/>
  </r>
  <r>
    <x v="3"/>
    <n v="100063546"/>
    <x v="16"/>
    <n v="100001939"/>
    <x v="243"/>
    <n v="0"/>
    <n v="0"/>
    <n v="1"/>
    <n v="392"/>
    <n v="1"/>
    <n v="0"/>
    <n v="69.599999999999994"/>
    <n v="1"/>
    <n v="0"/>
    <n v="60"/>
    <n v="1"/>
    <n v="0"/>
    <n v="0"/>
    <n v="0"/>
    <n v="1"/>
    <n v="0"/>
    <n v="0"/>
    <n v="1"/>
    <n v="1615.68"/>
    <n v="1"/>
    <n v="0"/>
  </r>
  <r>
    <x v="3"/>
    <n v="100063546"/>
    <x v="16"/>
    <n v="100065432"/>
    <x v="244"/>
    <n v="0"/>
    <n v="0"/>
    <n v="1"/>
    <n v="0"/>
    <n v="0"/>
    <n v="1"/>
    <n v="0"/>
    <n v="0"/>
    <n v="1"/>
    <n v="9.6"/>
    <n v="1"/>
    <n v="0"/>
    <n v="9.6"/>
    <n v="1"/>
    <n v="0"/>
    <n v="0"/>
    <n v="0"/>
    <n v="1"/>
    <n v="0"/>
    <n v="0"/>
    <n v="1"/>
  </r>
  <r>
    <x v="3"/>
    <n v="100063546"/>
    <x v="16"/>
    <n v="100084929"/>
    <x v="245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3"/>
    <n v="100063546"/>
    <x v="16"/>
    <n v="100001196"/>
    <x v="246"/>
    <n v="0"/>
    <n v="0"/>
    <n v="1"/>
    <n v="715.39999999999964"/>
    <n v="1"/>
    <n v="0"/>
    <n v="174"/>
    <n v="1"/>
    <n v="0"/>
    <n v="417.60000000000014"/>
    <n v="1"/>
    <n v="0"/>
    <n v="0"/>
    <n v="0"/>
    <n v="1"/>
    <n v="0"/>
    <n v="0"/>
    <n v="1"/>
    <n v="0"/>
    <n v="0"/>
    <n v="1"/>
  </r>
  <r>
    <x v="3"/>
    <n v="100063546"/>
    <x v="16"/>
    <n v="100005901"/>
    <x v="247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-81.599999999999994"/>
    <n v="0"/>
    <n v="1"/>
  </r>
  <r>
    <x v="3"/>
    <n v="100063546"/>
    <x v="16"/>
    <n v="100015382"/>
    <x v="248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3"/>
    <n v="100063546"/>
    <x v="16"/>
    <n v="100001715"/>
    <x v="249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3"/>
    <n v="100063546"/>
    <x v="16"/>
    <n v="100001825"/>
    <x v="250"/>
    <n v="14.399999999999999"/>
    <n v="1"/>
    <n v="0"/>
    <n v="0"/>
    <n v="0"/>
    <n v="1"/>
    <n v="0"/>
    <n v="0"/>
    <n v="1"/>
    <n v="4.5599999999999996"/>
    <n v="1"/>
    <n v="0"/>
    <n v="0"/>
    <n v="0"/>
    <n v="1"/>
    <n v="0"/>
    <n v="0"/>
    <n v="1"/>
    <n v="0"/>
    <n v="0"/>
    <n v="1"/>
  </r>
  <r>
    <x v="3"/>
    <n v="100063546"/>
    <x v="16"/>
    <n v="100071034"/>
    <x v="251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3"/>
    <n v="100063546"/>
    <x v="16"/>
    <n v="100001510"/>
    <x v="252"/>
    <n v="19.2"/>
    <n v="1"/>
    <n v="0"/>
    <n v="254.8"/>
    <n v="1"/>
    <n v="0"/>
    <n v="14.399999999999999"/>
    <n v="1"/>
    <n v="0"/>
    <n v="47.519999999999996"/>
    <n v="1"/>
    <n v="0"/>
    <n v="0"/>
    <n v="0"/>
    <n v="1"/>
    <n v="0"/>
    <n v="0"/>
    <n v="1"/>
    <n v="0"/>
    <n v="0"/>
    <n v="1"/>
  </r>
  <r>
    <x v="3"/>
    <n v="100063546"/>
    <x v="16"/>
    <n v="100086920"/>
    <x v="253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3"/>
    <n v="100063546"/>
    <x v="16"/>
    <n v="100076015"/>
    <x v="254"/>
    <n v="0"/>
    <n v="0"/>
    <n v="1"/>
    <n v="49"/>
    <n v="1"/>
    <n v="0"/>
    <n v="0"/>
    <n v="0"/>
    <n v="1"/>
    <n v="61.919999999999995"/>
    <n v="1"/>
    <n v="0"/>
    <n v="9.6"/>
    <n v="1"/>
    <n v="0"/>
    <n v="0"/>
    <n v="0"/>
    <n v="1"/>
    <n v="32.64"/>
    <n v="1"/>
    <n v="0"/>
  </r>
  <r>
    <x v="3"/>
    <n v="100063546"/>
    <x v="16"/>
    <n v="100071319"/>
    <x v="255"/>
    <n v="0"/>
    <n v="0"/>
    <n v="1"/>
    <n v="29.400000000000002"/>
    <n v="1"/>
    <n v="0"/>
    <n v="0"/>
    <n v="0"/>
    <n v="1"/>
    <n v="32.64"/>
    <n v="1"/>
    <n v="0"/>
    <n v="0"/>
    <n v="0"/>
    <n v="1"/>
    <n v="0"/>
    <n v="0"/>
    <n v="1"/>
    <n v="0"/>
    <n v="0"/>
    <n v="1"/>
  </r>
  <r>
    <x v="3"/>
    <n v="100063546"/>
    <x v="16"/>
    <n v="100069083"/>
    <x v="256"/>
    <n v="28.799999999999997"/>
    <n v="1"/>
    <n v="0"/>
    <n v="49"/>
    <n v="1"/>
    <n v="0"/>
    <n v="0"/>
    <n v="0"/>
    <n v="1"/>
    <n v="48"/>
    <n v="1"/>
    <n v="0"/>
    <n v="-4.8"/>
    <n v="0"/>
    <n v="1"/>
    <n v="0"/>
    <n v="0"/>
    <n v="1"/>
    <n v="0"/>
    <n v="0"/>
    <n v="1"/>
  </r>
  <r>
    <x v="3"/>
    <n v="100063546"/>
    <x v="16"/>
    <n v="100072087"/>
    <x v="257"/>
    <n v="0"/>
    <n v="0"/>
    <n v="1"/>
    <n v="98"/>
    <n v="1"/>
    <n v="0"/>
    <n v="0"/>
    <n v="0"/>
    <n v="1"/>
    <n v="14.16"/>
    <n v="1"/>
    <n v="0"/>
    <n v="19.2"/>
    <n v="1"/>
    <n v="0"/>
    <n v="0"/>
    <n v="0"/>
    <n v="1"/>
    <n v="32.64"/>
    <n v="1"/>
    <n v="0"/>
  </r>
  <r>
    <x v="3"/>
    <n v="100063546"/>
    <x v="16"/>
    <n v="100078525"/>
    <x v="258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3"/>
    <n v="100063546"/>
    <x v="16"/>
    <n v="100078986"/>
    <x v="259"/>
    <n v="0"/>
    <n v="0"/>
    <n v="1"/>
    <n v="0"/>
    <n v="0"/>
    <n v="1"/>
    <n v="0"/>
    <n v="0"/>
    <n v="1"/>
    <n v="9.6"/>
    <n v="1"/>
    <n v="0"/>
    <n v="0"/>
    <n v="0"/>
    <n v="1"/>
    <n v="0"/>
    <n v="0"/>
    <n v="1"/>
    <n v="0"/>
    <n v="0"/>
    <n v="1"/>
  </r>
  <r>
    <x v="3"/>
    <n v="100063546"/>
    <x v="16"/>
    <n v="100053840"/>
    <x v="260"/>
    <n v="-4.8"/>
    <n v="0"/>
    <n v="1"/>
    <n v="-9.8000000000000007"/>
    <n v="0"/>
    <n v="1"/>
    <n v="-10.199999999999999"/>
    <n v="0"/>
    <n v="1"/>
    <n v="0.24000000000000021"/>
    <n v="1"/>
    <n v="0"/>
    <n v="-4.8"/>
    <n v="0"/>
    <n v="1"/>
    <n v="-4.32"/>
    <n v="0"/>
    <n v="1"/>
    <n v="-16.32"/>
    <n v="0"/>
    <n v="1"/>
  </r>
  <r>
    <x v="3"/>
    <n v="100063546"/>
    <x v="16"/>
    <n v="100083281"/>
    <x v="261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16.32"/>
    <n v="1"/>
    <n v="0"/>
  </r>
  <r>
    <x v="3"/>
    <n v="100063546"/>
    <x v="16"/>
    <n v="100084699"/>
    <x v="262"/>
    <n v="0"/>
    <n v="0"/>
    <n v="1"/>
    <n v="49"/>
    <n v="1"/>
    <n v="0"/>
    <n v="0"/>
    <n v="0"/>
    <n v="1"/>
    <n v="9.6"/>
    <n v="1"/>
    <n v="0"/>
    <n v="0"/>
    <n v="0"/>
    <n v="1"/>
    <n v="0"/>
    <n v="0"/>
    <n v="1"/>
    <n v="0"/>
    <n v="0"/>
    <n v="1"/>
  </r>
  <r>
    <x v="3"/>
    <n v="100063546"/>
    <x v="16"/>
    <n v="100080253"/>
    <x v="263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3"/>
    <n v="100063546"/>
    <x v="16"/>
    <n v="100089146"/>
    <x v="264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3"/>
    <n v="100087724"/>
    <x v="17"/>
    <n v="100001196"/>
    <x v="246"/>
    <n v="0"/>
    <n v="0"/>
    <n v="1"/>
    <n v="196"/>
    <n v="1"/>
    <n v="0"/>
    <n v="43.2"/>
    <n v="1"/>
    <n v="0"/>
    <n v="70.08"/>
    <n v="1"/>
    <n v="0"/>
    <n v="0"/>
    <n v="0"/>
    <n v="1"/>
    <n v="0"/>
    <n v="0"/>
    <n v="1"/>
    <n v="0"/>
    <n v="0"/>
    <n v="1"/>
  </r>
  <r>
    <x v="3"/>
    <n v="100087724"/>
    <x v="17"/>
    <n v="100001979"/>
    <x v="215"/>
    <n v="62.4"/>
    <n v="1"/>
    <n v="0"/>
    <n v="39.200000000000003"/>
    <n v="1"/>
    <n v="0"/>
    <n v="42"/>
    <n v="1"/>
    <n v="0"/>
    <n v="23.519999999999996"/>
    <n v="1"/>
    <n v="0"/>
    <n v="4.8"/>
    <n v="1"/>
    <n v="0"/>
    <n v="0"/>
    <n v="0"/>
    <n v="1"/>
    <n v="0"/>
    <n v="0"/>
    <n v="1"/>
  </r>
  <r>
    <x v="3"/>
    <n v="100087724"/>
    <x v="17"/>
    <n v="100002471"/>
    <x v="265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3"/>
    <n v="100087724"/>
    <x v="17"/>
    <n v="100005866"/>
    <x v="266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3"/>
    <n v="100087724"/>
    <x v="17"/>
    <n v="100025209"/>
    <x v="267"/>
    <n v="-4.8"/>
    <n v="0"/>
    <n v="1"/>
    <n v="1470.0000000000002"/>
    <n v="1"/>
    <n v="0"/>
    <n v="80.400000000000006"/>
    <n v="1"/>
    <n v="0"/>
    <n v="216"/>
    <n v="1"/>
    <n v="0"/>
    <n v="0"/>
    <n v="0"/>
    <n v="1"/>
    <n v="23.76"/>
    <n v="1"/>
    <n v="0"/>
    <n v="652.79999999999995"/>
    <n v="1"/>
    <n v="0"/>
  </r>
  <r>
    <x v="3"/>
    <n v="100087724"/>
    <x v="17"/>
    <n v="100087941"/>
    <x v="268"/>
    <n v="48"/>
    <n v="1"/>
    <n v="0"/>
    <n v="0"/>
    <n v="0"/>
    <n v="1"/>
    <n v="0"/>
    <n v="0"/>
    <n v="1"/>
    <n v="4.8"/>
    <n v="1"/>
    <n v="0"/>
    <n v="14.399999999999999"/>
    <n v="1"/>
    <n v="0"/>
    <n v="2.16"/>
    <n v="1"/>
    <n v="0"/>
    <n v="16.32"/>
    <n v="1"/>
    <n v="0"/>
  </r>
  <r>
    <x v="3"/>
    <n v="100087724"/>
    <x v="17"/>
    <n v="100067528"/>
    <x v="269"/>
    <n v="14.399999999999999"/>
    <n v="1"/>
    <n v="0"/>
    <n v="9.8000000000000007"/>
    <n v="1"/>
    <n v="0"/>
    <n v="0"/>
    <n v="0"/>
    <n v="1"/>
    <n v="0"/>
    <n v="0"/>
    <n v="1"/>
    <n v="4.8"/>
    <n v="1"/>
    <n v="0"/>
    <n v="2.16"/>
    <n v="1"/>
    <n v="0"/>
    <n v="0"/>
    <n v="0"/>
    <n v="1"/>
  </r>
  <r>
    <x v="3"/>
    <n v="100087724"/>
    <x v="17"/>
    <n v="100087924"/>
    <x v="270"/>
    <n v="72"/>
    <n v="1"/>
    <n v="0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3"/>
    <n v="100087724"/>
    <x v="17"/>
    <n v="100069181"/>
    <x v="271"/>
    <n v="4.8"/>
    <n v="1"/>
    <n v="0"/>
    <n v="0"/>
    <n v="0"/>
    <n v="1"/>
    <n v="5.4"/>
    <n v="1"/>
    <n v="0"/>
    <n v="34.799999999999997"/>
    <n v="1"/>
    <n v="0"/>
    <n v="48"/>
    <n v="1"/>
    <n v="0"/>
    <n v="10.8"/>
    <n v="1"/>
    <n v="0"/>
    <n v="16.32"/>
    <n v="1"/>
    <n v="0"/>
  </r>
  <r>
    <x v="3"/>
    <n v="100087724"/>
    <x v="17"/>
    <n v="100070616"/>
    <x v="272"/>
    <n v="0"/>
    <n v="0"/>
    <n v="1"/>
    <n v="0"/>
    <n v="0"/>
    <n v="1"/>
    <n v="0"/>
    <n v="0"/>
    <n v="1"/>
    <n v="38.4"/>
    <n v="1"/>
    <n v="0"/>
    <n v="0"/>
    <n v="0"/>
    <n v="1"/>
    <n v="0"/>
    <n v="0"/>
    <n v="1"/>
    <n v="0"/>
    <n v="0"/>
    <n v="1"/>
  </r>
  <r>
    <x v="3"/>
    <n v="100087724"/>
    <x v="17"/>
    <n v="100079876"/>
    <x v="273"/>
    <n v="0"/>
    <n v="0"/>
    <n v="1"/>
    <n v="49"/>
    <n v="1"/>
    <n v="0"/>
    <n v="0"/>
    <n v="0"/>
    <n v="1"/>
    <n v="18.239999999999998"/>
    <n v="1"/>
    <n v="0"/>
    <n v="9.6"/>
    <n v="1"/>
    <n v="0"/>
    <n v="0"/>
    <n v="0"/>
    <n v="1"/>
    <n v="0"/>
    <n v="0"/>
    <n v="1"/>
  </r>
  <r>
    <x v="3"/>
    <n v="100087724"/>
    <x v="17"/>
    <n v="100081157"/>
    <x v="274"/>
    <n v="4.8"/>
    <n v="1"/>
    <n v="0"/>
    <n v="9.8000000000000007"/>
    <n v="1"/>
    <n v="0"/>
    <n v="10.8"/>
    <n v="1"/>
    <n v="0"/>
    <n v="4.8"/>
    <n v="1"/>
    <n v="0"/>
    <n v="4.8"/>
    <n v="1"/>
    <n v="0"/>
    <n v="2.16"/>
    <n v="1"/>
    <n v="0"/>
    <n v="0"/>
    <n v="0"/>
    <n v="1"/>
  </r>
  <r>
    <x v="3"/>
    <n v="100087724"/>
    <x v="17"/>
    <n v="100083001"/>
    <x v="275"/>
    <n v="9.6"/>
    <n v="1"/>
    <n v="0"/>
    <n v="49"/>
    <n v="1"/>
    <n v="0"/>
    <n v="0"/>
    <n v="0"/>
    <n v="1"/>
    <n v="0.24000000000000021"/>
    <n v="1"/>
    <n v="0"/>
    <n v="14.399999999999999"/>
    <n v="1"/>
    <n v="0"/>
    <n v="4.32"/>
    <n v="1"/>
    <n v="0"/>
    <n v="-8.16"/>
    <n v="0"/>
    <n v="1"/>
  </r>
  <r>
    <x v="3"/>
    <n v="100087724"/>
    <x v="17"/>
    <n v="100084045"/>
    <x v="276"/>
    <n v="0"/>
    <n v="0"/>
    <n v="1"/>
    <n v="294"/>
    <n v="1"/>
    <n v="0"/>
    <n v="5.4"/>
    <n v="1"/>
    <n v="0"/>
    <n v="18.48"/>
    <n v="1"/>
    <n v="0"/>
    <n v="24"/>
    <n v="1"/>
    <n v="0"/>
    <n v="0"/>
    <n v="0"/>
    <n v="1"/>
    <n v="0"/>
    <n v="0"/>
    <n v="1"/>
  </r>
  <r>
    <x v="3"/>
    <n v="100087724"/>
    <x v="17"/>
    <n v="100087681"/>
    <x v="277"/>
    <n v="4.8"/>
    <n v="1"/>
    <n v="0"/>
    <n v="98"/>
    <n v="1"/>
    <n v="0"/>
    <n v="27"/>
    <n v="1"/>
    <n v="0"/>
    <n v="93.6"/>
    <n v="1"/>
    <n v="0"/>
    <n v="4.8"/>
    <n v="1"/>
    <n v="0"/>
    <n v="10.8"/>
    <n v="1"/>
    <n v="0"/>
    <n v="0"/>
    <n v="0"/>
    <n v="1"/>
  </r>
  <r>
    <x v="3"/>
    <n v="100070275"/>
    <x v="18"/>
    <n v="100086676"/>
    <x v="278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3"/>
    <n v="100070275"/>
    <x v="18"/>
    <n v="100079420"/>
    <x v="279"/>
    <n v="0"/>
    <n v="0"/>
    <n v="1"/>
    <n v="49"/>
    <n v="1"/>
    <n v="0"/>
    <n v="0"/>
    <n v="0"/>
    <n v="1"/>
    <n v="24"/>
    <n v="1"/>
    <n v="0"/>
    <n v="0"/>
    <n v="0"/>
    <n v="1"/>
    <n v="0"/>
    <n v="0"/>
    <n v="1"/>
    <n v="0"/>
    <n v="0"/>
    <n v="1"/>
  </r>
  <r>
    <x v="3"/>
    <n v="100070275"/>
    <x v="18"/>
    <n v="100078680"/>
    <x v="280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3"/>
    <n v="100070275"/>
    <x v="18"/>
    <n v="100064271"/>
    <x v="281"/>
    <n v="4.8"/>
    <n v="1"/>
    <n v="0"/>
    <n v="9.8000000000000007"/>
    <n v="1"/>
    <n v="0"/>
    <n v="15.600000000000001"/>
    <n v="1"/>
    <n v="0"/>
    <n v="9.36"/>
    <n v="1"/>
    <n v="0"/>
    <n v="0"/>
    <n v="0"/>
    <n v="1"/>
    <n v="2.16"/>
    <n v="1"/>
    <n v="0"/>
    <n v="8.16"/>
    <n v="1"/>
    <n v="0"/>
  </r>
  <r>
    <x v="3"/>
    <n v="100070275"/>
    <x v="18"/>
    <n v="100069359"/>
    <x v="282"/>
    <n v="0"/>
    <n v="0"/>
    <n v="1"/>
    <n v="0"/>
    <n v="0"/>
    <n v="1"/>
    <n v="95.4"/>
    <n v="1"/>
    <n v="0"/>
    <n v="22.799999999999997"/>
    <n v="1"/>
    <n v="0"/>
    <n v="0"/>
    <n v="0"/>
    <n v="1"/>
    <n v="0"/>
    <n v="0"/>
    <n v="1"/>
    <n v="0"/>
    <n v="0"/>
    <n v="1"/>
  </r>
  <r>
    <x v="3"/>
    <n v="100070275"/>
    <x v="18"/>
    <n v="100078132"/>
    <x v="283"/>
    <n v="-4.8"/>
    <n v="0"/>
    <n v="1"/>
    <n v="39.200000000000003"/>
    <n v="1"/>
    <n v="0"/>
    <n v="0"/>
    <n v="0"/>
    <n v="1"/>
    <n v="-9.36"/>
    <n v="0"/>
    <n v="1"/>
    <n v="-4.8"/>
    <n v="0"/>
    <n v="1"/>
    <n v="-4.32"/>
    <n v="0"/>
    <n v="1"/>
    <n v="0"/>
    <n v="0"/>
    <n v="1"/>
  </r>
  <r>
    <x v="3"/>
    <n v="100070275"/>
    <x v="18"/>
    <n v="100023921"/>
    <x v="284"/>
    <n v="0"/>
    <n v="0"/>
    <n v="1"/>
    <n v="-9.8000000000000007"/>
    <n v="0"/>
    <n v="1"/>
    <n v="-4.8"/>
    <n v="0"/>
    <n v="1"/>
    <n v="-9.36"/>
    <n v="0"/>
    <n v="1"/>
    <n v="-4.8"/>
    <n v="0"/>
    <n v="1"/>
    <n v="-4.32"/>
    <n v="0"/>
    <n v="1"/>
    <n v="-8.16"/>
    <n v="0"/>
    <n v="1"/>
  </r>
  <r>
    <x v="3"/>
    <n v="100070275"/>
    <x v="18"/>
    <n v="100082844"/>
    <x v="285"/>
    <n v="0"/>
    <n v="0"/>
    <n v="1"/>
    <n v="0"/>
    <n v="0"/>
    <n v="1"/>
    <n v="-10.199999999999999"/>
    <n v="0"/>
    <n v="1"/>
    <n v="-18.72"/>
    <n v="0"/>
    <n v="1"/>
    <n v="-9.6"/>
    <n v="0"/>
    <n v="1"/>
    <n v="-4.32"/>
    <n v="0"/>
    <n v="1"/>
    <n v="-8.16"/>
    <n v="0"/>
    <n v="1"/>
  </r>
  <r>
    <x v="3"/>
    <n v="100070275"/>
    <x v="18"/>
    <n v="100001577"/>
    <x v="286"/>
    <n v="9.6"/>
    <n v="1"/>
    <n v="0"/>
    <n v="29.400000000000002"/>
    <n v="1"/>
    <n v="0"/>
    <n v="9.6"/>
    <n v="1"/>
    <n v="0"/>
    <n v="37.68"/>
    <n v="1"/>
    <n v="0"/>
    <n v="0"/>
    <n v="0"/>
    <n v="1"/>
    <n v="0"/>
    <n v="0"/>
    <n v="1"/>
    <n v="0"/>
    <n v="0"/>
    <n v="1"/>
  </r>
  <r>
    <x v="3"/>
    <n v="100070275"/>
    <x v="18"/>
    <n v="100078048"/>
    <x v="287"/>
    <n v="4.8"/>
    <n v="1"/>
    <n v="0"/>
    <n v="49"/>
    <n v="1"/>
    <n v="0"/>
    <n v="25.2"/>
    <n v="1"/>
    <n v="0"/>
    <n v="23.759999999999998"/>
    <n v="1"/>
    <n v="0"/>
    <n v="0"/>
    <n v="0"/>
    <n v="1"/>
    <n v="0"/>
    <n v="0"/>
    <n v="1"/>
    <n v="0"/>
    <n v="0"/>
    <n v="1"/>
  </r>
  <r>
    <x v="3"/>
    <n v="100070275"/>
    <x v="18"/>
    <n v="100001301"/>
    <x v="288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3"/>
    <n v="100070275"/>
    <x v="18"/>
    <n v="100001521"/>
    <x v="289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3"/>
    <n v="100070275"/>
    <x v="18"/>
    <n v="100002071"/>
    <x v="290"/>
    <n v="48"/>
    <n v="1"/>
    <n v="0"/>
    <n v="9.8000000000000007"/>
    <n v="1"/>
    <n v="0"/>
    <n v="20.400000000000002"/>
    <n v="1"/>
    <n v="0"/>
    <n v="166.8"/>
    <n v="1"/>
    <n v="0"/>
    <n v="0"/>
    <n v="0"/>
    <n v="1"/>
    <n v="4.32"/>
    <n v="1"/>
    <n v="0"/>
    <n v="0"/>
    <n v="0"/>
    <n v="1"/>
  </r>
  <r>
    <x v="3"/>
    <n v="100070275"/>
    <x v="18"/>
    <n v="100001979"/>
    <x v="215"/>
    <n v="0"/>
    <n v="0"/>
    <n v="1"/>
    <n v="0"/>
    <n v="0"/>
    <n v="1"/>
    <n v="15"/>
    <n v="1"/>
    <n v="0"/>
    <n v="9.6"/>
    <n v="1"/>
    <n v="0"/>
    <n v="0"/>
    <n v="0"/>
    <n v="1"/>
    <n v="0"/>
    <n v="0"/>
    <n v="1"/>
    <n v="0"/>
    <n v="0"/>
    <n v="1"/>
  </r>
  <r>
    <x v="3"/>
    <n v="100070275"/>
    <x v="18"/>
    <n v="100001679"/>
    <x v="291"/>
    <n v="0"/>
    <n v="0"/>
    <n v="1"/>
    <n v="58.800000000000004"/>
    <n v="1"/>
    <n v="0"/>
    <n v="0"/>
    <n v="0"/>
    <n v="1"/>
    <n v="0"/>
    <n v="0"/>
    <n v="1"/>
    <n v="0"/>
    <n v="0"/>
    <n v="1"/>
    <n v="0"/>
    <n v="0"/>
    <n v="1"/>
    <n v="0"/>
    <n v="0"/>
    <n v="1"/>
  </r>
  <r>
    <x v="3"/>
    <n v="100070275"/>
    <x v="18"/>
    <n v="100001246"/>
    <x v="292"/>
    <n v="4.8"/>
    <n v="1"/>
    <n v="0"/>
    <n v="98"/>
    <n v="1"/>
    <n v="0"/>
    <n v="10.8"/>
    <n v="1"/>
    <n v="0"/>
    <n v="9.36"/>
    <n v="1"/>
    <n v="0"/>
    <n v="0"/>
    <n v="0"/>
    <n v="1"/>
    <n v="10.8"/>
    <n v="1"/>
    <n v="0"/>
    <n v="40.799999999999997"/>
    <n v="1"/>
    <n v="0"/>
  </r>
  <r>
    <x v="3"/>
    <n v="100070275"/>
    <x v="18"/>
    <n v="100083239"/>
    <x v="293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3"/>
    <n v="100070275"/>
    <x v="18"/>
    <n v="100066082"/>
    <x v="294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3"/>
    <n v="100070276"/>
    <x v="18"/>
    <n v="100088142"/>
    <x v="295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3"/>
    <n v="100075073"/>
    <x v="19"/>
    <n v="100001979"/>
    <x v="215"/>
    <n v="38.4"/>
    <n v="1"/>
    <n v="0"/>
    <n v="19.600000000000001"/>
    <n v="1"/>
    <n v="0"/>
    <n v="5.4"/>
    <n v="1"/>
    <n v="0"/>
    <n v="0"/>
    <n v="0"/>
    <n v="1"/>
    <n v="0"/>
    <n v="0"/>
    <n v="1"/>
    <n v="0"/>
    <n v="0"/>
    <n v="1"/>
    <n v="0"/>
    <n v="0"/>
    <n v="1"/>
  </r>
  <r>
    <x v="3"/>
    <n v="100075073"/>
    <x v="19"/>
    <n v="100014590"/>
    <x v="296"/>
    <n v="14.399999999999999"/>
    <n v="1"/>
    <n v="0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3"/>
    <n v="100075073"/>
    <x v="19"/>
    <n v="100001197"/>
    <x v="297"/>
    <n v="-9.6"/>
    <n v="0"/>
    <n v="1"/>
    <n v="0"/>
    <n v="0"/>
    <n v="1"/>
    <n v="-10.199999999999999"/>
    <n v="0"/>
    <n v="1"/>
    <n v="-13.919999999999998"/>
    <n v="0"/>
    <n v="1"/>
    <n v="-9.6"/>
    <n v="0"/>
    <n v="1"/>
    <n v="0"/>
    <n v="0"/>
    <n v="1"/>
    <n v="0"/>
    <n v="0"/>
    <n v="1"/>
  </r>
  <r>
    <x v="3"/>
    <n v="100075073"/>
    <x v="19"/>
    <n v="100087851"/>
    <x v="298"/>
    <n v="0"/>
    <n v="0"/>
    <n v="1"/>
    <n v="0"/>
    <n v="0"/>
    <n v="1"/>
    <n v="0"/>
    <n v="0"/>
    <n v="1"/>
    <n v="105.12"/>
    <n v="1"/>
    <n v="0"/>
    <n v="4.8"/>
    <n v="1"/>
    <n v="0"/>
    <n v="0"/>
    <n v="0"/>
    <n v="1"/>
    <n v="24.48"/>
    <n v="1"/>
    <n v="0"/>
  </r>
  <r>
    <x v="3"/>
    <n v="100075073"/>
    <x v="19"/>
    <n v="100001807"/>
    <x v="299"/>
    <n v="0"/>
    <n v="0"/>
    <n v="1"/>
    <n v="9.8000000000000007"/>
    <n v="1"/>
    <n v="0"/>
    <n v="0"/>
    <n v="0"/>
    <n v="1"/>
    <n v="9.36"/>
    <n v="1"/>
    <n v="0"/>
    <n v="0"/>
    <n v="0"/>
    <n v="1"/>
    <n v="0"/>
    <n v="0"/>
    <n v="1"/>
    <n v="0"/>
    <n v="0"/>
    <n v="1"/>
  </r>
  <r>
    <x v="3"/>
    <n v="100075073"/>
    <x v="19"/>
    <n v="100001935"/>
    <x v="300"/>
    <n v="0"/>
    <n v="0"/>
    <n v="1"/>
    <n v="58.8"/>
    <n v="1"/>
    <n v="0"/>
    <n v="0"/>
    <n v="0"/>
    <n v="1"/>
    <n v="42.96"/>
    <n v="1"/>
    <n v="0"/>
    <n v="0"/>
    <n v="0"/>
    <n v="1"/>
    <n v="0"/>
    <n v="0"/>
    <n v="1"/>
    <n v="0"/>
    <n v="0"/>
    <n v="1"/>
  </r>
  <r>
    <x v="3"/>
    <n v="100075073"/>
    <x v="19"/>
    <n v="100082353"/>
    <x v="301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3"/>
    <n v="100075073"/>
    <x v="19"/>
    <n v="100075136"/>
    <x v="302"/>
    <n v="0"/>
    <n v="0"/>
    <n v="1"/>
    <n v="392"/>
    <n v="1"/>
    <n v="0"/>
    <n v="14.399999999999999"/>
    <n v="1"/>
    <n v="0"/>
    <n v="285.60000000000002"/>
    <n v="1"/>
    <n v="0"/>
    <n v="0"/>
    <n v="0"/>
    <n v="1"/>
    <n v="0"/>
    <n v="0"/>
    <n v="1"/>
    <n v="0"/>
    <n v="0"/>
    <n v="1"/>
  </r>
  <r>
    <x v="3"/>
    <n v="100075073"/>
    <x v="19"/>
    <n v="100002420"/>
    <x v="303"/>
    <n v="0"/>
    <n v="0"/>
    <n v="1"/>
    <n v="0"/>
    <n v="0"/>
    <n v="1"/>
    <n v="0"/>
    <n v="0"/>
    <n v="1"/>
    <n v="9.6"/>
    <n v="1"/>
    <n v="0"/>
    <n v="0"/>
    <n v="0"/>
    <n v="1"/>
    <n v="0"/>
    <n v="0"/>
    <n v="1"/>
    <n v="0"/>
    <n v="0"/>
    <n v="1"/>
  </r>
  <r>
    <x v="3"/>
    <n v="100075073"/>
    <x v="19"/>
    <n v="100064325"/>
    <x v="304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3"/>
    <n v="100075073"/>
    <x v="19"/>
    <n v="100085596"/>
    <x v="305"/>
    <n v="0"/>
    <n v="0"/>
    <n v="1"/>
    <n v="0"/>
    <n v="0"/>
    <n v="1"/>
    <n v="0"/>
    <n v="0"/>
    <n v="1"/>
    <n v="28.799999999999997"/>
    <n v="1"/>
    <n v="0"/>
    <n v="0"/>
    <n v="0"/>
    <n v="1"/>
    <n v="0"/>
    <n v="0"/>
    <n v="1"/>
    <n v="0"/>
    <n v="0"/>
    <n v="1"/>
  </r>
  <r>
    <x v="3"/>
    <n v="100075073"/>
    <x v="19"/>
    <n v="100001336"/>
    <x v="306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3"/>
    <n v="100075073"/>
    <x v="19"/>
    <n v="100001738"/>
    <x v="307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3"/>
    <n v="100075073"/>
    <x v="19"/>
    <n v="100088892"/>
    <x v="308"/>
    <n v="4.8"/>
    <n v="1"/>
    <n v="0"/>
    <n v="98"/>
    <n v="1"/>
    <n v="0"/>
    <n v="0"/>
    <n v="0"/>
    <n v="1"/>
    <n v="144"/>
    <n v="1"/>
    <n v="0"/>
    <n v="0"/>
    <n v="0"/>
    <n v="1"/>
    <n v="0"/>
    <n v="0"/>
    <n v="1"/>
    <n v="0"/>
    <n v="0"/>
    <n v="1"/>
  </r>
  <r>
    <x v="4"/>
    <n v="100050090"/>
    <x v="20"/>
    <n v="100001434"/>
    <x v="309"/>
    <n v="38.399999999999991"/>
    <n v="1"/>
    <n v="0"/>
    <n v="666.4"/>
    <n v="1"/>
    <n v="0"/>
    <n v="96.6"/>
    <n v="1"/>
    <n v="0"/>
    <n v="198.96"/>
    <n v="1"/>
    <n v="0"/>
    <n v="268.79999999999995"/>
    <n v="1"/>
    <n v="0"/>
    <n v="0"/>
    <n v="0"/>
    <n v="1"/>
    <n v="0"/>
    <n v="0"/>
    <n v="1"/>
  </r>
  <r>
    <x v="4"/>
    <n v="100050090"/>
    <x v="20"/>
    <n v="100014442"/>
    <x v="310"/>
    <n v="0"/>
    <n v="0"/>
    <n v="1"/>
    <n v="343"/>
    <n v="1"/>
    <n v="0"/>
    <n v="0"/>
    <n v="0"/>
    <n v="1"/>
    <n v="0"/>
    <n v="0"/>
    <n v="1"/>
    <n v="0"/>
    <n v="0"/>
    <n v="1"/>
    <n v="0"/>
    <n v="0"/>
    <n v="1"/>
    <n v="0"/>
    <n v="0"/>
    <n v="1"/>
  </r>
  <r>
    <x v="4"/>
    <n v="100050090"/>
    <x v="20"/>
    <n v="100018913"/>
    <x v="311"/>
    <n v="4.8"/>
    <n v="1"/>
    <n v="0"/>
    <n v="29.400000000000002"/>
    <n v="1"/>
    <n v="0"/>
    <n v="16.200000000000003"/>
    <n v="1"/>
    <n v="0"/>
    <n v="0"/>
    <n v="0"/>
    <n v="1"/>
    <n v="0"/>
    <n v="0"/>
    <n v="1"/>
    <n v="0"/>
    <n v="0"/>
    <n v="1"/>
    <n v="0"/>
    <n v="0"/>
    <n v="1"/>
  </r>
  <r>
    <x v="4"/>
    <n v="100050090"/>
    <x v="20"/>
    <n v="100015167"/>
    <x v="312"/>
    <n v="0"/>
    <n v="0"/>
    <n v="1"/>
    <n v="254.8"/>
    <n v="1"/>
    <n v="0"/>
    <n v="56.400000000000006"/>
    <n v="1"/>
    <n v="0"/>
    <n v="112.32"/>
    <n v="1"/>
    <n v="0"/>
    <n v="0"/>
    <n v="0"/>
    <n v="1"/>
    <n v="21.6"/>
    <n v="1"/>
    <n v="0"/>
    <n v="0"/>
    <n v="0"/>
    <n v="1"/>
  </r>
  <r>
    <x v="4"/>
    <n v="100050090"/>
    <x v="20"/>
    <n v="100001979"/>
    <x v="215"/>
    <n v="19.2"/>
    <n v="1"/>
    <n v="0"/>
    <n v="68.599999999999994"/>
    <n v="1"/>
    <n v="0"/>
    <n v="37.200000000000003"/>
    <n v="1"/>
    <n v="0"/>
    <n v="28.32"/>
    <n v="1"/>
    <n v="0"/>
    <n v="0"/>
    <n v="0"/>
    <n v="1"/>
    <n v="0"/>
    <n v="0"/>
    <n v="1"/>
    <n v="0"/>
    <n v="0"/>
    <n v="1"/>
  </r>
  <r>
    <x v="4"/>
    <n v="100050090"/>
    <x v="20"/>
    <n v="100000650"/>
    <x v="313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4"/>
    <n v="100050090"/>
    <x v="20"/>
    <n v="100001938"/>
    <x v="314"/>
    <n v="28.799999999999997"/>
    <n v="1"/>
    <n v="0"/>
    <n v="803.60000000000014"/>
    <n v="1"/>
    <n v="0"/>
    <n v="124.79999999999998"/>
    <n v="1"/>
    <n v="0"/>
    <n v="232.56000000000003"/>
    <n v="1"/>
    <n v="0"/>
    <n v="57.599999999999994"/>
    <n v="1"/>
    <n v="0"/>
    <n v="54"/>
    <n v="1"/>
    <n v="0"/>
    <n v="0"/>
    <n v="0"/>
    <n v="1"/>
  </r>
  <r>
    <x v="4"/>
    <n v="100050090"/>
    <x v="20"/>
    <n v="100001342"/>
    <x v="315"/>
    <n v="0"/>
    <n v="0"/>
    <n v="1"/>
    <n v="0"/>
    <n v="0"/>
    <n v="1"/>
    <n v="0"/>
    <n v="0"/>
    <n v="1"/>
    <n v="61.199999999999996"/>
    <n v="1"/>
    <n v="0"/>
    <n v="19.2"/>
    <n v="1"/>
    <n v="0"/>
    <n v="0"/>
    <n v="0"/>
    <n v="1"/>
    <n v="0"/>
    <n v="0"/>
    <n v="1"/>
  </r>
  <r>
    <x v="4"/>
    <n v="100075114"/>
    <x v="21"/>
    <n v="100001342"/>
    <x v="315"/>
    <n v="0"/>
    <n v="0"/>
    <n v="1"/>
    <n v="509.6"/>
    <n v="1"/>
    <n v="0"/>
    <n v="162.6"/>
    <n v="1"/>
    <n v="0"/>
    <n v="341.76000000000005"/>
    <n v="1"/>
    <n v="0"/>
    <n v="57.6"/>
    <n v="1"/>
    <n v="0"/>
    <n v="6.48"/>
    <n v="1"/>
    <n v="0"/>
    <n v="0"/>
    <n v="0"/>
    <n v="1"/>
  </r>
  <r>
    <x v="4"/>
    <n v="100075114"/>
    <x v="21"/>
    <n v="100001850"/>
    <x v="316"/>
    <n v="0"/>
    <n v="0"/>
    <n v="1"/>
    <n v="68.599999999999994"/>
    <n v="1"/>
    <n v="0"/>
    <n v="31.200000000000003"/>
    <n v="1"/>
    <n v="0"/>
    <n v="46.8"/>
    <n v="1"/>
    <n v="0"/>
    <n v="0"/>
    <n v="0"/>
    <n v="1"/>
    <n v="10.8"/>
    <n v="1"/>
    <n v="0"/>
    <n v="718.08"/>
    <n v="1"/>
    <n v="0"/>
  </r>
  <r>
    <x v="4"/>
    <n v="100075114"/>
    <x v="21"/>
    <n v="100002199"/>
    <x v="317"/>
    <n v="0"/>
    <n v="0"/>
    <n v="1"/>
    <n v="107.80000000000001"/>
    <n v="1"/>
    <n v="0"/>
    <n v="10.8"/>
    <n v="1"/>
    <n v="0"/>
    <n v="0"/>
    <n v="0"/>
    <n v="1"/>
    <n v="0"/>
    <n v="0"/>
    <n v="1"/>
    <n v="129.60000000000002"/>
    <n v="1"/>
    <n v="0"/>
    <n v="0"/>
    <n v="0"/>
    <n v="1"/>
  </r>
  <r>
    <x v="4"/>
    <n v="100075114"/>
    <x v="21"/>
    <n v="100001583"/>
    <x v="318"/>
    <n v="0"/>
    <n v="0"/>
    <n v="1"/>
    <n v="137.20000000000002"/>
    <n v="1"/>
    <n v="0"/>
    <n v="68.400000000000006"/>
    <n v="1"/>
    <n v="0"/>
    <n v="131.76"/>
    <n v="1"/>
    <n v="0"/>
    <n v="0"/>
    <n v="0"/>
    <n v="1"/>
    <n v="116.64000000000001"/>
    <n v="1"/>
    <n v="0"/>
    <n v="0"/>
    <n v="0"/>
    <n v="1"/>
  </r>
  <r>
    <x v="4"/>
    <n v="100075114"/>
    <x v="21"/>
    <n v="100001186"/>
    <x v="319"/>
    <n v="0"/>
    <n v="0"/>
    <n v="1"/>
    <n v="9.8000000000000007"/>
    <n v="1"/>
    <n v="0"/>
    <n v="5.4"/>
    <n v="1"/>
    <n v="0"/>
    <n v="-0.24000000000000021"/>
    <n v="0"/>
    <n v="1"/>
    <n v="0"/>
    <n v="0"/>
    <n v="1"/>
    <n v="64.800000000000011"/>
    <n v="1"/>
    <n v="0"/>
    <n v="-16.32"/>
    <n v="0"/>
    <n v="1"/>
  </r>
  <r>
    <x v="4"/>
    <n v="100075114"/>
    <x v="21"/>
    <n v="100001979"/>
    <x v="215"/>
    <n v="48"/>
    <n v="1"/>
    <n v="0"/>
    <n v="19.600000000000001"/>
    <n v="1"/>
    <n v="0"/>
    <n v="15.600000000000001"/>
    <n v="1"/>
    <n v="0"/>
    <n v="23.28"/>
    <n v="1"/>
    <n v="0"/>
    <n v="4.8"/>
    <n v="1"/>
    <n v="0"/>
    <n v="0"/>
    <n v="0"/>
    <n v="1"/>
    <n v="0"/>
    <n v="0"/>
    <n v="1"/>
  </r>
  <r>
    <x v="4"/>
    <n v="100075114"/>
    <x v="21"/>
    <n v="100002075"/>
    <x v="320"/>
    <n v="0"/>
    <n v="0"/>
    <n v="1"/>
    <n v="588.00000000000034"/>
    <n v="1"/>
    <n v="0"/>
    <n v="25.2"/>
    <n v="1"/>
    <n v="0"/>
    <n v="108.47999999999999"/>
    <n v="1"/>
    <n v="0"/>
    <n v="52.79999999999999"/>
    <n v="1"/>
    <n v="0"/>
    <n v="0"/>
    <n v="0"/>
    <n v="1"/>
    <n v="0"/>
    <n v="0"/>
    <n v="1"/>
  </r>
  <r>
    <x v="4"/>
    <n v="100075114"/>
    <x v="21"/>
    <n v="100001434"/>
    <x v="309"/>
    <n v="0"/>
    <n v="0"/>
    <n v="1"/>
    <n v="68.600000000000009"/>
    <n v="1"/>
    <n v="0"/>
    <n v="20.400000000000002"/>
    <n v="1"/>
    <n v="0"/>
    <n v="56.879999999999995"/>
    <n v="1"/>
    <n v="0"/>
    <n v="33.599999999999994"/>
    <n v="1"/>
    <n v="0"/>
    <n v="0"/>
    <n v="0"/>
    <n v="1"/>
    <n v="0"/>
    <n v="0"/>
    <n v="1"/>
  </r>
  <r>
    <x v="4"/>
    <n v="100071290"/>
    <x v="22"/>
    <n v="100002075"/>
    <x v="320"/>
    <n v="0"/>
    <n v="0"/>
    <n v="1"/>
    <n v="0"/>
    <n v="0"/>
    <n v="1"/>
    <n v="-9.6"/>
    <n v="0"/>
    <n v="1"/>
    <n v="-4.5599999999999996"/>
    <n v="0"/>
    <n v="1"/>
    <n v="0"/>
    <n v="0"/>
    <n v="1"/>
    <n v="0"/>
    <n v="0"/>
    <n v="1"/>
    <n v="0"/>
    <n v="0"/>
    <n v="1"/>
  </r>
  <r>
    <x v="4"/>
    <n v="100071290"/>
    <x v="22"/>
    <n v="100001272"/>
    <x v="321"/>
    <n v="0"/>
    <n v="0"/>
    <n v="1"/>
    <n v="29.400000000000002"/>
    <n v="1"/>
    <n v="0"/>
    <n v="0"/>
    <n v="0"/>
    <n v="1"/>
    <n v="-9.6"/>
    <n v="0"/>
    <n v="1"/>
    <n v="0"/>
    <n v="0"/>
    <n v="1"/>
    <n v="0"/>
    <n v="0"/>
    <n v="1"/>
    <n v="0"/>
    <n v="0"/>
    <n v="1"/>
  </r>
  <r>
    <x v="4"/>
    <n v="100071290"/>
    <x v="22"/>
    <n v="100001342"/>
    <x v="315"/>
    <n v="0"/>
    <n v="0"/>
    <n v="1"/>
    <n v="303.8"/>
    <n v="1"/>
    <n v="0"/>
    <n v="190.8"/>
    <n v="1"/>
    <n v="0"/>
    <n v="248.39999999999998"/>
    <n v="1"/>
    <n v="0"/>
    <n v="38.4"/>
    <n v="1"/>
    <n v="0"/>
    <n v="0"/>
    <n v="0"/>
    <n v="1"/>
    <n v="0"/>
    <n v="0"/>
    <n v="1"/>
  </r>
  <r>
    <x v="4"/>
    <n v="100071290"/>
    <x v="22"/>
    <n v="100001526"/>
    <x v="322"/>
    <n v="0"/>
    <n v="0"/>
    <n v="1"/>
    <n v="29.400000000000002"/>
    <n v="1"/>
    <n v="0"/>
    <n v="9.6"/>
    <n v="1"/>
    <n v="0"/>
    <n v="9.1199999999999992"/>
    <n v="1"/>
    <n v="0"/>
    <n v="4.8"/>
    <n v="1"/>
    <n v="0"/>
    <n v="0"/>
    <n v="0"/>
    <n v="1"/>
    <n v="-8.16"/>
    <n v="0"/>
    <n v="1"/>
  </r>
  <r>
    <x v="4"/>
    <n v="100071290"/>
    <x v="22"/>
    <n v="100001979"/>
    <x v="215"/>
    <n v="96"/>
    <n v="1"/>
    <n v="0"/>
    <n v="19.600000000000001"/>
    <n v="1"/>
    <n v="0"/>
    <n v="68.400000000000006"/>
    <n v="1"/>
    <n v="0"/>
    <n v="37.44"/>
    <n v="1"/>
    <n v="0"/>
    <n v="9.6"/>
    <n v="1"/>
    <n v="0"/>
    <n v="103.68"/>
    <n v="1"/>
    <n v="0"/>
    <n v="0"/>
    <n v="0"/>
    <n v="1"/>
  </r>
  <r>
    <x v="4"/>
    <n v="100071290"/>
    <x v="22"/>
    <n v="100063475"/>
    <x v="323"/>
    <n v="14.399999999999999"/>
    <n v="1"/>
    <n v="0"/>
    <n v="98"/>
    <n v="1"/>
    <n v="0"/>
    <n v="122.4"/>
    <n v="1"/>
    <n v="0"/>
    <n v="118.8"/>
    <n v="1"/>
    <n v="0"/>
    <n v="0"/>
    <n v="0"/>
    <n v="1"/>
    <n v="108"/>
    <n v="1"/>
    <n v="0"/>
    <n v="0"/>
    <n v="0"/>
    <n v="1"/>
  </r>
  <r>
    <x v="4"/>
    <n v="100071290"/>
    <x v="22"/>
    <n v="100001583"/>
    <x v="318"/>
    <n v="9.6000000000000014"/>
    <n v="1"/>
    <n v="0"/>
    <n v="323.40000000000003"/>
    <n v="1"/>
    <n v="0"/>
    <n v="437.40000000000003"/>
    <n v="1"/>
    <n v="0"/>
    <n v="405.6"/>
    <n v="1"/>
    <n v="0"/>
    <n v="47.999999999999986"/>
    <n v="1"/>
    <n v="0"/>
    <n v="120.96000000000001"/>
    <n v="1"/>
    <n v="0"/>
    <n v="0"/>
    <n v="0"/>
    <n v="1"/>
  </r>
  <r>
    <x v="4"/>
    <n v="100071290"/>
    <x v="22"/>
    <n v="100002003"/>
    <x v="324"/>
    <n v="0"/>
    <n v="0"/>
    <n v="1"/>
    <n v="0"/>
    <n v="0"/>
    <n v="1"/>
    <n v="54.000000000000007"/>
    <n v="1"/>
    <n v="0"/>
    <n v="0"/>
    <n v="0"/>
    <n v="1"/>
    <n v="0"/>
    <n v="0"/>
    <n v="1"/>
    <n v="38.880000000000003"/>
    <n v="1"/>
    <n v="0"/>
    <n v="0"/>
    <n v="0"/>
    <n v="1"/>
  </r>
  <r>
    <x v="4"/>
    <n v="100071290"/>
    <x v="22"/>
    <n v="100002411"/>
    <x v="325"/>
    <n v="0"/>
    <n v="0"/>
    <n v="1"/>
    <n v="98"/>
    <n v="1"/>
    <n v="0"/>
    <n v="0"/>
    <n v="0"/>
    <n v="1"/>
    <n v="22.799999999999997"/>
    <n v="1"/>
    <n v="0"/>
    <n v="0"/>
    <n v="0"/>
    <n v="1"/>
    <n v="0"/>
    <n v="0"/>
    <n v="1"/>
    <n v="0"/>
    <n v="0"/>
    <n v="1"/>
  </r>
  <r>
    <x v="4"/>
    <n v="100071290"/>
    <x v="22"/>
    <n v="100002069"/>
    <x v="326"/>
    <n v="0"/>
    <n v="0"/>
    <n v="1"/>
    <n v="196"/>
    <n v="1"/>
    <n v="0"/>
    <n v="0"/>
    <n v="0"/>
    <n v="1"/>
    <n v="0"/>
    <n v="0"/>
    <n v="1"/>
    <n v="0"/>
    <n v="0"/>
    <n v="1"/>
    <n v="0"/>
    <n v="0"/>
    <n v="1"/>
    <n v="0"/>
    <n v="0"/>
    <n v="1"/>
  </r>
  <r>
    <x v="4"/>
    <n v="100071290"/>
    <x v="22"/>
    <n v="100002068"/>
    <x v="327"/>
    <n v="0"/>
    <n v="0"/>
    <n v="1"/>
    <n v="0"/>
    <n v="0"/>
    <n v="1"/>
    <n v="0"/>
    <n v="0"/>
    <n v="1"/>
    <n v="0"/>
    <n v="0"/>
    <n v="1"/>
    <n v="0"/>
    <n v="0"/>
    <n v="1"/>
    <n v="129.60000000000002"/>
    <n v="1"/>
    <n v="0"/>
    <n v="0"/>
    <n v="0"/>
    <n v="1"/>
  </r>
  <r>
    <x v="4"/>
    <n v="100071290"/>
    <x v="22"/>
    <n v="100008576"/>
    <x v="328"/>
    <n v="0"/>
    <n v="0"/>
    <n v="1"/>
    <n v="980"/>
    <n v="1"/>
    <n v="0"/>
    <n v="0"/>
    <n v="0"/>
    <n v="1"/>
    <n v="402.24"/>
    <n v="1"/>
    <n v="0"/>
    <n v="0"/>
    <n v="0"/>
    <n v="1"/>
    <n v="77.760000000000005"/>
    <n v="1"/>
    <n v="0"/>
    <n v="816"/>
    <n v="1"/>
    <n v="0"/>
  </r>
  <r>
    <x v="0"/>
    <n v="100088964"/>
    <x v="23"/>
    <n v="100001342"/>
    <x v="315"/>
    <n v="0"/>
    <n v="0"/>
    <n v="1"/>
    <n v="49"/>
    <n v="1"/>
    <n v="0"/>
    <n v="41.400000000000006"/>
    <n v="1"/>
    <n v="0"/>
    <n v="169.43999999999997"/>
    <n v="1"/>
    <n v="0"/>
    <n v="76.8"/>
    <n v="1"/>
    <n v="0"/>
    <n v="0"/>
    <n v="0"/>
    <n v="1"/>
    <n v="0"/>
    <n v="0"/>
    <n v="1"/>
  </r>
  <r>
    <x v="0"/>
    <n v="100088964"/>
    <x v="23"/>
    <n v="100001434"/>
    <x v="309"/>
    <n v="0"/>
    <n v="0"/>
    <n v="1"/>
    <n v="156.80000000000004"/>
    <n v="1"/>
    <n v="0"/>
    <n v="10.200000000000001"/>
    <n v="1"/>
    <n v="0"/>
    <n v="52.559999999999995"/>
    <n v="1"/>
    <n v="0"/>
    <n v="86.399999999999991"/>
    <n v="1"/>
    <n v="0"/>
    <n v="0"/>
    <n v="0"/>
    <n v="1"/>
    <n v="0"/>
    <n v="0"/>
    <n v="1"/>
  </r>
  <r>
    <x v="0"/>
    <n v="100088964"/>
    <x v="23"/>
    <n v="100001507"/>
    <x v="329"/>
    <n v="0"/>
    <n v="0"/>
    <n v="1"/>
    <n v="0"/>
    <n v="0"/>
    <n v="1"/>
    <n v="0"/>
    <n v="0"/>
    <n v="1"/>
    <n v="18.72"/>
    <n v="1"/>
    <n v="0"/>
    <n v="0"/>
    <n v="0"/>
    <n v="1"/>
    <n v="0"/>
    <n v="0"/>
    <n v="1"/>
    <n v="0"/>
    <n v="0"/>
    <n v="1"/>
  </r>
  <r>
    <x v="0"/>
    <n v="100088964"/>
    <x v="23"/>
    <n v="100074147"/>
    <x v="330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0"/>
    <n v="100088964"/>
    <x v="23"/>
    <n v="100071913"/>
    <x v="331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5"/>
    <n v="100089882"/>
    <x v="24"/>
    <n v="100001979"/>
    <x v="215"/>
    <n v="0"/>
    <n v="0"/>
    <n v="1"/>
    <n v="-9.8000000000000007"/>
    <n v="0"/>
    <n v="1"/>
    <n v="0"/>
    <n v="0"/>
    <n v="1"/>
    <n v="0"/>
    <n v="0"/>
    <n v="1"/>
    <n v="-4.8"/>
    <n v="0"/>
    <n v="1"/>
    <n v="0"/>
    <n v="0"/>
    <n v="1"/>
    <n v="0"/>
    <n v="0"/>
    <n v="1"/>
  </r>
  <r>
    <x v="5"/>
    <n v="100089882"/>
    <x v="24"/>
    <n v="100001914"/>
    <x v="332"/>
    <n v="0"/>
    <n v="0"/>
    <n v="1"/>
    <n v="392"/>
    <n v="1"/>
    <n v="0"/>
    <n v="67.2"/>
    <n v="1"/>
    <n v="0"/>
    <n v="108"/>
    <n v="1"/>
    <n v="0"/>
    <n v="0"/>
    <n v="0"/>
    <n v="1"/>
    <n v="23.76"/>
    <n v="1"/>
    <n v="0"/>
    <n v="0"/>
    <n v="0"/>
    <n v="1"/>
  </r>
  <r>
    <x v="5"/>
    <n v="100066387"/>
    <x v="25"/>
    <n v="100002258"/>
    <x v="333"/>
    <n v="14.4"/>
    <n v="1"/>
    <n v="0"/>
    <n v="49"/>
    <n v="1"/>
    <n v="0"/>
    <n v="61.199999999999996"/>
    <n v="1"/>
    <n v="0"/>
    <n v="22.8"/>
    <n v="1"/>
    <n v="0"/>
    <n v="0"/>
    <n v="0"/>
    <n v="1"/>
    <n v="1123.2"/>
    <n v="1"/>
    <n v="0"/>
    <n v="0"/>
    <n v="0"/>
    <n v="1"/>
  </r>
  <r>
    <x v="5"/>
    <n v="100087600"/>
    <x v="26"/>
    <n v="100002545"/>
    <x v="334"/>
    <n v="43.2"/>
    <n v="1"/>
    <n v="0"/>
    <n v="284.2"/>
    <n v="1"/>
    <n v="0"/>
    <n v="72"/>
    <n v="1"/>
    <n v="0"/>
    <n v="159.59999999999997"/>
    <n v="1"/>
    <n v="0"/>
    <n v="115.19999999999999"/>
    <n v="1"/>
    <n v="0"/>
    <n v="172.8"/>
    <n v="1"/>
    <n v="0"/>
    <n v="0"/>
    <n v="0"/>
    <n v="1"/>
  </r>
  <r>
    <x v="5"/>
    <n v="100087600"/>
    <x v="26"/>
    <n v="100002424"/>
    <x v="335"/>
    <n v="0"/>
    <n v="0"/>
    <n v="0"/>
    <n v="0"/>
    <n v="0"/>
    <n v="1"/>
    <n v="0"/>
    <n v="0"/>
    <n v="1"/>
    <n v="153.6"/>
    <n v="1"/>
    <n v="0"/>
    <n v="33.599999999999994"/>
    <n v="1"/>
    <n v="0"/>
    <n v="0"/>
    <n v="0"/>
    <n v="1"/>
    <n v="0"/>
    <n v="0"/>
    <n v="1"/>
  </r>
  <r>
    <x v="5"/>
    <n v="100087600"/>
    <x v="26"/>
    <n v="100002055"/>
    <x v="336"/>
    <n v="0"/>
    <n v="0"/>
    <n v="0"/>
    <n v="1685.6"/>
    <n v="1"/>
    <n v="0"/>
    <n v="110.4"/>
    <n v="1"/>
    <n v="0"/>
    <n v="447.84"/>
    <n v="1"/>
    <n v="0"/>
    <n v="321.59999999999997"/>
    <n v="1"/>
    <n v="0"/>
    <n v="0"/>
    <n v="0"/>
    <n v="1"/>
    <n v="0"/>
    <n v="0"/>
    <n v="1"/>
  </r>
  <r>
    <x v="5"/>
    <n v="100087600"/>
    <x v="26"/>
    <n v="100002054"/>
    <x v="337"/>
    <n v="321.60000000000002"/>
    <n v="1"/>
    <n v="0"/>
    <n v="558.60000000000014"/>
    <n v="1"/>
    <n v="0"/>
    <n v="45.6"/>
    <n v="1"/>
    <n v="0"/>
    <n v="93.12"/>
    <n v="1"/>
    <n v="0"/>
    <n v="4.8"/>
    <n v="1"/>
    <n v="0"/>
    <n v="1036.8000000000002"/>
    <n v="1"/>
    <n v="0"/>
    <n v="0"/>
    <n v="0"/>
    <n v="1"/>
  </r>
  <r>
    <x v="5"/>
    <n v="100087600"/>
    <x v="26"/>
    <n v="100001241"/>
    <x v="338"/>
    <n v="0"/>
    <n v="0"/>
    <n v="0"/>
    <n v="1058.4000000000005"/>
    <n v="1"/>
    <n v="0"/>
    <n v="149.99999999999997"/>
    <n v="1"/>
    <n v="0"/>
    <n v="892.32000000000039"/>
    <n v="1"/>
    <n v="0"/>
    <n v="100.79999999999998"/>
    <n v="1"/>
    <n v="0"/>
    <n v="0"/>
    <n v="0"/>
    <n v="1"/>
    <n v="0"/>
    <n v="0"/>
    <n v="1"/>
  </r>
  <r>
    <x v="5"/>
    <n v="100066387"/>
    <x v="25"/>
    <n v="100086833"/>
    <x v="339"/>
    <n v="0"/>
    <n v="0"/>
    <n v="1"/>
    <n v="0"/>
    <n v="0"/>
    <n v="1"/>
    <n v="0"/>
    <n v="0"/>
    <n v="1"/>
    <n v="0"/>
    <n v="0"/>
    <n v="1"/>
    <n v="0"/>
    <n v="0"/>
    <n v="1"/>
    <n v="0"/>
    <n v="0"/>
    <n v="1"/>
    <n v="0"/>
    <n v="0"/>
    <n v="1"/>
  </r>
  <r>
    <x v="5"/>
    <n v="100066387"/>
    <x v="25"/>
    <n v="100001434"/>
    <x v="309"/>
    <n v="43.199999999999996"/>
    <n v="1"/>
    <n v="0"/>
    <n v="4752.9999999999936"/>
    <n v="1"/>
    <n v="0"/>
    <n v="1511.4000000000005"/>
    <n v="1"/>
    <n v="0"/>
    <n v="4319.2799999999979"/>
    <n v="1"/>
    <n v="0"/>
    <n v="2020.8000000000029"/>
    <n v="1"/>
    <n v="0"/>
    <n v="0"/>
    <n v="0"/>
    <n v="1"/>
    <n v="0"/>
    <n v="0"/>
    <n v="1"/>
  </r>
  <r>
    <x v="5"/>
    <n v="100089882"/>
    <x v="24"/>
    <n v="100002273"/>
    <x v="340"/>
    <n v="0"/>
    <n v="0"/>
    <n v="1"/>
    <n v="1479.8000000000002"/>
    <n v="1"/>
    <n v="0"/>
    <n v="594"/>
    <n v="1"/>
    <n v="0"/>
    <n v="2560.8000000000002"/>
    <n v="1"/>
    <n v="0"/>
    <n v="0"/>
    <n v="0"/>
    <n v="1"/>
    <n v="442.8"/>
    <n v="1"/>
    <n v="0"/>
    <n v="0"/>
    <n v="0"/>
    <n v="1"/>
  </r>
  <r>
    <x v="5"/>
    <n v="100002748"/>
    <x v="27"/>
    <n v="100005896"/>
    <x v="341"/>
    <n v="0"/>
    <n v="0"/>
    <n v="1"/>
    <n v="1891.3999999999992"/>
    <n v="1"/>
    <n v="0"/>
    <n v="576"/>
    <n v="1"/>
    <n v="0"/>
    <n v="13855.68"/>
    <n v="1"/>
    <n v="0"/>
    <n v="1281.5999999999999"/>
    <n v="1"/>
    <n v="0"/>
    <n v="760.31999999999994"/>
    <n v="1"/>
    <n v="0"/>
    <n v="0"/>
    <n v="0"/>
    <n v="1"/>
  </r>
  <r>
    <x v="5"/>
    <n v="100002748"/>
    <x v="27"/>
    <n v="100001550"/>
    <x v="342"/>
    <n v="0"/>
    <n v="0"/>
    <n v="1"/>
    <n v="0"/>
    <n v="0"/>
    <n v="1"/>
    <n v="0"/>
    <n v="0"/>
    <n v="1"/>
    <n v="8976"/>
    <n v="1"/>
    <n v="0"/>
    <n v="0"/>
    <n v="0"/>
    <n v="1"/>
    <n v="1481.7600000000002"/>
    <n v="1"/>
    <n v="0"/>
    <n v="0"/>
    <n v="0"/>
    <n v="1"/>
  </r>
  <r>
    <x v="5"/>
    <n v="100089882"/>
    <x v="24"/>
    <n v="100002492"/>
    <x v="343"/>
    <n v="1435.2"/>
    <n v="1"/>
    <n v="0"/>
    <n v="578.19999999999993"/>
    <n v="1"/>
    <n v="0"/>
    <n v="-112.8"/>
    <n v="0"/>
    <n v="1"/>
    <n v="129.6"/>
    <n v="1"/>
    <n v="0"/>
    <n v="446.4"/>
    <n v="1"/>
    <n v="0"/>
    <n v="0"/>
    <n v="0"/>
    <n v="1"/>
    <n v="0"/>
    <n v="0"/>
    <n v="1"/>
  </r>
  <r>
    <x v="5"/>
    <n v="100066387"/>
    <x v="25"/>
    <n v="100001342"/>
    <x v="315"/>
    <n v="0"/>
    <n v="0"/>
    <n v="1"/>
    <n v="205.8"/>
    <n v="1"/>
    <n v="0"/>
    <n v="159"/>
    <n v="1"/>
    <n v="0"/>
    <n v="1327.92"/>
    <n v="1"/>
    <n v="0"/>
    <n v="316.80000000000013"/>
    <n v="1"/>
    <n v="0"/>
    <n v="0"/>
    <n v="0"/>
    <n v="1"/>
    <n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270DE0-B6B0-478C-9E8D-8D3214E1C668}" name="TablaDinámica4" cacheId="34" applyNumberFormats="0" applyBorderFormats="0" applyFontFormats="0" applyPatternFormats="0" applyAlignmentFormats="0" applyWidthHeightFormats="1" dataCaption="Valores" updatedVersion="8" minRefreshableVersion="3" colGrandTotals="0" itemPrintTitles="1" createdVersion="8" indent="0" compact="0" compactData="0" multipleFieldFilters="0">
  <location ref="B5:Y40" firstHeaderRow="0" firstDataRow="1" firstDataCol="3"/>
  <pivotFields count="33">
    <pivotField axis="axisRow" compact="0" outline="0" subtotalTop="0" showAll="0">
      <items count="7">
        <item x="5"/>
        <item x="4"/>
        <item x="3"/>
        <item x="1"/>
        <item x="0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30">
        <item sd="0" x="6"/>
        <item sd="0" x="8"/>
        <item sd="0" x="17"/>
        <item sd="0" x="20"/>
        <item sd="0" x="21"/>
        <item sd="0" x="13"/>
        <item sd="0" x="3"/>
        <item sd="0" x="4"/>
        <item sd="0" x="22"/>
        <item sd="0" x="26"/>
        <item sd="0" x="10"/>
        <item sd="0" x="16"/>
        <item sd="0" m="1" x="28"/>
        <item sd="0" x="12"/>
        <item sd="0" x="25"/>
        <item sd="0" x="18"/>
        <item sd="0" x="27"/>
        <item sd="0" x="19"/>
        <item sd="0" x="1"/>
        <item sd="0" x="23"/>
        <item sd="0" x="0"/>
        <item sd="0" x="5"/>
        <item sd="0" x="2"/>
        <item sd="0" x="7"/>
        <item sd="0" x="9"/>
        <item sd="0" x="11"/>
        <item sd="0" x="14"/>
        <item sd="0" x="24"/>
        <item sd="0" x="15"/>
        <item t="default" sd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346">
        <item x="31"/>
        <item x="254"/>
        <item x="6"/>
        <item x="319"/>
        <item x="36"/>
        <item x="246"/>
        <item x="297"/>
        <item x="37"/>
        <item x="39"/>
        <item x="126"/>
        <item x="74"/>
        <item x="244"/>
        <item x="140"/>
        <item x="93"/>
        <item x="98"/>
        <item x="92"/>
        <item x="247"/>
        <item x="338"/>
        <item x="273"/>
        <item x="296"/>
        <item x="285"/>
        <item x="163"/>
        <item x="292"/>
        <item x="135"/>
        <item x="272"/>
        <item x="197"/>
        <item x="155"/>
        <item x="240"/>
        <item x="22"/>
        <item x="123"/>
        <item x="8"/>
        <item x="241"/>
        <item x="144"/>
        <item x="245"/>
        <item x="76"/>
        <item x="316"/>
        <item x="129"/>
        <item x="288"/>
        <item x="251"/>
        <item x="5"/>
        <item x="257"/>
        <item x="125"/>
        <item x="194"/>
        <item x="75"/>
        <item x="224"/>
        <item x="221"/>
        <item x="255"/>
        <item x="160"/>
        <item x="253"/>
        <item x="44"/>
        <item x="315"/>
        <item x="189"/>
        <item x="186"/>
        <item x="195"/>
        <item x="183"/>
        <item x="217"/>
        <item x="113"/>
        <item x="159"/>
        <item x="1"/>
        <item x="134"/>
        <item x="53"/>
        <item x="46"/>
        <item x="94"/>
        <item x="50"/>
        <item x="13"/>
        <item x="62"/>
        <item x="66"/>
        <item x="309"/>
        <item x="48"/>
        <item x="328"/>
        <item x="329"/>
        <item x="252"/>
        <item x="4"/>
        <item x="330"/>
        <item x="25"/>
        <item x="317"/>
        <item x="181"/>
        <item x="40"/>
        <item x="26"/>
        <item x="322"/>
        <item x="280"/>
        <item x="90"/>
        <item x="342"/>
        <item x="52"/>
        <item x="54"/>
        <item x="185"/>
        <item x="286"/>
        <item x="318"/>
        <item x="187"/>
        <item x="275"/>
        <item x="112"/>
        <item x="232"/>
        <item x="178"/>
        <item x="220"/>
        <item x="132"/>
        <item x="38"/>
        <item x="15"/>
        <item x="41"/>
        <item x="274"/>
        <item x="34"/>
        <item x="302"/>
        <item x="64"/>
        <item x="233"/>
        <item x="58"/>
        <item x="100"/>
        <item x="149"/>
        <item x="65"/>
        <item x="248"/>
        <item x="141"/>
        <item x="192"/>
        <item x="230"/>
        <item x="343"/>
        <item x="283"/>
        <item x="84"/>
        <item x="291"/>
        <item x="242"/>
        <item x="249"/>
        <item x="307"/>
        <item x="153"/>
        <item x="137"/>
        <item x="204"/>
        <item x="188"/>
        <item x="7"/>
        <item x="305"/>
        <item x="298"/>
        <item x="152"/>
        <item x="148"/>
        <item x="158"/>
        <item x="20"/>
        <item x="128"/>
        <item x="87"/>
        <item x="86"/>
        <item x="193"/>
        <item x="182"/>
        <item x="299"/>
        <item x="234"/>
        <item x="250"/>
        <item x="331"/>
        <item x="124"/>
        <item x="191"/>
        <item x="59"/>
        <item x="16"/>
        <item x="97"/>
        <item x="42"/>
        <item x="55"/>
        <item x="263"/>
        <item x="259"/>
        <item x="32"/>
        <item x="218"/>
        <item x="118"/>
        <item x="341"/>
        <item x="3"/>
        <item x="287"/>
        <item x="304"/>
        <item x="111"/>
        <item x="205"/>
        <item x="202"/>
        <item x="332"/>
        <item x="95"/>
        <item x="214"/>
        <item x="225"/>
        <item x="310"/>
        <item x="63"/>
        <item x="120"/>
        <item x="300"/>
        <item x="102"/>
        <item x="69"/>
        <item x="101"/>
        <item x="210"/>
        <item x="295"/>
        <item x="314"/>
        <item x="243"/>
        <item x="79"/>
        <item x="68"/>
        <item x="277"/>
        <item x="18"/>
        <item x="56"/>
        <item x="14"/>
        <item x="279"/>
        <item x="222"/>
        <item x="301"/>
        <item x="215"/>
        <item x="80"/>
        <item x="0"/>
        <item x="116"/>
        <item x="313"/>
        <item x="121"/>
        <item x="206"/>
        <item x="130"/>
        <item x="256"/>
        <item x="24"/>
        <item x="262"/>
        <item x="203"/>
        <item x="108"/>
        <item x="269"/>
        <item x="45"/>
        <item x="324"/>
        <item x="83"/>
        <item x="337"/>
        <item x="336"/>
        <item x="28"/>
        <item x="133"/>
        <item x="276"/>
        <item x="327"/>
        <item x="290"/>
        <item x="326"/>
        <item x="320"/>
        <item x="282"/>
        <item x="239"/>
        <item x="268"/>
        <item x="219"/>
        <item x="196"/>
        <item x="231"/>
        <item x="190"/>
        <item x="115"/>
        <item x="180"/>
        <item x="284"/>
        <item x="43"/>
        <item x="33"/>
        <item x="117"/>
        <item x="258"/>
        <item x="138"/>
        <item x="168"/>
        <item x="150"/>
        <item x="157"/>
        <item x="109"/>
        <item x="110"/>
        <item x="281"/>
        <item x="161"/>
        <item x="228"/>
        <item x="171"/>
        <item x="167"/>
        <item x="165"/>
        <item x="30"/>
        <item x="267"/>
        <item x="293"/>
        <item x="77"/>
        <item x="170"/>
        <item x="164"/>
        <item x="216"/>
        <item x="29"/>
        <item x="88"/>
        <item x="147"/>
        <item x="23"/>
        <item x="333"/>
        <item x="106"/>
        <item x="223"/>
        <item x="105"/>
        <item x="70"/>
        <item x="166"/>
        <item x="162"/>
        <item x="229"/>
        <item x="340"/>
        <item x="27"/>
        <item x="139"/>
        <item x="177"/>
        <item x="60"/>
        <item x="21"/>
        <item x="235"/>
        <item x="89"/>
        <item x="35"/>
        <item x="99"/>
        <item x="266"/>
        <item x="260"/>
        <item x="143"/>
        <item x="17"/>
        <item x="145"/>
        <item x="238"/>
        <item x="91"/>
        <item x="321"/>
        <item x="2"/>
        <item x="325"/>
        <item x="312"/>
        <item x="67"/>
        <item x="303"/>
        <item x="211"/>
        <item x="335"/>
        <item x="81"/>
        <item x="334"/>
        <item x="311"/>
        <item x="236"/>
        <item x="61"/>
        <item x="323"/>
        <item x="172"/>
        <item x="271"/>
        <item x="127"/>
        <item x="207"/>
        <item x="265"/>
        <item x="156"/>
        <item x="142"/>
        <item x="9"/>
        <item x="169"/>
        <item x="73"/>
        <item x="47"/>
        <item x="270"/>
        <item x="12"/>
        <item x="227"/>
        <item x="199"/>
        <item x="294"/>
        <item x="179"/>
        <item x="10"/>
        <item x="49"/>
        <item x="151"/>
        <item x="85"/>
        <item x="264"/>
        <item x="308"/>
        <item x="11"/>
        <item x="71"/>
        <item x="96"/>
        <item x="114"/>
        <item x="119"/>
        <item x="136"/>
        <item x="173"/>
        <item x="174"/>
        <item x="198"/>
        <item x="200"/>
        <item x="237"/>
        <item m="1" x="345"/>
        <item x="339"/>
        <item x="19"/>
        <item x="51"/>
        <item x="57"/>
        <item x="72"/>
        <item x="78"/>
        <item x="82"/>
        <item x="103"/>
        <item x="104"/>
        <item x="107"/>
        <item x="122"/>
        <item x="131"/>
        <item x="146"/>
        <item x="154"/>
        <item x="175"/>
        <item x="176"/>
        <item x="184"/>
        <item x="201"/>
        <item x="208"/>
        <item x="209"/>
        <item x="212"/>
        <item x="213"/>
        <item x="226"/>
        <item x="261"/>
        <item m="1" x="344"/>
        <item x="278"/>
        <item x="289"/>
        <item x="30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2"/>
    <field x="4"/>
  </rowFields>
  <rowItems count="35">
    <i>
      <x/>
      <x v="9"/>
    </i>
    <i r="1">
      <x v="14"/>
    </i>
    <i r="1">
      <x v="16"/>
    </i>
    <i r="1">
      <x v="27"/>
    </i>
    <i t="default">
      <x/>
    </i>
    <i>
      <x v="1"/>
      <x v="3"/>
    </i>
    <i r="1">
      <x v="4"/>
    </i>
    <i r="1">
      <x v="8"/>
    </i>
    <i t="default">
      <x v="1"/>
    </i>
    <i>
      <x v="2"/>
      <x v="2"/>
    </i>
    <i r="1">
      <x v="5"/>
    </i>
    <i r="1">
      <x v="11"/>
    </i>
    <i r="1">
      <x v="15"/>
    </i>
    <i r="1">
      <x v="17"/>
    </i>
    <i r="1">
      <x v="26"/>
    </i>
    <i r="1">
      <x v="28"/>
    </i>
    <i t="default">
      <x v="2"/>
    </i>
    <i>
      <x v="3"/>
      <x/>
    </i>
    <i r="1">
      <x v="1"/>
    </i>
    <i r="1">
      <x v="10"/>
    </i>
    <i r="1">
      <x v="21"/>
    </i>
    <i r="1">
      <x v="23"/>
    </i>
    <i r="1">
      <x v="24"/>
    </i>
    <i t="default">
      <x v="3"/>
    </i>
    <i>
      <x v="4"/>
      <x v="6"/>
    </i>
    <i r="1">
      <x v="7"/>
    </i>
    <i r="1">
      <x v="18"/>
    </i>
    <i r="1">
      <x v="19"/>
    </i>
    <i r="1">
      <x v="20"/>
    </i>
    <i r="1">
      <x v="22"/>
    </i>
    <i t="default">
      <x v="4"/>
    </i>
    <i>
      <x v="5"/>
      <x v="13"/>
    </i>
    <i r="1">
      <x v="25"/>
    </i>
    <i t="default">
      <x v="5"/>
    </i>
    <i t="grand">
      <x/>
    </i>
  </rowItems>
  <colFields count="1">
    <field x="-2"/>
  </colFields>
  <colItems count="2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</colItems>
  <dataFields count="21">
    <dataField name="'Compradores (C)" fld="6" baseField="0" baseItem="0"/>
    <dataField name="'No Compradores (C)" fld="7" baseField="0" baseItem="0"/>
    <dataField name=" Cobertura (C)" fld="26" baseField="0" baseItem="0" numFmtId="9"/>
    <dataField name="Compradores (P)" fld="9" baseField="0" baseItem="0"/>
    <dataField name="No Compradores (P)" fld="10" baseField="0" baseItem="0"/>
    <dataField name="Cobertura  (P)" fld="27" baseField="0" baseItem="0" numFmtId="9"/>
    <dataField name="Compradores (V)" fld="12" baseField="0" baseItem="0"/>
    <dataField name="No Compradores (V)" fld="13" baseField="0" baseItem="0"/>
    <dataField name="Cobertura  (V)" fld="28" baseField="0" baseItem="0" numFmtId="9"/>
    <dataField name="Compradores (RB)" fld="15" baseField="0" baseItem="0"/>
    <dataField name="No Compradores (RB" fld="16" baseField="0" baseItem="0"/>
    <dataField name="Cobertura (RB) " fld="29" baseField="2" baseItem="9" numFmtId="9"/>
    <dataField name="Compradores (UNT)" fld="21" baseField="0" baseItem="0"/>
    <dataField name="No compradores (UNT)" fld="22" baseField="0" baseItem="0"/>
    <dataField name="Cobertura (UNT)" fld="30" baseField="0" baseItem="0" numFmtId="9"/>
    <dataField name="Compradores (Mil.)" fld="18" baseField="0" baseItem="0"/>
    <dataField name="No Compradores (Mil.)" fld="19" baseField="0" baseItem="0"/>
    <dataField name="Cobertura (Mil.)" fld="31" baseField="0" baseItem="0" numFmtId="9"/>
    <dataField name="Compradores (Atun)" fld="24" baseField="0" baseItem="0"/>
    <dataField name="No compradores (Atun)" fld="25" baseField="0" baseItem="0"/>
    <dataField name="Cobertura (ATUN) " fld="32" baseField="2" baseItem="4" numFmtId="9"/>
  </dataFields>
  <formats count="233">
    <format dxfId="7">
      <pivotArea dataOnly="0" outline="0" fieldPosition="0">
        <references count="1">
          <reference field="2" count="0" defaultSubtotal="1"/>
        </references>
      </pivotArea>
    </format>
    <format dxfId="8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4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5">
      <pivotArea outline="0" fieldPosition="0">
        <references count="1">
          <reference field="4294967294" count="2" selected="0">
            <x v="3"/>
            <x v="4"/>
          </reference>
        </references>
      </pivotArea>
    </format>
    <format dxfId="16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17">
      <pivotArea dataOnly="0" labelOnly="1" outline="0" fieldPosition="0">
        <references count="1">
          <reference field="4294967294" count="4">
            <x v="0"/>
            <x v="1"/>
            <x v="3"/>
            <x v="4"/>
          </reference>
        </references>
      </pivotArea>
    </format>
    <format dxfId="18">
      <pivotArea type="all" dataOnly="0" outline="0" fieldPosition="0"/>
    </format>
    <format dxfId="19">
      <pivotArea outline="0" collapsedLevelsAreSubtotals="1" fieldPosition="0"/>
    </format>
    <format dxfId="20">
      <pivotArea dataOnly="0" labelOnly="1" grandRow="1" outline="0" fieldPosition="0"/>
    </format>
    <format dxfId="21">
      <pivotArea dataOnly="0" labelOnly="1" outline="0" fieldPosition="0">
        <references count="2">
          <reference field="0" count="1" selected="0">
            <x v="2"/>
          </reference>
          <reference field="2" count="6">
            <x v="2"/>
            <x v="5"/>
            <x v="11"/>
            <x v="12"/>
            <x v="15"/>
            <x v="17"/>
          </reference>
        </references>
      </pivotArea>
    </format>
    <format dxfId="22">
      <pivotArea dataOnly="0" labelOnly="1" outline="0" fieldPosition="0">
        <references count="1">
          <reference field="4294967294" count="4">
            <x v="0"/>
            <x v="1"/>
            <x v="3"/>
            <x v="4"/>
          </reference>
        </references>
      </pivotArea>
    </format>
    <format dxfId="23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4">
      <pivotArea outline="0" collapsedLevelsAreSubtotals="1" fieldPosition="0"/>
    </format>
    <format dxfId="25">
      <pivotArea dataOnly="0" outline="0" fieldPosition="0">
        <references count="1">
          <reference field="2" count="0" defaultSubtotal="1"/>
        </references>
      </pivotArea>
    </format>
    <format dxfId="26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27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28">
      <pivotArea outline="0" fieldPosition="0">
        <references count="1">
          <reference field="4294967294" count="1" selected="0">
            <x v="1"/>
          </reference>
        </references>
      </pivotArea>
    </format>
    <format dxfId="29">
      <pivotArea outline="0" fieldPosition="0">
        <references count="1">
          <reference field="4294967294" count="1" selected="0">
            <x v="4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3">
      <pivotArea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9"/>
          </reference>
          <reference field="4" count="1" selected="0">
            <x v="276"/>
          </reference>
        </references>
      </pivotArea>
    </format>
    <format dxfId="34">
      <pivotArea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9"/>
          </reference>
          <reference field="4" count="1" selected="0">
            <x v="199"/>
          </reference>
        </references>
      </pivotArea>
    </format>
    <format dxfId="35">
      <pivotArea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9"/>
          </reference>
          <reference field="4" count="1" selected="0">
            <x v="17"/>
          </reference>
        </references>
      </pivotArea>
    </format>
    <format dxfId="36">
      <pivotArea outline="0" fieldPosition="0">
        <references count="4">
          <reference field="4294967294" count="1" selected="0">
            <x v="1"/>
          </reference>
          <reference field="0" count="1" selected="0">
            <x v="0"/>
          </reference>
          <reference field="2" count="1" selected="0">
            <x v="9"/>
          </reference>
          <reference field="4" count="1" selected="0">
            <x v="17"/>
          </reference>
        </references>
      </pivotArea>
    </format>
    <format dxfId="37">
      <pivotArea outline="0" fieldPosition="0">
        <references count="4">
          <reference field="4294967294" count="1" selected="0">
            <x v="1"/>
          </reference>
          <reference field="0" count="1" selected="0">
            <x v="0"/>
          </reference>
          <reference field="2" count="1" selected="0">
            <x v="9"/>
          </reference>
          <reference field="4" count="1" selected="0">
            <x v="199"/>
          </reference>
        </references>
      </pivotArea>
    </format>
    <format dxfId="38">
      <pivotArea outline="0" fieldPosition="0">
        <references count="4">
          <reference field="4294967294" count="1" selected="0">
            <x v="1"/>
          </reference>
          <reference field="0" count="1" selected="0">
            <x v="0"/>
          </reference>
          <reference field="2" count="1" selected="0">
            <x v="9"/>
          </reference>
          <reference field="4" count="1" selected="0">
            <x v="276"/>
          </reference>
        </references>
      </pivotArea>
    </format>
    <format dxfId="39">
      <pivotArea outline="0" fieldPosition="0">
        <references count="4">
          <reference field="4294967294" count="2" selected="0">
            <x v="0"/>
            <x v="1"/>
          </reference>
          <reference field="0" count="1" selected="0">
            <x v="2"/>
          </reference>
          <reference field="2" count="1" selected="0">
            <x v="5"/>
          </reference>
          <reference field="4" count="1" selected="0">
            <x v="139"/>
          </reference>
        </references>
      </pivotArea>
    </format>
    <format dxfId="40">
      <pivotArea outline="0" fieldPosition="0">
        <references count="4">
          <reference field="4294967294" count="2" selected="0">
            <x v="0"/>
            <x v="1"/>
          </reference>
          <reference field="0" count="1" selected="0">
            <x v="2"/>
          </reference>
          <reference field="2" count="1" selected="0">
            <x v="5"/>
          </reference>
          <reference field="4" count="1" selected="0">
            <x v="213"/>
          </reference>
        </references>
      </pivotArea>
    </format>
    <format dxfId="41">
      <pivotArea outline="0" fieldPosition="0">
        <references count="4">
          <reference field="4294967294" count="2" selected="0">
            <x v="0"/>
            <x v="1"/>
          </reference>
          <reference field="0" count="1" selected="0">
            <x v="2"/>
          </reference>
          <reference field="2" count="1" selected="0">
            <x v="12"/>
          </reference>
          <reference field="4" count="1" selected="0">
            <x v="45"/>
          </reference>
        </references>
      </pivotArea>
    </format>
    <format dxfId="42">
      <pivotArea outline="0" fieldPosition="0">
        <references count="4">
          <reference field="4294967294" count="2" selected="0">
            <x v="0"/>
            <x v="1"/>
          </reference>
          <reference field="0" count="1" selected="0">
            <x v="2"/>
          </reference>
          <reference field="2" count="1" selected="0">
            <x v="12"/>
          </reference>
          <reference field="4" count="1" selected="0">
            <x v="179"/>
          </reference>
        </references>
      </pivotArea>
    </format>
    <format dxfId="43">
      <pivotArea outline="0" fieldPosition="0">
        <references count="4">
          <reference field="4294967294" count="2" selected="0">
            <x v="0"/>
            <x v="1"/>
          </reference>
          <reference field="0" count="1" selected="0">
            <x v="2"/>
          </reference>
          <reference field="2" count="1" selected="0">
            <x v="12"/>
          </reference>
          <reference field="4" count="1" selected="0">
            <x v="210"/>
          </reference>
        </references>
      </pivotArea>
    </format>
    <format dxfId="44">
      <pivotArea outline="0" fieldPosition="0">
        <references count="4">
          <reference field="4294967294" count="2" selected="0">
            <x v="0"/>
            <x v="1"/>
          </reference>
          <reference field="0" count="1" selected="0">
            <x v="2"/>
          </reference>
          <reference field="2" count="1" selected="0">
            <x v="5"/>
          </reference>
          <reference field="4" count="1" selected="0">
            <x v="139"/>
          </reference>
        </references>
      </pivotArea>
    </format>
    <format dxfId="45">
      <pivotArea outline="0" fieldPosition="0">
        <references count="4">
          <reference field="4294967294" count="2" selected="0">
            <x v="0"/>
            <x v="1"/>
          </reference>
          <reference field="0" count="1" selected="0">
            <x v="2"/>
          </reference>
          <reference field="2" count="1" selected="0">
            <x v="5"/>
          </reference>
          <reference field="4" count="1" selected="0">
            <x v="213"/>
          </reference>
        </references>
      </pivotArea>
    </format>
    <format dxfId="46">
      <pivotArea outline="0" fieldPosition="0">
        <references count="4">
          <reference field="4294967294" count="2" selected="0">
            <x v="0"/>
            <x v="1"/>
          </reference>
          <reference field="0" count="1" selected="0">
            <x v="2"/>
          </reference>
          <reference field="2" count="1" selected="0">
            <x v="12"/>
          </reference>
          <reference field="4" count="1" selected="0">
            <x v="45"/>
          </reference>
        </references>
      </pivotArea>
    </format>
    <format dxfId="47">
      <pivotArea outline="0" fieldPosition="0">
        <references count="4">
          <reference field="4294967294" count="2" selected="0">
            <x v="0"/>
            <x v="1"/>
          </reference>
          <reference field="0" count="1" selected="0">
            <x v="2"/>
          </reference>
          <reference field="2" count="1" selected="0">
            <x v="12"/>
          </reference>
          <reference field="4" count="1" selected="0">
            <x v="179"/>
          </reference>
        </references>
      </pivotArea>
    </format>
    <format dxfId="48">
      <pivotArea outline="0" fieldPosition="0">
        <references count="4">
          <reference field="4294967294" count="2" selected="0">
            <x v="0"/>
            <x v="1"/>
          </reference>
          <reference field="0" count="1" selected="0">
            <x v="2"/>
          </reference>
          <reference field="2" count="1" selected="0">
            <x v="12"/>
          </reference>
          <reference field="4" count="1" selected="0">
            <x v="210"/>
          </reference>
        </references>
      </pivotArea>
    </format>
    <format dxfId="49">
      <pivotArea outline="0" fieldPosition="0">
        <references count="4">
          <reference field="4294967294" count="2" selected="0">
            <x v="0"/>
            <x v="1"/>
          </reference>
          <reference field="0" count="1" selected="0">
            <x v="3"/>
          </reference>
          <reference field="2" count="1" selected="0">
            <x v="1"/>
          </reference>
          <reference field="4" count="1" selected="0">
            <x v="56"/>
          </reference>
        </references>
      </pivotArea>
    </format>
    <format dxfId="50">
      <pivotArea outline="0" fieldPosition="0">
        <references count="4">
          <reference field="4294967294" count="2" selected="0">
            <x v="0"/>
            <x v="1"/>
          </reference>
          <reference field="0" count="1" selected="0">
            <x v="3"/>
          </reference>
          <reference field="2" count="1" selected="0">
            <x v="1"/>
          </reference>
          <reference field="4" count="1" selected="0">
            <x v="149"/>
          </reference>
        </references>
      </pivotArea>
    </format>
    <format dxfId="51">
      <pivotArea outline="0" fieldPosition="0">
        <references count="4">
          <reference field="4294967294" count="2" selected="0">
            <x v="0"/>
            <x v="1"/>
          </reference>
          <reference field="0" count="1" selected="0">
            <x v="3"/>
          </reference>
          <reference field="2" count="1" selected="0">
            <x v="1"/>
          </reference>
          <reference field="4" count="1" selected="0">
            <x v="154"/>
          </reference>
        </references>
      </pivotArea>
    </format>
    <format dxfId="52">
      <pivotArea outline="0" fieldPosition="0">
        <references count="4">
          <reference field="4294967294" count="2" selected="0">
            <x v="0"/>
            <x v="1"/>
          </reference>
          <reference field="0" count="1" selected="0">
            <x v="3"/>
          </reference>
          <reference field="2" count="1" selected="0">
            <x v="10"/>
          </reference>
          <reference field="4" count="1" selected="0">
            <x v="12"/>
          </reference>
        </references>
      </pivotArea>
    </format>
    <format dxfId="53">
      <pivotArea outline="0" fieldPosition="0">
        <references count="4">
          <reference field="4294967294" count="2" selected="0">
            <x v="0"/>
            <x v="1"/>
          </reference>
          <reference field="0" count="1" selected="0">
            <x v="3"/>
          </reference>
          <reference field="2" count="1" selected="0">
            <x v="10"/>
          </reference>
          <reference field="4" count="1" selected="0">
            <x v="125"/>
          </reference>
        </references>
      </pivotArea>
    </format>
    <format dxfId="54">
      <pivotArea outline="0" fieldPosition="0">
        <references count="4">
          <reference field="4294967294" count="2" selected="0">
            <x v="0"/>
            <x v="1"/>
          </reference>
          <reference field="0" count="1" selected="0">
            <x v="3"/>
          </reference>
          <reference field="2" count="1" selected="0">
            <x v="23"/>
          </reference>
          <reference field="4" count="1" selected="0">
            <x v="13"/>
          </reference>
        </references>
      </pivotArea>
    </format>
    <format dxfId="55">
      <pivotArea outline="0" fieldPosition="0">
        <references count="4">
          <reference field="4294967294" count="2" selected="0">
            <x v="0"/>
            <x v="1"/>
          </reference>
          <reference field="0" count="1" selected="0">
            <x v="3"/>
          </reference>
          <reference field="2" count="1" selected="0">
            <x v="23"/>
          </reference>
          <reference field="4" count="1" selected="0">
            <x v="130"/>
          </reference>
        </references>
      </pivotArea>
    </format>
    <format dxfId="56">
      <pivotArea outline="0" fieldPosition="0">
        <references count="4">
          <reference field="4294967294" count="2" selected="0">
            <x v="0"/>
            <x v="1"/>
          </reference>
          <reference field="0" count="1" selected="0">
            <x v="3"/>
          </reference>
          <reference field="2" count="1" selected="0">
            <x v="23"/>
          </reference>
          <reference field="4" count="1" selected="0">
            <x v="166"/>
          </reference>
        </references>
      </pivotArea>
    </format>
    <format dxfId="57">
      <pivotArea outline="0" fieldPosition="0">
        <references count="4">
          <reference field="4294967294" count="2" selected="0">
            <x v="0"/>
            <x v="1"/>
          </reference>
          <reference field="0" count="1" selected="0">
            <x v="3"/>
          </reference>
          <reference field="2" count="1" selected="0">
            <x v="23"/>
          </reference>
          <reference field="4" count="1" selected="0">
            <x v="268"/>
          </reference>
        </references>
      </pivotArea>
    </format>
    <format dxfId="58">
      <pivotArea outline="0" fieldPosition="0">
        <references count="4">
          <reference field="4294967294" count="2" selected="0">
            <x v="0"/>
            <x v="1"/>
          </reference>
          <reference field="0" count="1" selected="0">
            <x v="3"/>
          </reference>
          <reference field="2" count="1" selected="0">
            <x v="1"/>
          </reference>
          <reference field="4" count="1" selected="0">
            <x v="56"/>
          </reference>
        </references>
      </pivotArea>
    </format>
    <format dxfId="59">
      <pivotArea outline="0" fieldPosition="0">
        <references count="4">
          <reference field="4294967294" count="2" selected="0">
            <x v="0"/>
            <x v="1"/>
          </reference>
          <reference field="0" count="1" selected="0">
            <x v="3"/>
          </reference>
          <reference field="2" count="1" selected="0">
            <x v="1"/>
          </reference>
          <reference field="4" count="1" selected="0">
            <x v="149"/>
          </reference>
        </references>
      </pivotArea>
    </format>
    <format dxfId="60">
      <pivotArea outline="0" fieldPosition="0">
        <references count="4">
          <reference field="4294967294" count="2" selected="0">
            <x v="0"/>
            <x v="1"/>
          </reference>
          <reference field="0" count="1" selected="0">
            <x v="3"/>
          </reference>
          <reference field="2" count="1" selected="0">
            <x v="1"/>
          </reference>
          <reference field="4" count="1" selected="0">
            <x v="154"/>
          </reference>
        </references>
      </pivotArea>
    </format>
    <format dxfId="61">
      <pivotArea outline="0" fieldPosition="0">
        <references count="4">
          <reference field="4294967294" count="2" selected="0">
            <x v="0"/>
            <x v="1"/>
          </reference>
          <reference field="0" count="1" selected="0">
            <x v="3"/>
          </reference>
          <reference field="2" count="1" selected="0">
            <x v="10"/>
          </reference>
          <reference field="4" count="1" selected="0">
            <x v="12"/>
          </reference>
        </references>
      </pivotArea>
    </format>
    <format dxfId="62">
      <pivotArea outline="0" fieldPosition="0">
        <references count="4">
          <reference field="4294967294" count="2" selected="0">
            <x v="0"/>
            <x v="1"/>
          </reference>
          <reference field="0" count="1" selected="0">
            <x v="3"/>
          </reference>
          <reference field="2" count="1" selected="0">
            <x v="10"/>
          </reference>
          <reference field="4" count="1" selected="0">
            <x v="125"/>
          </reference>
        </references>
      </pivotArea>
    </format>
    <format dxfId="63">
      <pivotArea outline="0" fieldPosition="0">
        <references count="4">
          <reference field="4294967294" count="2" selected="0">
            <x v="0"/>
            <x v="1"/>
          </reference>
          <reference field="0" count="1" selected="0">
            <x v="3"/>
          </reference>
          <reference field="2" count="1" selected="0">
            <x v="23"/>
          </reference>
          <reference field="4" count="1" selected="0">
            <x v="13"/>
          </reference>
        </references>
      </pivotArea>
    </format>
    <format dxfId="64">
      <pivotArea outline="0" fieldPosition="0">
        <references count="4">
          <reference field="4294967294" count="2" selected="0">
            <x v="0"/>
            <x v="1"/>
          </reference>
          <reference field="0" count="1" selected="0">
            <x v="3"/>
          </reference>
          <reference field="2" count="1" selected="0">
            <x v="23"/>
          </reference>
          <reference field="4" count="1" selected="0">
            <x v="130"/>
          </reference>
        </references>
      </pivotArea>
    </format>
    <format dxfId="65">
      <pivotArea outline="0" fieldPosition="0">
        <references count="4">
          <reference field="4294967294" count="2" selected="0">
            <x v="0"/>
            <x v="1"/>
          </reference>
          <reference field="0" count="1" selected="0">
            <x v="3"/>
          </reference>
          <reference field="2" count="1" selected="0">
            <x v="23"/>
          </reference>
          <reference field="4" count="1" selected="0">
            <x v="166"/>
          </reference>
        </references>
      </pivotArea>
    </format>
    <format dxfId="66">
      <pivotArea outline="0" fieldPosition="0">
        <references count="4">
          <reference field="4294967294" count="2" selected="0">
            <x v="0"/>
            <x v="1"/>
          </reference>
          <reference field="0" count="1" selected="0">
            <x v="3"/>
          </reference>
          <reference field="2" count="1" selected="0">
            <x v="23"/>
          </reference>
          <reference field="4" count="1" selected="0">
            <x v="268"/>
          </reference>
        </references>
      </pivotArea>
    </format>
    <format dxfId="67">
      <pivotArea outline="0" fieldPosition="0">
        <references count="4">
          <reference field="4294967294" count="2" selected="0">
            <x v="0"/>
            <x v="1"/>
          </reference>
          <reference field="0" count="1" selected="0">
            <x v="0"/>
          </reference>
          <reference field="2" count="1" selected="0">
            <x v="9"/>
          </reference>
          <reference field="4" count="5" selected="0">
            <x v="17"/>
            <x v="198"/>
            <x v="199"/>
            <x v="276"/>
            <x v="278"/>
          </reference>
        </references>
      </pivotArea>
    </format>
    <format dxfId="68">
      <pivotArea outline="0" fieldPosition="0">
        <references count="4">
          <reference field="4294967294" count="2" selected="0">
            <x v="0"/>
            <x v="1"/>
          </reference>
          <reference field="0" count="1" selected="0">
            <x v="2"/>
          </reference>
          <reference field="2" count="1" selected="0">
            <x v="5"/>
          </reference>
          <reference field="4" count="19" selected="0">
            <x v="25"/>
            <x v="42"/>
            <x v="51"/>
            <x v="52"/>
            <x v="53"/>
            <x v="54"/>
            <x v="85"/>
            <x v="88"/>
            <x v="92"/>
            <x v="109"/>
            <x v="121"/>
            <x v="132"/>
            <x v="133"/>
            <x v="139"/>
            <x v="211"/>
            <x v="213"/>
            <x v="215"/>
            <x v="255"/>
            <x v="297"/>
          </reference>
        </references>
      </pivotArea>
    </format>
    <format dxfId="69">
      <pivotArea outline="0" fieldPosition="0">
        <references count="4">
          <reference field="4294967294" count="2" selected="0">
            <x v="0"/>
            <x v="1"/>
          </reference>
          <reference field="0" count="1" selected="0">
            <x v="2"/>
          </reference>
          <reference field="2" count="1" selected="0">
            <x v="12"/>
          </reference>
          <reference field="4" count="24" selected="0">
            <x v="27"/>
            <x v="44"/>
            <x v="45"/>
            <x v="55"/>
            <x v="91"/>
            <x v="93"/>
            <x v="102"/>
            <x v="110"/>
            <x v="135"/>
            <x v="148"/>
            <x v="160"/>
            <x v="179"/>
            <x v="181"/>
            <x v="208"/>
            <x v="210"/>
            <x v="212"/>
            <x v="229"/>
            <x v="239"/>
            <x v="246"/>
            <x v="251"/>
            <x v="258"/>
            <x v="267"/>
            <x v="280"/>
            <x v="296"/>
          </reference>
        </references>
      </pivotArea>
    </format>
    <format dxfId="70">
      <pivotArea outline="0" fieldPosition="0">
        <references count="4">
          <reference field="4294967294" count="2" selected="0">
            <x v="0"/>
            <x v="1"/>
          </reference>
          <reference field="0" count="1" selected="0">
            <x v="3"/>
          </reference>
          <reference field="2" count="1" selected="0">
            <x v="1"/>
          </reference>
          <reference field="4" count="18" selected="0">
            <x v="14"/>
            <x v="56"/>
            <x v="90"/>
            <x v="104"/>
            <x v="142"/>
            <x v="149"/>
            <x v="154"/>
            <x v="165"/>
            <x v="167"/>
            <x v="184"/>
            <x v="193"/>
            <x v="214"/>
            <x v="219"/>
            <x v="225"/>
            <x v="226"/>
            <x v="245"/>
            <x v="247"/>
            <x v="261"/>
          </reference>
        </references>
      </pivotArea>
    </format>
    <format dxfId="71">
      <pivotArea outline="0" fieldPosition="0">
        <references count="4">
          <reference field="4294967294" count="2" selected="0">
            <x v="0"/>
            <x v="1"/>
          </reference>
          <reference field="0" count="1" selected="0">
            <x v="3"/>
          </reference>
          <reference field="2" count="1" selected="0">
            <x v="10"/>
          </reference>
          <reference field="4" count="12" selected="0">
            <x v="12"/>
            <x v="32"/>
            <x v="105"/>
            <x v="108"/>
            <x v="118"/>
            <x v="125"/>
            <x v="126"/>
            <x v="223"/>
            <x v="242"/>
            <x v="264"/>
            <x v="266"/>
            <x v="289"/>
          </reference>
        </references>
      </pivotArea>
    </format>
    <format dxfId="72">
      <pivotArea outline="0" fieldPosition="0">
        <references count="4">
          <reference field="4294967294" count="2" selected="0">
            <x v="0"/>
            <x v="1"/>
          </reference>
          <reference field="0" count="1" selected="0">
            <x v="3"/>
          </reference>
          <reference field="2" count="1" selected="0">
            <x v="23"/>
          </reference>
          <reference field="4" count="23" selected="0">
            <x v="10"/>
            <x v="13"/>
            <x v="15"/>
            <x v="34"/>
            <x v="43"/>
            <x v="62"/>
            <x v="81"/>
            <x v="113"/>
            <x v="130"/>
            <x v="131"/>
            <x v="158"/>
            <x v="166"/>
            <x v="172"/>
            <x v="173"/>
            <x v="182"/>
            <x v="197"/>
            <x v="236"/>
            <x v="241"/>
            <x v="248"/>
            <x v="259"/>
            <x v="268"/>
            <x v="277"/>
            <x v="292"/>
          </reference>
        </references>
      </pivotArea>
    </format>
    <format dxfId="73">
      <pivotArea outline="0" fieldPosition="0">
        <references count="1">
          <reference field="4294967294" count="1" selected="0">
            <x v="1"/>
          </reference>
        </references>
      </pivotArea>
    </format>
    <format dxfId="7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5">
      <pivotArea outline="0" fieldPosition="0">
        <references count="4">
          <reference field="4294967294" count="2" selected="0">
            <x v="0"/>
            <x v="1"/>
          </reference>
          <reference field="0" count="1" selected="0">
            <x v="0"/>
          </reference>
          <reference field="2" count="1" selected="0">
            <x v="9"/>
          </reference>
          <reference field="4" count="1" selected="0">
            <x v="17"/>
          </reference>
        </references>
      </pivotArea>
    </format>
    <format dxfId="76">
      <pivotArea outline="0" fieldPosition="0">
        <references count="4">
          <reference field="4294967294" count="2" selected="0">
            <x v="0"/>
            <x v="1"/>
          </reference>
          <reference field="0" count="1" selected="0">
            <x v="0"/>
          </reference>
          <reference field="2" count="1" selected="0">
            <x v="9"/>
          </reference>
          <reference field="4" count="1" selected="0">
            <x v="199"/>
          </reference>
        </references>
      </pivotArea>
    </format>
    <format dxfId="77">
      <pivotArea outline="0" fieldPosition="0">
        <references count="4">
          <reference field="4294967294" count="2" selected="0">
            <x v="0"/>
            <x v="1"/>
          </reference>
          <reference field="0" count="1" selected="0">
            <x v="0"/>
          </reference>
          <reference field="2" count="1" selected="0">
            <x v="9"/>
          </reference>
          <reference field="4" count="1" selected="0">
            <x v="276"/>
          </reference>
        </references>
      </pivotArea>
    </format>
    <format dxfId="78">
      <pivotArea outline="0" fieldPosition="0">
        <references count="4">
          <reference field="4294967294" count="2" selected="0">
            <x v="0"/>
            <x v="1"/>
          </reference>
          <reference field="0" count="1" selected="0">
            <x v="0"/>
          </reference>
          <reference field="2" count="1" selected="0">
            <x v="9"/>
          </reference>
          <reference field="4" count="1" selected="0">
            <x v="17"/>
          </reference>
        </references>
      </pivotArea>
    </format>
    <format dxfId="79">
      <pivotArea outline="0" fieldPosition="0">
        <references count="4">
          <reference field="4294967294" count="2" selected="0">
            <x v="0"/>
            <x v="1"/>
          </reference>
          <reference field="0" count="1" selected="0">
            <x v="0"/>
          </reference>
          <reference field="2" count="1" selected="0">
            <x v="9"/>
          </reference>
          <reference field="4" count="1" selected="0">
            <x v="199"/>
          </reference>
        </references>
      </pivotArea>
    </format>
    <format dxfId="80">
      <pivotArea outline="0" fieldPosition="0">
        <references count="4">
          <reference field="4294967294" count="2" selected="0">
            <x v="0"/>
            <x v="1"/>
          </reference>
          <reference field="0" count="1" selected="0">
            <x v="0"/>
          </reference>
          <reference field="2" count="1" selected="0">
            <x v="9"/>
          </reference>
          <reference field="4" count="1" selected="0">
            <x v="276"/>
          </reference>
        </references>
      </pivotArea>
    </format>
    <format dxfId="81">
      <pivotArea dataOnly="0" labelOnly="1" outline="0" fieldPosition="0">
        <references count="1">
          <reference field="4294967294" count="4">
            <x v="0"/>
            <x v="1"/>
            <x v="3"/>
            <x v="4"/>
          </reference>
        </references>
      </pivotArea>
    </format>
    <format dxfId="82">
      <pivotArea dataOnly="0" labelOnly="1" outline="0" fieldPosition="0">
        <references count="1">
          <reference field="4294967294" count="2">
            <x v="6"/>
            <x v="7"/>
          </reference>
        </references>
      </pivotArea>
    </format>
    <format dxfId="83">
      <pivotArea outline="0" fieldPosition="0">
        <references count="1">
          <reference field="4294967294" count="2" selected="0">
            <x v="6"/>
            <x v="7"/>
          </reference>
        </references>
      </pivotArea>
    </format>
    <format dxfId="84">
      <pivotArea dataOnly="0" labelOnly="1" outline="0" fieldPosition="0">
        <references count="1">
          <reference field="4294967294" count="2">
            <x v="6"/>
            <x v="7"/>
          </reference>
        </references>
      </pivotArea>
    </format>
    <format dxfId="85">
      <pivotArea outline="0" fieldPosition="0">
        <references count="1">
          <reference field="4294967294" count="1" selected="0">
            <x v="7"/>
          </reference>
        </references>
      </pivotArea>
    </format>
    <format dxfId="86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87">
      <pivotArea outline="0" fieldPosition="0">
        <references count="1">
          <reference field="4294967294" count="1" selected="0">
            <x v="2"/>
          </reference>
        </references>
      </pivotArea>
    </format>
    <format dxfId="8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8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0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91">
      <pivotArea dataOnly="0" labelOnly="1" outline="0" fieldPosition="0">
        <references count="1">
          <reference field="4294967294" count="3">
            <x v="3"/>
            <x v="4"/>
            <x v="5"/>
          </reference>
        </references>
      </pivotArea>
    </format>
    <format dxfId="92">
      <pivotArea outline="0" fieldPosition="0">
        <references count="1">
          <reference field="4294967294" count="3" selected="0">
            <x v="6"/>
            <x v="7"/>
            <x v="8"/>
          </reference>
        </references>
      </pivotArea>
    </format>
    <format dxfId="93">
      <pivotArea dataOnly="0" labelOnly="1" outline="0" fieldPosition="0">
        <references count="1">
          <reference field="4294967294" count="3">
            <x v="6"/>
            <x v="7"/>
            <x v="8"/>
          </reference>
        </references>
      </pivotArea>
    </format>
    <format dxfId="94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95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96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97">
      <pivotArea outline="0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9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9">
      <pivotArea outline="0" fieldPosition="0">
        <references count="1">
          <reference field="4294967294" count="1" selected="0">
            <x v="5"/>
          </reference>
        </references>
      </pivotArea>
    </format>
    <format dxfId="100">
      <pivotArea outline="0" fieldPosition="0">
        <references count="1">
          <reference field="4294967294" count="1" selected="0">
            <x v="8"/>
          </reference>
        </references>
      </pivotArea>
    </format>
    <format dxfId="101">
      <pivotArea type="all" dataOnly="0" outline="0" fieldPosition="0"/>
    </format>
    <format dxfId="102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03">
      <pivotArea field="0" type="button" dataOnly="0" labelOnly="1" outline="0" axis="axisRow" fieldPosition="0"/>
    </format>
    <format dxfId="104">
      <pivotArea field="2" type="button" dataOnly="0" labelOnly="1" outline="0" axis="axisRow" fieldPosition="1"/>
    </format>
    <format dxfId="105">
      <pivotArea field="4" type="button" dataOnly="0" labelOnly="1" outline="0" axis="axisRow" fieldPosition="2"/>
    </format>
    <format dxfId="106">
      <pivotArea dataOnly="0" labelOnly="1" outline="0" fieldPosition="0">
        <references count="1">
          <reference field="0" count="0"/>
        </references>
      </pivotArea>
    </format>
    <format dxfId="107">
      <pivotArea dataOnly="0" labelOnly="1" outline="0" fieldPosition="0">
        <references count="1">
          <reference field="0" count="0" defaultSubtotal="1"/>
        </references>
      </pivotArea>
    </format>
    <format dxfId="108">
      <pivotArea dataOnly="0" labelOnly="1" outline="0" fieldPosition="0">
        <references count="2">
          <reference field="0" count="1" selected="0">
            <x v="0"/>
          </reference>
          <reference field="2" count="3">
            <x v="9"/>
            <x v="14"/>
            <x v="16"/>
          </reference>
        </references>
      </pivotArea>
    </format>
    <format dxfId="109">
      <pivotArea dataOnly="0" labelOnly="1" outline="0" fieldPosition="0">
        <references count="2">
          <reference field="0" count="1" selected="0">
            <x v="1"/>
          </reference>
          <reference field="2" count="3">
            <x v="3"/>
            <x v="4"/>
            <x v="8"/>
          </reference>
        </references>
      </pivotArea>
    </format>
    <format dxfId="110">
      <pivotArea dataOnly="0" labelOnly="1" outline="0" fieldPosition="0">
        <references count="2">
          <reference field="0" count="1" selected="0">
            <x v="2"/>
          </reference>
          <reference field="2" count="6">
            <x v="2"/>
            <x v="5"/>
            <x v="11"/>
            <x v="12"/>
            <x v="15"/>
            <x v="17"/>
          </reference>
        </references>
      </pivotArea>
    </format>
    <format dxfId="111">
      <pivotArea dataOnly="0" labelOnly="1" outline="0" fieldPosition="0">
        <references count="2">
          <reference field="0" count="1" selected="0">
            <x v="3"/>
          </reference>
          <reference field="2" count="3">
            <x v="1"/>
            <x v="10"/>
            <x v="23"/>
          </reference>
        </references>
      </pivotArea>
    </format>
    <format dxfId="112">
      <pivotArea dataOnly="0" labelOnly="1" outline="0" fieldPosition="0">
        <references count="2">
          <reference field="0" count="1" selected="0">
            <x v="4"/>
          </reference>
          <reference field="2" count="8">
            <x v="0"/>
            <x v="6"/>
            <x v="7"/>
            <x v="18"/>
            <x v="19"/>
            <x v="20"/>
            <x v="21"/>
            <x v="22"/>
          </reference>
        </references>
      </pivotArea>
    </format>
    <format dxfId="113">
      <pivotArea outline="0" fieldPosition="0">
        <references count="2">
          <reference field="4294967294" count="2" selected="0">
            <x v="0"/>
            <x v="1"/>
          </reference>
          <reference field="0" count="0" selected="0" defaultSubtotal="1"/>
        </references>
      </pivotArea>
    </format>
    <format dxfId="1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5">
      <pivotArea outline="0" fieldPosition="0">
        <references count="2">
          <reference field="4294967294" count="2" selected="0">
            <x v="3"/>
            <x v="4"/>
          </reference>
          <reference field="0" count="0" selected="0" defaultSubtotal="1"/>
        </references>
      </pivotArea>
    </format>
    <format dxfId="116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117">
      <pivotArea outline="0" fieldPosition="0">
        <references count="2">
          <reference field="4294967294" count="2" selected="0">
            <x v="6"/>
            <x v="7"/>
          </reference>
          <reference field="0" count="0" selected="0" defaultSubtotal="1"/>
        </references>
      </pivotArea>
    </format>
    <format dxfId="118">
      <pivotArea dataOnly="0" labelOnly="1" outline="0" fieldPosition="0">
        <references count="1">
          <reference field="4294967294" count="2">
            <x v="6"/>
            <x v="7"/>
          </reference>
        </references>
      </pivotArea>
    </format>
    <format dxfId="119">
      <pivotArea field="0" dataOnly="0" grandRow="1" outline="0" axis="axisRow" fieldPosition="0">
        <references count="1">
          <reference field="0" count="0" defaultSubtotal="1"/>
        </references>
      </pivotArea>
    </format>
    <format dxfId="120">
      <pivotArea outline="0" fieldPosition="0">
        <references count="1">
          <reference field="0" count="1" selected="0" defaultSubtotal="1">
            <x v="0"/>
          </reference>
        </references>
      </pivotArea>
    </format>
    <format dxfId="121">
      <pivotArea outline="0" fieldPosition="0">
        <references count="1">
          <reference field="0" count="1" selected="0" defaultSubtotal="1">
            <x v="1"/>
          </reference>
        </references>
      </pivotArea>
    </format>
    <format dxfId="122">
      <pivotArea outline="0" fieldPosition="0">
        <references count="1">
          <reference field="0" count="1" selected="0" defaultSubtotal="1">
            <x v="2"/>
          </reference>
        </references>
      </pivotArea>
    </format>
    <format dxfId="123">
      <pivotArea outline="0" fieldPosition="0">
        <references count="1">
          <reference field="0" count="1" selected="0" defaultSubtotal="1">
            <x v="3"/>
          </reference>
        </references>
      </pivotArea>
    </format>
    <format dxfId="124">
      <pivotArea outline="0" fieldPosition="0">
        <references count="1">
          <reference field="0" count="1" selected="0" defaultSubtotal="1">
            <x v="4"/>
          </reference>
        </references>
      </pivotArea>
    </format>
    <format dxfId="125">
      <pivotArea field="0" type="button" dataOnly="0" labelOnly="1" outline="0" axis="axisRow" fieldPosition="0"/>
    </format>
    <format dxfId="126">
      <pivotArea field="2" type="button" dataOnly="0" labelOnly="1" outline="0" axis="axisRow" fieldPosition="1"/>
    </format>
    <format dxfId="127">
      <pivotArea field="4" type="button" dataOnly="0" labelOnly="1" outline="0" axis="axisRow" fieldPosition="2"/>
    </format>
    <format dxfId="128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29">
      <pivotArea field="0" type="button" dataOnly="0" labelOnly="1" outline="0" axis="axisRow" fieldPosition="0"/>
    </format>
    <format dxfId="130">
      <pivotArea field="4" type="button" dataOnly="0" labelOnly="1" outline="0" axis="axisRow" fieldPosition="2"/>
    </format>
    <format dxfId="131">
      <pivotArea dataOnly="0" labelOnly="1" outline="0" fieldPosition="0">
        <references count="1">
          <reference field="0" count="0"/>
        </references>
      </pivotArea>
    </format>
    <format dxfId="132">
      <pivotArea dataOnly="0" labelOnly="1" outline="0" fieldPosition="0">
        <references count="1">
          <reference field="0" count="0" defaultSubtotal="1"/>
        </references>
      </pivotArea>
    </format>
    <format dxfId="133">
      <pivotArea dataOnly="0" labelOnly="1" grandRow="1" outline="0" fieldPosition="0"/>
    </format>
    <format dxfId="134">
      <pivotArea dataOnly="0" labelOnly="1" outline="0" fieldPosition="0">
        <references count="2">
          <reference field="0" count="1" selected="0">
            <x v="0"/>
          </reference>
          <reference field="2" count="3">
            <x v="9"/>
            <x v="14"/>
            <x v="16"/>
          </reference>
        </references>
      </pivotArea>
    </format>
    <format dxfId="135">
      <pivotArea dataOnly="0" labelOnly="1" outline="0" fieldPosition="0">
        <references count="2">
          <reference field="0" count="1" selected="0">
            <x v="1"/>
          </reference>
          <reference field="2" count="3">
            <x v="3"/>
            <x v="4"/>
            <x v="8"/>
          </reference>
        </references>
      </pivotArea>
    </format>
    <format dxfId="136">
      <pivotArea dataOnly="0" labelOnly="1" outline="0" fieldPosition="0">
        <references count="2">
          <reference field="0" count="1" selected="0">
            <x v="2"/>
          </reference>
          <reference field="2" count="6">
            <x v="2"/>
            <x v="5"/>
            <x v="11"/>
            <x v="12"/>
            <x v="15"/>
            <x v="17"/>
          </reference>
        </references>
      </pivotArea>
    </format>
    <format dxfId="137">
      <pivotArea dataOnly="0" labelOnly="1" outline="0" fieldPosition="0">
        <references count="2">
          <reference field="0" count="1" selected="0">
            <x v="3"/>
          </reference>
          <reference field="2" count="3">
            <x v="1"/>
            <x v="10"/>
            <x v="23"/>
          </reference>
        </references>
      </pivotArea>
    </format>
    <format dxfId="138">
      <pivotArea dataOnly="0" labelOnly="1" outline="0" fieldPosition="0">
        <references count="2">
          <reference field="0" count="1" selected="0">
            <x v="4"/>
          </reference>
          <reference field="2" count="8">
            <x v="0"/>
            <x v="6"/>
            <x v="7"/>
            <x v="18"/>
            <x v="19"/>
            <x v="20"/>
            <x v="21"/>
            <x v="22"/>
          </reference>
        </references>
      </pivotArea>
    </format>
    <format dxfId="139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140">
      <pivotArea dataOnly="0" labelOnly="1" outline="0" fieldPosition="0">
        <references count="1">
          <reference field="4294967294" count="3">
            <x v="9"/>
            <x v="10"/>
            <x v="11"/>
          </reference>
        </references>
      </pivotArea>
    </format>
    <format dxfId="141">
      <pivotArea dataOnly="0" labelOnly="1" outline="0" fieldPosition="0">
        <references count="1">
          <reference field="4294967294" count="3">
            <x v="9"/>
            <x v="10"/>
            <x v="11"/>
          </reference>
        </references>
      </pivotArea>
    </format>
    <format dxfId="142">
      <pivotArea outline="0" fieldPosition="0">
        <references count="1">
          <reference field="4294967294" count="1" selected="0">
            <x v="11"/>
          </reference>
        </references>
      </pivotArea>
    </format>
    <format dxfId="143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144">
      <pivotArea outline="0" fieldPosition="0">
        <references count="1">
          <reference field="4294967294" count="1" selected="0">
            <x v="10"/>
          </reference>
        </references>
      </pivotArea>
    </format>
    <format dxfId="145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46">
      <pivotArea outline="0" fieldPosition="0">
        <references count="2">
          <reference field="4294967294" count="6" selected="0">
            <x v="0"/>
            <x v="1"/>
            <x v="2"/>
            <x v="3"/>
            <x v="4"/>
            <x v="5"/>
          </reference>
          <reference field="0" count="1" selected="0" defaultSubtotal="1">
            <x v="5"/>
          </reference>
        </references>
      </pivotArea>
    </format>
    <format dxfId="147">
      <pivotArea outline="0" fieldPosition="0">
        <references count="1">
          <reference field="4294967294" count="1" selected="0">
            <x v="11"/>
          </reference>
        </references>
      </pivotArea>
    </format>
    <format dxfId="148">
      <pivotArea dataOnly="0" labelOnly="1" outline="0" offset="B256" fieldPosition="0">
        <references count="1">
          <reference field="0" count="1" defaultSubtotal="1">
            <x v="3"/>
          </reference>
        </references>
      </pivotArea>
    </format>
    <format dxfId="149">
      <pivotArea dataOnly="0" labelOnly="1" outline="0" offset="A256" fieldPosition="0">
        <references count="2">
          <reference field="0" count="1" selected="0">
            <x v="3"/>
          </reference>
          <reference field="2" count="1">
            <x v="21"/>
          </reference>
        </references>
      </pivotArea>
    </format>
    <format dxfId="150">
      <pivotArea field="2" type="button" dataOnly="0" labelOnly="1" outline="0" axis="axisRow" fieldPosition="1"/>
    </format>
    <format dxfId="151">
      <pivotArea dataOnly="0" labelOnly="1" outline="0" offset="B256" fieldPosition="0">
        <references count="1">
          <reference field="0" count="1" defaultSubtotal="1">
            <x v="0"/>
          </reference>
        </references>
      </pivotArea>
    </format>
    <format dxfId="152">
      <pivotArea dataOnly="0" labelOnly="1" outline="0" offset="B256" fieldPosition="0">
        <references count="1">
          <reference field="0" count="1" defaultSubtotal="1">
            <x v="1"/>
          </reference>
        </references>
      </pivotArea>
    </format>
    <format dxfId="153">
      <pivotArea dataOnly="0" labelOnly="1" outline="0" offset="B256" fieldPosition="0">
        <references count="1">
          <reference field="0" count="1" defaultSubtotal="1">
            <x v="2"/>
          </reference>
        </references>
      </pivotArea>
    </format>
    <format dxfId="154">
      <pivotArea dataOnly="0" labelOnly="1" grandRow="1" outline="0" offset="B256" fieldPosition="0"/>
    </format>
    <format dxfId="155">
      <pivotArea dataOnly="0" labelOnly="1" outline="0" fieldPosition="0">
        <references count="2">
          <reference field="0" count="1" selected="0">
            <x v="0"/>
          </reference>
          <reference field="2" count="1">
            <x v="9"/>
          </reference>
        </references>
      </pivotArea>
    </format>
    <format dxfId="156">
      <pivotArea dataOnly="0" labelOnly="1" outline="0" offset="A256" fieldPosition="0">
        <references count="2">
          <reference field="0" count="1" selected="0">
            <x v="0"/>
          </reference>
          <reference field="2" count="1" defaultSubtotal="1">
            <x v="9"/>
          </reference>
        </references>
      </pivotArea>
    </format>
    <format dxfId="157">
      <pivotArea dataOnly="0" labelOnly="1" outline="0" fieldPosition="0">
        <references count="2">
          <reference field="0" count="1" selected="0">
            <x v="0"/>
          </reference>
          <reference field="2" count="1">
            <x v="14"/>
          </reference>
        </references>
      </pivotArea>
    </format>
    <format dxfId="158">
      <pivotArea dataOnly="0" labelOnly="1" outline="0" offset="A256" fieldPosition="0">
        <references count="2">
          <reference field="0" count="1" selected="0">
            <x v="0"/>
          </reference>
          <reference field="2" count="1" defaultSubtotal="1">
            <x v="14"/>
          </reference>
        </references>
      </pivotArea>
    </format>
    <format dxfId="159">
      <pivotArea dataOnly="0" labelOnly="1" outline="0" fieldPosition="0">
        <references count="2">
          <reference field="0" count="1" selected="0">
            <x v="0"/>
          </reference>
          <reference field="2" count="1">
            <x v="16"/>
          </reference>
        </references>
      </pivotArea>
    </format>
    <format dxfId="160">
      <pivotArea dataOnly="0" labelOnly="1" outline="0" offset="A256" fieldPosition="0">
        <references count="2">
          <reference field="0" count="1" selected="0">
            <x v="0"/>
          </reference>
          <reference field="2" count="1" defaultSubtotal="1">
            <x v="16"/>
          </reference>
        </references>
      </pivotArea>
    </format>
    <format dxfId="161">
      <pivotArea dataOnly="0" labelOnly="1" outline="0" fieldPosition="0">
        <references count="2">
          <reference field="0" count="1" selected="0">
            <x v="1"/>
          </reference>
          <reference field="2" count="1">
            <x v="3"/>
          </reference>
        </references>
      </pivotArea>
    </format>
    <format dxfId="162">
      <pivotArea dataOnly="0" labelOnly="1" outline="0" offset="A256" fieldPosition="0">
        <references count="2">
          <reference field="0" count="1" selected="0">
            <x v="1"/>
          </reference>
          <reference field="2" count="1" defaultSubtotal="1">
            <x v="3"/>
          </reference>
        </references>
      </pivotArea>
    </format>
    <format dxfId="163">
      <pivotArea dataOnly="0" labelOnly="1" outline="0" fieldPosition="0">
        <references count="2">
          <reference field="0" count="1" selected="0">
            <x v="1"/>
          </reference>
          <reference field="2" count="1">
            <x v="4"/>
          </reference>
        </references>
      </pivotArea>
    </format>
    <format dxfId="164">
      <pivotArea dataOnly="0" labelOnly="1" outline="0" offset="A256" fieldPosition="0">
        <references count="2">
          <reference field="0" count="1" selected="0">
            <x v="1"/>
          </reference>
          <reference field="2" count="1" defaultSubtotal="1">
            <x v="4"/>
          </reference>
        </references>
      </pivotArea>
    </format>
    <format dxfId="165">
      <pivotArea dataOnly="0" labelOnly="1" outline="0" fieldPosition="0">
        <references count="2">
          <reference field="0" count="1" selected="0">
            <x v="1"/>
          </reference>
          <reference field="2" count="1">
            <x v="8"/>
          </reference>
        </references>
      </pivotArea>
    </format>
    <format dxfId="166">
      <pivotArea dataOnly="0" labelOnly="1" outline="0" offset="A256" fieldPosition="0">
        <references count="2">
          <reference field="0" count="1" selected="0">
            <x v="1"/>
          </reference>
          <reference field="2" count="1" defaultSubtotal="1">
            <x v="8"/>
          </reference>
        </references>
      </pivotArea>
    </format>
    <format dxfId="167">
      <pivotArea dataOnly="0" labelOnly="1" outline="0" fieldPosition="0">
        <references count="2">
          <reference field="0" count="1" selected="0">
            <x v="2"/>
          </reference>
          <reference field="2" count="1">
            <x v="2"/>
          </reference>
        </references>
      </pivotArea>
    </format>
    <format dxfId="168">
      <pivotArea dataOnly="0" labelOnly="1" outline="0" offset="A256" fieldPosition="0">
        <references count="2">
          <reference field="0" count="1" selected="0">
            <x v="2"/>
          </reference>
          <reference field="2" count="1" defaultSubtotal="1">
            <x v="2"/>
          </reference>
        </references>
      </pivotArea>
    </format>
    <format dxfId="169">
      <pivotArea dataOnly="0" labelOnly="1" outline="0" fieldPosition="0">
        <references count="2">
          <reference field="0" count="1" selected="0">
            <x v="2"/>
          </reference>
          <reference field="2" count="1">
            <x v="5"/>
          </reference>
        </references>
      </pivotArea>
    </format>
    <format dxfId="170">
      <pivotArea dataOnly="0" labelOnly="1" outline="0" offset="A256" fieldPosition="0">
        <references count="2">
          <reference field="0" count="1" selected="0">
            <x v="2"/>
          </reference>
          <reference field="2" count="1" defaultSubtotal="1">
            <x v="5"/>
          </reference>
        </references>
      </pivotArea>
    </format>
    <format dxfId="171">
      <pivotArea dataOnly="0" labelOnly="1" outline="0" fieldPosition="0">
        <references count="2">
          <reference field="0" count="1" selected="0">
            <x v="2"/>
          </reference>
          <reference field="2" count="1">
            <x v="11"/>
          </reference>
        </references>
      </pivotArea>
    </format>
    <format dxfId="172">
      <pivotArea dataOnly="0" labelOnly="1" outline="0" offset="A256" fieldPosition="0">
        <references count="2">
          <reference field="0" count="1" selected="0">
            <x v="2"/>
          </reference>
          <reference field="2" count="1" defaultSubtotal="1">
            <x v="11"/>
          </reference>
        </references>
      </pivotArea>
    </format>
    <format dxfId="173">
      <pivotArea dataOnly="0" labelOnly="1" outline="0" fieldPosition="0">
        <references count="2">
          <reference field="0" count="1" selected="0">
            <x v="2"/>
          </reference>
          <reference field="2" count="1">
            <x v="12"/>
          </reference>
        </references>
      </pivotArea>
    </format>
    <format dxfId="174">
      <pivotArea dataOnly="0" labelOnly="1" outline="0" offset="A256" fieldPosition="0">
        <references count="2">
          <reference field="0" count="1" selected="0">
            <x v="2"/>
          </reference>
          <reference field="2" count="1" defaultSubtotal="1">
            <x v="12"/>
          </reference>
        </references>
      </pivotArea>
    </format>
    <format dxfId="175">
      <pivotArea dataOnly="0" labelOnly="1" outline="0" fieldPosition="0">
        <references count="2">
          <reference field="0" count="1" selected="0">
            <x v="2"/>
          </reference>
          <reference field="2" count="1">
            <x v="15"/>
          </reference>
        </references>
      </pivotArea>
    </format>
    <format dxfId="176">
      <pivotArea dataOnly="0" labelOnly="1" outline="0" offset="A256" fieldPosition="0">
        <references count="2">
          <reference field="0" count="1" selected="0">
            <x v="2"/>
          </reference>
          <reference field="2" count="1" defaultSubtotal="1">
            <x v="15"/>
          </reference>
        </references>
      </pivotArea>
    </format>
    <format dxfId="177">
      <pivotArea dataOnly="0" labelOnly="1" outline="0" fieldPosition="0">
        <references count="2">
          <reference field="0" count="1" selected="0">
            <x v="2"/>
          </reference>
          <reference field="2" count="1">
            <x v="17"/>
          </reference>
        </references>
      </pivotArea>
    </format>
    <format dxfId="178">
      <pivotArea dataOnly="0" labelOnly="1" outline="0" offset="A256" fieldPosition="0">
        <references count="2">
          <reference field="0" count="1" selected="0">
            <x v="2"/>
          </reference>
          <reference field="2" count="1" defaultSubtotal="1">
            <x v="17"/>
          </reference>
        </references>
      </pivotArea>
    </format>
    <format dxfId="179">
      <pivotArea dataOnly="0" labelOnly="1" outline="0" offset="A256" fieldPosition="0">
        <references count="2">
          <reference field="0" count="1" selected="0">
            <x v="3"/>
          </reference>
          <reference field="2" count="1" defaultSubtotal="1">
            <x v="0"/>
          </reference>
        </references>
      </pivotArea>
    </format>
    <format dxfId="180">
      <pivotArea dataOnly="0" labelOnly="1" outline="0" fieldPosition="0">
        <references count="2">
          <reference field="0" count="1" selected="0">
            <x v="4"/>
          </reference>
          <reference field="2" count="1">
            <x v="6"/>
          </reference>
        </references>
      </pivotArea>
    </format>
    <format dxfId="181">
      <pivotArea dataOnly="0" labelOnly="1" outline="0" offset="A256" fieldPosition="0">
        <references count="2">
          <reference field="0" count="1" selected="0">
            <x v="4"/>
          </reference>
          <reference field="2" count="1" defaultSubtotal="1">
            <x v="6"/>
          </reference>
        </references>
      </pivotArea>
    </format>
    <format dxfId="182">
      <pivotArea dataOnly="0" labelOnly="1" outline="0" fieldPosition="0">
        <references count="2">
          <reference field="0" count="1" selected="0">
            <x v="4"/>
          </reference>
          <reference field="2" count="1">
            <x v="7"/>
          </reference>
        </references>
      </pivotArea>
    </format>
    <format dxfId="183">
      <pivotArea dataOnly="0" labelOnly="1" outline="0" offset="A256" fieldPosition="0">
        <references count="2">
          <reference field="0" count="1" selected="0">
            <x v="4"/>
          </reference>
          <reference field="2" count="1" defaultSubtotal="1">
            <x v="7"/>
          </reference>
        </references>
      </pivotArea>
    </format>
    <format dxfId="184">
      <pivotArea dataOnly="0" labelOnly="1" outline="0" fieldPosition="0">
        <references count="2">
          <reference field="0" count="1" selected="0">
            <x v="4"/>
          </reference>
          <reference field="2" count="1">
            <x v="18"/>
          </reference>
        </references>
      </pivotArea>
    </format>
    <format dxfId="185">
      <pivotArea dataOnly="0" labelOnly="1" outline="0" offset="A256" fieldPosition="0">
        <references count="2">
          <reference field="0" count="1" selected="0">
            <x v="4"/>
          </reference>
          <reference field="2" count="1" defaultSubtotal="1">
            <x v="18"/>
          </reference>
        </references>
      </pivotArea>
    </format>
    <format dxfId="186">
      <pivotArea dataOnly="0" labelOnly="1" outline="0" fieldPosition="0">
        <references count="2">
          <reference field="0" count="1" selected="0">
            <x v="4"/>
          </reference>
          <reference field="2" count="1">
            <x v="19"/>
          </reference>
        </references>
      </pivotArea>
    </format>
    <format dxfId="187">
      <pivotArea dataOnly="0" labelOnly="1" outline="0" offset="A256" fieldPosition="0">
        <references count="2">
          <reference field="0" count="1" selected="0">
            <x v="4"/>
          </reference>
          <reference field="2" count="1" defaultSubtotal="1">
            <x v="19"/>
          </reference>
        </references>
      </pivotArea>
    </format>
    <format dxfId="188">
      <pivotArea dataOnly="0" labelOnly="1" outline="0" fieldPosition="0">
        <references count="2">
          <reference field="0" count="1" selected="0">
            <x v="4"/>
          </reference>
          <reference field="2" count="1">
            <x v="20"/>
          </reference>
        </references>
      </pivotArea>
    </format>
    <format dxfId="189">
      <pivotArea dataOnly="0" labelOnly="1" outline="0" offset="A256" fieldPosition="0">
        <references count="2">
          <reference field="0" count="1" selected="0">
            <x v="4"/>
          </reference>
          <reference field="2" count="1" defaultSubtotal="1">
            <x v="20"/>
          </reference>
        </references>
      </pivotArea>
    </format>
    <format dxfId="190">
      <pivotArea dataOnly="0" labelOnly="1" outline="0" fieldPosition="0">
        <references count="2">
          <reference field="0" count="1" selected="0">
            <x v="4"/>
          </reference>
          <reference field="2" count="1">
            <x v="22"/>
          </reference>
        </references>
      </pivotArea>
    </format>
    <format dxfId="191">
      <pivotArea dataOnly="0" labelOnly="1" outline="0" offset="A256" fieldPosition="0">
        <references count="2">
          <reference field="0" count="1" selected="0">
            <x v="4"/>
          </reference>
          <reference field="2" count="1" defaultSubtotal="1">
            <x v="22"/>
          </reference>
        </references>
      </pivotArea>
    </format>
    <format dxfId="192">
      <pivotArea dataOnly="0" labelOnly="1" outline="0" fieldPosition="0">
        <references count="2">
          <reference field="0" count="1" selected="0">
            <x v="5"/>
          </reference>
          <reference field="2" count="1">
            <x v="13"/>
          </reference>
        </references>
      </pivotArea>
    </format>
    <format dxfId="193">
      <pivotArea dataOnly="0" labelOnly="1" outline="0" offset="A256" fieldPosition="0">
        <references count="2">
          <reference field="0" count="1" selected="0">
            <x v="5"/>
          </reference>
          <reference field="2" count="1" defaultSubtotal="1">
            <x v="13"/>
          </reference>
        </references>
      </pivotArea>
    </format>
    <format dxfId="194">
      <pivotArea dataOnly="0" outline="0" fieldPosition="0">
        <references count="1">
          <reference field="2" count="1">
            <x v="0"/>
          </reference>
        </references>
      </pivotArea>
    </format>
    <format dxfId="195">
      <pivotArea dataOnly="0" outline="0" fieldPosition="0">
        <references count="1">
          <reference field="2" count="2" defaultSubtotal="1">
            <x v="1"/>
            <x v="10"/>
          </reference>
        </references>
      </pivotArea>
    </format>
    <format dxfId="196">
      <pivotArea dataOnly="0" outline="0" fieldPosition="0">
        <references count="1">
          <reference field="2" count="1">
            <x v="23"/>
          </reference>
        </references>
      </pivotArea>
    </format>
    <format dxfId="197">
      <pivotArea dataOnly="0" outline="0" fieldPosition="0">
        <references count="1">
          <reference field="2" count="2">
            <x v="10"/>
            <x v="21"/>
          </reference>
        </references>
      </pivotArea>
    </format>
    <format dxfId="198">
      <pivotArea dataOnly="0" outline="0" fieldPosition="0">
        <references count="1">
          <reference field="2" count="1">
            <x v="21"/>
          </reference>
        </references>
      </pivotArea>
    </format>
    <format dxfId="199">
      <pivotArea dataOnly="0" outline="0" fieldPosition="0">
        <references count="1">
          <reference field="2" count="1" defaultSubtotal="1">
            <x v="21"/>
          </reference>
        </references>
      </pivotArea>
    </format>
    <format dxfId="200">
      <pivotArea dataOnly="0" outline="0" fieldPosition="0">
        <references count="1">
          <reference field="2" count="1" defaultSubtotal="1">
            <x v="23"/>
          </reference>
        </references>
      </pivotArea>
    </format>
    <format dxfId="201">
      <pivotArea type="all" dataOnly="0" outline="0" fieldPosition="0"/>
    </format>
    <format dxfId="202">
      <pivotArea outline="0" collapsedLevelsAreSubtotals="1" fieldPosition="0"/>
    </format>
    <format dxfId="203">
      <pivotArea field="0" type="button" dataOnly="0" labelOnly="1" outline="0" axis="axisRow" fieldPosition="0"/>
    </format>
    <format dxfId="204">
      <pivotArea field="2" type="button" dataOnly="0" labelOnly="1" outline="0" axis="axisRow" fieldPosition="1"/>
    </format>
    <format dxfId="205">
      <pivotArea field="4" type="button" dataOnly="0" labelOnly="1" outline="0" axis="axisRow" fieldPosition="2"/>
    </format>
    <format dxfId="206">
      <pivotArea dataOnly="0" labelOnly="1" outline="0" fieldPosition="0">
        <references count="1">
          <reference field="0" count="0"/>
        </references>
      </pivotArea>
    </format>
    <format dxfId="207">
      <pivotArea dataOnly="0" labelOnly="1" grandRow="1" outline="0" fieldPosition="0"/>
    </format>
    <format dxfId="208">
      <pivotArea dataOnly="0" labelOnly="1" outline="0" fieldPosition="0">
        <references count="2">
          <reference field="0" count="1" selected="0">
            <x v="0"/>
          </reference>
          <reference field="2" count="3">
            <x v="9"/>
            <x v="14"/>
            <x v="16"/>
          </reference>
        </references>
      </pivotArea>
    </format>
    <format dxfId="209">
      <pivotArea dataOnly="0" labelOnly="1" outline="0" fieldPosition="0">
        <references count="2">
          <reference field="0" count="1" selected="0">
            <x v="1"/>
          </reference>
          <reference field="2" count="3">
            <x v="3"/>
            <x v="4"/>
            <x v="8"/>
          </reference>
        </references>
      </pivotArea>
    </format>
    <format dxfId="210">
      <pivotArea dataOnly="0" labelOnly="1" outline="0" fieldPosition="0">
        <references count="2">
          <reference field="0" count="1" selected="0">
            <x v="2"/>
          </reference>
          <reference field="2" count="6">
            <x v="2"/>
            <x v="5"/>
            <x v="11"/>
            <x v="12"/>
            <x v="15"/>
            <x v="17"/>
          </reference>
        </references>
      </pivotArea>
    </format>
    <format dxfId="211">
      <pivotArea dataOnly="0" labelOnly="1" outline="0" fieldPosition="0">
        <references count="2">
          <reference field="0" count="1" selected="0">
            <x v="3"/>
          </reference>
          <reference field="2" count="5">
            <x v="0"/>
            <x v="1"/>
            <x v="10"/>
            <x v="21"/>
            <x v="23"/>
          </reference>
        </references>
      </pivotArea>
    </format>
    <format dxfId="212">
      <pivotArea dataOnly="0" labelOnly="1" outline="0" fieldPosition="0">
        <references count="2">
          <reference field="0" count="1" selected="0">
            <x v="4"/>
          </reference>
          <reference field="2" count="6">
            <x v="6"/>
            <x v="7"/>
            <x v="18"/>
            <x v="19"/>
            <x v="20"/>
            <x v="22"/>
          </reference>
        </references>
      </pivotArea>
    </format>
    <format dxfId="213">
      <pivotArea dataOnly="0" labelOnly="1" outline="0" fieldPosition="0">
        <references count="2">
          <reference field="0" count="1" selected="0">
            <x v="5"/>
          </reference>
          <reference field="2" count="1">
            <x v="13"/>
          </reference>
        </references>
      </pivotArea>
    </format>
    <format dxfId="214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15">
      <pivotArea dataOnly="0" outline="0" fieldPosition="0">
        <references count="1">
          <reference field="0" count="0" defaultSubtotal="1"/>
        </references>
      </pivotArea>
    </format>
    <format dxfId="216">
      <pivotArea dataOnly="0" outline="0" fieldPosition="0">
        <references count="1">
          <reference field="0" count="1">
            <x v="0"/>
          </reference>
        </references>
      </pivotArea>
    </format>
    <format dxfId="217">
      <pivotArea dataOnly="0" outline="0" fieldPosition="0">
        <references count="1">
          <reference field="0" count="1">
            <x v="1"/>
          </reference>
        </references>
      </pivotArea>
    </format>
    <format dxfId="218">
      <pivotArea dataOnly="0" outline="0" fieldPosition="0">
        <references count="1">
          <reference field="0" count="1">
            <x v="2"/>
          </reference>
        </references>
      </pivotArea>
    </format>
    <format dxfId="219">
      <pivotArea dataOnly="0" outline="0" fieldPosition="0">
        <references count="1">
          <reference field="0" count="2" defaultSubtotal="1">
            <x v="3"/>
            <x v="4"/>
          </reference>
        </references>
      </pivotArea>
    </format>
    <format dxfId="220">
      <pivotArea dataOnly="0" outline="0" fieldPosition="0">
        <references count="1">
          <reference field="0" count="2" defaultSubtotal="1">
            <x v="4"/>
            <x v="5"/>
          </reference>
        </references>
      </pivotArea>
    </format>
    <format dxfId="221">
      <pivotArea field="0" dataOnly="0" grandRow="1" outline="0" axis="axisRow" fieldPosition="0">
        <references count="1">
          <reference field="0" count="0" defaultSubtotal="1"/>
        </references>
      </pivotArea>
    </format>
    <format dxfId="222">
      <pivotArea outline="0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22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24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225">
      <pivotArea dataOnly="0" labelOnly="1" outline="0" fieldPosition="0">
        <references count="1">
          <reference field="4294967294" count="3">
            <x v="3"/>
            <x v="4"/>
            <x v="5"/>
          </reference>
        </references>
      </pivotArea>
    </format>
    <format dxfId="226">
      <pivotArea outline="0" fieldPosition="0">
        <references count="1">
          <reference field="4294967294" count="3" selected="0">
            <x v="6"/>
            <x v="7"/>
            <x v="8"/>
          </reference>
        </references>
      </pivotArea>
    </format>
    <format dxfId="227">
      <pivotArea dataOnly="0" labelOnly="1" outline="0" fieldPosition="0">
        <references count="1">
          <reference field="4294967294" count="3">
            <x v="6"/>
            <x v="7"/>
            <x v="8"/>
          </reference>
        </references>
      </pivotArea>
    </format>
    <format dxfId="228">
      <pivotArea dataOnly="0" labelOnly="1" outline="0" fieldPosition="0">
        <references count="1">
          <reference field="4294967294" count="3">
            <x v="12"/>
            <x v="13"/>
            <x v="14"/>
          </reference>
        </references>
      </pivotArea>
    </format>
    <format dxfId="229">
      <pivotArea dataOnly="0" labelOnly="1" outline="0" fieldPosition="0">
        <references count="1">
          <reference field="4294967294" count="3">
            <x v="12"/>
            <x v="13"/>
            <x v="14"/>
          </reference>
        </references>
      </pivotArea>
    </format>
    <format dxfId="230">
      <pivotArea outline="0" fieldPosition="0">
        <references count="1">
          <reference field="4294967294" count="3" selected="0">
            <x v="12"/>
            <x v="13"/>
            <x v="14"/>
          </reference>
        </references>
      </pivotArea>
    </format>
    <format dxfId="231">
      <pivotArea dataOnly="0" labelOnly="1" outline="0" fieldPosition="0">
        <references count="1">
          <reference field="4294967294" count="3">
            <x v="12"/>
            <x v="13"/>
            <x v="14"/>
          </reference>
        </references>
      </pivotArea>
    </format>
    <format dxfId="232">
      <pivotArea outline="0" fieldPosition="0">
        <references count="1">
          <reference field="4294967294" count="1" selected="0">
            <x v="14"/>
          </reference>
        </references>
      </pivotArea>
    </format>
    <format dxfId="233">
      <pivotArea dataOnly="0" labelOnly="1" outline="0" fieldPosition="0">
        <references count="1">
          <reference field="4294967294" count="1">
            <x v="14"/>
          </reference>
        </references>
      </pivotArea>
    </format>
    <format dxfId="234">
      <pivotArea dataOnly="0" labelOnly="1" outline="0" fieldPosition="0">
        <references count="1">
          <reference field="4294967294" count="1">
            <x v="15"/>
          </reference>
        </references>
      </pivotArea>
    </format>
    <format dxfId="235">
      <pivotArea dataOnly="0" labelOnly="1" outline="0" fieldPosition="0">
        <references count="1">
          <reference field="4294967294" count="3">
            <x v="15"/>
            <x v="16"/>
            <x v="17"/>
          </reference>
        </references>
      </pivotArea>
    </format>
    <format dxfId="236">
      <pivotArea outline="0" fieldPosition="0">
        <references count="1">
          <reference field="4294967294" count="1" selected="0">
            <x v="17"/>
          </reference>
        </references>
      </pivotArea>
    </format>
    <format dxfId="237">
      <pivotArea outline="0" fieldPosition="0">
        <references count="1">
          <reference field="4294967294" count="3" selected="0">
            <x v="15"/>
            <x v="16"/>
            <x v="17"/>
          </reference>
        </references>
      </pivotArea>
    </format>
    <format dxfId="238">
      <pivotArea dataOnly="0" labelOnly="1" outline="0" fieldPosition="0">
        <references count="1">
          <reference field="4294967294" count="3">
            <x v="18"/>
            <x v="19"/>
            <x v="20"/>
          </reference>
        </references>
      </pivotArea>
    </format>
    <format dxfId="239">
      <pivotArea outline="0" fieldPosition="0">
        <references count="1">
          <reference field="4294967294" count="1">
            <x v="20"/>
          </reference>
        </references>
      </pivotArea>
    </format>
  </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A75B8-DE8F-4119-985F-DD56AFEC446D}">
  <sheetPr>
    <tabColor theme="2" tint="-0.249977111117893"/>
  </sheetPr>
  <dimension ref="B2:Z77"/>
  <sheetViews>
    <sheetView showGridLines="0" tabSelected="1" zoomScale="55" zoomScaleNormal="55" workbookViewId="0">
      <selection activeCell="J12" sqref="J12"/>
    </sheetView>
  </sheetViews>
  <sheetFormatPr baseColWidth="10" defaultRowHeight="14.5"/>
  <cols>
    <col min="1" max="1" width="3.90625" customWidth="1"/>
    <col min="2" max="2" width="26.7265625" bestFit="1" customWidth="1"/>
    <col min="3" max="3" width="31.90625" bestFit="1" customWidth="1"/>
    <col min="4" max="4" width="22.6328125" bestFit="1" customWidth="1"/>
    <col min="5" max="5" width="15.54296875" bestFit="1" customWidth="1"/>
    <col min="6" max="6" width="18.26953125" style="3" bestFit="1" customWidth="1"/>
    <col min="7" max="7" width="12.54296875" bestFit="1" customWidth="1"/>
    <col min="8" max="8" width="14.90625" style="3" bestFit="1" customWidth="1"/>
    <col min="9" max="9" width="17.6328125" bestFit="1" customWidth="1"/>
    <col min="10" max="10" width="12.26953125" style="6" bestFit="1" customWidth="1"/>
    <col min="11" max="11" width="14.90625" style="5" bestFit="1" customWidth="1"/>
    <col min="12" max="12" width="17.6328125" bestFit="1" customWidth="1"/>
    <col min="13" max="13" width="12.26953125" style="6" bestFit="1" customWidth="1"/>
    <col min="14" max="14" width="16.08984375" bestFit="1" customWidth="1"/>
    <col min="15" max="15" width="18.1796875" bestFit="1" customWidth="1"/>
    <col min="16" max="16" width="13.453125" style="6" bestFit="1" customWidth="1"/>
    <col min="17" max="17" width="17.26953125" bestFit="1" customWidth="1"/>
    <col min="18" max="18" width="19.7265625" bestFit="1" customWidth="1"/>
    <col min="19" max="19" width="14.26953125" style="5" bestFit="1" customWidth="1"/>
    <col min="20" max="20" width="16.90625" bestFit="1" customWidth="1"/>
    <col min="21" max="21" width="19.7265625" bestFit="1" customWidth="1"/>
    <col min="22" max="22" width="13.90625" style="6" bestFit="1" customWidth="1"/>
    <col min="23" max="23" width="17.7265625" bestFit="1" customWidth="1"/>
    <col min="24" max="24" width="20.08984375" bestFit="1" customWidth="1"/>
    <col min="25" max="25" width="15.81640625" style="6" bestFit="1" customWidth="1"/>
  </cols>
  <sheetData>
    <row r="2" spans="2:26">
      <c r="B2" s="1" t="s">
        <v>0</v>
      </c>
      <c r="C2" s="2">
        <v>46054</v>
      </c>
      <c r="J2" s="4"/>
      <c r="M2" s="4"/>
    </row>
    <row r="3" spans="2:26" ht="15" thickBot="1">
      <c r="J3" s="4"/>
      <c r="M3" s="4"/>
    </row>
    <row r="4" spans="2:26" ht="15" thickBot="1">
      <c r="E4" s="7" t="s">
        <v>1</v>
      </c>
      <c r="F4" s="8"/>
      <c r="G4" s="9"/>
      <c r="H4" s="10" t="s">
        <v>2</v>
      </c>
      <c r="I4" s="11"/>
      <c r="J4" s="12"/>
      <c r="K4" s="13" t="s">
        <v>3</v>
      </c>
      <c r="L4" s="14"/>
      <c r="M4" s="15"/>
      <c r="N4" s="16" t="s">
        <v>4</v>
      </c>
      <c r="O4" s="17"/>
      <c r="P4" s="17"/>
      <c r="Q4" s="18" t="s">
        <v>5</v>
      </c>
      <c r="R4" s="19"/>
      <c r="S4" s="20"/>
      <c r="T4" s="21" t="s">
        <v>6</v>
      </c>
      <c r="U4" s="22"/>
      <c r="V4" s="22"/>
      <c r="W4" s="23" t="s">
        <v>7</v>
      </c>
      <c r="X4" s="24"/>
      <c r="Y4" s="24"/>
      <c r="Z4" s="25"/>
    </row>
    <row r="5" spans="2:26" ht="15" thickBot="1">
      <c r="B5" t="s">
        <v>8</v>
      </c>
      <c r="C5" t="s">
        <v>9</v>
      </c>
      <c r="D5" t="s">
        <v>10</v>
      </c>
      <c r="E5" s="26" t="s">
        <v>11</v>
      </c>
      <c r="F5" s="27" t="s">
        <v>12</v>
      </c>
      <c r="G5" s="28" t="s">
        <v>13</v>
      </c>
      <c r="H5" s="29" t="s">
        <v>14</v>
      </c>
      <c r="I5" s="30" t="s">
        <v>15</v>
      </c>
      <c r="J5" s="31" t="s">
        <v>16</v>
      </c>
      <c r="K5" s="32" t="s">
        <v>17</v>
      </c>
      <c r="L5" s="33" t="s">
        <v>18</v>
      </c>
      <c r="M5" s="34" t="s">
        <v>19</v>
      </c>
      <c r="N5" s="35" t="s">
        <v>20</v>
      </c>
      <c r="O5" s="36" t="s">
        <v>21</v>
      </c>
      <c r="P5" s="36" t="s">
        <v>22</v>
      </c>
      <c r="Q5" s="37" t="s">
        <v>23</v>
      </c>
      <c r="R5" s="38" t="s">
        <v>24</v>
      </c>
      <c r="S5" s="39" t="s">
        <v>25</v>
      </c>
      <c r="T5" s="40" t="s">
        <v>26</v>
      </c>
      <c r="U5" s="41" t="s">
        <v>27</v>
      </c>
      <c r="V5" s="41" t="s">
        <v>28</v>
      </c>
      <c r="W5" s="42" t="s">
        <v>29</v>
      </c>
      <c r="X5" s="42" t="s">
        <v>30</v>
      </c>
      <c r="Y5" s="42" t="s">
        <v>31</v>
      </c>
      <c r="Z5" s="25"/>
    </row>
    <row r="6" spans="2:26">
      <c r="B6" s="43" t="s">
        <v>32</v>
      </c>
      <c r="C6" t="s">
        <v>33</v>
      </c>
      <c r="E6" s="44">
        <v>2</v>
      </c>
      <c r="F6" s="45">
        <v>0</v>
      </c>
      <c r="G6" s="46">
        <v>1</v>
      </c>
      <c r="H6" s="47">
        <v>4</v>
      </c>
      <c r="I6" s="45">
        <v>1</v>
      </c>
      <c r="J6" s="46">
        <v>0.8</v>
      </c>
      <c r="K6" s="47">
        <v>4</v>
      </c>
      <c r="L6" s="45">
        <v>1</v>
      </c>
      <c r="M6" s="46">
        <v>0.8</v>
      </c>
      <c r="N6" s="47">
        <v>5</v>
      </c>
      <c r="O6" s="45">
        <v>0</v>
      </c>
      <c r="P6" s="48">
        <v>1</v>
      </c>
      <c r="Q6" s="44">
        <v>2</v>
      </c>
      <c r="R6" s="47">
        <v>3</v>
      </c>
      <c r="S6" s="46">
        <v>0.4</v>
      </c>
      <c r="T6" s="47">
        <v>5</v>
      </c>
      <c r="U6" s="47">
        <v>0</v>
      </c>
      <c r="V6" s="46">
        <v>1</v>
      </c>
      <c r="W6" s="47">
        <v>0</v>
      </c>
      <c r="X6" s="47">
        <v>5</v>
      </c>
      <c r="Y6" s="46">
        <v>0</v>
      </c>
      <c r="Z6" s="25"/>
    </row>
    <row r="7" spans="2:26">
      <c r="B7" s="49" t="s">
        <v>32</v>
      </c>
      <c r="C7" t="s">
        <v>34</v>
      </c>
      <c r="E7" s="50">
        <v>2</v>
      </c>
      <c r="F7" s="51">
        <v>2</v>
      </c>
      <c r="G7" s="52">
        <v>0.5</v>
      </c>
      <c r="H7" s="53">
        <v>3</v>
      </c>
      <c r="I7" s="51">
        <v>1</v>
      </c>
      <c r="J7" s="52">
        <v>0.75</v>
      </c>
      <c r="K7" s="53">
        <v>3</v>
      </c>
      <c r="L7" s="51">
        <v>1</v>
      </c>
      <c r="M7" s="52">
        <v>0.75</v>
      </c>
      <c r="N7" s="53">
        <v>3</v>
      </c>
      <c r="O7" s="51">
        <v>1</v>
      </c>
      <c r="P7" s="54">
        <v>0.75</v>
      </c>
      <c r="Q7" s="50">
        <v>1</v>
      </c>
      <c r="R7" s="53">
        <v>3</v>
      </c>
      <c r="S7" s="52">
        <v>0.25</v>
      </c>
      <c r="T7" s="53">
        <v>2</v>
      </c>
      <c r="U7" s="53">
        <v>2</v>
      </c>
      <c r="V7" s="52">
        <v>0.5</v>
      </c>
      <c r="W7" s="53">
        <v>0</v>
      </c>
      <c r="X7" s="53">
        <v>4</v>
      </c>
      <c r="Y7" s="52">
        <v>0</v>
      </c>
      <c r="Z7" s="25"/>
    </row>
    <row r="8" spans="2:26">
      <c r="B8" s="49" t="s">
        <v>32</v>
      </c>
      <c r="C8" t="s">
        <v>35</v>
      </c>
      <c r="E8" s="50">
        <v>0</v>
      </c>
      <c r="F8" s="51">
        <v>2</v>
      </c>
      <c r="G8" s="52">
        <v>0</v>
      </c>
      <c r="H8" s="53">
        <v>1</v>
      </c>
      <c r="I8" s="51">
        <v>1</v>
      </c>
      <c r="J8" s="52">
        <v>0.5</v>
      </c>
      <c r="K8" s="53">
        <v>1</v>
      </c>
      <c r="L8" s="51">
        <v>1</v>
      </c>
      <c r="M8" s="52">
        <v>0.5</v>
      </c>
      <c r="N8" s="53">
        <v>2</v>
      </c>
      <c r="O8" s="51">
        <v>0</v>
      </c>
      <c r="P8" s="54">
        <v>1</v>
      </c>
      <c r="Q8" s="50">
        <v>2</v>
      </c>
      <c r="R8" s="53">
        <v>0</v>
      </c>
      <c r="S8" s="52">
        <v>1</v>
      </c>
      <c r="T8" s="53">
        <v>1</v>
      </c>
      <c r="U8" s="53">
        <v>1</v>
      </c>
      <c r="V8" s="52">
        <v>0.5</v>
      </c>
      <c r="W8" s="53">
        <v>0</v>
      </c>
      <c r="X8" s="53">
        <v>2</v>
      </c>
      <c r="Y8" s="52">
        <v>0</v>
      </c>
      <c r="Z8" s="25"/>
    </row>
    <row r="9" spans="2:26" ht="15" thickBot="1">
      <c r="B9" s="49" t="s">
        <v>32</v>
      </c>
      <c r="C9" t="s">
        <v>36</v>
      </c>
      <c r="E9" s="50">
        <v>1</v>
      </c>
      <c r="F9" s="51">
        <v>3</v>
      </c>
      <c r="G9" s="52">
        <v>0.25</v>
      </c>
      <c r="H9" s="53">
        <v>3</v>
      </c>
      <c r="I9" s="51">
        <v>1</v>
      </c>
      <c r="J9" s="52">
        <v>0.75</v>
      </c>
      <c r="K9" s="53">
        <v>2</v>
      </c>
      <c r="L9" s="51">
        <v>2</v>
      </c>
      <c r="M9" s="52">
        <v>0.5</v>
      </c>
      <c r="N9" s="53">
        <v>3</v>
      </c>
      <c r="O9" s="51">
        <v>1</v>
      </c>
      <c r="P9" s="54">
        <v>0.75</v>
      </c>
      <c r="Q9" s="50">
        <v>2</v>
      </c>
      <c r="R9" s="53">
        <v>2</v>
      </c>
      <c r="S9" s="52">
        <v>0.5</v>
      </c>
      <c r="T9" s="53">
        <v>1</v>
      </c>
      <c r="U9" s="53">
        <v>3</v>
      </c>
      <c r="V9" s="52">
        <v>0.25</v>
      </c>
      <c r="W9" s="53">
        <v>0</v>
      </c>
      <c r="X9" s="53">
        <v>4</v>
      </c>
      <c r="Y9" s="52">
        <v>0</v>
      </c>
      <c r="Z9" s="25"/>
    </row>
    <row r="10" spans="2:26" ht="15" thickBot="1">
      <c r="B10" s="55" t="s">
        <v>37</v>
      </c>
      <c r="C10" s="56"/>
      <c r="D10" s="56"/>
      <c r="E10" s="57">
        <v>5</v>
      </c>
      <c r="F10" s="58">
        <v>7</v>
      </c>
      <c r="G10" s="59">
        <v>0.41666666666666669</v>
      </c>
      <c r="H10" s="60">
        <v>11</v>
      </c>
      <c r="I10" s="58">
        <v>4</v>
      </c>
      <c r="J10" s="59">
        <v>0.73333333333333328</v>
      </c>
      <c r="K10" s="60">
        <v>10</v>
      </c>
      <c r="L10" s="58">
        <v>5</v>
      </c>
      <c r="M10" s="59">
        <v>0.66666666666666663</v>
      </c>
      <c r="N10" s="60">
        <v>13</v>
      </c>
      <c r="O10" s="58">
        <v>2</v>
      </c>
      <c r="P10" s="61">
        <v>0.8666666666666667</v>
      </c>
      <c r="Q10" s="57">
        <v>7</v>
      </c>
      <c r="R10" s="60">
        <v>8</v>
      </c>
      <c r="S10" s="59">
        <v>0.46666666666666667</v>
      </c>
      <c r="T10" s="60">
        <v>9</v>
      </c>
      <c r="U10" s="60">
        <v>6</v>
      </c>
      <c r="V10" s="59">
        <v>0.6</v>
      </c>
      <c r="W10" s="60">
        <v>0</v>
      </c>
      <c r="X10" s="60">
        <v>15</v>
      </c>
      <c r="Y10" s="61">
        <v>0</v>
      </c>
      <c r="Z10" s="25"/>
    </row>
    <row r="11" spans="2:26">
      <c r="B11" s="49" t="s">
        <v>38</v>
      </c>
      <c r="C11" t="s">
        <v>39</v>
      </c>
      <c r="E11" s="50">
        <v>4</v>
      </c>
      <c r="F11" s="51">
        <v>4</v>
      </c>
      <c r="G11" s="52">
        <v>0.5</v>
      </c>
      <c r="H11" s="53">
        <v>6</v>
      </c>
      <c r="I11" s="51">
        <v>2</v>
      </c>
      <c r="J11" s="52">
        <v>0.75</v>
      </c>
      <c r="K11" s="53">
        <v>5</v>
      </c>
      <c r="L11" s="51">
        <v>3</v>
      </c>
      <c r="M11" s="52">
        <v>0.625</v>
      </c>
      <c r="N11" s="53">
        <v>5</v>
      </c>
      <c r="O11" s="51">
        <v>3</v>
      </c>
      <c r="P11" s="54">
        <v>0.625</v>
      </c>
      <c r="Q11" s="50">
        <v>2</v>
      </c>
      <c r="R11" s="53">
        <v>6</v>
      </c>
      <c r="S11" s="52">
        <v>0.25</v>
      </c>
      <c r="T11" s="53">
        <v>3</v>
      </c>
      <c r="U11" s="53">
        <v>5</v>
      </c>
      <c r="V11" s="52">
        <v>0.375</v>
      </c>
      <c r="W11" s="53">
        <v>0</v>
      </c>
      <c r="X11" s="53">
        <v>8</v>
      </c>
      <c r="Y11" s="52">
        <v>0</v>
      </c>
      <c r="Z11" s="25"/>
    </row>
    <row r="12" spans="2:26">
      <c r="B12" s="49" t="s">
        <v>38</v>
      </c>
      <c r="C12" t="s">
        <v>40</v>
      </c>
      <c r="E12" s="50">
        <v>1</v>
      </c>
      <c r="F12" s="51">
        <v>7</v>
      </c>
      <c r="G12" s="52">
        <v>0.125</v>
      </c>
      <c r="H12" s="53">
        <v>8</v>
      </c>
      <c r="I12" s="51">
        <v>0</v>
      </c>
      <c r="J12" s="52">
        <v>1</v>
      </c>
      <c r="K12" s="53">
        <v>8</v>
      </c>
      <c r="L12" s="51">
        <v>0</v>
      </c>
      <c r="M12" s="52">
        <v>1</v>
      </c>
      <c r="N12" s="53">
        <v>6</v>
      </c>
      <c r="O12" s="51">
        <v>2</v>
      </c>
      <c r="P12" s="54">
        <v>0.75</v>
      </c>
      <c r="Q12" s="50">
        <v>5</v>
      </c>
      <c r="R12" s="53">
        <v>3</v>
      </c>
      <c r="S12" s="52">
        <v>0.625</v>
      </c>
      <c r="T12" s="53">
        <v>4</v>
      </c>
      <c r="U12" s="53">
        <v>4</v>
      </c>
      <c r="V12" s="52">
        <v>0.5</v>
      </c>
      <c r="W12" s="53">
        <v>1</v>
      </c>
      <c r="X12" s="53">
        <v>7</v>
      </c>
      <c r="Y12" s="52">
        <v>0.125</v>
      </c>
      <c r="Z12" s="25"/>
    </row>
    <row r="13" spans="2:26" ht="15" thickBot="1">
      <c r="B13" s="49" t="s">
        <v>38</v>
      </c>
      <c r="C13" t="s">
        <v>41</v>
      </c>
      <c r="E13" s="50">
        <v>3</v>
      </c>
      <c r="F13" s="51">
        <v>9</v>
      </c>
      <c r="G13" s="52">
        <v>0.25</v>
      </c>
      <c r="H13" s="53">
        <v>9</v>
      </c>
      <c r="I13" s="51">
        <v>3</v>
      </c>
      <c r="J13" s="52">
        <v>0.75</v>
      </c>
      <c r="K13" s="53">
        <v>6</v>
      </c>
      <c r="L13" s="51">
        <v>6</v>
      </c>
      <c r="M13" s="52">
        <v>0.5</v>
      </c>
      <c r="N13" s="53">
        <v>7</v>
      </c>
      <c r="O13" s="51">
        <v>5</v>
      </c>
      <c r="P13" s="54">
        <v>0.58333333333333337</v>
      </c>
      <c r="Q13" s="50">
        <v>6</v>
      </c>
      <c r="R13" s="53">
        <v>6</v>
      </c>
      <c r="S13" s="52">
        <v>0.5</v>
      </c>
      <c r="T13" s="53">
        <v>4</v>
      </c>
      <c r="U13" s="53">
        <v>8</v>
      </c>
      <c r="V13" s="52">
        <v>0.33333333333333331</v>
      </c>
      <c r="W13" s="53">
        <v>1</v>
      </c>
      <c r="X13" s="53">
        <v>11</v>
      </c>
      <c r="Y13" s="52">
        <v>8.3333333333333329E-2</v>
      </c>
      <c r="Z13" s="25"/>
    </row>
    <row r="14" spans="2:26" ht="15" thickBot="1">
      <c r="B14" s="55" t="s">
        <v>42</v>
      </c>
      <c r="C14" s="56"/>
      <c r="D14" s="56"/>
      <c r="E14" s="57">
        <v>8</v>
      </c>
      <c r="F14" s="58">
        <v>20</v>
      </c>
      <c r="G14" s="59">
        <v>0.2857142857142857</v>
      </c>
      <c r="H14" s="60">
        <v>23</v>
      </c>
      <c r="I14" s="58">
        <v>5</v>
      </c>
      <c r="J14" s="59">
        <v>0.8214285714285714</v>
      </c>
      <c r="K14" s="60">
        <v>19</v>
      </c>
      <c r="L14" s="58">
        <v>9</v>
      </c>
      <c r="M14" s="59">
        <v>0.6785714285714286</v>
      </c>
      <c r="N14" s="60">
        <v>18</v>
      </c>
      <c r="O14" s="58">
        <v>10</v>
      </c>
      <c r="P14" s="61">
        <v>0.6428571428571429</v>
      </c>
      <c r="Q14" s="57">
        <v>13</v>
      </c>
      <c r="R14" s="60">
        <v>15</v>
      </c>
      <c r="S14" s="59">
        <v>0.4642857142857143</v>
      </c>
      <c r="T14" s="60">
        <v>11</v>
      </c>
      <c r="U14" s="60">
        <v>17</v>
      </c>
      <c r="V14" s="59">
        <v>0.39285714285714285</v>
      </c>
      <c r="W14" s="60">
        <v>2</v>
      </c>
      <c r="X14" s="60">
        <v>26</v>
      </c>
      <c r="Y14" s="61">
        <v>7.1428571428571425E-2</v>
      </c>
      <c r="Z14" s="25"/>
    </row>
    <row r="15" spans="2:26">
      <c r="B15" s="49" t="s">
        <v>43</v>
      </c>
      <c r="C15" t="s">
        <v>44</v>
      </c>
      <c r="E15" s="50">
        <v>8</v>
      </c>
      <c r="F15" s="51">
        <v>7</v>
      </c>
      <c r="G15" s="52">
        <v>0.53333333333333333</v>
      </c>
      <c r="H15" s="53">
        <v>9</v>
      </c>
      <c r="I15" s="51">
        <v>6</v>
      </c>
      <c r="J15" s="52">
        <v>0.6</v>
      </c>
      <c r="K15" s="53">
        <v>7</v>
      </c>
      <c r="L15" s="51">
        <v>8</v>
      </c>
      <c r="M15" s="52">
        <v>0.46666666666666667</v>
      </c>
      <c r="N15" s="53">
        <v>11</v>
      </c>
      <c r="O15" s="51">
        <v>4</v>
      </c>
      <c r="P15" s="54">
        <v>0.73333333333333328</v>
      </c>
      <c r="Q15" s="50">
        <v>7</v>
      </c>
      <c r="R15" s="53">
        <v>8</v>
      </c>
      <c r="S15" s="52">
        <v>0.46666666666666667</v>
      </c>
      <c r="T15" s="53">
        <v>9</v>
      </c>
      <c r="U15" s="53">
        <v>6</v>
      </c>
      <c r="V15" s="52">
        <v>0.6</v>
      </c>
      <c r="W15" s="53">
        <v>3</v>
      </c>
      <c r="X15" s="53">
        <v>12</v>
      </c>
      <c r="Y15" s="52">
        <v>0.2</v>
      </c>
      <c r="Z15" s="25"/>
    </row>
    <row r="16" spans="2:26">
      <c r="B16" s="49" t="s">
        <v>43</v>
      </c>
      <c r="C16" t="s">
        <v>45</v>
      </c>
      <c r="E16" s="50">
        <v>10</v>
      </c>
      <c r="F16" s="51">
        <v>15</v>
      </c>
      <c r="G16" s="52">
        <v>0.4</v>
      </c>
      <c r="H16" s="53">
        <v>11</v>
      </c>
      <c r="I16" s="51">
        <v>14</v>
      </c>
      <c r="J16" s="52">
        <v>0.44</v>
      </c>
      <c r="K16" s="53">
        <v>11</v>
      </c>
      <c r="L16" s="51">
        <v>14</v>
      </c>
      <c r="M16" s="52">
        <v>0.44</v>
      </c>
      <c r="N16" s="53">
        <v>14</v>
      </c>
      <c r="O16" s="51">
        <v>11</v>
      </c>
      <c r="P16" s="54">
        <v>0.56000000000000005</v>
      </c>
      <c r="Q16" s="50">
        <v>7</v>
      </c>
      <c r="R16" s="53">
        <v>18</v>
      </c>
      <c r="S16" s="52">
        <v>0.28000000000000003</v>
      </c>
      <c r="T16" s="53">
        <v>11</v>
      </c>
      <c r="U16" s="53">
        <v>14</v>
      </c>
      <c r="V16" s="52">
        <v>0.44</v>
      </c>
      <c r="W16" s="53">
        <v>6</v>
      </c>
      <c r="X16" s="53">
        <v>19</v>
      </c>
      <c r="Y16" s="52">
        <v>0.24</v>
      </c>
      <c r="Z16" s="25"/>
    </row>
    <row r="17" spans="2:26">
      <c r="B17" s="49" t="s">
        <v>43</v>
      </c>
      <c r="C17" t="s">
        <v>46</v>
      </c>
      <c r="E17" s="50">
        <v>5</v>
      </c>
      <c r="F17" s="51">
        <v>19</v>
      </c>
      <c r="G17" s="52">
        <v>0.20833333333333334</v>
      </c>
      <c r="H17" s="53">
        <v>10</v>
      </c>
      <c r="I17" s="51">
        <v>14</v>
      </c>
      <c r="J17" s="52">
        <v>0.41666666666666669</v>
      </c>
      <c r="K17" s="53">
        <v>4</v>
      </c>
      <c r="L17" s="51">
        <v>20</v>
      </c>
      <c r="M17" s="52">
        <v>0.16666666666666666</v>
      </c>
      <c r="N17" s="53">
        <v>13</v>
      </c>
      <c r="O17" s="51">
        <v>11</v>
      </c>
      <c r="P17" s="54">
        <v>0.54166666666666663</v>
      </c>
      <c r="Q17" s="50">
        <v>1</v>
      </c>
      <c r="R17" s="53">
        <v>23</v>
      </c>
      <c r="S17" s="52">
        <v>4.1666666666666664E-2</v>
      </c>
      <c r="T17" s="53">
        <v>4</v>
      </c>
      <c r="U17" s="53">
        <v>20</v>
      </c>
      <c r="V17" s="52">
        <v>0.16666666666666666</v>
      </c>
      <c r="W17" s="53">
        <v>5</v>
      </c>
      <c r="X17" s="53">
        <v>19</v>
      </c>
      <c r="Y17" s="52">
        <v>0.20833333333333334</v>
      </c>
      <c r="Z17" s="25"/>
    </row>
    <row r="18" spans="2:26">
      <c r="B18" s="49" t="s">
        <v>43</v>
      </c>
      <c r="C18" t="s">
        <v>47</v>
      </c>
      <c r="E18" s="50">
        <v>5</v>
      </c>
      <c r="F18" s="51">
        <v>14</v>
      </c>
      <c r="G18" s="52">
        <v>0.26315789473684209</v>
      </c>
      <c r="H18" s="53">
        <v>8</v>
      </c>
      <c r="I18" s="51">
        <v>11</v>
      </c>
      <c r="J18" s="52">
        <v>0.42105263157894735</v>
      </c>
      <c r="K18" s="53">
        <v>7</v>
      </c>
      <c r="L18" s="51">
        <v>12</v>
      </c>
      <c r="M18" s="52">
        <v>0.36842105263157893</v>
      </c>
      <c r="N18" s="53">
        <v>8</v>
      </c>
      <c r="O18" s="51">
        <v>11</v>
      </c>
      <c r="P18" s="54">
        <v>0.42105263157894735</v>
      </c>
      <c r="Q18" s="50">
        <v>3</v>
      </c>
      <c r="R18" s="53">
        <v>16</v>
      </c>
      <c r="S18" s="52">
        <v>0.15789473684210525</v>
      </c>
      <c r="T18" s="53">
        <v>0</v>
      </c>
      <c r="U18" s="53">
        <v>19</v>
      </c>
      <c r="V18" s="52">
        <v>0</v>
      </c>
      <c r="W18" s="53">
        <v>2</v>
      </c>
      <c r="X18" s="53">
        <v>17</v>
      </c>
      <c r="Y18" s="52">
        <v>0.10526315789473684</v>
      </c>
      <c r="Z18" s="25"/>
    </row>
    <row r="19" spans="2:26">
      <c r="B19" s="49" t="s">
        <v>43</v>
      </c>
      <c r="C19" t="s">
        <v>48</v>
      </c>
      <c r="E19" s="50">
        <v>3</v>
      </c>
      <c r="F19" s="51">
        <v>11</v>
      </c>
      <c r="G19" s="52">
        <v>0.21428571428571427</v>
      </c>
      <c r="H19" s="53">
        <v>5</v>
      </c>
      <c r="I19" s="51">
        <v>9</v>
      </c>
      <c r="J19" s="52">
        <v>0.35714285714285715</v>
      </c>
      <c r="K19" s="53">
        <v>2</v>
      </c>
      <c r="L19" s="51">
        <v>12</v>
      </c>
      <c r="M19" s="52">
        <v>0.14285714285714285</v>
      </c>
      <c r="N19" s="53">
        <v>7</v>
      </c>
      <c r="O19" s="51">
        <v>7</v>
      </c>
      <c r="P19" s="54">
        <v>0.5</v>
      </c>
      <c r="Q19" s="50">
        <v>0</v>
      </c>
      <c r="R19" s="53">
        <v>14</v>
      </c>
      <c r="S19" s="52">
        <v>0</v>
      </c>
      <c r="T19" s="53">
        <v>1</v>
      </c>
      <c r="U19" s="53">
        <v>13</v>
      </c>
      <c r="V19" s="52">
        <v>7.1428571428571425E-2</v>
      </c>
      <c r="W19" s="53">
        <v>1</v>
      </c>
      <c r="X19" s="53">
        <v>13</v>
      </c>
      <c r="Y19" s="52">
        <v>7.1428571428571425E-2</v>
      </c>
      <c r="Z19" s="25"/>
    </row>
    <row r="20" spans="2:26">
      <c r="B20" s="49" t="s">
        <v>43</v>
      </c>
      <c r="C20" t="s">
        <v>49</v>
      </c>
      <c r="E20" s="50">
        <v>5</v>
      </c>
      <c r="F20" s="51">
        <v>10</v>
      </c>
      <c r="G20" s="52">
        <v>0.33333333333333331</v>
      </c>
      <c r="H20" s="53">
        <v>6</v>
      </c>
      <c r="I20" s="51">
        <v>9</v>
      </c>
      <c r="J20" s="52">
        <v>0.4</v>
      </c>
      <c r="K20" s="53">
        <v>4</v>
      </c>
      <c r="L20" s="51">
        <v>11</v>
      </c>
      <c r="M20" s="52">
        <v>0.26666666666666666</v>
      </c>
      <c r="N20" s="53">
        <v>5</v>
      </c>
      <c r="O20" s="51">
        <v>10</v>
      </c>
      <c r="P20" s="54">
        <v>0.33333333333333331</v>
      </c>
      <c r="Q20" s="50">
        <v>2</v>
      </c>
      <c r="R20" s="53">
        <v>13</v>
      </c>
      <c r="S20" s="52">
        <v>0.13333333333333333</v>
      </c>
      <c r="T20" s="53">
        <v>2</v>
      </c>
      <c r="U20" s="53">
        <v>13</v>
      </c>
      <c r="V20" s="52">
        <v>0.13333333333333333</v>
      </c>
      <c r="W20" s="53">
        <v>1</v>
      </c>
      <c r="X20" s="53">
        <v>14</v>
      </c>
      <c r="Y20" s="52">
        <v>6.6666666666666666E-2</v>
      </c>
      <c r="Z20" s="25"/>
    </row>
    <row r="21" spans="2:26" ht="15" thickBot="1">
      <c r="B21" s="49" t="s">
        <v>43</v>
      </c>
      <c r="C21" t="s">
        <v>50</v>
      </c>
      <c r="E21" s="50">
        <v>7</v>
      </c>
      <c r="F21" s="51">
        <v>21</v>
      </c>
      <c r="G21" s="52">
        <v>0.25</v>
      </c>
      <c r="H21" s="53">
        <v>9</v>
      </c>
      <c r="I21" s="51">
        <v>19</v>
      </c>
      <c r="J21" s="52">
        <v>0.32142857142857145</v>
      </c>
      <c r="K21" s="53">
        <v>6</v>
      </c>
      <c r="L21" s="51">
        <v>22</v>
      </c>
      <c r="M21" s="52">
        <v>0.21428571428571427</v>
      </c>
      <c r="N21" s="53">
        <v>8</v>
      </c>
      <c r="O21" s="51">
        <v>20</v>
      </c>
      <c r="P21" s="54">
        <v>0.2857142857142857</v>
      </c>
      <c r="Q21" s="50">
        <v>3</v>
      </c>
      <c r="R21" s="53">
        <v>25</v>
      </c>
      <c r="S21" s="52">
        <v>0.10714285714285714</v>
      </c>
      <c r="T21" s="53">
        <v>7</v>
      </c>
      <c r="U21" s="53">
        <v>21</v>
      </c>
      <c r="V21" s="52">
        <v>0.25</v>
      </c>
      <c r="W21" s="53">
        <v>2</v>
      </c>
      <c r="X21" s="53">
        <v>26</v>
      </c>
      <c r="Y21" s="52">
        <v>7.1428571428571425E-2</v>
      </c>
      <c r="Z21" s="25"/>
    </row>
    <row r="22" spans="2:26" ht="15" thickBot="1">
      <c r="B22" s="55" t="s">
        <v>51</v>
      </c>
      <c r="C22" s="56"/>
      <c r="D22" s="56"/>
      <c r="E22" s="57">
        <v>43</v>
      </c>
      <c r="F22" s="58">
        <v>97</v>
      </c>
      <c r="G22" s="59">
        <v>0.30714285714285716</v>
      </c>
      <c r="H22" s="60">
        <v>58</v>
      </c>
      <c r="I22" s="58">
        <v>82</v>
      </c>
      <c r="J22" s="59">
        <v>0.41428571428571431</v>
      </c>
      <c r="K22" s="60">
        <v>41</v>
      </c>
      <c r="L22" s="58">
        <v>99</v>
      </c>
      <c r="M22" s="59">
        <v>0.29285714285714287</v>
      </c>
      <c r="N22" s="60">
        <v>66</v>
      </c>
      <c r="O22" s="58">
        <v>74</v>
      </c>
      <c r="P22" s="61">
        <v>0.47142857142857142</v>
      </c>
      <c r="Q22" s="57">
        <v>23</v>
      </c>
      <c r="R22" s="60">
        <v>117</v>
      </c>
      <c r="S22" s="59">
        <v>0.16428571428571428</v>
      </c>
      <c r="T22" s="60">
        <v>34</v>
      </c>
      <c r="U22" s="60">
        <v>106</v>
      </c>
      <c r="V22" s="59">
        <v>0.24285714285714285</v>
      </c>
      <c r="W22" s="60">
        <v>20</v>
      </c>
      <c r="X22" s="60">
        <v>120</v>
      </c>
      <c r="Y22" s="61">
        <v>0.14285714285714285</v>
      </c>
      <c r="Z22" s="25"/>
    </row>
    <row r="23" spans="2:26">
      <c r="B23" t="s">
        <v>52</v>
      </c>
      <c r="C23" t="s">
        <v>53</v>
      </c>
      <c r="E23" s="50">
        <v>5</v>
      </c>
      <c r="F23" s="51">
        <v>11</v>
      </c>
      <c r="G23" s="52">
        <v>0.3125</v>
      </c>
      <c r="H23" s="53">
        <v>5</v>
      </c>
      <c r="I23" s="51">
        <v>11</v>
      </c>
      <c r="J23" s="52">
        <v>0.3125</v>
      </c>
      <c r="K23" s="53">
        <v>6</v>
      </c>
      <c r="L23" s="51">
        <v>10</v>
      </c>
      <c r="M23" s="52">
        <v>0.375</v>
      </c>
      <c r="N23" s="53">
        <v>7</v>
      </c>
      <c r="O23" s="51">
        <v>9</v>
      </c>
      <c r="P23" s="54">
        <v>0.4375</v>
      </c>
      <c r="Q23" s="50">
        <v>4</v>
      </c>
      <c r="R23" s="53">
        <v>12</v>
      </c>
      <c r="S23" s="52">
        <v>0.25</v>
      </c>
      <c r="T23" s="53">
        <v>6</v>
      </c>
      <c r="U23" s="53">
        <v>10</v>
      </c>
      <c r="V23" s="52">
        <v>0.375</v>
      </c>
      <c r="W23" s="53">
        <v>3</v>
      </c>
      <c r="X23" s="53">
        <v>13</v>
      </c>
      <c r="Y23" s="54">
        <v>0.1875</v>
      </c>
      <c r="Z23" s="25"/>
    </row>
    <row r="24" spans="2:26">
      <c r="B24" t="s">
        <v>52</v>
      </c>
      <c r="C24" t="s">
        <v>54</v>
      </c>
      <c r="E24" s="50">
        <v>0</v>
      </c>
      <c r="F24" s="51">
        <v>23</v>
      </c>
      <c r="G24" s="52">
        <v>0</v>
      </c>
      <c r="H24" s="53">
        <v>6</v>
      </c>
      <c r="I24" s="51">
        <v>17</v>
      </c>
      <c r="J24" s="52">
        <v>0.2608695652173913</v>
      </c>
      <c r="K24" s="53">
        <v>6</v>
      </c>
      <c r="L24" s="51">
        <v>17</v>
      </c>
      <c r="M24" s="52">
        <v>0.2608695652173913</v>
      </c>
      <c r="N24" s="53">
        <v>8</v>
      </c>
      <c r="O24" s="51">
        <v>15</v>
      </c>
      <c r="P24" s="54">
        <v>0.34782608695652173</v>
      </c>
      <c r="Q24" s="50">
        <v>5</v>
      </c>
      <c r="R24" s="53">
        <v>18</v>
      </c>
      <c r="S24" s="52">
        <v>0.21739130434782608</v>
      </c>
      <c r="T24" s="53">
        <v>4</v>
      </c>
      <c r="U24" s="53">
        <v>19</v>
      </c>
      <c r="V24" s="52">
        <v>0.17391304347826086</v>
      </c>
      <c r="W24" s="53">
        <v>4</v>
      </c>
      <c r="X24" s="53">
        <v>19</v>
      </c>
      <c r="Y24" s="54">
        <v>0.17391304347826086</v>
      </c>
      <c r="Z24" s="25"/>
    </row>
    <row r="25" spans="2:26">
      <c r="B25" t="s">
        <v>52</v>
      </c>
      <c r="C25" t="s">
        <v>55</v>
      </c>
      <c r="E25" s="50">
        <v>0</v>
      </c>
      <c r="F25" s="51">
        <v>15</v>
      </c>
      <c r="G25" s="52">
        <v>0</v>
      </c>
      <c r="H25" s="53">
        <v>6</v>
      </c>
      <c r="I25" s="51">
        <v>9</v>
      </c>
      <c r="J25" s="52">
        <v>0.4</v>
      </c>
      <c r="K25" s="53">
        <v>2</v>
      </c>
      <c r="L25" s="51">
        <v>13</v>
      </c>
      <c r="M25" s="52">
        <v>0.13333333333333333</v>
      </c>
      <c r="N25" s="53">
        <v>9</v>
      </c>
      <c r="O25" s="51">
        <v>6</v>
      </c>
      <c r="P25" s="54">
        <v>0.6</v>
      </c>
      <c r="Q25" s="50">
        <v>2</v>
      </c>
      <c r="R25" s="53">
        <v>13</v>
      </c>
      <c r="S25" s="52">
        <v>0.13333333333333333</v>
      </c>
      <c r="T25" s="53">
        <v>5</v>
      </c>
      <c r="U25" s="53">
        <v>10</v>
      </c>
      <c r="V25" s="52">
        <v>0.33333333333333331</v>
      </c>
      <c r="W25" s="53">
        <v>0</v>
      </c>
      <c r="X25" s="53">
        <v>15</v>
      </c>
      <c r="Y25" s="54">
        <v>0</v>
      </c>
      <c r="Z25" s="25"/>
    </row>
    <row r="26" spans="2:26">
      <c r="B26" t="s">
        <v>52</v>
      </c>
      <c r="C26" t="s">
        <v>56</v>
      </c>
      <c r="E26" s="50">
        <v>6</v>
      </c>
      <c r="F26" s="51">
        <v>16</v>
      </c>
      <c r="G26" s="52">
        <v>0.27272727272727271</v>
      </c>
      <c r="H26" s="53">
        <v>8</v>
      </c>
      <c r="I26" s="51">
        <v>14</v>
      </c>
      <c r="J26" s="52">
        <v>0.36363636363636365</v>
      </c>
      <c r="K26" s="53">
        <v>4</v>
      </c>
      <c r="L26" s="51">
        <v>18</v>
      </c>
      <c r="M26" s="52">
        <v>0.18181818181818182</v>
      </c>
      <c r="N26" s="53">
        <v>11</v>
      </c>
      <c r="O26" s="51">
        <v>11</v>
      </c>
      <c r="P26" s="54">
        <v>0.5</v>
      </c>
      <c r="Q26" s="50">
        <v>5</v>
      </c>
      <c r="R26" s="53">
        <v>17</v>
      </c>
      <c r="S26" s="52">
        <v>0.22727272727272727</v>
      </c>
      <c r="T26" s="53">
        <v>8</v>
      </c>
      <c r="U26" s="53">
        <v>14</v>
      </c>
      <c r="V26" s="52">
        <v>0.36363636363636365</v>
      </c>
      <c r="W26" s="53">
        <v>3</v>
      </c>
      <c r="X26" s="53">
        <v>19</v>
      </c>
      <c r="Y26" s="54">
        <v>0.13636363636363635</v>
      </c>
      <c r="Z26" s="25"/>
    </row>
    <row r="27" spans="2:26">
      <c r="B27" t="s">
        <v>52</v>
      </c>
      <c r="C27" t="s">
        <v>57</v>
      </c>
      <c r="E27" s="50">
        <v>6</v>
      </c>
      <c r="F27" s="51">
        <v>23</v>
      </c>
      <c r="G27" s="52">
        <v>0.20689655172413793</v>
      </c>
      <c r="H27" s="53">
        <v>15</v>
      </c>
      <c r="I27" s="51">
        <v>14</v>
      </c>
      <c r="J27" s="52">
        <v>0.51724137931034486</v>
      </c>
      <c r="K27" s="53">
        <v>11</v>
      </c>
      <c r="L27" s="51">
        <v>18</v>
      </c>
      <c r="M27" s="52">
        <v>0.37931034482758619</v>
      </c>
      <c r="N27" s="53">
        <v>16</v>
      </c>
      <c r="O27" s="51">
        <v>13</v>
      </c>
      <c r="P27" s="54">
        <v>0.55172413793103448</v>
      </c>
      <c r="Q27" s="50">
        <v>11</v>
      </c>
      <c r="R27" s="53">
        <v>18</v>
      </c>
      <c r="S27" s="52">
        <v>0.37931034482758619</v>
      </c>
      <c r="T27" s="53">
        <v>11</v>
      </c>
      <c r="U27" s="53">
        <v>18</v>
      </c>
      <c r="V27" s="52">
        <v>0.37931034482758619</v>
      </c>
      <c r="W27" s="53">
        <v>12</v>
      </c>
      <c r="X27" s="53">
        <v>17</v>
      </c>
      <c r="Y27" s="54">
        <v>0.41379310344827586</v>
      </c>
      <c r="Z27" s="25"/>
    </row>
    <row r="28" spans="2:26" ht="15" thickBot="1">
      <c r="B28" t="s">
        <v>52</v>
      </c>
      <c r="C28" t="s">
        <v>58</v>
      </c>
      <c r="E28" s="50">
        <v>6</v>
      </c>
      <c r="F28" s="51">
        <v>14</v>
      </c>
      <c r="G28" s="52">
        <v>0.3</v>
      </c>
      <c r="H28" s="53">
        <v>7</v>
      </c>
      <c r="I28" s="51">
        <v>13</v>
      </c>
      <c r="J28" s="52">
        <v>0.35</v>
      </c>
      <c r="K28" s="53">
        <v>7</v>
      </c>
      <c r="L28" s="51">
        <v>13</v>
      </c>
      <c r="M28" s="52">
        <v>0.35</v>
      </c>
      <c r="N28" s="53">
        <v>13</v>
      </c>
      <c r="O28" s="51">
        <v>7</v>
      </c>
      <c r="P28" s="54">
        <v>0.65</v>
      </c>
      <c r="Q28" s="50">
        <v>2</v>
      </c>
      <c r="R28" s="53">
        <v>18</v>
      </c>
      <c r="S28" s="52">
        <v>0.1</v>
      </c>
      <c r="T28" s="53">
        <v>2</v>
      </c>
      <c r="U28" s="53">
        <v>18</v>
      </c>
      <c r="V28" s="52">
        <v>0.1</v>
      </c>
      <c r="W28" s="53">
        <v>6</v>
      </c>
      <c r="X28" s="53">
        <v>14</v>
      </c>
      <c r="Y28" s="54">
        <v>0.3</v>
      </c>
      <c r="Z28" s="25"/>
    </row>
    <row r="29" spans="2:26" ht="15" thickBot="1">
      <c r="B29" s="55" t="s">
        <v>59</v>
      </c>
      <c r="C29" s="56"/>
      <c r="D29" s="62"/>
      <c r="E29" s="57">
        <v>23</v>
      </c>
      <c r="F29" s="58">
        <v>102</v>
      </c>
      <c r="G29" s="59">
        <v>0.184</v>
      </c>
      <c r="H29" s="60">
        <v>47</v>
      </c>
      <c r="I29" s="58">
        <v>78</v>
      </c>
      <c r="J29" s="59">
        <v>0.376</v>
      </c>
      <c r="K29" s="60">
        <v>36</v>
      </c>
      <c r="L29" s="58">
        <v>89</v>
      </c>
      <c r="M29" s="59">
        <v>0.28799999999999998</v>
      </c>
      <c r="N29" s="60">
        <v>64</v>
      </c>
      <c r="O29" s="58">
        <v>61</v>
      </c>
      <c r="P29" s="61">
        <v>0.51200000000000001</v>
      </c>
      <c r="Q29" s="57">
        <v>29</v>
      </c>
      <c r="R29" s="60">
        <v>96</v>
      </c>
      <c r="S29" s="59">
        <v>0.23200000000000001</v>
      </c>
      <c r="T29" s="60">
        <v>36</v>
      </c>
      <c r="U29" s="60">
        <v>89</v>
      </c>
      <c r="V29" s="59">
        <v>0.28799999999999998</v>
      </c>
      <c r="W29" s="60">
        <v>28</v>
      </c>
      <c r="X29" s="60">
        <v>97</v>
      </c>
      <c r="Y29" s="59">
        <v>0.224</v>
      </c>
      <c r="Z29" s="25"/>
    </row>
    <row r="30" spans="2:26">
      <c r="B30" t="s">
        <v>60</v>
      </c>
      <c r="C30" t="s">
        <v>61</v>
      </c>
      <c r="E30" s="50">
        <v>0</v>
      </c>
      <c r="F30" s="51">
        <v>3</v>
      </c>
      <c r="G30" s="52">
        <v>0</v>
      </c>
      <c r="H30" s="53">
        <v>2</v>
      </c>
      <c r="I30" s="51">
        <v>1</v>
      </c>
      <c r="J30" s="52">
        <v>0.66666666666666663</v>
      </c>
      <c r="K30" s="53">
        <v>0</v>
      </c>
      <c r="L30" s="51">
        <v>3</v>
      </c>
      <c r="M30" s="52">
        <v>0</v>
      </c>
      <c r="N30" s="53">
        <v>2</v>
      </c>
      <c r="O30" s="51">
        <v>1</v>
      </c>
      <c r="P30" s="54">
        <v>0.66666666666666663</v>
      </c>
      <c r="Q30" s="50">
        <v>0</v>
      </c>
      <c r="R30" s="53">
        <v>3</v>
      </c>
      <c r="S30" s="52">
        <v>0</v>
      </c>
      <c r="T30" s="53">
        <v>1</v>
      </c>
      <c r="U30" s="53">
        <v>2</v>
      </c>
      <c r="V30" s="52">
        <v>0.33333333333333331</v>
      </c>
      <c r="W30" s="53">
        <v>0</v>
      </c>
      <c r="X30" s="53">
        <v>3</v>
      </c>
      <c r="Y30" s="54">
        <v>0</v>
      </c>
      <c r="Z30" s="25"/>
    </row>
    <row r="31" spans="2:26">
      <c r="B31" t="s">
        <v>60</v>
      </c>
      <c r="C31" t="s">
        <v>62</v>
      </c>
      <c r="E31" s="50">
        <v>1</v>
      </c>
      <c r="F31" s="51">
        <v>5</v>
      </c>
      <c r="G31" s="52">
        <v>0.16666666666666666</v>
      </c>
      <c r="H31" s="53">
        <v>2</v>
      </c>
      <c r="I31" s="51">
        <v>4</v>
      </c>
      <c r="J31" s="52">
        <v>0.33333333333333331</v>
      </c>
      <c r="K31" s="53">
        <v>4</v>
      </c>
      <c r="L31" s="51">
        <v>2</v>
      </c>
      <c r="M31" s="52">
        <v>0.66666666666666663</v>
      </c>
      <c r="N31" s="53">
        <v>6</v>
      </c>
      <c r="O31" s="51">
        <v>0</v>
      </c>
      <c r="P31" s="54">
        <v>1</v>
      </c>
      <c r="Q31" s="50">
        <v>1</v>
      </c>
      <c r="R31" s="53">
        <v>5</v>
      </c>
      <c r="S31" s="52">
        <v>0.16666666666666666</v>
      </c>
      <c r="T31" s="53">
        <v>1</v>
      </c>
      <c r="U31" s="53">
        <v>5</v>
      </c>
      <c r="V31" s="52">
        <v>0.16666666666666666</v>
      </c>
      <c r="W31" s="53">
        <v>0</v>
      </c>
      <c r="X31" s="53">
        <v>6</v>
      </c>
      <c r="Y31" s="54">
        <v>0</v>
      </c>
      <c r="Z31" s="25"/>
    </row>
    <row r="32" spans="2:26">
      <c r="B32" t="s">
        <v>60</v>
      </c>
      <c r="C32" t="s">
        <v>63</v>
      </c>
      <c r="E32" s="50">
        <v>1</v>
      </c>
      <c r="F32" s="51">
        <v>5</v>
      </c>
      <c r="G32" s="52">
        <v>0.16666666666666666</v>
      </c>
      <c r="H32" s="53">
        <v>4</v>
      </c>
      <c r="I32" s="51">
        <v>2</v>
      </c>
      <c r="J32" s="52">
        <v>0.66666666666666663</v>
      </c>
      <c r="K32" s="53">
        <v>2</v>
      </c>
      <c r="L32" s="51">
        <v>4</v>
      </c>
      <c r="M32" s="52">
        <v>0.33333333333333331</v>
      </c>
      <c r="N32" s="53">
        <v>3</v>
      </c>
      <c r="O32" s="51">
        <v>3</v>
      </c>
      <c r="P32" s="54">
        <v>0.5</v>
      </c>
      <c r="Q32" s="50">
        <v>2</v>
      </c>
      <c r="R32" s="53">
        <v>4</v>
      </c>
      <c r="S32" s="52">
        <v>0.33333333333333331</v>
      </c>
      <c r="T32" s="53">
        <v>2</v>
      </c>
      <c r="U32" s="53">
        <v>4</v>
      </c>
      <c r="V32" s="52">
        <v>0.33333333333333331</v>
      </c>
      <c r="W32" s="53">
        <v>1</v>
      </c>
      <c r="X32" s="53">
        <v>5</v>
      </c>
      <c r="Y32" s="54">
        <v>0.16666666666666666</v>
      </c>
      <c r="Z32" s="25"/>
    </row>
    <row r="33" spans="2:26">
      <c r="B33" t="s">
        <v>60</v>
      </c>
      <c r="C33" t="s">
        <v>64</v>
      </c>
      <c r="E33" s="50">
        <v>0</v>
      </c>
      <c r="F33" s="51">
        <v>5</v>
      </c>
      <c r="G33" s="52">
        <v>0</v>
      </c>
      <c r="H33" s="53">
        <v>2</v>
      </c>
      <c r="I33" s="51">
        <v>3</v>
      </c>
      <c r="J33" s="52">
        <v>0.4</v>
      </c>
      <c r="K33" s="53">
        <v>2</v>
      </c>
      <c r="L33" s="51">
        <v>3</v>
      </c>
      <c r="M33" s="52">
        <v>0.4</v>
      </c>
      <c r="N33" s="53">
        <v>3</v>
      </c>
      <c r="O33" s="51">
        <v>2</v>
      </c>
      <c r="P33" s="54">
        <v>0.6</v>
      </c>
      <c r="Q33" s="50">
        <v>0</v>
      </c>
      <c r="R33" s="53">
        <v>5</v>
      </c>
      <c r="S33" s="52">
        <v>0</v>
      </c>
      <c r="T33" s="53">
        <v>2</v>
      </c>
      <c r="U33" s="53">
        <v>3</v>
      </c>
      <c r="V33" s="52">
        <v>0.4</v>
      </c>
      <c r="W33" s="53">
        <v>0</v>
      </c>
      <c r="X33" s="53">
        <v>5</v>
      </c>
      <c r="Y33" s="54">
        <v>0</v>
      </c>
      <c r="Z33" s="25"/>
    </row>
    <row r="34" spans="2:26">
      <c r="B34" t="s">
        <v>60</v>
      </c>
      <c r="C34" t="s">
        <v>65</v>
      </c>
      <c r="E34" s="50">
        <v>1</v>
      </c>
      <c r="F34" s="51">
        <v>10</v>
      </c>
      <c r="G34" s="52">
        <v>9.0909090909090912E-2</v>
      </c>
      <c r="H34" s="53">
        <v>3</v>
      </c>
      <c r="I34" s="51">
        <v>8</v>
      </c>
      <c r="J34" s="52">
        <v>0.27272727272727271</v>
      </c>
      <c r="K34" s="53">
        <v>4</v>
      </c>
      <c r="L34" s="51">
        <v>7</v>
      </c>
      <c r="M34" s="52">
        <v>0.36363636363636365</v>
      </c>
      <c r="N34" s="53">
        <v>5</v>
      </c>
      <c r="O34" s="51">
        <v>6</v>
      </c>
      <c r="P34" s="54">
        <v>0.45454545454545453</v>
      </c>
      <c r="Q34" s="50">
        <v>4</v>
      </c>
      <c r="R34" s="53">
        <v>7</v>
      </c>
      <c r="S34" s="52">
        <v>0.36363636363636365</v>
      </c>
      <c r="T34" s="53">
        <v>2</v>
      </c>
      <c r="U34" s="53">
        <v>9</v>
      </c>
      <c r="V34" s="52">
        <v>0.18181818181818182</v>
      </c>
      <c r="W34" s="53">
        <v>2</v>
      </c>
      <c r="X34" s="53">
        <v>9</v>
      </c>
      <c r="Y34" s="54">
        <v>0.18181818181818182</v>
      </c>
      <c r="Z34" s="25"/>
    </row>
    <row r="35" spans="2:26" ht="15" thickBot="1">
      <c r="B35" t="s">
        <v>60</v>
      </c>
      <c r="C35" t="s">
        <v>66</v>
      </c>
      <c r="E35" s="50">
        <v>0</v>
      </c>
      <c r="F35" s="51">
        <v>4</v>
      </c>
      <c r="G35" s="52">
        <v>0</v>
      </c>
      <c r="H35" s="53">
        <v>0</v>
      </c>
      <c r="I35" s="51">
        <v>4</v>
      </c>
      <c r="J35" s="52">
        <v>0</v>
      </c>
      <c r="K35" s="53">
        <v>2</v>
      </c>
      <c r="L35" s="51">
        <v>2</v>
      </c>
      <c r="M35" s="52">
        <v>0.5</v>
      </c>
      <c r="N35" s="53">
        <v>3</v>
      </c>
      <c r="O35" s="51">
        <v>1</v>
      </c>
      <c r="P35" s="54">
        <v>0.75</v>
      </c>
      <c r="Q35" s="50">
        <v>1</v>
      </c>
      <c r="R35" s="53">
        <v>3</v>
      </c>
      <c r="S35" s="52">
        <v>0.25</v>
      </c>
      <c r="T35" s="53">
        <v>0</v>
      </c>
      <c r="U35" s="53">
        <v>4</v>
      </c>
      <c r="V35" s="52">
        <v>0</v>
      </c>
      <c r="W35" s="53">
        <v>0</v>
      </c>
      <c r="X35" s="53">
        <v>4</v>
      </c>
      <c r="Y35" s="54">
        <v>0</v>
      </c>
      <c r="Z35" s="25"/>
    </row>
    <row r="36" spans="2:26" ht="15" thickBot="1">
      <c r="B36" s="55" t="s">
        <v>67</v>
      </c>
      <c r="C36" s="56"/>
      <c r="D36" s="62"/>
      <c r="E36" s="57">
        <v>3</v>
      </c>
      <c r="F36" s="58">
        <v>32</v>
      </c>
      <c r="G36" s="59">
        <v>8.5714285714285715E-2</v>
      </c>
      <c r="H36" s="60">
        <v>13</v>
      </c>
      <c r="I36" s="58">
        <v>22</v>
      </c>
      <c r="J36" s="59">
        <v>0.37142857142857144</v>
      </c>
      <c r="K36" s="60">
        <v>14</v>
      </c>
      <c r="L36" s="58">
        <v>21</v>
      </c>
      <c r="M36" s="59">
        <v>0.4</v>
      </c>
      <c r="N36" s="60">
        <v>22</v>
      </c>
      <c r="O36" s="58">
        <v>13</v>
      </c>
      <c r="P36" s="61">
        <v>0.62857142857142856</v>
      </c>
      <c r="Q36" s="57">
        <v>8</v>
      </c>
      <c r="R36" s="60">
        <v>27</v>
      </c>
      <c r="S36" s="59">
        <v>0.22857142857142856</v>
      </c>
      <c r="T36" s="60">
        <v>8</v>
      </c>
      <c r="U36" s="60">
        <v>27</v>
      </c>
      <c r="V36" s="59">
        <v>0.22857142857142856</v>
      </c>
      <c r="W36" s="60">
        <v>3</v>
      </c>
      <c r="X36" s="60">
        <v>32</v>
      </c>
      <c r="Y36" s="59">
        <v>8.5714285714285715E-2</v>
      </c>
      <c r="Z36" s="25"/>
    </row>
    <row r="37" spans="2:26">
      <c r="B37" t="s">
        <v>68</v>
      </c>
      <c r="C37" t="s">
        <v>69</v>
      </c>
      <c r="E37" s="50">
        <v>1</v>
      </c>
      <c r="F37" s="51">
        <v>17</v>
      </c>
      <c r="G37" s="52">
        <v>5.5555555555555552E-2</v>
      </c>
      <c r="H37" s="53">
        <v>0</v>
      </c>
      <c r="I37" s="51">
        <v>18</v>
      </c>
      <c r="J37" s="52">
        <v>0</v>
      </c>
      <c r="K37" s="53">
        <v>1</v>
      </c>
      <c r="L37" s="51">
        <v>17</v>
      </c>
      <c r="M37" s="52">
        <v>5.5555555555555552E-2</v>
      </c>
      <c r="N37" s="53">
        <v>7</v>
      </c>
      <c r="O37" s="51">
        <v>11</v>
      </c>
      <c r="P37" s="54">
        <v>0.3888888888888889</v>
      </c>
      <c r="Q37" s="50">
        <v>0</v>
      </c>
      <c r="R37" s="53">
        <v>18</v>
      </c>
      <c r="S37" s="52">
        <v>0</v>
      </c>
      <c r="T37" s="53">
        <v>5</v>
      </c>
      <c r="U37" s="53">
        <v>13</v>
      </c>
      <c r="V37" s="52">
        <v>0.27777777777777779</v>
      </c>
      <c r="W37" s="53">
        <v>0</v>
      </c>
      <c r="X37" s="53">
        <v>18</v>
      </c>
      <c r="Y37" s="54">
        <v>0</v>
      </c>
      <c r="Z37" s="25"/>
    </row>
    <row r="38" spans="2:26" ht="15" thickBot="1">
      <c r="B38" t="s">
        <v>68</v>
      </c>
      <c r="C38" t="s">
        <v>68</v>
      </c>
      <c r="E38" s="50">
        <v>0</v>
      </c>
      <c r="F38" s="51">
        <v>3</v>
      </c>
      <c r="G38" s="52">
        <v>0</v>
      </c>
      <c r="H38" s="53">
        <v>0</v>
      </c>
      <c r="I38" s="51">
        <v>3</v>
      </c>
      <c r="J38" s="52">
        <v>0</v>
      </c>
      <c r="K38" s="53">
        <v>0</v>
      </c>
      <c r="L38" s="51">
        <v>3</v>
      </c>
      <c r="M38" s="52">
        <v>0</v>
      </c>
      <c r="N38" s="53">
        <v>0</v>
      </c>
      <c r="O38" s="51">
        <v>3</v>
      </c>
      <c r="P38" s="54">
        <v>0</v>
      </c>
      <c r="Q38" s="50">
        <v>0</v>
      </c>
      <c r="R38" s="53">
        <v>3</v>
      </c>
      <c r="S38" s="52">
        <v>0</v>
      </c>
      <c r="T38" s="53">
        <v>0</v>
      </c>
      <c r="U38" s="53">
        <v>3</v>
      </c>
      <c r="V38" s="52">
        <v>0</v>
      </c>
      <c r="W38" s="53">
        <v>0</v>
      </c>
      <c r="X38" s="53">
        <v>3</v>
      </c>
      <c r="Y38" s="54">
        <v>0</v>
      </c>
      <c r="Z38" s="25"/>
    </row>
    <row r="39" spans="2:26" ht="15" thickBot="1">
      <c r="B39" s="55" t="s">
        <v>70</v>
      </c>
      <c r="C39" s="56"/>
      <c r="D39" s="62"/>
      <c r="E39" s="57">
        <v>1</v>
      </c>
      <c r="F39" s="58">
        <v>20</v>
      </c>
      <c r="G39" s="59">
        <v>4.7619047619047616E-2</v>
      </c>
      <c r="H39" s="60">
        <v>0</v>
      </c>
      <c r="I39" s="58">
        <v>21</v>
      </c>
      <c r="J39" s="59">
        <v>0</v>
      </c>
      <c r="K39" s="60">
        <v>1</v>
      </c>
      <c r="L39" s="58">
        <v>20</v>
      </c>
      <c r="M39" s="59">
        <v>4.7619047619047616E-2</v>
      </c>
      <c r="N39" s="60">
        <v>7</v>
      </c>
      <c r="O39" s="58">
        <v>14</v>
      </c>
      <c r="P39" s="61">
        <v>0.33333333333333331</v>
      </c>
      <c r="Q39" s="57">
        <v>0</v>
      </c>
      <c r="R39" s="60">
        <v>21</v>
      </c>
      <c r="S39" s="59">
        <v>0</v>
      </c>
      <c r="T39" s="60">
        <v>5</v>
      </c>
      <c r="U39" s="60">
        <v>16</v>
      </c>
      <c r="V39" s="59">
        <v>0.23809523809523808</v>
      </c>
      <c r="W39" s="60">
        <v>0</v>
      </c>
      <c r="X39" s="60">
        <v>21</v>
      </c>
      <c r="Y39" s="59">
        <v>0</v>
      </c>
      <c r="Z39" s="25"/>
    </row>
    <row r="40" spans="2:26" ht="15" thickBot="1">
      <c r="B40" s="63" t="s">
        <v>71</v>
      </c>
      <c r="C40" s="64"/>
      <c r="D40" s="64"/>
      <c r="E40" s="65">
        <v>83</v>
      </c>
      <c r="F40" s="66">
        <v>278</v>
      </c>
      <c r="G40" s="67">
        <v>0.22991689750692521</v>
      </c>
      <c r="H40" s="68">
        <v>152</v>
      </c>
      <c r="I40" s="66">
        <v>212</v>
      </c>
      <c r="J40" s="67">
        <v>0.4175824175824176</v>
      </c>
      <c r="K40" s="68">
        <v>121</v>
      </c>
      <c r="L40" s="66">
        <v>243</v>
      </c>
      <c r="M40" s="67">
        <v>0.3324175824175824</v>
      </c>
      <c r="N40" s="68">
        <v>190</v>
      </c>
      <c r="O40" s="66">
        <v>174</v>
      </c>
      <c r="P40" s="69">
        <v>0.52197802197802201</v>
      </c>
      <c r="Q40" s="65">
        <v>80</v>
      </c>
      <c r="R40" s="68">
        <v>284</v>
      </c>
      <c r="S40" s="67">
        <v>0.21978021978021978</v>
      </c>
      <c r="T40" s="68">
        <v>103</v>
      </c>
      <c r="U40" s="68">
        <v>261</v>
      </c>
      <c r="V40" s="67">
        <v>0.28296703296703296</v>
      </c>
      <c r="W40" s="68">
        <v>53</v>
      </c>
      <c r="X40" s="68">
        <v>311</v>
      </c>
      <c r="Y40" s="69">
        <v>0.14560439560439561</v>
      </c>
      <c r="Z40" s="25"/>
    </row>
    <row r="41" spans="2:26">
      <c r="F41"/>
      <c r="H41"/>
      <c r="J41"/>
      <c r="K41"/>
      <c r="M41"/>
      <c r="P41"/>
      <c r="S41"/>
      <c r="V41"/>
    </row>
    <row r="42" spans="2:26">
      <c r="F42"/>
      <c r="H42"/>
      <c r="J42"/>
      <c r="K42"/>
      <c r="M42"/>
      <c r="P42"/>
      <c r="S42"/>
      <c r="V42"/>
    </row>
    <row r="43" spans="2:26">
      <c r="F43"/>
      <c r="H43"/>
      <c r="J43"/>
      <c r="K43"/>
      <c r="M43"/>
      <c r="P43"/>
      <c r="S43"/>
      <c r="V43"/>
    </row>
    <row r="44" spans="2:26">
      <c r="F44"/>
      <c r="H44"/>
      <c r="J44"/>
      <c r="K44"/>
      <c r="M44"/>
      <c r="P44"/>
      <c r="S44"/>
      <c r="V44"/>
    </row>
    <row r="45" spans="2:26">
      <c r="F45"/>
      <c r="H45"/>
      <c r="J45"/>
      <c r="K45"/>
      <c r="M45"/>
      <c r="P45"/>
      <c r="S45"/>
      <c r="V45"/>
    </row>
    <row r="46" spans="2:26">
      <c r="F46"/>
      <c r="H46"/>
      <c r="J46"/>
      <c r="K46"/>
      <c r="M46"/>
      <c r="P46"/>
      <c r="S46"/>
      <c r="V46"/>
    </row>
    <row r="47" spans="2:26">
      <c r="F47"/>
      <c r="H47"/>
      <c r="J47"/>
      <c r="K47"/>
      <c r="M47"/>
      <c r="P47"/>
      <c r="S47"/>
      <c r="V47"/>
    </row>
    <row r="48" spans="2:26">
      <c r="F48"/>
      <c r="H48"/>
      <c r="J48"/>
      <c r="K48"/>
      <c r="M48"/>
      <c r="P48"/>
      <c r="S48"/>
      <c r="V48"/>
    </row>
    <row r="49" spans="25:25" customFormat="1">
      <c r="Y49" s="6"/>
    </row>
    <row r="50" spans="25:25" customFormat="1">
      <c r="Y50" s="6"/>
    </row>
    <row r="51" spans="25:25" customFormat="1">
      <c r="Y51" s="6"/>
    </row>
    <row r="52" spans="25:25" customFormat="1">
      <c r="Y52" s="6"/>
    </row>
    <row r="53" spans="25:25" customFormat="1">
      <c r="Y53" s="6"/>
    </row>
    <row r="54" spans="25:25" customFormat="1">
      <c r="Y54" s="6"/>
    </row>
    <row r="55" spans="25:25" customFormat="1">
      <c r="Y55" s="6"/>
    </row>
    <row r="56" spans="25:25" customFormat="1">
      <c r="Y56" s="6"/>
    </row>
    <row r="57" spans="25:25" customFormat="1">
      <c r="Y57" s="6"/>
    </row>
    <row r="58" spans="25:25" customFormat="1">
      <c r="Y58" s="6"/>
    </row>
    <row r="59" spans="25:25" customFormat="1">
      <c r="Y59" s="6"/>
    </row>
    <row r="60" spans="25:25" customFormat="1">
      <c r="Y60" s="6"/>
    </row>
    <row r="61" spans="25:25" customFormat="1">
      <c r="Y61" s="6"/>
    </row>
    <row r="62" spans="25:25" customFormat="1">
      <c r="Y62" s="6"/>
    </row>
    <row r="63" spans="25:25" customFormat="1">
      <c r="Y63" s="6"/>
    </row>
    <row r="64" spans="25:25" customFormat="1">
      <c r="Y64" s="6"/>
    </row>
    <row r="65" spans="6:22">
      <c r="F65"/>
      <c r="H65"/>
      <c r="J65"/>
      <c r="K65"/>
      <c r="M65"/>
      <c r="P65"/>
      <c r="S65"/>
      <c r="V65"/>
    </row>
    <row r="66" spans="6:22">
      <c r="F66"/>
      <c r="H66"/>
      <c r="J66"/>
      <c r="K66"/>
      <c r="M66"/>
      <c r="P66"/>
      <c r="S66"/>
      <c r="V66"/>
    </row>
    <row r="67" spans="6:22">
      <c r="F67"/>
      <c r="H67"/>
      <c r="J67"/>
      <c r="K67"/>
      <c r="M67"/>
      <c r="P67"/>
      <c r="S67"/>
      <c r="V67"/>
    </row>
    <row r="68" spans="6:22">
      <c r="F68"/>
      <c r="H68"/>
      <c r="J68"/>
      <c r="K68"/>
      <c r="M68"/>
      <c r="P68"/>
      <c r="S68"/>
      <c r="V68"/>
    </row>
    <row r="69" spans="6:22">
      <c r="F69"/>
      <c r="H69"/>
      <c r="J69"/>
      <c r="K69"/>
      <c r="M69"/>
      <c r="P69"/>
      <c r="S69"/>
    </row>
    <row r="70" spans="6:22">
      <c r="F70"/>
      <c r="H70"/>
      <c r="J70"/>
      <c r="K70"/>
      <c r="M70"/>
      <c r="P70"/>
      <c r="S70"/>
    </row>
    <row r="71" spans="6:22">
      <c r="F71"/>
      <c r="H71"/>
      <c r="J71"/>
      <c r="K71"/>
      <c r="M71"/>
      <c r="P71"/>
      <c r="S71"/>
    </row>
    <row r="72" spans="6:22">
      <c r="F72"/>
      <c r="H72"/>
      <c r="J72"/>
      <c r="K72"/>
      <c r="M72"/>
      <c r="P72"/>
      <c r="S72"/>
    </row>
    <row r="73" spans="6:22">
      <c r="F73"/>
      <c r="H73"/>
      <c r="J73"/>
      <c r="K73"/>
      <c r="M73"/>
      <c r="P73"/>
      <c r="S73"/>
    </row>
    <row r="74" spans="6:22">
      <c r="F74"/>
      <c r="H74"/>
      <c r="J74"/>
      <c r="K74"/>
      <c r="M74"/>
      <c r="P74"/>
      <c r="S74"/>
    </row>
    <row r="75" spans="6:22">
      <c r="F75"/>
      <c r="H75"/>
      <c r="J75"/>
      <c r="K75"/>
      <c r="M75"/>
      <c r="P75"/>
      <c r="S75"/>
    </row>
    <row r="76" spans="6:22">
      <c r="F76"/>
      <c r="H76"/>
      <c r="J76"/>
      <c r="K76"/>
      <c r="M76"/>
      <c r="P76"/>
      <c r="S76"/>
    </row>
    <row r="77" spans="6:22">
      <c r="F77"/>
      <c r="H77"/>
      <c r="J77"/>
      <c r="K77"/>
      <c r="M77"/>
      <c r="P77"/>
      <c r="S77"/>
    </row>
  </sheetData>
  <mergeCells count="7">
    <mergeCell ref="W4:Y4"/>
    <mergeCell ref="E4:G4"/>
    <mergeCell ref="H4:J4"/>
    <mergeCell ref="K4:M4"/>
    <mergeCell ref="N4:P4"/>
    <mergeCell ref="Q4:S4"/>
    <mergeCell ref="T4:V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95089-0C87-47FC-9A54-4E868408A35A}">
  <sheetPr>
    <tabColor theme="5"/>
  </sheetPr>
  <dimension ref="A1:W366"/>
  <sheetViews>
    <sheetView showGridLines="0" zoomScale="75" zoomScaleNormal="75" workbookViewId="0">
      <selection activeCell="J12" sqref="J12"/>
    </sheetView>
  </sheetViews>
  <sheetFormatPr baseColWidth="10" defaultColWidth="10.90625" defaultRowHeight="13"/>
  <cols>
    <col min="1" max="1" width="15.7265625" style="73" customWidth="1"/>
    <col min="2" max="2" width="14" style="73" bestFit="1" customWidth="1"/>
    <col min="3" max="3" width="30.36328125" style="73" customWidth="1"/>
    <col min="4" max="4" width="13.26953125" style="73" customWidth="1"/>
    <col min="5" max="5" width="31.90625" style="73" bestFit="1" customWidth="1"/>
    <col min="6" max="6" width="17.36328125" style="73" customWidth="1"/>
    <col min="7" max="7" width="43.90625" style="73" customWidth="1"/>
    <col min="8" max="14" width="11.6328125" style="73" customWidth="1"/>
    <col min="15" max="15" width="10" style="73" customWidth="1"/>
    <col min="16" max="16" width="10.90625" style="73" customWidth="1"/>
    <col min="17" max="17" width="9.90625" style="73" customWidth="1"/>
    <col min="18" max="18" width="15.453125" style="73" customWidth="1"/>
    <col min="19" max="20" width="0" style="73" hidden="1" customWidth="1"/>
    <col min="21" max="16384" width="10.90625" style="73"/>
  </cols>
  <sheetData>
    <row r="1" spans="1:23" ht="19" thickBot="1">
      <c r="A1" s="70" t="s">
        <v>72</v>
      </c>
      <c r="B1" s="70"/>
      <c r="C1" s="70"/>
      <c r="D1" s="71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2">
        <v>100520837</v>
      </c>
      <c r="T1" s="72">
        <v>100522395</v>
      </c>
    </row>
    <row r="2" spans="1:23" s="87" customFormat="1" ht="25.5" customHeight="1" thickBot="1">
      <c r="A2" s="74" t="s">
        <v>73</v>
      </c>
      <c r="B2" s="75" t="s">
        <v>74</v>
      </c>
      <c r="C2" s="75" t="s">
        <v>8</v>
      </c>
      <c r="D2" s="76" t="s">
        <v>75</v>
      </c>
      <c r="E2" s="75" t="s">
        <v>9</v>
      </c>
      <c r="F2" s="75" t="s">
        <v>76</v>
      </c>
      <c r="G2" s="77" t="s">
        <v>10</v>
      </c>
      <c r="H2" s="78" t="s">
        <v>77</v>
      </c>
      <c r="I2" s="79" t="s">
        <v>78</v>
      </c>
      <c r="J2" s="80" t="s">
        <v>79</v>
      </c>
      <c r="K2" s="81" t="s">
        <v>80</v>
      </c>
      <c r="L2" s="81" t="s">
        <v>81</v>
      </c>
      <c r="M2" s="81" t="s">
        <v>82</v>
      </c>
      <c r="N2" s="82" t="s">
        <v>83</v>
      </c>
      <c r="O2" s="83" t="str">
        <f>+UPPER(TEXT('DINAMICA ENERO 26'!$C$2,"mmm 'yy"))&amp;" FACT"</f>
        <v>FEB '26 FACT</v>
      </c>
      <c r="P2" s="84" t="str">
        <f>+UPPER(TEXT('DINAMICA ENERO 26'!$C$2,"mmm 'yy"))&amp;" PEND."</f>
        <v>FEB '26 PEND.</v>
      </c>
      <c r="Q2" s="85" t="str">
        <f>+UPPER(TEXT('DINAMICA ENERO 26'!$C$2,"mmm 'yy"))&amp;" TOTAL"</f>
        <v>FEB '26 TOTAL</v>
      </c>
      <c r="R2" s="86" t="s">
        <v>84</v>
      </c>
    </row>
    <row r="3" spans="1:23" ht="14">
      <c r="A3" s="88" t="s">
        <v>85</v>
      </c>
      <c r="B3" s="89" t="s">
        <v>86</v>
      </c>
      <c r="C3" s="89" t="s">
        <v>60</v>
      </c>
      <c r="D3" s="89">
        <v>100077477</v>
      </c>
      <c r="E3" s="89" t="s">
        <v>65</v>
      </c>
      <c r="F3" s="89">
        <v>100086577</v>
      </c>
      <c r="G3" s="90" t="s">
        <v>87</v>
      </c>
      <c r="H3" s="91">
        <v>9.6</v>
      </c>
      <c r="I3" s="92">
        <v>0</v>
      </c>
      <c r="J3" s="93">
        <v>4.8</v>
      </c>
      <c r="K3" s="94">
        <v>4.8</v>
      </c>
      <c r="L3" s="95">
        <v>24</v>
      </c>
      <c r="M3" s="95">
        <v>4.8</v>
      </c>
      <c r="N3" s="96">
        <f t="shared" ref="N3:N66" si="0">+AVERAGE(K3:M3)</f>
        <v>11.200000000000001</v>
      </c>
      <c r="O3" s="97">
        <v>0</v>
      </c>
      <c r="P3" s="92">
        <v>0</v>
      </c>
      <c r="Q3" s="98">
        <f t="shared" ref="Q3:Q66" si="1">+O3+P3</f>
        <v>0</v>
      </c>
      <c r="R3" s="99" t="str">
        <f>+IF(Q3+N3&lt;=0, "NO COMPRADOR", +IF(Q3&lt;=0, "SIN COMPRA "&amp;+UPPER(TEXT('DINAMICA ENERO 26'!$C$2,"mmm 'yy")), "COMPRADOR"))</f>
        <v>SIN COMPRA FEB '26</v>
      </c>
      <c r="S3" s="100"/>
      <c r="T3" s="101"/>
      <c r="U3" s="100"/>
      <c r="V3" s="100"/>
    </row>
    <row r="4" spans="1:23" s="100" customFormat="1" ht="14">
      <c r="A4" s="88" t="s">
        <v>85</v>
      </c>
      <c r="B4" s="89" t="s">
        <v>86</v>
      </c>
      <c r="C4" s="89" t="s">
        <v>60</v>
      </c>
      <c r="D4" s="89">
        <v>100077477</v>
      </c>
      <c r="E4" s="89" t="s">
        <v>65</v>
      </c>
      <c r="F4" s="89">
        <v>100065731</v>
      </c>
      <c r="G4" s="90" t="s">
        <v>88</v>
      </c>
      <c r="H4" s="91">
        <v>0</v>
      </c>
      <c r="I4" s="92">
        <v>0</v>
      </c>
      <c r="J4" s="93">
        <v>0</v>
      </c>
      <c r="K4" s="94">
        <v>0</v>
      </c>
      <c r="L4" s="94">
        <v>0</v>
      </c>
      <c r="M4" s="94">
        <v>0</v>
      </c>
      <c r="N4" s="102">
        <f t="shared" si="0"/>
        <v>0</v>
      </c>
      <c r="O4" s="97">
        <v>0</v>
      </c>
      <c r="P4" s="92">
        <v>0</v>
      </c>
      <c r="Q4" s="98">
        <f t="shared" si="1"/>
        <v>0</v>
      </c>
      <c r="R4" s="99" t="str">
        <f>+IF(Q4+N4&lt;=0, "NO COMPRADOR", +IF(Q4&lt;=0, "SIN COMPRA "&amp;+UPPER(TEXT('DINAMICA ENERO 26'!$C$2,"mmm 'yy")), "COMPRADOR"))</f>
        <v>NO COMPRADOR</v>
      </c>
      <c r="T4" s="101"/>
      <c r="W4" s="73"/>
    </row>
    <row r="5" spans="1:23" s="100" customFormat="1" ht="14">
      <c r="A5" s="88" t="s">
        <v>85</v>
      </c>
      <c r="B5" s="89" t="s">
        <v>86</v>
      </c>
      <c r="C5" s="89" t="s">
        <v>60</v>
      </c>
      <c r="D5" s="89">
        <v>100077477</v>
      </c>
      <c r="E5" s="89" t="s">
        <v>65</v>
      </c>
      <c r="F5" s="89">
        <v>100010095</v>
      </c>
      <c r="G5" s="90" t="s">
        <v>89</v>
      </c>
      <c r="H5" s="91">
        <v>48</v>
      </c>
      <c r="I5" s="92">
        <v>38.4</v>
      </c>
      <c r="J5" s="93">
        <v>14.399999999999999</v>
      </c>
      <c r="K5" s="94">
        <v>0</v>
      </c>
      <c r="L5" s="94">
        <v>33.6</v>
      </c>
      <c r="M5" s="94">
        <v>28.799999999999997</v>
      </c>
      <c r="N5" s="102">
        <f t="shared" si="0"/>
        <v>20.8</v>
      </c>
      <c r="O5" s="97">
        <v>14.399999999999999</v>
      </c>
      <c r="P5" s="92">
        <v>0</v>
      </c>
      <c r="Q5" s="98">
        <f t="shared" si="1"/>
        <v>14.399999999999999</v>
      </c>
      <c r="R5" s="99" t="str">
        <f>+IF(Q5+N5&lt;=0, "NO COMPRADOR", +IF(Q5&lt;=0, "SIN COMPRA "&amp;+UPPER(TEXT('DINAMICA ENERO 26'!$C$2,"mmm 'yy")), "COMPRADOR"))</f>
        <v>COMPRADOR</v>
      </c>
      <c r="T5" s="101"/>
      <c r="W5" s="73"/>
    </row>
    <row r="6" spans="1:23" s="100" customFormat="1" ht="14">
      <c r="A6" s="88" t="s">
        <v>85</v>
      </c>
      <c r="B6" s="89" t="s">
        <v>86</v>
      </c>
      <c r="C6" s="89" t="s">
        <v>60</v>
      </c>
      <c r="D6" s="89">
        <v>100077477</v>
      </c>
      <c r="E6" s="89" t="s">
        <v>65</v>
      </c>
      <c r="F6" s="89">
        <v>100079173</v>
      </c>
      <c r="G6" s="90" t="s">
        <v>90</v>
      </c>
      <c r="H6" s="91">
        <v>0</v>
      </c>
      <c r="I6" s="92">
        <v>0</v>
      </c>
      <c r="J6" s="93">
        <v>0</v>
      </c>
      <c r="K6" s="94">
        <v>0</v>
      </c>
      <c r="L6" s="94">
        <v>24</v>
      </c>
      <c r="M6" s="94">
        <v>14.399999999999999</v>
      </c>
      <c r="N6" s="102">
        <f t="shared" si="0"/>
        <v>12.799999999999999</v>
      </c>
      <c r="O6" s="97">
        <v>0</v>
      </c>
      <c r="P6" s="92">
        <v>0</v>
      </c>
      <c r="Q6" s="98">
        <f t="shared" si="1"/>
        <v>0</v>
      </c>
      <c r="R6" s="99" t="str">
        <f>+IF(Q6+N6&lt;=0, "NO COMPRADOR", +IF(Q6&lt;=0, "SIN COMPRA "&amp;+UPPER(TEXT('DINAMICA ENERO 26'!$C$2,"mmm 'yy")), "COMPRADOR"))</f>
        <v>SIN COMPRA FEB '26</v>
      </c>
      <c r="T6" s="101"/>
      <c r="W6" s="73"/>
    </row>
    <row r="7" spans="1:23" s="100" customFormat="1" ht="14">
      <c r="A7" s="88" t="s">
        <v>85</v>
      </c>
      <c r="B7" s="89" t="s">
        <v>86</v>
      </c>
      <c r="C7" s="89" t="s">
        <v>60</v>
      </c>
      <c r="D7" s="89">
        <v>100077477</v>
      </c>
      <c r="E7" s="89" t="s">
        <v>65</v>
      </c>
      <c r="F7" s="89">
        <v>100079594</v>
      </c>
      <c r="G7" s="90" t="s">
        <v>91</v>
      </c>
      <c r="H7" s="91">
        <v>14.399999999999999</v>
      </c>
      <c r="I7" s="92">
        <v>0</v>
      </c>
      <c r="J7" s="93">
        <v>0</v>
      </c>
      <c r="K7" s="94">
        <v>0</v>
      </c>
      <c r="L7" s="94">
        <v>9.6</v>
      </c>
      <c r="M7" s="94">
        <v>14.399999999999999</v>
      </c>
      <c r="N7" s="102">
        <f t="shared" si="0"/>
        <v>8</v>
      </c>
      <c r="O7" s="97">
        <v>0</v>
      </c>
      <c r="P7" s="92">
        <v>0</v>
      </c>
      <c r="Q7" s="98">
        <f t="shared" si="1"/>
        <v>0</v>
      </c>
      <c r="R7" s="99" t="str">
        <f>+IF(Q7+N7&lt;=0, "NO COMPRADOR", +IF(Q7&lt;=0, "SIN COMPRA "&amp;+UPPER(TEXT('DINAMICA ENERO 26'!$C$2,"mmm 'yy")), "COMPRADOR"))</f>
        <v>SIN COMPRA FEB '26</v>
      </c>
      <c r="T7" s="101"/>
      <c r="W7" s="73"/>
    </row>
    <row r="8" spans="1:23" s="100" customFormat="1" ht="14">
      <c r="A8" s="88" t="s">
        <v>85</v>
      </c>
      <c r="B8" s="89" t="s">
        <v>86</v>
      </c>
      <c r="C8" s="89" t="s">
        <v>60</v>
      </c>
      <c r="D8" s="89">
        <v>100077477</v>
      </c>
      <c r="E8" s="89" t="s">
        <v>65</v>
      </c>
      <c r="F8" s="89">
        <v>100078788</v>
      </c>
      <c r="G8" s="90" t="s">
        <v>92</v>
      </c>
      <c r="H8" s="91">
        <v>0</v>
      </c>
      <c r="I8" s="92">
        <v>0</v>
      </c>
      <c r="J8" s="93">
        <v>0</v>
      </c>
      <c r="K8" s="94">
        <v>0</v>
      </c>
      <c r="L8" s="94">
        <v>19.2</v>
      </c>
      <c r="M8" s="94">
        <v>0</v>
      </c>
      <c r="N8" s="102">
        <f t="shared" si="0"/>
        <v>6.3999999999999995</v>
      </c>
      <c r="O8" s="97">
        <v>0</v>
      </c>
      <c r="P8" s="92">
        <v>0</v>
      </c>
      <c r="Q8" s="98">
        <f t="shared" si="1"/>
        <v>0</v>
      </c>
      <c r="R8" s="99" t="str">
        <f>+IF(Q8+N8&lt;=0, "NO COMPRADOR", +IF(Q8&lt;=0, "SIN COMPRA "&amp;+UPPER(TEXT('DINAMICA ENERO 26'!$C$2,"mmm 'yy")), "COMPRADOR"))</f>
        <v>SIN COMPRA FEB '26</v>
      </c>
      <c r="T8" s="101"/>
      <c r="W8" s="73"/>
    </row>
    <row r="9" spans="1:23" s="100" customFormat="1" ht="14">
      <c r="A9" s="88" t="s">
        <v>85</v>
      </c>
      <c r="B9" s="89" t="s">
        <v>86</v>
      </c>
      <c r="C9" s="89" t="s">
        <v>60</v>
      </c>
      <c r="D9" s="89">
        <v>100077477</v>
      </c>
      <c r="E9" s="89" t="s">
        <v>65</v>
      </c>
      <c r="F9" s="89">
        <v>100084185</v>
      </c>
      <c r="G9" s="90" t="s">
        <v>93</v>
      </c>
      <c r="H9" s="91">
        <v>4.8</v>
      </c>
      <c r="I9" s="92">
        <v>0</v>
      </c>
      <c r="J9" s="93">
        <v>0</v>
      </c>
      <c r="K9" s="94">
        <v>0</v>
      </c>
      <c r="L9" s="94">
        <v>0</v>
      </c>
      <c r="M9" s="94">
        <v>0</v>
      </c>
      <c r="N9" s="102">
        <f t="shared" si="0"/>
        <v>0</v>
      </c>
      <c r="O9" s="97">
        <v>0</v>
      </c>
      <c r="P9" s="92">
        <v>0</v>
      </c>
      <c r="Q9" s="98">
        <f t="shared" si="1"/>
        <v>0</v>
      </c>
      <c r="R9" s="99" t="str">
        <f>+IF(Q9+N9&lt;=0, "NO COMPRADOR", +IF(Q9&lt;=0, "SIN COMPRA "&amp;+UPPER(TEXT('DINAMICA ENERO 26'!$C$2,"mmm 'yy")), "COMPRADOR"))</f>
        <v>NO COMPRADOR</v>
      </c>
      <c r="T9" s="101"/>
      <c r="W9" s="73"/>
    </row>
    <row r="10" spans="1:23" s="100" customFormat="1" ht="14">
      <c r="A10" s="88" t="s">
        <v>85</v>
      </c>
      <c r="B10" s="89" t="s">
        <v>86</v>
      </c>
      <c r="C10" s="89" t="s">
        <v>60</v>
      </c>
      <c r="D10" s="89">
        <v>100077477</v>
      </c>
      <c r="E10" s="89" t="s">
        <v>65</v>
      </c>
      <c r="F10" s="89">
        <v>100087922</v>
      </c>
      <c r="G10" s="90" t="s">
        <v>94</v>
      </c>
      <c r="H10" s="91">
        <v>0</v>
      </c>
      <c r="I10" s="92">
        <v>0</v>
      </c>
      <c r="J10" s="93">
        <v>0</v>
      </c>
      <c r="K10" s="94">
        <v>0</v>
      </c>
      <c r="L10" s="94">
        <v>0</v>
      </c>
      <c r="M10" s="94">
        <v>0</v>
      </c>
      <c r="N10" s="102">
        <f t="shared" si="0"/>
        <v>0</v>
      </c>
      <c r="O10" s="97">
        <v>0</v>
      </c>
      <c r="P10" s="92">
        <v>0</v>
      </c>
      <c r="Q10" s="98">
        <f t="shared" si="1"/>
        <v>0</v>
      </c>
      <c r="R10" s="99" t="str">
        <f>+IF(Q10+N10&lt;=0, "NO COMPRADOR", +IF(Q10&lt;=0, "SIN COMPRA "&amp;+UPPER(TEXT('DINAMICA ENERO 26'!$C$2,"mmm 'yy")), "COMPRADOR"))</f>
        <v>NO COMPRADOR</v>
      </c>
      <c r="T10" s="101"/>
      <c r="W10" s="73"/>
    </row>
    <row r="11" spans="1:23" s="100" customFormat="1" ht="14">
      <c r="A11" s="88" t="s">
        <v>85</v>
      </c>
      <c r="B11" s="89" t="s">
        <v>86</v>
      </c>
      <c r="C11" s="89" t="s">
        <v>60</v>
      </c>
      <c r="D11" s="89">
        <v>100077477</v>
      </c>
      <c r="E11" s="89" t="s">
        <v>65</v>
      </c>
      <c r="F11" s="89">
        <v>100071741</v>
      </c>
      <c r="G11" s="90" t="s">
        <v>95</v>
      </c>
      <c r="H11" s="91">
        <v>0</v>
      </c>
      <c r="I11" s="92">
        <v>0</v>
      </c>
      <c r="J11" s="93">
        <v>0</v>
      </c>
      <c r="K11" s="94">
        <v>0</v>
      </c>
      <c r="L11" s="94">
        <v>0</v>
      </c>
      <c r="M11" s="94">
        <v>0</v>
      </c>
      <c r="N11" s="102">
        <f t="shared" si="0"/>
        <v>0</v>
      </c>
      <c r="O11" s="97">
        <v>0</v>
      </c>
      <c r="P11" s="92">
        <v>0</v>
      </c>
      <c r="Q11" s="98">
        <f t="shared" si="1"/>
        <v>0</v>
      </c>
      <c r="R11" s="99" t="str">
        <f>+IF(Q11+N11&lt;=0, "NO COMPRADOR", +IF(Q11&lt;=0, "SIN COMPRA "&amp;+UPPER(TEXT('DINAMICA ENERO 26'!$C$2,"mmm 'yy")), "COMPRADOR"))</f>
        <v>NO COMPRADOR</v>
      </c>
      <c r="T11" s="101"/>
      <c r="W11" s="73"/>
    </row>
    <row r="12" spans="1:23" s="100" customFormat="1" ht="14">
      <c r="A12" s="88" t="s">
        <v>85</v>
      </c>
      <c r="B12" s="89" t="s">
        <v>86</v>
      </c>
      <c r="C12" s="89" t="s">
        <v>60</v>
      </c>
      <c r="D12" s="89">
        <v>100077477</v>
      </c>
      <c r="E12" s="89" t="s">
        <v>65</v>
      </c>
      <c r="F12" s="89">
        <v>100075448</v>
      </c>
      <c r="G12" s="90" t="s">
        <v>96</v>
      </c>
      <c r="H12" s="91">
        <v>4.8</v>
      </c>
      <c r="I12" s="92">
        <v>0</v>
      </c>
      <c r="J12" s="93">
        <v>0</v>
      </c>
      <c r="K12" s="94">
        <v>0</v>
      </c>
      <c r="L12" s="94">
        <v>28.799999999999997</v>
      </c>
      <c r="M12" s="94">
        <v>0</v>
      </c>
      <c r="N12" s="102">
        <f t="shared" si="0"/>
        <v>9.6</v>
      </c>
      <c r="O12" s="97">
        <v>0</v>
      </c>
      <c r="P12" s="92">
        <v>0</v>
      </c>
      <c r="Q12" s="98">
        <f t="shared" si="1"/>
        <v>0</v>
      </c>
      <c r="R12" s="99" t="str">
        <f>+IF(Q12+N12&lt;=0, "NO COMPRADOR", +IF(Q12&lt;=0, "SIN COMPRA "&amp;+UPPER(TEXT('DINAMICA ENERO 26'!$C$2,"mmm 'yy")), "COMPRADOR"))</f>
        <v>SIN COMPRA FEB '26</v>
      </c>
      <c r="T12" s="101"/>
      <c r="W12" s="73"/>
    </row>
    <row r="13" spans="1:23" s="100" customFormat="1" ht="14">
      <c r="A13" s="88" t="s">
        <v>85</v>
      </c>
      <c r="B13" s="89" t="s">
        <v>86</v>
      </c>
      <c r="C13" s="89" t="s">
        <v>60</v>
      </c>
      <c r="D13" s="89">
        <v>100077477</v>
      </c>
      <c r="E13" s="89" t="s">
        <v>65</v>
      </c>
      <c r="F13" s="89">
        <v>100089232</v>
      </c>
      <c r="G13" s="90" t="s">
        <v>97</v>
      </c>
      <c r="H13" s="91">
        <v>0</v>
      </c>
      <c r="I13" s="92">
        <v>0</v>
      </c>
      <c r="J13" s="93">
        <v>0</v>
      </c>
      <c r="K13" s="94">
        <v>0</v>
      </c>
      <c r="L13" s="94">
        <v>0</v>
      </c>
      <c r="M13" s="94">
        <v>0</v>
      </c>
      <c r="N13" s="102">
        <f t="shared" si="0"/>
        <v>0</v>
      </c>
      <c r="O13" s="97">
        <v>0</v>
      </c>
      <c r="P13" s="92">
        <v>0</v>
      </c>
      <c r="Q13" s="98">
        <f t="shared" si="1"/>
        <v>0</v>
      </c>
      <c r="R13" s="99" t="str">
        <f>+IF(Q13+N13&lt;=0, "NO COMPRADOR", +IF(Q13&lt;=0, "SIN COMPRA "&amp;+UPPER(TEXT('DINAMICA ENERO 26'!$C$2,"mmm 'yy")), "COMPRADOR"))</f>
        <v>NO COMPRADOR</v>
      </c>
      <c r="T13" s="101"/>
      <c r="W13" s="73"/>
    </row>
    <row r="14" spans="1:23" s="100" customFormat="1" ht="14">
      <c r="A14" s="88" t="s">
        <v>85</v>
      </c>
      <c r="B14" s="89" t="s">
        <v>98</v>
      </c>
      <c r="C14" s="89" t="s">
        <v>60</v>
      </c>
      <c r="D14" s="103">
        <v>100041217</v>
      </c>
      <c r="E14" s="89" t="s">
        <v>63</v>
      </c>
      <c r="F14" s="89">
        <v>100073953</v>
      </c>
      <c r="G14" s="90" t="s">
        <v>99</v>
      </c>
      <c r="H14" s="91">
        <v>0</v>
      </c>
      <c r="I14" s="92">
        <v>0</v>
      </c>
      <c r="J14" s="93">
        <v>0</v>
      </c>
      <c r="K14" s="94">
        <v>0</v>
      </c>
      <c r="L14" s="94">
        <v>0</v>
      </c>
      <c r="M14" s="94">
        <v>0</v>
      </c>
      <c r="N14" s="102">
        <f t="shared" si="0"/>
        <v>0</v>
      </c>
      <c r="O14" s="97">
        <v>0</v>
      </c>
      <c r="P14" s="92">
        <v>0</v>
      </c>
      <c r="Q14" s="98">
        <f t="shared" si="1"/>
        <v>0</v>
      </c>
      <c r="R14" s="99" t="str">
        <f>+IF(Q14+N14&lt;=0, "NO COMPRADOR", +IF(Q14&lt;=0, "SIN COMPRA "&amp;+UPPER(TEXT('DINAMICA ENERO 26'!$C$2,"mmm 'yy")), "COMPRADOR"))</f>
        <v>NO COMPRADOR</v>
      </c>
      <c r="T14" s="101"/>
      <c r="W14" s="73"/>
    </row>
    <row r="15" spans="1:23" s="100" customFormat="1" ht="14">
      <c r="A15" s="88" t="s">
        <v>85</v>
      </c>
      <c r="B15" s="89" t="s">
        <v>98</v>
      </c>
      <c r="C15" s="89" t="s">
        <v>60</v>
      </c>
      <c r="D15" s="103">
        <v>100041217</v>
      </c>
      <c r="E15" s="89" t="s">
        <v>63</v>
      </c>
      <c r="F15" s="89">
        <v>100081405</v>
      </c>
      <c r="G15" s="90" t="s">
        <v>100</v>
      </c>
      <c r="H15" s="91">
        <v>9.6</v>
      </c>
      <c r="I15" s="92">
        <v>4.8</v>
      </c>
      <c r="J15" s="93">
        <v>0</v>
      </c>
      <c r="K15" s="94">
        <v>0</v>
      </c>
      <c r="L15" s="94">
        <v>48</v>
      </c>
      <c r="M15" s="94">
        <v>33.6</v>
      </c>
      <c r="N15" s="102">
        <f t="shared" si="0"/>
        <v>27.2</v>
      </c>
      <c r="O15" s="97">
        <v>0</v>
      </c>
      <c r="P15" s="92">
        <v>0</v>
      </c>
      <c r="Q15" s="98">
        <f t="shared" si="1"/>
        <v>0</v>
      </c>
      <c r="R15" s="99" t="str">
        <f>+IF(Q15+N15&lt;=0, "NO COMPRADOR", +IF(Q15&lt;=0, "SIN COMPRA "&amp;+UPPER(TEXT('DINAMICA ENERO 26'!$C$2,"mmm 'yy")), "COMPRADOR"))</f>
        <v>SIN COMPRA FEB '26</v>
      </c>
      <c r="T15" s="101"/>
      <c r="W15" s="73"/>
    </row>
    <row r="16" spans="1:23" s="100" customFormat="1" ht="14">
      <c r="A16" s="88" t="s">
        <v>85</v>
      </c>
      <c r="B16" s="89" t="s">
        <v>98</v>
      </c>
      <c r="C16" s="89" t="s">
        <v>60</v>
      </c>
      <c r="D16" s="103">
        <v>100041217</v>
      </c>
      <c r="E16" s="89" t="s">
        <v>63</v>
      </c>
      <c r="F16" s="89">
        <v>100066079</v>
      </c>
      <c r="G16" s="90" t="s">
        <v>101</v>
      </c>
      <c r="H16" s="91">
        <v>48</v>
      </c>
      <c r="I16" s="92">
        <v>9.6</v>
      </c>
      <c r="J16" s="93">
        <v>0</v>
      </c>
      <c r="K16" s="94">
        <v>0</v>
      </c>
      <c r="L16" s="94">
        <v>48</v>
      </c>
      <c r="M16" s="94">
        <v>24</v>
      </c>
      <c r="N16" s="102">
        <f t="shared" si="0"/>
        <v>24</v>
      </c>
      <c r="O16" s="97">
        <v>24</v>
      </c>
      <c r="P16" s="92">
        <v>0</v>
      </c>
      <c r="Q16" s="98">
        <f t="shared" si="1"/>
        <v>24</v>
      </c>
      <c r="R16" s="99" t="str">
        <f>+IF(Q16+N16&lt;=0, "NO COMPRADOR", +IF(Q16&lt;=0, "SIN COMPRA "&amp;+UPPER(TEXT('DINAMICA ENERO 26'!$C$2,"mmm 'yy")), "COMPRADOR"))</f>
        <v>COMPRADOR</v>
      </c>
      <c r="T16" s="101"/>
      <c r="W16" s="73"/>
    </row>
    <row r="17" spans="1:23" s="100" customFormat="1" ht="14">
      <c r="A17" s="88" t="s">
        <v>85</v>
      </c>
      <c r="B17" s="89" t="s">
        <v>98</v>
      </c>
      <c r="C17" s="89" t="s">
        <v>60</v>
      </c>
      <c r="D17" s="103">
        <v>100041217</v>
      </c>
      <c r="E17" s="89" t="s">
        <v>63</v>
      </c>
      <c r="F17" s="89">
        <v>100041131</v>
      </c>
      <c r="G17" s="90" t="s">
        <v>102</v>
      </c>
      <c r="H17" s="91">
        <v>0</v>
      </c>
      <c r="I17" s="92">
        <v>24</v>
      </c>
      <c r="J17" s="93">
        <v>-24</v>
      </c>
      <c r="K17" s="94">
        <v>4.8</v>
      </c>
      <c r="L17" s="94">
        <v>96</v>
      </c>
      <c r="M17" s="94">
        <v>24</v>
      </c>
      <c r="N17" s="102">
        <f t="shared" si="0"/>
        <v>41.6</v>
      </c>
      <c r="O17" s="97">
        <v>0</v>
      </c>
      <c r="P17" s="92">
        <v>0</v>
      </c>
      <c r="Q17" s="98">
        <f t="shared" si="1"/>
        <v>0</v>
      </c>
      <c r="R17" s="99" t="str">
        <f>+IF(Q17+N17&lt;=0, "NO COMPRADOR", +IF(Q17&lt;=0, "SIN COMPRA "&amp;+UPPER(TEXT('DINAMICA ENERO 26'!$C$2,"mmm 'yy")), "COMPRADOR"))</f>
        <v>SIN COMPRA FEB '26</v>
      </c>
      <c r="T17" s="101"/>
      <c r="W17" s="73"/>
    </row>
    <row r="18" spans="1:23" s="100" customFormat="1" ht="14">
      <c r="A18" s="88" t="s">
        <v>85</v>
      </c>
      <c r="B18" s="89" t="s">
        <v>98</v>
      </c>
      <c r="C18" s="89" t="s">
        <v>60</v>
      </c>
      <c r="D18" s="103">
        <v>100041217</v>
      </c>
      <c r="E18" s="89" t="s">
        <v>63</v>
      </c>
      <c r="F18" s="89">
        <v>100012634</v>
      </c>
      <c r="G18" s="90" t="s">
        <v>103</v>
      </c>
      <c r="H18" s="91">
        <v>0</v>
      </c>
      <c r="I18" s="92">
        <v>0</v>
      </c>
      <c r="J18" s="93">
        <v>0</v>
      </c>
      <c r="K18" s="94">
        <v>0</v>
      </c>
      <c r="L18" s="94">
        <v>0</v>
      </c>
      <c r="M18" s="94">
        <v>0</v>
      </c>
      <c r="N18" s="102">
        <f t="shared" si="0"/>
        <v>0</v>
      </c>
      <c r="O18" s="97">
        <v>0</v>
      </c>
      <c r="P18" s="92">
        <v>0</v>
      </c>
      <c r="Q18" s="98">
        <f t="shared" si="1"/>
        <v>0</v>
      </c>
      <c r="R18" s="99" t="str">
        <f>+IF(Q18+N18&lt;=0, "NO COMPRADOR", +IF(Q18&lt;=0, "SIN COMPRA "&amp;+UPPER(TEXT('DINAMICA ENERO 26'!$C$2,"mmm 'yy")), "COMPRADOR"))</f>
        <v>NO COMPRADOR</v>
      </c>
      <c r="T18" s="101"/>
      <c r="W18" s="73"/>
    </row>
    <row r="19" spans="1:23" s="100" customFormat="1" ht="14">
      <c r="A19" s="88" t="s">
        <v>85</v>
      </c>
      <c r="B19" s="89" t="s">
        <v>98</v>
      </c>
      <c r="C19" s="89" t="s">
        <v>60</v>
      </c>
      <c r="D19" s="103">
        <v>100041217</v>
      </c>
      <c r="E19" s="89" t="s">
        <v>63</v>
      </c>
      <c r="F19" s="89">
        <v>100049700</v>
      </c>
      <c r="G19" s="90" t="s">
        <v>104</v>
      </c>
      <c r="H19" s="91">
        <v>0</v>
      </c>
      <c r="I19" s="92">
        <v>110.4</v>
      </c>
      <c r="J19" s="93">
        <v>0</v>
      </c>
      <c r="K19" s="94">
        <v>0</v>
      </c>
      <c r="L19" s="94">
        <v>0</v>
      </c>
      <c r="M19" s="94">
        <v>0</v>
      </c>
      <c r="N19" s="102">
        <f t="shared" si="0"/>
        <v>0</v>
      </c>
      <c r="O19" s="97">
        <v>0</v>
      </c>
      <c r="P19" s="92">
        <v>0</v>
      </c>
      <c r="Q19" s="98">
        <f t="shared" si="1"/>
        <v>0</v>
      </c>
      <c r="R19" s="99" t="str">
        <f>+IF(Q19+N19&lt;=0, "NO COMPRADOR", +IF(Q19&lt;=0, "SIN COMPRA "&amp;+UPPER(TEXT('DINAMICA ENERO 26'!$C$2,"mmm 'yy")), "COMPRADOR"))</f>
        <v>NO COMPRADOR</v>
      </c>
      <c r="T19" s="101"/>
      <c r="W19" s="73"/>
    </row>
    <row r="20" spans="1:23" s="100" customFormat="1" ht="14">
      <c r="A20" s="88" t="s">
        <v>85</v>
      </c>
      <c r="B20" s="89" t="s">
        <v>105</v>
      </c>
      <c r="C20" s="89" t="s">
        <v>60</v>
      </c>
      <c r="D20" s="103">
        <v>100080146</v>
      </c>
      <c r="E20" s="89" t="s">
        <v>66</v>
      </c>
      <c r="F20" s="89">
        <v>100061718</v>
      </c>
      <c r="G20" s="90" t="s">
        <v>106</v>
      </c>
      <c r="H20" s="91">
        <v>9.6</v>
      </c>
      <c r="I20" s="92">
        <v>9.6</v>
      </c>
      <c r="J20" s="93">
        <v>0</v>
      </c>
      <c r="K20" s="94">
        <v>9.6</v>
      </c>
      <c r="L20" s="94">
        <v>19.2</v>
      </c>
      <c r="M20" s="94">
        <v>43.2</v>
      </c>
      <c r="N20" s="102">
        <f t="shared" si="0"/>
        <v>24</v>
      </c>
      <c r="O20" s="97">
        <v>0</v>
      </c>
      <c r="P20" s="92">
        <v>0</v>
      </c>
      <c r="Q20" s="98">
        <f t="shared" si="1"/>
        <v>0</v>
      </c>
      <c r="R20" s="99" t="str">
        <f>+IF(Q20+N20&lt;=0, "NO COMPRADOR", +IF(Q20&lt;=0, "SIN COMPRA "&amp;+UPPER(TEXT('DINAMICA ENERO 26'!$C$2,"mmm 'yy")), "COMPRADOR"))</f>
        <v>SIN COMPRA FEB '26</v>
      </c>
      <c r="T20" s="101"/>
      <c r="W20" s="73"/>
    </row>
    <row r="21" spans="1:23" s="100" customFormat="1" ht="14">
      <c r="A21" s="88" t="s">
        <v>85</v>
      </c>
      <c r="B21" s="89" t="s">
        <v>105</v>
      </c>
      <c r="C21" s="89" t="s">
        <v>60</v>
      </c>
      <c r="D21" s="103">
        <v>100080146</v>
      </c>
      <c r="E21" s="89" t="s">
        <v>66</v>
      </c>
      <c r="F21" s="89">
        <v>100067160</v>
      </c>
      <c r="G21" s="90" t="s">
        <v>107</v>
      </c>
      <c r="H21" s="91">
        <v>9.6</v>
      </c>
      <c r="I21" s="92">
        <v>9.6</v>
      </c>
      <c r="J21" s="93">
        <v>33.6</v>
      </c>
      <c r="K21" s="94">
        <v>48</v>
      </c>
      <c r="L21" s="94">
        <v>76.8</v>
      </c>
      <c r="M21" s="94">
        <v>120</v>
      </c>
      <c r="N21" s="102">
        <f t="shared" si="0"/>
        <v>81.600000000000009</v>
      </c>
      <c r="O21" s="97">
        <v>0</v>
      </c>
      <c r="P21" s="92">
        <v>0</v>
      </c>
      <c r="Q21" s="98">
        <f t="shared" si="1"/>
        <v>0</v>
      </c>
      <c r="R21" s="99" t="str">
        <f>+IF(Q21+N21&lt;=0, "NO COMPRADOR", +IF(Q21&lt;=0, "SIN COMPRA "&amp;+UPPER(TEXT('DINAMICA ENERO 26'!$C$2,"mmm 'yy")), "COMPRADOR"))</f>
        <v>SIN COMPRA FEB '26</v>
      </c>
      <c r="T21" s="101"/>
      <c r="W21" s="73"/>
    </row>
    <row r="22" spans="1:23" ht="14">
      <c r="A22" s="88" t="s">
        <v>85</v>
      </c>
      <c r="B22" s="89" t="s">
        <v>105</v>
      </c>
      <c r="C22" s="89" t="s">
        <v>60</v>
      </c>
      <c r="D22" s="103">
        <v>100080146</v>
      </c>
      <c r="E22" s="89" t="s">
        <v>66</v>
      </c>
      <c r="F22" s="89">
        <v>100001763</v>
      </c>
      <c r="G22" s="90" t="s">
        <v>108</v>
      </c>
      <c r="H22" s="91">
        <v>9.6</v>
      </c>
      <c r="I22" s="92">
        <v>0</v>
      </c>
      <c r="J22" s="93">
        <v>0</v>
      </c>
      <c r="K22" s="94">
        <v>28.799999999999997</v>
      </c>
      <c r="L22" s="94">
        <v>48</v>
      </c>
      <c r="M22" s="94">
        <v>81.599999999999994</v>
      </c>
      <c r="N22" s="102">
        <f t="shared" si="0"/>
        <v>52.79999999999999</v>
      </c>
      <c r="O22" s="97">
        <v>0</v>
      </c>
      <c r="P22" s="92">
        <v>0</v>
      </c>
      <c r="Q22" s="98">
        <f t="shared" si="1"/>
        <v>0</v>
      </c>
      <c r="R22" s="99" t="str">
        <f>+IF(Q22+N22&lt;=0, "NO COMPRADOR", +IF(Q22&lt;=0, "SIN COMPRA "&amp;+UPPER(TEXT('DINAMICA ENERO 26'!$C$2,"mmm 'yy")), "COMPRADOR"))</f>
        <v>SIN COMPRA FEB '26</v>
      </c>
      <c r="S22" s="100"/>
      <c r="T22" s="101"/>
      <c r="U22" s="100"/>
      <c r="V22" s="100"/>
    </row>
    <row r="23" spans="1:23" ht="14">
      <c r="A23" s="88" t="s">
        <v>85</v>
      </c>
      <c r="B23" s="89" t="s">
        <v>105</v>
      </c>
      <c r="C23" s="89" t="s">
        <v>60</v>
      </c>
      <c r="D23" s="103">
        <v>100080146</v>
      </c>
      <c r="E23" s="89" t="s">
        <v>66</v>
      </c>
      <c r="F23" s="89">
        <v>100025425</v>
      </c>
      <c r="G23" s="90" t="s">
        <v>109</v>
      </c>
      <c r="H23" s="91">
        <v>0</v>
      </c>
      <c r="I23" s="92">
        <v>0</v>
      </c>
      <c r="J23" s="93">
        <v>0</v>
      </c>
      <c r="K23" s="94">
        <v>0</v>
      </c>
      <c r="L23" s="94">
        <v>0</v>
      </c>
      <c r="M23" s="94">
        <v>0</v>
      </c>
      <c r="N23" s="102">
        <f t="shared" si="0"/>
        <v>0</v>
      </c>
      <c r="O23" s="97">
        <v>0</v>
      </c>
      <c r="P23" s="92">
        <v>0</v>
      </c>
      <c r="Q23" s="98">
        <f t="shared" si="1"/>
        <v>0</v>
      </c>
      <c r="R23" s="99" t="str">
        <f>+IF(Q23+N23&lt;=0, "NO COMPRADOR", +IF(Q23&lt;=0, "SIN COMPRA "&amp;+UPPER(TEXT('DINAMICA ENERO 26'!$C$2,"mmm 'yy")), "COMPRADOR"))</f>
        <v>NO COMPRADOR</v>
      </c>
      <c r="S23" s="100"/>
      <c r="T23" s="101"/>
      <c r="U23" s="100"/>
      <c r="V23" s="100"/>
    </row>
    <row r="24" spans="1:23" ht="14">
      <c r="A24" s="88" t="s">
        <v>85</v>
      </c>
      <c r="B24" s="89" t="s">
        <v>105</v>
      </c>
      <c r="C24" s="89" t="s">
        <v>60</v>
      </c>
      <c r="D24" s="103">
        <v>100068884</v>
      </c>
      <c r="E24" s="89" t="s">
        <v>61</v>
      </c>
      <c r="F24" s="89">
        <v>100079808</v>
      </c>
      <c r="G24" s="90" t="s">
        <v>110</v>
      </c>
      <c r="H24" s="91">
        <v>14.399999999999999</v>
      </c>
      <c r="I24" s="92">
        <v>14.399999999999999</v>
      </c>
      <c r="J24" s="93">
        <v>0</v>
      </c>
      <c r="K24" s="94">
        <v>43.2</v>
      </c>
      <c r="L24" s="94">
        <v>100.80000000000001</v>
      </c>
      <c r="M24" s="94">
        <v>57.599999999999994</v>
      </c>
      <c r="N24" s="102">
        <f t="shared" si="0"/>
        <v>67.2</v>
      </c>
      <c r="O24" s="97">
        <v>0</v>
      </c>
      <c r="P24" s="92">
        <v>0</v>
      </c>
      <c r="Q24" s="98">
        <f t="shared" si="1"/>
        <v>0</v>
      </c>
      <c r="R24" s="99" t="str">
        <f>+IF(Q24+N24&lt;=0, "NO COMPRADOR", +IF(Q24&lt;=0, "SIN COMPRA "&amp;+UPPER(TEXT('DINAMICA ENERO 26'!$C$2,"mmm 'yy")), "COMPRADOR"))</f>
        <v>SIN COMPRA FEB '26</v>
      </c>
      <c r="S24" s="100"/>
      <c r="T24" s="101"/>
      <c r="U24" s="100"/>
      <c r="V24" s="100"/>
    </row>
    <row r="25" spans="1:23" ht="14">
      <c r="A25" s="88" t="s">
        <v>85</v>
      </c>
      <c r="B25" s="89" t="s">
        <v>105</v>
      </c>
      <c r="C25" s="89" t="s">
        <v>60</v>
      </c>
      <c r="D25" s="103">
        <v>100068884</v>
      </c>
      <c r="E25" s="89" t="s">
        <v>61</v>
      </c>
      <c r="F25" s="89">
        <v>100069053</v>
      </c>
      <c r="G25" s="90" t="s">
        <v>111</v>
      </c>
      <c r="H25" s="91">
        <v>9.6</v>
      </c>
      <c r="I25" s="92">
        <v>9.6</v>
      </c>
      <c r="J25" s="93">
        <v>0</v>
      </c>
      <c r="K25" s="94">
        <v>28.799999999999997</v>
      </c>
      <c r="L25" s="94">
        <v>86.4</v>
      </c>
      <c r="M25" s="94">
        <v>4.8</v>
      </c>
      <c r="N25" s="102">
        <f t="shared" si="0"/>
        <v>40</v>
      </c>
      <c r="O25" s="97">
        <v>0</v>
      </c>
      <c r="P25" s="92">
        <v>0</v>
      </c>
      <c r="Q25" s="98">
        <f t="shared" si="1"/>
        <v>0</v>
      </c>
      <c r="R25" s="99" t="str">
        <f>+IF(Q25+N25&lt;=0, "NO COMPRADOR", +IF(Q25&lt;=0, "SIN COMPRA "&amp;+UPPER(TEXT('DINAMICA ENERO 26'!$C$2,"mmm 'yy")), "COMPRADOR"))</f>
        <v>SIN COMPRA FEB '26</v>
      </c>
      <c r="S25" s="100"/>
      <c r="T25" s="101"/>
      <c r="U25" s="100"/>
      <c r="V25" s="100"/>
    </row>
    <row r="26" spans="1:23" ht="14">
      <c r="A26" s="88" t="s">
        <v>85</v>
      </c>
      <c r="B26" s="89" t="s">
        <v>105</v>
      </c>
      <c r="C26" s="89" t="s">
        <v>60</v>
      </c>
      <c r="D26" s="103">
        <v>100068884</v>
      </c>
      <c r="E26" s="89" t="s">
        <v>61</v>
      </c>
      <c r="F26" s="89">
        <v>100061654</v>
      </c>
      <c r="G26" s="90" t="s">
        <v>112</v>
      </c>
      <c r="H26" s="91">
        <v>9.6</v>
      </c>
      <c r="I26" s="92">
        <v>9.6</v>
      </c>
      <c r="J26" s="93">
        <v>0</v>
      </c>
      <c r="K26" s="94">
        <v>9.6</v>
      </c>
      <c r="L26" s="94">
        <v>9.6</v>
      </c>
      <c r="M26" s="94">
        <v>96</v>
      </c>
      <c r="N26" s="102">
        <f t="shared" si="0"/>
        <v>38.4</v>
      </c>
      <c r="O26" s="97">
        <v>0</v>
      </c>
      <c r="P26" s="92">
        <v>0</v>
      </c>
      <c r="Q26" s="98">
        <f t="shared" si="1"/>
        <v>0</v>
      </c>
      <c r="R26" s="99" t="str">
        <f>+IF(Q26+N26&lt;=0, "NO COMPRADOR", +IF(Q26&lt;=0, "SIN COMPRA "&amp;+UPPER(TEXT('DINAMICA ENERO 26'!$C$2,"mmm 'yy")), "COMPRADOR"))</f>
        <v>SIN COMPRA FEB '26</v>
      </c>
      <c r="S26" s="100"/>
      <c r="T26" s="101"/>
      <c r="U26" s="100"/>
      <c r="V26" s="100"/>
    </row>
    <row r="27" spans="1:23" s="100" customFormat="1" ht="14">
      <c r="A27" s="88" t="s">
        <v>85</v>
      </c>
      <c r="B27" s="89" t="s">
        <v>113</v>
      </c>
      <c r="C27" s="89" t="s">
        <v>60</v>
      </c>
      <c r="D27" s="103">
        <v>100088165</v>
      </c>
      <c r="E27" s="89" t="s">
        <v>62</v>
      </c>
      <c r="F27" s="89">
        <v>100000073</v>
      </c>
      <c r="G27" s="90" t="s">
        <v>114</v>
      </c>
      <c r="H27" s="91">
        <v>-9.6</v>
      </c>
      <c r="I27" s="92">
        <v>0</v>
      </c>
      <c r="J27" s="93">
        <v>0</v>
      </c>
      <c r="K27" s="94">
        <v>0</v>
      </c>
      <c r="L27" s="94">
        <v>19.2</v>
      </c>
      <c r="M27" s="94">
        <v>48</v>
      </c>
      <c r="N27" s="102">
        <f t="shared" si="0"/>
        <v>22.400000000000002</v>
      </c>
      <c r="O27" s="97">
        <v>0</v>
      </c>
      <c r="P27" s="92">
        <v>0</v>
      </c>
      <c r="Q27" s="98">
        <f t="shared" si="1"/>
        <v>0</v>
      </c>
      <c r="R27" s="99" t="str">
        <f>+IF(Q27+N27&lt;=0, "NO COMPRADOR", +IF(Q27&lt;=0, "SIN COMPRA "&amp;+UPPER(TEXT('DINAMICA ENERO 26'!$C$2,"mmm 'yy")), "COMPRADOR"))</f>
        <v>SIN COMPRA FEB '26</v>
      </c>
      <c r="T27" s="101"/>
      <c r="W27" s="73"/>
    </row>
    <row r="28" spans="1:23" s="100" customFormat="1" ht="14">
      <c r="A28" s="88" t="s">
        <v>85</v>
      </c>
      <c r="B28" s="89" t="s">
        <v>113</v>
      </c>
      <c r="C28" s="89" t="s">
        <v>60</v>
      </c>
      <c r="D28" s="103">
        <v>100088165</v>
      </c>
      <c r="E28" s="89" t="s">
        <v>62</v>
      </c>
      <c r="F28" s="89">
        <v>100078580</v>
      </c>
      <c r="G28" s="90" t="s">
        <v>115</v>
      </c>
      <c r="H28" s="91">
        <v>-9.6</v>
      </c>
      <c r="I28" s="92">
        <v>19.2</v>
      </c>
      <c r="J28" s="93">
        <v>9.6</v>
      </c>
      <c r="K28" s="94">
        <v>0</v>
      </c>
      <c r="L28" s="94">
        <v>19.199999999999996</v>
      </c>
      <c r="M28" s="94">
        <v>4.8</v>
      </c>
      <c r="N28" s="102">
        <f t="shared" si="0"/>
        <v>7.9999999999999991</v>
      </c>
      <c r="O28" s="97">
        <v>0</v>
      </c>
      <c r="P28" s="92">
        <v>0</v>
      </c>
      <c r="Q28" s="98">
        <f t="shared" si="1"/>
        <v>0</v>
      </c>
      <c r="R28" s="99" t="str">
        <f>+IF(Q28+N28&lt;=0, "NO COMPRADOR", +IF(Q28&lt;=0, "SIN COMPRA "&amp;+UPPER(TEXT('DINAMICA ENERO 26'!$C$2,"mmm 'yy")), "COMPRADOR"))</f>
        <v>SIN COMPRA FEB '26</v>
      </c>
      <c r="T28" s="101"/>
      <c r="W28" s="73"/>
    </row>
    <row r="29" spans="1:23" ht="14">
      <c r="A29" s="88" t="s">
        <v>85</v>
      </c>
      <c r="B29" s="89" t="s">
        <v>113</v>
      </c>
      <c r="C29" s="89" t="s">
        <v>60</v>
      </c>
      <c r="D29" s="103">
        <v>100088165</v>
      </c>
      <c r="E29" s="89" t="s">
        <v>62</v>
      </c>
      <c r="F29" s="89">
        <v>100080926</v>
      </c>
      <c r="G29" s="90" t="s">
        <v>116</v>
      </c>
      <c r="H29" s="91">
        <v>0</v>
      </c>
      <c r="I29" s="92">
        <v>52.8</v>
      </c>
      <c r="J29" s="93">
        <v>0</v>
      </c>
      <c r="K29" s="94">
        <v>9.6</v>
      </c>
      <c r="L29" s="94">
        <v>43.2</v>
      </c>
      <c r="M29" s="94">
        <v>28.799999999999997</v>
      </c>
      <c r="N29" s="102">
        <f t="shared" si="0"/>
        <v>27.2</v>
      </c>
      <c r="O29" s="97">
        <v>0</v>
      </c>
      <c r="P29" s="92">
        <v>0</v>
      </c>
      <c r="Q29" s="98">
        <f t="shared" si="1"/>
        <v>0</v>
      </c>
      <c r="R29" s="99" t="str">
        <f>+IF(Q29+N29&lt;=0, "NO COMPRADOR", +IF(Q29&lt;=0, "SIN COMPRA "&amp;+UPPER(TEXT('DINAMICA ENERO 26'!$C$2,"mmm 'yy")), "COMPRADOR"))</f>
        <v>SIN COMPRA FEB '26</v>
      </c>
      <c r="S29" s="100"/>
      <c r="T29" s="101"/>
      <c r="U29" s="100"/>
      <c r="V29" s="100"/>
    </row>
    <row r="30" spans="1:23" s="100" customFormat="1" ht="14">
      <c r="A30" s="88" t="s">
        <v>85</v>
      </c>
      <c r="B30" s="89" t="s">
        <v>113</v>
      </c>
      <c r="C30" s="89" t="s">
        <v>60</v>
      </c>
      <c r="D30" s="103">
        <v>100088165</v>
      </c>
      <c r="E30" s="89" t="s">
        <v>62</v>
      </c>
      <c r="F30" s="89">
        <v>100077115</v>
      </c>
      <c r="G30" s="90" t="s">
        <v>117</v>
      </c>
      <c r="H30" s="91">
        <v>0</v>
      </c>
      <c r="I30" s="92">
        <v>0</v>
      </c>
      <c r="J30" s="93">
        <v>0</v>
      </c>
      <c r="K30" s="94">
        <v>0</v>
      </c>
      <c r="L30" s="94">
        <v>0</v>
      </c>
      <c r="M30" s="94">
        <v>0</v>
      </c>
      <c r="N30" s="102">
        <f t="shared" si="0"/>
        <v>0</v>
      </c>
      <c r="O30" s="97">
        <v>0</v>
      </c>
      <c r="P30" s="92">
        <v>0</v>
      </c>
      <c r="Q30" s="98">
        <f t="shared" si="1"/>
        <v>0</v>
      </c>
      <c r="R30" s="99" t="str">
        <f>+IF(Q30+N30&lt;=0, "NO COMPRADOR", +IF(Q30&lt;=0, "SIN COMPRA "&amp;+UPPER(TEXT('DINAMICA ENERO 26'!$C$2,"mmm 'yy")), "COMPRADOR"))</f>
        <v>NO COMPRADOR</v>
      </c>
      <c r="T30" s="101"/>
      <c r="W30" s="73"/>
    </row>
    <row r="31" spans="1:23" s="100" customFormat="1" ht="14">
      <c r="A31" s="88" t="s">
        <v>85</v>
      </c>
      <c r="B31" s="89" t="s">
        <v>113</v>
      </c>
      <c r="C31" s="89" t="s">
        <v>60</v>
      </c>
      <c r="D31" s="103">
        <v>100088165</v>
      </c>
      <c r="E31" s="89" t="s">
        <v>62</v>
      </c>
      <c r="F31" s="89">
        <v>100078578</v>
      </c>
      <c r="G31" s="90" t="s">
        <v>118</v>
      </c>
      <c r="H31" s="91">
        <v>9.6</v>
      </c>
      <c r="I31" s="92">
        <v>24</v>
      </c>
      <c r="J31" s="93">
        <v>14.399999999999999</v>
      </c>
      <c r="K31" s="94">
        <v>0</v>
      </c>
      <c r="L31" s="94">
        <v>38.4</v>
      </c>
      <c r="M31" s="94">
        <v>28.799999999999997</v>
      </c>
      <c r="N31" s="102">
        <f t="shared" si="0"/>
        <v>22.399999999999995</v>
      </c>
      <c r="O31" s="97">
        <v>0</v>
      </c>
      <c r="P31" s="92">
        <v>38.4</v>
      </c>
      <c r="Q31" s="98">
        <f t="shared" si="1"/>
        <v>38.4</v>
      </c>
      <c r="R31" s="99" t="str">
        <f>+IF(Q31+N31&lt;=0, "NO COMPRADOR", +IF(Q31&lt;=0, "SIN COMPRA "&amp;+UPPER(TEXT('DINAMICA ENERO 26'!$C$2,"mmm 'yy")), "COMPRADOR"))</f>
        <v>COMPRADOR</v>
      </c>
      <c r="T31" s="101"/>
      <c r="W31" s="73"/>
    </row>
    <row r="32" spans="1:23" s="100" customFormat="1" ht="14">
      <c r="A32" s="88" t="s">
        <v>85</v>
      </c>
      <c r="B32" s="89" t="s">
        <v>113</v>
      </c>
      <c r="C32" s="89" t="s">
        <v>60</v>
      </c>
      <c r="D32" s="103">
        <v>100088165</v>
      </c>
      <c r="E32" s="89" t="s">
        <v>62</v>
      </c>
      <c r="F32" s="89">
        <v>100021337</v>
      </c>
      <c r="G32" s="90" t="s">
        <v>119</v>
      </c>
      <c r="H32" s="91">
        <v>0</v>
      </c>
      <c r="I32" s="92">
        <v>0</v>
      </c>
      <c r="J32" s="93">
        <v>0</v>
      </c>
      <c r="K32" s="94">
        <v>0</v>
      </c>
      <c r="L32" s="94">
        <v>38.4</v>
      </c>
      <c r="M32" s="94">
        <v>4.8000000000000007</v>
      </c>
      <c r="N32" s="102">
        <f t="shared" si="0"/>
        <v>14.4</v>
      </c>
      <c r="O32" s="97">
        <v>0</v>
      </c>
      <c r="P32" s="92">
        <v>0</v>
      </c>
      <c r="Q32" s="98">
        <f t="shared" si="1"/>
        <v>0</v>
      </c>
      <c r="R32" s="99" t="str">
        <f>+IF(Q32+N32&lt;=0, "NO COMPRADOR", +IF(Q32&lt;=0, "SIN COMPRA "&amp;+UPPER(TEXT('DINAMICA ENERO 26'!$C$2,"mmm 'yy")), "COMPRADOR"))</f>
        <v>SIN COMPRA FEB '26</v>
      </c>
      <c r="T32" s="101"/>
      <c r="W32" s="73"/>
    </row>
    <row r="33" spans="1:23" ht="14">
      <c r="A33" s="88" t="s">
        <v>85</v>
      </c>
      <c r="B33" s="89" t="s">
        <v>120</v>
      </c>
      <c r="C33" s="89" t="s">
        <v>52</v>
      </c>
      <c r="D33" s="103">
        <v>100088149</v>
      </c>
      <c r="E33" s="89" t="s">
        <v>56</v>
      </c>
      <c r="F33" s="89">
        <v>100002239</v>
      </c>
      <c r="G33" s="90" t="s">
        <v>121</v>
      </c>
      <c r="H33" s="91">
        <v>0</v>
      </c>
      <c r="I33" s="92">
        <v>0</v>
      </c>
      <c r="J33" s="93">
        <v>0</v>
      </c>
      <c r="K33" s="94">
        <v>0</v>
      </c>
      <c r="L33" s="94">
        <v>0</v>
      </c>
      <c r="M33" s="94">
        <v>0</v>
      </c>
      <c r="N33" s="102">
        <f t="shared" si="0"/>
        <v>0</v>
      </c>
      <c r="O33" s="97">
        <v>0</v>
      </c>
      <c r="P33" s="92">
        <v>0</v>
      </c>
      <c r="Q33" s="98">
        <f t="shared" si="1"/>
        <v>0</v>
      </c>
      <c r="R33" s="99" t="str">
        <f>+IF(Q33+N33&lt;=0, "NO COMPRADOR", +IF(Q33&lt;=0, "SIN COMPRA "&amp;+UPPER(TEXT('DINAMICA ENERO 26'!$C$2,"mmm 'yy")), "COMPRADOR"))</f>
        <v>NO COMPRADOR</v>
      </c>
      <c r="S33" s="100"/>
      <c r="T33" s="101"/>
      <c r="U33" s="100"/>
      <c r="V33" s="100"/>
    </row>
    <row r="34" spans="1:23" s="100" customFormat="1" ht="14">
      <c r="A34" s="88" t="s">
        <v>85</v>
      </c>
      <c r="B34" s="89" t="s">
        <v>120</v>
      </c>
      <c r="C34" s="89" t="s">
        <v>52</v>
      </c>
      <c r="D34" s="103">
        <v>100088149</v>
      </c>
      <c r="E34" s="89" t="s">
        <v>56</v>
      </c>
      <c r="F34" s="89">
        <v>100024103</v>
      </c>
      <c r="G34" s="90" t="s">
        <v>122</v>
      </c>
      <c r="H34" s="91">
        <v>0</v>
      </c>
      <c r="I34" s="92">
        <v>0</v>
      </c>
      <c r="J34" s="93">
        <v>0</v>
      </c>
      <c r="K34" s="94">
        <v>0</v>
      </c>
      <c r="L34" s="94">
        <v>0</v>
      </c>
      <c r="M34" s="94">
        <v>0</v>
      </c>
      <c r="N34" s="102">
        <f t="shared" si="0"/>
        <v>0</v>
      </c>
      <c r="O34" s="97">
        <v>0</v>
      </c>
      <c r="P34" s="92">
        <v>0</v>
      </c>
      <c r="Q34" s="98">
        <f t="shared" si="1"/>
        <v>0</v>
      </c>
      <c r="R34" s="99" t="str">
        <f>+IF(Q34+N34&lt;=0, "NO COMPRADOR", +IF(Q34&lt;=0, "SIN COMPRA "&amp;+UPPER(TEXT('DINAMICA ENERO 26'!$C$2,"mmm 'yy")), "COMPRADOR"))</f>
        <v>NO COMPRADOR</v>
      </c>
      <c r="T34" s="101"/>
      <c r="W34" s="73"/>
    </row>
    <row r="35" spans="1:23" s="104" customFormat="1" ht="14">
      <c r="A35" s="88" t="s">
        <v>85</v>
      </c>
      <c r="B35" s="89" t="s">
        <v>120</v>
      </c>
      <c r="C35" s="89" t="s">
        <v>52</v>
      </c>
      <c r="D35" s="103">
        <v>100088149</v>
      </c>
      <c r="E35" s="89" t="s">
        <v>56</v>
      </c>
      <c r="F35" s="89">
        <v>100086135</v>
      </c>
      <c r="G35" s="90" t="s">
        <v>123</v>
      </c>
      <c r="H35" s="91">
        <v>0</v>
      </c>
      <c r="I35" s="92">
        <v>0</v>
      </c>
      <c r="J35" s="93">
        <v>0</v>
      </c>
      <c r="K35" s="94">
        <v>0</v>
      </c>
      <c r="L35" s="94">
        <v>0</v>
      </c>
      <c r="M35" s="94">
        <v>9.6</v>
      </c>
      <c r="N35" s="102">
        <f t="shared" si="0"/>
        <v>3.1999999999999997</v>
      </c>
      <c r="O35" s="97">
        <v>0</v>
      </c>
      <c r="P35" s="92">
        <v>0</v>
      </c>
      <c r="Q35" s="98">
        <f t="shared" si="1"/>
        <v>0</v>
      </c>
      <c r="R35" s="99" t="str">
        <f>+IF(Q35+N35&lt;=0, "NO COMPRADOR", +IF(Q35&lt;=0, "SIN COMPRA "&amp;+UPPER(TEXT('DINAMICA ENERO 26'!$C$2,"mmm 'yy")), "COMPRADOR"))</f>
        <v>SIN COMPRA FEB '26</v>
      </c>
      <c r="S35" s="100"/>
      <c r="T35" s="101"/>
      <c r="U35" s="100"/>
      <c r="V35" s="100"/>
      <c r="W35" s="73"/>
    </row>
    <row r="36" spans="1:23" s="104" customFormat="1" ht="14">
      <c r="A36" s="88" t="s">
        <v>85</v>
      </c>
      <c r="B36" s="89" t="s">
        <v>120</v>
      </c>
      <c r="C36" s="89" t="s">
        <v>52</v>
      </c>
      <c r="D36" s="103">
        <v>100088149</v>
      </c>
      <c r="E36" s="89" t="s">
        <v>56</v>
      </c>
      <c r="F36" s="89">
        <v>100077830</v>
      </c>
      <c r="G36" s="90" t="s">
        <v>124</v>
      </c>
      <c r="H36" s="91">
        <v>0</v>
      </c>
      <c r="I36" s="92">
        <v>14.399999999999999</v>
      </c>
      <c r="J36" s="93">
        <v>9.6</v>
      </c>
      <c r="K36" s="94">
        <v>4.8</v>
      </c>
      <c r="L36" s="94">
        <v>9.6</v>
      </c>
      <c r="M36" s="94">
        <v>0</v>
      </c>
      <c r="N36" s="102">
        <f t="shared" si="0"/>
        <v>4.8</v>
      </c>
      <c r="O36" s="97">
        <v>0</v>
      </c>
      <c r="P36" s="92">
        <v>0</v>
      </c>
      <c r="Q36" s="98">
        <f t="shared" si="1"/>
        <v>0</v>
      </c>
      <c r="R36" s="99" t="str">
        <f>+IF(Q36+N36&lt;=0, "NO COMPRADOR", +IF(Q36&lt;=0, "SIN COMPRA "&amp;+UPPER(TEXT('DINAMICA ENERO 26'!$C$2,"mmm 'yy")), "COMPRADOR"))</f>
        <v>SIN COMPRA FEB '26</v>
      </c>
      <c r="S36" s="100"/>
      <c r="T36" s="101"/>
      <c r="U36" s="100"/>
      <c r="V36" s="100"/>
      <c r="W36" s="73"/>
    </row>
    <row r="37" spans="1:23" s="100" customFormat="1" ht="14">
      <c r="A37" s="88" t="s">
        <v>85</v>
      </c>
      <c r="B37" s="89" t="s">
        <v>120</v>
      </c>
      <c r="C37" s="89" t="s">
        <v>52</v>
      </c>
      <c r="D37" s="103">
        <v>100088149</v>
      </c>
      <c r="E37" s="89" t="s">
        <v>56</v>
      </c>
      <c r="F37" s="89">
        <v>100066030</v>
      </c>
      <c r="G37" s="90" t="s">
        <v>125</v>
      </c>
      <c r="H37" s="91">
        <v>0</v>
      </c>
      <c r="I37" s="92">
        <v>0</v>
      </c>
      <c r="J37" s="93">
        <v>0</v>
      </c>
      <c r="K37" s="94">
        <v>0</v>
      </c>
      <c r="L37" s="94">
        <v>4.8</v>
      </c>
      <c r="M37" s="94">
        <v>14.399999999999999</v>
      </c>
      <c r="N37" s="102">
        <f t="shared" si="0"/>
        <v>6.3999999999999995</v>
      </c>
      <c r="O37" s="97">
        <v>19.2</v>
      </c>
      <c r="P37" s="92">
        <v>14.4</v>
      </c>
      <c r="Q37" s="98">
        <f t="shared" si="1"/>
        <v>33.6</v>
      </c>
      <c r="R37" s="99" t="str">
        <f>+IF(Q37+N37&lt;=0, "NO COMPRADOR", +IF(Q37&lt;=0, "SIN COMPRA "&amp;+UPPER(TEXT('DINAMICA ENERO 26'!$C$2,"mmm 'yy")), "COMPRADOR"))</f>
        <v>COMPRADOR</v>
      </c>
      <c r="T37" s="101"/>
      <c r="W37" s="73"/>
    </row>
    <row r="38" spans="1:23" s="100" customFormat="1" ht="14">
      <c r="A38" s="88" t="s">
        <v>85</v>
      </c>
      <c r="B38" s="89" t="s">
        <v>120</v>
      </c>
      <c r="C38" s="89" t="s">
        <v>52</v>
      </c>
      <c r="D38" s="103">
        <v>100088149</v>
      </c>
      <c r="E38" s="89" t="s">
        <v>56</v>
      </c>
      <c r="F38" s="89">
        <v>100085622</v>
      </c>
      <c r="G38" s="90" t="s">
        <v>126</v>
      </c>
      <c r="H38" s="91">
        <v>9.6</v>
      </c>
      <c r="I38" s="92">
        <v>0</v>
      </c>
      <c r="J38" s="93">
        <v>0</v>
      </c>
      <c r="K38" s="94">
        <v>4.8</v>
      </c>
      <c r="L38" s="94">
        <v>0</v>
      </c>
      <c r="M38" s="94">
        <v>0</v>
      </c>
      <c r="N38" s="102">
        <f t="shared" si="0"/>
        <v>1.5999999999999999</v>
      </c>
      <c r="O38" s="97">
        <v>0</v>
      </c>
      <c r="P38" s="92">
        <v>0</v>
      </c>
      <c r="Q38" s="98">
        <f t="shared" si="1"/>
        <v>0</v>
      </c>
      <c r="R38" s="99" t="str">
        <f>+IF(Q38+N38&lt;=0, "NO COMPRADOR", +IF(Q38&lt;=0, "SIN COMPRA "&amp;+UPPER(TEXT('DINAMICA ENERO 26'!$C$2,"mmm 'yy")), "COMPRADOR"))</f>
        <v>SIN COMPRA FEB '26</v>
      </c>
      <c r="T38" s="101"/>
      <c r="W38" s="73"/>
    </row>
    <row r="39" spans="1:23" s="100" customFormat="1" ht="14">
      <c r="A39" s="88" t="s">
        <v>85</v>
      </c>
      <c r="B39" s="89" t="s">
        <v>120</v>
      </c>
      <c r="C39" s="89" t="s">
        <v>52</v>
      </c>
      <c r="D39" s="103">
        <v>100088149</v>
      </c>
      <c r="E39" s="89" t="s">
        <v>56</v>
      </c>
      <c r="F39" s="89">
        <v>100079184</v>
      </c>
      <c r="G39" s="90" t="s">
        <v>127</v>
      </c>
      <c r="H39" s="91">
        <v>4.8</v>
      </c>
      <c r="I39" s="92">
        <v>0</v>
      </c>
      <c r="J39" s="93">
        <v>0</v>
      </c>
      <c r="K39" s="94">
        <v>0</v>
      </c>
      <c r="L39" s="94">
        <v>0</v>
      </c>
      <c r="M39" s="94">
        <v>0</v>
      </c>
      <c r="N39" s="102">
        <f t="shared" si="0"/>
        <v>0</v>
      </c>
      <c r="O39" s="97">
        <v>9.6</v>
      </c>
      <c r="P39" s="92">
        <v>0</v>
      </c>
      <c r="Q39" s="98">
        <f t="shared" si="1"/>
        <v>9.6</v>
      </c>
      <c r="R39" s="99" t="str">
        <f>+IF(Q39+N39&lt;=0, "NO COMPRADOR", +IF(Q39&lt;=0, "SIN COMPRA "&amp;+UPPER(TEXT('DINAMICA ENERO 26'!$C$2,"mmm 'yy")), "COMPRADOR"))</f>
        <v>COMPRADOR</v>
      </c>
      <c r="T39" s="101"/>
      <c r="W39" s="73"/>
    </row>
    <row r="40" spans="1:23" s="100" customFormat="1" ht="14">
      <c r="A40" s="88" t="s">
        <v>85</v>
      </c>
      <c r="B40" s="89" t="s">
        <v>120</v>
      </c>
      <c r="C40" s="89" t="s">
        <v>52</v>
      </c>
      <c r="D40" s="103">
        <v>100088149</v>
      </c>
      <c r="E40" s="89" t="s">
        <v>56</v>
      </c>
      <c r="F40" s="89">
        <v>100071982</v>
      </c>
      <c r="G40" s="90" t="s">
        <v>128</v>
      </c>
      <c r="H40" s="91">
        <v>28.799999999999997</v>
      </c>
      <c r="I40" s="92">
        <v>38.4</v>
      </c>
      <c r="J40" s="93">
        <v>9.6</v>
      </c>
      <c r="K40" s="94">
        <v>19.2</v>
      </c>
      <c r="L40" s="94">
        <v>14.4</v>
      </c>
      <c r="M40" s="94">
        <v>24</v>
      </c>
      <c r="N40" s="102">
        <f t="shared" si="0"/>
        <v>19.2</v>
      </c>
      <c r="O40" s="97">
        <v>0</v>
      </c>
      <c r="P40" s="92">
        <v>0</v>
      </c>
      <c r="Q40" s="98">
        <f t="shared" si="1"/>
        <v>0</v>
      </c>
      <c r="R40" s="99" t="str">
        <f>+IF(Q40+N40&lt;=0, "NO COMPRADOR", +IF(Q40&lt;=0, "SIN COMPRA "&amp;+UPPER(TEXT('DINAMICA ENERO 26'!$C$2,"mmm 'yy")), "COMPRADOR"))</f>
        <v>SIN COMPRA FEB '26</v>
      </c>
      <c r="T40" s="101"/>
      <c r="W40" s="73"/>
    </row>
    <row r="41" spans="1:23" ht="14">
      <c r="A41" s="88" t="s">
        <v>85</v>
      </c>
      <c r="B41" s="89" t="s">
        <v>120</v>
      </c>
      <c r="C41" s="89" t="s">
        <v>52</v>
      </c>
      <c r="D41" s="103">
        <v>100088149</v>
      </c>
      <c r="E41" s="89" t="s">
        <v>56</v>
      </c>
      <c r="F41" s="89">
        <v>100001605</v>
      </c>
      <c r="G41" s="90" t="s">
        <v>129</v>
      </c>
      <c r="H41" s="91">
        <v>144</v>
      </c>
      <c r="I41" s="92">
        <v>96</v>
      </c>
      <c r="J41" s="93">
        <v>-48</v>
      </c>
      <c r="K41" s="94">
        <v>-96</v>
      </c>
      <c r="L41" s="94">
        <v>19.2</v>
      </c>
      <c r="M41" s="94">
        <v>-9.6</v>
      </c>
      <c r="N41" s="102">
        <f t="shared" si="0"/>
        <v>-28.799999999999997</v>
      </c>
      <c r="O41" s="97">
        <v>19.2</v>
      </c>
      <c r="P41" s="92">
        <v>0</v>
      </c>
      <c r="Q41" s="98">
        <f t="shared" si="1"/>
        <v>19.2</v>
      </c>
      <c r="R41" s="99" t="str">
        <f>+IF(Q41+N41&lt;=0, "NO COMPRADOR", +IF(Q41&lt;=0, "SIN COMPRA "&amp;+UPPER(TEXT('DINAMICA ENERO 26'!$C$2,"mmm 'yy")), "COMPRADOR"))</f>
        <v>NO COMPRADOR</v>
      </c>
      <c r="S41" s="100"/>
      <c r="T41" s="101"/>
      <c r="U41" s="100"/>
      <c r="V41" s="100"/>
    </row>
    <row r="42" spans="1:23" s="100" customFormat="1" ht="14">
      <c r="A42" s="88" t="s">
        <v>85</v>
      </c>
      <c r="B42" s="89" t="s">
        <v>120</v>
      </c>
      <c r="C42" s="89" t="s">
        <v>52</v>
      </c>
      <c r="D42" s="103">
        <v>100088149</v>
      </c>
      <c r="E42" s="89" t="s">
        <v>56</v>
      </c>
      <c r="F42" s="89">
        <v>100082658</v>
      </c>
      <c r="G42" s="90" t="s">
        <v>130</v>
      </c>
      <c r="H42" s="91">
        <v>0</v>
      </c>
      <c r="I42" s="92">
        <v>0</v>
      </c>
      <c r="J42" s="93">
        <v>0</v>
      </c>
      <c r="K42" s="94">
        <v>0</v>
      </c>
      <c r="L42" s="94">
        <v>0</v>
      </c>
      <c r="M42" s="94">
        <v>0</v>
      </c>
      <c r="N42" s="102">
        <f t="shared" si="0"/>
        <v>0</v>
      </c>
      <c r="O42" s="97">
        <v>0</v>
      </c>
      <c r="P42" s="92">
        <v>0</v>
      </c>
      <c r="Q42" s="98">
        <f t="shared" si="1"/>
        <v>0</v>
      </c>
      <c r="R42" s="99" t="str">
        <f>+IF(Q42+N42&lt;=0, "NO COMPRADOR", +IF(Q42&lt;=0, "SIN COMPRA "&amp;+UPPER(TEXT('DINAMICA ENERO 26'!$C$2,"mmm 'yy")), "COMPRADOR"))</f>
        <v>NO COMPRADOR</v>
      </c>
      <c r="T42" s="101"/>
      <c r="W42" s="73"/>
    </row>
    <row r="43" spans="1:23" ht="14">
      <c r="A43" s="88" t="s">
        <v>85</v>
      </c>
      <c r="B43" s="89" t="s">
        <v>120</v>
      </c>
      <c r="C43" s="89" t="s">
        <v>52</v>
      </c>
      <c r="D43" s="103">
        <v>100088149</v>
      </c>
      <c r="E43" s="89" t="s">
        <v>56</v>
      </c>
      <c r="F43" s="89">
        <v>100060564</v>
      </c>
      <c r="G43" s="90" t="s">
        <v>131</v>
      </c>
      <c r="H43" s="91">
        <v>0</v>
      </c>
      <c r="I43" s="92">
        <v>0</v>
      </c>
      <c r="J43" s="93">
        <v>0</v>
      </c>
      <c r="K43" s="94">
        <v>0</v>
      </c>
      <c r="L43" s="94">
        <v>0</v>
      </c>
      <c r="M43" s="94">
        <v>0</v>
      </c>
      <c r="N43" s="102">
        <f t="shared" si="0"/>
        <v>0</v>
      </c>
      <c r="O43" s="97">
        <v>0</v>
      </c>
      <c r="P43" s="92">
        <v>0</v>
      </c>
      <c r="Q43" s="98">
        <f t="shared" si="1"/>
        <v>0</v>
      </c>
      <c r="R43" s="99" t="str">
        <f>+IF(Q43+N43&lt;=0, "NO COMPRADOR", +IF(Q43&lt;=0, "SIN COMPRA "&amp;+UPPER(TEXT('DINAMICA ENERO 26'!$C$2,"mmm 'yy")), "COMPRADOR"))</f>
        <v>NO COMPRADOR</v>
      </c>
      <c r="S43" s="100"/>
      <c r="T43" s="101"/>
      <c r="U43" s="100"/>
      <c r="V43" s="100"/>
    </row>
    <row r="44" spans="1:23" s="100" customFormat="1" ht="14">
      <c r="A44" s="88" t="s">
        <v>85</v>
      </c>
      <c r="B44" s="89" t="s">
        <v>120</v>
      </c>
      <c r="C44" s="89" t="s">
        <v>52</v>
      </c>
      <c r="D44" s="103">
        <v>100088149</v>
      </c>
      <c r="E44" s="89" t="s">
        <v>56</v>
      </c>
      <c r="F44" s="89">
        <v>100001635</v>
      </c>
      <c r="G44" s="90" t="s">
        <v>132</v>
      </c>
      <c r="H44" s="91">
        <v>28.799999999999997</v>
      </c>
      <c r="I44" s="92">
        <v>28.799999999999997</v>
      </c>
      <c r="J44" s="93">
        <v>0</v>
      </c>
      <c r="K44" s="94">
        <v>19.2</v>
      </c>
      <c r="L44" s="94">
        <v>43.2</v>
      </c>
      <c r="M44" s="94">
        <v>9.6</v>
      </c>
      <c r="N44" s="102">
        <f t="shared" si="0"/>
        <v>24</v>
      </c>
      <c r="O44" s="97">
        <v>0</v>
      </c>
      <c r="P44" s="92">
        <v>0</v>
      </c>
      <c r="Q44" s="98">
        <f t="shared" si="1"/>
        <v>0</v>
      </c>
      <c r="R44" s="99" t="str">
        <f>+IF(Q44+N44&lt;=0, "NO COMPRADOR", +IF(Q44&lt;=0, "SIN COMPRA "&amp;+UPPER(TEXT('DINAMICA ENERO 26'!$C$2,"mmm 'yy")), "COMPRADOR"))</f>
        <v>SIN COMPRA FEB '26</v>
      </c>
      <c r="T44" s="101"/>
      <c r="W44" s="73"/>
    </row>
    <row r="45" spans="1:23" ht="14">
      <c r="A45" s="88" t="s">
        <v>85</v>
      </c>
      <c r="B45" s="89" t="s">
        <v>120</v>
      </c>
      <c r="C45" s="89" t="s">
        <v>52</v>
      </c>
      <c r="D45" s="103">
        <v>100088149</v>
      </c>
      <c r="E45" s="89" t="s">
        <v>56</v>
      </c>
      <c r="F45" s="89">
        <v>100001862</v>
      </c>
      <c r="G45" s="90" t="s">
        <v>133</v>
      </c>
      <c r="H45" s="91">
        <v>0</v>
      </c>
      <c r="I45" s="92">
        <v>0</v>
      </c>
      <c r="J45" s="93">
        <v>0</v>
      </c>
      <c r="K45" s="94">
        <v>4.8</v>
      </c>
      <c r="L45" s="94">
        <v>0</v>
      </c>
      <c r="M45" s="94">
        <v>9.6</v>
      </c>
      <c r="N45" s="102">
        <f t="shared" si="0"/>
        <v>4.8</v>
      </c>
      <c r="O45" s="97">
        <v>0</v>
      </c>
      <c r="P45" s="92">
        <v>0</v>
      </c>
      <c r="Q45" s="98">
        <f t="shared" si="1"/>
        <v>0</v>
      </c>
      <c r="R45" s="99" t="str">
        <f>+IF(Q45+N45&lt;=0, "NO COMPRADOR", +IF(Q45&lt;=0, "SIN COMPRA "&amp;+UPPER(TEXT('DINAMICA ENERO 26'!$C$2,"mmm 'yy")), "COMPRADOR"))</f>
        <v>SIN COMPRA FEB '26</v>
      </c>
      <c r="S45" s="100"/>
      <c r="T45" s="101"/>
      <c r="U45" s="100"/>
      <c r="V45" s="100"/>
    </row>
    <row r="46" spans="1:23" ht="14">
      <c r="A46" s="88" t="s">
        <v>85</v>
      </c>
      <c r="B46" s="89" t="s">
        <v>120</v>
      </c>
      <c r="C46" s="89" t="s">
        <v>52</v>
      </c>
      <c r="D46" s="103">
        <v>100088149</v>
      </c>
      <c r="E46" s="89" t="s">
        <v>56</v>
      </c>
      <c r="F46" s="89">
        <v>100010026</v>
      </c>
      <c r="G46" s="90" t="s">
        <v>134</v>
      </c>
      <c r="H46" s="91">
        <v>0</v>
      </c>
      <c r="I46" s="92">
        <v>0</v>
      </c>
      <c r="J46" s="93">
        <v>0</v>
      </c>
      <c r="K46" s="94">
        <v>0</v>
      </c>
      <c r="L46" s="94">
        <v>0</v>
      </c>
      <c r="M46" s="94">
        <v>0</v>
      </c>
      <c r="N46" s="102">
        <f t="shared" si="0"/>
        <v>0</v>
      </c>
      <c r="O46" s="97">
        <v>0</v>
      </c>
      <c r="P46" s="92">
        <v>0</v>
      </c>
      <c r="Q46" s="98">
        <f t="shared" si="1"/>
        <v>0</v>
      </c>
      <c r="R46" s="99" t="str">
        <f>+IF(Q46+N46&lt;=0, "NO COMPRADOR", +IF(Q46&lt;=0, "SIN COMPRA "&amp;+UPPER(TEXT('DINAMICA ENERO 26'!$C$2,"mmm 'yy")), "COMPRADOR"))</f>
        <v>NO COMPRADOR</v>
      </c>
      <c r="S46" s="100"/>
      <c r="T46" s="101"/>
      <c r="U46" s="100"/>
      <c r="V46" s="100"/>
    </row>
    <row r="47" spans="1:23" s="100" customFormat="1" ht="14">
      <c r="A47" s="88" t="s">
        <v>85</v>
      </c>
      <c r="B47" s="89" t="s">
        <v>120</v>
      </c>
      <c r="C47" s="89" t="s">
        <v>52</v>
      </c>
      <c r="D47" s="103">
        <v>100088149</v>
      </c>
      <c r="E47" s="89" t="s">
        <v>56</v>
      </c>
      <c r="F47" s="89">
        <v>100064492</v>
      </c>
      <c r="G47" s="90" t="s">
        <v>135</v>
      </c>
      <c r="H47" s="91">
        <v>0</v>
      </c>
      <c r="I47" s="92">
        <v>0</v>
      </c>
      <c r="J47" s="93">
        <v>0</v>
      </c>
      <c r="K47" s="94">
        <v>115.19999999999999</v>
      </c>
      <c r="L47" s="94">
        <v>43.2</v>
      </c>
      <c r="M47" s="94">
        <v>48</v>
      </c>
      <c r="N47" s="102">
        <f t="shared" si="0"/>
        <v>68.8</v>
      </c>
      <c r="O47" s="97">
        <v>48</v>
      </c>
      <c r="P47" s="92">
        <v>0</v>
      </c>
      <c r="Q47" s="98">
        <f t="shared" si="1"/>
        <v>48</v>
      </c>
      <c r="R47" s="99" t="str">
        <f>+IF(Q47+N47&lt;=0, "NO COMPRADOR", +IF(Q47&lt;=0, "SIN COMPRA "&amp;+UPPER(TEXT('DINAMICA ENERO 26'!$C$2,"mmm 'yy")), "COMPRADOR"))</f>
        <v>COMPRADOR</v>
      </c>
      <c r="T47" s="101"/>
      <c r="W47" s="73"/>
    </row>
    <row r="48" spans="1:23" s="100" customFormat="1" ht="14">
      <c r="A48" s="88" t="s">
        <v>85</v>
      </c>
      <c r="B48" s="89" t="s">
        <v>120</v>
      </c>
      <c r="C48" s="89" t="s">
        <v>52</v>
      </c>
      <c r="D48" s="103">
        <v>100088149</v>
      </c>
      <c r="E48" s="89" t="s">
        <v>56</v>
      </c>
      <c r="F48" s="89">
        <v>100084428</v>
      </c>
      <c r="G48" s="90" t="s">
        <v>136</v>
      </c>
      <c r="H48" s="91">
        <v>0</v>
      </c>
      <c r="I48" s="92">
        <v>0</v>
      </c>
      <c r="J48" s="93">
        <v>0</v>
      </c>
      <c r="K48" s="94">
        <v>0</v>
      </c>
      <c r="L48" s="94">
        <v>0</v>
      </c>
      <c r="M48" s="94">
        <v>0</v>
      </c>
      <c r="N48" s="102">
        <f t="shared" si="0"/>
        <v>0</v>
      </c>
      <c r="O48" s="97">
        <v>0</v>
      </c>
      <c r="P48" s="92">
        <v>0</v>
      </c>
      <c r="Q48" s="98">
        <f t="shared" si="1"/>
        <v>0</v>
      </c>
      <c r="R48" s="99" t="str">
        <f>+IF(Q48+N48&lt;=0, "NO COMPRADOR", +IF(Q48&lt;=0, "SIN COMPRA "&amp;+UPPER(TEXT('DINAMICA ENERO 26'!$C$2,"mmm 'yy")), "COMPRADOR"))</f>
        <v>NO COMPRADOR</v>
      </c>
      <c r="T48" s="101"/>
      <c r="W48" s="73"/>
    </row>
    <row r="49" spans="1:23" ht="14">
      <c r="A49" s="88" t="s">
        <v>85</v>
      </c>
      <c r="B49" s="89" t="s">
        <v>120</v>
      </c>
      <c r="C49" s="89" t="s">
        <v>52</v>
      </c>
      <c r="D49" s="103">
        <v>100088149</v>
      </c>
      <c r="E49" s="89" t="s">
        <v>56</v>
      </c>
      <c r="F49" s="89">
        <v>100088143</v>
      </c>
      <c r="G49" s="90" t="s">
        <v>137</v>
      </c>
      <c r="H49" s="91">
        <v>0</v>
      </c>
      <c r="I49" s="92">
        <v>0</v>
      </c>
      <c r="J49" s="93">
        <v>0</v>
      </c>
      <c r="K49" s="94">
        <v>0</v>
      </c>
      <c r="L49" s="94">
        <v>0</v>
      </c>
      <c r="M49" s="94">
        <v>0</v>
      </c>
      <c r="N49" s="102">
        <f t="shared" si="0"/>
        <v>0</v>
      </c>
      <c r="O49" s="97">
        <v>0</v>
      </c>
      <c r="P49" s="92">
        <v>0</v>
      </c>
      <c r="Q49" s="98">
        <f t="shared" si="1"/>
        <v>0</v>
      </c>
      <c r="R49" s="99" t="str">
        <f>+IF(Q49+N49&lt;=0, "NO COMPRADOR", +IF(Q49&lt;=0, "SIN COMPRA "&amp;+UPPER(TEXT('DINAMICA ENERO 26'!$C$2,"mmm 'yy")), "COMPRADOR"))</f>
        <v>NO COMPRADOR</v>
      </c>
      <c r="S49" s="100"/>
      <c r="T49" s="101"/>
      <c r="U49" s="100"/>
      <c r="V49" s="100"/>
    </row>
    <row r="50" spans="1:23" s="100" customFormat="1" ht="14">
      <c r="A50" s="88" t="s">
        <v>85</v>
      </c>
      <c r="B50" s="89" t="s">
        <v>120</v>
      </c>
      <c r="C50" s="89" t="s">
        <v>52</v>
      </c>
      <c r="D50" s="103">
        <v>100088149</v>
      </c>
      <c r="E50" s="89" t="s">
        <v>56</v>
      </c>
      <c r="F50" s="89">
        <v>100069360</v>
      </c>
      <c r="G50" s="90" t="s">
        <v>138</v>
      </c>
      <c r="H50" s="91">
        <v>0</v>
      </c>
      <c r="I50" s="92">
        <v>0</v>
      </c>
      <c r="J50" s="93">
        <v>0</v>
      </c>
      <c r="K50" s="94">
        <v>4.8</v>
      </c>
      <c r="L50" s="94">
        <v>0</v>
      </c>
      <c r="M50" s="94">
        <v>9.6</v>
      </c>
      <c r="N50" s="102">
        <f t="shared" si="0"/>
        <v>4.8</v>
      </c>
      <c r="O50" s="97">
        <v>0</v>
      </c>
      <c r="P50" s="92">
        <v>0</v>
      </c>
      <c r="Q50" s="98">
        <f t="shared" si="1"/>
        <v>0</v>
      </c>
      <c r="R50" s="99" t="str">
        <f>+IF(Q50+N50&lt;=0, "NO COMPRADOR", +IF(Q50&lt;=0, "SIN COMPRA "&amp;+UPPER(TEXT('DINAMICA ENERO 26'!$C$2,"mmm 'yy")), "COMPRADOR"))</f>
        <v>SIN COMPRA FEB '26</v>
      </c>
      <c r="T50" s="101"/>
      <c r="W50" s="73"/>
    </row>
    <row r="51" spans="1:23" s="100" customFormat="1" ht="14">
      <c r="A51" s="88" t="s">
        <v>85</v>
      </c>
      <c r="B51" s="89" t="s">
        <v>120</v>
      </c>
      <c r="C51" s="89" t="s">
        <v>52</v>
      </c>
      <c r="D51" s="103">
        <v>100088149</v>
      </c>
      <c r="E51" s="89" t="s">
        <v>56</v>
      </c>
      <c r="F51" s="89">
        <v>100022632</v>
      </c>
      <c r="G51" s="90" t="s">
        <v>139</v>
      </c>
      <c r="H51" s="91">
        <v>62.4</v>
      </c>
      <c r="I51" s="92">
        <v>28.799999999999997</v>
      </c>
      <c r="J51" s="93">
        <v>48</v>
      </c>
      <c r="K51" s="94">
        <v>100.8</v>
      </c>
      <c r="L51" s="94">
        <v>33.6</v>
      </c>
      <c r="M51" s="94">
        <v>72</v>
      </c>
      <c r="N51" s="102">
        <f t="shared" si="0"/>
        <v>68.8</v>
      </c>
      <c r="O51" s="97">
        <v>0</v>
      </c>
      <c r="P51" s="92">
        <v>0</v>
      </c>
      <c r="Q51" s="98">
        <f t="shared" si="1"/>
        <v>0</v>
      </c>
      <c r="R51" s="99" t="str">
        <f>+IF(Q51+N51&lt;=0, "NO COMPRADOR", +IF(Q51&lt;=0, "SIN COMPRA "&amp;+UPPER(TEXT('DINAMICA ENERO 26'!$C$2,"mmm 'yy")), "COMPRADOR"))</f>
        <v>SIN COMPRA FEB '26</v>
      </c>
      <c r="T51" s="101"/>
      <c r="W51" s="73"/>
    </row>
    <row r="52" spans="1:23" ht="14">
      <c r="A52" s="88" t="s">
        <v>85</v>
      </c>
      <c r="B52" s="89" t="s">
        <v>120</v>
      </c>
      <c r="C52" s="89" t="s">
        <v>52</v>
      </c>
      <c r="D52" s="103">
        <v>100088149</v>
      </c>
      <c r="E52" s="89" t="s">
        <v>56</v>
      </c>
      <c r="F52" s="89">
        <v>100089326</v>
      </c>
      <c r="G52" s="90" t="s">
        <v>140</v>
      </c>
      <c r="H52" s="91">
        <v>0</v>
      </c>
      <c r="I52" s="92">
        <v>0</v>
      </c>
      <c r="J52" s="93">
        <v>0</v>
      </c>
      <c r="K52" s="94">
        <v>96</v>
      </c>
      <c r="L52" s="94">
        <v>81.599999999999994</v>
      </c>
      <c r="M52" s="94">
        <v>48</v>
      </c>
      <c r="N52" s="102">
        <f t="shared" si="0"/>
        <v>75.2</v>
      </c>
      <c r="O52" s="97">
        <v>115.19999999999999</v>
      </c>
      <c r="P52" s="92">
        <v>0</v>
      </c>
      <c r="Q52" s="98">
        <f t="shared" si="1"/>
        <v>115.19999999999999</v>
      </c>
      <c r="R52" s="99" t="str">
        <f>+IF(Q52+N52&lt;=0, "NO COMPRADOR", +IF(Q52&lt;=0, "SIN COMPRA "&amp;+UPPER(TEXT('DINAMICA ENERO 26'!$C$2,"mmm 'yy")), "COMPRADOR"))</f>
        <v>COMPRADOR</v>
      </c>
      <c r="S52" s="100"/>
      <c r="T52" s="101"/>
      <c r="U52" s="100"/>
      <c r="V52" s="100"/>
    </row>
    <row r="53" spans="1:23" s="100" customFormat="1" ht="14">
      <c r="A53" s="88" t="s">
        <v>85</v>
      </c>
      <c r="B53" s="89" t="s">
        <v>120</v>
      </c>
      <c r="C53" s="89" t="s">
        <v>52</v>
      </c>
      <c r="D53" s="103">
        <v>100088149</v>
      </c>
      <c r="E53" s="89" t="s">
        <v>56</v>
      </c>
      <c r="F53" s="89">
        <v>100001380</v>
      </c>
      <c r="G53" s="90" t="s">
        <v>141</v>
      </c>
      <c r="H53" s="91">
        <v>28.799999999999997</v>
      </c>
      <c r="I53" s="92">
        <v>0</v>
      </c>
      <c r="J53" s="93">
        <v>9.6</v>
      </c>
      <c r="K53" s="94">
        <v>100.8</v>
      </c>
      <c r="L53" s="94">
        <v>72</v>
      </c>
      <c r="M53" s="94">
        <v>72</v>
      </c>
      <c r="N53" s="102">
        <f t="shared" si="0"/>
        <v>81.600000000000009</v>
      </c>
      <c r="O53" s="97">
        <v>177.6</v>
      </c>
      <c r="P53" s="92">
        <v>0</v>
      </c>
      <c r="Q53" s="98">
        <f t="shared" si="1"/>
        <v>177.6</v>
      </c>
      <c r="R53" s="99" t="str">
        <f>+IF(Q53+N53&lt;=0, "NO COMPRADOR", +IF(Q53&lt;=0, "SIN COMPRA "&amp;+UPPER(TEXT('DINAMICA ENERO 26'!$C$2,"mmm 'yy")), "COMPRADOR"))</f>
        <v>COMPRADOR</v>
      </c>
      <c r="T53" s="101"/>
      <c r="W53" s="73"/>
    </row>
    <row r="54" spans="1:23" ht="14">
      <c r="A54" s="88" t="s">
        <v>85</v>
      </c>
      <c r="B54" s="89" t="s">
        <v>120</v>
      </c>
      <c r="C54" s="89" t="s">
        <v>52</v>
      </c>
      <c r="D54" s="103">
        <v>100079515</v>
      </c>
      <c r="E54" s="89" t="s">
        <v>53</v>
      </c>
      <c r="F54" s="89">
        <v>100070470</v>
      </c>
      <c r="G54" s="90" t="s">
        <v>142</v>
      </c>
      <c r="H54" s="91">
        <v>43.199999999999996</v>
      </c>
      <c r="I54" s="92">
        <v>57.599999999999994</v>
      </c>
      <c r="J54" s="93">
        <v>0</v>
      </c>
      <c r="K54" s="94">
        <v>57.599999999999994</v>
      </c>
      <c r="L54" s="94">
        <v>57.599999999999994</v>
      </c>
      <c r="M54" s="94">
        <v>-57.599999999999994</v>
      </c>
      <c r="N54" s="102">
        <f t="shared" si="0"/>
        <v>19.2</v>
      </c>
      <c r="O54" s="97">
        <v>57.599999999999994</v>
      </c>
      <c r="P54" s="92">
        <v>57.6</v>
      </c>
      <c r="Q54" s="98">
        <f t="shared" si="1"/>
        <v>115.19999999999999</v>
      </c>
      <c r="R54" s="99" t="str">
        <f>+IF(Q54+N54&lt;=0, "NO COMPRADOR", +IF(Q54&lt;=0, "SIN COMPRA "&amp;+UPPER(TEXT('DINAMICA ENERO 26'!$C$2,"mmm 'yy")), "COMPRADOR"))</f>
        <v>COMPRADOR</v>
      </c>
      <c r="S54" s="100"/>
      <c r="T54" s="101"/>
      <c r="U54" s="100"/>
      <c r="V54" s="100"/>
    </row>
    <row r="55" spans="1:23" s="100" customFormat="1" ht="14">
      <c r="A55" s="88" t="s">
        <v>85</v>
      </c>
      <c r="B55" s="89" t="s">
        <v>120</v>
      </c>
      <c r="C55" s="89" t="s">
        <v>52</v>
      </c>
      <c r="D55" s="103">
        <v>100079515</v>
      </c>
      <c r="E55" s="89" t="s">
        <v>53</v>
      </c>
      <c r="F55" s="89">
        <v>100082270</v>
      </c>
      <c r="G55" s="90" t="s">
        <v>143</v>
      </c>
      <c r="H55" s="91">
        <v>-24</v>
      </c>
      <c r="I55" s="92">
        <v>0</v>
      </c>
      <c r="J55" s="93">
        <v>0</v>
      </c>
      <c r="K55" s="94">
        <v>96</v>
      </c>
      <c r="L55" s="94">
        <v>120</v>
      </c>
      <c r="M55" s="94">
        <v>0</v>
      </c>
      <c r="N55" s="102">
        <f t="shared" si="0"/>
        <v>72</v>
      </c>
      <c r="O55" s="97">
        <v>72</v>
      </c>
      <c r="P55" s="92">
        <v>0</v>
      </c>
      <c r="Q55" s="98">
        <f t="shared" si="1"/>
        <v>72</v>
      </c>
      <c r="R55" s="99" t="str">
        <f>+IF(Q55+N55&lt;=0, "NO COMPRADOR", +IF(Q55&lt;=0, "SIN COMPRA "&amp;+UPPER(TEXT('DINAMICA ENERO 26'!$C$2,"mmm 'yy")), "COMPRADOR"))</f>
        <v>COMPRADOR</v>
      </c>
      <c r="T55" s="101"/>
      <c r="W55" s="73"/>
    </row>
    <row r="56" spans="1:23" s="100" customFormat="1" ht="14">
      <c r="A56" s="88" t="s">
        <v>85</v>
      </c>
      <c r="B56" s="89" t="s">
        <v>120</v>
      </c>
      <c r="C56" s="89" t="s">
        <v>52</v>
      </c>
      <c r="D56" s="103">
        <v>100079515</v>
      </c>
      <c r="E56" s="89" t="s">
        <v>53</v>
      </c>
      <c r="F56" s="89">
        <v>100080489</v>
      </c>
      <c r="G56" s="90" t="s">
        <v>144</v>
      </c>
      <c r="H56" s="91">
        <v>4.7999999999999989</v>
      </c>
      <c r="I56" s="92">
        <v>24</v>
      </c>
      <c r="J56" s="93">
        <v>0</v>
      </c>
      <c r="K56" s="94">
        <v>9.6</v>
      </c>
      <c r="L56" s="94">
        <v>0</v>
      </c>
      <c r="M56" s="94">
        <v>0</v>
      </c>
      <c r="N56" s="102">
        <f t="shared" si="0"/>
        <v>3.1999999999999997</v>
      </c>
      <c r="O56" s="97">
        <v>24</v>
      </c>
      <c r="P56" s="92">
        <v>0</v>
      </c>
      <c r="Q56" s="98">
        <f t="shared" si="1"/>
        <v>24</v>
      </c>
      <c r="R56" s="99" t="str">
        <f>+IF(Q56+N56&lt;=0, "NO COMPRADOR", +IF(Q56&lt;=0, "SIN COMPRA "&amp;+UPPER(TEXT('DINAMICA ENERO 26'!$C$2,"mmm 'yy")), "COMPRADOR"))</f>
        <v>COMPRADOR</v>
      </c>
      <c r="T56" s="101"/>
      <c r="W56" s="73"/>
    </row>
    <row r="57" spans="1:23" ht="14">
      <c r="A57" s="88" t="s">
        <v>85</v>
      </c>
      <c r="B57" s="89" t="s">
        <v>120</v>
      </c>
      <c r="C57" s="89" t="s">
        <v>52</v>
      </c>
      <c r="D57" s="103">
        <v>100079515</v>
      </c>
      <c r="E57" s="89" t="s">
        <v>53</v>
      </c>
      <c r="F57" s="89">
        <v>100080370</v>
      </c>
      <c r="G57" s="90" t="s">
        <v>145</v>
      </c>
      <c r="H57" s="91">
        <v>0</v>
      </c>
      <c r="I57" s="92">
        <v>9.6</v>
      </c>
      <c r="J57" s="93">
        <v>-4.8</v>
      </c>
      <c r="K57" s="94">
        <v>9.6</v>
      </c>
      <c r="L57" s="94">
        <v>9.6</v>
      </c>
      <c r="M57" s="94">
        <v>0</v>
      </c>
      <c r="N57" s="102">
        <f t="shared" si="0"/>
        <v>6.3999999999999995</v>
      </c>
      <c r="O57" s="97">
        <v>0</v>
      </c>
      <c r="P57" s="92">
        <v>0</v>
      </c>
      <c r="Q57" s="98">
        <f t="shared" si="1"/>
        <v>0</v>
      </c>
      <c r="R57" s="99" t="str">
        <f>+IF(Q57+N57&lt;=0, "NO COMPRADOR", +IF(Q57&lt;=0, "SIN COMPRA "&amp;+UPPER(TEXT('DINAMICA ENERO 26'!$C$2,"mmm 'yy")), "COMPRADOR"))</f>
        <v>SIN COMPRA FEB '26</v>
      </c>
      <c r="S57" s="100"/>
      <c r="T57" s="101"/>
      <c r="U57" s="100"/>
      <c r="V57" s="100"/>
    </row>
    <row r="58" spans="1:23" s="100" customFormat="1" ht="14">
      <c r="A58" s="88" t="s">
        <v>85</v>
      </c>
      <c r="B58" s="89" t="s">
        <v>120</v>
      </c>
      <c r="C58" s="89" t="s">
        <v>52</v>
      </c>
      <c r="D58" s="103">
        <v>100079515</v>
      </c>
      <c r="E58" s="89" t="s">
        <v>53</v>
      </c>
      <c r="F58" s="89">
        <v>100083809</v>
      </c>
      <c r="G58" s="90" t="s">
        <v>146</v>
      </c>
      <c r="H58" s="91">
        <v>0</v>
      </c>
      <c r="I58" s="92">
        <v>0</v>
      </c>
      <c r="J58" s="93">
        <v>0</v>
      </c>
      <c r="K58" s="94">
        <v>0</v>
      </c>
      <c r="L58" s="94">
        <v>0</v>
      </c>
      <c r="M58" s="94">
        <v>0</v>
      </c>
      <c r="N58" s="102">
        <f t="shared" si="0"/>
        <v>0</v>
      </c>
      <c r="O58" s="97">
        <v>0</v>
      </c>
      <c r="P58" s="92">
        <v>0</v>
      </c>
      <c r="Q58" s="98">
        <f t="shared" si="1"/>
        <v>0</v>
      </c>
      <c r="R58" s="99" t="str">
        <f>+IF(Q58+N58&lt;=0, "NO COMPRADOR", +IF(Q58&lt;=0, "SIN COMPRA "&amp;+UPPER(TEXT('DINAMICA ENERO 26'!$C$2,"mmm 'yy")), "COMPRADOR"))</f>
        <v>NO COMPRADOR</v>
      </c>
      <c r="T58" s="101"/>
      <c r="W58" s="73"/>
    </row>
    <row r="59" spans="1:23" ht="14">
      <c r="A59" s="88" t="s">
        <v>85</v>
      </c>
      <c r="B59" s="89" t="s">
        <v>120</v>
      </c>
      <c r="C59" s="89" t="s">
        <v>52</v>
      </c>
      <c r="D59" s="103">
        <v>100079515</v>
      </c>
      <c r="E59" s="89" t="s">
        <v>53</v>
      </c>
      <c r="F59" s="89">
        <v>100082448</v>
      </c>
      <c r="G59" s="90" t="s">
        <v>147</v>
      </c>
      <c r="H59" s="91">
        <v>0</v>
      </c>
      <c r="I59" s="92">
        <v>0</v>
      </c>
      <c r="J59" s="93">
        <v>4.8</v>
      </c>
      <c r="K59" s="94">
        <v>0</v>
      </c>
      <c r="L59" s="94">
        <v>0</v>
      </c>
      <c r="M59" s="94">
        <v>0</v>
      </c>
      <c r="N59" s="102">
        <f t="shared" si="0"/>
        <v>0</v>
      </c>
      <c r="O59" s="97">
        <v>0</v>
      </c>
      <c r="P59" s="92">
        <v>0</v>
      </c>
      <c r="Q59" s="98">
        <f t="shared" si="1"/>
        <v>0</v>
      </c>
      <c r="R59" s="99" t="str">
        <f>+IF(Q59+N59&lt;=0, "NO COMPRADOR", +IF(Q59&lt;=0, "SIN COMPRA "&amp;+UPPER(TEXT('DINAMICA ENERO 26'!$C$2,"mmm 'yy")), "COMPRADOR"))</f>
        <v>NO COMPRADOR</v>
      </c>
      <c r="S59" s="100"/>
      <c r="T59" s="101"/>
      <c r="U59" s="100"/>
      <c r="V59" s="100"/>
    </row>
    <row r="60" spans="1:23" s="100" customFormat="1" ht="14">
      <c r="A60" s="88" t="s">
        <v>85</v>
      </c>
      <c r="B60" s="89" t="s">
        <v>120</v>
      </c>
      <c r="C60" s="89" t="s">
        <v>52</v>
      </c>
      <c r="D60" s="103">
        <v>100079515</v>
      </c>
      <c r="E60" s="89" t="s">
        <v>53</v>
      </c>
      <c r="F60" s="89">
        <v>100079845</v>
      </c>
      <c r="G60" s="90" t="s">
        <v>148</v>
      </c>
      <c r="H60" s="91">
        <v>19.2</v>
      </c>
      <c r="I60" s="92">
        <v>52.8</v>
      </c>
      <c r="J60" s="93">
        <v>0</v>
      </c>
      <c r="K60" s="94">
        <v>91.199999999999989</v>
      </c>
      <c r="L60" s="94">
        <v>96</v>
      </c>
      <c r="M60" s="94">
        <v>67.2</v>
      </c>
      <c r="N60" s="102">
        <f t="shared" si="0"/>
        <v>84.8</v>
      </c>
      <c r="O60" s="97">
        <v>52.8</v>
      </c>
      <c r="P60" s="92">
        <v>0</v>
      </c>
      <c r="Q60" s="98">
        <f t="shared" si="1"/>
        <v>52.8</v>
      </c>
      <c r="R60" s="99" t="str">
        <f>+IF(Q60+N60&lt;=0, "NO COMPRADOR", +IF(Q60&lt;=0, "SIN COMPRA "&amp;+UPPER(TEXT('DINAMICA ENERO 26'!$C$2,"mmm 'yy")), "COMPRADOR"))</f>
        <v>COMPRADOR</v>
      </c>
      <c r="T60" s="101"/>
      <c r="W60" s="73"/>
    </row>
    <row r="61" spans="1:23" s="100" customFormat="1" ht="14">
      <c r="A61" s="88" t="s">
        <v>85</v>
      </c>
      <c r="B61" s="89" t="s">
        <v>120</v>
      </c>
      <c r="C61" s="89" t="s">
        <v>52</v>
      </c>
      <c r="D61" s="103">
        <v>100079515</v>
      </c>
      <c r="E61" s="89" t="s">
        <v>53</v>
      </c>
      <c r="F61" s="89">
        <v>100002289</v>
      </c>
      <c r="G61" s="90" t="s">
        <v>149</v>
      </c>
      <c r="H61" s="91">
        <v>0</v>
      </c>
      <c r="I61" s="92">
        <v>0</v>
      </c>
      <c r="J61" s="93">
        <v>9.6</v>
      </c>
      <c r="K61" s="94">
        <v>0</v>
      </c>
      <c r="L61" s="94">
        <v>0</v>
      </c>
      <c r="M61" s="94">
        <v>0</v>
      </c>
      <c r="N61" s="102">
        <f t="shared" si="0"/>
        <v>0</v>
      </c>
      <c r="O61" s="97">
        <v>0</v>
      </c>
      <c r="P61" s="92">
        <v>0</v>
      </c>
      <c r="Q61" s="98">
        <f t="shared" si="1"/>
        <v>0</v>
      </c>
      <c r="R61" s="99" t="str">
        <f>+IF(Q61+N61&lt;=0, "NO COMPRADOR", +IF(Q61&lt;=0, "SIN COMPRA "&amp;+UPPER(TEXT('DINAMICA ENERO 26'!$C$2,"mmm 'yy")), "COMPRADOR"))</f>
        <v>NO COMPRADOR</v>
      </c>
      <c r="T61" s="101"/>
      <c r="W61" s="73"/>
    </row>
    <row r="62" spans="1:23" s="100" customFormat="1" ht="14">
      <c r="A62" s="88" t="s">
        <v>85</v>
      </c>
      <c r="B62" s="89" t="s">
        <v>120</v>
      </c>
      <c r="C62" s="89" t="s">
        <v>52</v>
      </c>
      <c r="D62" s="103">
        <v>100079515</v>
      </c>
      <c r="E62" s="89" t="s">
        <v>53</v>
      </c>
      <c r="F62" s="89">
        <v>100078959</v>
      </c>
      <c r="G62" s="90" t="s">
        <v>150</v>
      </c>
      <c r="H62" s="91">
        <v>0</v>
      </c>
      <c r="I62" s="92">
        <v>0</v>
      </c>
      <c r="J62" s="93">
        <v>0</v>
      </c>
      <c r="K62" s="94">
        <v>0</v>
      </c>
      <c r="L62" s="94">
        <v>4.8</v>
      </c>
      <c r="M62" s="94">
        <v>14.399999999999999</v>
      </c>
      <c r="N62" s="102">
        <f t="shared" si="0"/>
        <v>6.3999999999999995</v>
      </c>
      <c r="O62" s="97">
        <v>0</v>
      </c>
      <c r="P62" s="92">
        <v>0</v>
      </c>
      <c r="Q62" s="98">
        <f t="shared" si="1"/>
        <v>0</v>
      </c>
      <c r="R62" s="99" t="str">
        <f>+IF(Q62+N62&lt;=0, "NO COMPRADOR", +IF(Q62&lt;=0, "SIN COMPRA "&amp;+UPPER(TEXT('DINAMICA ENERO 26'!$C$2,"mmm 'yy")), "COMPRADOR"))</f>
        <v>SIN COMPRA FEB '26</v>
      </c>
      <c r="T62" s="101"/>
      <c r="W62" s="73"/>
    </row>
    <row r="63" spans="1:23" ht="14">
      <c r="A63" s="88" t="s">
        <v>85</v>
      </c>
      <c r="B63" s="89" t="s">
        <v>120</v>
      </c>
      <c r="C63" s="89" t="s">
        <v>52</v>
      </c>
      <c r="D63" s="103">
        <v>100079515</v>
      </c>
      <c r="E63" s="89" t="s">
        <v>53</v>
      </c>
      <c r="F63" s="89">
        <v>100084977</v>
      </c>
      <c r="G63" s="90" t="s">
        <v>151</v>
      </c>
      <c r="H63" s="91">
        <v>19.2</v>
      </c>
      <c r="I63" s="92">
        <v>-4.8</v>
      </c>
      <c r="J63" s="93">
        <v>-4.8</v>
      </c>
      <c r="K63" s="94">
        <v>24</v>
      </c>
      <c r="L63" s="94">
        <v>28.799999999999997</v>
      </c>
      <c r="M63" s="94">
        <v>28.799999999999997</v>
      </c>
      <c r="N63" s="102">
        <f t="shared" si="0"/>
        <v>27.2</v>
      </c>
      <c r="O63" s="97">
        <v>9.6</v>
      </c>
      <c r="P63" s="92">
        <v>0</v>
      </c>
      <c r="Q63" s="98">
        <f t="shared" si="1"/>
        <v>9.6</v>
      </c>
      <c r="R63" s="99" t="str">
        <f>+IF(Q63+N63&lt;=0, "NO COMPRADOR", +IF(Q63&lt;=0, "SIN COMPRA "&amp;+UPPER(TEXT('DINAMICA ENERO 26'!$C$2,"mmm 'yy")), "COMPRADOR"))</f>
        <v>COMPRADOR</v>
      </c>
      <c r="S63" s="100"/>
      <c r="T63" s="101"/>
      <c r="U63" s="100"/>
      <c r="V63" s="100"/>
    </row>
    <row r="64" spans="1:23" s="100" customFormat="1" ht="14">
      <c r="A64" s="88" t="s">
        <v>85</v>
      </c>
      <c r="B64" s="89" t="s">
        <v>120</v>
      </c>
      <c r="C64" s="89" t="s">
        <v>52</v>
      </c>
      <c r="D64" s="103">
        <v>100079515</v>
      </c>
      <c r="E64" s="89" t="s">
        <v>53</v>
      </c>
      <c r="F64" s="89">
        <v>100074170</v>
      </c>
      <c r="G64" s="90" t="s">
        <v>152</v>
      </c>
      <c r="H64" s="91">
        <v>19.2</v>
      </c>
      <c r="I64" s="92">
        <v>14.399999999999999</v>
      </c>
      <c r="J64" s="93">
        <v>24</v>
      </c>
      <c r="K64" s="94">
        <v>0</v>
      </c>
      <c r="L64" s="94">
        <v>9.6</v>
      </c>
      <c r="M64" s="94">
        <v>0</v>
      </c>
      <c r="N64" s="102">
        <f t="shared" si="0"/>
        <v>3.1999999999999997</v>
      </c>
      <c r="O64" s="97">
        <v>0</v>
      </c>
      <c r="P64" s="92">
        <v>0</v>
      </c>
      <c r="Q64" s="98">
        <f t="shared" si="1"/>
        <v>0</v>
      </c>
      <c r="R64" s="99" t="str">
        <f>+IF(Q64+N64&lt;=0, "NO COMPRADOR", +IF(Q64&lt;=0, "SIN COMPRA "&amp;+UPPER(TEXT('DINAMICA ENERO 26'!$C$2,"mmm 'yy")), "COMPRADOR"))</f>
        <v>SIN COMPRA FEB '26</v>
      </c>
      <c r="T64" s="101"/>
      <c r="W64" s="73"/>
    </row>
    <row r="65" spans="1:23" ht="14">
      <c r="A65" s="88" t="s">
        <v>85</v>
      </c>
      <c r="B65" s="89" t="s">
        <v>120</v>
      </c>
      <c r="C65" s="89" t="s">
        <v>52</v>
      </c>
      <c r="D65" s="103">
        <v>100079515</v>
      </c>
      <c r="E65" s="89" t="s">
        <v>53</v>
      </c>
      <c r="F65" s="89">
        <v>100087942</v>
      </c>
      <c r="G65" s="90" t="s">
        <v>153</v>
      </c>
      <c r="H65" s="91">
        <v>0</v>
      </c>
      <c r="I65" s="92">
        <v>0</v>
      </c>
      <c r="J65" s="93">
        <v>0</v>
      </c>
      <c r="K65" s="94">
        <v>0</v>
      </c>
      <c r="L65" s="94">
        <v>0</v>
      </c>
      <c r="M65" s="94">
        <v>0</v>
      </c>
      <c r="N65" s="102">
        <f t="shared" si="0"/>
        <v>0</v>
      </c>
      <c r="O65" s="97">
        <v>0</v>
      </c>
      <c r="P65" s="92">
        <v>0</v>
      </c>
      <c r="Q65" s="98">
        <f t="shared" si="1"/>
        <v>0</v>
      </c>
      <c r="R65" s="99" t="str">
        <f>+IF(Q65+N65&lt;=0, "NO COMPRADOR", +IF(Q65&lt;=0, "SIN COMPRA "&amp;+UPPER(TEXT('DINAMICA ENERO 26'!$C$2,"mmm 'yy")), "COMPRADOR"))</f>
        <v>NO COMPRADOR</v>
      </c>
      <c r="S65" s="100"/>
      <c r="T65" s="101"/>
      <c r="U65" s="100"/>
      <c r="V65" s="100"/>
    </row>
    <row r="66" spans="1:23" ht="14">
      <c r="A66" s="88" t="s">
        <v>85</v>
      </c>
      <c r="B66" s="89" t="s">
        <v>120</v>
      </c>
      <c r="C66" s="89" t="s">
        <v>52</v>
      </c>
      <c r="D66" s="103">
        <v>100079515</v>
      </c>
      <c r="E66" s="89" t="s">
        <v>53</v>
      </c>
      <c r="F66" s="89">
        <v>100068357</v>
      </c>
      <c r="G66" s="90" t="s">
        <v>154</v>
      </c>
      <c r="H66" s="91">
        <v>0</v>
      </c>
      <c r="I66" s="92">
        <v>0</v>
      </c>
      <c r="J66" s="93">
        <v>9.6</v>
      </c>
      <c r="K66" s="94">
        <v>14.399999999999999</v>
      </c>
      <c r="L66" s="94">
        <v>52.8</v>
      </c>
      <c r="M66" s="94">
        <v>28.799999999999997</v>
      </c>
      <c r="N66" s="102">
        <f t="shared" si="0"/>
        <v>31.999999999999996</v>
      </c>
      <c r="O66" s="97">
        <v>0</v>
      </c>
      <c r="P66" s="92">
        <v>0</v>
      </c>
      <c r="Q66" s="98">
        <f t="shared" si="1"/>
        <v>0</v>
      </c>
      <c r="R66" s="99" t="str">
        <f>+IF(Q66+N66&lt;=0, "NO COMPRADOR", +IF(Q66&lt;=0, "SIN COMPRA "&amp;+UPPER(TEXT('DINAMICA ENERO 26'!$C$2,"mmm 'yy")), "COMPRADOR"))</f>
        <v>SIN COMPRA FEB '26</v>
      </c>
      <c r="S66" s="100"/>
      <c r="T66" s="101"/>
      <c r="U66" s="100"/>
      <c r="V66" s="100"/>
    </row>
    <row r="67" spans="1:23" ht="14">
      <c r="A67" s="88" t="s">
        <v>85</v>
      </c>
      <c r="B67" s="89" t="s">
        <v>120</v>
      </c>
      <c r="C67" s="89" t="s">
        <v>52</v>
      </c>
      <c r="D67" s="103">
        <v>100079515</v>
      </c>
      <c r="E67" s="89" t="s">
        <v>53</v>
      </c>
      <c r="F67" s="89">
        <v>100001391</v>
      </c>
      <c r="G67" s="90" t="s">
        <v>155</v>
      </c>
      <c r="H67" s="91">
        <v>9.5999999999999979</v>
      </c>
      <c r="I67" s="92">
        <v>38.400000000000006</v>
      </c>
      <c r="J67" s="93">
        <v>81.59999999999998</v>
      </c>
      <c r="K67" s="94">
        <v>-19.2</v>
      </c>
      <c r="L67" s="94">
        <v>0</v>
      </c>
      <c r="M67" s="94">
        <v>0</v>
      </c>
      <c r="N67" s="102">
        <f t="shared" ref="N67:N130" si="2">+AVERAGE(K67:M67)</f>
        <v>-6.3999999999999995</v>
      </c>
      <c r="O67" s="97">
        <v>0</v>
      </c>
      <c r="P67" s="92">
        <v>0</v>
      </c>
      <c r="Q67" s="98">
        <f t="shared" ref="Q67:Q130" si="3">+O67+P67</f>
        <v>0</v>
      </c>
      <c r="R67" s="99" t="str">
        <f>+IF(Q67+N67&lt;=0, "NO COMPRADOR", +IF(Q67&lt;=0, "SIN COMPRA "&amp;+UPPER(TEXT('DINAMICA ENERO 26'!$C$2,"mmm 'yy")), "COMPRADOR"))</f>
        <v>NO COMPRADOR</v>
      </c>
      <c r="S67" s="100"/>
      <c r="T67" s="101"/>
      <c r="U67" s="100"/>
      <c r="V67" s="100"/>
    </row>
    <row r="68" spans="1:23" s="100" customFormat="1" ht="14">
      <c r="A68" s="88" t="s">
        <v>85</v>
      </c>
      <c r="B68" s="89" t="s">
        <v>120</v>
      </c>
      <c r="C68" s="89" t="s">
        <v>52</v>
      </c>
      <c r="D68" s="103">
        <v>100079515</v>
      </c>
      <c r="E68" s="89" t="s">
        <v>53</v>
      </c>
      <c r="F68" s="89">
        <v>100085149</v>
      </c>
      <c r="G68" s="90" t="s">
        <v>156</v>
      </c>
      <c r="H68" s="91">
        <v>0</v>
      </c>
      <c r="I68" s="92">
        <v>0</v>
      </c>
      <c r="J68" s="93">
        <v>0</v>
      </c>
      <c r="K68" s="94">
        <v>0</v>
      </c>
      <c r="L68" s="94">
        <v>4.8</v>
      </c>
      <c r="M68" s="94">
        <v>4.8</v>
      </c>
      <c r="N68" s="102">
        <f t="shared" si="2"/>
        <v>3.1999999999999997</v>
      </c>
      <c r="O68" s="97">
        <v>0</v>
      </c>
      <c r="P68" s="92">
        <v>0</v>
      </c>
      <c r="Q68" s="98">
        <f t="shared" si="3"/>
        <v>0</v>
      </c>
      <c r="R68" s="99" t="str">
        <f>+IF(Q68+N68&lt;=0, "NO COMPRADOR", +IF(Q68&lt;=0, "SIN COMPRA "&amp;+UPPER(TEXT('DINAMICA ENERO 26'!$C$2,"mmm 'yy")), "COMPRADOR"))</f>
        <v>SIN COMPRA FEB '26</v>
      </c>
      <c r="T68" s="101"/>
      <c r="W68" s="73"/>
    </row>
    <row r="69" spans="1:23" s="100" customFormat="1" ht="14">
      <c r="A69" s="88" t="s">
        <v>85</v>
      </c>
      <c r="B69" s="89" t="s">
        <v>157</v>
      </c>
      <c r="C69" s="89" t="s">
        <v>52</v>
      </c>
      <c r="D69" s="103">
        <v>100079674</v>
      </c>
      <c r="E69" s="89" t="s">
        <v>57</v>
      </c>
      <c r="F69" s="89">
        <v>100079807</v>
      </c>
      <c r="G69" s="90" t="s">
        <v>158</v>
      </c>
      <c r="H69" s="91">
        <v>0</v>
      </c>
      <c r="I69" s="92">
        <v>0</v>
      </c>
      <c r="J69" s="93">
        <v>0</v>
      </c>
      <c r="K69" s="94">
        <v>4.8</v>
      </c>
      <c r="L69" s="94">
        <v>0</v>
      </c>
      <c r="M69" s="94">
        <v>0</v>
      </c>
      <c r="N69" s="102">
        <f t="shared" si="2"/>
        <v>1.5999999999999999</v>
      </c>
      <c r="O69" s="97">
        <v>0</v>
      </c>
      <c r="P69" s="92">
        <v>0</v>
      </c>
      <c r="Q69" s="98">
        <f t="shared" si="3"/>
        <v>0</v>
      </c>
      <c r="R69" s="99" t="str">
        <f>+IF(Q69+N69&lt;=0, "NO COMPRADOR", +IF(Q69&lt;=0, "SIN COMPRA "&amp;+UPPER(TEXT('DINAMICA ENERO 26'!$C$2,"mmm 'yy")), "COMPRADOR"))</f>
        <v>SIN COMPRA FEB '26</v>
      </c>
      <c r="T69" s="101"/>
      <c r="W69" s="73"/>
    </row>
    <row r="70" spans="1:23" ht="14">
      <c r="A70" s="88" t="s">
        <v>85</v>
      </c>
      <c r="B70" s="89" t="s">
        <v>157</v>
      </c>
      <c r="C70" s="89" t="s">
        <v>52</v>
      </c>
      <c r="D70" s="103">
        <v>100079674</v>
      </c>
      <c r="E70" s="89" t="s">
        <v>57</v>
      </c>
      <c r="F70" s="89">
        <v>100086113</v>
      </c>
      <c r="G70" s="90" t="s">
        <v>159</v>
      </c>
      <c r="H70" s="91">
        <v>0</v>
      </c>
      <c r="I70" s="92">
        <v>0</v>
      </c>
      <c r="J70" s="93">
        <v>0</v>
      </c>
      <c r="K70" s="94">
        <v>0</v>
      </c>
      <c r="L70" s="94">
        <v>0</v>
      </c>
      <c r="M70" s="94">
        <v>0</v>
      </c>
      <c r="N70" s="102">
        <f t="shared" si="2"/>
        <v>0</v>
      </c>
      <c r="O70" s="97">
        <v>0</v>
      </c>
      <c r="P70" s="92">
        <v>0</v>
      </c>
      <c r="Q70" s="98">
        <f t="shared" si="3"/>
        <v>0</v>
      </c>
      <c r="R70" s="99" t="str">
        <f>+IF(Q70+N70&lt;=0, "NO COMPRADOR", +IF(Q70&lt;=0, "SIN COMPRA "&amp;+UPPER(TEXT('DINAMICA ENERO 26'!$C$2,"mmm 'yy")), "COMPRADOR"))</f>
        <v>NO COMPRADOR</v>
      </c>
      <c r="S70" s="100"/>
      <c r="T70" s="101"/>
      <c r="U70" s="100"/>
      <c r="V70" s="100"/>
    </row>
    <row r="71" spans="1:23" s="100" customFormat="1" ht="14">
      <c r="A71" s="88" t="s">
        <v>85</v>
      </c>
      <c r="B71" s="89" t="s">
        <v>157</v>
      </c>
      <c r="C71" s="89" t="s">
        <v>52</v>
      </c>
      <c r="D71" s="103">
        <v>100079674</v>
      </c>
      <c r="E71" s="89" t="s">
        <v>57</v>
      </c>
      <c r="F71" s="89">
        <v>100086648</v>
      </c>
      <c r="G71" s="90" t="s">
        <v>160</v>
      </c>
      <c r="H71" s="91">
        <v>4.8</v>
      </c>
      <c r="I71" s="92">
        <v>0</v>
      </c>
      <c r="J71" s="93">
        <v>0</v>
      </c>
      <c r="K71" s="94">
        <v>4.8</v>
      </c>
      <c r="L71" s="94">
        <v>4.8</v>
      </c>
      <c r="M71" s="94">
        <v>4.8</v>
      </c>
      <c r="N71" s="102">
        <f t="shared" si="2"/>
        <v>4.8</v>
      </c>
      <c r="O71" s="97">
        <v>0</v>
      </c>
      <c r="P71" s="92">
        <v>0</v>
      </c>
      <c r="Q71" s="98">
        <f t="shared" si="3"/>
        <v>0</v>
      </c>
      <c r="R71" s="99" t="str">
        <f>+IF(Q71+N71&lt;=0, "NO COMPRADOR", +IF(Q71&lt;=0, "SIN COMPRA "&amp;+UPPER(TEXT('DINAMICA ENERO 26'!$C$2,"mmm 'yy")), "COMPRADOR"))</f>
        <v>SIN COMPRA FEB '26</v>
      </c>
      <c r="T71" s="101"/>
      <c r="W71" s="73"/>
    </row>
    <row r="72" spans="1:23" s="100" customFormat="1" ht="14">
      <c r="A72" s="88" t="s">
        <v>85</v>
      </c>
      <c r="B72" s="89" t="s">
        <v>157</v>
      </c>
      <c r="C72" s="89" t="s">
        <v>52</v>
      </c>
      <c r="D72" s="103">
        <v>100079674</v>
      </c>
      <c r="E72" s="89" t="s">
        <v>57</v>
      </c>
      <c r="F72" s="89">
        <v>100085802</v>
      </c>
      <c r="G72" s="90" t="s">
        <v>161</v>
      </c>
      <c r="H72" s="91">
        <v>0</v>
      </c>
      <c r="I72" s="92">
        <v>4.8</v>
      </c>
      <c r="J72" s="93">
        <v>0</v>
      </c>
      <c r="K72" s="94">
        <v>0</v>
      </c>
      <c r="L72" s="94">
        <v>0</v>
      </c>
      <c r="M72" s="94">
        <v>0</v>
      </c>
      <c r="N72" s="102">
        <f t="shared" si="2"/>
        <v>0</v>
      </c>
      <c r="O72" s="97">
        <v>0</v>
      </c>
      <c r="P72" s="92">
        <v>0</v>
      </c>
      <c r="Q72" s="98">
        <f t="shared" si="3"/>
        <v>0</v>
      </c>
      <c r="R72" s="99" t="str">
        <f>+IF(Q72+N72&lt;=0, "NO COMPRADOR", +IF(Q72&lt;=0, "SIN COMPRA "&amp;+UPPER(TEXT('DINAMICA ENERO 26'!$C$2,"mmm 'yy")), "COMPRADOR"))</f>
        <v>NO COMPRADOR</v>
      </c>
      <c r="T72" s="101"/>
      <c r="W72" s="73"/>
    </row>
    <row r="73" spans="1:23" s="100" customFormat="1" ht="14">
      <c r="A73" s="88" t="s">
        <v>85</v>
      </c>
      <c r="B73" s="89" t="s">
        <v>157</v>
      </c>
      <c r="C73" s="89" t="s">
        <v>52</v>
      </c>
      <c r="D73" s="103">
        <v>100079674</v>
      </c>
      <c r="E73" s="89" t="s">
        <v>57</v>
      </c>
      <c r="F73" s="89">
        <v>100079430</v>
      </c>
      <c r="G73" s="90" t="s">
        <v>162</v>
      </c>
      <c r="H73" s="91">
        <v>4.8</v>
      </c>
      <c r="I73" s="92">
        <v>4.8</v>
      </c>
      <c r="J73" s="93">
        <v>-4.8</v>
      </c>
      <c r="K73" s="94">
        <v>0</v>
      </c>
      <c r="L73" s="94">
        <v>0</v>
      </c>
      <c r="M73" s="94">
        <v>0</v>
      </c>
      <c r="N73" s="102">
        <f t="shared" si="2"/>
        <v>0</v>
      </c>
      <c r="O73" s="97">
        <v>0</v>
      </c>
      <c r="P73" s="92">
        <v>0</v>
      </c>
      <c r="Q73" s="98">
        <f t="shared" si="3"/>
        <v>0</v>
      </c>
      <c r="R73" s="99" t="str">
        <f>+IF(Q73+N73&lt;=0, "NO COMPRADOR", +IF(Q73&lt;=0, "SIN COMPRA "&amp;+UPPER(TEXT('DINAMICA ENERO 26'!$C$2,"mmm 'yy")), "COMPRADOR"))</f>
        <v>NO COMPRADOR</v>
      </c>
      <c r="T73" s="101"/>
      <c r="W73" s="73"/>
    </row>
    <row r="74" spans="1:23" s="100" customFormat="1" ht="14">
      <c r="A74" s="88" t="s">
        <v>85</v>
      </c>
      <c r="B74" s="89" t="s">
        <v>157</v>
      </c>
      <c r="C74" s="89" t="s">
        <v>52</v>
      </c>
      <c r="D74" s="103">
        <v>100079674</v>
      </c>
      <c r="E74" s="89" t="s">
        <v>57</v>
      </c>
      <c r="F74" s="89">
        <v>100001212</v>
      </c>
      <c r="G74" s="90" t="s">
        <v>163</v>
      </c>
      <c r="H74" s="91">
        <v>9.6</v>
      </c>
      <c r="I74" s="92">
        <v>4.8</v>
      </c>
      <c r="J74" s="93">
        <v>0</v>
      </c>
      <c r="K74" s="94">
        <v>0</v>
      </c>
      <c r="L74" s="94">
        <v>4.8</v>
      </c>
      <c r="M74" s="94">
        <v>0</v>
      </c>
      <c r="N74" s="102">
        <f t="shared" si="2"/>
        <v>1.5999999999999999</v>
      </c>
      <c r="O74" s="97">
        <v>4.8</v>
      </c>
      <c r="P74" s="92">
        <v>0</v>
      </c>
      <c r="Q74" s="98">
        <f t="shared" si="3"/>
        <v>4.8</v>
      </c>
      <c r="R74" s="99" t="str">
        <f>+IF(Q74+N74&lt;=0, "NO COMPRADOR", +IF(Q74&lt;=0, "SIN COMPRA "&amp;+UPPER(TEXT('DINAMICA ENERO 26'!$C$2,"mmm 'yy")), "COMPRADOR"))</f>
        <v>COMPRADOR</v>
      </c>
      <c r="T74" s="101"/>
      <c r="W74" s="73"/>
    </row>
    <row r="75" spans="1:23" ht="14">
      <c r="A75" s="88" t="s">
        <v>85</v>
      </c>
      <c r="B75" s="89" t="s">
        <v>157</v>
      </c>
      <c r="C75" s="89" t="s">
        <v>52</v>
      </c>
      <c r="D75" s="103">
        <v>100079674</v>
      </c>
      <c r="E75" s="89" t="s">
        <v>57</v>
      </c>
      <c r="F75" s="89">
        <v>100001259</v>
      </c>
      <c r="G75" s="90" t="s">
        <v>164</v>
      </c>
      <c r="H75" s="91">
        <v>4.8</v>
      </c>
      <c r="I75" s="92">
        <v>4.8</v>
      </c>
      <c r="J75" s="93">
        <v>4.8</v>
      </c>
      <c r="K75" s="94">
        <v>4.8</v>
      </c>
      <c r="L75" s="94">
        <v>9.6</v>
      </c>
      <c r="M75" s="94">
        <v>0</v>
      </c>
      <c r="N75" s="102">
        <f t="shared" si="2"/>
        <v>4.8</v>
      </c>
      <c r="O75" s="97">
        <v>0</v>
      </c>
      <c r="P75" s="92">
        <v>0</v>
      </c>
      <c r="Q75" s="98">
        <f t="shared" si="3"/>
        <v>0</v>
      </c>
      <c r="R75" s="99" t="str">
        <f>+IF(Q75+N75&lt;=0, "NO COMPRADOR", +IF(Q75&lt;=0, "SIN COMPRA "&amp;+UPPER(TEXT('DINAMICA ENERO 26'!$C$2,"mmm 'yy")), "COMPRADOR"))</f>
        <v>SIN COMPRA FEB '26</v>
      </c>
      <c r="S75" s="100"/>
      <c r="T75" s="101"/>
      <c r="U75" s="100"/>
      <c r="V75" s="100"/>
    </row>
    <row r="76" spans="1:23" s="100" customFormat="1" ht="14">
      <c r="A76" s="88" t="s">
        <v>85</v>
      </c>
      <c r="B76" s="89" t="s">
        <v>157</v>
      </c>
      <c r="C76" s="89" t="s">
        <v>52</v>
      </c>
      <c r="D76" s="103">
        <v>100079674</v>
      </c>
      <c r="E76" s="89" t="s">
        <v>57</v>
      </c>
      <c r="F76" s="89">
        <v>100082864</v>
      </c>
      <c r="G76" s="90" t="s">
        <v>165</v>
      </c>
      <c r="H76" s="91">
        <v>4.8</v>
      </c>
      <c r="I76" s="92">
        <v>-4.8</v>
      </c>
      <c r="J76" s="93">
        <v>0</v>
      </c>
      <c r="K76" s="94">
        <v>0</v>
      </c>
      <c r="L76" s="94">
        <v>0</v>
      </c>
      <c r="M76" s="94">
        <v>0</v>
      </c>
      <c r="N76" s="102">
        <f t="shared" si="2"/>
        <v>0</v>
      </c>
      <c r="O76" s="97">
        <v>0</v>
      </c>
      <c r="P76" s="92">
        <v>0</v>
      </c>
      <c r="Q76" s="98">
        <f t="shared" si="3"/>
        <v>0</v>
      </c>
      <c r="R76" s="99" t="str">
        <f>+IF(Q76+N76&lt;=0, "NO COMPRADOR", +IF(Q76&lt;=0, "SIN COMPRA "&amp;+UPPER(TEXT('DINAMICA ENERO 26'!$C$2,"mmm 'yy")), "COMPRADOR"))</f>
        <v>NO COMPRADOR</v>
      </c>
      <c r="T76" s="101"/>
      <c r="W76" s="73"/>
    </row>
    <row r="77" spans="1:23" s="100" customFormat="1" ht="14">
      <c r="A77" s="88" t="s">
        <v>85</v>
      </c>
      <c r="B77" s="89" t="s">
        <v>157</v>
      </c>
      <c r="C77" s="89" t="s">
        <v>52</v>
      </c>
      <c r="D77" s="103">
        <v>100079674</v>
      </c>
      <c r="E77" s="89" t="s">
        <v>57</v>
      </c>
      <c r="F77" s="89">
        <v>100073859</v>
      </c>
      <c r="G77" s="90" t="s">
        <v>166</v>
      </c>
      <c r="H77" s="91">
        <v>4.8</v>
      </c>
      <c r="I77" s="92">
        <v>4.8</v>
      </c>
      <c r="J77" s="93">
        <v>48</v>
      </c>
      <c r="K77" s="94">
        <v>4.8</v>
      </c>
      <c r="L77" s="94">
        <v>0</v>
      </c>
      <c r="M77" s="94">
        <v>0</v>
      </c>
      <c r="N77" s="102">
        <f t="shared" si="2"/>
        <v>1.5999999999999999</v>
      </c>
      <c r="O77" s="97">
        <v>0</v>
      </c>
      <c r="P77" s="92">
        <v>0</v>
      </c>
      <c r="Q77" s="98">
        <f t="shared" si="3"/>
        <v>0</v>
      </c>
      <c r="R77" s="99" t="str">
        <f>+IF(Q77+N77&lt;=0, "NO COMPRADOR", +IF(Q77&lt;=0, "SIN COMPRA "&amp;+UPPER(TEXT('DINAMICA ENERO 26'!$C$2,"mmm 'yy")), "COMPRADOR"))</f>
        <v>SIN COMPRA FEB '26</v>
      </c>
      <c r="T77" s="101"/>
      <c r="W77" s="73"/>
    </row>
    <row r="78" spans="1:23" ht="14">
      <c r="A78" s="88" t="s">
        <v>85</v>
      </c>
      <c r="B78" s="89" t="s">
        <v>157</v>
      </c>
      <c r="C78" s="89" t="s">
        <v>52</v>
      </c>
      <c r="D78" s="103">
        <v>100079674</v>
      </c>
      <c r="E78" s="89" t="s">
        <v>57</v>
      </c>
      <c r="F78" s="89">
        <v>100001941</v>
      </c>
      <c r="G78" s="90" t="s">
        <v>167</v>
      </c>
      <c r="H78" s="91">
        <v>4.8</v>
      </c>
      <c r="I78" s="92">
        <v>4.8</v>
      </c>
      <c r="J78" s="93">
        <v>0</v>
      </c>
      <c r="K78" s="94">
        <v>0</v>
      </c>
      <c r="L78" s="94">
        <v>0</v>
      </c>
      <c r="M78" s="94">
        <v>0</v>
      </c>
      <c r="N78" s="102">
        <f t="shared" si="2"/>
        <v>0</v>
      </c>
      <c r="O78" s="97">
        <v>0</v>
      </c>
      <c r="P78" s="92">
        <v>0</v>
      </c>
      <c r="Q78" s="98">
        <f t="shared" si="3"/>
        <v>0</v>
      </c>
      <c r="R78" s="99" t="str">
        <f>+IF(Q78+N78&lt;=0, "NO COMPRADOR", +IF(Q78&lt;=0, "SIN COMPRA "&amp;+UPPER(TEXT('DINAMICA ENERO 26'!$C$2,"mmm 'yy")), "COMPRADOR"))</f>
        <v>NO COMPRADOR</v>
      </c>
      <c r="S78" s="100"/>
      <c r="T78" s="101"/>
      <c r="U78" s="100"/>
      <c r="V78" s="100"/>
    </row>
    <row r="79" spans="1:23" s="100" customFormat="1" ht="14">
      <c r="A79" s="88" t="s">
        <v>85</v>
      </c>
      <c r="B79" s="89" t="s">
        <v>157</v>
      </c>
      <c r="C79" s="89" t="s">
        <v>52</v>
      </c>
      <c r="D79" s="103">
        <v>100079674</v>
      </c>
      <c r="E79" s="89" t="s">
        <v>57</v>
      </c>
      <c r="F79" s="89">
        <v>100005864</v>
      </c>
      <c r="G79" s="90" t="s">
        <v>168</v>
      </c>
      <c r="H79" s="91">
        <v>0</v>
      </c>
      <c r="I79" s="92">
        <v>0</v>
      </c>
      <c r="J79" s="93">
        <v>0</v>
      </c>
      <c r="K79" s="94">
        <v>0</v>
      </c>
      <c r="L79" s="94">
        <v>0</v>
      </c>
      <c r="M79" s="94">
        <v>0</v>
      </c>
      <c r="N79" s="102">
        <f t="shared" si="2"/>
        <v>0</v>
      </c>
      <c r="O79" s="97">
        <v>0</v>
      </c>
      <c r="P79" s="92">
        <v>0</v>
      </c>
      <c r="Q79" s="98">
        <f t="shared" si="3"/>
        <v>0</v>
      </c>
      <c r="R79" s="99" t="str">
        <f>+IF(Q79+N79&lt;=0, "NO COMPRADOR", +IF(Q79&lt;=0, "SIN COMPRA "&amp;+UPPER(TEXT('DINAMICA ENERO 26'!$C$2,"mmm 'yy")), "COMPRADOR"))</f>
        <v>NO COMPRADOR</v>
      </c>
      <c r="T79" s="101"/>
      <c r="W79" s="73"/>
    </row>
    <row r="80" spans="1:23" s="100" customFormat="1" ht="14">
      <c r="A80" s="88" t="s">
        <v>85</v>
      </c>
      <c r="B80" s="89" t="s">
        <v>157</v>
      </c>
      <c r="C80" s="89" t="s">
        <v>52</v>
      </c>
      <c r="D80" s="103">
        <v>100079674</v>
      </c>
      <c r="E80" s="89" t="s">
        <v>57</v>
      </c>
      <c r="F80" s="89">
        <v>100009067</v>
      </c>
      <c r="G80" s="90" t="s">
        <v>169</v>
      </c>
      <c r="H80" s="91">
        <v>4.8</v>
      </c>
      <c r="I80" s="92">
        <v>19.2</v>
      </c>
      <c r="J80" s="93">
        <v>4.8</v>
      </c>
      <c r="K80" s="94">
        <v>4.8</v>
      </c>
      <c r="L80" s="94">
        <v>9.6</v>
      </c>
      <c r="M80" s="94">
        <v>0</v>
      </c>
      <c r="N80" s="102">
        <f t="shared" si="2"/>
        <v>4.8</v>
      </c>
      <c r="O80" s="97">
        <v>0</v>
      </c>
      <c r="P80" s="92">
        <v>0</v>
      </c>
      <c r="Q80" s="98">
        <f t="shared" si="3"/>
        <v>0</v>
      </c>
      <c r="R80" s="99" t="str">
        <f>+IF(Q80+N80&lt;=0, "NO COMPRADOR", +IF(Q80&lt;=0, "SIN COMPRA "&amp;+UPPER(TEXT('DINAMICA ENERO 26'!$C$2,"mmm 'yy")), "COMPRADOR"))</f>
        <v>SIN COMPRA FEB '26</v>
      </c>
      <c r="T80" s="101"/>
      <c r="W80" s="73"/>
    </row>
    <row r="81" spans="1:23" ht="14">
      <c r="A81" s="88" t="s">
        <v>85</v>
      </c>
      <c r="B81" s="89" t="s">
        <v>157</v>
      </c>
      <c r="C81" s="89" t="s">
        <v>52</v>
      </c>
      <c r="D81" s="103">
        <v>100079674</v>
      </c>
      <c r="E81" s="89" t="s">
        <v>57</v>
      </c>
      <c r="F81" s="89">
        <v>100059556</v>
      </c>
      <c r="G81" s="90" t="s">
        <v>170</v>
      </c>
      <c r="H81" s="91">
        <v>0</v>
      </c>
      <c r="I81" s="92">
        <v>0</v>
      </c>
      <c r="J81" s="93">
        <v>0</v>
      </c>
      <c r="K81" s="94">
        <v>0</v>
      </c>
      <c r="L81" s="94">
        <v>0</v>
      </c>
      <c r="M81" s="94">
        <v>0</v>
      </c>
      <c r="N81" s="102">
        <f t="shared" si="2"/>
        <v>0</v>
      </c>
      <c r="O81" s="97">
        <v>0</v>
      </c>
      <c r="P81" s="92">
        <v>0</v>
      </c>
      <c r="Q81" s="98">
        <f t="shared" si="3"/>
        <v>0</v>
      </c>
      <c r="R81" s="99" t="str">
        <f>+IF(Q81+N81&lt;=0, "NO COMPRADOR", +IF(Q81&lt;=0, "SIN COMPRA "&amp;+UPPER(TEXT('DINAMICA ENERO 26'!$C$2,"mmm 'yy")), "COMPRADOR"))</f>
        <v>NO COMPRADOR</v>
      </c>
      <c r="S81" s="100"/>
      <c r="T81" s="101"/>
      <c r="U81" s="100"/>
      <c r="V81" s="100"/>
    </row>
    <row r="82" spans="1:23" s="100" customFormat="1" ht="14">
      <c r="A82" s="88" t="s">
        <v>85</v>
      </c>
      <c r="B82" s="89" t="s">
        <v>157</v>
      </c>
      <c r="C82" s="89" t="s">
        <v>52</v>
      </c>
      <c r="D82" s="103">
        <v>100079674</v>
      </c>
      <c r="E82" s="89" t="s">
        <v>57</v>
      </c>
      <c r="F82" s="89">
        <v>100082635</v>
      </c>
      <c r="G82" s="90" t="s">
        <v>171</v>
      </c>
      <c r="H82" s="91">
        <v>0</v>
      </c>
      <c r="I82" s="92">
        <v>0</v>
      </c>
      <c r="J82" s="93">
        <v>0</v>
      </c>
      <c r="K82" s="94">
        <v>0</v>
      </c>
      <c r="L82" s="94">
        <v>4.8</v>
      </c>
      <c r="M82" s="94">
        <v>4.8</v>
      </c>
      <c r="N82" s="102">
        <f t="shared" si="2"/>
        <v>3.1999999999999997</v>
      </c>
      <c r="O82" s="97">
        <v>0</v>
      </c>
      <c r="P82" s="92">
        <v>0</v>
      </c>
      <c r="Q82" s="98">
        <f t="shared" si="3"/>
        <v>0</v>
      </c>
      <c r="R82" s="99" t="str">
        <f>+IF(Q82+N82&lt;=0, "NO COMPRADOR", +IF(Q82&lt;=0, "SIN COMPRA "&amp;+UPPER(TEXT('DINAMICA ENERO 26'!$C$2,"mmm 'yy")), "COMPRADOR"))</f>
        <v>SIN COMPRA FEB '26</v>
      </c>
      <c r="T82" s="101"/>
      <c r="W82" s="73"/>
    </row>
    <row r="83" spans="1:23" ht="14">
      <c r="A83" s="88" t="s">
        <v>85</v>
      </c>
      <c r="B83" s="89" t="s">
        <v>157</v>
      </c>
      <c r="C83" s="89" t="s">
        <v>52</v>
      </c>
      <c r="D83" s="103">
        <v>100079674</v>
      </c>
      <c r="E83" s="89" t="s">
        <v>57</v>
      </c>
      <c r="F83" s="89">
        <v>100087436</v>
      </c>
      <c r="G83" s="90" t="s">
        <v>172</v>
      </c>
      <c r="H83" s="91">
        <v>0</v>
      </c>
      <c r="I83" s="92">
        <v>0</v>
      </c>
      <c r="J83" s="93">
        <v>0</v>
      </c>
      <c r="K83" s="94">
        <v>0</v>
      </c>
      <c r="L83" s="94">
        <v>0</v>
      </c>
      <c r="M83" s="94">
        <v>4.8</v>
      </c>
      <c r="N83" s="102">
        <f t="shared" si="2"/>
        <v>1.5999999999999999</v>
      </c>
      <c r="O83" s="97">
        <v>0</v>
      </c>
      <c r="P83" s="92">
        <v>0</v>
      </c>
      <c r="Q83" s="98">
        <f t="shared" si="3"/>
        <v>0</v>
      </c>
      <c r="R83" s="99" t="str">
        <f>+IF(Q83+N83&lt;=0, "NO COMPRADOR", +IF(Q83&lt;=0, "SIN COMPRA "&amp;+UPPER(TEXT('DINAMICA ENERO 26'!$C$2,"mmm 'yy")), "COMPRADOR"))</f>
        <v>SIN COMPRA FEB '26</v>
      </c>
      <c r="S83" s="100"/>
      <c r="T83" s="101"/>
      <c r="U83" s="100"/>
      <c r="V83" s="100"/>
    </row>
    <row r="84" spans="1:23" s="100" customFormat="1" ht="14">
      <c r="A84" s="88" t="s">
        <v>85</v>
      </c>
      <c r="B84" s="89" t="s">
        <v>157</v>
      </c>
      <c r="C84" s="89" t="s">
        <v>52</v>
      </c>
      <c r="D84" s="103">
        <v>100079674</v>
      </c>
      <c r="E84" s="89" t="s">
        <v>57</v>
      </c>
      <c r="F84" s="89">
        <v>100072236</v>
      </c>
      <c r="G84" s="90" t="s">
        <v>173</v>
      </c>
      <c r="H84" s="91">
        <v>24</v>
      </c>
      <c r="I84" s="92">
        <v>24</v>
      </c>
      <c r="J84" s="93">
        <v>14.399999999999999</v>
      </c>
      <c r="K84" s="94">
        <v>9.6</v>
      </c>
      <c r="L84" s="94">
        <v>67.2</v>
      </c>
      <c r="M84" s="94">
        <v>4.8</v>
      </c>
      <c r="N84" s="102">
        <f t="shared" si="2"/>
        <v>27.2</v>
      </c>
      <c r="O84" s="97">
        <v>4.8</v>
      </c>
      <c r="P84" s="92">
        <v>0</v>
      </c>
      <c r="Q84" s="98">
        <f t="shared" si="3"/>
        <v>4.8</v>
      </c>
      <c r="R84" s="99" t="str">
        <f>+IF(Q84+N84&lt;=0, "NO COMPRADOR", +IF(Q84&lt;=0, "SIN COMPRA "&amp;+UPPER(TEXT('DINAMICA ENERO 26'!$C$2,"mmm 'yy")), "COMPRADOR"))</f>
        <v>COMPRADOR</v>
      </c>
      <c r="T84" s="101"/>
      <c r="W84" s="73"/>
    </row>
    <row r="85" spans="1:23" s="100" customFormat="1" ht="14">
      <c r="A85" s="88" t="s">
        <v>85</v>
      </c>
      <c r="B85" s="89" t="s">
        <v>157</v>
      </c>
      <c r="C85" s="89" t="s">
        <v>52</v>
      </c>
      <c r="D85" s="103">
        <v>100079674</v>
      </c>
      <c r="E85" s="89" t="s">
        <v>57</v>
      </c>
      <c r="F85" s="89">
        <v>100087960</v>
      </c>
      <c r="G85" s="90" t="s">
        <v>174</v>
      </c>
      <c r="H85" s="91">
        <v>0</v>
      </c>
      <c r="I85" s="92">
        <v>0</v>
      </c>
      <c r="J85" s="93">
        <v>0</v>
      </c>
      <c r="K85" s="94">
        <v>4.8</v>
      </c>
      <c r="L85" s="94">
        <v>0</v>
      </c>
      <c r="M85" s="94">
        <v>0</v>
      </c>
      <c r="N85" s="102">
        <f t="shared" si="2"/>
        <v>1.5999999999999999</v>
      </c>
      <c r="O85" s="97">
        <v>0</v>
      </c>
      <c r="P85" s="92">
        <v>0</v>
      </c>
      <c r="Q85" s="98">
        <f t="shared" si="3"/>
        <v>0</v>
      </c>
      <c r="R85" s="99" t="str">
        <f>+IF(Q85+N85&lt;=0, "NO COMPRADOR", +IF(Q85&lt;=0, "SIN COMPRA "&amp;+UPPER(TEXT('DINAMICA ENERO 26'!$C$2,"mmm 'yy")), "COMPRADOR"))</f>
        <v>SIN COMPRA FEB '26</v>
      </c>
      <c r="T85" s="101"/>
      <c r="W85" s="73"/>
    </row>
    <row r="86" spans="1:23" s="100" customFormat="1" ht="14">
      <c r="A86" s="88" t="s">
        <v>85</v>
      </c>
      <c r="B86" s="89" t="s">
        <v>157</v>
      </c>
      <c r="C86" s="89" t="s">
        <v>52</v>
      </c>
      <c r="D86" s="103">
        <v>100079674</v>
      </c>
      <c r="E86" s="89" t="s">
        <v>57</v>
      </c>
      <c r="F86" s="89">
        <v>100080270</v>
      </c>
      <c r="G86" s="90" t="s">
        <v>175</v>
      </c>
      <c r="H86" s="91">
        <v>9.5999999999999979</v>
      </c>
      <c r="I86" s="92">
        <v>-4.8</v>
      </c>
      <c r="J86" s="93">
        <v>76.8</v>
      </c>
      <c r="K86" s="94">
        <v>62.4</v>
      </c>
      <c r="L86" s="94">
        <v>-14.400000000000006</v>
      </c>
      <c r="M86" s="94">
        <v>38.4</v>
      </c>
      <c r="N86" s="102">
        <f t="shared" si="2"/>
        <v>28.799999999999997</v>
      </c>
      <c r="O86" s="97">
        <v>48</v>
      </c>
      <c r="P86" s="92">
        <v>0</v>
      </c>
      <c r="Q86" s="98">
        <f t="shared" si="3"/>
        <v>48</v>
      </c>
      <c r="R86" s="99" t="str">
        <f>+IF(Q86+N86&lt;=0, "NO COMPRADOR", +IF(Q86&lt;=0, "SIN COMPRA "&amp;+UPPER(TEXT('DINAMICA ENERO 26'!$C$2,"mmm 'yy")), "COMPRADOR"))</f>
        <v>COMPRADOR</v>
      </c>
      <c r="T86" s="101"/>
      <c r="W86" s="73"/>
    </row>
    <row r="87" spans="1:23" ht="14">
      <c r="A87" s="88" t="s">
        <v>85</v>
      </c>
      <c r="B87" s="89" t="s">
        <v>157</v>
      </c>
      <c r="C87" s="89" t="s">
        <v>52</v>
      </c>
      <c r="D87" s="103">
        <v>100079674</v>
      </c>
      <c r="E87" s="89" t="s">
        <v>57</v>
      </c>
      <c r="F87" s="89">
        <v>100073740</v>
      </c>
      <c r="G87" s="90" t="s">
        <v>176</v>
      </c>
      <c r="H87" s="91">
        <v>0</v>
      </c>
      <c r="I87" s="92">
        <v>0</v>
      </c>
      <c r="J87" s="93">
        <v>0</v>
      </c>
      <c r="K87" s="94">
        <v>0</v>
      </c>
      <c r="L87" s="94">
        <v>0</v>
      </c>
      <c r="M87" s="94">
        <v>0</v>
      </c>
      <c r="N87" s="102">
        <f t="shared" si="2"/>
        <v>0</v>
      </c>
      <c r="O87" s="97">
        <v>0</v>
      </c>
      <c r="P87" s="92">
        <v>0</v>
      </c>
      <c r="Q87" s="98">
        <f t="shared" si="3"/>
        <v>0</v>
      </c>
      <c r="R87" s="99" t="str">
        <f>+IF(Q87+N87&lt;=0, "NO COMPRADOR", +IF(Q87&lt;=0, "SIN COMPRA "&amp;+UPPER(TEXT('DINAMICA ENERO 26'!$C$2,"mmm 'yy")), "COMPRADOR"))</f>
        <v>NO COMPRADOR</v>
      </c>
      <c r="S87" s="100"/>
      <c r="T87" s="101"/>
      <c r="U87" s="100"/>
      <c r="V87" s="100"/>
    </row>
    <row r="88" spans="1:23" s="100" customFormat="1" ht="14">
      <c r="A88" s="88" t="s">
        <v>85</v>
      </c>
      <c r="B88" s="89" t="s">
        <v>157</v>
      </c>
      <c r="C88" s="89" t="s">
        <v>52</v>
      </c>
      <c r="D88" s="103">
        <v>100079674</v>
      </c>
      <c r="E88" s="89" t="s">
        <v>57</v>
      </c>
      <c r="F88" s="89">
        <v>100073876</v>
      </c>
      <c r="G88" s="90" t="s">
        <v>177</v>
      </c>
      <c r="H88" s="91">
        <v>0</v>
      </c>
      <c r="I88" s="92">
        <v>0</v>
      </c>
      <c r="J88" s="93">
        <v>4.8</v>
      </c>
      <c r="K88" s="94">
        <v>4.8</v>
      </c>
      <c r="L88" s="94">
        <v>0</v>
      </c>
      <c r="M88" s="94">
        <v>4.8</v>
      </c>
      <c r="N88" s="102">
        <f t="shared" si="2"/>
        <v>3.1999999999999997</v>
      </c>
      <c r="O88" s="97">
        <v>4.8</v>
      </c>
      <c r="P88" s="92">
        <v>0</v>
      </c>
      <c r="Q88" s="98">
        <f t="shared" si="3"/>
        <v>4.8</v>
      </c>
      <c r="R88" s="99" t="str">
        <f>+IF(Q88+N88&lt;=0, "NO COMPRADOR", +IF(Q88&lt;=0, "SIN COMPRA "&amp;+UPPER(TEXT('DINAMICA ENERO 26'!$C$2,"mmm 'yy")), "COMPRADOR"))</f>
        <v>COMPRADOR</v>
      </c>
      <c r="T88" s="101"/>
      <c r="W88" s="73"/>
    </row>
    <row r="89" spans="1:23" s="100" customFormat="1" ht="14">
      <c r="A89" s="88" t="s">
        <v>85</v>
      </c>
      <c r="B89" s="89" t="s">
        <v>157</v>
      </c>
      <c r="C89" s="89" t="s">
        <v>52</v>
      </c>
      <c r="D89" s="103">
        <v>100079674</v>
      </c>
      <c r="E89" s="89" t="s">
        <v>57</v>
      </c>
      <c r="F89" s="89">
        <v>100077196</v>
      </c>
      <c r="G89" s="90" t="s">
        <v>178</v>
      </c>
      <c r="H89" s="91">
        <v>52.8</v>
      </c>
      <c r="I89" s="92">
        <v>4.8</v>
      </c>
      <c r="J89" s="93">
        <v>0</v>
      </c>
      <c r="K89" s="94">
        <v>4.8</v>
      </c>
      <c r="L89" s="94">
        <v>4.8</v>
      </c>
      <c r="M89" s="94">
        <v>4.8</v>
      </c>
      <c r="N89" s="102">
        <f t="shared" si="2"/>
        <v>4.8</v>
      </c>
      <c r="O89" s="97">
        <v>0</v>
      </c>
      <c r="P89" s="92">
        <v>0</v>
      </c>
      <c r="Q89" s="98">
        <f t="shared" si="3"/>
        <v>0</v>
      </c>
      <c r="R89" s="99" t="str">
        <f>+IF(Q89+N89&lt;=0, "NO COMPRADOR", +IF(Q89&lt;=0, "SIN COMPRA "&amp;+UPPER(TEXT('DINAMICA ENERO 26'!$C$2,"mmm 'yy")), "COMPRADOR"))</f>
        <v>SIN COMPRA FEB '26</v>
      </c>
      <c r="T89" s="101"/>
      <c r="W89" s="73"/>
    </row>
    <row r="90" spans="1:23" s="100" customFormat="1" ht="14">
      <c r="A90" s="88" t="s">
        <v>85</v>
      </c>
      <c r="B90" s="89" t="s">
        <v>157</v>
      </c>
      <c r="C90" s="89" t="s">
        <v>52</v>
      </c>
      <c r="D90" s="103">
        <v>100079674</v>
      </c>
      <c r="E90" s="89" t="s">
        <v>57</v>
      </c>
      <c r="F90" s="89">
        <v>100063753</v>
      </c>
      <c r="G90" s="90" t="s">
        <v>179</v>
      </c>
      <c r="H90" s="91">
        <v>19.2</v>
      </c>
      <c r="I90" s="92">
        <v>14.399999999999999</v>
      </c>
      <c r="J90" s="93">
        <v>48</v>
      </c>
      <c r="K90" s="94">
        <v>14.399999999999999</v>
      </c>
      <c r="L90" s="94">
        <v>48</v>
      </c>
      <c r="M90" s="94">
        <v>28.799999999999997</v>
      </c>
      <c r="N90" s="102">
        <f t="shared" si="2"/>
        <v>30.399999999999995</v>
      </c>
      <c r="O90" s="97">
        <v>4.8</v>
      </c>
      <c r="P90" s="92">
        <v>0</v>
      </c>
      <c r="Q90" s="98">
        <f t="shared" si="3"/>
        <v>4.8</v>
      </c>
      <c r="R90" s="99" t="str">
        <f>+IF(Q90+N90&lt;=0, "NO COMPRADOR", +IF(Q90&lt;=0, "SIN COMPRA "&amp;+UPPER(TEXT('DINAMICA ENERO 26'!$C$2,"mmm 'yy")), "COMPRADOR"))</f>
        <v>COMPRADOR</v>
      </c>
      <c r="T90" s="101"/>
      <c r="W90" s="73"/>
    </row>
    <row r="91" spans="1:23" s="100" customFormat="1" ht="14">
      <c r="A91" s="88" t="s">
        <v>85</v>
      </c>
      <c r="B91" s="89" t="s">
        <v>157</v>
      </c>
      <c r="C91" s="89" t="s">
        <v>52</v>
      </c>
      <c r="D91" s="103">
        <v>100079674</v>
      </c>
      <c r="E91" s="89" t="s">
        <v>57</v>
      </c>
      <c r="F91" s="89">
        <v>100084198</v>
      </c>
      <c r="G91" s="90" t="s">
        <v>180</v>
      </c>
      <c r="H91" s="91">
        <v>4.8</v>
      </c>
      <c r="I91" s="92">
        <v>4.8</v>
      </c>
      <c r="J91" s="93">
        <v>0</v>
      </c>
      <c r="K91" s="94">
        <v>0</v>
      </c>
      <c r="L91" s="94">
        <v>0</v>
      </c>
      <c r="M91" s="94">
        <v>4.8</v>
      </c>
      <c r="N91" s="102">
        <f t="shared" si="2"/>
        <v>1.5999999999999999</v>
      </c>
      <c r="O91" s="97">
        <v>-4.8</v>
      </c>
      <c r="P91" s="92">
        <v>0</v>
      </c>
      <c r="Q91" s="98">
        <f t="shared" si="3"/>
        <v>-4.8</v>
      </c>
      <c r="R91" s="99" t="str">
        <f>+IF(Q91+N91&lt;=0, "NO COMPRADOR", +IF(Q91&lt;=0, "SIN COMPRA "&amp;+UPPER(TEXT('DINAMICA ENERO 26'!$C$2,"mmm 'yy")), "COMPRADOR"))</f>
        <v>NO COMPRADOR</v>
      </c>
      <c r="T91" s="101"/>
      <c r="W91" s="73"/>
    </row>
    <row r="92" spans="1:23" s="100" customFormat="1" ht="14">
      <c r="A92" s="88" t="s">
        <v>85</v>
      </c>
      <c r="B92" s="89" t="s">
        <v>157</v>
      </c>
      <c r="C92" s="89" t="s">
        <v>52</v>
      </c>
      <c r="D92" s="103">
        <v>100079674</v>
      </c>
      <c r="E92" s="89" t="s">
        <v>57</v>
      </c>
      <c r="F92" s="89">
        <v>100084321</v>
      </c>
      <c r="G92" s="90" t="s">
        <v>181</v>
      </c>
      <c r="H92" s="91">
        <v>4.8</v>
      </c>
      <c r="I92" s="92">
        <v>4.8</v>
      </c>
      <c r="J92" s="93">
        <v>-4.8</v>
      </c>
      <c r="K92" s="94">
        <v>0</v>
      </c>
      <c r="L92" s="94">
        <v>14.399999999999999</v>
      </c>
      <c r="M92" s="94">
        <v>0</v>
      </c>
      <c r="N92" s="102">
        <f t="shared" si="2"/>
        <v>4.8</v>
      </c>
      <c r="O92" s="97">
        <v>0</v>
      </c>
      <c r="P92" s="92">
        <v>0</v>
      </c>
      <c r="Q92" s="98">
        <f t="shared" si="3"/>
        <v>0</v>
      </c>
      <c r="R92" s="99" t="str">
        <f>+IF(Q92+N92&lt;=0, "NO COMPRADOR", +IF(Q92&lt;=0, "SIN COMPRA "&amp;+UPPER(TEXT('DINAMICA ENERO 26'!$C$2,"mmm 'yy")), "COMPRADOR"))</f>
        <v>SIN COMPRA FEB '26</v>
      </c>
      <c r="T92" s="101"/>
      <c r="W92" s="73"/>
    </row>
    <row r="93" spans="1:23" s="100" customFormat="1" ht="14">
      <c r="A93" s="88" t="s">
        <v>85</v>
      </c>
      <c r="B93" s="89" t="s">
        <v>157</v>
      </c>
      <c r="C93" s="89" t="s">
        <v>52</v>
      </c>
      <c r="D93" s="103">
        <v>100079674</v>
      </c>
      <c r="E93" s="89" t="s">
        <v>57</v>
      </c>
      <c r="F93" s="89">
        <v>100088056</v>
      </c>
      <c r="G93" s="90" t="s">
        <v>182</v>
      </c>
      <c r="H93" s="91">
        <v>4.8</v>
      </c>
      <c r="I93" s="92">
        <v>4.8</v>
      </c>
      <c r="J93" s="93">
        <v>4.8</v>
      </c>
      <c r="K93" s="94">
        <v>4.8</v>
      </c>
      <c r="L93" s="94">
        <v>4.8</v>
      </c>
      <c r="M93" s="94">
        <v>4.8</v>
      </c>
      <c r="N93" s="102">
        <f t="shared" si="2"/>
        <v>4.8</v>
      </c>
      <c r="O93" s="97">
        <v>0</v>
      </c>
      <c r="P93" s="92">
        <v>0</v>
      </c>
      <c r="Q93" s="98">
        <f t="shared" si="3"/>
        <v>0</v>
      </c>
      <c r="R93" s="99" t="str">
        <f>+IF(Q93+N93&lt;=0, "NO COMPRADOR", +IF(Q93&lt;=0, "SIN COMPRA "&amp;+UPPER(TEXT('DINAMICA ENERO 26'!$C$2,"mmm 'yy")), "COMPRADOR"))</f>
        <v>SIN COMPRA FEB '26</v>
      </c>
      <c r="T93" s="101"/>
      <c r="W93" s="73"/>
    </row>
    <row r="94" spans="1:23" ht="14">
      <c r="A94" s="88" t="s">
        <v>85</v>
      </c>
      <c r="B94" s="89" t="s">
        <v>157</v>
      </c>
      <c r="C94" s="89" t="s">
        <v>52</v>
      </c>
      <c r="D94" s="103">
        <v>100079674</v>
      </c>
      <c r="E94" s="89" t="s">
        <v>57</v>
      </c>
      <c r="F94" s="89">
        <v>100089829</v>
      </c>
      <c r="G94" s="90" t="s">
        <v>183</v>
      </c>
      <c r="H94" s="91">
        <v>0</v>
      </c>
      <c r="I94" s="92">
        <v>9.6</v>
      </c>
      <c r="J94" s="93">
        <v>19.2</v>
      </c>
      <c r="K94" s="94">
        <v>124.8</v>
      </c>
      <c r="L94" s="94">
        <v>28.799999999999997</v>
      </c>
      <c r="M94" s="94">
        <v>216</v>
      </c>
      <c r="N94" s="102">
        <f t="shared" si="2"/>
        <v>123.2</v>
      </c>
      <c r="O94" s="97">
        <v>48</v>
      </c>
      <c r="P94" s="92">
        <v>24</v>
      </c>
      <c r="Q94" s="98">
        <f t="shared" si="3"/>
        <v>72</v>
      </c>
      <c r="R94" s="99" t="str">
        <f>+IF(Q94+N94&lt;=0, "NO COMPRADOR", +IF(Q94&lt;=0, "SIN COMPRA "&amp;+UPPER(TEXT('DINAMICA ENERO 26'!$C$2,"mmm 'yy")), "COMPRADOR"))</f>
        <v>COMPRADOR</v>
      </c>
      <c r="S94" s="100"/>
      <c r="T94" s="101"/>
      <c r="U94" s="100"/>
      <c r="V94" s="100"/>
    </row>
    <row r="95" spans="1:23" ht="14">
      <c r="A95" s="88" t="s">
        <v>85</v>
      </c>
      <c r="B95" s="89" t="s">
        <v>157</v>
      </c>
      <c r="C95" s="89" t="s">
        <v>52</v>
      </c>
      <c r="D95" s="103">
        <v>100066856</v>
      </c>
      <c r="E95" s="89" t="s">
        <v>54</v>
      </c>
      <c r="F95" s="89">
        <v>100080175</v>
      </c>
      <c r="G95" s="90" t="s">
        <v>184</v>
      </c>
      <c r="H95" s="91">
        <v>0</v>
      </c>
      <c r="I95" s="92">
        <v>0</v>
      </c>
      <c r="J95" s="93">
        <v>0</v>
      </c>
      <c r="K95" s="94">
        <v>0</v>
      </c>
      <c r="L95" s="94">
        <v>0</v>
      </c>
      <c r="M95" s="94">
        <v>0</v>
      </c>
      <c r="N95" s="102">
        <f t="shared" si="2"/>
        <v>0</v>
      </c>
      <c r="O95" s="97">
        <v>0</v>
      </c>
      <c r="P95" s="92">
        <v>0</v>
      </c>
      <c r="Q95" s="98">
        <f t="shared" si="3"/>
        <v>0</v>
      </c>
      <c r="R95" s="99" t="str">
        <f>+IF(Q95+N95&lt;=0, "NO COMPRADOR", +IF(Q95&lt;=0, "SIN COMPRA "&amp;+UPPER(TEXT('DINAMICA ENERO 26'!$C$2,"mmm 'yy")), "COMPRADOR"))</f>
        <v>NO COMPRADOR</v>
      </c>
      <c r="S95" s="100"/>
      <c r="T95" s="101"/>
      <c r="U95" s="100"/>
      <c r="V95" s="100"/>
    </row>
    <row r="96" spans="1:23" ht="14">
      <c r="A96" s="88" t="s">
        <v>85</v>
      </c>
      <c r="B96" s="89" t="s">
        <v>157</v>
      </c>
      <c r="C96" s="89" t="s">
        <v>52</v>
      </c>
      <c r="D96" s="103">
        <v>100066856</v>
      </c>
      <c r="E96" s="89" t="s">
        <v>54</v>
      </c>
      <c r="F96" s="89">
        <v>100086921</v>
      </c>
      <c r="G96" s="90" t="s">
        <v>185</v>
      </c>
      <c r="H96" s="91">
        <v>4.8</v>
      </c>
      <c r="I96" s="92">
        <v>0</v>
      </c>
      <c r="J96" s="93">
        <v>0</v>
      </c>
      <c r="K96" s="94">
        <v>0</v>
      </c>
      <c r="L96" s="94">
        <v>0</v>
      </c>
      <c r="M96" s="94">
        <v>0</v>
      </c>
      <c r="N96" s="102">
        <f t="shared" si="2"/>
        <v>0</v>
      </c>
      <c r="O96" s="97">
        <v>0</v>
      </c>
      <c r="P96" s="92">
        <v>0</v>
      </c>
      <c r="Q96" s="98">
        <f t="shared" si="3"/>
        <v>0</v>
      </c>
      <c r="R96" s="99" t="str">
        <f>+IF(Q96+N96&lt;=0, "NO COMPRADOR", +IF(Q96&lt;=0, "SIN COMPRA "&amp;+UPPER(TEXT('DINAMICA ENERO 26'!$C$2,"mmm 'yy")), "COMPRADOR"))</f>
        <v>NO COMPRADOR</v>
      </c>
      <c r="S96" s="100"/>
      <c r="T96" s="101"/>
      <c r="U96" s="100"/>
      <c r="V96" s="100"/>
    </row>
    <row r="97" spans="1:23" ht="14">
      <c r="A97" s="88" t="s">
        <v>85</v>
      </c>
      <c r="B97" s="89" t="s">
        <v>157</v>
      </c>
      <c r="C97" s="89" t="s">
        <v>52</v>
      </c>
      <c r="D97" s="103">
        <v>100066856</v>
      </c>
      <c r="E97" s="89" t="s">
        <v>54</v>
      </c>
      <c r="F97" s="89">
        <v>100063903</v>
      </c>
      <c r="G97" s="90" t="s">
        <v>186</v>
      </c>
      <c r="H97" s="91">
        <v>0</v>
      </c>
      <c r="I97" s="92">
        <v>4.8</v>
      </c>
      <c r="J97" s="93">
        <v>0</v>
      </c>
      <c r="K97" s="94">
        <v>4.8</v>
      </c>
      <c r="L97" s="94">
        <v>0</v>
      </c>
      <c r="M97" s="94">
        <v>0</v>
      </c>
      <c r="N97" s="102">
        <f t="shared" si="2"/>
        <v>1.5999999999999999</v>
      </c>
      <c r="O97" s="97">
        <v>0</v>
      </c>
      <c r="P97" s="92">
        <v>0</v>
      </c>
      <c r="Q97" s="98">
        <f t="shared" si="3"/>
        <v>0</v>
      </c>
      <c r="R97" s="99" t="str">
        <f>+IF(Q97+N97&lt;=0, "NO COMPRADOR", +IF(Q97&lt;=0, "SIN COMPRA "&amp;+UPPER(TEXT('DINAMICA ENERO 26'!$C$2,"mmm 'yy")), "COMPRADOR"))</f>
        <v>SIN COMPRA FEB '26</v>
      </c>
      <c r="S97" s="100"/>
      <c r="T97" s="101"/>
      <c r="U97" s="100"/>
      <c r="V97" s="100"/>
    </row>
    <row r="98" spans="1:23" ht="14">
      <c r="A98" s="88" t="s">
        <v>85</v>
      </c>
      <c r="B98" s="89" t="s">
        <v>157</v>
      </c>
      <c r="C98" s="89" t="s">
        <v>52</v>
      </c>
      <c r="D98" s="103">
        <v>100066856</v>
      </c>
      <c r="E98" s="89" t="s">
        <v>54</v>
      </c>
      <c r="F98" s="89">
        <v>100081047</v>
      </c>
      <c r="G98" s="90" t="s">
        <v>187</v>
      </c>
      <c r="H98" s="91">
        <v>4.8</v>
      </c>
      <c r="I98" s="92">
        <v>-4.8</v>
      </c>
      <c r="J98" s="93">
        <v>0</v>
      </c>
      <c r="K98" s="94">
        <v>0</v>
      </c>
      <c r="L98" s="94">
        <v>0</v>
      </c>
      <c r="M98" s="94">
        <v>0</v>
      </c>
      <c r="N98" s="102">
        <f t="shared" si="2"/>
        <v>0</v>
      </c>
      <c r="O98" s="97">
        <v>0</v>
      </c>
      <c r="P98" s="92">
        <v>0</v>
      </c>
      <c r="Q98" s="98">
        <f t="shared" si="3"/>
        <v>0</v>
      </c>
      <c r="R98" s="99" t="str">
        <f>+IF(Q98+N98&lt;=0, "NO COMPRADOR", +IF(Q98&lt;=0, "SIN COMPRA "&amp;+UPPER(TEXT('DINAMICA ENERO 26'!$C$2,"mmm 'yy")), "COMPRADOR"))</f>
        <v>NO COMPRADOR</v>
      </c>
      <c r="S98" s="100"/>
      <c r="T98" s="101"/>
      <c r="U98" s="100"/>
      <c r="V98" s="100"/>
    </row>
    <row r="99" spans="1:23" ht="14">
      <c r="A99" s="88" t="s">
        <v>85</v>
      </c>
      <c r="B99" s="89" t="s">
        <v>157</v>
      </c>
      <c r="C99" s="89" t="s">
        <v>52</v>
      </c>
      <c r="D99" s="103">
        <v>100066856</v>
      </c>
      <c r="E99" s="89" t="s">
        <v>54</v>
      </c>
      <c r="F99" s="89">
        <v>100081503</v>
      </c>
      <c r="G99" s="90" t="s">
        <v>188</v>
      </c>
      <c r="H99" s="91">
        <v>4.8</v>
      </c>
      <c r="I99" s="92">
        <v>-4.8</v>
      </c>
      <c r="J99" s="93">
        <v>0</v>
      </c>
      <c r="K99" s="94">
        <v>0</v>
      </c>
      <c r="L99" s="94">
        <v>0</v>
      </c>
      <c r="M99" s="94">
        <v>0</v>
      </c>
      <c r="N99" s="102">
        <f t="shared" si="2"/>
        <v>0</v>
      </c>
      <c r="O99" s="97">
        <v>0</v>
      </c>
      <c r="P99" s="92">
        <v>0</v>
      </c>
      <c r="Q99" s="98">
        <f t="shared" si="3"/>
        <v>0</v>
      </c>
      <c r="R99" s="99" t="str">
        <f>+IF(Q99+N99&lt;=0, "NO COMPRADOR", +IF(Q99&lt;=0, "SIN COMPRA "&amp;+UPPER(TEXT('DINAMICA ENERO 26'!$C$2,"mmm 'yy")), "COMPRADOR"))</f>
        <v>NO COMPRADOR</v>
      </c>
      <c r="S99" s="100"/>
      <c r="T99" s="101"/>
      <c r="U99" s="100"/>
      <c r="V99" s="100"/>
    </row>
    <row r="100" spans="1:23" ht="14">
      <c r="A100" s="88" t="s">
        <v>85</v>
      </c>
      <c r="B100" s="89" t="s">
        <v>157</v>
      </c>
      <c r="C100" s="89" t="s">
        <v>52</v>
      </c>
      <c r="D100" s="103">
        <v>100066856</v>
      </c>
      <c r="E100" s="89" t="s">
        <v>54</v>
      </c>
      <c r="F100" s="89">
        <v>100087607</v>
      </c>
      <c r="G100" s="90" t="s">
        <v>189</v>
      </c>
      <c r="H100" s="91">
        <v>0</v>
      </c>
      <c r="I100" s="92">
        <v>9.6</v>
      </c>
      <c r="J100" s="93">
        <v>0</v>
      </c>
      <c r="K100" s="94">
        <v>4.8</v>
      </c>
      <c r="L100" s="94">
        <v>0</v>
      </c>
      <c r="M100" s="94">
        <v>0</v>
      </c>
      <c r="N100" s="102">
        <f t="shared" si="2"/>
        <v>1.5999999999999999</v>
      </c>
      <c r="O100" s="97">
        <v>0</v>
      </c>
      <c r="P100" s="92">
        <v>0</v>
      </c>
      <c r="Q100" s="98">
        <f t="shared" si="3"/>
        <v>0</v>
      </c>
      <c r="R100" s="99" t="str">
        <f>+IF(Q100+N100&lt;=0, "NO COMPRADOR", +IF(Q100&lt;=0, "SIN COMPRA "&amp;+UPPER(TEXT('DINAMICA ENERO 26'!$C$2,"mmm 'yy")), "COMPRADOR"))</f>
        <v>SIN COMPRA FEB '26</v>
      </c>
      <c r="S100" s="100"/>
      <c r="T100" s="101"/>
      <c r="U100" s="100"/>
      <c r="V100" s="100"/>
    </row>
    <row r="101" spans="1:23" ht="14">
      <c r="A101" s="88" t="s">
        <v>85</v>
      </c>
      <c r="B101" s="89" t="s">
        <v>157</v>
      </c>
      <c r="C101" s="89" t="s">
        <v>52</v>
      </c>
      <c r="D101" s="103">
        <v>100066856</v>
      </c>
      <c r="E101" s="89" t="s">
        <v>54</v>
      </c>
      <c r="F101" s="89">
        <v>100088062</v>
      </c>
      <c r="G101" s="90" t="s">
        <v>190</v>
      </c>
      <c r="H101" s="91">
        <v>4.8</v>
      </c>
      <c r="I101" s="92">
        <v>0</v>
      </c>
      <c r="J101" s="93">
        <v>0</v>
      </c>
      <c r="K101" s="94">
        <v>4.8</v>
      </c>
      <c r="L101" s="94">
        <v>43.2</v>
      </c>
      <c r="M101" s="94">
        <v>48</v>
      </c>
      <c r="N101" s="102">
        <f t="shared" si="2"/>
        <v>32</v>
      </c>
      <c r="O101" s="97">
        <v>-48</v>
      </c>
      <c r="P101" s="92">
        <v>0</v>
      </c>
      <c r="Q101" s="98">
        <f t="shared" si="3"/>
        <v>-48</v>
      </c>
      <c r="R101" s="99" t="str">
        <f>+IF(Q101+N101&lt;=0, "NO COMPRADOR", +IF(Q101&lt;=0, "SIN COMPRA "&amp;+UPPER(TEXT('DINAMICA ENERO 26'!$C$2,"mmm 'yy")), "COMPRADOR"))</f>
        <v>NO COMPRADOR</v>
      </c>
      <c r="S101" s="100"/>
      <c r="T101" s="101"/>
      <c r="U101" s="100"/>
      <c r="V101" s="100"/>
    </row>
    <row r="102" spans="1:23" ht="14">
      <c r="A102" s="88" t="s">
        <v>85</v>
      </c>
      <c r="B102" s="89" t="s">
        <v>157</v>
      </c>
      <c r="C102" s="89" t="s">
        <v>52</v>
      </c>
      <c r="D102" s="103">
        <v>100066856</v>
      </c>
      <c r="E102" s="89" t="s">
        <v>54</v>
      </c>
      <c r="F102" s="89">
        <v>100087789</v>
      </c>
      <c r="G102" s="90" t="s">
        <v>191</v>
      </c>
      <c r="H102" s="91">
        <v>0</v>
      </c>
      <c r="I102" s="92">
        <v>0</v>
      </c>
      <c r="J102" s="93">
        <v>0</v>
      </c>
      <c r="K102" s="94">
        <v>0</v>
      </c>
      <c r="L102" s="94">
        <v>24</v>
      </c>
      <c r="M102" s="94">
        <v>4.7999999999999989</v>
      </c>
      <c r="N102" s="102">
        <f t="shared" si="2"/>
        <v>9.6</v>
      </c>
      <c r="O102" s="97">
        <v>0</v>
      </c>
      <c r="P102" s="92">
        <v>0</v>
      </c>
      <c r="Q102" s="98">
        <f t="shared" si="3"/>
        <v>0</v>
      </c>
      <c r="R102" s="99" t="str">
        <f>+IF(Q102+N102&lt;=0, "NO COMPRADOR", +IF(Q102&lt;=0, "SIN COMPRA "&amp;+UPPER(TEXT('DINAMICA ENERO 26'!$C$2,"mmm 'yy")), "COMPRADOR"))</f>
        <v>SIN COMPRA FEB '26</v>
      </c>
      <c r="S102" s="100"/>
      <c r="T102" s="101"/>
      <c r="U102" s="100"/>
      <c r="V102" s="100"/>
    </row>
    <row r="103" spans="1:23" s="100" customFormat="1" ht="14">
      <c r="A103" s="88" t="s">
        <v>85</v>
      </c>
      <c r="B103" s="89" t="s">
        <v>157</v>
      </c>
      <c r="C103" s="89" t="s">
        <v>52</v>
      </c>
      <c r="D103" s="103">
        <v>100066856</v>
      </c>
      <c r="E103" s="89" t="s">
        <v>54</v>
      </c>
      <c r="F103" s="89">
        <v>100016352</v>
      </c>
      <c r="G103" s="90" t="s">
        <v>192</v>
      </c>
      <c r="H103" s="91">
        <v>0</v>
      </c>
      <c r="I103" s="92">
        <v>4.8</v>
      </c>
      <c r="J103" s="93">
        <v>0</v>
      </c>
      <c r="K103" s="94">
        <v>4.8</v>
      </c>
      <c r="L103" s="94">
        <v>0</v>
      </c>
      <c r="M103" s="94">
        <v>0</v>
      </c>
      <c r="N103" s="102">
        <f t="shared" si="2"/>
        <v>1.5999999999999999</v>
      </c>
      <c r="O103" s="97">
        <v>0</v>
      </c>
      <c r="P103" s="92">
        <v>0</v>
      </c>
      <c r="Q103" s="98">
        <f t="shared" si="3"/>
        <v>0</v>
      </c>
      <c r="R103" s="99" t="str">
        <f>+IF(Q103+N103&lt;=0, "NO COMPRADOR", +IF(Q103&lt;=0, "SIN COMPRA "&amp;+UPPER(TEXT('DINAMICA ENERO 26'!$C$2,"mmm 'yy")), "COMPRADOR"))</f>
        <v>SIN COMPRA FEB '26</v>
      </c>
      <c r="T103" s="101"/>
      <c r="W103" s="73"/>
    </row>
    <row r="104" spans="1:23" ht="14">
      <c r="A104" s="88" t="s">
        <v>85</v>
      </c>
      <c r="B104" s="89" t="s">
        <v>157</v>
      </c>
      <c r="C104" s="89" t="s">
        <v>52</v>
      </c>
      <c r="D104" s="103">
        <v>100066856</v>
      </c>
      <c r="E104" s="89" t="s">
        <v>54</v>
      </c>
      <c r="F104" s="89">
        <v>100083764</v>
      </c>
      <c r="G104" s="90" t="s">
        <v>193</v>
      </c>
      <c r="H104" s="91">
        <v>4.8</v>
      </c>
      <c r="I104" s="92">
        <v>-4.8</v>
      </c>
      <c r="J104" s="93">
        <v>0</v>
      </c>
      <c r="K104" s="94">
        <v>4.8</v>
      </c>
      <c r="L104" s="94">
        <v>19.2</v>
      </c>
      <c r="M104" s="94">
        <v>-9.6</v>
      </c>
      <c r="N104" s="102">
        <f t="shared" si="2"/>
        <v>4.8</v>
      </c>
      <c r="O104" s="97">
        <v>0</v>
      </c>
      <c r="P104" s="92">
        <v>0</v>
      </c>
      <c r="Q104" s="98">
        <f t="shared" si="3"/>
        <v>0</v>
      </c>
      <c r="R104" s="99" t="str">
        <f>+IF(Q104+N104&lt;=0, "NO COMPRADOR", +IF(Q104&lt;=0, "SIN COMPRA "&amp;+UPPER(TEXT('DINAMICA ENERO 26'!$C$2,"mmm 'yy")), "COMPRADOR"))</f>
        <v>SIN COMPRA FEB '26</v>
      </c>
      <c r="S104" s="100"/>
      <c r="T104" s="101"/>
      <c r="U104" s="100"/>
      <c r="V104" s="100"/>
    </row>
    <row r="105" spans="1:23" s="100" customFormat="1" ht="14">
      <c r="A105" s="88" t="s">
        <v>85</v>
      </c>
      <c r="B105" s="89" t="s">
        <v>157</v>
      </c>
      <c r="C105" s="89" t="s">
        <v>52</v>
      </c>
      <c r="D105" s="103">
        <v>100066856</v>
      </c>
      <c r="E105" s="89" t="s">
        <v>54</v>
      </c>
      <c r="F105" s="89">
        <v>100071616</v>
      </c>
      <c r="G105" s="90" t="s">
        <v>194</v>
      </c>
      <c r="H105" s="91">
        <v>105.6</v>
      </c>
      <c r="I105" s="92">
        <v>86.399999999999991</v>
      </c>
      <c r="J105" s="93">
        <v>182.39999999999998</v>
      </c>
      <c r="K105" s="94">
        <v>110.4</v>
      </c>
      <c r="L105" s="94">
        <v>0</v>
      </c>
      <c r="M105" s="94">
        <v>96</v>
      </c>
      <c r="N105" s="102">
        <f t="shared" si="2"/>
        <v>68.8</v>
      </c>
      <c r="O105" s="97">
        <v>0</v>
      </c>
      <c r="P105" s="92">
        <v>0</v>
      </c>
      <c r="Q105" s="98">
        <f t="shared" si="3"/>
        <v>0</v>
      </c>
      <c r="R105" s="99" t="str">
        <f>+IF(Q105+N105&lt;=0, "NO COMPRADOR", +IF(Q105&lt;=0, "SIN COMPRA "&amp;+UPPER(TEXT('DINAMICA ENERO 26'!$C$2,"mmm 'yy")), "COMPRADOR"))</f>
        <v>SIN COMPRA FEB '26</v>
      </c>
      <c r="T105" s="101"/>
      <c r="W105" s="73"/>
    </row>
    <row r="106" spans="1:23" s="100" customFormat="1" ht="14">
      <c r="A106" s="88" t="s">
        <v>85</v>
      </c>
      <c r="B106" s="89" t="s">
        <v>157</v>
      </c>
      <c r="C106" s="89" t="s">
        <v>52</v>
      </c>
      <c r="D106" s="103">
        <v>100066856</v>
      </c>
      <c r="E106" s="89" t="s">
        <v>54</v>
      </c>
      <c r="F106" s="89">
        <v>100011726</v>
      </c>
      <c r="G106" s="90" t="s">
        <v>195</v>
      </c>
      <c r="H106" s="91">
        <v>0</v>
      </c>
      <c r="I106" s="92">
        <v>0</v>
      </c>
      <c r="J106" s="93">
        <v>0</v>
      </c>
      <c r="K106" s="94">
        <v>0</v>
      </c>
      <c r="L106" s="94">
        <v>0</v>
      </c>
      <c r="M106" s="94">
        <v>0</v>
      </c>
      <c r="N106" s="102">
        <f t="shared" si="2"/>
        <v>0</v>
      </c>
      <c r="O106" s="97">
        <v>0</v>
      </c>
      <c r="P106" s="92">
        <v>0</v>
      </c>
      <c r="Q106" s="98">
        <f t="shared" si="3"/>
        <v>0</v>
      </c>
      <c r="R106" s="99" t="str">
        <f>+IF(Q106+N106&lt;=0, "NO COMPRADOR", +IF(Q106&lt;=0, "SIN COMPRA "&amp;+UPPER(TEXT('DINAMICA ENERO 26'!$C$2,"mmm 'yy")), "COMPRADOR"))</f>
        <v>NO COMPRADOR</v>
      </c>
      <c r="T106" s="101"/>
      <c r="W106" s="73"/>
    </row>
    <row r="107" spans="1:23" s="100" customFormat="1" ht="14">
      <c r="A107" s="88" t="s">
        <v>85</v>
      </c>
      <c r="B107" s="89" t="s">
        <v>157</v>
      </c>
      <c r="C107" s="89" t="s">
        <v>52</v>
      </c>
      <c r="D107" s="103">
        <v>100066856</v>
      </c>
      <c r="E107" s="89" t="s">
        <v>54</v>
      </c>
      <c r="F107" s="89">
        <v>100077612</v>
      </c>
      <c r="G107" s="90" t="s">
        <v>196</v>
      </c>
      <c r="H107" s="91">
        <v>4.8</v>
      </c>
      <c r="I107" s="92">
        <v>0</v>
      </c>
      <c r="J107" s="93">
        <v>0</v>
      </c>
      <c r="K107" s="94">
        <v>4.8</v>
      </c>
      <c r="L107" s="94">
        <v>0</v>
      </c>
      <c r="M107" s="94">
        <v>0</v>
      </c>
      <c r="N107" s="102">
        <f t="shared" si="2"/>
        <v>1.5999999999999999</v>
      </c>
      <c r="O107" s="97">
        <v>0</v>
      </c>
      <c r="P107" s="92">
        <v>0</v>
      </c>
      <c r="Q107" s="98">
        <f t="shared" si="3"/>
        <v>0</v>
      </c>
      <c r="R107" s="99" t="str">
        <f>+IF(Q107+N107&lt;=0, "NO COMPRADOR", +IF(Q107&lt;=0, "SIN COMPRA "&amp;+UPPER(TEXT('DINAMICA ENERO 26'!$C$2,"mmm 'yy")), "COMPRADOR"))</f>
        <v>SIN COMPRA FEB '26</v>
      </c>
      <c r="T107" s="101"/>
      <c r="W107" s="73"/>
    </row>
    <row r="108" spans="1:23" ht="14">
      <c r="A108" s="88" t="s">
        <v>85</v>
      </c>
      <c r="B108" s="89" t="s">
        <v>157</v>
      </c>
      <c r="C108" s="89" t="s">
        <v>52</v>
      </c>
      <c r="D108" s="103">
        <v>100066856</v>
      </c>
      <c r="E108" s="89" t="s">
        <v>54</v>
      </c>
      <c r="F108" s="89">
        <v>100073860</v>
      </c>
      <c r="G108" s="90" t="s">
        <v>197</v>
      </c>
      <c r="H108" s="91">
        <v>0</v>
      </c>
      <c r="I108" s="92">
        <v>0</v>
      </c>
      <c r="J108" s="93">
        <v>0</v>
      </c>
      <c r="K108" s="94">
        <v>0</v>
      </c>
      <c r="L108" s="94">
        <v>0</v>
      </c>
      <c r="M108" s="94">
        <v>0</v>
      </c>
      <c r="N108" s="102">
        <f t="shared" si="2"/>
        <v>0</v>
      </c>
      <c r="O108" s="97">
        <v>0</v>
      </c>
      <c r="P108" s="92">
        <v>0</v>
      </c>
      <c r="Q108" s="98">
        <f t="shared" si="3"/>
        <v>0</v>
      </c>
      <c r="R108" s="99" t="str">
        <f>+IF(Q108+N108&lt;=0, "NO COMPRADOR", +IF(Q108&lt;=0, "SIN COMPRA "&amp;+UPPER(TEXT('DINAMICA ENERO 26'!$C$2,"mmm 'yy")), "COMPRADOR"))</f>
        <v>NO COMPRADOR</v>
      </c>
      <c r="S108" s="100"/>
      <c r="T108" s="101"/>
      <c r="U108" s="100"/>
      <c r="V108" s="100"/>
    </row>
    <row r="109" spans="1:23" s="100" customFormat="1" ht="14">
      <c r="A109" s="88" t="s">
        <v>85</v>
      </c>
      <c r="B109" s="89" t="s">
        <v>157</v>
      </c>
      <c r="C109" s="89" t="s">
        <v>52</v>
      </c>
      <c r="D109" s="103">
        <v>100066856</v>
      </c>
      <c r="E109" s="89" t="s">
        <v>54</v>
      </c>
      <c r="F109" s="89">
        <v>100002246</v>
      </c>
      <c r="G109" s="90" t="s">
        <v>198</v>
      </c>
      <c r="H109" s="91">
        <v>0</v>
      </c>
      <c r="I109" s="92">
        <v>0</v>
      </c>
      <c r="J109" s="93">
        <v>0</v>
      </c>
      <c r="K109" s="94">
        <v>4.8</v>
      </c>
      <c r="L109" s="94">
        <v>0</v>
      </c>
      <c r="M109" s="94">
        <v>0</v>
      </c>
      <c r="N109" s="102">
        <f t="shared" si="2"/>
        <v>1.5999999999999999</v>
      </c>
      <c r="O109" s="97">
        <v>0</v>
      </c>
      <c r="P109" s="92">
        <v>0</v>
      </c>
      <c r="Q109" s="98">
        <f t="shared" si="3"/>
        <v>0</v>
      </c>
      <c r="R109" s="99" t="str">
        <f>+IF(Q109+N109&lt;=0, "NO COMPRADOR", +IF(Q109&lt;=0, "SIN COMPRA "&amp;+UPPER(TEXT('DINAMICA ENERO 26'!$C$2,"mmm 'yy")), "COMPRADOR"))</f>
        <v>SIN COMPRA FEB '26</v>
      </c>
      <c r="T109" s="101"/>
      <c r="W109" s="73"/>
    </row>
    <row r="110" spans="1:23" s="100" customFormat="1" ht="14">
      <c r="A110" s="88" t="s">
        <v>85</v>
      </c>
      <c r="B110" s="89" t="s">
        <v>157</v>
      </c>
      <c r="C110" s="89" t="s">
        <v>52</v>
      </c>
      <c r="D110" s="103">
        <v>100066856</v>
      </c>
      <c r="E110" s="89" t="s">
        <v>54</v>
      </c>
      <c r="F110" s="89">
        <v>100071232</v>
      </c>
      <c r="G110" s="90" t="s">
        <v>199</v>
      </c>
      <c r="H110" s="91">
        <v>0</v>
      </c>
      <c r="I110" s="92">
        <v>0</v>
      </c>
      <c r="J110" s="93">
        <v>0</v>
      </c>
      <c r="K110" s="94">
        <v>0</v>
      </c>
      <c r="L110" s="94">
        <v>0</v>
      </c>
      <c r="M110" s="94">
        <v>0</v>
      </c>
      <c r="N110" s="102">
        <f t="shared" si="2"/>
        <v>0</v>
      </c>
      <c r="O110" s="97">
        <v>0</v>
      </c>
      <c r="P110" s="92">
        <v>0</v>
      </c>
      <c r="Q110" s="98">
        <f t="shared" si="3"/>
        <v>0</v>
      </c>
      <c r="R110" s="99" t="str">
        <f>+IF(Q110+N110&lt;=0, "NO COMPRADOR", +IF(Q110&lt;=0, "SIN COMPRA "&amp;+UPPER(TEXT('DINAMICA ENERO 26'!$C$2,"mmm 'yy")), "COMPRADOR"))</f>
        <v>NO COMPRADOR</v>
      </c>
      <c r="T110" s="101"/>
      <c r="W110" s="73"/>
    </row>
    <row r="111" spans="1:23" s="100" customFormat="1" ht="14">
      <c r="A111" s="88" t="s">
        <v>85</v>
      </c>
      <c r="B111" s="89" t="s">
        <v>157</v>
      </c>
      <c r="C111" s="89" t="s">
        <v>52</v>
      </c>
      <c r="D111" s="103">
        <v>100066856</v>
      </c>
      <c r="E111" s="89" t="s">
        <v>54</v>
      </c>
      <c r="F111" s="89">
        <v>100076868</v>
      </c>
      <c r="G111" s="90" t="s">
        <v>200</v>
      </c>
      <c r="H111" s="91">
        <v>24</v>
      </c>
      <c r="I111" s="92">
        <v>0</v>
      </c>
      <c r="J111" s="93">
        <v>0</v>
      </c>
      <c r="K111" s="94">
        <v>4.8</v>
      </c>
      <c r="L111" s="94">
        <v>86.399999999999991</v>
      </c>
      <c r="M111" s="94">
        <v>48</v>
      </c>
      <c r="N111" s="102">
        <f t="shared" si="2"/>
        <v>46.4</v>
      </c>
      <c r="O111" s="97">
        <v>0</v>
      </c>
      <c r="P111" s="92">
        <v>0</v>
      </c>
      <c r="Q111" s="98">
        <f t="shared" si="3"/>
        <v>0</v>
      </c>
      <c r="R111" s="99" t="str">
        <f>+IF(Q111+N111&lt;=0, "NO COMPRADOR", +IF(Q111&lt;=0, "SIN COMPRA "&amp;+UPPER(TEXT('DINAMICA ENERO 26'!$C$2,"mmm 'yy")), "COMPRADOR"))</f>
        <v>SIN COMPRA FEB '26</v>
      </c>
      <c r="T111" s="101"/>
      <c r="W111" s="73"/>
    </row>
    <row r="112" spans="1:23" s="100" customFormat="1" ht="14">
      <c r="A112" s="88" t="s">
        <v>85</v>
      </c>
      <c r="B112" s="89" t="s">
        <v>157</v>
      </c>
      <c r="C112" s="89" t="s">
        <v>52</v>
      </c>
      <c r="D112" s="103">
        <v>100066856</v>
      </c>
      <c r="E112" s="89" t="s">
        <v>54</v>
      </c>
      <c r="F112" s="89">
        <v>100007082</v>
      </c>
      <c r="G112" s="90" t="s">
        <v>201</v>
      </c>
      <c r="H112" s="91">
        <v>4.8</v>
      </c>
      <c r="I112" s="92">
        <v>4.8</v>
      </c>
      <c r="J112" s="93">
        <v>0</v>
      </c>
      <c r="K112" s="94">
        <v>4.8</v>
      </c>
      <c r="L112" s="94">
        <v>0</v>
      </c>
      <c r="M112" s="94">
        <v>0</v>
      </c>
      <c r="N112" s="102">
        <f t="shared" si="2"/>
        <v>1.5999999999999999</v>
      </c>
      <c r="O112" s="97">
        <v>0</v>
      </c>
      <c r="P112" s="92">
        <v>0</v>
      </c>
      <c r="Q112" s="98">
        <f t="shared" si="3"/>
        <v>0</v>
      </c>
      <c r="R112" s="99" t="str">
        <f>+IF(Q112+N112&lt;=0, "NO COMPRADOR", +IF(Q112&lt;=0, "SIN COMPRA "&amp;+UPPER(TEXT('DINAMICA ENERO 26'!$C$2,"mmm 'yy")), "COMPRADOR"))</f>
        <v>SIN COMPRA FEB '26</v>
      </c>
      <c r="T112" s="101"/>
      <c r="W112" s="73"/>
    </row>
    <row r="113" spans="1:23" s="100" customFormat="1" ht="14">
      <c r="A113" s="88" t="s">
        <v>85</v>
      </c>
      <c r="B113" s="89" t="s">
        <v>157</v>
      </c>
      <c r="C113" s="89" t="s">
        <v>52</v>
      </c>
      <c r="D113" s="103">
        <v>100066856</v>
      </c>
      <c r="E113" s="89" t="s">
        <v>54</v>
      </c>
      <c r="F113" s="89">
        <v>100084941</v>
      </c>
      <c r="G113" s="90" t="s">
        <v>202</v>
      </c>
      <c r="H113" s="91">
        <v>0</v>
      </c>
      <c r="I113" s="92">
        <v>0</v>
      </c>
      <c r="J113" s="93">
        <v>0</v>
      </c>
      <c r="K113" s="94">
        <v>0</v>
      </c>
      <c r="L113" s="94">
        <v>0</v>
      </c>
      <c r="M113" s="94">
        <v>0</v>
      </c>
      <c r="N113" s="102">
        <f t="shared" si="2"/>
        <v>0</v>
      </c>
      <c r="O113" s="97">
        <v>0</v>
      </c>
      <c r="P113" s="92">
        <v>0</v>
      </c>
      <c r="Q113" s="98">
        <f t="shared" si="3"/>
        <v>0</v>
      </c>
      <c r="R113" s="99" t="str">
        <f>+IF(Q113+N113&lt;=0, "NO COMPRADOR", +IF(Q113&lt;=0, "SIN COMPRA "&amp;+UPPER(TEXT('DINAMICA ENERO 26'!$C$2,"mmm 'yy")), "COMPRADOR"))</f>
        <v>NO COMPRADOR</v>
      </c>
      <c r="T113" s="101"/>
      <c r="W113" s="73"/>
    </row>
    <row r="114" spans="1:23" ht="14">
      <c r="A114" s="88" t="s">
        <v>85</v>
      </c>
      <c r="B114" s="89" t="s">
        <v>157</v>
      </c>
      <c r="C114" s="89" t="s">
        <v>52</v>
      </c>
      <c r="D114" s="103">
        <v>100066856</v>
      </c>
      <c r="E114" s="89" t="s">
        <v>54</v>
      </c>
      <c r="F114" s="89">
        <v>100071677</v>
      </c>
      <c r="G114" s="90" t="s">
        <v>203</v>
      </c>
      <c r="H114" s="91">
        <v>0</v>
      </c>
      <c r="I114" s="92">
        <v>4.8</v>
      </c>
      <c r="J114" s="93">
        <v>0</v>
      </c>
      <c r="K114" s="94">
        <v>0</v>
      </c>
      <c r="L114" s="94">
        <v>0</v>
      </c>
      <c r="M114" s="94">
        <v>0</v>
      </c>
      <c r="N114" s="102">
        <f t="shared" si="2"/>
        <v>0</v>
      </c>
      <c r="O114" s="97">
        <v>0</v>
      </c>
      <c r="P114" s="92">
        <v>0</v>
      </c>
      <c r="Q114" s="98">
        <f t="shared" si="3"/>
        <v>0</v>
      </c>
      <c r="R114" s="99" t="str">
        <f>+IF(Q114+N114&lt;=0, "NO COMPRADOR", +IF(Q114&lt;=0, "SIN COMPRA "&amp;+UPPER(TEXT('DINAMICA ENERO 26'!$C$2,"mmm 'yy")), "COMPRADOR"))</f>
        <v>NO COMPRADOR</v>
      </c>
      <c r="S114" s="100"/>
      <c r="T114" s="101"/>
      <c r="U114" s="100"/>
      <c r="V114" s="100"/>
    </row>
    <row r="115" spans="1:23" s="100" customFormat="1" ht="14">
      <c r="A115" s="88" t="s">
        <v>85</v>
      </c>
      <c r="B115" s="89" t="s">
        <v>204</v>
      </c>
      <c r="C115" s="89" t="s">
        <v>52</v>
      </c>
      <c r="D115" s="103">
        <v>100089701</v>
      </c>
      <c r="E115" s="89" t="s">
        <v>58</v>
      </c>
      <c r="F115" s="89">
        <v>100082346</v>
      </c>
      <c r="G115" s="90" t="s">
        <v>205</v>
      </c>
      <c r="H115" s="91">
        <v>148.80000000000001</v>
      </c>
      <c r="I115" s="92">
        <v>264</v>
      </c>
      <c r="J115" s="93">
        <v>4.8</v>
      </c>
      <c r="K115" s="94">
        <v>235.2</v>
      </c>
      <c r="L115" s="94">
        <v>153.6</v>
      </c>
      <c r="M115" s="94">
        <v>67.2</v>
      </c>
      <c r="N115" s="102">
        <f t="shared" si="2"/>
        <v>151.99999999999997</v>
      </c>
      <c r="O115" s="97">
        <v>144</v>
      </c>
      <c r="P115" s="92">
        <v>4.8</v>
      </c>
      <c r="Q115" s="98">
        <f t="shared" si="3"/>
        <v>148.80000000000001</v>
      </c>
      <c r="R115" s="99" t="str">
        <f>+IF(Q115+N115&lt;=0, "NO COMPRADOR", +IF(Q115&lt;=0, "SIN COMPRA "&amp;+UPPER(TEXT('DINAMICA ENERO 26'!$C$2,"mmm 'yy")), "COMPRADOR"))</f>
        <v>COMPRADOR</v>
      </c>
      <c r="T115" s="101"/>
      <c r="W115" s="73"/>
    </row>
    <row r="116" spans="1:23" s="100" customFormat="1" ht="14">
      <c r="A116" s="88" t="s">
        <v>85</v>
      </c>
      <c r="B116" s="89" t="s">
        <v>204</v>
      </c>
      <c r="C116" s="89" t="s">
        <v>52</v>
      </c>
      <c r="D116" s="103">
        <v>100089701</v>
      </c>
      <c r="E116" s="89" t="s">
        <v>58</v>
      </c>
      <c r="F116" s="89">
        <v>100009863</v>
      </c>
      <c r="G116" s="90" t="s">
        <v>206</v>
      </c>
      <c r="H116" s="91">
        <v>0</v>
      </c>
      <c r="I116" s="92">
        <v>0</v>
      </c>
      <c r="J116" s="93">
        <v>0</v>
      </c>
      <c r="K116" s="94">
        <v>0</v>
      </c>
      <c r="L116" s="94">
        <v>0</v>
      </c>
      <c r="M116" s="94">
        <v>0</v>
      </c>
      <c r="N116" s="102">
        <f t="shared" si="2"/>
        <v>0</v>
      </c>
      <c r="O116" s="97">
        <v>0</v>
      </c>
      <c r="P116" s="92">
        <v>0</v>
      </c>
      <c r="Q116" s="98">
        <f t="shared" si="3"/>
        <v>0</v>
      </c>
      <c r="R116" s="99" t="str">
        <f>+IF(Q116+N116&lt;=0, "NO COMPRADOR", +IF(Q116&lt;=0, "SIN COMPRA "&amp;+UPPER(TEXT('DINAMICA ENERO 26'!$C$2,"mmm 'yy")), "COMPRADOR"))</f>
        <v>NO COMPRADOR</v>
      </c>
      <c r="T116" s="101"/>
      <c r="W116" s="73"/>
    </row>
    <row r="117" spans="1:23" s="100" customFormat="1" ht="14">
      <c r="A117" s="88" t="s">
        <v>85</v>
      </c>
      <c r="B117" s="89" t="s">
        <v>204</v>
      </c>
      <c r="C117" s="89" t="s">
        <v>52</v>
      </c>
      <c r="D117" s="103">
        <v>100089701</v>
      </c>
      <c r="E117" s="89" t="s">
        <v>58</v>
      </c>
      <c r="F117" s="89">
        <v>100080357</v>
      </c>
      <c r="G117" s="90" t="s">
        <v>207</v>
      </c>
      <c r="H117" s="91">
        <v>4.8</v>
      </c>
      <c r="I117" s="92">
        <v>0</v>
      </c>
      <c r="J117" s="93">
        <v>0</v>
      </c>
      <c r="K117" s="94">
        <v>9.6</v>
      </c>
      <c r="L117" s="94">
        <v>4.8</v>
      </c>
      <c r="M117" s="94">
        <v>9.6</v>
      </c>
      <c r="N117" s="102">
        <f t="shared" si="2"/>
        <v>8</v>
      </c>
      <c r="O117" s="97">
        <v>0</v>
      </c>
      <c r="P117" s="92">
        <v>0</v>
      </c>
      <c r="Q117" s="98">
        <f t="shared" si="3"/>
        <v>0</v>
      </c>
      <c r="R117" s="99" t="str">
        <f>+IF(Q117+N117&lt;=0, "NO COMPRADOR", +IF(Q117&lt;=0, "SIN COMPRA "&amp;+UPPER(TEXT('DINAMICA ENERO 26'!$C$2,"mmm 'yy")), "COMPRADOR"))</f>
        <v>SIN COMPRA FEB '26</v>
      </c>
      <c r="T117" s="101"/>
      <c r="W117" s="73"/>
    </row>
    <row r="118" spans="1:23" s="100" customFormat="1" ht="14">
      <c r="A118" s="88" t="s">
        <v>85</v>
      </c>
      <c r="B118" s="89" t="s">
        <v>204</v>
      </c>
      <c r="C118" s="89" t="s">
        <v>52</v>
      </c>
      <c r="D118" s="103">
        <v>100089701</v>
      </c>
      <c r="E118" s="89" t="s">
        <v>58</v>
      </c>
      <c r="F118" s="89">
        <v>100046307</v>
      </c>
      <c r="G118" s="90" t="s">
        <v>208</v>
      </c>
      <c r="H118" s="91">
        <v>9.6</v>
      </c>
      <c r="I118" s="92">
        <v>-4.8</v>
      </c>
      <c r="J118" s="93">
        <v>43.2</v>
      </c>
      <c r="K118" s="94">
        <v>4.8</v>
      </c>
      <c r="L118" s="94">
        <v>28.799999999999997</v>
      </c>
      <c r="M118" s="94">
        <v>9.6</v>
      </c>
      <c r="N118" s="102">
        <f t="shared" si="2"/>
        <v>14.399999999999999</v>
      </c>
      <c r="O118" s="97">
        <v>0</v>
      </c>
      <c r="P118" s="92">
        <v>0</v>
      </c>
      <c r="Q118" s="98">
        <f t="shared" si="3"/>
        <v>0</v>
      </c>
      <c r="R118" s="99" t="str">
        <f>+IF(Q118+N118&lt;=0, "NO COMPRADOR", +IF(Q118&lt;=0, "SIN COMPRA "&amp;+UPPER(TEXT('DINAMICA ENERO 26'!$C$2,"mmm 'yy")), "COMPRADOR"))</f>
        <v>SIN COMPRA FEB '26</v>
      </c>
      <c r="T118" s="101"/>
      <c r="W118" s="73"/>
    </row>
    <row r="119" spans="1:23" s="100" customFormat="1" ht="14">
      <c r="A119" s="88" t="s">
        <v>85</v>
      </c>
      <c r="B119" s="89" t="s">
        <v>204</v>
      </c>
      <c r="C119" s="89" t="s">
        <v>52</v>
      </c>
      <c r="D119" s="103">
        <v>100089701</v>
      </c>
      <c r="E119" s="89" t="s">
        <v>58</v>
      </c>
      <c r="F119" s="89">
        <v>100087065</v>
      </c>
      <c r="G119" s="90" t="s">
        <v>209</v>
      </c>
      <c r="H119" s="91">
        <v>0</v>
      </c>
      <c r="I119" s="92">
        <v>0</v>
      </c>
      <c r="J119" s="93">
        <v>0</v>
      </c>
      <c r="K119" s="94">
        <v>14.399999999999999</v>
      </c>
      <c r="L119" s="94">
        <v>0</v>
      </c>
      <c r="M119" s="94">
        <v>0</v>
      </c>
      <c r="N119" s="102">
        <f t="shared" si="2"/>
        <v>4.8</v>
      </c>
      <c r="O119" s="97">
        <v>9.6</v>
      </c>
      <c r="P119" s="92">
        <v>0</v>
      </c>
      <c r="Q119" s="98">
        <f t="shared" si="3"/>
        <v>9.6</v>
      </c>
      <c r="R119" s="99" t="str">
        <f>+IF(Q119+N119&lt;=0, "NO COMPRADOR", +IF(Q119&lt;=0, "SIN COMPRA "&amp;+UPPER(TEXT('DINAMICA ENERO 26'!$C$2,"mmm 'yy")), "COMPRADOR"))</f>
        <v>COMPRADOR</v>
      </c>
      <c r="T119" s="101"/>
      <c r="W119" s="73"/>
    </row>
    <row r="120" spans="1:23" s="100" customFormat="1" ht="14">
      <c r="A120" s="88" t="s">
        <v>85</v>
      </c>
      <c r="B120" s="89" t="s">
        <v>204</v>
      </c>
      <c r="C120" s="89" t="s">
        <v>52</v>
      </c>
      <c r="D120" s="103">
        <v>100089701</v>
      </c>
      <c r="E120" s="89" t="s">
        <v>58</v>
      </c>
      <c r="F120" s="89">
        <v>100087742</v>
      </c>
      <c r="G120" s="90" t="s">
        <v>210</v>
      </c>
      <c r="H120" s="91">
        <v>0</v>
      </c>
      <c r="I120" s="92">
        <v>0</v>
      </c>
      <c r="J120" s="93">
        <v>0</v>
      </c>
      <c r="K120" s="94">
        <v>0</v>
      </c>
      <c r="L120" s="94">
        <v>0</v>
      </c>
      <c r="M120" s="94">
        <v>0</v>
      </c>
      <c r="N120" s="102">
        <f t="shared" si="2"/>
        <v>0</v>
      </c>
      <c r="O120" s="97">
        <v>0</v>
      </c>
      <c r="P120" s="92">
        <v>0</v>
      </c>
      <c r="Q120" s="98">
        <f t="shared" si="3"/>
        <v>0</v>
      </c>
      <c r="R120" s="99" t="str">
        <f>+IF(Q120+N120&lt;=0, "NO COMPRADOR", +IF(Q120&lt;=0, "SIN COMPRA "&amp;+UPPER(TEXT('DINAMICA ENERO 26'!$C$2,"mmm 'yy")), "COMPRADOR"))</f>
        <v>NO COMPRADOR</v>
      </c>
      <c r="T120" s="101"/>
      <c r="W120" s="73"/>
    </row>
    <row r="121" spans="1:23" ht="14">
      <c r="A121" s="88" t="s">
        <v>85</v>
      </c>
      <c r="B121" s="89" t="s">
        <v>204</v>
      </c>
      <c r="C121" s="89" t="s">
        <v>52</v>
      </c>
      <c r="D121" s="103">
        <v>100089701</v>
      </c>
      <c r="E121" s="89" t="s">
        <v>58</v>
      </c>
      <c r="F121" s="89">
        <v>100087748</v>
      </c>
      <c r="G121" s="90" t="s">
        <v>211</v>
      </c>
      <c r="H121" s="91">
        <v>0</v>
      </c>
      <c r="I121" s="92">
        <v>0</v>
      </c>
      <c r="J121" s="93">
        <v>0</v>
      </c>
      <c r="K121" s="94">
        <v>0</v>
      </c>
      <c r="L121" s="94">
        <v>0</v>
      </c>
      <c r="M121" s="94">
        <v>0</v>
      </c>
      <c r="N121" s="102">
        <f t="shared" si="2"/>
        <v>0</v>
      </c>
      <c r="O121" s="97">
        <v>0</v>
      </c>
      <c r="P121" s="92">
        <v>0</v>
      </c>
      <c r="Q121" s="98">
        <f t="shared" si="3"/>
        <v>0</v>
      </c>
      <c r="R121" s="99" t="str">
        <f>+IF(Q121+N121&lt;=0, "NO COMPRADOR", +IF(Q121&lt;=0, "SIN COMPRA "&amp;+UPPER(TEXT('DINAMICA ENERO 26'!$C$2,"mmm 'yy")), "COMPRADOR"))</f>
        <v>NO COMPRADOR</v>
      </c>
      <c r="S121" s="100"/>
      <c r="T121" s="101"/>
      <c r="U121" s="100"/>
      <c r="V121" s="100"/>
    </row>
    <row r="122" spans="1:23" s="100" customFormat="1" ht="14">
      <c r="A122" s="88" t="s">
        <v>85</v>
      </c>
      <c r="B122" s="89" t="s">
        <v>204</v>
      </c>
      <c r="C122" s="89" t="s">
        <v>52</v>
      </c>
      <c r="D122" s="103">
        <v>100089701</v>
      </c>
      <c r="E122" s="89" t="s">
        <v>58</v>
      </c>
      <c r="F122" s="89">
        <v>100022260</v>
      </c>
      <c r="G122" s="90" t="s">
        <v>212</v>
      </c>
      <c r="H122" s="91">
        <v>0</v>
      </c>
      <c r="I122" s="92">
        <v>0</v>
      </c>
      <c r="J122" s="93">
        <v>9.6</v>
      </c>
      <c r="K122" s="94">
        <v>4.8</v>
      </c>
      <c r="L122" s="94">
        <v>4.8</v>
      </c>
      <c r="M122" s="94">
        <v>14.399999999999999</v>
      </c>
      <c r="N122" s="102">
        <f t="shared" si="2"/>
        <v>8</v>
      </c>
      <c r="O122" s="97">
        <v>0</v>
      </c>
      <c r="P122" s="92">
        <v>0</v>
      </c>
      <c r="Q122" s="98">
        <f t="shared" si="3"/>
        <v>0</v>
      </c>
      <c r="R122" s="99" t="str">
        <f>+IF(Q122+N122&lt;=0, "NO COMPRADOR", +IF(Q122&lt;=0, "SIN COMPRA "&amp;+UPPER(TEXT('DINAMICA ENERO 26'!$C$2,"mmm 'yy")), "COMPRADOR"))</f>
        <v>SIN COMPRA FEB '26</v>
      </c>
      <c r="T122" s="101"/>
      <c r="W122" s="73"/>
    </row>
    <row r="123" spans="1:23" s="100" customFormat="1" ht="14">
      <c r="A123" s="88" t="s">
        <v>85</v>
      </c>
      <c r="B123" s="89" t="s">
        <v>204</v>
      </c>
      <c r="C123" s="89" t="s">
        <v>52</v>
      </c>
      <c r="D123" s="103">
        <v>100089701</v>
      </c>
      <c r="E123" s="89" t="s">
        <v>58</v>
      </c>
      <c r="F123" s="89">
        <v>100085159</v>
      </c>
      <c r="G123" s="90" t="s">
        <v>213</v>
      </c>
      <c r="H123" s="91">
        <v>0</v>
      </c>
      <c r="I123" s="92">
        <v>0</v>
      </c>
      <c r="J123" s="93">
        <v>0</v>
      </c>
      <c r="K123" s="94">
        <v>0</v>
      </c>
      <c r="L123" s="94">
        <v>0</v>
      </c>
      <c r="M123" s="94">
        <v>0</v>
      </c>
      <c r="N123" s="102">
        <f t="shared" si="2"/>
        <v>0</v>
      </c>
      <c r="O123" s="97">
        <v>0</v>
      </c>
      <c r="P123" s="92">
        <v>0</v>
      </c>
      <c r="Q123" s="98">
        <f t="shared" si="3"/>
        <v>0</v>
      </c>
      <c r="R123" s="99" t="str">
        <f>+IF(Q123+N123&lt;=0, "NO COMPRADOR", +IF(Q123&lt;=0, "SIN COMPRA "&amp;+UPPER(TEXT('DINAMICA ENERO 26'!$C$2,"mmm 'yy")), "COMPRADOR"))</f>
        <v>NO COMPRADOR</v>
      </c>
      <c r="T123" s="101"/>
      <c r="W123" s="73"/>
    </row>
    <row r="124" spans="1:23" s="100" customFormat="1" ht="14">
      <c r="A124" s="88" t="s">
        <v>85</v>
      </c>
      <c r="B124" s="89" t="s">
        <v>204</v>
      </c>
      <c r="C124" s="89" t="s">
        <v>52</v>
      </c>
      <c r="D124" s="103">
        <v>100089701</v>
      </c>
      <c r="E124" s="89" t="s">
        <v>58</v>
      </c>
      <c r="F124" s="89">
        <v>100087283</v>
      </c>
      <c r="G124" s="90" t="s">
        <v>214</v>
      </c>
      <c r="H124" s="91">
        <v>0</v>
      </c>
      <c r="I124" s="92">
        <v>0</v>
      </c>
      <c r="J124" s="93">
        <v>0</v>
      </c>
      <c r="K124" s="94">
        <v>0</v>
      </c>
      <c r="L124" s="94">
        <v>0</v>
      </c>
      <c r="M124" s="94">
        <v>0</v>
      </c>
      <c r="N124" s="102">
        <f t="shared" si="2"/>
        <v>0</v>
      </c>
      <c r="O124" s="97">
        <v>0</v>
      </c>
      <c r="P124" s="92">
        <v>0</v>
      </c>
      <c r="Q124" s="98">
        <f t="shared" si="3"/>
        <v>0</v>
      </c>
      <c r="R124" s="99" t="str">
        <f>+IF(Q124+N124&lt;=0, "NO COMPRADOR", +IF(Q124&lt;=0, "SIN COMPRA "&amp;+UPPER(TEXT('DINAMICA ENERO 26'!$C$2,"mmm 'yy")), "COMPRADOR"))</f>
        <v>NO COMPRADOR</v>
      </c>
      <c r="T124" s="101"/>
      <c r="W124" s="73"/>
    </row>
    <row r="125" spans="1:23" s="100" customFormat="1" ht="14">
      <c r="A125" s="88" t="s">
        <v>85</v>
      </c>
      <c r="B125" s="89" t="s">
        <v>204</v>
      </c>
      <c r="C125" s="89" t="s">
        <v>52</v>
      </c>
      <c r="D125" s="103">
        <v>100089701</v>
      </c>
      <c r="E125" s="89" t="s">
        <v>58</v>
      </c>
      <c r="F125" s="89">
        <v>100001601</v>
      </c>
      <c r="G125" s="90" t="s">
        <v>215</v>
      </c>
      <c r="H125" s="91">
        <v>0</v>
      </c>
      <c r="I125" s="92">
        <v>0</v>
      </c>
      <c r="J125" s="93">
        <v>0</v>
      </c>
      <c r="K125" s="94">
        <v>0</v>
      </c>
      <c r="L125" s="94">
        <v>14.399999999999999</v>
      </c>
      <c r="M125" s="94">
        <v>0</v>
      </c>
      <c r="N125" s="102">
        <f t="shared" si="2"/>
        <v>4.8</v>
      </c>
      <c r="O125" s="97">
        <v>9.6</v>
      </c>
      <c r="P125" s="92">
        <v>0</v>
      </c>
      <c r="Q125" s="98">
        <f t="shared" si="3"/>
        <v>9.6</v>
      </c>
      <c r="R125" s="99" t="str">
        <f>+IF(Q125+N125&lt;=0, "NO COMPRADOR", +IF(Q125&lt;=0, "SIN COMPRA "&amp;+UPPER(TEXT('DINAMICA ENERO 26'!$C$2,"mmm 'yy")), "COMPRADOR"))</f>
        <v>COMPRADOR</v>
      </c>
      <c r="T125" s="101"/>
      <c r="W125" s="73"/>
    </row>
    <row r="126" spans="1:23" ht="14">
      <c r="A126" s="88" t="s">
        <v>85</v>
      </c>
      <c r="B126" s="89" t="s">
        <v>204</v>
      </c>
      <c r="C126" s="89" t="s">
        <v>52</v>
      </c>
      <c r="D126" s="103">
        <v>100089701</v>
      </c>
      <c r="E126" s="89" t="s">
        <v>58</v>
      </c>
      <c r="F126" s="89">
        <v>100081880</v>
      </c>
      <c r="G126" s="90" t="s">
        <v>216</v>
      </c>
      <c r="H126" s="91">
        <v>4.8</v>
      </c>
      <c r="I126" s="92">
        <v>4.8</v>
      </c>
      <c r="J126" s="93">
        <v>9.6</v>
      </c>
      <c r="K126" s="94">
        <v>0</v>
      </c>
      <c r="L126" s="94">
        <v>48</v>
      </c>
      <c r="M126" s="94">
        <v>153.6</v>
      </c>
      <c r="N126" s="102">
        <f t="shared" si="2"/>
        <v>67.2</v>
      </c>
      <c r="O126" s="97">
        <v>0</v>
      </c>
      <c r="P126" s="92">
        <v>0</v>
      </c>
      <c r="Q126" s="98">
        <f t="shared" si="3"/>
        <v>0</v>
      </c>
      <c r="R126" s="99" t="str">
        <f>+IF(Q126+N126&lt;=0, "NO COMPRADOR", +IF(Q126&lt;=0, "SIN COMPRA "&amp;+UPPER(TEXT('DINAMICA ENERO 26'!$C$2,"mmm 'yy")), "COMPRADOR"))</f>
        <v>SIN COMPRA FEB '26</v>
      </c>
      <c r="S126" s="100"/>
      <c r="T126" s="101"/>
      <c r="U126" s="100"/>
      <c r="V126" s="100"/>
    </row>
    <row r="127" spans="1:23" ht="14">
      <c r="A127" s="88" t="s">
        <v>85</v>
      </c>
      <c r="B127" s="89" t="s">
        <v>204</v>
      </c>
      <c r="C127" s="89" t="s">
        <v>52</v>
      </c>
      <c r="D127" s="103">
        <v>100089701</v>
      </c>
      <c r="E127" s="89" t="s">
        <v>58</v>
      </c>
      <c r="F127" s="89">
        <v>100083522</v>
      </c>
      <c r="G127" s="90" t="s">
        <v>217</v>
      </c>
      <c r="H127" s="91">
        <v>14.399999999999999</v>
      </c>
      <c r="I127" s="92">
        <v>0</v>
      </c>
      <c r="J127" s="93">
        <v>9.6</v>
      </c>
      <c r="K127" s="94">
        <v>4.8</v>
      </c>
      <c r="L127" s="94">
        <v>4.8</v>
      </c>
      <c r="M127" s="94">
        <v>4.8</v>
      </c>
      <c r="N127" s="102">
        <f t="shared" si="2"/>
        <v>4.8</v>
      </c>
      <c r="O127" s="97">
        <v>0</v>
      </c>
      <c r="P127" s="92">
        <v>0</v>
      </c>
      <c r="Q127" s="98">
        <f t="shared" si="3"/>
        <v>0</v>
      </c>
      <c r="R127" s="99" t="str">
        <f>+IF(Q127+N127&lt;=0, "NO COMPRADOR", +IF(Q127&lt;=0, "SIN COMPRA "&amp;+UPPER(TEXT('DINAMICA ENERO 26'!$C$2,"mmm 'yy")), "COMPRADOR"))</f>
        <v>SIN COMPRA FEB '26</v>
      </c>
      <c r="S127" s="100"/>
      <c r="T127" s="101"/>
      <c r="U127" s="100"/>
      <c r="V127" s="100"/>
    </row>
    <row r="128" spans="1:23" s="100" customFormat="1" ht="14">
      <c r="A128" s="88" t="s">
        <v>85</v>
      </c>
      <c r="B128" s="89" t="s">
        <v>204</v>
      </c>
      <c r="C128" s="89" t="s">
        <v>52</v>
      </c>
      <c r="D128" s="103">
        <v>100089701</v>
      </c>
      <c r="E128" s="89" t="s">
        <v>58</v>
      </c>
      <c r="F128" s="89">
        <v>100073281</v>
      </c>
      <c r="G128" s="90" t="s">
        <v>218</v>
      </c>
      <c r="H128" s="91">
        <v>0</v>
      </c>
      <c r="I128" s="92">
        <v>0</v>
      </c>
      <c r="J128" s="93">
        <v>0</v>
      </c>
      <c r="K128" s="94">
        <v>0</v>
      </c>
      <c r="L128" s="94">
        <v>4.8</v>
      </c>
      <c r="M128" s="94">
        <v>33.599999999999994</v>
      </c>
      <c r="N128" s="102">
        <f t="shared" si="2"/>
        <v>12.799999999999997</v>
      </c>
      <c r="O128" s="97">
        <v>19.2</v>
      </c>
      <c r="P128" s="92">
        <v>0</v>
      </c>
      <c r="Q128" s="98">
        <f t="shared" si="3"/>
        <v>19.2</v>
      </c>
      <c r="R128" s="99" t="str">
        <f>+IF(Q128+N128&lt;=0, "NO COMPRADOR", +IF(Q128&lt;=0, "SIN COMPRA "&amp;+UPPER(TEXT('DINAMICA ENERO 26'!$C$2,"mmm 'yy")), "COMPRADOR"))</f>
        <v>COMPRADOR</v>
      </c>
      <c r="T128" s="101"/>
      <c r="W128" s="73"/>
    </row>
    <row r="129" spans="1:23" s="100" customFormat="1" ht="14">
      <c r="A129" s="88" t="s">
        <v>85</v>
      </c>
      <c r="B129" s="89" t="s">
        <v>204</v>
      </c>
      <c r="C129" s="89" t="s">
        <v>52</v>
      </c>
      <c r="D129" s="103">
        <v>100089701</v>
      </c>
      <c r="E129" s="89" t="s">
        <v>58</v>
      </c>
      <c r="F129" s="89">
        <v>100051099</v>
      </c>
      <c r="G129" s="90" t="s">
        <v>219</v>
      </c>
      <c r="H129" s="91">
        <v>0</v>
      </c>
      <c r="I129" s="92">
        <v>0</v>
      </c>
      <c r="J129" s="93">
        <v>0</v>
      </c>
      <c r="K129" s="94">
        <v>0</v>
      </c>
      <c r="L129" s="94">
        <v>0</v>
      </c>
      <c r="M129" s="94">
        <v>0</v>
      </c>
      <c r="N129" s="102">
        <f t="shared" si="2"/>
        <v>0</v>
      </c>
      <c r="O129" s="97">
        <v>0</v>
      </c>
      <c r="P129" s="92">
        <v>0</v>
      </c>
      <c r="Q129" s="98">
        <f t="shared" si="3"/>
        <v>0</v>
      </c>
      <c r="R129" s="99" t="str">
        <f>+IF(Q129+N129&lt;=0, "NO COMPRADOR", +IF(Q129&lt;=0, "SIN COMPRA "&amp;+UPPER(TEXT('DINAMICA ENERO 26'!$C$2,"mmm 'yy")), "COMPRADOR"))</f>
        <v>NO COMPRADOR</v>
      </c>
      <c r="T129" s="101"/>
      <c r="W129" s="73"/>
    </row>
    <row r="130" spans="1:23" s="100" customFormat="1" ht="14">
      <c r="A130" s="88" t="s">
        <v>85</v>
      </c>
      <c r="B130" s="89" t="s">
        <v>204</v>
      </c>
      <c r="C130" s="89" t="s">
        <v>52</v>
      </c>
      <c r="D130" s="103">
        <v>100089701</v>
      </c>
      <c r="E130" s="89" t="s">
        <v>58</v>
      </c>
      <c r="F130" s="89">
        <v>100087844</v>
      </c>
      <c r="G130" s="90" t="s">
        <v>220</v>
      </c>
      <c r="H130" s="91">
        <v>38.4</v>
      </c>
      <c r="I130" s="92">
        <v>91.2</v>
      </c>
      <c r="J130" s="93">
        <v>0</v>
      </c>
      <c r="K130" s="94">
        <v>33.6</v>
      </c>
      <c r="L130" s="94">
        <v>48</v>
      </c>
      <c r="M130" s="94">
        <v>14.399999999999999</v>
      </c>
      <c r="N130" s="102">
        <f t="shared" si="2"/>
        <v>32</v>
      </c>
      <c r="O130" s="97">
        <v>0</v>
      </c>
      <c r="P130" s="92">
        <v>81.599999999999994</v>
      </c>
      <c r="Q130" s="98">
        <f t="shared" si="3"/>
        <v>81.599999999999994</v>
      </c>
      <c r="R130" s="99" t="str">
        <f>+IF(Q130+N130&lt;=0, "NO COMPRADOR", +IF(Q130&lt;=0, "SIN COMPRA "&amp;+UPPER(TEXT('DINAMICA ENERO 26'!$C$2,"mmm 'yy")), "COMPRADOR"))</f>
        <v>COMPRADOR</v>
      </c>
      <c r="T130" s="101"/>
      <c r="W130" s="73"/>
    </row>
    <row r="131" spans="1:23" s="100" customFormat="1" ht="14">
      <c r="A131" s="88" t="s">
        <v>85</v>
      </c>
      <c r="B131" s="89" t="s">
        <v>204</v>
      </c>
      <c r="C131" s="89" t="s">
        <v>52</v>
      </c>
      <c r="D131" s="103">
        <v>100089701</v>
      </c>
      <c r="E131" s="89" t="s">
        <v>58</v>
      </c>
      <c r="F131" s="89">
        <v>100088156</v>
      </c>
      <c r="G131" s="90" t="s">
        <v>221</v>
      </c>
      <c r="H131" s="91">
        <v>-4.8</v>
      </c>
      <c r="I131" s="92">
        <v>0</v>
      </c>
      <c r="J131" s="93">
        <v>0</v>
      </c>
      <c r="K131" s="94">
        <v>4.8</v>
      </c>
      <c r="L131" s="94">
        <v>0</v>
      </c>
      <c r="M131" s="94">
        <v>0</v>
      </c>
      <c r="N131" s="102">
        <f t="shared" ref="N131:N194" si="4">+AVERAGE(K131:M131)</f>
        <v>1.5999999999999999</v>
      </c>
      <c r="O131" s="97">
        <v>0</v>
      </c>
      <c r="P131" s="92">
        <v>0</v>
      </c>
      <c r="Q131" s="98">
        <f t="shared" ref="Q131:Q160" si="5">+O131+P131</f>
        <v>0</v>
      </c>
      <c r="R131" s="99" t="str">
        <f>+IF(Q131+N131&lt;=0, "NO COMPRADOR", +IF(Q131&lt;=0, "SIN COMPRA "&amp;+UPPER(TEXT('DINAMICA ENERO 26'!$C$2,"mmm 'yy")), "COMPRADOR"))</f>
        <v>SIN COMPRA FEB '26</v>
      </c>
      <c r="T131" s="101"/>
      <c r="W131" s="73"/>
    </row>
    <row r="132" spans="1:23" s="100" customFormat="1" ht="14">
      <c r="A132" s="88" t="s">
        <v>85</v>
      </c>
      <c r="B132" s="89" t="s">
        <v>204</v>
      </c>
      <c r="C132" s="89" t="s">
        <v>52</v>
      </c>
      <c r="D132" s="103">
        <v>100089701</v>
      </c>
      <c r="E132" s="89" t="s">
        <v>58</v>
      </c>
      <c r="F132" s="89">
        <v>100088609</v>
      </c>
      <c r="G132" s="90" t="s">
        <v>222</v>
      </c>
      <c r="H132" s="91">
        <v>0</v>
      </c>
      <c r="I132" s="92">
        <v>0</v>
      </c>
      <c r="J132" s="93">
        <v>14.399999999999999</v>
      </c>
      <c r="K132" s="94">
        <v>9.6</v>
      </c>
      <c r="L132" s="94">
        <v>4.8</v>
      </c>
      <c r="M132" s="94">
        <v>9.6</v>
      </c>
      <c r="N132" s="102">
        <f t="shared" si="4"/>
        <v>8</v>
      </c>
      <c r="O132" s="97">
        <v>4.8</v>
      </c>
      <c r="P132" s="92">
        <v>0</v>
      </c>
      <c r="Q132" s="98">
        <f t="shared" si="5"/>
        <v>4.8</v>
      </c>
      <c r="R132" s="99" t="str">
        <f>+IF(Q132+N132&lt;=0, "NO COMPRADOR", +IF(Q132&lt;=0, "SIN COMPRA "&amp;+UPPER(TEXT('DINAMICA ENERO 26'!$C$2,"mmm 'yy")), "COMPRADOR"))</f>
        <v>COMPRADOR</v>
      </c>
      <c r="T132" s="101"/>
      <c r="W132" s="73"/>
    </row>
    <row r="133" spans="1:23" s="100" customFormat="1" ht="14">
      <c r="A133" s="88" t="s">
        <v>85</v>
      </c>
      <c r="B133" s="89" t="s">
        <v>204</v>
      </c>
      <c r="C133" s="89" t="s">
        <v>52</v>
      </c>
      <c r="D133" s="103">
        <v>100073888</v>
      </c>
      <c r="E133" s="89" t="s">
        <v>55</v>
      </c>
      <c r="F133" s="89">
        <v>100001215</v>
      </c>
      <c r="G133" s="90" t="s">
        <v>223</v>
      </c>
      <c r="H133" s="91">
        <v>4.8</v>
      </c>
      <c r="I133" s="92">
        <v>0</v>
      </c>
      <c r="J133" s="93">
        <v>0</v>
      </c>
      <c r="K133" s="94">
        <v>4.8</v>
      </c>
      <c r="L133" s="94">
        <v>14.399999999999999</v>
      </c>
      <c r="M133" s="94">
        <v>4.8</v>
      </c>
      <c r="N133" s="102">
        <f t="shared" si="4"/>
        <v>8</v>
      </c>
      <c r="O133" s="97">
        <v>0</v>
      </c>
      <c r="P133" s="92">
        <v>0</v>
      </c>
      <c r="Q133" s="98">
        <f t="shared" si="5"/>
        <v>0</v>
      </c>
      <c r="R133" s="99" t="str">
        <f>+IF(Q133+N133&lt;=0, "NO COMPRADOR", +IF(Q133&lt;=0, "SIN COMPRA "&amp;+UPPER(TEXT('DINAMICA ENERO 26'!$C$2,"mmm 'yy")), "COMPRADOR"))</f>
        <v>SIN COMPRA FEB '26</v>
      </c>
      <c r="T133" s="101"/>
      <c r="W133" s="73"/>
    </row>
    <row r="134" spans="1:23" s="100" customFormat="1" ht="14">
      <c r="A134" s="88" t="s">
        <v>85</v>
      </c>
      <c r="B134" s="89" t="s">
        <v>204</v>
      </c>
      <c r="C134" s="89" t="s">
        <v>52</v>
      </c>
      <c r="D134" s="103">
        <v>100073888</v>
      </c>
      <c r="E134" s="89" t="s">
        <v>55</v>
      </c>
      <c r="F134" s="89">
        <v>100060702</v>
      </c>
      <c r="G134" s="90" t="s">
        <v>224</v>
      </c>
      <c r="H134" s="91">
        <v>0</v>
      </c>
      <c r="I134" s="92">
        <v>0</v>
      </c>
      <c r="J134" s="93">
        <v>0</v>
      </c>
      <c r="K134" s="94">
        <v>0</v>
      </c>
      <c r="L134" s="94">
        <v>4.8</v>
      </c>
      <c r="M134" s="94">
        <v>19.2</v>
      </c>
      <c r="N134" s="102">
        <f t="shared" si="4"/>
        <v>8</v>
      </c>
      <c r="O134" s="97">
        <v>-24</v>
      </c>
      <c r="P134" s="92">
        <v>0</v>
      </c>
      <c r="Q134" s="98">
        <f t="shared" si="5"/>
        <v>-24</v>
      </c>
      <c r="R134" s="99" t="str">
        <f>+IF(Q134+N134&lt;=0, "NO COMPRADOR", +IF(Q134&lt;=0, "SIN COMPRA "&amp;+UPPER(TEXT('DINAMICA ENERO 26'!$C$2,"mmm 'yy")), "COMPRADOR"))</f>
        <v>NO COMPRADOR</v>
      </c>
      <c r="T134" s="101"/>
      <c r="W134" s="73"/>
    </row>
    <row r="135" spans="1:23" s="100" customFormat="1" ht="14">
      <c r="A135" s="88" t="s">
        <v>85</v>
      </c>
      <c r="B135" s="89" t="s">
        <v>204</v>
      </c>
      <c r="C135" s="89" t="s">
        <v>52</v>
      </c>
      <c r="D135" s="103">
        <v>100073888</v>
      </c>
      <c r="E135" s="89" t="s">
        <v>55</v>
      </c>
      <c r="F135" s="89">
        <v>100086804</v>
      </c>
      <c r="G135" s="90" t="s">
        <v>225</v>
      </c>
      <c r="H135" s="91">
        <v>9.6</v>
      </c>
      <c r="I135" s="92">
        <v>4.8</v>
      </c>
      <c r="J135" s="93">
        <v>23.999999999999996</v>
      </c>
      <c r="K135" s="94">
        <v>0</v>
      </c>
      <c r="L135" s="94">
        <v>9.6</v>
      </c>
      <c r="M135" s="94">
        <v>33.6</v>
      </c>
      <c r="N135" s="102">
        <f t="shared" si="4"/>
        <v>14.4</v>
      </c>
      <c r="O135" s="97">
        <v>-19.2</v>
      </c>
      <c r="P135" s="92">
        <v>0</v>
      </c>
      <c r="Q135" s="98">
        <f t="shared" si="5"/>
        <v>-19.2</v>
      </c>
      <c r="R135" s="99" t="str">
        <f>+IF(Q135+N135&lt;=0, "NO COMPRADOR", +IF(Q135&lt;=0, "SIN COMPRA "&amp;+UPPER(TEXT('DINAMICA ENERO 26'!$C$2,"mmm 'yy")), "COMPRADOR"))</f>
        <v>NO COMPRADOR</v>
      </c>
      <c r="T135" s="101"/>
      <c r="W135" s="73"/>
    </row>
    <row r="136" spans="1:23" s="100" customFormat="1" ht="14">
      <c r="A136" s="88" t="s">
        <v>85</v>
      </c>
      <c r="B136" s="89" t="s">
        <v>204</v>
      </c>
      <c r="C136" s="89" t="s">
        <v>52</v>
      </c>
      <c r="D136" s="103">
        <v>100073888</v>
      </c>
      <c r="E136" s="89" t="s">
        <v>55</v>
      </c>
      <c r="F136" s="89">
        <v>100084349</v>
      </c>
      <c r="G136" s="90" t="s">
        <v>226</v>
      </c>
      <c r="H136" s="91">
        <v>62.4</v>
      </c>
      <c r="I136" s="92">
        <v>144</v>
      </c>
      <c r="J136" s="93">
        <v>24</v>
      </c>
      <c r="K136" s="94">
        <v>24</v>
      </c>
      <c r="L136" s="94">
        <v>124.8</v>
      </c>
      <c r="M136" s="94">
        <v>96</v>
      </c>
      <c r="N136" s="102">
        <f t="shared" si="4"/>
        <v>81.600000000000009</v>
      </c>
      <c r="O136" s="97">
        <v>0</v>
      </c>
      <c r="P136" s="92">
        <v>0</v>
      </c>
      <c r="Q136" s="98">
        <f t="shared" si="5"/>
        <v>0</v>
      </c>
      <c r="R136" s="99" t="str">
        <f>+IF(Q136+N136&lt;=0, "NO COMPRADOR", +IF(Q136&lt;=0, "SIN COMPRA "&amp;+UPPER(TEXT('DINAMICA ENERO 26'!$C$2,"mmm 'yy")), "COMPRADOR"))</f>
        <v>SIN COMPRA FEB '26</v>
      </c>
      <c r="T136" s="101"/>
      <c r="W136" s="73"/>
    </row>
    <row r="137" spans="1:23" s="100" customFormat="1" ht="14">
      <c r="A137" s="88" t="s">
        <v>85</v>
      </c>
      <c r="B137" s="89" t="s">
        <v>204</v>
      </c>
      <c r="C137" s="89" t="s">
        <v>52</v>
      </c>
      <c r="D137" s="103">
        <v>100073888</v>
      </c>
      <c r="E137" s="89" t="s">
        <v>55</v>
      </c>
      <c r="F137" s="89">
        <v>100001752</v>
      </c>
      <c r="G137" s="90" t="s">
        <v>227</v>
      </c>
      <c r="H137" s="91">
        <v>24</v>
      </c>
      <c r="I137" s="92">
        <v>4.8</v>
      </c>
      <c r="J137" s="93">
        <v>9.6</v>
      </c>
      <c r="K137" s="94">
        <v>4.8</v>
      </c>
      <c r="L137" s="94">
        <v>19.2</v>
      </c>
      <c r="M137" s="94">
        <v>43.2</v>
      </c>
      <c r="N137" s="102">
        <f t="shared" si="4"/>
        <v>22.400000000000002</v>
      </c>
      <c r="O137" s="97">
        <v>0</v>
      </c>
      <c r="P137" s="92">
        <v>0</v>
      </c>
      <c r="Q137" s="98">
        <f t="shared" si="5"/>
        <v>0</v>
      </c>
      <c r="R137" s="99" t="str">
        <f>+IF(Q137+N137&lt;=0, "NO COMPRADOR", +IF(Q137&lt;=0, "SIN COMPRA "&amp;+UPPER(TEXT('DINAMICA ENERO 26'!$C$2,"mmm 'yy")), "COMPRADOR"))</f>
        <v>SIN COMPRA FEB '26</v>
      </c>
      <c r="T137" s="101"/>
      <c r="W137" s="73"/>
    </row>
    <row r="138" spans="1:23" s="100" customFormat="1" ht="14">
      <c r="A138" s="88" t="s">
        <v>85</v>
      </c>
      <c r="B138" s="89" t="s">
        <v>204</v>
      </c>
      <c r="C138" s="89" t="s">
        <v>52</v>
      </c>
      <c r="D138" s="103">
        <v>100073888</v>
      </c>
      <c r="E138" s="89" t="s">
        <v>55</v>
      </c>
      <c r="F138" s="89">
        <v>100081166</v>
      </c>
      <c r="G138" s="90" t="s">
        <v>228</v>
      </c>
      <c r="H138" s="91">
        <v>0</v>
      </c>
      <c r="I138" s="92">
        <v>0</v>
      </c>
      <c r="J138" s="93">
        <v>0</v>
      </c>
      <c r="K138" s="94">
        <v>0</v>
      </c>
      <c r="L138" s="94">
        <v>9.6</v>
      </c>
      <c r="M138" s="94">
        <v>0</v>
      </c>
      <c r="N138" s="102">
        <f t="shared" si="4"/>
        <v>3.1999999999999997</v>
      </c>
      <c r="O138" s="97">
        <v>0</v>
      </c>
      <c r="P138" s="92">
        <v>0</v>
      </c>
      <c r="Q138" s="98">
        <f t="shared" si="5"/>
        <v>0</v>
      </c>
      <c r="R138" s="99" t="str">
        <f>+IF(Q138+N138&lt;=0, "NO COMPRADOR", +IF(Q138&lt;=0, "SIN COMPRA "&amp;+UPPER(TEXT('DINAMICA ENERO 26'!$C$2,"mmm 'yy")), "COMPRADOR"))</f>
        <v>SIN COMPRA FEB '26</v>
      </c>
      <c r="T138" s="101"/>
      <c r="W138" s="73"/>
    </row>
    <row r="139" spans="1:23" s="100" customFormat="1" ht="14">
      <c r="A139" s="88" t="s">
        <v>85</v>
      </c>
      <c r="B139" s="89" t="s">
        <v>204</v>
      </c>
      <c r="C139" s="89" t="s">
        <v>52</v>
      </c>
      <c r="D139" s="103">
        <v>100073888</v>
      </c>
      <c r="E139" s="89" t="s">
        <v>55</v>
      </c>
      <c r="F139" s="89">
        <v>100064228</v>
      </c>
      <c r="G139" s="90" t="s">
        <v>229</v>
      </c>
      <c r="H139" s="91">
        <v>38.4</v>
      </c>
      <c r="I139" s="92">
        <v>9.6</v>
      </c>
      <c r="J139" s="93">
        <v>9.5999999999999979</v>
      </c>
      <c r="K139" s="94">
        <v>4.8</v>
      </c>
      <c r="L139" s="94">
        <v>4.8</v>
      </c>
      <c r="M139" s="94">
        <v>24</v>
      </c>
      <c r="N139" s="102">
        <f t="shared" si="4"/>
        <v>11.200000000000001</v>
      </c>
      <c r="O139" s="97">
        <v>0</v>
      </c>
      <c r="P139" s="92">
        <v>0</v>
      </c>
      <c r="Q139" s="98">
        <f t="shared" si="5"/>
        <v>0</v>
      </c>
      <c r="R139" s="99" t="str">
        <f>+IF(Q139+N139&lt;=0, "NO COMPRADOR", +IF(Q139&lt;=0, "SIN COMPRA "&amp;+UPPER(TEXT('DINAMICA ENERO 26'!$C$2,"mmm 'yy")), "COMPRADOR"))</f>
        <v>SIN COMPRA FEB '26</v>
      </c>
      <c r="T139" s="101"/>
      <c r="W139" s="73"/>
    </row>
    <row r="140" spans="1:23" ht="14">
      <c r="A140" s="88" t="s">
        <v>85</v>
      </c>
      <c r="B140" s="89" t="s">
        <v>204</v>
      </c>
      <c r="C140" s="89" t="s">
        <v>52</v>
      </c>
      <c r="D140" s="103">
        <v>100073888</v>
      </c>
      <c r="E140" s="89" t="s">
        <v>55</v>
      </c>
      <c r="F140" s="89">
        <v>100083588</v>
      </c>
      <c r="G140" s="90" t="s">
        <v>230</v>
      </c>
      <c r="H140" s="91">
        <v>38.4</v>
      </c>
      <c r="I140" s="92">
        <v>100.8</v>
      </c>
      <c r="J140" s="93">
        <v>14.399999999999999</v>
      </c>
      <c r="K140" s="94">
        <v>187.2</v>
      </c>
      <c r="L140" s="94">
        <v>4.7999999999999972</v>
      </c>
      <c r="M140" s="94">
        <v>24</v>
      </c>
      <c r="N140" s="102">
        <f t="shared" si="4"/>
        <v>72</v>
      </c>
      <c r="O140" s="97">
        <v>0</v>
      </c>
      <c r="P140" s="92">
        <v>0</v>
      </c>
      <c r="Q140" s="98">
        <f t="shared" si="5"/>
        <v>0</v>
      </c>
      <c r="R140" s="99" t="str">
        <f>+IF(Q140+N140&lt;=0, "NO COMPRADOR", +IF(Q140&lt;=0, "SIN COMPRA "&amp;+UPPER(TEXT('DINAMICA ENERO 26'!$C$2,"mmm 'yy")), "COMPRADOR"))</f>
        <v>SIN COMPRA FEB '26</v>
      </c>
      <c r="S140" s="100"/>
      <c r="T140" s="101"/>
      <c r="U140" s="100"/>
      <c r="V140" s="100"/>
    </row>
    <row r="141" spans="1:23" s="100" customFormat="1" ht="14">
      <c r="A141" s="88" t="s">
        <v>85</v>
      </c>
      <c r="B141" s="89" t="s">
        <v>204</v>
      </c>
      <c r="C141" s="89" t="s">
        <v>52</v>
      </c>
      <c r="D141" s="103">
        <v>100073888</v>
      </c>
      <c r="E141" s="89" t="s">
        <v>55</v>
      </c>
      <c r="F141" s="89">
        <v>100010576</v>
      </c>
      <c r="G141" s="90" t="s">
        <v>231</v>
      </c>
      <c r="H141" s="91">
        <v>0</v>
      </c>
      <c r="I141" s="92">
        <v>0</v>
      </c>
      <c r="J141" s="93">
        <v>0</v>
      </c>
      <c r="K141" s="94">
        <v>0</v>
      </c>
      <c r="L141" s="94">
        <v>0</v>
      </c>
      <c r="M141" s="94">
        <v>14.399999999999999</v>
      </c>
      <c r="N141" s="102">
        <f t="shared" si="4"/>
        <v>4.8</v>
      </c>
      <c r="O141" s="97">
        <v>0</v>
      </c>
      <c r="P141" s="92">
        <v>0</v>
      </c>
      <c r="Q141" s="98">
        <f t="shared" si="5"/>
        <v>0</v>
      </c>
      <c r="R141" s="99" t="str">
        <f>+IF(Q141+N141&lt;=0, "NO COMPRADOR", +IF(Q141&lt;=0, "SIN COMPRA "&amp;+UPPER(TEXT('DINAMICA ENERO 26'!$C$2,"mmm 'yy")), "COMPRADOR"))</f>
        <v>SIN COMPRA FEB '26</v>
      </c>
      <c r="T141" s="101"/>
      <c r="W141" s="73"/>
    </row>
    <row r="142" spans="1:23" s="100" customFormat="1" ht="14">
      <c r="A142" s="88" t="s">
        <v>85</v>
      </c>
      <c r="B142" s="89" t="s">
        <v>204</v>
      </c>
      <c r="C142" s="89" t="s">
        <v>52</v>
      </c>
      <c r="D142" s="103">
        <v>100073888</v>
      </c>
      <c r="E142" s="89" t="s">
        <v>55</v>
      </c>
      <c r="F142" s="89">
        <v>100002203</v>
      </c>
      <c r="G142" s="90" t="s">
        <v>232</v>
      </c>
      <c r="H142" s="91">
        <v>19.199999999999996</v>
      </c>
      <c r="I142" s="92">
        <v>0</v>
      </c>
      <c r="J142" s="93">
        <v>0</v>
      </c>
      <c r="K142" s="94">
        <v>24</v>
      </c>
      <c r="L142" s="94">
        <v>4.8</v>
      </c>
      <c r="M142" s="94">
        <v>0</v>
      </c>
      <c r="N142" s="102">
        <f t="shared" si="4"/>
        <v>9.6</v>
      </c>
      <c r="O142" s="97">
        <v>0</v>
      </c>
      <c r="P142" s="92">
        <v>0</v>
      </c>
      <c r="Q142" s="98">
        <f t="shared" si="5"/>
        <v>0</v>
      </c>
      <c r="R142" s="99" t="str">
        <f>+IF(Q142+N142&lt;=0, "NO COMPRADOR", +IF(Q142&lt;=0, "SIN COMPRA "&amp;+UPPER(TEXT('DINAMICA ENERO 26'!$C$2,"mmm 'yy")), "COMPRADOR"))</f>
        <v>SIN COMPRA FEB '26</v>
      </c>
      <c r="T142" s="101"/>
      <c r="W142" s="73"/>
    </row>
    <row r="143" spans="1:23" ht="14">
      <c r="A143" s="88" t="s">
        <v>85</v>
      </c>
      <c r="B143" s="89" t="s">
        <v>204</v>
      </c>
      <c r="C143" s="89" t="s">
        <v>52</v>
      </c>
      <c r="D143" s="103">
        <v>100073888</v>
      </c>
      <c r="E143" s="89" t="s">
        <v>55</v>
      </c>
      <c r="F143" s="89">
        <v>100001329</v>
      </c>
      <c r="G143" s="90" t="s">
        <v>233</v>
      </c>
      <c r="H143" s="91">
        <v>0</v>
      </c>
      <c r="I143" s="92">
        <v>0</v>
      </c>
      <c r="J143" s="93">
        <v>0</v>
      </c>
      <c r="K143" s="94">
        <v>0</v>
      </c>
      <c r="L143" s="94">
        <v>0</v>
      </c>
      <c r="M143" s="94">
        <v>0</v>
      </c>
      <c r="N143" s="102">
        <f t="shared" si="4"/>
        <v>0</v>
      </c>
      <c r="O143" s="97">
        <v>0</v>
      </c>
      <c r="P143" s="92">
        <v>0</v>
      </c>
      <c r="Q143" s="98">
        <f t="shared" si="5"/>
        <v>0</v>
      </c>
      <c r="R143" s="99" t="str">
        <f>+IF(Q143+N143&lt;=0, "NO COMPRADOR", +IF(Q143&lt;=0, "SIN COMPRA "&amp;+UPPER(TEXT('DINAMICA ENERO 26'!$C$2,"mmm 'yy")), "COMPRADOR"))</f>
        <v>NO COMPRADOR</v>
      </c>
      <c r="S143" s="100"/>
      <c r="T143" s="101"/>
      <c r="U143" s="100"/>
      <c r="V143" s="100"/>
    </row>
    <row r="144" spans="1:23" ht="14">
      <c r="A144" s="88" t="s">
        <v>85</v>
      </c>
      <c r="B144" s="89" t="s">
        <v>204</v>
      </c>
      <c r="C144" s="89" t="s">
        <v>52</v>
      </c>
      <c r="D144" s="103">
        <v>100073888</v>
      </c>
      <c r="E144" s="89" t="s">
        <v>55</v>
      </c>
      <c r="F144" s="89">
        <v>100077493</v>
      </c>
      <c r="G144" s="90" t="s">
        <v>234</v>
      </c>
      <c r="H144" s="91">
        <v>4.8</v>
      </c>
      <c r="I144" s="92">
        <v>4.8</v>
      </c>
      <c r="J144" s="93">
        <v>-4.8</v>
      </c>
      <c r="K144" s="94">
        <v>0</v>
      </c>
      <c r="L144" s="94">
        <v>9.6</v>
      </c>
      <c r="M144" s="94">
        <v>28.799999999999997</v>
      </c>
      <c r="N144" s="102">
        <f t="shared" si="4"/>
        <v>12.799999999999999</v>
      </c>
      <c r="O144" s="97">
        <v>0</v>
      </c>
      <c r="P144" s="92">
        <v>0</v>
      </c>
      <c r="Q144" s="98">
        <f t="shared" si="5"/>
        <v>0</v>
      </c>
      <c r="R144" s="99" t="str">
        <f>+IF(Q144+N144&lt;=0, "NO COMPRADOR", +IF(Q144&lt;=0, "SIN COMPRA "&amp;+UPPER(TEXT('DINAMICA ENERO 26'!$C$2,"mmm 'yy")), "COMPRADOR"))</f>
        <v>SIN COMPRA FEB '26</v>
      </c>
      <c r="S144" s="100"/>
      <c r="T144" s="101"/>
      <c r="U144" s="100"/>
      <c r="V144" s="100"/>
    </row>
    <row r="145" spans="1:23" ht="14">
      <c r="A145" s="88" t="s">
        <v>85</v>
      </c>
      <c r="B145" s="89" t="s">
        <v>204</v>
      </c>
      <c r="C145" s="89" t="s">
        <v>52</v>
      </c>
      <c r="D145" s="103">
        <v>100073888</v>
      </c>
      <c r="E145" s="89" t="s">
        <v>55</v>
      </c>
      <c r="F145" s="89">
        <v>100084330</v>
      </c>
      <c r="G145" s="90" t="s">
        <v>235</v>
      </c>
      <c r="H145" s="91">
        <v>4.8</v>
      </c>
      <c r="I145" s="92">
        <v>0</v>
      </c>
      <c r="J145" s="93">
        <v>0</v>
      </c>
      <c r="K145" s="94">
        <v>9.6</v>
      </c>
      <c r="L145" s="94">
        <v>0</v>
      </c>
      <c r="M145" s="94">
        <v>0</v>
      </c>
      <c r="N145" s="102">
        <f t="shared" si="4"/>
        <v>3.1999999999999997</v>
      </c>
      <c r="O145" s="97">
        <v>0</v>
      </c>
      <c r="P145" s="92">
        <v>0</v>
      </c>
      <c r="Q145" s="98">
        <f t="shared" si="5"/>
        <v>0</v>
      </c>
      <c r="R145" s="99" t="str">
        <f>+IF(Q145+N145&lt;=0, "NO COMPRADOR", +IF(Q145&lt;=0, "SIN COMPRA "&amp;+UPPER(TEXT('DINAMICA ENERO 26'!$C$2,"mmm 'yy")), "COMPRADOR"))</f>
        <v>SIN COMPRA FEB '26</v>
      </c>
      <c r="S145" s="100"/>
      <c r="T145" s="101"/>
      <c r="U145" s="100"/>
      <c r="V145" s="100"/>
    </row>
    <row r="146" spans="1:23" ht="14">
      <c r="A146" s="88" t="s">
        <v>85</v>
      </c>
      <c r="B146" s="89" t="s">
        <v>236</v>
      </c>
      <c r="C146" s="89" t="s">
        <v>68</v>
      </c>
      <c r="D146" s="103">
        <v>100089354</v>
      </c>
      <c r="E146" s="89" t="s">
        <v>68</v>
      </c>
      <c r="F146" s="89">
        <v>100058447</v>
      </c>
      <c r="G146" s="90" t="s">
        <v>237</v>
      </c>
      <c r="H146" s="91">
        <v>0</v>
      </c>
      <c r="I146" s="92">
        <v>0</v>
      </c>
      <c r="J146" s="93">
        <v>0</v>
      </c>
      <c r="K146" s="94">
        <v>0</v>
      </c>
      <c r="L146" s="94">
        <v>0</v>
      </c>
      <c r="M146" s="94">
        <v>0</v>
      </c>
      <c r="N146" s="102">
        <f t="shared" si="4"/>
        <v>0</v>
      </c>
      <c r="O146" s="97">
        <v>0</v>
      </c>
      <c r="P146" s="92">
        <v>0</v>
      </c>
      <c r="Q146" s="98">
        <f t="shared" si="5"/>
        <v>0</v>
      </c>
      <c r="R146" s="99" t="str">
        <f>+IF(Q146+N146&lt;=0, "NO COMPRADOR", +IF(Q146&lt;=0, "SIN COMPRA "&amp;+UPPER(TEXT('DINAMICA ENERO 26'!$C$2,"mmm 'yy")), "COMPRADOR"))</f>
        <v>NO COMPRADOR</v>
      </c>
      <c r="S146" s="100"/>
      <c r="T146" s="101"/>
      <c r="U146" s="100"/>
      <c r="V146" s="100"/>
    </row>
    <row r="147" spans="1:23" ht="14">
      <c r="A147" s="88" t="s">
        <v>85</v>
      </c>
      <c r="B147" s="89" t="s">
        <v>236</v>
      </c>
      <c r="C147" s="89" t="s">
        <v>68</v>
      </c>
      <c r="D147" s="103">
        <v>100089354</v>
      </c>
      <c r="E147" s="89" t="s">
        <v>68</v>
      </c>
      <c r="F147" s="89">
        <v>100079903</v>
      </c>
      <c r="G147" s="90" t="s">
        <v>238</v>
      </c>
      <c r="H147" s="91">
        <v>0</v>
      </c>
      <c r="I147" s="92">
        <v>0</v>
      </c>
      <c r="J147" s="93">
        <v>0</v>
      </c>
      <c r="K147" s="94">
        <v>0</v>
      </c>
      <c r="L147" s="94">
        <v>0</v>
      </c>
      <c r="M147" s="94">
        <v>0</v>
      </c>
      <c r="N147" s="102">
        <f t="shared" si="4"/>
        <v>0</v>
      </c>
      <c r="O147" s="97">
        <v>0</v>
      </c>
      <c r="P147" s="92">
        <v>0</v>
      </c>
      <c r="Q147" s="98">
        <f t="shared" si="5"/>
        <v>0</v>
      </c>
      <c r="R147" s="99" t="str">
        <f>+IF(Q147+N147&lt;=0, "NO COMPRADOR", +IF(Q147&lt;=0, "SIN COMPRA "&amp;+UPPER(TEXT('DINAMICA ENERO 26'!$C$2,"mmm 'yy")), "COMPRADOR"))</f>
        <v>NO COMPRADOR</v>
      </c>
      <c r="S147" s="100"/>
      <c r="T147" s="101"/>
      <c r="U147" s="100"/>
      <c r="V147" s="100"/>
    </row>
    <row r="148" spans="1:23" s="100" customFormat="1" ht="14">
      <c r="A148" s="88" t="s">
        <v>85</v>
      </c>
      <c r="B148" s="89" t="s">
        <v>236</v>
      </c>
      <c r="C148" s="89" t="s">
        <v>68</v>
      </c>
      <c r="D148" s="103">
        <v>100089354</v>
      </c>
      <c r="E148" s="89" t="s">
        <v>68</v>
      </c>
      <c r="F148" s="89">
        <v>100083681</v>
      </c>
      <c r="G148" s="90" t="s">
        <v>239</v>
      </c>
      <c r="H148" s="91">
        <v>0</v>
      </c>
      <c r="I148" s="92">
        <v>0</v>
      </c>
      <c r="J148" s="93">
        <v>0</v>
      </c>
      <c r="K148" s="94">
        <v>0</v>
      </c>
      <c r="L148" s="94">
        <v>0</v>
      </c>
      <c r="M148" s="94">
        <v>0</v>
      </c>
      <c r="N148" s="102">
        <f t="shared" si="4"/>
        <v>0</v>
      </c>
      <c r="O148" s="97">
        <v>0</v>
      </c>
      <c r="P148" s="92">
        <v>0</v>
      </c>
      <c r="Q148" s="98">
        <f t="shared" si="5"/>
        <v>0</v>
      </c>
      <c r="R148" s="99" t="str">
        <f>+IF(Q148+N148&lt;=0, "NO COMPRADOR", +IF(Q148&lt;=0, "SIN COMPRA "&amp;+UPPER(TEXT('DINAMICA ENERO 26'!$C$2,"mmm 'yy")), "COMPRADOR"))</f>
        <v>NO COMPRADOR</v>
      </c>
      <c r="T148" s="101"/>
      <c r="W148" s="73"/>
    </row>
    <row r="149" spans="1:23" s="100" customFormat="1" ht="14">
      <c r="A149" s="88" t="s">
        <v>85</v>
      </c>
      <c r="B149" s="89" t="s">
        <v>236</v>
      </c>
      <c r="C149" s="89" t="s">
        <v>68</v>
      </c>
      <c r="D149" s="103">
        <v>100031199</v>
      </c>
      <c r="E149" s="89" t="s">
        <v>69</v>
      </c>
      <c r="F149" s="89">
        <v>100088905</v>
      </c>
      <c r="G149" s="90" t="s">
        <v>240</v>
      </c>
      <c r="H149" s="91">
        <v>0</v>
      </c>
      <c r="I149" s="92">
        <v>0</v>
      </c>
      <c r="J149" s="93">
        <v>0</v>
      </c>
      <c r="K149" s="94">
        <v>0</v>
      </c>
      <c r="L149" s="94">
        <v>0</v>
      </c>
      <c r="M149" s="94">
        <v>0</v>
      </c>
      <c r="N149" s="102">
        <f t="shared" si="4"/>
        <v>0</v>
      </c>
      <c r="O149" s="97">
        <v>0</v>
      </c>
      <c r="P149" s="92">
        <v>0</v>
      </c>
      <c r="Q149" s="98">
        <f t="shared" si="5"/>
        <v>0</v>
      </c>
      <c r="R149" s="99" t="str">
        <f>+IF(Q149+N149&lt;=0, "NO COMPRADOR", +IF(Q149&lt;=0, "SIN COMPRA "&amp;+UPPER(TEXT('DINAMICA ENERO 26'!$C$2,"mmm 'yy")), "COMPRADOR"))</f>
        <v>NO COMPRADOR</v>
      </c>
      <c r="T149" s="101"/>
      <c r="W149" s="73"/>
    </row>
    <row r="150" spans="1:23" s="100" customFormat="1" ht="14">
      <c r="A150" s="88" t="s">
        <v>85</v>
      </c>
      <c r="B150" s="89" t="s">
        <v>236</v>
      </c>
      <c r="C150" s="89" t="s">
        <v>68</v>
      </c>
      <c r="D150" s="103">
        <v>100031199</v>
      </c>
      <c r="E150" s="89" t="s">
        <v>69</v>
      </c>
      <c r="F150" s="89">
        <v>100087340</v>
      </c>
      <c r="G150" s="90" t="s">
        <v>241</v>
      </c>
      <c r="H150" s="91">
        <v>0</v>
      </c>
      <c r="I150" s="92">
        <v>0</v>
      </c>
      <c r="J150" s="93">
        <v>0</v>
      </c>
      <c r="K150" s="94">
        <v>0</v>
      </c>
      <c r="L150" s="94">
        <v>0</v>
      </c>
      <c r="M150" s="94">
        <v>0</v>
      </c>
      <c r="N150" s="102">
        <f t="shared" si="4"/>
        <v>0</v>
      </c>
      <c r="O150" s="97">
        <v>0</v>
      </c>
      <c r="P150" s="92">
        <v>0</v>
      </c>
      <c r="Q150" s="98">
        <f t="shared" si="5"/>
        <v>0</v>
      </c>
      <c r="R150" s="99" t="str">
        <f>+IF(Q150+N150&lt;=0, "NO COMPRADOR", +IF(Q150&lt;=0, "SIN COMPRA "&amp;+UPPER(TEXT('DINAMICA ENERO 26'!$C$2,"mmm 'yy")), "COMPRADOR"))</f>
        <v>NO COMPRADOR</v>
      </c>
      <c r="T150" s="101"/>
      <c r="W150" s="73"/>
    </row>
    <row r="151" spans="1:23" s="100" customFormat="1" ht="14">
      <c r="A151" s="88" t="s">
        <v>85</v>
      </c>
      <c r="B151" s="89" t="s">
        <v>236</v>
      </c>
      <c r="C151" s="89" t="s">
        <v>68</v>
      </c>
      <c r="D151" s="103">
        <v>100031199</v>
      </c>
      <c r="E151" s="89" t="s">
        <v>69</v>
      </c>
      <c r="F151" s="89">
        <v>100087098</v>
      </c>
      <c r="G151" s="90" t="s">
        <v>242</v>
      </c>
      <c r="H151" s="91">
        <v>0</v>
      </c>
      <c r="I151" s="92">
        <v>0</v>
      </c>
      <c r="J151" s="93">
        <v>0</v>
      </c>
      <c r="K151" s="94">
        <v>0</v>
      </c>
      <c r="L151" s="94">
        <v>0</v>
      </c>
      <c r="M151" s="94">
        <v>0</v>
      </c>
      <c r="N151" s="102">
        <f t="shared" si="4"/>
        <v>0</v>
      </c>
      <c r="O151" s="97">
        <v>0</v>
      </c>
      <c r="P151" s="92">
        <v>0</v>
      </c>
      <c r="Q151" s="98">
        <f t="shared" si="5"/>
        <v>0</v>
      </c>
      <c r="R151" s="99" t="str">
        <f>+IF(Q151+N151&lt;=0, "NO COMPRADOR", +IF(Q151&lt;=0, "SIN COMPRA "&amp;+UPPER(TEXT('DINAMICA ENERO 26'!$C$2,"mmm 'yy")), "COMPRADOR"))</f>
        <v>NO COMPRADOR</v>
      </c>
      <c r="T151" s="101"/>
      <c r="W151" s="73"/>
    </row>
    <row r="152" spans="1:23" ht="14">
      <c r="A152" s="88" t="s">
        <v>85</v>
      </c>
      <c r="B152" s="89" t="s">
        <v>236</v>
      </c>
      <c r="C152" s="89" t="s">
        <v>68</v>
      </c>
      <c r="D152" s="103">
        <v>100031199</v>
      </c>
      <c r="E152" s="89" t="s">
        <v>69</v>
      </c>
      <c r="F152" s="89">
        <v>100085167</v>
      </c>
      <c r="G152" s="90" t="s">
        <v>243</v>
      </c>
      <c r="H152" s="91">
        <v>0</v>
      </c>
      <c r="I152" s="92">
        <v>0</v>
      </c>
      <c r="J152" s="93">
        <v>0</v>
      </c>
      <c r="K152" s="94">
        <v>0</v>
      </c>
      <c r="L152" s="94">
        <v>0</v>
      </c>
      <c r="M152" s="94">
        <v>0</v>
      </c>
      <c r="N152" s="102">
        <f t="shared" si="4"/>
        <v>0</v>
      </c>
      <c r="O152" s="97">
        <v>0</v>
      </c>
      <c r="P152" s="92">
        <v>0</v>
      </c>
      <c r="Q152" s="98">
        <f t="shared" si="5"/>
        <v>0</v>
      </c>
      <c r="R152" s="99" t="str">
        <f>+IF(Q152+N152&lt;=0, "NO COMPRADOR", +IF(Q152&lt;=0, "SIN COMPRA "&amp;+UPPER(TEXT('DINAMICA ENERO 26'!$C$2,"mmm 'yy")), "COMPRADOR"))</f>
        <v>NO COMPRADOR</v>
      </c>
      <c r="S152" s="100"/>
      <c r="T152" s="101"/>
      <c r="U152" s="100"/>
      <c r="V152" s="100"/>
    </row>
    <row r="153" spans="1:23" ht="14">
      <c r="A153" s="88" t="s">
        <v>85</v>
      </c>
      <c r="B153" s="89" t="s">
        <v>236</v>
      </c>
      <c r="C153" s="89" t="s">
        <v>68</v>
      </c>
      <c r="D153" s="103">
        <v>100031199</v>
      </c>
      <c r="E153" s="89" t="s">
        <v>69</v>
      </c>
      <c r="F153" s="89">
        <v>100085481</v>
      </c>
      <c r="G153" s="90" t="s">
        <v>244</v>
      </c>
      <c r="H153" s="91">
        <v>0</v>
      </c>
      <c r="I153" s="92">
        <v>0</v>
      </c>
      <c r="J153" s="93">
        <v>0</v>
      </c>
      <c r="K153" s="94">
        <v>0</v>
      </c>
      <c r="L153" s="94">
        <v>0</v>
      </c>
      <c r="M153" s="94">
        <v>0</v>
      </c>
      <c r="N153" s="102">
        <f t="shared" si="4"/>
        <v>0</v>
      </c>
      <c r="O153" s="97">
        <v>0</v>
      </c>
      <c r="P153" s="92">
        <v>0</v>
      </c>
      <c r="Q153" s="98">
        <f t="shared" si="5"/>
        <v>0</v>
      </c>
      <c r="R153" s="99" t="str">
        <f>+IF(Q153+N153&lt;=0, "NO COMPRADOR", +IF(Q153&lt;=0, "SIN COMPRA "&amp;+UPPER(TEXT('DINAMICA ENERO 26'!$C$2,"mmm 'yy")), "COMPRADOR"))</f>
        <v>NO COMPRADOR</v>
      </c>
      <c r="S153" s="100"/>
      <c r="T153" s="101"/>
      <c r="U153" s="100"/>
      <c r="V153" s="100"/>
    </row>
    <row r="154" spans="1:23" ht="14">
      <c r="A154" s="88" t="s">
        <v>85</v>
      </c>
      <c r="B154" s="89" t="s">
        <v>236</v>
      </c>
      <c r="C154" s="89" t="s">
        <v>68</v>
      </c>
      <c r="D154" s="103">
        <v>100031199</v>
      </c>
      <c r="E154" s="89" t="s">
        <v>69</v>
      </c>
      <c r="F154" s="89">
        <v>100008613</v>
      </c>
      <c r="G154" s="90" t="s">
        <v>245</v>
      </c>
      <c r="H154" s="91">
        <v>0</v>
      </c>
      <c r="I154" s="92">
        <v>0</v>
      </c>
      <c r="J154" s="93">
        <v>0</v>
      </c>
      <c r="K154" s="94">
        <v>0</v>
      </c>
      <c r="L154" s="94">
        <v>0</v>
      </c>
      <c r="M154" s="94">
        <v>0</v>
      </c>
      <c r="N154" s="102">
        <f t="shared" si="4"/>
        <v>0</v>
      </c>
      <c r="O154" s="97">
        <v>0</v>
      </c>
      <c r="P154" s="92">
        <v>0</v>
      </c>
      <c r="Q154" s="98">
        <v>0</v>
      </c>
      <c r="R154" s="99" t="str">
        <f>+IF(Q154+N154&lt;=0, "NO COMPRADOR", +IF(Q154&lt;=0, "SIN COMPRA "&amp;+UPPER(TEXT('DINAMICA ENERO 26'!$C$2,"mmm 'yy")), "COMPRADOR"))</f>
        <v>NO COMPRADOR</v>
      </c>
      <c r="S154" s="100"/>
      <c r="T154" s="101"/>
      <c r="U154" s="100"/>
      <c r="V154" s="100"/>
    </row>
    <row r="155" spans="1:23" ht="14">
      <c r="A155" s="88" t="s">
        <v>85</v>
      </c>
      <c r="B155" s="89" t="s">
        <v>236</v>
      </c>
      <c r="C155" s="89" t="s">
        <v>68</v>
      </c>
      <c r="D155" s="103">
        <v>100031199</v>
      </c>
      <c r="E155" s="89" t="s">
        <v>69</v>
      </c>
      <c r="F155" s="89">
        <v>100002250</v>
      </c>
      <c r="G155" s="90" t="s">
        <v>246</v>
      </c>
      <c r="H155" s="91">
        <v>0</v>
      </c>
      <c r="I155" s="92">
        <v>0</v>
      </c>
      <c r="J155" s="93">
        <v>0</v>
      </c>
      <c r="K155" s="94">
        <v>0</v>
      </c>
      <c r="L155" s="94">
        <v>57.599999999999994</v>
      </c>
      <c r="M155" s="94">
        <v>0</v>
      </c>
      <c r="N155" s="102">
        <f t="shared" si="4"/>
        <v>19.2</v>
      </c>
      <c r="O155" s="97">
        <v>0</v>
      </c>
      <c r="P155" s="92">
        <v>0</v>
      </c>
      <c r="Q155" s="98">
        <f t="shared" ref="Q155:Q218" si="6">+O155+P155</f>
        <v>0</v>
      </c>
      <c r="R155" s="99" t="str">
        <f>+IF(Q155+N155&lt;=0, "NO COMPRADOR", +IF(Q155&lt;=0, "SIN COMPRA "&amp;+UPPER(TEXT('DINAMICA ENERO 26'!$C$2,"mmm 'yy")), "COMPRADOR"))</f>
        <v>SIN COMPRA FEB '26</v>
      </c>
      <c r="S155" s="100"/>
      <c r="T155" s="101"/>
      <c r="U155" s="100"/>
      <c r="V155" s="100"/>
    </row>
    <row r="156" spans="1:23" s="100" customFormat="1" ht="14">
      <c r="A156" s="88" t="s">
        <v>85</v>
      </c>
      <c r="B156" s="89" t="s">
        <v>236</v>
      </c>
      <c r="C156" s="89" t="s">
        <v>68</v>
      </c>
      <c r="D156" s="103">
        <v>100031199</v>
      </c>
      <c r="E156" s="89" t="s">
        <v>69</v>
      </c>
      <c r="F156" s="89">
        <v>100002229</v>
      </c>
      <c r="G156" s="90" t="s">
        <v>247</v>
      </c>
      <c r="H156" s="91">
        <v>0</v>
      </c>
      <c r="I156" s="92">
        <v>0</v>
      </c>
      <c r="J156" s="93">
        <v>0</v>
      </c>
      <c r="K156" s="94">
        <v>0</v>
      </c>
      <c r="L156" s="94">
        <v>0</v>
      </c>
      <c r="M156" s="94">
        <v>0</v>
      </c>
      <c r="N156" s="102">
        <f t="shared" si="4"/>
        <v>0</v>
      </c>
      <c r="O156" s="97">
        <v>0</v>
      </c>
      <c r="P156" s="92">
        <v>0</v>
      </c>
      <c r="Q156" s="98">
        <f t="shared" si="6"/>
        <v>0</v>
      </c>
      <c r="R156" s="99" t="str">
        <f>+IF(Q156+N156&lt;=0, "NO COMPRADOR", +IF(Q156&lt;=0, "SIN COMPRA "&amp;+UPPER(TEXT('DINAMICA ENERO 26'!$C$2,"mmm 'yy")), "COMPRADOR"))</f>
        <v>NO COMPRADOR</v>
      </c>
      <c r="T156" s="101"/>
      <c r="W156" s="73"/>
    </row>
    <row r="157" spans="1:23" s="100" customFormat="1" ht="14">
      <c r="A157" s="88" t="s">
        <v>85</v>
      </c>
      <c r="B157" s="89" t="s">
        <v>236</v>
      </c>
      <c r="C157" s="89" t="s">
        <v>68</v>
      </c>
      <c r="D157" s="103">
        <v>100031199</v>
      </c>
      <c r="E157" s="89" t="s">
        <v>69</v>
      </c>
      <c r="F157" s="89">
        <v>100022327</v>
      </c>
      <c r="G157" s="90" t="s">
        <v>248</v>
      </c>
      <c r="H157" s="91">
        <v>0</v>
      </c>
      <c r="I157" s="92">
        <v>0</v>
      </c>
      <c r="J157" s="93">
        <v>0</v>
      </c>
      <c r="K157" s="94">
        <v>0</v>
      </c>
      <c r="L157" s="94">
        <v>0</v>
      </c>
      <c r="M157" s="94">
        <v>0</v>
      </c>
      <c r="N157" s="102">
        <f t="shared" si="4"/>
        <v>0</v>
      </c>
      <c r="O157" s="97">
        <v>0</v>
      </c>
      <c r="P157" s="92">
        <v>0</v>
      </c>
      <c r="Q157" s="98">
        <f t="shared" si="6"/>
        <v>0</v>
      </c>
      <c r="R157" s="99" t="str">
        <f>+IF(Q157+N157&lt;=0, "NO COMPRADOR", +IF(Q157&lt;=0, "SIN COMPRA "&amp;+UPPER(TEXT('DINAMICA ENERO 26'!$C$2,"mmm 'yy")), "COMPRADOR"))</f>
        <v>NO COMPRADOR</v>
      </c>
      <c r="T157" s="101"/>
      <c r="W157" s="73"/>
    </row>
    <row r="158" spans="1:23" s="100" customFormat="1" ht="14">
      <c r="A158" s="88" t="s">
        <v>85</v>
      </c>
      <c r="B158" s="89" t="s">
        <v>236</v>
      </c>
      <c r="C158" s="89" t="s">
        <v>68</v>
      </c>
      <c r="D158" s="103">
        <v>100031199</v>
      </c>
      <c r="E158" s="89" t="s">
        <v>69</v>
      </c>
      <c r="F158" s="89">
        <v>100002225</v>
      </c>
      <c r="G158" s="90" t="s">
        <v>249</v>
      </c>
      <c r="H158" s="91">
        <v>0</v>
      </c>
      <c r="I158" s="92">
        <v>0</v>
      </c>
      <c r="J158" s="93">
        <v>0</v>
      </c>
      <c r="K158" s="94">
        <v>0</v>
      </c>
      <c r="L158" s="94">
        <v>0</v>
      </c>
      <c r="M158" s="94">
        <v>0</v>
      </c>
      <c r="N158" s="102">
        <f t="shared" si="4"/>
        <v>0</v>
      </c>
      <c r="O158" s="97">
        <v>0</v>
      </c>
      <c r="P158" s="92">
        <v>0</v>
      </c>
      <c r="Q158" s="98">
        <f t="shared" si="6"/>
        <v>0</v>
      </c>
      <c r="R158" s="99" t="str">
        <f>+IF(Q158+N158&lt;=0, "NO COMPRADOR", +IF(Q158&lt;=0, "SIN COMPRA "&amp;+UPPER(TEXT('DINAMICA ENERO 26'!$C$2,"mmm 'yy")), "COMPRADOR"))</f>
        <v>NO COMPRADOR</v>
      </c>
      <c r="T158" s="101"/>
      <c r="W158" s="73"/>
    </row>
    <row r="159" spans="1:23" ht="14">
      <c r="A159" s="88" t="s">
        <v>85</v>
      </c>
      <c r="B159" s="89" t="s">
        <v>236</v>
      </c>
      <c r="C159" s="89" t="s">
        <v>68</v>
      </c>
      <c r="D159" s="103">
        <v>100031199</v>
      </c>
      <c r="E159" s="89" t="s">
        <v>69</v>
      </c>
      <c r="F159" s="89">
        <v>100071477</v>
      </c>
      <c r="G159" s="90" t="s">
        <v>250</v>
      </c>
      <c r="H159" s="91">
        <v>0</v>
      </c>
      <c r="I159" s="92">
        <v>0</v>
      </c>
      <c r="J159" s="93">
        <v>0</v>
      </c>
      <c r="K159" s="94">
        <v>0</v>
      </c>
      <c r="L159" s="94">
        <v>0</v>
      </c>
      <c r="M159" s="94">
        <v>0</v>
      </c>
      <c r="N159" s="102">
        <f t="shared" si="4"/>
        <v>0</v>
      </c>
      <c r="O159" s="97">
        <v>0</v>
      </c>
      <c r="P159" s="92">
        <v>0</v>
      </c>
      <c r="Q159" s="98">
        <f t="shared" si="6"/>
        <v>0</v>
      </c>
      <c r="R159" s="99" t="str">
        <f>+IF(Q159+N159&lt;=0, "NO COMPRADOR", +IF(Q159&lt;=0, "SIN COMPRA "&amp;+UPPER(TEXT('DINAMICA ENERO 26'!$C$2,"mmm 'yy")), "COMPRADOR"))</f>
        <v>NO COMPRADOR</v>
      </c>
      <c r="S159" s="100"/>
      <c r="T159" s="101"/>
      <c r="U159" s="100"/>
      <c r="V159" s="100"/>
    </row>
    <row r="160" spans="1:23" s="100" customFormat="1" ht="14">
      <c r="A160" s="88" t="s">
        <v>85</v>
      </c>
      <c r="B160" s="89" t="s">
        <v>236</v>
      </c>
      <c r="C160" s="89" t="s">
        <v>68</v>
      </c>
      <c r="D160" s="103">
        <v>100031199</v>
      </c>
      <c r="E160" s="89" t="s">
        <v>69</v>
      </c>
      <c r="F160" s="89">
        <v>100073868</v>
      </c>
      <c r="G160" s="90" t="s">
        <v>251</v>
      </c>
      <c r="H160" s="91">
        <v>0</v>
      </c>
      <c r="I160" s="92">
        <v>0</v>
      </c>
      <c r="J160" s="93">
        <v>0</v>
      </c>
      <c r="K160" s="94">
        <v>0</v>
      </c>
      <c r="L160" s="94">
        <v>0</v>
      </c>
      <c r="M160" s="94">
        <v>0</v>
      </c>
      <c r="N160" s="102">
        <f t="shared" si="4"/>
        <v>0</v>
      </c>
      <c r="O160" s="97">
        <v>0</v>
      </c>
      <c r="P160" s="92">
        <v>0</v>
      </c>
      <c r="Q160" s="98">
        <f t="shared" si="6"/>
        <v>0</v>
      </c>
      <c r="R160" s="99" t="str">
        <f>+IF(Q160+N160&lt;=0, "NO COMPRADOR", +IF(Q160&lt;=0, "SIN COMPRA "&amp;+UPPER(TEXT('DINAMICA ENERO 26'!$C$2,"mmm 'yy")), "COMPRADOR"))</f>
        <v>NO COMPRADOR</v>
      </c>
      <c r="T160" s="101"/>
      <c r="W160" s="73"/>
    </row>
    <row r="161" spans="1:23" ht="14">
      <c r="A161" s="88" t="s">
        <v>85</v>
      </c>
      <c r="B161" s="89" t="s">
        <v>236</v>
      </c>
      <c r="C161" s="89" t="s">
        <v>68</v>
      </c>
      <c r="D161" s="103">
        <v>100031199</v>
      </c>
      <c r="E161" s="89" t="s">
        <v>69</v>
      </c>
      <c r="F161" s="89">
        <v>100040021</v>
      </c>
      <c r="G161" s="90" t="s">
        <v>252</v>
      </c>
      <c r="H161" s="91">
        <v>0</v>
      </c>
      <c r="I161" s="92">
        <v>0</v>
      </c>
      <c r="J161" s="93">
        <v>0</v>
      </c>
      <c r="K161" s="94">
        <v>0</v>
      </c>
      <c r="L161" s="94">
        <v>0</v>
      </c>
      <c r="M161" s="94">
        <v>0</v>
      </c>
      <c r="N161" s="102">
        <f t="shared" si="4"/>
        <v>0</v>
      </c>
      <c r="O161" s="97">
        <v>0</v>
      </c>
      <c r="P161" s="92">
        <v>0</v>
      </c>
      <c r="Q161" s="98">
        <f t="shared" si="6"/>
        <v>0</v>
      </c>
      <c r="R161" s="99" t="str">
        <f>+IF(Q161+N161&lt;=0, "NO COMPRADOR", +IF(Q161&lt;=0, "SIN COMPRA "&amp;+UPPER(TEXT('DINAMICA ENERO 26'!$C$2,"mmm 'yy")), "COMPRADOR"))</f>
        <v>NO COMPRADOR</v>
      </c>
      <c r="S161" s="100"/>
      <c r="T161" s="101"/>
      <c r="U161" s="100"/>
      <c r="V161" s="100"/>
    </row>
    <row r="162" spans="1:23" s="100" customFormat="1" ht="14">
      <c r="A162" s="88" t="s">
        <v>85</v>
      </c>
      <c r="B162" s="89" t="s">
        <v>236</v>
      </c>
      <c r="C162" s="89" t="s">
        <v>68</v>
      </c>
      <c r="D162" s="103">
        <v>100031199</v>
      </c>
      <c r="E162" s="89" t="s">
        <v>69</v>
      </c>
      <c r="F162" s="89">
        <v>100019451</v>
      </c>
      <c r="G162" s="90" t="s">
        <v>253</v>
      </c>
      <c r="H162" s="91">
        <v>28.799999999999997</v>
      </c>
      <c r="I162" s="92">
        <v>9.6</v>
      </c>
      <c r="J162" s="93">
        <v>14.399999999999999</v>
      </c>
      <c r="K162" s="94">
        <v>0</v>
      </c>
      <c r="L162" s="94">
        <v>48</v>
      </c>
      <c r="M162" s="94">
        <v>0</v>
      </c>
      <c r="N162" s="102">
        <f t="shared" si="4"/>
        <v>16</v>
      </c>
      <c r="O162" s="97">
        <v>0</v>
      </c>
      <c r="P162" s="92">
        <v>0</v>
      </c>
      <c r="Q162" s="98">
        <f t="shared" si="6"/>
        <v>0</v>
      </c>
      <c r="R162" s="99" t="str">
        <f>+IF(Q162+N162&lt;=0, "NO COMPRADOR", +IF(Q162&lt;=0, "SIN COMPRA "&amp;+UPPER(TEXT('DINAMICA ENERO 26'!$C$2,"mmm 'yy")), "COMPRADOR"))</f>
        <v>SIN COMPRA FEB '26</v>
      </c>
      <c r="T162" s="101"/>
      <c r="W162" s="73"/>
    </row>
    <row r="163" spans="1:23" ht="14">
      <c r="A163" s="88" t="s">
        <v>85</v>
      </c>
      <c r="B163" s="89" t="s">
        <v>236</v>
      </c>
      <c r="C163" s="89" t="s">
        <v>68</v>
      </c>
      <c r="D163" s="103">
        <v>100031199</v>
      </c>
      <c r="E163" s="89" t="s">
        <v>69</v>
      </c>
      <c r="F163" s="89">
        <v>100066048</v>
      </c>
      <c r="G163" s="90" t="s">
        <v>254</v>
      </c>
      <c r="H163" s="91">
        <v>0</v>
      </c>
      <c r="I163" s="92">
        <v>0</v>
      </c>
      <c r="J163" s="93">
        <v>0</v>
      </c>
      <c r="K163" s="94">
        <v>0</v>
      </c>
      <c r="L163" s="94">
        <v>0</v>
      </c>
      <c r="M163" s="94">
        <v>0</v>
      </c>
      <c r="N163" s="102">
        <f t="shared" si="4"/>
        <v>0</v>
      </c>
      <c r="O163" s="97">
        <v>48</v>
      </c>
      <c r="P163" s="92">
        <v>0</v>
      </c>
      <c r="Q163" s="98">
        <f t="shared" si="6"/>
        <v>48</v>
      </c>
      <c r="R163" s="99" t="str">
        <f>+IF(Q163+N163&lt;=0, "NO COMPRADOR", +IF(Q163&lt;=0, "SIN COMPRA "&amp;+UPPER(TEXT('DINAMICA ENERO 26'!$C$2,"mmm 'yy")), "COMPRADOR"))</f>
        <v>COMPRADOR</v>
      </c>
      <c r="S163" s="100"/>
      <c r="T163" s="101"/>
      <c r="U163" s="100"/>
      <c r="V163" s="100"/>
    </row>
    <row r="164" spans="1:23" s="100" customFormat="1" ht="14">
      <c r="A164" s="88" t="s">
        <v>85</v>
      </c>
      <c r="B164" s="89" t="s">
        <v>236</v>
      </c>
      <c r="C164" s="89" t="s">
        <v>68</v>
      </c>
      <c r="D164" s="103">
        <v>100031199</v>
      </c>
      <c r="E164" s="89" t="s">
        <v>69</v>
      </c>
      <c r="F164" s="89">
        <v>100086078</v>
      </c>
      <c r="G164" s="90" t="s">
        <v>255</v>
      </c>
      <c r="H164" s="91">
        <v>0</v>
      </c>
      <c r="I164" s="92">
        <v>0</v>
      </c>
      <c r="J164" s="93">
        <v>0</v>
      </c>
      <c r="K164" s="94">
        <v>0</v>
      </c>
      <c r="L164" s="94">
        <v>0</v>
      </c>
      <c r="M164" s="94">
        <v>0</v>
      </c>
      <c r="N164" s="102">
        <f t="shared" si="4"/>
        <v>0</v>
      </c>
      <c r="O164" s="97">
        <v>0</v>
      </c>
      <c r="P164" s="92">
        <v>0</v>
      </c>
      <c r="Q164" s="98">
        <f t="shared" si="6"/>
        <v>0</v>
      </c>
      <c r="R164" s="99" t="str">
        <f>+IF(Q164+N164&lt;=0, "NO COMPRADOR", +IF(Q164&lt;=0, "SIN COMPRA "&amp;+UPPER(TEXT('DINAMICA ENERO 26'!$C$2,"mmm 'yy")), "COMPRADOR"))</f>
        <v>NO COMPRADOR</v>
      </c>
      <c r="T164" s="101"/>
      <c r="W164" s="73"/>
    </row>
    <row r="165" spans="1:23" s="100" customFormat="1" ht="14">
      <c r="A165" s="88" t="s">
        <v>85</v>
      </c>
      <c r="B165" s="89" t="s">
        <v>236</v>
      </c>
      <c r="C165" s="89" t="s">
        <v>68</v>
      </c>
      <c r="D165" s="103">
        <v>100031199</v>
      </c>
      <c r="E165" s="89" t="s">
        <v>69</v>
      </c>
      <c r="F165" s="89">
        <v>100089860</v>
      </c>
      <c r="G165" s="90" t="s">
        <v>256</v>
      </c>
      <c r="H165" s="91">
        <v>0</v>
      </c>
      <c r="I165" s="92">
        <v>0</v>
      </c>
      <c r="J165" s="93">
        <v>0</v>
      </c>
      <c r="K165" s="94">
        <v>0</v>
      </c>
      <c r="L165" s="94">
        <v>0</v>
      </c>
      <c r="M165" s="94">
        <v>0</v>
      </c>
      <c r="N165" s="102">
        <f t="shared" si="4"/>
        <v>0</v>
      </c>
      <c r="O165" s="97">
        <v>0</v>
      </c>
      <c r="P165" s="92">
        <v>0</v>
      </c>
      <c r="Q165" s="98">
        <f t="shared" si="6"/>
        <v>0</v>
      </c>
      <c r="R165" s="99" t="str">
        <f>+IF(Q165+N165&lt;=0, "NO COMPRADOR", +IF(Q165&lt;=0, "SIN COMPRA "&amp;+UPPER(TEXT('DINAMICA ENERO 26'!$C$2,"mmm 'yy")), "COMPRADOR"))</f>
        <v>NO COMPRADOR</v>
      </c>
      <c r="T165" s="101"/>
      <c r="W165" s="73"/>
    </row>
    <row r="166" spans="1:23" s="100" customFormat="1" ht="14">
      <c r="A166" s="88" t="s">
        <v>85</v>
      </c>
      <c r="B166" s="89" t="s">
        <v>257</v>
      </c>
      <c r="C166" s="89" t="s">
        <v>43</v>
      </c>
      <c r="D166" s="103">
        <v>100088690</v>
      </c>
      <c r="E166" s="89" t="s">
        <v>45</v>
      </c>
      <c r="F166" s="89">
        <v>100080700</v>
      </c>
      <c r="G166" s="90" t="s">
        <v>258</v>
      </c>
      <c r="H166" s="91">
        <v>4.8</v>
      </c>
      <c r="I166" s="92">
        <v>0</v>
      </c>
      <c r="J166" s="93">
        <v>4.8</v>
      </c>
      <c r="K166" s="94">
        <v>0</v>
      </c>
      <c r="L166" s="94">
        <v>4.8</v>
      </c>
      <c r="M166" s="94">
        <v>-4.8</v>
      </c>
      <c r="N166" s="102">
        <f t="shared" si="4"/>
        <v>0</v>
      </c>
      <c r="O166" s="97">
        <v>0</v>
      </c>
      <c r="P166" s="92">
        <v>0</v>
      </c>
      <c r="Q166" s="98">
        <f t="shared" si="6"/>
        <v>0</v>
      </c>
      <c r="R166" s="99" t="str">
        <f>+IF(Q166+N166&lt;=0, "NO COMPRADOR", +IF(Q166&lt;=0, "SIN COMPRA "&amp;+UPPER(TEXT('DINAMICA ENERO 26'!$C$2,"mmm 'yy")), "COMPRADOR"))</f>
        <v>NO COMPRADOR</v>
      </c>
      <c r="T166" s="101"/>
      <c r="W166" s="73"/>
    </row>
    <row r="167" spans="1:23" s="100" customFormat="1" ht="14">
      <c r="A167" s="88" t="s">
        <v>85</v>
      </c>
      <c r="B167" s="89" t="s">
        <v>257</v>
      </c>
      <c r="C167" s="89" t="s">
        <v>43</v>
      </c>
      <c r="D167" s="103">
        <v>100088690</v>
      </c>
      <c r="E167" s="89" t="s">
        <v>45</v>
      </c>
      <c r="F167" s="89">
        <v>100082871</v>
      </c>
      <c r="G167" s="90" t="s">
        <v>259</v>
      </c>
      <c r="H167" s="91">
        <v>24</v>
      </c>
      <c r="I167" s="92">
        <v>24</v>
      </c>
      <c r="J167" s="93">
        <v>9.6</v>
      </c>
      <c r="K167" s="94">
        <v>4.8</v>
      </c>
      <c r="L167" s="94">
        <v>4.8</v>
      </c>
      <c r="M167" s="94">
        <v>0</v>
      </c>
      <c r="N167" s="102">
        <f t="shared" si="4"/>
        <v>3.1999999999999997</v>
      </c>
      <c r="O167" s="97">
        <v>9.6</v>
      </c>
      <c r="P167" s="92">
        <v>0</v>
      </c>
      <c r="Q167" s="98">
        <f t="shared" si="6"/>
        <v>9.6</v>
      </c>
      <c r="R167" s="99" t="str">
        <f>+IF(Q167+N167&lt;=0, "NO COMPRADOR", +IF(Q167&lt;=0, "SIN COMPRA "&amp;+UPPER(TEXT('DINAMICA ENERO 26'!$C$2,"mmm 'yy")), "COMPRADOR"))</f>
        <v>COMPRADOR</v>
      </c>
      <c r="T167" s="101"/>
      <c r="W167" s="73"/>
    </row>
    <row r="168" spans="1:23" s="100" customFormat="1" ht="14">
      <c r="A168" s="88" t="s">
        <v>85</v>
      </c>
      <c r="B168" s="89" t="s">
        <v>257</v>
      </c>
      <c r="C168" s="89" t="s">
        <v>43</v>
      </c>
      <c r="D168" s="103">
        <v>100088690</v>
      </c>
      <c r="E168" s="89" t="s">
        <v>45</v>
      </c>
      <c r="F168" s="89">
        <v>100001500</v>
      </c>
      <c r="G168" s="90" t="s">
        <v>260</v>
      </c>
      <c r="H168" s="91">
        <v>0</v>
      </c>
      <c r="I168" s="92">
        <v>0</v>
      </c>
      <c r="J168" s="93">
        <v>0</v>
      </c>
      <c r="K168" s="94">
        <v>0</v>
      </c>
      <c r="L168" s="94">
        <v>0</v>
      </c>
      <c r="M168" s="94">
        <v>0</v>
      </c>
      <c r="N168" s="102">
        <f t="shared" si="4"/>
        <v>0</v>
      </c>
      <c r="O168" s="97">
        <v>0</v>
      </c>
      <c r="P168" s="92">
        <v>0</v>
      </c>
      <c r="Q168" s="98">
        <f t="shared" si="6"/>
        <v>0</v>
      </c>
      <c r="R168" s="99" t="str">
        <f>+IF(Q168+N168&lt;=0, "NO COMPRADOR", +IF(Q168&lt;=0, "SIN COMPRA "&amp;+UPPER(TEXT('DINAMICA ENERO 26'!$C$2,"mmm 'yy")), "COMPRADOR"))</f>
        <v>NO COMPRADOR</v>
      </c>
      <c r="T168" s="101"/>
      <c r="W168" s="73"/>
    </row>
    <row r="169" spans="1:23" s="100" customFormat="1" ht="14">
      <c r="A169" s="88" t="s">
        <v>85</v>
      </c>
      <c r="B169" s="89" t="s">
        <v>257</v>
      </c>
      <c r="C169" s="89" t="s">
        <v>43</v>
      </c>
      <c r="D169" s="103">
        <v>100088690</v>
      </c>
      <c r="E169" s="89" t="s">
        <v>45</v>
      </c>
      <c r="F169" s="89">
        <v>100026401</v>
      </c>
      <c r="G169" s="90" t="s">
        <v>261</v>
      </c>
      <c r="H169" s="91">
        <v>28.799999999999997</v>
      </c>
      <c r="I169" s="92">
        <v>81.59999999999998</v>
      </c>
      <c r="J169" s="93">
        <v>43.199999999999996</v>
      </c>
      <c r="K169" s="94">
        <v>57.6</v>
      </c>
      <c r="L169" s="94">
        <v>43.199999999999996</v>
      </c>
      <c r="M169" s="94">
        <v>24</v>
      </c>
      <c r="N169" s="102">
        <f t="shared" si="4"/>
        <v>41.6</v>
      </c>
      <c r="O169" s="97">
        <v>4.8</v>
      </c>
      <c r="P169" s="92">
        <v>0</v>
      </c>
      <c r="Q169" s="98">
        <f t="shared" si="6"/>
        <v>4.8</v>
      </c>
      <c r="R169" s="99" t="str">
        <f>+IF(Q169+N169&lt;=0, "NO COMPRADOR", +IF(Q169&lt;=0, "SIN COMPRA "&amp;+UPPER(TEXT('DINAMICA ENERO 26'!$C$2,"mmm 'yy")), "COMPRADOR"))</f>
        <v>COMPRADOR</v>
      </c>
      <c r="T169" s="101"/>
      <c r="W169" s="73"/>
    </row>
    <row r="170" spans="1:23" s="100" customFormat="1" ht="14">
      <c r="A170" s="88" t="s">
        <v>85</v>
      </c>
      <c r="B170" s="89" t="s">
        <v>257</v>
      </c>
      <c r="C170" s="89" t="s">
        <v>43</v>
      </c>
      <c r="D170" s="103">
        <v>100088690</v>
      </c>
      <c r="E170" s="89" t="s">
        <v>45</v>
      </c>
      <c r="F170" s="89">
        <v>100067627</v>
      </c>
      <c r="G170" s="90" t="s">
        <v>262</v>
      </c>
      <c r="H170" s="91">
        <v>76.8</v>
      </c>
      <c r="I170" s="92">
        <v>67.199999999999989</v>
      </c>
      <c r="J170" s="93">
        <v>81.599999999999994</v>
      </c>
      <c r="K170" s="94">
        <v>110.39999999999999</v>
      </c>
      <c r="L170" s="94">
        <v>-9.6000000000000032</v>
      </c>
      <c r="M170" s="94">
        <v>748.80000000000007</v>
      </c>
      <c r="N170" s="102">
        <f t="shared" si="4"/>
        <v>283.2</v>
      </c>
      <c r="O170" s="97">
        <v>734.4</v>
      </c>
      <c r="P170" s="92">
        <v>0</v>
      </c>
      <c r="Q170" s="98">
        <f t="shared" si="6"/>
        <v>734.4</v>
      </c>
      <c r="R170" s="99" t="str">
        <f>+IF(Q170+N170&lt;=0, "NO COMPRADOR", +IF(Q170&lt;=0, "SIN COMPRA "&amp;+UPPER(TEXT('DINAMICA ENERO 26'!$C$2,"mmm 'yy")), "COMPRADOR"))</f>
        <v>COMPRADOR</v>
      </c>
      <c r="T170" s="101"/>
      <c r="W170" s="73"/>
    </row>
    <row r="171" spans="1:23" s="100" customFormat="1" ht="14">
      <c r="A171" s="88" t="s">
        <v>85</v>
      </c>
      <c r="B171" s="89" t="s">
        <v>257</v>
      </c>
      <c r="C171" s="89" t="s">
        <v>43</v>
      </c>
      <c r="D171" s="103">
        <v>100088690</v>
      </c>
      <c r="E171" s="89" t="s">
        <v>45</v>
      </c>
      <c r="F171" s="89">
        <v>100072066</v>
      </c>
      <c r="G171" s="90" t="s">
        <v>263</v>
      </c>
      <c r="H171" s="91">
        <v>24</v>
      </c>
      <c r="I171" s="92">
        <v>24</v>
      </c>
      <c r="J171" s="93">
        <v>19.2</v>
      </c>
      <c r="K171" s="94">
        <v>9.6</v>
      </c>
      <c r="L171" s="94">
        <v>14.399999999999999</v>
      </c>
      <c r="M171" s="94">
        <v>0</v>
      </c>
      <c r="N171" s="102">
        <f t="shared" si="4"/>
        <v>8</v>
      </c>
      <c r="O171" s="97">
        <v>24</v>
      </c>
      <c r="P171" s="92">
        <v>0</v>
      </c>
      <c r="Q171" s="98">
        <f t="shared" si="6"/>
        <v>24</v>
      </c>
      <c r="R171" s="99" t="str">
        <f>+IF(Q171+N171&lt;=0, "NO COMPRADOR", +IF(Q171&lt;=0, "SIN COMPRA "&amp;+UPPER(TEXT('DINAMICA ENERO 26'!$C$2,"mmm 'yy")), "COMPRADOR"))</f>
        <v>COMPRADOR</v>
      </c>
      <c r="T171" s="101"/>
      <c r="W171" s="73"/>
    </row>
    <row r="172" spans="1:23" ht="14">
      <c r="A172" s="88" t="s">
        <v>85</v>
      </c>
      <c r="B172" s="89" t="s">
        <v>257</v>
      </c>
      <c r="C172" s="89" t="s">
        <v>43</v>
      </c>
      <c r="D172" s="103">
        <v>100088690</v>
      </c>
      <c r="E172" s="89" t="s">
        <v>45</v>
      </c>
      <c r="F172" s="89">
        <v>100081814</v>
      </c>
      <c r="G172" s="90" t="s">
        <v>264</v>
      </c>
      <c r="H172" s="91">
        <v>0</v>
      </c>
      <c r="I172" s="92">
        <v>0</v>
      </c>
      <c r="J172" s="93">
        <v>0</v>
      </c>
      <c r="K172" s="94">
        <v>0</v>
      </c>
      <c r="L172" s="94">
        <v>0</v>
      </c>
      <c r="M172" s="94">
        <v>0</v>
      </c>
      <c r="N172" s="102">
        <f t="shared" si="4"/>
        <v>0</v>
      </c>
      <c r="O172" s="97">
        <v>0</v>
      </c>
      <c r="P172" s="92">
        <v>0</v>
      </c>
      <c r="Q172" s="98">
        <f t="shared" si="6"/>
        <v>0</v>
      </c>
      <c r="R172" s="99" t="str">
        <f>+IF(Q172+N172&lt;=0, "NO COMPRADOR", +IF(Q172&lt;=0, "SIN COMPRA "&amp;+UPPER(TEXT('DINAMICA ENERO 26'!$C$2,"mmm 'yy")), "COMPRADOR"))</f>
        <v>NO COMPRADOR</v>
      </c>
      <c r="S172" s="100"/>
      <c r="T172" s="101"/>
      <c r="U172" s="100"/>
      <c r="V172" s="100"/>
    </row>
    <row r="173" spans="1:23" s="100" customFormat="1" ht="14">
      <c r="A173" s="88" t="s">
        <v>85</v>
      </c>
      <c r="B173" s="89" t="s">
        <v>257</v>
      </c>
      <c r="C173" s="89" t="s">
        <v>43</v>
      </c>
      <c r="D173" s="103">
        <v>100088690</v>
      </c>
      <c r="E173" s="89" t="s">
        <v>45</v>
      </c>
      <c r="F173" s="89">
        <v>100072064</v>
      </c>
      <c r="G173" s="90" t="s">
        <v>265</v>
      </c>
      <c r="H173" s="91">
        <v>9.6</v>
      </c>
      <c r="I173" s="92">
        <v>9.6</v>
      </c>
      <c r="J173" s="93">
        <v>28.799999999999997</v>
      </c>
      <c r="K173" s="94">
        <v>9.6</v>
      </c>
      <c r="L173" s="94">
        <v>4.8</v>
      </c>
      <c r="M173" s="94">
        <v>9.6</v>
      </c>
      <c r="N173" s="102">
        <f t="shared" si="4"/>
        <v>8</v>
      </c>
      <c r="O173" s="97">
        <v>14.399999999999999</v>
      </c>
      <c r="P173" s="92">
        <v>0</v>
      </c>
      <c r="Q173" s="98">
        <f t="shared" si="6"/>
        <v>14.399999999999999</v>
      </c>
      <c r="R173" s="99" t="str">
        <f>+IF(Q173+N173&lt;=0, "NO COMPRADOR", +IF(Q173&lt;=0, "SIN COMPRA "&amp;+UPPER(TEXT('DINAMICA ENERO 26'!$C$2,"mmm 'yy")), "COMPRADOR"))</f>
        <v>COMPRADOR</v>
      </c>
      <c r="T173" s="101"/>
      <c r="W173" s="73"/>
    </row>
    <row r="174" spans="1:23" ht="14">
      <c r="A174" s="88" t="s">
        <v>85</v>
      </c>
      <c r="B174" s="89" t="s">
        <v>257</v>
      </c>
      <c r="C174" s="89" t="s">
        <v>43</v>
      </c>
      <c r="D174" s="103">
        <v>100088690</v>
      </c>
      <c r="E174" s="89" t="s">
        <v>45</v>
      </c>
      <c r="F174" s="89">
        <v>100080445</v>
      </c>
      <c r="G174" s="90" t="s">
        <v>266</v>
      </c>
      <c r="H174" s="91">
        <v>0</v>
      </c>
      <c r="I174" s="92">
        <v>-4.8</v>
      </c>
      <c r="J174" s="93">
        <v>4.8</v>
      </c>
      <c r="K174" s="94">
        <v>0</v>
      </c>
      <c r="L174" s="94">
        <v>4.8</v>
      </c>
      <c r="M174" s="94">
        <v>9.6</v>
      </c>
      <c r="N174" s="102">
        <f t="shared" si="4"/>
        <v>4.8</v>
      </c>
      <c r="O174" s="97">
        <v>0</v>
      </c>
      <c r="P174" s="92">
        <v>0</v>
      </c>
      <c r="Q174" s="98">
        <f t="shared" si="6"/>
        <v>0</v>
      </c>
      <c r="R174" s="99" t="str">
        <f>+IF(Q174+N174&lt;=0, "NO COMPRADOR", +IF(Q174&lt;=0, "SIN COMPRA "&amp;+UPPER(TEXT('DINAMICA ENERO 26'!$C$2,"mmm 'yy")), "COMPRADOR"))</f>
        <v>SIN COMPRA FEB '26</v>
      </c>
      <c r="S174" s="100"/>
      <c r="T174" s="101"/>
      <c r="U174" s="100"/>
      <c r="V174" s="100"/>
    </row>
    <row r="175" spans="1:23" s="100" customFormat="1" ht="14">
      <c r="A175" s="88" t="s">
        <v>85</v>
      </c>
      <c r="B175" s="89" t="s">
        <v>257</v>
      </c>
      <c r="C175" s="89" t="s">
        <v>43</v>
      </c>
      <c r="D175" s="103">
        <v>100088690</v>
      </c>
      <c r="E175" s="89" t="s">
        <v>45</v>
      </c>
      <c r="F175" s="89">
        <v>100018910</v>
      </c>
      <c r="G175" s="90" t="s">
        <v>267</v>
      </c>
      <c r="H175" s="91">
        <v>4.8</v>
      </c>
      <c r="I175" s="92">
        <v>4.8</v>
      </c>
      <c r="J175" s="93">
        <v>14.399999999999999</v>
      </c>
      <c r="K175" s="94">
        <v>24</v>
      </c>
      <c r="L175" s="94">
        <v>9.6</v>
      </c>
      <c r="M175" s="94">
        <v>4.8</v>
      </c>
      <c r="N175" s="102">
        <f t="shared" si="4"/>
        <v>12.799999999999999</v>
      </c>
      <c r="O175" s="97">
        <v>0</v>
      </c>
      <c r="P175" s="92">
        <v>0</v>
      </c>
      <c r="Q175" s="98">
        <f t="shared" si="6"/>
        <v>0</v>
      </c>
      <c r="R175" s="99" t="str">
        <f>+IF(Q175+N175&lt;=0, "NO COMPRADOR", +IF(Q175&lt;=0, "SIN COMPRA "&amp;+UPPER(TEXT('DINAMICA ENERO 26'!$C$2,"mmm 'yy")), "COMPRADOR"))</f>
        <v>SIN COMPRA FEB '26</v>
      </c>
      <c r="T175" s="101"/>
      <c r="W175" s="73"/>
    </row>
    <row r="176" spans="1:23" s="100" customFormat="1" ht="14">
      <c r="A176" s="88" t="s">
        <v>85</v>
      </c>
      <c r="B176" s="89" t="s">
        <v>257</v>
      </c>
      <c r="C176" s="89" t="s">
        <v>43</v>
      </c>
      <c r="D176" s="103">
        <v>100088690</v>
      </c>
      <c r="E176" s="89" t="s">
        <v>45</v>
      </c>
      <c r="F176" s="89">
        <v>100072065</v>
      </c>
      <c r="G176" s="90" t="s">
        <v>268</v>
      </c>
      <c r="H176" s="91">
        <v>38.4</v>
      </c>
      <c r="I176" s="92">
        <v>48</v>
      </c>
      <c r="J176" s="93">
        <v>24</v>
      </c>
      <c r="K176" s="94">
        <v>144</v>
      </c>
      <c r="L176" s="94">
        <v>120</v>
      </c>
      <c r="M176" s="94">
        <v>52.8</v>
      </c>
      <c r="N176" s="102">
        <f t="shared" si="4"/>
        <v>105.60000000000001</v>
      </c>
      <c r="O176" s="97">
        <v>96</v>
      </c>
      <c r="P176" s="92">
        <v>0</v>
      </c>
      <c r="Q176" s="98">
        <f t="shared" si="6"/>
        <v>96</v>
      </c>
      <c r="R176" s="99" t="str">
        <f>+IF(Q176+N176&lt;=0, "NO COMPRADOR", +IF(Q176&lt;=0, "SIN COMPRA "&amp;+UPPER(TEXT('DINAMICA ENERO 26'!$C$2,"mmm 'yy")), "COMPRADOR"))</f>
        <v>COMPRADOR</v>
      </c>
      <c r="T176" s="101"/>
      <c r="W176" s="73"/>
    </row>
    <row r="177" spans="1:23" ht="14">
      <c r="A177" s="88" t="s">
        <v>85</v>
      </c>
      <c r="B177" s="89" t="s">
        <v>257</v>
      </c>
      <c r="C177" s="89" t="s">
        <v>43</v>
      </c>
      <c r="D177" s="103">
        <v>100088690</v>
      </c>
      <c r="E177" s="89" t="s">
        <v>45</v>
      </c>
      <c r="F177" s="89">
        <v>100068677</v>
      </c>
      <c r="G177" s="90" t="s">
        <v>269</v>
      </c>
      <c r="H177" s="91">
        <v>0</v>
      </c>
      <c r="I177" s="92">
        <v>0</v>
      </c>
      <c r="J177" s="93">
        <v>0</v>
      </c>
      <c r="K177" s="94">
        <v>0</v>
      </c>
      <c r="L177" s="94">
        <v>0</v>
      </c>
      <c r="M177" s="94">
        <v>0</v>
      </c>
      <c r="N177" s="102">
        <f t="shared" si="4"/>
        <v>0</v>
      </c>
      <c r="O177" s="97">
        <v>0</v>
      </c>
      <c r="P177" s="92">
        <v>0</v>
      </c>
      <c r="Q177" s="98">
        <f t="shared" si="6"/>
        <v>0</v>
      </c>
      <c r="R177" s="99" t="str">
        <f>+IF(Q177+N177&lt;=0, "NO COMPRADOR", +IF(Q177&lt;=0, "SIN COMPRA "&amp;+UPPER(TEXT('DINAMICA ENERO 26'!$C$2,"mmm 'yy")), "COMPRADOR"))</f>
        <v>NO COMPRADOR</v>
      </c>
      <c r="S177" s="100"/>
      <c r="T177" s="101"/>
      <c r="U177" s="100"/>
      <c r="V177" s="100"/>
    </row>
    <row r="178" spans="1:23" ht="14">
      <c r="A178" s="88" t="s">
        <v>85</v>
      </c>
      <c r="B178" s="89" t="s">
        <v>257</v>
      </c>
      <c r="C178" s="89" t="s">
        <v>43</v>
      </c>
      <c r="D178" s="103">
        <v>100088690</v>
      </c>
      <c r="E178" s="89" t="s">
        <v>45</v>
      </c>
      <c r="F178" s="89">
        <v>100017754</v>
      </c>
      <c r="G178" s="90" t="s">
        <v>270</v>
      </c>
      <c r="H178" s="91">
        <v>0</v>
      </c>
      <c r="I178" s="92">
        <v>4.8</v>
      </c>
      <c r="J178" s="93">
        <v>0</v>
      </c>
      <c r="K178" s="94">
        <v>0</v>
      </c>
      <c r="L178" s="94">
        <v>4.8</v>
      </c>
      <c r="M178" s="94">
        <v>0</v>
      </c>
      <c r="N178" s="102">
        <f t="shared" si="4"/>
        <v>1.5999999999999999</v>
      </c>
      <c r="O178" s="97">
        <v>0</v>
      </c>
      <c r="P178" s="92">
        <v>0</v>
      </c>
      <c r="Q178" s="98">
        <f t="shared" si="6"/>
        <v>0</v>
      </c>
      <c r="R178" s="99" t="str">
        <f>+IF(Q178+N178&lt;=0, "NO COMPRADOR", +IF(Q178&lt;=0, "SIN COMPRA "&amp;+UPPER(TEXT('DINAMICA ENERO 26'!$C$2,"mmm 'yy")), "COMPRADOR"))</f>
        <v>SIN COMPRA FEB '26</v>
      </c>
      <c r="S178" s="100"/>
      <c r="T178" s="101"/>
      <c r="U178" s="100"/>
      <c r="V178" s="100"/>
    </row>
    <row r="179" spans="1:23" s="100" customFormat="1" ht="14">
      <c r="A179" s="88" t="s">
        <v>85</v>
      </c>
      <c r="B179" s="89" t="s">
        <v>257</v>
      </c>
      <c r="C179" s="89" t="s">
        <v>43</v>
      </c>
      <c r="D179" s="103">
        <v>100088690</v>
      </c>
      <c r="E179" s="89" t="s">
        <v>45</v>
      </c>
      <c r="F179" s="89">
        <v>100024126</v>
      </c>
      <c r="G179" s="90" t="s">
        <v>271</v>
      </c>
      <c r="H179" s="91">
        <v>4.8</v>
      </c>
      <c r="I179" s="92">
        <v>0</v>
      </c>
      <c r="J179" s="93">
        <v>4.8</v>
      </c>
      <c r="K179" s="94">
        <v>-4.8</v>
      </c>
      <c r="L179" s="94">
        <v>4.8</v>
      </c>
      <c r="M179" s="94">
        <v>4.8</v>
      </c>
      <c r="N179" s="102">
        <f t="shared" si="4"/>
        <v>1.5999999999999999</v>
      </c>
      <c r="O179" s="97">
        <v>0</v>
      </c>
      <c r="P179" s="92">
        <v>0</v>
      </c>
      <c r="Q179" s="98">
        <f t="shared" si="6"/>
        <v>0</v>
      </c>
      <c r="R179" s="99" t="str">
        <f>+IF(Q179+N179&lt;=0, "NO COMPRADOR", +IF(Q179&lt;=0, "SIN COMPRA "&amp;+UPPER(TEXT('DINAMICA ENERO 26'!$C$2,"mmm 'yy")), "COMPRADOR"))</f>
        <v>SIN COMPRA FEB '26</v>
      </c>
      <c r="T179" s="101"/>
      <c r="W179" s="73"/>
    </row>
    <row r="180" spans="1:23" ht="14">
      <c r="A180" s="88" t="s">
        <v>85</v>
      </c>
      <c r="B180" s="89" t="s">
        <v>257</v>
      </c>
      <c r="C180" s="89" t="s">
        <v>43</v>
      </c>
      <c r="D180" s="103">
        <v>100088690</v>
      </c>
      <c r="E180" s="89" t="s">
        <v>45</v>
      </c>
      <c r="F180" s="89">
        <v>100071480</v>
      </c>
      <c r="G180" s="90" t="s">
        <v>272</v>
      </c>
      <c r="H180" s="91">
        <v>4.8</v>
      </c>
      <c r="I180" s="92">
        <v>0</v>
      </c>
      <c r="J180" s="93">
        <v>4.8</v>
      </c>
      <c r="K180" s="94">
        <v>4.8</v>
      </c>
      <c r="L180" s="94">
        <v>4.8</v>
      </c>
      <c r="M180" s="94">
        <v>0</v>
      </c>
      <c r="N180" s="102">
        <f t="shared" si="4"/>
        <v>3.1999999999999997</v>
      </c>
      <c r="O180" s="97">
        <v>0</v>
      </c>
      <c r="P180" s="92">
        <v>0</v>
      </c>
      <c r="Q180" s="98">
        <f t="shared" si="6"/>
        <v>0</v>
      </c>
      <c r="R180" s="99" t="str">
        <f>+IF(Q180+N180&lt;=0, "NO COMPRADOR", +IF(Q180&lt;=0, "SIN COMPRA "&amp;+UPPER(TEXT('DINAMICA ENERO 26'!$C$2,"mmm 'yy")), "COMPRADOR"))</f>
        <v>SIN COMPRA FEB '26</v>
      </c>
      <c r="S180" s="100"/>
      <c r="T180" s="101"/>
      <c r="U180" s="100"/>
      <c r="V180" s="100"/>
    </row>
    <row r="181" spans="1:23" ht="14">
      <c r="A181" s="88" t="s">
        <v>85</v>
      </c>
      <c r="B181" s="89" t="s">
        <v>257</v>
      </c>
      <c r="C181" s="89" t="s">
        <v>43</v>
      </c>
      <c r="D181" s="103">
        <v>100088690</v>
      </c>
      <c r="E181" s="89" t="s">
        <v>45</v>
      </c>
      <c r="F181" s="89">
        <v>100063075</v>
      </c>
      <c r="G181" s="90" t="s">
        <v>273</v>
      </c>
      <c r="H181" s="91">
        <v>0</v>
      </c>
      <c r="I181" s="92">
        <v>62.4</v>
      </c>
      <c r="J181" s="93">
        <v>0</v>
      </c>
      <c r="K181" s="94">
        <v>0</v>
      </c>
      <c r="L181" s="94">
        <v>0</v>
      </c>
      <c r="M181" s="94">
        <v>0</v>
      </c>
      <c r="N181" s="102">
        <f t="shared" si="4"/>
        <v>0</v>
      </c>
      <c r="O181" s="97">
        <v>0</v>
      </c>
      <c r="P181" s="92">
        <v>0</v>
      </c>
      <c r="Q181" s="98">
        <f t="shared" si="6"/>
        <v>0</v>
      </c>
      <c r="R181" s="99" t="str">
        <f>+IF(Q181+N181&lt;=0, "NO COMPRADOR", +IF(Q181&lt;=0, "SIN COMPRA "&amp;+UPPER(TEXT('DINAMICA ENERO 26'!$C$2,"mmm 'yy")), "COMPRADOR"))</f>
        <v>NO COMPRADOR</v>
      </c>
      <c r="S181" s="100"/>
      <c r="T181" s="101"/>
      <c r="U181" s="100"/>
      <c r="V181" s="100"/>
    </row>
    <row r="182" spans="1:23" ht="14">
      <c r="A182" s="88" t="s">
        <v>85</v>
      </c>
      <c r="B182" s="89" t="s">
        <v>257</v>
      </c>
      <c r="C182" s="89" t="s">
        <v>43</v>
      </c>
      <c r="D182" s="103">
        <v>100088690</v>
      </c>
      <c r="E182" s="89" t="s">
        <v>45</v>
      </c>
      <c r="F182" s="89">
        <v>100072084</v>
      </c>
      <c r="G182" s="90" t="s">
        <v>274</v>
      </c>
      <c r="H182" s="91">
        <v>4.8</v>
      </c>
      <c r="I182" s="92">
        <v>9.6</v>
      </c>
      <c r="J182" s="93">
        <v>0</v>
      </c>
      <c r="K182" s="94">
        <v>24</v>
      </c>
      <c r="L182" s="94">
        <v>9.6000000000000014</v>
      </c>
      <c r="M182" s="94">
        <v>0</v>
      </c>
      <c r="N182" s="102">
        <f t="shared" si="4"/>
        <v>11.200000000000001</v>
      </c>
      <c r="O182" s="97">
        <v>0</v>
      </c>
      <c r="P182" s="92">
        <v>0</v>
      </c>
      <c r="Q182" s="98">
        <f t="shared" si="6"/>
        <v>0</v>
      </c>
      <c r="R182" s="99" t="str">
        <f>+IF(Q182+N182&lt;=0, "NO COMPRADOR", +IF(Q182&lt;=0, "SIN COMPRA "&amp;+UPPER(TEXT('DINAMICA ENERO 26'!$C$2,"mmm 'yy")), "COMPRADOR"))</f>
        <v>SIN COMPRA FEB '26</v>
      </c>
      <c r="S182" s="100"/>
      <c r="T182" s="101"/>
      <c r="U182" s="100"/>
      <c r="V182" s="100"/>
    </row>
    <row r="183" spans="1:23" s="100" customFormat="1" ht="14">
      <c r="A183" s="88" t="s">
        <v>85</v>
      </c>
      <c r="B183" s="89" t="s">
        <v>257</v>
      </c>
      <c r="C183" s="89" t="s">
        <v>43</v>
      </c>
      <c r="D183" s="103">
        <v>100088690</v>
      </c>
      <c r="E183" s="89" t="s">
        <v>45</v>
      </c>
      <c r="F183" s="89">
        <v>100000283</v>
      </c>
      <c r="G183" s="90" t="s">
        <v>275</v>
      </c>
      <c r="H183" s="91">
        <v>240</v>
      </c>
      <c r="I183" s="92">
        <v>288</v>
      </c>
      <c r="J183" s="93">
        <v>374.4</v>
      </c>
      <c r="K183" s="94">
        <v>192</v>
      </c>
      <c r="L183" s="94">
        <v>273.60000000000002</v>
      </c>
      <c r="M183" s="94">
        <v>177.6</v>
      </c>
      <c r="N183" s="102">
        <f t="shared" si="4"/>
        <v>214.4</v>
      </c>
      <c r="O183" s="97">
        <v>139.19999999999999</v>
      </c>
      <c r="P183" s="92">
        <v>0</v>
      </c>
      <c r="Q183" s="98">
        <f t="shared" si="6"/>
        <v>139.19999999999999</v>
      </c>
      <c r="R183" s="99" t="str">
        <f>+IF(Q183+N183&lt;=0, "NO COMPRADOR", +IF(Q183&lt;=0, "SIN COMPRA "&amp;+UPPER(TEXT('DINAMICA ENERO 26'!$C$2,"mmm 'yy")), "COMPRADOR"))</f>
        <v>COMPRADOR</v>
      </c>
      <c r="T183" s="101"/>
      <c r="W183" s="73"/>
    </row>
    <row r="184" spans="1:23" s="100" customFormat="1" ht="14">
      <c r="A184" s="88" t="s">
        <v>85</v>
      </c>
      <c r="B184" s="89" t="s">
        <v>257</v>
      </c>
      <c r="C184" s="89" t="s">
        <v>43</v>
      </c>
      <c r="D184" s="103">
        <v>100088690</v>
      </c>
      <c r="E184" s="89" t="s">
        <v>45</v>
      </c>
      <c r="F184" s="89">
        <v>100001254</v>
      </c>
      <c r="G184" s="90" t="s">
        <v>276</v>
      </c>
      <c r="H184" s="91">
        <v>0</v>
      </c>
      <c r="I184" s="92">
        <v>0</v>
      </c>
      <c r="J184" s="93">
        <v>0</v>
      </c>
      <c r="K184" s="94">
        <v>0</v>
      </c>
      <c r="L184" s="94">
        <v>0</v>
      </c>
      <c r="M184" s="94">
        <v>0</v>
      </c>
      <c r="N184" s="102">
        <f t="shared" si="4"/>
        <v>0</v>
      </c>
      <c r="O184" s="97">
        <v>0</v>
      </c>
      <c r="P184" s="92">
        <v>0</v>
      </c>
      <c r="Q184" s="98">
        <f t="shared" si="6"/>
        <v>0</v>
      </c>
      <c r="R184" s="99" t="str">
        <f>+IF(Q184+N184&lt;=0, "NO COMPRADOR", +IF(Q184&lt;=0, "SIN COMPRA "&amp;+UPPER(TEXT('DINAMICA ENERO 26'!$C$2,"mmm 'yy")), "COMPRADOR"))</f>
        <v>NO COMPRADOR</v>
      </c>
      <c r="T184" s="101"/>
      <c r="W184" s="73"/>
    </row>
    <row r="185" spans="1:23" ht="14">
      <c r="A185" s="88" t="s">
        <v>85</v>
      </c>
      <c r="B185" s="89" t="s">
        <v>257</v>
      </c>
      <c r="C185" s="89" t="s">
        <v>43</v>
      </c>
      <c r="D185" s="103">
        <v>100088690</v>
      </c>
      <c r="E185" s="89" t="s">
        <v>45</v>
      </c>
      <c r="F185" s="89">
        <v>100088794</v>
      </c>
      <c r="G185" s="90" t="s">
        <v>277</v>
      </c>
      <c r="H185" s="91">
        <v>24</v>
      </c>
      <c r="I185" s="92">
        <v>4.8</v>
      </c>
      <c r="J185" s="93">
        <v>0</v>
      </c>
      <c r="K185" s="94">
        <v>14.399999999999999</v>
      </c>
      <c r="L185" s="94">
        <v>38.4</v>
      </c>
      <c r="M185" s="94">
        <v>0</v>
      </c>
      <c r="N185" s="102">
        <f t="shared" si="4"/>
        <v>17.599999999999998</v>
      </c>
      <c r="O185" s="97">
        <v>19.2</v>
      </c>
      <c r="P185" s="92">
        <v>0</v>
      </c>
      <c r="Q185" s="98">
        <f t="shared" si="6"/>
        <v>19.2</v>
      </c>
      <c r="R185" s="99" t="str">
        <f>+IF(Q185+N185&lt;=0, "NO COMPRADOR", +IF(Q185&lt;=0, "SIN COMPRA "&amp;+UPPER(TEXT('DINAMICA ENERO 26'!$C$2,"mmm 'yy")), "COMPRADOR"))</f>
        <v>COMPRADOR</v>
      </c>
      <c r="S185" s="100"/>
      <c r="T185" s="101"/>
      <c r="U185" s="100"/>
      <c r="V185" s="100"/>
    </row>
    <row r="186" spans="1:23" s="100" customFormat="1" ht="14">
      <c r="A186" s="88" t="s">
        <v>85</v>
      </c>
      <c r="B186" s="89" t="s">
        <v>257</v>
      </c>
      <c r="C186" s="89" t="s">
        <v>43</v>
      </c>
      <c r="D186" s="103">
        <v>100088690</v>
      </c>
      <c r="E186" s="89" t="s">
        <v>45</v>
      </c>
      <c r="F186" s="89">
        <v>100088316</v>
      </c>
      <c r="G186" s="90" t="s">
        <v>278</v>
      </c>
      <c r="H186" s="91">
        <v>14.399999999999999</v>
      </c>
      <c r="I186" s="92">
        <v>19.2</v>
      </c>
      <c r="J186" s="93">
        <v>28.799999999999997</v>
      </c>
      <c r="K186" s="94">
        <v>33.6</v>
      </c>
      <c r="L186" s="94">
        <v>43.2</v>
      </c>
      <c r="M186" s="94">
        <v>28.799999999999997</v>
      </c>
      <c r="N186" s="102">
        <f t="shared" si="4"/>
        <v>35.200000000000003</v>
      </c>
      <c r="O186" s="97">
        <v>9.6</v>
      </c>
      <c r="P186" s="92">
        <v>0</v>
      </c>
      <c r="Q186" s="98">
        <f t="shared" si="6"/>
        <v>9.6</v>
      </c>
      <c r="R186" s="99" t="str">
        <f>+IF(Q186+N186&lt;=0, "NO COMPRADOR", +IF(Q186&lt;=0, "SIN COMPRA "&amp;+UPPER(TEXT('DINAMICA ENERO 26'!$C$2,"mmm 'yy")), "COMPRADOR"))</f>
        <v>COMPRADOR</v>
      </c>
      <c r="T186" s="101"/>
      <c r="W186" s="73"/>
    </row>
    <row r="187" spans="1:23" ht="14">
      <c r="A187" s="88" t="s">
        <v>85</v>
      </c>
      <c r="B187" s="89" t="s">
        <v>257</v>
      </c>
      <c r="C187" s="89" t="s">
        <v>43</v>
      </c>
      <c r="D187" s="103">
        <v>100088690</v>
      </c>
      <c r="E187" s="89" t="s">
        <v>45</v>
      </c>
      <c r="F187" s="89">
        <v>100089468</v>
      </c>
      <c r="G187" s="90" t="s">
        <v>279</v>
      </c>
      <c r="H187" s="91">
        <v>4.8</v>
      </c>
      <c r="I187" s="92">
        <v>24</v>
      </c>
      <c r="J187" s="93">
        <v>9.6</v>
      </c>
      <c r="K187" s="94">
        <v>0</v>
      </c>
      <c r="L187" s="94">
        <v>9.6</v>
      </c>
      <c r="M187" s="94">
        <v>14.399999999999999</v>
      </c>
      <c r="N187" s="102">
        <f t="shared" si="4"/>
        <v>8</v>
      </c>
      <c r="O187" s="97">
        <v>9.6</v>
      </c>
      <c r="P187" s="92">
        <v>0</v>
      </c>
      <c r="Q187" s="98">
        <f t="shared" si="6"/>
        <v>9.6</v>
      </c>
      <c r="R187" s="99" t="str">
        <f>+IF(Q187+N187&lt;=0, "NO COMPRADOR", +IF(Q187&lt;=0, "SIN COMPRA "&amp;+UPPER(TEXT('DINAMICA ENERO 26'!$C$2,"mmm 'yy")), "COMPRADOR"))</f>
        <v>COMPRADOR</v>
      </c>
      <c r="S187" s="100"/>
      <c r="T187" s="101"/>
      <c r="U187" s="100"/>
      <c r="V187" s="100"/>
    </row>
    <row r="188" spans="1:23" ht="14">
      <c r="A188" s="88" t="s">
        <v>85</v>
      </c>
      <c r="B188" s="89" t="s">
        <v>257</v>
      </c>
      <c r="C188" s="89" t="s">
        <v>43</v>
      </c>
      <c r="D188" s="103">
        <v>100089856</v>
      </c>
      <c r="E188" s="89" t="s">
        <v>49</v>
      </c>
      <c r="F188" s="89">
        <v>100001543</v>
      </c>
      <c r="G188" s="90" t="s">
        <v>280</v>
      </c>
      <c r="H188" s="91">
        <v>0</v>
      </c>
      <c r="I188" s="92">
        <v>0</v>
      </c>
      <c r="J188" s="93">
        <v>4.8</v>
      </c>
      <c r="K188" s="94">
        <v>0</v>
      </c>
      <c r="L188" s="94">
        <v>4.8</v>
      </c>
      <c r="M188" s="94">
        <v>0</v>
      </c>
      <c r="N188" s="102">
        <f t="shared" si="4"/>
        <v>1.5999999999999999</v>
      </c>
      <c r="O188" s="97">
        <v>0</v>
      </c>
      <c r="P188" s="92">
        <v>0</v>
      </c>
      <c r="Q188" s="98">
        <f t="shared" si="6"/>
        <v>0</v>
      </c>
      <c r="R188" s="99" t="str">
        <f>+IF(Q188+N188&lt;=0, "NO COMPRADOR", +IF(Q188&lt;=0, "SIN COMPRA "&amp;+UPPER(TEXT('DINAMICA ENERO 26'!$C$2,"mmm 'yy")), "COMPRADOR"))</f>
        <v>SIN COMPRA FEB '26</v>
      </c>
      <c r="S188" s="100"/>
      <c r="T188" s="101"/>
      <c r="U188" s="100"/>
      <c r="V188" s="100"/>
    </row>
    <row r="189" spans="1:23" ht="14">
      <c r="A189" s="88" t="s">
        <v>85</v>
      </c>
      <c r="B189" s="89" t="s">
        <v>257</v>
      </c>
      <c r="C189" s="89" t="s">
        <v>43</v>
      </c>
      <c r="D189" s="103">
        <v>100089856</v>
      </c>
      <c r="E189" s="89" t="s">
        <v>49</v>
      </c>
      <c r="F189" s="89">
        <v>100066164</v>
      </c>
      <c r="G189" s="90" t="s">
        <v>281</v>
      </c>
      <c r="H189" s="91">
        <v>0</v>
      </c>
      <c r="I189" s="92">
        <v>24</v>
      </c>
      <c r="J189" s="93">
        <v>19.2</v>
      </c>
      <c r="K189" s="94">
        <v>28.799999999999997</v>
      </c>
      <c r="L189" s="94">
        <v>177.6</v>
      </c>
      <c r="M189" s="94">
        <v>4.8</v>
      </c>
      <c r="N189" s="102">
        <f t="shared" si="4"/>
        <v>70.399999999999991</v>
      </c>
      <c r="O189" s="97">
        <v>86.399999999999991</v>
      </c>
      <c r="P189" s="92">
        <v>0</v>
      </c>
      <c r="Q189" s="98">
        <f t="shared" si="6"/>
        <v>86.399999999999991</v>
      </c>
      <c r="R189" s="99" t="str">
        <f>+IF(Q189+N189&lt;=0, "NO COMPRADOR", +IF(Q189&lt;=0, "SIN COMPRA "&amp;+UPPER(TEXT('DINAMICA ENERO 26'!$C$2,"mmm 'yy")), "COMPRADOR"))</f>
        <v>COMPRADOR</v>
      </c>
      <c r="S189" s="100"/>
      <c r="T189" s="101"/>
      <c r="U189" s="100"/>
      <c r="V189" s="100"/>
    </row>
    <row r="190" spans="1:23" ht="14">
      <c r="A190" s="88" t="s">
        <v>85</v>
      </c>
      <c r="B190" s="89" t="s">
        <v>257</v>
      </c>
      <c r="C190" s="89" t="s">
        <v>43</v>
      </c>
      <c r="D190" s="103">
        <v>100089856</v>
      </c>
      <c r="E190" s="89" t="s">
        <v>49</v>
      </c>
      <c r="F190" s="89">
        <v>100034611</v>
      </c>
      <c r="G190" s="90" t="s">
        <v>282</v>
      </c>
      <c r="H190" s="91">
        <v>0</v>
      </c>
      <c r="I190" s="92">
        <v>0</v>
      </c>
      <c r="J190" s="93">
        <v>0</v>
      </c>
      <c r="K190" s="94">
        <v>0</v>
      </c>
      <c r="L190" s="94">
        <v>0</v>
      </c>
      <c r="M190" s="94">
        <v>0</v>
      </c>
      <c r="N190" s="102">
        <f t="shared" si="4"/>
        <v>0</v>
      </c>
      <c r="O190" s="97">
        <v>0</v>
      </c>
      <c r="P190" s="92">
        <v>0</v>
      </c>
      <c r="Q190" s="98">
        <f t="shared" si="6"/>
        <v>0</v>
      </c>
      <c r="R190" s="99" t="str">
        <f>+IF(Q190+N190&lt;=0, "NO COMPRADOR", +IF(Q190&lt;=0, "SIN COMPRA "&amp;+UPPER(TEXT('DINAMICA ENERO 26'!$C$2,"mmm 'yy")), "COMPRADOR"))</f>
        <v>NO COMPRADOR</v>
      </c>
      <c r="S190" s="100"/>
      <c r="T190" s="101"/>
      <c r="U190" s="100"/>
      <c r="V190" s="100"/>
    </row>
    <row r="191" spans="1:23" ht="14">
      <c r="A191" s="88" t="s">
        <v>85</v>
      </c>
      <c r="B191" s="89" t="s">
        <v>257</v>
      </c>
      <c r="C191" s="89" t="s">
        <v>43</v>
      </c>
      <c r="D191" s="103">
        <v>100089856</v>
      </c>
      <c r="E191" s="89" t="s">
        <v>49</v>
      </c>
      <c r="F191" s="89">
        <v>100001907</v>
      </c>
      <c r="G191" s="90" t="s">
        <v>283</v>
      </c>
      <c r="H191" s="91">
        <v>148.80000000000001</v>
      </c>
      <c r="I191" s="92">
        <v>216</v>
      </c>
      <c r="J191" s="93">
        <v>24</v>
      </c>
      <c r="K191" s="94">
        <v>76.8</v>
      </c>
      <c r="L191" s="94">
        <v>144</v>
      </c>
      <c r="M191" s="94">
        <v>120</v>
      </c>
      <c r="N191" s="102">
        <f t="shared" si="4"/>
        <v>113.60000000000001</v>
      </c>
      <c r="O191" s="97">
        <v>48</v>
      </c>
      <c r="P191" s="92">
        <v>0</v>
      </c>
      <c r="Q191" s="98">
        <f t="shared" si="6"/>
        <v>48</v>
      </c>
      <c r="R191" s="99" t="str">
        <f>+IF(Q191+N191&lt;=0, "NO COMPRADOR", +IF(Q191&lt;=0, "SIN COMPRA "&amp;+UPPER(TEXT('DINAMICA ENERO 26'!$C$2,"mmm 'yy")), "COMPRADOR"))</f>
        <v>COMPRADOR</v>
      </c>
      <c r="S191" s="100"/>
      <c r="T191" s="101"/>
      <c r="U191" s="100"/>
      <c r="V191" s="100"/>
    </row>
    <row r="192" spans="1:23" s="100" customFormat="1" ht="14">
      <c r="A192" s="88" t="s">
        <v>85</v>
      </c>
      <c r="B192" s="89" t="s">
        <v>257</v>
      </c>
      <c r="C192" s="89" t="s">
        <v>43</v>
      </c>
      <c r="D192" s="103">
        <v>100089856</v>
      </c>
      <c r="E192" s="89" t="s">
        <v>49</v>
      </c>
      <c r="F192" s="89">
        <v>100068177</v>
      </c>
      <c r="G192" s="90" t="s">
        <v>284</v>
      </c>
      <c r="H192" s="91">
        <v>9.5999999999999979</v>
      </c>
      <c r="I192" s="92">
        <v>9.6</v>
      </c>
      <c r="J192" s="93">
        <v>9.6</v>
      </c>
      <c r="K192" s="94">
        <v>9.6</v>
      </c>
      <c r="L192" s="94">
        <v>4.8</v>
      </c>
      <c r="M192" s="94">
        <v>115.19999999999999</v>
      </c>
      <c r="N192" s="102">
        <f t="shared" si="4"/>
        <v>43.199999999999996</v>
      </c>
      <c r="O192" s="97">
        <v>0</v>
      </c>
      <c r="P192" s="92">
        <v>0</v>
      </c>
      <c r="Q192" s="98">
        <f t="shared" si="6"/>
        <v>0</v>
      </c>
      <c r="R192" s="99" t="str">
        <f>+IF(Q192+N192&lt;=0, "NO COMPRADOR", +IF(Q192&lt;=0, "SIN COMPRA "&amp;+UPPER(TEXT('DINAMICA ENERO 26'!$C$2,"mmm 'yy")), "COMPRADOR"))</f>
        <v>SIN COMPRA FEB '26</v>
      </c>
      <c r="T192" s="101"/>
      <c r="W192" s="73"/>
    </row>
    <row r="193" spans="1:23" ht="14">
      <c r="A193" s="88" t="s">
        <v>85</v>
      </c>
      <c r="B193" s="89" t="s">
        <v>257</v>
      </c>
      <c r="C193" s="89" t="s">
        <v>43</v>
      </c>
      <c r="D193" s="103">
        <v>100089856</v>
      </c>
      <c r="E193" s="89" t="s">
        <v>49</v>
      </c>
      <c r="F193" s="89">
        <v>100062882</v>
      </c>
      <c r="G193" s="90" t="s">
        <v>285</v>
      </c>
      <c r="H193" s="91">
        <v>4.8</v>
      </c>
      <c r="I193" s="92">
        <v>0</v>
      </c>
      <c r="J193" s="93">
        <v>0</v>
      </c>
      <c r="K193" s="94">
        <v>4.8</v>
      </c>
      <c r="L193" s="94">
        <v>4.8</v>
      </c>
      <c r="M193" s="94">
        <v>4.8</v>
      </c>
      <c r="N193" s="102">
        <f t="shared" si="4"/>
        <v>4.8</v>
      </c>
      <c r="O193" s="97">
        <v>9.6</v>
      </c>
      <c r="P193" s="92">
        <v>0</v>
      </c>
      <c r="Q193" s="98">
        <f t="shared" si="6"/>
        <v>9.6</v>
      </c>
      <c r="R193" s="99" t="str">
        <f>+IF(Q193+N193&lt;=0, "NO COMPRADOR", +IF(Q193&lt;=0, "SIN COMPRA "&amp;+UPPER(TEXT('DINAMICA ENERO 26'!$C$2,"mmm 'yy")), "COMPRADOR"))</f>
        <v>COMPRADOR</v>
      </c>
      <c r="S193" s="100"/>
      <c r="T193" s="101"/>
      <c r="U193" s="100"/>
      <c r="V193" s="100"/>
    </row>
    <row r="194" spans="1:23" s="100" customFormat="1" ht="14">
      <c r="A194" s="88" t="s">
        <v>85</v>
      </c>
      <c r="B194" s="89" t="s">
        <v>257</v>
      </c>
      <c r="C194" s="89" t="s">
        <v>43</v>
      </c>
      <c r="D194" s="103">
        <v>100089856</v>
      </c>
      <c r="E194" s="89" t="s">
        <v>49</v>
      </c>
      <c r="F194" s="89">
        <v>100001936</v>
      </c>
      <c r="G194" s="90" t="s">
        <v>286</v>
      </c>
      <c r="H194" s="91">
        <v>4.8</v>
      </c>
      <c r="I194" s="92">
        <v>0</v>
      </c>
      <c r="J194" s="93">
        <v>4.8</v>
      </c>
      <c r="K194" s="94">
        <v>0</v>
      </c>
      <c r="L194" s="94">
        <v>0</v>
      </c>
      <c r="M194" s="94">
        <v>0</v>
      </c>
      <c r="N194" s="102">
        <f t="shared" si="4"/>
        <v>0</v>
      </c>
      <c r="O194" s="97">
        <v>4.8</v>
      </c>
      <c r="P194" s="92">
        <v>0</v>
      </c>
      <c r="Q194" s="98">
        <f t="shared" si="6"/>
        <v>4.8</v>
      </c>
      <c r="R194" s="99" t="str">
        <f>+IF(Q194+N194&lt;=0, "NO COMPRADOR", +IF(Q194&lt;=0, "SIN COMPRA "&amp;+UPPER(TEXT('DINAMICA ENERO 26'!$C$2,"mmm 'yy")), "COMPRADOR"))</f>
        <v>COMPRADOR</v>
      </c>
      <c r="T194" s="101"/>
      <c r="W194" s="73"/>
    </row>
    <row r="195" spans="1:23" ht="14">
      <c r="A195" s="88" t="s">
        <v>85</v>
      </c>
      <c r="B195" s="89" t="s">
        <v>257</v>
      </c>
      <c r="C195" s="89" t="s">
        <v>43</v>
      </c>
      <c r="D195" s="103">
        <v>100089856</v>
      </c>
      <c r="E195" s="89" t="s">
        <v>49</v>
      </c>
      <c r="F195" s="89">
        <v>100001513</v>
      </c>
      <c r="G195" s="90" t="s">
        <v>287</v>
      </c>
      <c r="H195" s="91">
        <v>0</v>
      </c>
      <c r="I195" s="92">
        <v>0</v>
      </c>
      <c r="J195" s="93">
        <v>0</v>
      </c>
      <c r="K195" s="94">
        <v>4.8</v>
      </c>
      <c r="L195" s="94">
        <v>0</v>
      </c>
      <c r="M195" s="94">
        <v>0</v>
      </c>
      <c r="N195" s="102">
        <f t="shared" ref="N195:N258" si="7">+AVERAGE(K195:M195)</f>
        <v>1.5999999999999999</v>
      </c>
      <c r="O195" s="97">
        <v>0</v>
      </c>
      <c r="P195" s="92">
        <v>0</v>
      </c>
      <c r="Q195" s="98">
        <f t="shared" si="6"/>
        <v>0</v>
      </c>
      <c r="R195" s="99" t="str">
        <f>+IF(Q195+N195&lt;=0, "NO COMPRADOR", +IF(Q195&lt;=0, "SIN COMPRA "&amp;+UPPER(TEXT('DINAMICA ENERO 26'!$C$2,"mmm 'yy")), "COMPRADOR"))</f>
        <v>SIN COMPRA FEB '26</v>
      </c>
      <c r="S195" s="100"/>
      <c r="T195" s="101"/>
      <c r="U195" s="100"/>
      <c r="V195" s="100"/>
    </row>
    <row r="196" spans="1:23" ht="14">
      <c r="A196" s="88" t="s">
        <v>85</v>
      </c>
      <c r="B196" s="89" t="s">
        <v>257</v>
      </c>
      <c r="C196" s="89" t="s">
        <v>43</v>
      </c>
      <c r="D196" s="103">
        <v>100089856</v>
      </c>
      <c r="E196" s="89" t="s">
        <v>49</v>
      </c>
      <c r="F196" s="89">
        <v>100059754</v>
      </c>
      <c r="G196" s="90" t="s">
        <v>288</v>
      </c>
      <c r="H196" s="91">
        <v>9.5999999999999979</v>
      </c>
      <c r="I196" s="92">
        <v>28.8</v>
      </c>
      <c r="J196" s="93">
        <v>43.199999999999996</v>
      </c>
      <c r="K196" s="94">
        <v>24</v>
      </c>
      <c r="L196" s="94">
        <v>9.6</v>
      </c>
      <c r="M196" s="94">
        <v>0</v>
      </c>
      <c r="N196" s="102">
        <f t="shared" si="7"/>
        <v>11.200000000000001</v>
      </c>
      <c r="O196" s="97">
        <v>24</v>
      </c>
      <c r="P196" s="92">
        <v>0</v>
      </c>
      <c r="Q196" s="98">
        <f t="shared" si="6"/>
        <v>24</v>
      </c>
      <c r="R196" s="99" t="str">
        <f>+IF(Q196+N196&lt;=0, "NO COMPRADOR", +IF(Q196&lt;=0, "SIN COMPRA "&amp;+UPPER(TEXT('DINAMICA ENERO 26'!$C$2,"mmm 'yy")), "COMPRADOR"))</f>
        <v>COMPRADOR</v>
      </c>
      <c r="S196" s="100"/>
      <c r="T196" s="101"/>
      <c r="U196" s="100"/>
      <c r="V196" s="100"/>
    </row>
    <row r="197" spans="1:23" ht="14">
      <c r="A197" s="88" t="s">
        <v>85</v>
      </c>
      <c r="B197" s="89" t="s">
        <v>257</v>
      </c>
      <c r="C197" s="89" t="s">
        <v>43</v>
      </c>
      <c r="D197" s="103">
        <v>100089856</v>
      </c>
      <c r="E197" s="89" t="s">
        <v>49</v>
      </c>
      <c r="F197" s="89">
        <v>100064962</v>
      </c>
      <c r="G197" s="90" t="s">
        <v>289</v>
      </c>
      <c r="H197" s="91">
        <v>0</v>
      </c>
      <c r="I197" s="92">
        <v>0</v>
      </c>
      <c r="J197" s="93">
        <v>4.8</v>
      </c>
      <c r="K197" s="94">
        <v>0</v>
      </c>
      <c r="L197" s="94">
        <v>0</v>
      </c>
      <c r="M197" s="94">
        <v>0</v>
      </c>
      <c r="N197" s="102">
        <f t="shared" si="7"/>
        <v>0</v>
      </c>
      <c r="O197" s="97">
        <v>0</v>
      </c>
      <c r="P197" s="92">
        <v>0</v>
      </c>
      <c r="Q197" s="98">
        <f t="shared" si="6"/>
        <v>0</v>
      </c>
      <c r="R197" s="99" t="str">
        <f>+IF(Q197+N197&lt;=0, "NO COMPRADOR", +IF(Q197&lt;=0, "SIN COMPRA "&amp;+UPPER(TEXT('DINAMICA ENERO 26'!$C$2,"mmm 'yy")), "COMPRADOR"))</f>
        <v>NO COMPRADOR</v>
      </c>
      <c r="S197" s="100"/>
      <c r="T197" s="101"/>
      <c r="U197" s="100"/>
      <c r="V197" s="100"/>
    </row>
    <row r="198" spans="1:23" s="100" customFormat="1" ht="14">
      <c r="A198" s="88" t="s">
        <v>85</v>
      </c>
      <c r="B198" s="89" t="s">
        <v>257</v>
      </c>
      <c r="C198" s="89" t="s">
        <v>43</v>
      </c>
      <c r="D198" s="103">
        <v>100067806</v>
      </c>
      <c r="E198" s="89" t="s">
        <v>50</v>
      </c>
      <c r="F198" s="89">
        <v>100001979</v>
      </c>
      <c r="G198" s="90" t="s">
        <v>290</v>
      </c>
      <c r="H198" s="91">
        <v>0</v>
      </c>
      <c r="I198" s="92">
        <v>0</v>
      </c>
      <c r="J198" s="93">
        <v>0</v>
      </c>
      <c r="K198" s="94">
        <v>0</v>
      </c>
      <c r="L198" s="94">
        <v>0</v>
      </c>
      <c r="M198" s="94">
        <v>0</v>
      </c>
      <c r="N198" s="102">
        <f t="shared" si="7"/>
        <v>0</v>
      </c>
      <c r="O198" s="97">
        <v>0</v>
      </c>
      <c r="P198" s="92">
        <v>0</v>
      </c>
      <c r="Q198" s="98">
        <f t="shared" si="6"/>
        <v>0</v>
      </c>
      <c r="R198" s="99" t="str">
        <f>+IF(Q198+N198&lt;=0, "NO COMPRADOR", +IF(Q198&lt;=0, "SIN COMPRA "&amp;+UPPER(TEXT('DINAMICA ENERO 26'!$C$2,"mmm 'yy")), "COMPRADOR"))</f>
        <v>NO COMPRADOR</v>
      </c>
      <c r="T198" s="101"/>
      <c r="W198" s="73"/>
    </row>
    <row r="199" spans="1:23" s="100" customFormat="1" ht="14">
      <c r="A199" s="88" t="s">
        <v>85</v>
      </c>
      <c r="B199" s="89" t="s">
        <v>257</v>
      </c>
      <c r="C199" s="89" t="s">
        <v>43</v>
      </c>
      <c r="D199" s="103">
        <v>100067806</v>
      </c>
      <c r="E199" s="89" t="s">
        <v>50</v>
      </c>
      <c r="F199" s="89">
        <v>100002252</v>
      </c>
      <c r="G199" s="90" t="s">
        <v>291</v>
      </c>
      <c r="H199" s="91">
        <v>0</v>
      </c>
      <c r="I199" s="92">
        <v>0</v>
      </c>
      <c r="J199" s="93">
        <v>0</v>
      </c>
      <c r="K199" s="94">
        <v>0</v>
      </c>
      <c r="L199" s="94">
        <v>0</v>
      </c>
      <c r="M199" s="94">
        <v>0</v>
      </c>
      <c r="N199" s="102">
        <f t="shared" si="7"/>
        <v>0</v>
      </c>
      <c r="O199" s="97">
        <v>24</v>
      </c>
      <c r="P199" s="92">
        <v>0</v>
      </c>
      <c r="Q199" s="98">
        <f t="shared" si="6"/>
        <v>24</v>
      </c>
      <c r="R199" s="99" t="str">
        <f>+IF(Q199+N199&lt;=0, "NO COMPRADOR", +IF(Q199&lt;=0, "SIN COMPRA "&amp;+UPPER(TEXT('DINAMICA ENERO 26'!$C$2,"mmm 'yy")), "COMPRADOR"))</f>
        <v>COMPRADOR</v>
      </c>
      <c r="T199" s="101"/>
      <c r="W199" s="73"/>
    </row>
    <row r="200" spans="1:23" ht="14">
      <c r="A200" s="88" t="s">
        <v>85</v>
      </c>
      <c r="B200" s="89" t="s">
        <v>257</v>
      </c>
      <c r="C200" s="89" t="s">
        <v>43</v>
      </c>
      <c r="D200" s="103">
        <v>100067806</v>
      </c>
      <c r="E200" s="89" t="s">
        <v>50</v>
      </c>
      <c r="F200" s="89">
        <v>100085225</v>
      </c>
      <c r="G200" s="90" t="s">
        <v>292</v>
      </c>
      <c r="H200" s="91">
        <v>0</v>
      </c>
      <c r="I200" s="92">
        <v>0</v>
      </c>
      <c r="J200" s="93">
        <v>0</v>
      </c>
      <c r="K200" s="94">
        <v>0</v>
      </c>
      <c r="L200" s="94">
        <v>0</v>
      </c>
      <c r="M200" s="94">
        <v>0</v>
      </c>
      <c r="N200" s="102">
        <f t="shared" si="7"/>
        <v>0</v>
      </c>
      <c r="O200" s="97">
        <v>0</v>
      </c>
      <c r="P200" s="92">
        <v>0</v>
      </c>
      <c r="Q200" s="98">
        <f t="shared" si="6"/>
        <v>0</v>
      </c>
      <c r="R200" s="99" t="str">
        <f>+IF(Q200+N200&lt;=0, "NO COMPRADOR", +IF(Q200&lt;=0, "SIN COMPRA "&amp;+UPPER(TEXT('DINAMICA ENERO 26'!$C$2,"mmm 'yy")), "COMPRADOR"))</f>
        <v>NO COMPRADOR</v>
      </c>
      <c r="S200" s="100"/>
      <c r="T200" s="101"/>
      <c r="U200" s="100"/>
      <c r="V200" s="100"/>
    </row>
    <row r="201" spans="1:23" ht="14">
      <c r="A201" s="88" t="s">
        <v>85</v>
      </c>
      <c r="B201" s="89" t="s">
        <v>257</v>
      </c>
      <c r="C201" s="89" t="s">
        <v>43</v>
      </c>
      <c r="D201" s="103">
        <v>100067806</v>
      </c>
      <c r="E201" s="89" t="s">
        <v>50</v>
      </c>
      <c r="F201" s="89">
        <v>100001891</v>
      </c>
      <c r="G201" s="90" t="s">
        <v>293</v>
      </c>
      <c r="H201" s="91">
        <v>33.6</v>
      </c>
      <c r="I201" s="92">
        <v>62.4</v>
      </c>
      <c r="J201" s="93">
        <v>48</v>
      </c>
      <c r="K201" s="94">
        <v>33.599999999999994</v>
      </c>
      <c r="L201" s="94">
        <v>33.6</v>
      </c>
      <c r="M201" s="94">
        <v>4.8</v>
      </c>
      <c r="N201" s="102">
        <f t="shared" si="7"/>
        <v>23.999999999999996</v>
      </c>
      <c r="O201" s="97">
        <v>14.399999999999999</v>
      </c>
      <c r="P201" s="92">
        <v>0</v>
      </c>
      <c r="Q201" s="98">
        <f t="shared" si="6"/>
        <v>14.399999999999999</v>
      </c>
      <c r="R201" s="99" t="str">
        <f>+IF(Q201+N201&lt;=0, "NO COMPRADOR", +IF(Q201&lt;=0, "SIN COMPRA "&amp;+UPPER(TEXT('DINAMICA ENERO 26'!$C$2,"mmm 'yy")), "COMPRADOR"))</f>
        <v>COMPRADOR</v>
      </c>
      <c r="S201" s="100"/>
      <c r="T201" s="101"/>
      <c r="U201" s="100"/>
      <c r="V201" s="100"/>
    </row>
    <row r="202" spans="1:23" ht="14">
      <c r="A202" s="88" t="s">
        <v>85</v>
      </c>
      <c r="B202" s="89" t="s">
        <v>257</v>
      </c>
      <c r="C202" s="89" t="s">
        <v>43</v>
      </c>
      <c r="D202" s="103">
        <v>100067806</v>
      </c>
      <c r="E202" s="89" t="s">
        <v>50</v>
      </c>
      <c r="F202" s="89">
        <v>100001593</v>
      </c>
      <c r="G202" s="90" t="s">
        <v>294</v>
      </c>
      <c r="H202" s="91">
        <v>-4.8</v>
      </c>
      <c r="I202" s="92">
        <v>0</v>
      </c>
      <c r="J202" s="93">
        <v>4.8</v>
      </c>
      <c r="K202" s="94">
        <v>4.8</v>
      </c>
      <c r="L202" s="94">
        <v>4.8</v>
      </c>
      <c r="M202" s="94">
        <v>4.8</v>
      </c>
      <c r="N202" s="102">
        <f t="shared" si="7"/>
        <v>4.8</v>
      </c>
      <c r="O202" s="97">
        <v>0</v>
      </c>
      <c r="P202" s="92">
        <v>0</v>
      </c>
      <c r="Q202" s="98">
        <f t="shared" si="6"/>
        <v>0</v>
      </c>
      <c r="R202" s="99" t="str">
        <f>+IF(Q202+N202&lt;=0, "NO COMPRADOR", +IF(Q202&lt;=0, "SIN COMPRA "&amp;+UPPER(TEXT('DINAMICA ENERO 26'!$C$2,"mmm 'yy")), "COMPRADOR"))</f>
        <v>SIN COMPRA FEB '26</v>
      </c>
      <c r="S202" s="100"/>
      <c r="T202" s="101"/>
      <c r="U202" s="100"/>
      <c r="V202" s="100"/>
    </row>
    <row r="203" spans="1:23" ht="14">
      <c r="A203" s="88" t="s">
        <v>85</v>
      </c>
      <c r="B203" s="89" t="s">
        <v>257</v>
      </c>
      <c r="C203" s="89" t="s">
        <v>43</v>
      </c>
      <c r="D203" s="103">
        <v>100067806</v>
      </c>
      <c r="E203" s="89" t="s">
        <v>50</v>
      </c>
      <c r="F203" s="89">
        <v>100081330</v>
      </c>
      <c r="G203" s="90" t="s">
        <v>295</v>
      </c>
      <c r="H203" s="91">
        <v>0</v>
      </c>
      <c r="I203" s="92">
        <v>0</v>
      </c>
      <c r="J203" s="93">
        <v>0</v>
      </c>
      <c r="K203" s="94">
        <v>0</v>
      </c>
      <c r="L203" s="94">
        <v>0</v>
      </c>
      <c r="M203" s="94">
        <v>0</v>
      </c>
      <c r="N203" s="102">
        <f t="shared" si="7"/>
        <v>0</v>
      </c>
      <c r="O203" s="97">
        <v>0</v>
      </c>
      <c r="P203" s="92">
        <v>0</v>
      </c>
      <c r="Q203" s="98">
        <f t="shared" si="6"/>
        <v>0</v>
      </c>
      <c r="R203" s="99" t="str">
        <f>+IF(Q203+N203&lt;=0, "NO COMPRADOR", +IF(Q203&lt;=0, "SIN COMPRA "&amp;+UPPER(TEXT('DINAMICA ENERO 26'!$C$2,"mmm 'yy")), "COMPRADOR"))</f>
        <v>NO COMPRADOR</v>
      </c>
      <c r="S203" s="100"/>
      <c r="T203" s="101"/>
      <c r="U203" s="100"/>
      <c r="V203" s="100"/>
    </row>
    <row r="204" spans="1:23" ht="14">
      <c r="A204" s="88" t="s">
        <v>85</v>
      </c>
      <c r="B204" s="89" t="s">
        <v>257</v>
      </c>
      <c r="C204" s="89" t="s">
        <v>43</v>
      </c>
      <c r="D204" s="103">
        <v>100067806</v>
      </c>
      <c r="E204" s="89" t="s">
        <v>50</v>
      </c>
      <c r="F204" s="89">
        <v>100079383</v>
      </c>
      <c r="G204" s="90" t="s">
        <v>296</v>
      </c>
      <c r="H204" s="91">
        <v>4.8</v>
      </c>
      <c r="I204" s="92">
        <v>0</v>
      </c>
      <c r="J204" s="93">
        <v>0</v>
      </c>
      <c r="K204" s="94">
        <v>0</v>
      </c>
      <c r="L204" s="94">
        <v>0</v>
      </c>
      <c r="M204" s="94">
        <v>0</v>
      </c>
      <c r="N204" s="102">
        <f t="shared" si="7"/>
        <v>0</v>
      </c>
      <c r="O204" s="97">
        <v>0</v>
      </c>
      <c r="P204" s="92">
        <v>0</v>
      </c>
      <c r="Q204" s="98">
        <f t="shared" si="6"/>
        <v>0</v>
      </c>
      <c r="R204" s="99" t="str">
        <f>+IF(Q204+N204&lt;=0, "NO COMPRADOR", +IF(Q204&lt;=0, "SIN COMPRA "&amp;+UPPER(TEXT('DINAMICA ENERO 26'!$C$2,"mmm 'yy")), "COMPRADOR"))</f>
        <v>NO COMPRADOR</v>
      </c>
      <c r="S204" s="100"/>
      <c r="T204" s="101"/>
      <c r="U204" s="100"/>
      <c r="V204" s="100"/>
    </row>
    <row r="205" spans="1:23" ht="14">
      <c r="A205" s="88" t="s">
        <v>85</v>
      </c>
      <c r="B205" s="89" t="s">
        <v>257</v>
      </c>
      <c r="C205" s="89" t="s">
        <v>43</v>
      </c>
      <c r="D205" s="103">
        <v>100067806</v>
      </c>
      <c r="E205" s="89" t="s">
        <v>50</v>
      </c>
      <c r="F205" s="89">
        <v>100079030</v>
      </c>
      <c r="G205" s="90" t="s">
        <v>297</v>
      </c>
      <c r="H205" s="91">
        <v>0</v>
      </c>
      <c r="I205" s="92">
        <v>0</v>
      </c>
      <c r="J205" s="93">
        <v>4.8</v>
      </c>
      <c r="K205" s="94">
        <v>0</v>
      </c>
      <c r="L205" s="94">
        <v>4.8</v>
      </c>
      <c r="M205" s="94">
        <v>-4.8</v>
      </c>
      <c r="N205" s="102">
        <f t="shared" si="7"/>
        <v>0</v>
      </c>
      <c r="O205" s="97">
        <v>0</v>
      </c>
      <c r="P205" s="92">
        <v>0</v>
      </c>
      <c r="Q205" s="98">
        <f t="shared" si="6"/>
        <v>0</v>
      </c>
      <c r="R205" s="99" t="str">
        <f>+IF(Q205+N205&lt;=0, "NO COMPRADOR", +IF(Q205&lt;=0, "SIN COMPRA "&amp;+UPPER(TEXT('DINAMICA ENERO 26'!$C$2,"mmm 'yy")), "COMPRADOR"))</f>
        <v>NO COMPRADOR</v>
      </c>
      <c r="S205" s="100"/>
      <c r="T205" s="101"/>
      <c r="U205" s="100"/>
      <c r="V205" s="100"/>
    </row>
    <row r="206" spans="1:23" ht="14">
      <c r="A206" s="88" t="s">
        <v>85</v>
      </c>
      <c r="B206" s="89" t="s">
        <v>257</v>
      </c>
      <c r="C206" s="89" t="s">
        <v>43</v>
      </c>
      <c r="D206" s="103">
        <v>100067806</v>
      </c>
      <c r="E206" s="89" t="s">
        <v>50</v>
      </c>
      <c r="F206" s="89">
        <v>100024035</v>
      </c>
      <c r="G206" s="90" t="s">
        <v>298</v>
      </c>
      <c r="H206" s="91">
        <v>4.8</v>
      </c>
      <c r="I206" s="92">
        <v>14.399999999999999</v>
      </c>
      <c r="J206" s="93">
        <v>4.8</v>
      </c>
      <c r="K206" s="94">
        <v>4.8</v>
      </c>
      <c r="L206" s="94">
        <v>14.399999999999999</v>
      </c>
      <c r="M206" s="94">
        <v>9.5999999999999979</v>
      </c>
      <c r="N206" s="102">
        <f t="shared" si="7"/>
        <v>9.6</v>
      </c>
      <c r="O206" s="97">
        <v>14.399999999999999</v>
      </c>
      <c r="P206" s="92">
        <v>0</v>
      </c>
      <c r="Q206" s="98">
        <f t="shared" si="6"/>
        <v>14.399999999999999</v>
      </c>
      <c r="R206" s="99" t="str">
        <f>+IF(Q206+N206&lt;=0, "NO COMPRADOR", +IF(Q206&lt;=0, "SIN COMPRA "&amp;+UPPER(TEXT('DINAMICA ENERO 26'!$C$2,"mmm 'yy")), "COMPRADOR"))</f>
        <v>COMPRADOR</v>
      </c>
      <c r="S206" s="100"/>
      <c r="T206" s="101"/>
      <c r="U206" s="100"/>
      <c r="V206" s="100"/>
    </row>
    <row r="207" spans="1:23" ht="14">
      <c r="A207" s="88" t="s">
        <v>85</v>
      </c>
      <c r="B207" s="89" t="s">
        <v>257</v>
      </c>
      <c r="C207" s="89" t="s">
        <v>43</v>
      </c>
      <c r="D207" s="103">
        <v>100067806</v>
      </c>
      <c r="E207" s="89" t="s">
        <v>50</v>
      </c>
      <c r="F207" s="89">
        <v>100054056</v>
      </c>
      <c r="G207" s="90" t="s">
        <v>299</v>
      </c>
      <c r="H207" s="91">
        <v>0</v>
      </c>
      <c r="I207" s="92">
        <v>19.2</v>
      </c>
      <c r="J207" s="93">
        <v>24</v>
      </c>
      <c r="K207" s="94">
        <v>62.4</v>
      </c>
      <c r="L207" s="94">
        <v>14.399999999999999</v>
      </c>
      <c r="M207" s="94">
        <v>4.8</v>
      </c>
      <c r="N207" s="102">
        <f t="shared" si="7"/>
        <v>27.2</v>
      </c>
      <c r="O207" s="97">
        <v>24</v>
      </c>
      <c r="P207" s="92">
        <v>0</v>
      </c>
      <c r="Q207" s="98">
        <f t="shared" si="6"/>
        <v>24</v>
      </c>
      <c r="R207" s="99" t="str">
        <f>+IF(Q207+N207&lt;=0, "NO COMPRADOR", +IF(Q207&lt;=0, "SIN COMPRA "&amp;+UPPER(TEXT('DINAMICA ENERO 26'!$C$2,"mmm 'yy")), "COMPRADOR"))</f>
        <v>COMPRADOR</v>
      </c>
      <c r="S207" s="100"/>
      <c r="T207" s="101"/>
      <c r="U207" s="100"/>
      <c r="V207" s="100"/>
    </row>
    <row r="208" spans="1:23" ht="14">
      <c r="A208" s="88" t="s">
        <v>85</v>
      </c>
      <c r="B208" s="89" t="s">
        <v>257</v>
      </c>
      <c r="C208" s="89" t="s">
        <v>43</v>
      </c>
      <c r="D208" s="103">
        <v>100067806</v>
      </c>
      <c r="E208" s="89" t="s">
        <v>50</v>
      </c>
      <c r="F208" s="89">
        <v>100076315</v>
      </c>
      <c r="G208" s="90" t="s">
        <v>300</v>
      </c>
      <c r="H208" s="91">
        <v>0</v>
      </c>
      <c r="I208" s="92">
        <v>0</v>
      </c>
      <c r="J208" s="93">
        <v>4.8</v>
      </c>
      <c r="K208" s="94">
        <v>14.399999999999999</v>
      </c>
      <c r="L208" s="94">
        <v>19.2</v>
      </c>
      <c r="M208" s="94">
        <v>4.8</v>
      </c>
      <c r="N208" s="102">
        <f t="shared" si="7"/>
        <v>12.799999999999997</v>
      </c>
      <c r="O208" s="97">
        <v>0</v>
      </c>
      <c r="P208" s="92">
        <v>4.8</v>
      </c>
      <c r="Q208" s="98">
        <f t="shared" si="6"/>
        <v>4.8</v>
      </c>
      <c r="R208" s="99" t="str">
        <f>+IF(Q208+N208&lt;=0, "NO COMPRADOR", +IF(Q208&lt;=0, "SIN COMPRA "&amp;+UPPER(TEXT('DINAMICA ENERO 26'!$C$2,"mmm 'yy")), "COMPRADOR"))</f>
        <v>COMPRADOR</v>
      </c>
      <c r="S208" s="100"/>
      <c r="T208" s="101"/>
      <c r="U208" s="100"/>
      <c r="V208" s="100"/>
    </row>
    <row r="209" spans="1:23" s="100" customFormat="1" ht="14">
      <c r="A209" s="88" t="s">
        <v>85</v>
      </c>
      <c r="B209" s="89" t="s">
        <v>257</v>
      </c>
      <c r="C209" s="89" t="s">
        <v>43</v>
      </c>
      <c r="D209" s="103">
        <v>100067806</v>
      </c>
      <c r="E209" s="89" t="s">
        <v>50</v>
      </c>
      <c r="F209" s="89">
        <v>100002218</v>
      </c>
      <c r="G209" s="90" t="s">
        <v>301</v>
      </c>
      <c r="H209" s="91">
        <v>0</v>
      </c>
      <c r="I209" s="92">
        <v>0</v>
      </c>
      <c r="J209" s="93">
        <v>0</v>
      </c>
      <c r="K209" s="94">
        <v>0</v>
      </c>
      <c r="L209" s="94">
        <v>0</v>
      </c>
      <c r="M209" s="94">
        <v>0</v>
      </c>
      <c r="N209" s="102">
        <f t="shared" si="7"/>
        <v>0</v>
      </c>
      <c r="O209" s="97">
        <v>0</v>
      </c>
      <c r="P209" s="92">
        <v>0</v>
      </c>
      <c r="Q209" s="98">
        <f t="shared" si="6"/>
        <v>0</v>
      </c>
      <c r="R209" s="99" t="str">
        <f>+IF(Q209+N209&lt;=0, "NO COMPRADOR", +IF(Q209&lt;=0, "SIN COMPRA "&amp;+UPPER(TEXT('DINAMICA ENERO 26'!$C$2,"mmm 'yy")), "COMPRADOR"))</f>
        <v>NO COMPRADOR</v>
      </c>
      <c r="T209" s="101"/>
      <c r="W209" s="73"/>
    </row>
    <row r="210" spans="1:23" s="100" customFormat="1" ht="14">
      <c r="A210" s="88" t="s">
        <v>85</v>
      </c>
      <c r="B210" s="89" t="s">
        <v>257</v>
      </c>
      <c r="C210" s="89" t="s">
        <v>43</v>
      </c>
      <c r="D210" s="103">
        <v>100067806</v>
      </c>
      <c r="E210" s="89" t="s">
        <v>50</v>
      </c>
      <c r="F210" s="89">
        <v>100076218</v>
      </c>
      <c r="G210" s="90" t="s">
        <v>302</v>
      </c>
      <c r="H210" s="91">
        <v>-14.399999999999999</v>
      </c>
      <c r="I210" s="92">
        <v>0</v>
      </c>
      <c r="J210" s="93">
        <v>4.8</v>
      </c>
      <c r="K210" s="94">
        <v>0</v>
      </c>
      <c r="L210" s="94">
        <v>4.8</v>
      </c>
      <c r="M210" s="94">
        <v>-4.8</v>
      </c>
      <c r="N210" s="102">
        <f t="shared" si="7"/>
        <v>0</v>
      </c>
      <c r="O210" s="97">
        <v>0</v>
      </c>
      <c r="P210" s="92">
        <v>0</v>
      </c>
      <c r="Q210" s="98">
        <f t="shared" si="6"/>
        <v>0</v>
      </c>
      <c r="R210" s="99" t="str">
        <f>+IF(Q210+N210&lt;=0, "NO COMPRADOR", +IF(Q210&lt;=0, "SIN COMPRA "&amp;+UPPER(TEXT('DINAMICA ENERO 26'!$C$2,"mmm 'yy")), "COMPRADOR"))</f>
        <v>NO COMPRADOR</v>
      </c>
      <c r="T210" s="101"/>
      <c r="W210" s="73"/>
    </row>
    <row r="211" spans="1:23" ht="14">
      <c r="A211" s="88" t="s">
        <v>85</v>
      </c>
      <c r="B211" s="89" t="s">
        <v>257</v>
      </c>
      <c r="C211" s="89" t="s">
        <v>43</v>
      </c>
      <c r="D211" s="103">
        <v>100067806</v>
      </c>
      <c r="E211" s="89" t="s">
        <v>50</v>
      </c>
      <c r="F211" s="89">
        <v>100071903</v>
      </c>
      <c r="G211" s="90" t="s">
        <v>303</v>
      </c>
      <c r="H211" s="91">
        <v>0</v>
      </c>
      <c r="I211" s="92">
        <v>0</v>
      </c>
      <c r="J211" s="93">
        <v>0</v>
      </c>
      <c r="K211" s="94">
        <v>0</v>
      </c>
      <c r="L211" s="94">
        <v>0</v>
      </c>
      <c r="M211" s="94">
        <v>0</v>
      </c>
      <c r="N211" s="102">
        <f t="shared" si="7"/>
        <v>0</v>
      </c>
      <c r="O211" s="97">
        <v>0</v>
      </c>
      <c r="P211" s="92">
        <v>0</v>
      </c>
      <c r="Q211" s="98">
        <f t="shared" si="6"/>
        <v>0</v>
      </c>
      <c r="R211" s="99" t="str">
        <f>+IF(Q211+N211&lt;=0, "NO COMPRADOR", +IF(Q211&lt;=0, "SIN COMPRA "&amp;+UPPER(TEXT('DINAMICA ENERO 26'!$C$2,"mmm 'yy")), "COMPRADOR"))</f>
        <v>NO COMPRADOR</v>
      </c>
      <c r="S211" s="100"/>
      <c r="T211" s="101"/>
      <c r="U211" s="100"/>
      <c r="V211" s="100"/>
    </row>
    <row r="212" spans="1:23" s="100" customFormat="1" ht="14">
      <c r="A212" s="88" t="s">
        <v>85</v>
      </c>
      <c r="B212" s="89" t="s">
        <v>257</v>
      </c>
      <c r="C212" s="89" t="s">
        <v>43</v>
      </c>
      <c r="D212" s="103">
        <v>100067806</v>
      </c>
      <c r="E212" s="89" t="s">
        <v>50</v>
      </c>
      <c r="F212" s="89">
        <v>100080254</v>
      </c>
      <c r="G212" s="90" t="s">
        <v>304</v>
      </c>
      <c r="H212" s="91">
        <v>0</v>
      </c>
      <c r="I212" s="92">
        <v>0</v>
      </c>
      <c r="J212" s="93">
        <v>0</v>
      </c>
      <c r="K212" s="94">
        <v>0</v>
      </c>
      <c r="L212" s="94">
        <v>0</v>
      </c>
      <c r="M212" s="94">
        <v>0</v>
      </c>
      <c r="N212" s="102">
        <f t="shared" si="7"/>
        <v>0</v>
      </c>
      <c r="O212" s="97">
        <v>0</v>
      </c>
      <c r="P212" s="92">
        <v>0</v>
      </c>
      <c r="Q212" s="98">
        <f t="shared" si="6"/>
        <v>0</v>
      </c>
      <c r="R212" s="99" t="str">
        <f>+IF(Q212+N212&lt;=0, "NO COMPRADOR", +IF(Q212&lt;=0, "SIN COMPRA "&amp;+UPPER(TEXT('DINAMICA ENERO 26'!$C$2,"mmm 'yy")), "COMPRADOR"))</f>
        <v>NO COMPRADOR</v>
      </c>
      <c r="T212" s="101"/>
      <c r="W212" s="73"/>
    </row>
    <row r="213" spans="1:23" ht="14">
      <c r="A213" s="88" t="s">
        <v>85</v>
      </c>
      <c r="B213" s="89" t="s">
        <v>257</v>
      </c>
      <c r="C213" s="89" t="s">
        <v>43</v>
      </c>
      <c r="D213" s="103">
        <v>100067806</v>
      </c>
      <c r="E213" s="89" t="s">
        <v>50</v>
      </c>
      <c r="F213" s="89">
        <v>100080176</v>
      </c>
      <c r="G213" s="90" t="s">
        <v>305</v>
      </c>
      <c r="H213" s="91">
        <v>0</v>
      </c>
      <c r="I213" s="92">
        <v>0</v>
      </c>
      <c r="J213" s="93">
        <v>0</v>
      </c>
      <c r="K213" s="94">
        <v>4.8</v>
      </c>
      <c r="L213" s="94">
        <v>4.8</v>
      </c>
      <c r="M213" s="94">
        <v>4.8</v>
      </c>
      <c r="N213" s="102">
        <f t="shared" si="7"/>
        <v>4.8</v>
      </c>
      <c r="O213" s="97">
        <v>0</v>
      </c>
      <c r="P213" s="92">
        <v>0</v>
      </c>
      <c r="Q213" s="98">
        <f t="shared" si="6"/>
        <v>0</v>
      </c>
      <c r="R213" s="99" t="str">
        <f>+IF(Q213+N213&lt;=0, "NO COMPRADOR", +IF(Q213&lt;=0, "SIN COMPRA "&amp;+UPPER(TEXT('DINAMICA ENERO 26'!$C$2,"mmm 'yy")), "COMPRADOR"))</f>
        <v>SIN COMPRA FEB '26</v>
      </c>
      <c r="S213" s="100"/>
      <c r="T213" s="101"/>
      <c r="U213" s="100"/>
      <c r="V213" s="100"/>
    </row>
    <row r="214" spans="1:23" ht="14">
      <c r="A214" s="88" t="s">
        <v>85</v>
      </c>
      <c r="B214" s="89" t="s">
        <v>257</v>
      </c>
      <c r="C214" s="89" t="s">
        <v>43</v>
      </c>
      <c r="D214" s="103">
        <v>100067806</v>
      </c>
      <c r="E214" s="89" t="s">
        <v>50</v>
      </c>
      <c r="F214" s="89">
        <v>100085312</v>
      </c>
      <c r="G214" s="90" t="s">
        <v>306</v>
      </c>
      <c r="H214" s="91">
        <v>0</v>
      </c>
      <c r="I214" s="92">
        <v>0</v>
      </c>
      <c r="J214" s="93">
        <v>0</v>
      </c>
      <c r="K214" s="94">
        <v>0</v>
      </c>
      <c r="L214" s="94">
        <v>0</v>
      </c>
      <c r="M214" s="94">
        <v>0</v>
      </c>
      <c r="N214" s="102">
        <f t="shared" si="7"/>
        <v>0</v>
      </c>
      <c r="O214" s="97">
        <v>0</v>
      </c>
      <c r="P214" s="92">
        <v>4.8</v>
      </c>
      <c r="Q214" s="98">
        <f t="shared" si="6"/>
        <v>4.8</v>
      </c>
      <c r="R214" s="99" t="str">
        <f>+IF(Q214+N214&lt;=0, "NO COMPRADOR", +IF(Q214&lt;=0, "SIN COMPRA "&amp;+UPPER(TEXT('DINAMICA ENERO 26'!$C$2,"mmm 'yy")), "COMPRADOR"))</f>
        <v>COMPRADOR</v>
      </c>
      <c r="S214" s="100"/>
      <c r="T214" s="101"/>
      <c r="U214" s="100"/>
      <c r="V214" s="100"/>
    </row>
    <row r="215" spans="1:23" ht="14">
      <c r="A215" s="88" t="s">
        <v>85</v>
      </c>
      <c r="B215" s="89" t="s">
        <v>257</v>
      </c>
      <c r="C215" s="89" t="s">
        <v>43</v>
      </c>
      <c r="D215" s="103">
        <v>100067806</v>
      </c>
      <c r="E215" s="89" t="s">
        <v>50</v>
      </c>
      <c r="F215" s="89">
        <v>100076730</v>
      </c>
      <c r="G215" s="90" t="s">
        <v>307</v>
      </c>
      <c r="H215" s="91">
        <v>0</v>
      </c>
      <c r="I215" s="92">
        <v>0</v>
      </c>
      <c r="J215" s="93">
        <v>4.8</v>
      </c>
      <c r="K215" s="94">
        <v>0</v>
      </c>
      <c r="L215" s="94">
        <v>0</v>
      </c>
      <c r="M215" s="94">
        <v>0</v>
      </c>
      <c r="N215" s="102">
        <f t="shared" si="7"/>
        <v>0</v>
      </c>
      <c r="O215" s="97">
        <v>0</v>
      </c>
      <c r="P215" s="92">
        <v>4.8</v>
      </c>
      <c r="Q215" s="98">
        <f t="shared" si="6"/>
        <v>4.8</v>
      </c>
      <c r="R215" s="99" t="str">
        <f>+IF(Q215+N215&lt;=0, "NO COMPRADOR", +IF(Q215&lt;=0, "SIN COMPRA "&amp;+UPPER(TEXT('DINAMICA ENERO 26'!$C$2,"mmm 'yy")), "COMPRADOR"))</f>
        <v>COMPRADOR</v>
      </c>
      <c r="S215" s="100"/>
      <c r="T215" s="101"/>
      <c r="U215" s="100"/>
      <c r="V215" s="100"/>
    </row>
    <row r="216" spans="1:23" ht="14">
      <c r="A216" s="88" t="s">
        <v>85</v>
      </c>
      <c r="B216" s="89" t="s">
        <v>257</v>
      </c>
      <c r="C216" s="89" t="s">
        <v>43</v>
      </c>
      <c r="D216" s="103">
        <v>100067806</v>
      </c>
      <c r="E216" s="89" t="s">
        <v>50</v>
      </c>
      <c r="F216" s="89">
        <v>100009892</v>
      </c>
      <c r="G216" s="90" t="s">
        <v>308</v>
      </c>
      <c r="H216" s="91">
        <v>0</v>
      </c>
      <c r="I216" s="92">
        <v>0</v>
      </c>
      <c r="J216" s="93">
        <v>4.8</v>
      </c>
      <c r="K216" s="94">
        <v>4.8</v>
      </c>
      <c r="L216" s="94">
        <v>4.8</v>
      </c>
      <c r="M216" s="94">
        <v>4.8</v>
      </c>
      <c r="N216" s="102">
        <f t="shared" si="7"/>
        <v>4.8</v>
      </c>
      <c r="O216" s="97">
        <v>0</v>
      </c>
      <c r="P216" s="92">
        <v>0</v>
      </c>
      <c r="Q216" s="98">
        <f t="shared" si="6"/>
        <v>0</v>
      </c>
      <c r="R216" s="99" t="str">
        <f>+IF(Q216+N216&lt;=0, "NO COMPRADOR", +IF(Q216&lt;=0, "SIN COMPRA "&amp;+UPPER(TEXT('DINAMICA ENERO 26'!$C$2,"mmm 'yy")), "COMPRADOR"))</f>
        <v>SIN COMPRA FEB '26</v>
      </c>
      <c r="S216" s="100"/>
      <c r="T216" s="101"/>
      <c r="U216" s="100"/>
      <c r="V216" s="100"/>
    </row>
    <row r="217" spans="1:23" ht="14">
      <c r="A217" s="88" t="s">
        <v>85</v>
      </c>
      <c r="B217" s="89" t="s">
        <v>257</v>
      </c>
      <c r="C217" s="89" t="s">
        <v>43</v>
      </c>
      <c r="D217" s="103">
        <v>100067806</v>
      </c>
      <c r="E217" s="89" t="s">
        <v>50</v>
      </c>
      <c r="F217" s="89">
        <v>100063728</v>
      </c>
      <c r="G217" s="90" t="s">
        <v>309</v>
      </c>
      <c r="H217" s="91">
        <v>0</v>
      </c>
      <c r="I217" s="92">
        <v>0</v>
      </c>
      <c r="J217" s="93">
        <v>9.6</v>
      </c>
      <c r="K217" s="94">
        <v>100.8</v>
      </c>
      <c r="L217" s="94">
        <v>24</v>
      </c>
      <c r="M217" s="94">
        <v>4.8</v>
      </c>
      <c r="N217" s="102">
        <f t="shared" si="7"/>
        <v>43.199999999999996</v>
      </c>
      <c r="O217" s="97">
        <v>0</v>
      </c>
      <c r="P217" s="92">
        <v>0</v>
      </c>
      <c r="Q217" s="98">
        <f t="shared" si="6"/>
        <v>0</v>
      </c>
      <c r="R217" s="99" t="str">
        <f>+IF(Q217+N217&lt;=0, "NO COMPRADOR", +IF(Q217&lt;=0, "SIN COMPRA "&amp;+UPPER(TEXT('DINAMICA ENERO 26'!$C$2,"mmm 'yy")), "COMPRADOR"))</f>
        <v>SIN COMPRA FEB '26</v>
      </c>
      <c r="S217" s="100"/>
      <c r="T217" s="101"/>
      <c r="U217" s="100"/>
      <c r="V217" s="100"/>
    </row>
    <row r="218" spans="1:23" ht="14">
      <c r="A218" s="88" t="s">
        <v>85</v>
      </c>
      <c r="B218" s="89" t="s">
        <v>257</v>
      </c>
      <c r="C218" s="89" t="s">
        <v>43</v>
      </c>
      <c r="D218" s="103">
        <v>100067806</v>
      </c>
      <c r="E218" s="89" t="s">
        <v>50</v>
      </c>
      <c r="F218" s="89">
        <v>100084491</v>
      </c>
      <c r="G218" s="90" t="s">
        <v>310</v>
      </c>
      <c r="H218" s="91">
        <v>0</v>
      </c>
      <c r="I218" s="92">
        <v>0</v>
      </c>
      <c r="J218" s="93">
        <v>0</v>
      </c>
      <c r="K218" s="94">
        <v>0</v>
      </c>
      <c r="L218" s="94">
        <v>0</v>
      </c>
      <c r="M218" s="94">
        <v>0</v>
      </c>
      <c r="N218" s="102">
        <f t="shared" si="7"/>
        <v>0</v>
      </c>
      <c r="O218" s="97">
        <v>0</v>
      </c>
      <c r="P218" s="92">
        <v>0</v>
      </c>
      <c r="Q218" s="98">
        <f t="shared" si="6"/>
        <v>0</v>
      </c>
      <c r="R218" s="99" t="str">
        <f>+IF(Q218+N218&lt;=0, "NO COMPRADOR", +IF(Q218&lt;=0, "SIN COMPRA "&amp;+UPPER(TEXT('DINAMICA ENERO 26'!$C$2,"mmm 'yy")), "COMPRADOR"))</f>
        <v>NO COMPRADOR</v>
      </c>
      <c r="S218" s="100"/>
      <c r="T218" s="101"/>
      <c r="U218" s="100"/>
      <c r="V218" s="100"/>
    </row>
    <row r="219" spans="1:23" ht="14">
      <c r="A219" s="88" t="s">
        <v>85</v>
      </c>
      <c r="B219" s="89" t="s">
        <v>257</v>
      </c>
      <c r="C219" s="89" t="s">
        <v>43</v>
      </c>
      <c r="D219" s="103">
        <v>100067806</v>
      </c>
      <c r="E219" s="89" t="s">
        <v>50</v>
      </c>
      <c r="F219" s="89">
        <v>100062883</v>
      </c>
      <c r="G219" s="90" t="s">
        <v>311</v>
      </c>
      <c r="H219" s="91">
        <v>0</v>
      </c>
      <c r="I219" s="92">
        <v>0</v>
      </c>
      <c r="J219" s="93">
        <v>0</v>
      </c>
      <c r="K219" s="94">
        <v>0</v>
      </c>
      <c r="L219" s="94">
        <v>0</v>
      </c>
      <c r="M219" s="94">
        <v>4.8</v>
      </c>
      <c r="N219" s="102">
        <f t="shared" si="7"/>
        <v>1.5999999999999999</v>
      </c>
      <c r="O219" s="97">
        <v>0</v>
      </c>
      <c r="P219" s="92">
        <v>0</v>
      </c>
      <c r="Q219" s="98">
        <f t="shared" ref="Q219:Q282" si="8">+O219+P219</f>
        <v>0</v>
      </c>
      <c r="R219" s="99" t="str">
        <f>+IF(Q219+N219&lt;=0, "NO COMPRADOR", +IF(Q219&lt;=0, "SIN COMPRA "&amp;+UPPER(TEXT('DINAMICA ENERO 26'!$C$2,"mmm 'yy")), "COMPRADOR"))</f>
        <v>SIN COMPRA FEB '26</v>
      </c>
      <c r="S219" s="100"/>
      <c r="T219" s="101"/>
      <c r="U219" s="100"/>
      <c r="V219" s="100"/>
    </row>
    <row r="220" spans="1:23" ht="14">
      <c r="A220" s="88" t="s">
        <v>85</v>
      </c>
      <c r="B220" s="89" t="s">
        <v>257</v>
      </c>
      <c r="C220" s="89" t="s">
        <v>43</v>
      </c>
      <c r="D220" s="103">
        <v>100067806</v>
      </c>
      <c r="E220" s="89" t="s">
        <v>50</v>
      </c>
      <c r="F220" s="89">
        <v>100014014</v>
      </c>
      <c r="G220" s="90" t="s">
        <v>312</v>
      </c>
      <c r="H220" s="91">
        <v>0</v>
      </c>
      <c r="I220" s="92">
        <v>0</v>
      </c>
      <c r="J220" s="93">
        <v>0</v>
      </c>
      <c r="K220" s="94">
        <v>0</v>
      </c>
      <c r="L220" s="94">
        <v>0</v>
      </c>
      <c r="M220" s="94">
        <v>0</v>
      </c>
      <c r="N220" s="102">
        <f t="shared" si="7"/>
        <v>0</v>
      </c>
      <c r="O220" s="97">
        <v>0</v>
      </c>
      <c r="P220" s="92">
        <v>0</v>
      </c>
      <c r="Q220" s="98">
        <f t="shared" si="8"/>
        <v>0</v>
      </c>
      <c r="R220" s="99" t="str">
        <f>+IF(Q220+N220&lt;=0, "NO COMPRADOR", +IF(Q220&lt;=0, "SIN COMPRA "&amp;+UPPER(TEXT('DINAMICA ENERO 26'!$C$2,"mmm 'yy")), "COMPRADOR"))</f>
        <v>NO COMPRADOR</v>
      </c>
      <c r="S220" s="100"/>
      <c r="T220" s="101"/>
      <c r="U220" s="100"/>
      <c r="V220" s="100"/>
    </row>
    <row r="221" spans="1:23" ht="14">
      <c r="A221" s="88" t="s">
        <v>85</v>
      </c>
      <c r="B221" s="89" t="s">
        <v>257</v>
      </c>
      <c r="C221" s="89" t="s">
        <v>43</v>
      </c>
      <c r="D221" s="103">
        <v>100067806</v>
      </c>
      <c r="E221" s="89" t="s">
        <v>50</v>
      </c>
      <c r="F221" s="89">
        <v>100088613</v>
      </c>
      <c r="G221" s="90" t="s">
        <v>313</v>
      </c>
      <c r="H221" s="91">
        <v>0</v>
      </c>
      <c r="I221" s="92">
        <v>4.8</v>
      </c>
      <c r="J221" s="93">
        <v>9.6</v>
      </c>
      <c r="K221" s="94">
        <v>0</v>
      </c>
      <c r="L221" s="94">
        <v>0</v>
      </c>
      <c r="M221" s="94">
        <v>0</v>
      </c>
      <c r="N221" s="102">
        <f t="shared" si="7"/>
        <v>0</v>
      </c>
      <c r="O221" s="97">
        <v>0</v>
      </c>
      <c r="P221" s="92">
        <v>0</v>
      </c>
      <c r="Q221" s="98">
        <f t="shared" si="8"/>
        <v>0</v>
      </c>
      <c r="R221" s="99" t="str">
        <f>+IF(Q221+N221&lt;=0, "NO COMPRADOR", +IF(Q221&lt;=0, "SIN COMPRA "&amp;+UPPER(TEXT('DINAMICA ENERO 26'!$C$2,"mmm 'yy")), "COMPRADOR"))</f>
        <v>NO COMPRADOR</v>
      </c>
      <c r="S221" s="100"/>
      <c r="T221" s="101"/>
      <c r="U221" s="100"/>
      <c r="V221" s="100"/>
    </row>
    <row r="222" spans="1:23" ht="14">
      <c r="A222" s="88" t="s">
        <v>85</v>
      </c>
      <c r="B222" s="89" t="s">
        <v>257</v>
      </c>
      <c r="C222" s="89" t="s">
        <v>43</v>
      </c>
      <c r="D222" s="103">
        <v>100067806</v>
      </c>
      <c r="E222" s="89" t="s">
        <v>50</v>
      </c>
      <c r="F222" s="89">
        <v>100001513</v>
      </c>
      <c r="G222" s="90" t="s">
        <v>287</v>
      </c>
      <c r="H222" s="91">
        <v>4.8</v>
      </c>
      <c r="I222" s="92">
        <v>0</v>
      </c>
      <c r="J222" s="93">
        <v>0</v>
      </c>
      <c r="K222" s="94">
        <v>0</v>
      </c>
      <c r="L222" s="94">
        <v>0</v>
      </c>
      <c r="M222" s="94">
        <v>0</v>
      </c>
      <c r="N222" s="102">
        <f t="shared" si="7"/>
        <v>0</v>
      </c>
      <c r="O222" s="97">
        <v>0</v>
      </c>
      <c r="P222" s="92">
        <v>0</v>
      </c>
      <c r="Q222" s="98">
        <f t="shared" si="8"/>
        <v>0</v>
      </c>
      <c r="R222" s="99" t="str">
        <f>+IF(Q222+N222&lt;=0, "NO COMPRADOR", +IF(Q222&lt;=0, "SIN COMPRA "&amp;+UPPER(TEXT('DINAMICA ENERO 26'!$C$2,"mmm 'yy")), "COMPRADOR"))</f>
        <v>NO COMPRADOR</v>
      </c>
      <c r="S222" s="100"/>
      <c r="T222" s="101"/>
      <c r="U222" s="100"/>
      <c r="V222" s="100"/>
    </row>
    <row r="223" spans="1:23" ht="14">
      <c r="A223" s="88" t="s">
        <v>85</v>
      </c>
      <c r="B223" s="89" t="s">
        <v>257</v>
      </c>
      <c r="C223" s="89" t="s">
        <v>43</v>
      </c>
      <c r="D223" s="103">
        <v>100067806</v>
      </c>
      <c r="E223" s="89" t="s">
        <v>50</v>
      </c>
      <c r="F223" s="89">
        <v>100001295</v>
      </c>
      <c r="G223" s="90" t="s">
        <v>314</v>
      </c>
      <c r="H223" s="91">
        <v>4.8</v>
      </c>
      <c r="I223" s="92">
        <v>9.6</v>
      </c>
      <c r="J223" s="93">
        <v>0</v>
      </c>
      <c r="K223" s="94">
        <v>0</v>
      </c>
      <c r="L223" s="94">
        <v>9.6</v>
      </c>
      <c r="M223" s="94">
        <v>24</v>
      </c>
      <c r="N223" s="102">
        <f t="shared" si="7"/>
        <v>11.200000000000001</v>
      </c>
      <c r="O223" s="97">
        <v>0</v>
      </c>
      <c r="P223" s="92">
        <v>0</v>
      </c>
      <c r="Q223" s="98">
        <f t="shared" si="8"/>
        <v>0</v>
      </c>
      <c r="R223" s="99" t="str">
        <f>+IF(Q223+N223&lt;=0, "NO COMPRADOR", +IF(Q223&lt;=0, "SIN COMPRA "&amp;+UPPER(TEXT('DINAMICA ENERO 26'!$C$2,"mmm 'yy")), "COMPRADOR"))</f>
        <v>SIN COMPRA FEB '26</v>
      </c>
      <c r="S223" s="100"/>
      <c r="T223" s="101"/>
      <c r="U223" s="100"/>
      <c r="V223" s="100"/>
    </row>
    <row r="224" spans="1:23" ht="14">
      <c r="A224" s="88" t="s">
        <v>85</v>
      </c>
      <c r="B224" s="89" t="s">
        <v>315</v>
      </c>
      <c r="C224" s="89" t="s">
        <v>43</v>
      </c>
      <c r="D224" s="103">
        <v>100063546</v>
      </c>
      <c r="E224" s="89" t="s">
        <v>46</v>
      </c>
      <c r="F224" s="89">
        <v>100001979</v>
      </c>
      <c r="G224" s="90" t="s">
        <v>290</v>
      </c>
      <c r="H224" s="91">
        <v>9.6</v>
      </c>
      <c r="I224" s="92">
        <v>24</v>
      </c>
      <c r="J224" s="93">
        <v>-4.799999999999998</v>
      </c>
      <c r="K224" s="94">
        <v>0</v>
      </c>
      <c r="L224" s="94">
        <v>4.8</v>
      </c>
      <c r="M224" s="94">
        <v>9.6</v>
      </c>
      <c r="N224" s="102">
        <f t="shared" si="7"/>
        <v>4.8</v>
      </c>
      <c r="O224" s="97">
        <v>4.8</v>
      </c>
      <c r="P224" s="92">
        <v>0</v>
      </c>
      <c r="Q224" s="98">
        <f t="shared" si="8"/>
        <v>4.8</v>
      </c>
      <c r="R224" s="99" t="str">
        <f>+IF(Q224+N224&lt;=0, "NO COMPRADOR", +IF(Q224&lt;=0, "SIN COMPRA "&amp;+UPPER(TEXT('DINAMICA ENERO 26'!$C$2,"mmm 'yy")), "COMPRADOR"))</f>
        <v>COMPRADOR</v>
      </c>
      <c r="S224" s="100"/>
      <c r="T224" s="101"/>
      <c r="U224" s="100"/>
      <c r="V224" s="100"/>
    </row>
    <row r="225" spans="1:22" ht="14">
      <c r="A225" s="88" t="s">
        <v>85</v>
      </c>
      <c r="B225" s="89" t="s">
        <v>315</v>
      </c>
      <c r="C225" s="89" t="s">
        <v>43</v>
      </c>
      <c r="D225" s="103">
        <v>100063546</v>
      </c>
      <c r="E225" s="89" t="s">
        <v>46</v>
      </c>
      <c r="F225" s="89">
        <v>100001709</v>
      </c>
      <c r="G225" s="90" t="s">
        <v>316</v>
      </c>
      <c r="H225" s="91">
        <v>0</v>
      </c>
      <c r="I225" s="92">
        <v>4.8</v>
      </c>
      <c r="J225" s="93">
        <v>0</v>
      </c>
      <c r="K225" s="94">
        <v>0</v>
      </c>
      <c r="L225" s="94">
        <v>9.6</v>
      </c>
      <c r="M225" s="94">
        <v>9.6</v>
      </c>
      <c r="N225" s="102">
        <f t="shared" si="7"/>
        <v>6.3999999999999995</v>
      </c>
      <c r="O225" s="97">
        <v>0</v>
      </c>
      <c r="P225" s="92">
        <v>9.6</v>
      </c>
      <c r="Q225" s="98">
        <f t="shared" si="8"/>
        <v>9.6</v>
      </c>
      <c r="R225" s="99" t="str">
        <f>+IF(Q225+N225&lt;=0, "NO COMPRADOR", +IF(Q225&lt;=0, "SIN COMPRA "&amp;+UPPER(TEXT('DINAMICA ENERO 26'!$C$2,"mmm 'yy")), "COMPRADOR"))</f>
        <v>COMPRADOR</v>
      </c>
      <c r="S225" s="100"/>
      <c r="T225" s="101"/>
      <c r="U225" s="100"/>
      <c r="V225" s="100"/>
    </row>
    <row r="226" spans="1:22" ht="14">
      <c r="A226" s="88" t="s">
        <v>85</v>
      </c>
      <c r="B226" s="89" t="s">
        <v>315</v>
      </c>
      <c r="C226" s="89" t="s">
        <v>43</v>
      </c>
      <c r="D226" s="103">
        <v>100063546</v>
      </c>
      <c r="E226" s="89" t="s">
        <v>46</v>
      </c>
      <c r="F226" s="89">
        <v>100001939</v>
      </c>
      <c r="G226" s="90" t="s">
        <v>317</v>
      </c>
      <c r="H226" s="91">
        <v>24</v>
      </c>
      <c r="I226" s="92">
        <v>4.8</v>
      </c>
      <c r="J226" s="93">
        <v>4.8</v>
      </c>
      <c r="K226" s="94">
        <v>19.2</v>
      </c>
      <c r="L226" s="94">
        <v>14.4</v>
      </c>
      <c r="M226" s="94">
        <v>24</v>
      </c>
      <c r="N226" s="102">
        <f t="shared" si="7"/>
        <v>19.2</v>
      </c>
      <c r="O226" s="97">
        <v>0</v>
      </c>
      <c r="P226" s="92">
        <v>0</v>
      </c>
      <c r="Q226" s="98">
        <f t="shared" si="8"/>
        <v>0</v>
      </c>
      <c r="R226" s="99" t="str">
        <f>+IF(Q226+N226&lt;=0, "NO COMPRADOR", +IF(Q226&lt;=0, "SIN COMPRA "&amp;+UPPER(TEXT('DINAMICA ENERO 26'!$C$2,"mmm 'yy")), "COMPRADOR"))</f>
        <v>SIN COMPRA FEB '26</v>
      </c>
      <c r="S226" s="100"/>
      <c r="T226" s="101"/>
      <c r="U226" s="100"/>
      <c r="V226" s="100"/>
    </row>
    <row r="227" spans="1:22" ht="14">
      <c r="A227" s="88" t="s">
        <v>85</v>
      </c>
      <c r="B227" s="89" t="s">
        <v>315</v>
      </c>
      <c r="C227" s="89" t="s">
        <v>43</v>
      </c>
      <c r="D227" s="103">
        <v>100063546</v>
      </c>
      <c r="E227" s="89" t="s">
        <v>46</v>
      </c>
      <c r="F227" s="89">
        <v>100065432</v>
      </c>
      <c r="G227" s="90" t="s">
        <v>318</v>
      </c>
      <c r="H227" s="91">
        <v>76.799999999999983</v>
      </c>
      <c r="I227" s="92">
        <v>52.8</v>
      </c>
      <c r="J227" s="93">
        <v>100.8</v>
      </c>
      <c r="K227" s="94">
        <v>120</v>
      </c>
      <c r="L227" s="94">
        <v>14.399999999999999</v>
      </c>
      <c r="M227" s="94">
        <v>163.19999999999999</v>
      </c>
      <c r="N227" s="102">
        <f t="shared" si="7"/>
        <v>99.2</v>
      </c>
      <c r="O227" s="97">
        <v>0</v>
      </c>
      <c r="P227" s="92">
        <v>0</v>
      </c>
      <c r="Q227" s="98">
        <f t="shared" si="8"/>
        <v>0</v>
      </c>
      <c r="R227" s="99" t="str">
        <f>+IF(Q227+N227&lt;=0, "NO COMPRADOR", +IF(Q227&lt;=0, "SIN COMPRA "&amp;+UPPER(TEXT('DINAMICA ENERO 26'!$C$2,"mmm 'yy")), "COMPRADOR"))</f>
        <v>SIN COMPRA FEB '26</v>
      </c>
      <c r="S227" s="100"/>
      <c r="T227" s="101"/>
      <c r="U227" s="100"/>
      <c r="V227" s="100"/>
    </row>
    <row r="228" spans="1:22" ht="14">
      <c r="A228" s="88" t="s">
        <v>85</v>
      </c>
      <c r="B228" s="89" t="s">
        <v>315</v>
      </c>
      <c r="C228" s="89" t="s">
        <v>43</v>
      </c>
      <c r="D228" s="103">
        <v>100063546</v>
      </c>
      <c r="E228" s="89" t="s">
        <v>46</v>
      </c>
      <c r="F228" s="89">
        <v>100084929</v>
      </c>
      <c r="G228" s="90" t="s">
        <v>319</v>
      </c>
      <c r="H228" s="91">
        <v>0</v>
      </c>
      <c r="I228" s="92">
        <v>0</v>
      </c>
      <c r="J228" s="93">
        <v>0</v>
      </c>
      <c r="K228" s="94">
        <v>0</v>
      </c>
      <c r="L228" s="94">
        <v>0</v>
      </c>
      <c r="M228" s="94">
        <v>0</v>
      </c>
      <c r="N228" s="102">
        <f t="shared" si="7"/>
        <v>0</v>
      </c>
      <c r="O228" s="97">
        <v>0</v>
      </c>
      <c r="P228" s="92">
        <v>0</v>
      </c>
      <c r="Q228" s="98">
        <f t="shared" si="8"/>
        <v>0</v>
      </c>
      <c r="R228" s="99" t="str">
        <f>+IF(Q228+N228&lt;=0, "NO COMPRADOR", +IF(Q228&lt;=0, "SIN COMPRA "&amp;+UPPER(TEXT('DINAMICA ENERO 26'!$C$2,"mmm 'yy")), "COMPRADOR"))</f>
        <v>NO COMPRADOR</v>
      </c>
      <c r="S228" s="100"/>
      <c r="T228" s="101"/>
      <c r="U228" s="100"/>
      <c r="V228" s="100"/>
    </row>
    <row r="229" spans="1:22" ht="14">
      <c r="A229" s="88" t="s">
        <v>85</v>
      </c>
      <c r="B229" s="89" t="s">
        <v>315</v>
      </c>
      <c r="C229" s="89" t="s">
        <v>43</v>
      </c>
      <c r="D229" s="103">
        <v>100063546</v>
      </c>
      <c r="E229" s="89" t="s">
        <v>46</v>
      </c>
      <c r="F229" s="89">
        <v>100001196</v>
      </c>
      <c r="G229" s="90" t="s">
        <v>320</v>
      </c>
      <c r="H229" s="91">
        <v>249.59999999999994</v>
      </c>
      <c r="I229" s="92">
        <v>268.8</v>
      </c>
      <c r="J229" s="93">
        <v>0</v>
      </c>
      <c r="K229" s="94">
        <v>0</v>
      </c>
      <c r="L229" s="94">
        <v>14.399999999999999</v>
      </c>
      <c r="M229" s="94">
        <v>-14.399999999999999</v>
      </c>
      <c r="N229" s="102">
        <f t="shared" si="7"/>
        <v>0</v>
      </c>
      <c r="O229" s="97">
        <v>0</v>
      </c>
      <c r="P229" s="92">
        <v>0</v>
      </c>
      <c r="Q229" s="98">
        <f t="shared" si="8"/>
        <v>0</v>
      </c>
      <c r="R229" s="99" t="str">
        <f>+IF(Q229+N229&lt;=0, "NO COMPRADOR", +IF(Q229&lt;=0, "SIN COMPRA "&amp;+UPPER(TEXT('DINAMICA ENERO 26'!$C$2,"mmm 'yy")), "COMPRADOR"))</f>
        <v>NO COMPRADOR</v>
      </c>
      <c r="S229" s="100"/>
      <c r="T229" s="101"/>
      <c r="U229" s="100"/>
      <c r="V229" s="100"/>
    </row>
    <row r="230" spans="1:22" ht="14">
      <c r="A230" s="88" t="s">
        <v>85</v>
      </c>
      <c r="B230" s="89" t="s">
        <v>315</v>
      </c>
      <c r="C230" s="89" t="s">
        <v>43</v>
      </c>
      <c r="D230" s="103">
        <v>100063546</v>
      </c>
      <c r="E230" s="89" t="s">
        <v>46</v>
      </c>
      <c r="F230" s="89">
        <v>100005901</v>
      </c>
      <c r="G230" s="90" t="s">
        <v>321</v>
      </c>
      <c r="H230" s="91">
        <v>0</v>
      </c>
      <c r="I230" s="92">
        <v>0</v>
      </c>
      <c r="J230" s="93">
        <v>0</v>
      </c>
      <c r="K230" s="94">
        <v>47.999999999999993</v>
      </c>
      <c r="L230" s="94">
        <v>100.8</v>
      </c>
      <c r="M230" s="94">
        <v>48</v>
      </c>
      <c r="N230" s="102">
        <f t="shared" si="7"/>
        <v>65.599999999999994</v>
      </c>
      <c r="O230" s="97">
        <v>0</v>
      </c>
      <c r="P230" s="92">
        <v>0</v>
      </c>
      <c r="Q230" s="98">
        <f t="shared" si="8"/>
        <v>0</v>
      </c>
      <c r="R230" s="99" t="str">
        <f>+IF(Q230+N230&lt;=0, "NO COMPRADOR", +IF(Q230&lt;=0, "SIN COMPRA "&amp;+UPPER(TEXT('DINAMICA ENERO 26'!$C$2,"mmm 'yy")), "COMPRADOR"))</f>
        <v>SIN COMPRA FEB '26</v>
      </c>
      <c r="S230" s="100"/>
      <c r="T230" s="101"/>
      <c r="U230" s="100"/>
      <c r="V230" s="100"/>
    </row>
    <row r="231" spans="1:22" ht="14">
      <c r="A231" s="88" t="s">
        <v>85</v>
      </c>
      <c r="B231" s="89" t="s">
        <v>315</v>
      </c>
      <c r="C231" s="89" t="s">
        <v>43</v>
      </c>
      <c r="D231" s="103">
        <v>100063546</v>
      </c>
      <c r="E231" s="89" t="s">
        <v>46</v>
      </c>
      <c r="F231" s="89">
        <v>100015382</v>
      </c>
      <c r="G231" s="90" t="s">
        <v>322</v>
      </c>
      <c r="H231" s="91">
        <v>0</v>
      </c>
      <c r="I231" s="92">
        <v>0</v>
      </c>
      <c r="J231" s="93">
        <v>0</v>
      </c>
      <c r="K231" s="94">
        <v>0</v>
      </c>
      <c r="L231" s="94">
        <v>0</v>
      </c>
      <c r="M231" s="94">
        <v>0</v>
      </c>
      <c r="N231" s="102">
        <f t="shared" si="7"/>
        <v>0</v>
      </c>
      <c r="O231" s="97">
        <v>0</v>
      </c>
      <c r="P231" s="92">
        <v>0</v>
      </c>
      <c r="Q231" s="98">
        <f t="shared" si="8"/>
        <v>0</v>
      </c>
      <c r="R231" s="99" t="str">
        <f>+IF(Q231+N231&lt;=0, "NO COMPRADOR", +IF(Q231&lt;=0, "SIN COMPRA "&amp;+UPPER(TEXT('DINAMICA ENERO 26'!$C$2,"mmm 'yy")), "COMPRADOR"))</f>
        <v>NO COMPRADOR</v>
      </c>
      <c r="S231" s="100"/>
      <c r="T231" s="101"/>
      <c r="U231" s="100"/>
      <c r="V231" s="100"/>
    </row>
    <row r="232" spans="1:22" ht="14">
      <c r="A232" s="88" t="s">
        <v>85</v>
      </c>
      <c r="B232" s="89" t="s">
        <v>315</v>
      </c>
      <c r="C232" s="89" t="s">
        <v>43</v>
      </c>
      <c r="D232" s="103">
        <v>100063546</v>
      </c>
      <c r="E232" s="89" t="s">
        <v>46</v>
      </c>
      <c r="F232" s="89">
        <v>100001715</v>
      </c>
      <c r="G232" s="90" t="s">
        <v>323</v>
      </c>
      <c r="H232" s="91">
        <v>4.8</v>
      </c>
      <c r="I232" s="92">
        <v>4.8</v>
      </c>
      <c r="J232" s="93">
        <v>0</v>
      </c>
      <c r="K232" s="94">
        <v>0</v>
      </c>
      <c r="L232" s="94">
        <v>14.399999999999999</v>
      </c>
      <c r="M232" s="94">
        <v>-9.5999999999999979</v>
      </c>
      <c r="N232" s="102">
        <f t="shared" si="7"/>
        <v>1.6000000000000003</v>
      </c>
      <c r="O232" s="97">
        <v>0</v>
      </c>
      <c r="P232" s="92">
        <v>0</v>
      </c>
      <c r="Q232" s="98">
        <f t="shared" si="8"/>
        <v>0</v>
      </c>
      <c r="R232" s="99" t="str">
        <f>+IF(Q232+N232&lt;=0, "NO COMPRADOR", +IF(Q232&lt;=0, "SIN COMPRA "&amp;+UPPER(TEXT('DINAMICA ENERO 26'!$C$2,"mmm 'yy")), "COMPRADOR"))</f>
        <v>SIN COMPRA FEB '26</v>
      </c>
      <c r="S232" s="100"/>
      <c r="T232" s="101"/>
      <c r="U232" s="100"/>
      <c r="V232" s="100"/>
    </row>
    <row r="233" spans="1:22" ht="14">
      <c r="A233" s="88" t="s">
        <v>85</v>
      </c>
      <c r="B233" s="89" t="s">
        <v>315</v>
      </c>
      <c r="C233" s="89" t="s">
        <v>43</v>
      </c>
      <c r="D233" s="103">
        <v>100063546</v>
      </c>
      <c r="E233" s="89" t="s">
        <v>46</v>
      </c>
      <c r="F233" s="89">
        <v>100001825</v>
      </c>
      <c r="G233" s="90" t="s">
        <v>324</v>
      </c>
      <c r="H233" s="91">
        <v>14.399999999999999</v>
      </c>
      <c r="I233" s="92">
        <v>0</v>
      </c>
      <c r="J233" s="93">
        <v>9.6</v>
      </c>
      <c r="K233" s="94">
        <v>4.8</v>
      </c>
      <c r="L233" s="94">
        <v>0</v>
      </c>
      <c r="M233" s="94">
        <v>0</v>
      </c>
      <c r="N233" s="102">
        <f t="shared" si="7"/>
        <v>1.5999999999999999</v>
      </c>
      <c r="O233" s="97">
        <v>9.6</v>
      </c>
      <c r="P233" s="92">
        <v>4.8</v>
      </c>
      <c r="Q233" s="98">
        <f t="shared" si="8"/>
        <v>14.399999999999999</v>
      </c>
      <c r="R233" s="99" t="str">
        <f>+IF(Q233+N233&lt;=0, "NO COMPRADOR", +IF(Q233&lt;=0, "SIN COMPRA "&amp;+UPPER(TEXT('DINAMICA ENERO 26'!$C$2,"mmm 'yy")), "COMPRADOR"))</f>
        <v>COMPRADOR</v>
      </c>
      <c r="S233" s="100"/>
      <c r="T233" s="101"/>
      <c r="U233" s="100"/>
      <c r="V233" s="100"/>
    </row>
    <row r="234" spans="1:22" ht="14">
      <c r="A234" s="88" t="s">
        <v>85</v>
      </c>
      <c r="B234" s="89" t="s">
        <v>315</v>
      </c>
      <c r="C234" s="89" t="s">
        <v>43</v>
      </c>
      <c r="D234" s="103">
        <v>100063546</v>
      </c>
      <c r="E234" s="89" t="s">
        <v>46</v>
      </c>
      <c r="F234" s="89">
        <v>100071034</v>
      </c>
      <c r="G234" s="90" t="s">
        <v>325</v>
      </c>
      <c r="H234" s="91">
        <v>0</v>
      </c>
      <c r="I234" s="92">
        <v>0</v>
      </c>
      <c r="J234" s="93">
        <v>0</v>
      </c>
      <c r="K234" s="94">
        <v>0</v>
      </c>
      <c r="L234" s="94">
        <v>0</v>
      </c>
      <c r="M234" s="94">
        <v>0</v>
      </c>
      <c r="N234" s="102">
        <f t="shared" si="7"/>
        <v>0</v>
      </c>
      <c r="O234" s="97">
        <v>0</v>
      </c>
      <c r="P234" s="92">
        <v>0</v>
      </c>
      <c r="Q234" s="98">
        <f t="shared" si="8"/>
        <v>0</v>
      </c>
      <c r="R234" s="99" t="str">
        <f>+IF(Q234+N234&lt;=0, "NO COMPRADOR", +IF(Q234&lt;=0, "SIN COMPRA "&amp;+UPPER(TEXT('DINAMICA ENERO 26'!$C$2,"mmm 'yy")), "COMPRADOR"))</f>
        <v>NO COMPRADOR</v>
      </c>
      <c r="S234" s="100"/>
      <c r="T234" s="101"/>
      <c r="U234" s="100"/>
      <c r="V234" s="100"/>
    </row>
    <row r="235" spans="1:22" ht="14">
      <c r="A235" s="88" t="s">
        <v>85</v>
      </c>
      <c r="B235" s="89" t="s">
        <v>315</v>
      </c>
      <c r="C235" s="89" t="s">
        <v>43</v>
      </c>
      <c r="D235" s="103">
        <v>100063546</v>
      </c>
      <c r="E235" s="89" t="s">
        <v>46</v>
      </c>
      <c r="F235" s="89">
        <v>100001510</v>
      </c>
      <c r="G235" s="90" t="s">
        <v>326</v>
      </c>
      <c r="H235" s="91">
        <v>0</v>
      </c>
      <c r="I235" s="92">
        <v>0</v>
      </c>
      <c r="J235" s="93">
        <v>9.6</v>
      </c>
      <c r="K235" s="94">
        <v>14.399999999999999</v>
      </c>
      <c r="L235" s="94">
        <v>4.8</v>
      </c>
      <c r="M235" s="94">
        <v>9.6</v>
      </c>
      <c r="N235" s="102">
        <f t="shared" si="7"/>
        <v>9.6</v>
      </c>
      <c r="O235" s="97">
        <v>19.2</v>
      </c>
      <c r="P235" s="92">
        <v>0</v>
      </c>
      <c r="Q235" s="98">
        <f t="shared" si="8"/>
        <v>19.2</v>
      </c>
      <c r="R235" s="99" t="str">
        <f>+IF(Q235+N235&lt;=0, "NO COMPRADOR", +IF(Q235&lt;=0, "SIN COMPRA "&amp;+UPPER(TEXT('DINAMICA ENERO 26'!$C$2,"mmm 'yy")), "COMPRADOR"))</f>
        <v>COMPRADOR</v>
      </c>
      <c r="S235" s="100"/>
      <c r="T235" s="101"/>
      <c r="U235" s="100"/>
      <c r="V235" s="100"/>
    </row>
    <row r="236" spans="1:22" ht="14">
      <c r="A236" s="88" t="s">
        <v>85</v>
      </c>
      <c r="B236" s="89" t="s">
        <v>315</v>
      </c>
      <c r="C236" s="89" t="s">
        <v>43</v>
      </c>
      <c r="D236" s="103">
        <v>100063546</v>
      </c>
      <c r="E236" s="89" t="s">
        <v>46</v>
      </c>
      <c r="F236" s="89">
        <v>100086920</v>
      </c>
      <c r="G236" s="90" t="s">
        <v>327</v>
      </c>
      <c r="H236" s="91">
        <v>0</v>
      </c>
      <c r="I236" s="92">
        <v>0</v>
      </c>
      <c r="J236" s="93">
        <v>0</v>
      </c>
      <c r="K236" s="94">
        <v>0</v>
      </c>
      <c r="L236" s="94">
        <v>0</v>
      </c>
      <c r="M236" s="94">
        <v>0</v>
      </c>
      <c r="N236" s="102">
        <f t="shared" si="7"/>
        <v>0</v>
      </c>
      <c r="O236" s="97">
        <v>0</v>
      </c>
      <c r="P236" s="92">
        <v>0</v>
      </c>
      <c r="Q236" s="98">
        <f t="shared" si="8"/>
        <v>0</v>
      </c>
      <c r="R236" s="99" t="str">
        <f>+IF(Q236+N236&lt;=0, "NO COMPRADOR", +IF(Q236&lt;=0, "SIN COMPRA "&amp;+UPPER(TEXT('DINAMICA ENERO 26'!$C$2,"mmm 'yy")), "COMPRADOR"))</f>
        <v>NO COMPRADOR</v>
      </c>
      <c r="S236" s="100"/>
      <c r="T236" s="101"/>
      <c r="U236" s="100"/>
      <c r="V236" s="100"/>
    </row>
    <row r="237" spans="1:22" ht="14">
      <c r="A237" s="88" t="s">
        <v>85</v>
      </c>
      <c r="B237" s="89" t="s">
        <v>315</v>
      </c>
      <c r="C237" s="89" t="s">
        <v>43</v>
      </c>
      <c r="D237" s="103">
        <v>100063546</v>
      </c>
      <c r="E237" s="89" t="s">
        <v>46</v>
      </c>
      <c r="F237" s="89">
        <v>100076015</v>
      </c>
      <c r="G237" s="90" t="s">
        <v>328</v>
      </c>
      <c r="H237" s="91">
        <v>9.6</v>
      </c>
      <c r="I237" s="92">
        <v>4.8</v>
      </c>
      <c r="J237" s="93">
        <v>4.8</v>
      </c>
      <c r="K237" s="94">
        <v>4.8</v>
      </c>
      <c r="L237" s="94">
        <v>4.8</v>
      </c>
      <c r="M237" s="94">
        <v>9.6</v>
      </c>
      <c r="N237" s="102">
        <f t="shared" si="7"/>
        <v>6.3999999999999995</v>
      </c>
      <c r="O237" s="97">
        <v>0</v>
      </c>
      <c r="P237" s="92">
        <v>0</v>
      </c>
      <c r="Q237" s="98">
        <f t="shared" si="8"/>
        <v>0</v>
      </c>
      <c r="R237" s="99" t="str">
        <f>+IF(Q237+N237&lt;=0, "NO COMPRADOR", +IF(Q237&lt;=0, "SIN COMPRA "&amp;+UPPER(TEXT('DINAMICA ENERO 26'!$C$2,"mmm 'yy")), "COMPRADOR"))</f>
        <v>SIN COMPRA FEB '26</v>
      </c>
      <c r="S237" s="100"/>
      <c r="T237" s="101"/>
      <c r="U237" s="100"/>
      <c r="V237" s="100"/>
    </row>
    <row r="238" spans="1:22" ht="14">
      <c r="A238" s="88" t="s">
        <v>85</v>
      </c>
      <c r="B238" s="89" t="s">
        <v>315</v>
      </c>
      <c r="C238" s="89" t="s">
        <v>43</v>
      </c>
      <c r="D238" s="103">
        <v>100063546</v>
      </c>
      <c r="E238" s="89" t="s">
        <v>46</v>
      </c>
      <c r="F238" s="89">
        <v>100071319</v>
      </c>
      <c r="G238" s="90" t="s">
        <v>329</v>
      </c>
      <c r="H238" s="91">
        <v>19.2</v>
      </c>
      <c r="I238" s="92">
        <v>9.6</v>
      </c>
      <c r="J238" s="93">
        <v>4.8</v>
      </c>
      <c r="K238" s="94">
        <v>9.6</v>
      </c>
      <c r="L238" s="94">
        <v>4.8</v>
      </c>
      <c r="M238" s="94">
        <v>24</v>
      </c>
      <c r="N238" s="102">
        <f t="shared" si="7"/>
        <v>12.799999999999999</v>
      </c>
      <c r="O238" s="97">
        <v>0</v>
      </c>
      <c r="P238" s="92">
        <v>0</v>
      </c>
      <c r="Q238" s="98">
        <f t="shared" si="8"/>
        <v>0</v>
      </c>
      <c r="R238" s="99" t="str">
        <f>+IF(Q238+N238&lt;=0, "NO COMPRADOR", +IF(Q238&lt;=0, "SIN COMPRA "&amp;+UPPER(TEXT('DINAMICA ENERO 26'!$C$2,"mmm 'yy")), "COMPRADOR"))</f>
        <v>SIN COMPRA FEB '26</v>
      </c>
      <c r="S238" s="100"/>
      <c r="T238" s="101"/>
      <c r="U238" s="100"/>
      <c r="V238" s="100"/>
    </row>
    <row r="239" spans="1:22" ht="14">
      <c r="A239" s="88" t="s">
        <v>85</v>
      </c>
      <c r="B239" s="89" t="s">
        <v>315</v>
      </c>
      <c r="C239" s="89" t="s">
        <v>43</v>
      </c>
      <c r="D239" s="103">
        <v>100063546</v>
      </c>
      <c r="E239" s="89" t="s">
        <v>46</v>
      </c>
      <c r="F239" s="89">
        <v>100069083</v>
      </c>
      <c r="G239" s="90" t="s">
        <v>330</v>
      </c>
      <c r="H239" s="91">
        <v>0</v>
      </c>
      <c r="I239" s="92">
        <v>9.6</v>
      </c>
      <c r="J239" s="93">
        <v>48</v>
      </c>
      <c r="K239" s="94">
        <v>33.6</v>
      </c>
      <c r="L239" s="94">
        <v>24</v>
      </c>
      <c r="M239" s="94">
        <v>28.799999999999997</v>
      </c>
      <c r="N239" s="102">
        <f t="shared" si="7"/>
        <v>28.8</v>
      </c>
      <c r="O239" s="97">
        <v>28.799999999999997</v>
      </c>
      <c r="P239" s="92">
        <v>0</v>
      </c>
      <c r="Q239" s="98">
        <f t="shared" si="8"/>
        <v>28.799999999999997</v>
      </c>
      <c r="R239" s="99" t="str">
        <f>+IF(Q239+N239&lt;=0, "NO COMPRADOR", +IF(Q239&lt;=0, "SIN COMPRA "&amp;+UPPER(TEXT('DINAMICA ENERO 26'!$C$2,"mmm 'yy")), "COMPRADOR"))</f>
        <v>COMPRADOR</v>
      </c>
      <c r="S239" s="100"/>
      <c r="T239" s="101"/>
      <c r="U239" s="100"/>
      <c r="V239" s="100"/>
    </row>
    <row r="240" spans="1:22" ht="14">
      <c r="A240" s="88" t="s">
        <v>85</v>
      </c>
      <c r="B240" s="89" t="s">
        <v>315</v>
      </c>
      <c r="C240" s="89" t="s">
        <v>43</v>
      </c>
      <c r="D240" s="103">
        <v>100063546</v>
      </c>
      <c r="E240" s="89" t="s">
        <v>46</v>
      </c>
      <c r="F240" s="89">
        <v>100072087</v>
      </c>
      <c r="G240" s="90" t="s">
        <v>331</v>
      </c>
      <c r="H240" s="91">
        <v>4.8</v>
      </c>
      <c r="I240" s="92">
        <v>4.8</v>
      </c>
      <c r="J240" s="93">
        <v>4.8</v>
      </c>
      <c r="K240" s="94">
        <v>4.8</v>
      </c>
      <c r="L240" s="94">
        <v>4.8</v>
      </c>
      <c r="M240" s="94">
        <v>4.8</v>
      </c>
      <c r="N240" s="102">
        <f t="shared" si="7"/>
        <v>4.8</v>
      </c>
      <c r="O240" s="97">
        <v>0</v>
      </c>
      <c r="P240" s="92">
        <v>0</v>
      </c>
      <c r="Q240" s="98">
        <f t="shared" si="8"/>
        <v>0</v>
      </c>
      <c r="R240" s="99" t="str">
        <f>+IF(Q240+N240&lt;=0, "NO COMPRADOR", +IF(Q240&lt;=0, "SIN COMPRA "&amp;+UPPER(TEXT('DINAMICA ENERO 26'!$C$2,"mmm 'yy")), "COMPRADOR"))</f>
        <v>SIN COMPRA FEB '26</v>
      </c>
      <c r="S240" s="100"/>
      <c r="T240" s="101"/>
      <c r="U240" s="100"/>
      <c r="V240" s="100"/>
    </row>
    <row r="241" spans="1:22" ht="14">
      <c r="A241" s="88" t="s">
        <v>85</v>
      </c>
      <c r="B241" s="89" t="s">
        <v>315</v>
      </c>
      <c r="C241" s="89" t="s">
        <v>43</v>
      </c>
      <c r="D241" s="103">
        <v>100063546</v>
      </c>
      <c r="E241" s="89" t="s">
        <v>46</v>
      </c>
      <c r="F241" s="89">
        <v>100078525</v>
      </c>
      <c r="G241" s="90" t="s">
        <v>332</v>
      </c>
      <c r="H241" s="91">
        <v>4.8</v>
      </c>
      <c r="I241" s="92">
        <v>0</v>
      </c>
      <c r="J241" s="93">
        <v>4.8</v>
      </c>
      <c r="K241" s="94">
        <v>4.8</v>
      </c>
      <c r="L241" s="94">
        <v>4.8</v>
      </c>
      <c r="M241" s="94">
        <v>0</v>
      </c>
      <c r="N241" s="102">
        <f t="shared" si="7"/>
        <v>3.1999999999999997</v>
      </c>
      <c r="O241" s="97">
        <v>0</v>
      </c>
      <c r="P241" s="92">
        <v>0</v>
      </c>
      <c r="Q241" s="98">
        <f t="shared" si="8"/>
        <v>0</v>
      </c>
      <c r="R241" s="99" t="str">
        <f>+IF(Q241+N241&lt;=0, "NO COMPRADOR", +IF(Q241&lt;=0, "SIN COMPRA "&amp;+UPPER(TEXT('DINAMICA ENERO 26'!$C$2,"mmm 'yy")), "COMPRADOR"))</f>
        <v>SIN COMPRA FEB '26</v>
      </c>
      <c r="S241" s="100"/>
      <c r="T241" s="101"/>
      <c r="U241" s="100"/>
      <c r="V241" s="100"/>
    </row>
    <row r="242" spans="1:22" ht="14">
      <c r="A242" s="88" t="s">
        <v>85</v>
      </c>
      <c r="B242" s="89" t="s">
        <v>315</v>
      </c>
      <c r="C242" s="89" t="s">
        <v>43</v>
      </c>
      <c r="D242" s="103">
        <v>100063546</v>
      </c>
      <c r="E242" s="89" t="s">
        <v>46</v>
      </c>
      <c r="F242" s="89">
        <v>100078986</v>
      </c>
      <c r="G242" s="90" t="s">
        <v>333</v>
      </c>
      <c r="H242" s="91">
        <v>4.8</v>
      </c>
      <c r="I242" s="92">
        <v>4.8</v>
      </c>
      <c r="J242" s="93">
        <v>4.8</v>
      </c>
      <c r="K242" s="94">
        <v>0</v>
      </c>
      <c r="L242" s="94">
        <v>4.8</v>
      </c>
      <c r="M242" s="94">
        <v>0</v>
      </c>
      <c r="N242" s="102">
        <f t="shared" si="7"/>
        <v>1.5999999999999999</v>
      </c>
      <c r="O242" s="97">
        <v>0</v>
      </c>
      <c r="P242" s="92">
        <v>0</v>
      </c>
      <c r="Q242" s="98">
        <f t="shared" si="8"/>
        <v>0</v>
      </c>
      <c r="R242" s="99" t="str">
        <f>+IF(Q242+N242&lt;=0, "NO COMPRADOR", +IF(Q242&lt;=0, "SIN COMPRA "&amp;+UPPER(TEXT('DINAMICA ENERO 26'!$C$2,"mmm 'yy")), "COMPRADOR"))</f>
        <v>SIN COMPRA FEB '26</v>
      </c>
      <c r="S242" s="100"/>
      <c r="T242" s="101"/>
      <c r="U242" s="100"/>
      <c r="V242" s="100"/>
    </row>
    <row r="243" spans="1:22" ht="14">
      <c r="A243" s="88" t="s">
        <v>85</v>
      </c>
      <c r="B243" s="89" t="s">
        <v>315</v>
      </c>
      <c r="C243" s="89" t="s">
        <v>43</v>
      </c>
      <c r="D243" s="103">
        <v>100063546</v>
      </c>
      <c r="E243" s="89" t="s">
        <v>46</v>
      </c>
      <c r="F243" s="89">
        <v>100053840</v>
      </c>
      <c r="G243" s="90" t="s">
        <v>334</v>
      </c>
      <c r="H243" s="91">
        <v>0</v>
      </c>
      <c r="I243" s="92">
        <v>0</v>
      </c>
      <c r="J243" s="93">
        <v>0</v>
      </c>
      <c r="K243" s="94">
        <v>4.8</v>
      </c>
      <c r="L243" s="94">
        <v>4.8</v>
      </c>
      <c r="M243" s="94">
        <v>0</v>
      </c>
      <c r="N243" s="102">
        <f t="shared" si="7"/>
        <v>3.1999999999999997</v>
      </c>
      <c r="O243" s="97">
        <v>-4.8</v>
      </c>
      <c r="P243" s="92">
        <v>0</v>
      </c>
      <c r="Q243" s="98">
        <f t="shared" si="8"/>
        <v>-4.8</v>
      </c>
      <c r="R243" s="99" t="str">
        <f>+IF(Q243+N243&lt;=0, "NO COMPRADOR", +IF(Q243&lt;=0, "SIN COMPRA "&amp;+UPPER(TEXT('DINAMICA ENERO 26'!$C$2,"mmm 'yy")), "COMPRADOR"))</f>
        <v>NO COMPRADOR</v>
      </c>
      <c r="S243" s="100"/>
      <c r="T243" s="101"/>
      <c r="U243" s="100"/>
      <c r="V243" s="100"/>
    </row>
    <row r="244" spans="1:22" ht="14">
      <c r="A244" s="88" t="s">
        <v>85</v>
      </c>
      <c r="B244" s="89" t="s">
        <v>315</v>
      </c>
      <c r="C244" s="89" t="s">
        <v>43</v>
      </c>
      <c r="D244" s="103">
        <v>100063546</v>
      </c>
      <c r="E244" s="89" t="s">
        <v>46</v>
      </c>
      <c r="F244" s="89">
        <v>100084699</v>
      </c>
      <c r="G244" s="90" t="s">
        <v>335</v>
      </c>
      <c r="H244" s="91">
        <v>14.399999999999999</v>
      </c>
      <c r="I244" s="92">
        <v>0</v>
      </c>
      <c r="J244" s="93">
        <v>4.8</v>
      </c>
      <c r="K244" s="94">
        <v>4.8</v>
      </c>
      <c r="L244" s="94">
        <v>4.8</v>
      </c>
      <c r="M244" s="94">
        <v>4.8</v>
      </c>
      <c r="N244" s="102">
        <f t="shared" si="7"/>
        <v>4.8</v>
      </c>
      <c r="O244" s="97">
        <v>0</v>
      </c>
      <c r="P244" s="92">
        <v>0</v>
      </c>
      <c r="Q244" s="98">
        <f t="shared" si="8"/>
        <v>0</v>
      </c>
      <c r="R244" s="99" t="str">
        <f>+IF(Q244+N244&lt;=0, "NO COMPRADOR", +IF(Q244&lt;=0, "SIN COMPRA "&amp;+UPPER(TEXT('DINAMICA ENERO 26'!$C$2,"mmm 'yy")), "COMPRADOR"))</f>
        <v>SIN COMPRA FEB '26</v>
      </c>
      <c r="S244" s="100"/>
      <c r="T244" s="101"/>
      <c r="U244" s="100"/>
      <c r="V244" s="100"/>
    </row>
    <row r="245" spans="1:22" ht="14">
      <c r="A245" s="88" t="s">
        <v>85</v>
      </c>
      <c r="B245" s="89" t="s">
        <v>315</v>
      </c>
      <c r="C245" s="89" t="s">
        <v>43</v>
      </c>
      <c r="D245" s="103">
        <v>100063546</v>
      </c>
      <c r="E245" s="89" t="s">
        <v>46</v>
      </c>
      <c r="F245" s="89">
        <v>100080253</v>
      </c>
      <c r="G245" s="90" t="s">
        <v>336</v>
      </c>
      <c r="H245" s="91">
        <v>0</v>
      </c>
      <c r="I245" s="92">
        <v>0</v>
      </c>
      <c r="J245" s="93">
        <v>0</v>
      </c>
      <c r="K245" s="94">
        <v>0</v>
      </c>
      <c r="L245" s="94">
        <v>0</v>
      </c>
      <c r="M245" s="94">
        <v>4.8</v>
      </c>
      <c r="N245" s="102">
        <f t="shared" si="7"/>
        <v>1.5999999999999999</v>
      </c>
      <c r="O245" s="97">
        <v>0</v>
      </c>
      <c r="P245" s="92">
        <v>0</v>
      </c>
      <c r="Q245" s="98">
        <f t="shared" si="8"/>
        <v>0</v>
      </c>
      <c r="R245" s="99" t="str">
        <f>+IF(Q245+N245&lt;=0, "NO COMPRADOR", +IF(Q245&lt;=0, "SIN COMPRA "&amp;+UPPER(TEXT('DINAMICA ENERO 26'!$C$2,"mmm 'yy")), "COMPRADOR"))</f>
        <v>SIN COMPRA FEB '26</v>
      </c>
      <c r="S245" s="100"/>
      <c r="T245" s="101"/>
      <c r="U245" s="100"/>
      <c r="V245" s="100"/>
    </row>
    <row r="246" spans="1:22" ht="14">
      <c r="A246" s="88" t="s">
        <v>85</v>
      </c>
      <c r="B246" s="89" t="s">
        <v>315</v>
      </c>
      <c r="C246" s="89" t="s">
        <v>43</v>
      </c>
      <c r="D246" s="103">
        <v>100063546</v>
      </c>
      <c r="E246" s="89" t="s">
        <v>46</v>
      </c>
      <c r="F246" s="89">
        <v>100089146</v>
      </c>
      <c r="G246" s="90" t="s">
        <v>337</v>
      </c>
      <c r="H246" s="91">
        <v>4.8</v>
      </c>
      <c r="I246" s="92">
        <v>4.8</v>
      </c>
      <c r="J246" s="93">
        <v>4.8</v>
      </c>
      <c r="K246" s="94">
        <v>4.8</v>
      </c>
      <c r="L246" s="94">
        <v>0</v>
      </c>
      <c r="M246" s="94">
        <v>0</v>
      </c>
      <c r="N246" s="102">
        <f t="shared" si="7"/>
        <v>1.5999999999999999</v>
      </c>
      <c r="O246" s="97">
        <v>0</v>
      </c>
      <c r="P246" s="92">
        <v>0</v>
      </c>
      <c r="Q246" s="98">
        <f t="shared" si="8"/>
        <v>0</v>
      </c>
      <c r="R246" s="99" t="str">
        <f>+IF(Q246+N246&lt;=0, "NO COMPRADOR", +IF(Q246&lt;=0, "SIN COMPRA "&amp;+UPPER(TEXT('DINAMICA ENERO 26'!$C$2,"mmm 'yy")), "COMPRADOR"))</f>
        <v>SIN COMPRA FEB '26</v>
      </c>
      <c r="S246" s="100"/>
      <c r="T246" s="101"/>
      <c r="U246" s="100"/>
      <c r="V246" s="100"/>
    </row>
    <row r="247" spans="1:22" ht="14">
      <c r="A247" s="88" t="s">
        <v>85</v>
      </c>
      <c r="B247" s="89" t="s">
        <v>315</v>
      </c>
      <c r="C247" s="89" t="s">
        <v>43</v>
      </c>
      <c r="D247" s="103">
        <v>100087724</v>
      </c>
      <c r="E247" s="89" t="s">
        <v>44</v>
      </c>
      <c r="F247" s="89">
        <v>100001196</v>
      </c>
      <c r="G247" s="90" t="s">
        <v>320</v>
      </c>
      <c r="H247" s="91">
        <v>72</v>
      </c>
      <c r="I247" s="92">
        <v>14.4</v>
      </c>
      <c r="J247" s="93">
        <v>0</v>
      </c>
      <c r="K247" s="94">
        <v>0</v>
      </c>
      <c r="L247" s="94">
        <v>0</v>
      </c>
      <c r="M247" s="94">
        <v>0</v>
      </c>
      <c r="N247" s="102">
        <f t="shared" si="7"/>
        <v>0</v>
      </c>
      <c r="O247" s="97">
        <v>0</v>
      </c>
      <c r="P247" s="92">
        <v>0</v>
      </c>
      <c r="Q247" s="98">
        <f t="shared" si="8"/>
        <v>0</v>
      </c>
      <c r="R247" s="99" t="str">
        <f>+IF(Q247+N247&lt;=0, "NO COMPRADOR", +IF(Q247&lt;=0, "SIN COMPRA "&amp;+UPPER(TEXT('DINAMICA ENERO 26'!$C$2,"mmm 'yy")), "COMPRADOR"))</f>
        <v>NO COMPRADOR</v>
      </c>
      <c r="S247" s="100"/>
      <c r="T247" s="101"/>
      <c r="U247" s="100"/>
      <c r="V247" s="100"/>
    </row>
    <row r="248" spans="1:22" ht="14">
      <c r="A248" s="88" t="s">
        <v>85</v>
      </c>
      <c r="B248" s="89" t="s">
        <v>315</v>
      </c>
      <c r="C248" s="89" t="s">
        <v>43</v>
      </c>
      <c r="D248" s="103">
        <v>100087724</v>
      </c>
      <c r="E248" s="89" t="s">
        <v>44</v>
      </c>
      <c r="F248" s="89">
        <v>100001979</v>
      </c>
      <c r="G248" s="90" t="s">
        <v>290</v>
      </c>
      <c r="H248" s="91">
        <v>9.6</v>
      </c>
      <c r="I248" s="92">
        <v>19.2</v>
      </c>
      <c r="J248" s="93">
        <v>9.6</v>
      </c>
      <c r="K248" s="94">
        <v>33.599999999999994</v>
      </c>
      <c r="L248" s="94">
        <v>9.6</v>
      </c>
      <c r="M248" s="94">
        <v>4.8</v>
      </c>
      <c r="N248" s="102">
        <f t="shared" si="7"/>
        <v>15.999999999999998</v>
      </c>
      <c r="O248" s="97">
        <v>33.6</v>
      </c>
      <c r="P248" s="92">
        <v>28.799999999999997</v>
      </c>
      <c r="Q248" s="98">
        <f t="shared" si="8"/>
        <v>62.4</v>
      </c>
      <c r="R248" s="99" t="str">
        <f>+IF(Q248+N248&lt;=0, "NO COMPRADOR", +IF(Q248&lt;=0, "SIN COMPRA "&amp;+UPPER(TEXT('DINAMICA ENERO 26'!$C$2,"mmm 'yy")), "COMPRADOR"))</f>
        <v>COMPRADOR</v>
      </c>
      <c r="S248" s="100"/>
      <c r="T248" s="101"/>
      <c r="U248" s="100"/>
      <c r="V248" s="100"/>
    </row>
    <row r="249" spans="1:22" ht="14">
      <c r="A249" s="88" t="s">
        <v>85</v>
      </c>
      <c r="B249" s="89" t="s">
        <v>315</v>
      </c>
      <c r="C249" s="89" t="s">
        <v>43</v>
      </c>
      <c r="D249" s="103">
        <v>100087724</v>
      </c>
      <c r="E249" s="89" t="s">
        <v>44</v>
      </c>
      <c r="F249" s="89">
        <v>100002471</v>
      </c>
      <c r="G249" s="90" t="s">
        <v>338</v>
      </c>
      <c r="H249" s="91">
        <v>0</v>
      </c>
      <c r="I249" s="92">
        <v>0</v>
      </c>
      <c r="J249" s="93">
        <v>0</v>
      </c>
      <c r="K249" s="94">
        <v>4.8</v>
      </c>
      <c r="L249" s="94">
        <v>-4.8</v>
      </c>
      <c r="M249" s="94">
        <v>0</v>
      </c>
      <c r="N249" s="102">
        <f t="shared" si="7"/>
        <v>0</v>
      </c>
      <c r="O249" s="97">
        <v>0</v>
      </c>
      <c r="P249" s="92">
        <v>0</v>
      </c>
      <c r="Q249" s="98">
        <f t="shared" si="8"/>
        <v>0</v>
      </c>
      <c r="R249" s="99" t="str">
        <f>+IF(Q249+N249&lt;=0, "NO COMPRADOR", +IF(Q249&lt;=0, "SIN COMPRA "&amp;+UPPER(TEXT('DINAMICA ENERO 26'!$C$2,"mmm 'yy")), "COMPRADOR"))</f>
        <v>NO COMPRADOR</v>
      </c>
      <c r="S249" s="100"/>
      <c r="T249" s="101"/>
      <c r="U249" s="100"/>
      <c r="V249" s="100"/>
    </row>
    <row r="250" spans="1:22" ht="14">
      <c r="A250" s="88" t="s">
        <v>85</v>
      </c>
      <c r="B250" s="89" t="s">
        <v>315</v>
      </c>
      <c r="C250" s="89" t="s">
        <v>43</v>
      </c>
      <c r="D250" s="103">
        <v>100087724</v>
      </c>
      <c r="E250" s="89" t="s">
        <v>44</v>
      </c>
      <c r="F250" s="89">
        <v>100005866</v>
      </c>
      <c r="G250" s="90" t="s">
        <v>339</v>
      </c>
      <c r="H250" s="91">
        <v>120</v>
      </c>
      <c r="I250" s="92">
        <v>115.19999999999999</v>
      </c>
      <c r="J250" s="93">
        <v>9.6</v>
      </c>
      <c r="K250" s="94">
        <v>96</v>
      </c>
      <c r="L250" s="94">
        <v>336</v>
      </c>
      <c r="M250" s="94">
        <v>96</v>
      </c>
      <c r="N250" s="102">
        <f t="shared" si="7"/>
        <v>176</v>
      </c>
      <c r="O250" s="97">
        <v>0</v>
      </c>
      <c r="P250" s="92">
        <v>0</v>
      </c>
      <c r="Q250" s="98">
        <f t="shared" si="8"/>
        <v>0</v>
      </c>
      <c r="R250" s="99" t="str">
        <f>+IF(Q250+N250&lt;=0, "NO COMPRADOR", +IF(Q250&lt;=0, "SIN COMPRA "&amp;+UPPER(TEXT('DINAMICA ENERO 26'!$C$2,"mmm 'yy")), "COMPRADOR"))</f>
        <v>SIN COMPRA FEB '26</v>
      </c>
      <c r="S250" s="100"/>
      <c r="T250" s="101"/>
      <c r="U250" s="100"/>
      <c r="V250" s="100"/>
    </row>
    <row r="251" spans="1:22" ht="14">
      <c r="A251" s="88" t="s">
        <v>85</v>
      </c>
      <c r="B251" s="89" t="s">
        <v>315</v>
      </c>
      <c r="C251" s="89" t="s">
        <v>43</v>
      </c>
      <c r="D251" s="103">
        <v>100087724</v>
      </c>
      <c r="E251" s="89" t="s">
        <v>44</v>
      </c>
      <c r="F251" s="89">
        <v>100025209</v>
      </c>
      <c r="G251" s="90" t="s">
        <v>340</v>
      </c>
      <c r="H251" s="91">
        <v>364.8</v>
      </c>
      <c r="I251" s="92">
        <v>576</v>
      </c>
      <c r="J251" s="93">
        <v>672</v>
      </c>
      <c r="K251" s="94">
        <v>456</v>
      </c>
      <c r="L251" s="94">
        <v>451.2</v>
      </c>
      <c r="M251" s="94">
        <v>0</v>
      </c>
      <c r="N251" s="102">
        <f t="shared" si="7"/>
        <v>302.40000000000003</v>
      </c>
      <c r="O251" s="97">
        <v>-4.8</v>
      </c>
      <c r="P251" s="92">
        <v>0</v>
      </c>
      <c r="Q251" s="98">
        <f t="shared" si="8"/>
        <v>-4.8</v>
      </c>
      <c r="R251" s="99" t="str">
        <f>+IF(Q251+N251&lt;=0, "NO COMPRADOR", +IF(Q251&lt;=0, "SIN COMPRA "&amp;+UPPER(TEXT('DINAMICA ENERO 26'!$C$2,"mmm 'yy")), "COMPRADOR"))</f>
        <v>SIN COMPRA FEB '26</v>
      </c>
      <c r="S251" s="100"/>
      <c r="T251" s="101"/>
      <c r="U251" s="100"/>
      <c r="V251" s="100"/>
    </row>
    <row r="252" spans="1:22" ht="14">
      <c r="A252" s="88" t="s">
        <v>85</v>
      </c>
      <c r="B252" s="89" t="s">
        <v>315</v>
      </c>
      <c r="C252" s="89" t="s">
        <v>43</v>
      </c>
      <c r="D252" s="103">
        <v>100087724</v>
      </c>
      <c r="E252" s="89" t="s">
        <v>44</v>
      </c>
      <c r="F252" s="89">
        <v>100087941</v>
      </c>
      <c r="G252" s="90" t="s">
        <v>341</v>
      </c>
      <c r="H252" s="91">
        <v>4.8</v>
      </c>
      <c r="I252" s="92">
        <v>9.6</v>
      </c>
      <c r="J252" s="93">
        <v>4.8</v>
      </c>
      <c r="K252" s="94">
        <v>19.2</v>
      </c>
      <c r="L252" s="94">
        <v>57.599999999999994</v>
      </c>
      <c r="M252" s="94">
        <v>4.8</v>
      </c>
      <c r="N252" s="102">
        <f t="shared" si="7"/>
        <v>27.2</v>
      </c>
      <c r="O252" s="97">
        <v>48</v>
      </c>
      <c r="P252" s="92">
        <v>0</v>
      </c>
      <c r="Q252" s="98">
        <f t="shared" si="8"/>
        <v>48</v>
      </c>
      <c r="R252" s="99" t="str">
        <f>+IF(Q252+N252&lt;=0, "NO COMPRADOR", +IF(Q252&lt;=0, "SIN COMPRA "&amp;+UPPER(TEXT('DINAMICA ENERO 26'!$C$2,"mmm 'yy")), "COMPRADOR"))</f>
        <v>COMPRADOR</v>
      </c>
      <c r="S252" s="100"/>
      <c r="T252" s="101"/>
      <c r="U252" s="100"/>
      <c r="V252" s="100"/>
    </row>
    <row r="253" spans="1:22" ht="14">
      <c r="A253" s="88" t="s">
        <v>85</v>
      </c>
      <c r="B253" s="89" t="s">
        <v>315</v>
      </c>
      <c r="C253" s="89" t="s">
        <v>43</v>
      </c>
      <c r="D253" s="103">
        <v>100087724</v>
      </c>
      <c r="E253" s="89" t="s">
        <v>44</v>
      </c>
      <c r="F253" s="89">
        <v>100067528</v>
      </c>
      <c r="G253" s="90" t="s">
        <v>342</v>
      </c>
      <c r="H253" s="91">
        <v>43.199999999999996</v>
      </c>
      <c r="I253" s="92">
        <v>48</v>
      </c>
      <c r="J253" s="93">
        <v>28.799999999999997</v>
      </c>
      <c r="K253" s="94">
        <v>76.8</v>
      </c>
      <c r="L253" s="94">
        <v>24</v>
      </c>
      <c r="M253" s="94">
        <v>38.4</v>
      </c>
      <c r="N253" s="102">
        <f t="shared" si="7"/>
        <v>46.4</v>
      </c>
      <c r="O253" s="97">
        <v>14.399999999999999</v>
      </c>
      <c r="P253" s="92">
        <v>0</v>
      </c>
      <c r="Q253" s="98">
        <f t="shared" si="8"/>
        <v>14.399999999999999</v>
      </c>
      <c r="R253" s="99" t="str">
        <f>+IF(Q253+N253&lt;=0, "NO COMPRADOR", +IF(Q253&lt;=0, "SIN COMPRA "&amp;+UPPER(TEXT('DINAMICA ENERO 26'!$C$2,"mmm 'yy")), "COMPRADOR"))</f>
        <v>COMPRADOR</v>
      </c>
      <c r="S253" s="100"/>
      <c r="T253" s="101"/>
      <c r="U253" s="100"/>
      <c r="V253" s="100"/>
    </row>
    <row r="254" spans="1:22" ht="14">
      <c r="A254" s="88" t="s">
        <v>85</v>
      </c>
      <c r="B254" s="89" t="s">
        <v>315</v>
      </c>
      <c r="C254" s="89" t="s">
        <v>43</v>
      </c>
      <c r="D254" s="103">
        <v>100087724</v>
      </c>
      <c r="E254" s="89" t="s">
        <v>44</v>
      </c>
      <c r="F254" s="89">
        <v>100087924</v>
      </c>
      <c r="G254" s="90" t="s">
        <v>343</v>
      </c>
      <c r="H254" s="91">
        <v>0</v>
      </c>
      <c r="I254" s="92">
        <v>0</v>
      </c>
      <c r="J254" s="93">
        <v>0</v>
      </c>
      <c r="K254" s="94">
        <v>9.6</v>
      </c>
      <c r="L254" s="94">
        <v>-4.8</v>
      </c>
      <c r="M254" s="94">
        <v>24</v>
      </c>
      <c r="N254" s="102">
        <f t="shared" si="7"/>
        <v>9.6</v>
      </c>
      <c r="O254" s="97">
        <v>48</v>
      </c>
      <c r="P254" s="92">
        <v>24</v>
      </c>
      <c r="Q254" s="98">
        <f t="shared" si="8"/>
        <v>72</v>
      </c>
      <c r="R254" s="99" t="str">
        <f>+IF(Q254+N254&lt;=0, "NO COMPRADOR", +IF(Q254&lt;=0, "SIN COMPRA "&amp;+UPPER(TEXT('DINAMICA ENERO 26'!$C$2,"mmm 'yy")), "COMPRADOR"))</f>
        <v>COMPRADOR</v>
      </c>
      <c r="S254" s="100"/>
      <c r="T254" s="101"/>
      <c r="U254" s="100"/>
      <c r="V254" s="100"/>
    </row>
    <row r="255" spans="1:22" ht="14">
      <c r="A255" s="88" t="s">
        <v>85</v>
      </c>
      <c r="B255" s="89" t="s">
        <v>315</v>
      </c>
      <c r="C255" s="89" t="s">
        <v>43</v>
      </c>
      <c r="D255" s="103">
        <v>100087724</v>
      </c>
      <c r="E255" s="89" t="s">
        <v>44</v>
      </c>
      <c r="F255" s="89">
        <v>100069181</v>
      </c>
      <c r="G255" s="90" t="s">
        <v>344</v>
      </c>
      <c r="H255" s="91">
        <v>4.8</v>
      </c>
      <c r="I255" s="92">
        <v>9.6</v>
      </c>
      <c r="J255" s="93">
        <v>0</v>
      </c>
      <c r="K255" s="94">
        <v>9.6</v>
      </c>
      <c r="L255" s="94">
        <v>9.6</v>
      </c>
      <c r="M255" s="94">
        <v>9.6</v>
      </c>
      <c r="N255" s="102">
        <f t="shared" si="7"/>
        <v>9.6</v>
      </c>
      <c r="O255" s="97">
        <v>4.8</v>
      </c>
      <c r="P255" s="92">
        <v>0</v>
      </c>
      <c r="Q255" s="98">
        <f t="shared" si="8"/>
        <v>4.8</v>
      </c>
      <c r="R255" s="99" t="str">
        <f>+IF(Q255+N255&lt;=0, "NO COMPRADOR", +IF(Q255&lt;=0, "SIN COMPRA "&amp;+UPPER(TEXT('DINAMICA ENERO 26'!$C$2,"mmm 'yy")), "COMPRADOR"))</f>
        <v>COMPRADOR</v>
      </c>
      <c r="S255" s="100"/>
      <c r="T255" s="101"/>
      <c r="U255" s="100"/>
      <c r="V255" s="100"/>
    </row>
    <row r="256" spans="1:22" ht="14">
      <c r="A256" s="88" t="s">
        <v>85</v>
      </c>
      <c r="B256" s="89" t="s">
        <v>315</v>
      </c>
      <c r="C256" s="89" t="s">
        <v>43</v>
      </c>
      <c r="D256" s="103">
        <v>100087724</v>
      </c>
      <c r="E256" s="89" t="s">
        <v>44</v>
      </c>
      <c r="F256" s="89">
        <v>100070616</v>
      </c>
      <c r="G256" s="90" t="s">
        <v>345</v>
      </c>
      <c r="H256" s="91">
        <v>4.8</v>
      </c>
      <c r="I256" s="92">
        <v>4.8</v>
      </c>
      <c r="J256" s="93">
        <v>4.8</v>
      </c>
      <c r="K256" s="94">
        <v>4.8</v>
      </c>
      <c r="L256" s="94">
        <v>9.6</v>
      </c>
      <c r="M256" s="94">
        <v>14.399999999999999</v>
      </c>
      <c r="N256" s="102">
        <f t="shared" si="7"/>
        <v>9.6</v>
      </c>
      <c r="O256" s="97">
        <v>0</v>
      </c>
      <c r="P256" s="92">
        <v>0</v>
      </c>
      <c r="Q256" s="98">
        <f t="shared" si="8"/>
        <v>0</v>
      </c>
      <c r="R256" s="99" t="str">
        <f>+IF(Q256+N256&lt;=0, "NO COMPRADOR", +IF(Q256&lt;=0, "SIN COMPRA "&amp;+UPPER(TEXT('DINAMICA ENERO 26'!$C$2,"mmm 'yy")), "COMPRADOR"))</f>
        <v>SIN COMPRA FEB '26</v>
      </c>
      <c r="S256" s="100"/>
      <c r="T256" s="101"/>
      <c r="U256" s="100"/>
      <c r="V256" s="100"/>
    </row>
    <row r="257" spans="1:22" ht="14">
      <c r="A257" s="88" t="s">
        <v>85</v>
      </c>
      <c r="B257" s="89" t="s">
        <v>315</v>
      </c>
      <c r="C257" s="89" t="s">
        <v>43</v>
      </c>
      <c r="D257" s="103">
        <v>100087724</v>
      </c>
      <c r="E257" s="89" t="s">
        <v>44</v>
      </c>
      <c r="F257" s="89">
        <v>100079876</v>
      </c>
      <c r="G257" s="90" t="s">
        <v>346</v>
      </c>
      <c r="H257" s="91">
        <v>0</v>
      </c>
      <c r="I257" s="92">
        <v>0</v>
      </c>
      <c r="J257" s="93">
        <v>0</v>
      </c>
      <c r="K257" s="94">
        <v>4.8</v>
      </c>
      <c r="L257" s="94">
        <v>-4.8</v>
      </c>
      <c r="M257" s="94">
        <v>33.6</v>
      </c>
      <c r="N257" s="102">
        <f t="shared" si="7"/>
        <v>11.200000000000001</v>
      </c>
      <c r="O257" s="97">
        <v>0</v>
      </c>
      <c r="P257" s="92">
        <v>0</v>
      </c>
      <c r="Q257" s="98">
        <f t="shared" si="8"/>
        <v>0</v>
      </c>
      <c r="R257" s="99" t="str">
        <f>+IF(Q257+N257&lt;=0, "NO COMPRADOR", +IF(Q257&lt;=0, "SIN COMPRA "&amp;+UPPER(TEXT('DINAMICA ENERO 26'!$C$2,"mmm 'yy")), "COMPRADOR"))</f>
        <v>SIN COMPRA FEB '26</v>
      </c>
      <c r="S257" s="100"/>
      <c r="T257" s="101"/>
      <c r="U257" s="100"/>
      <c r="V257" s="100"/>
    </row>
    <row r="258" spans="1:22" ht="14">
      <c r="A258" s="88" t="s">
        <v>85</v>
      </c>
      <c r="B258" s="89" t="s">
        <v>315</v>
      </c>
      <c r="C258" s="89" t="s">
        <v>43</v>
      </c>
      <c r="D258" s="103">
        <v>100087724</v>
      </c>
      <c r="E258" s="89" t="s">
        <v>44</v>
      </c>
      <c r="F258" s="89">
        <v>100081157</v>
      </c>
      <c r="G258" s="90" t="s">
        <v>347</v>
      </c>
      <c r="H258" s="91">
        <v>4.8</v>
      </c>
      <c r="I258" s="92">
        <v>4.8</v>
      </c>
      <c r="J258" s="93">
        <v>4.8</v>
      </c>
      <c r="K258" s="94">
        <v>0</v>
      </c>
      <c r="L258" s="94">
        <v>4.8</v>
      </c>
      <c r="M258" s="94">
        <v>4.8</v>
      </c>
      <c r="N258" s="102">
        <f t="shared" si="7"/>
        <v>3.1999999999999997</v>
      </c>
      <c r="O258" s="97">
        <v>4.8</v>
      </c>
      <c r="P258" s="92">
        <v>0</v>
      </c>
      <c r="Q258" s="98">
        <f t="shared" si="8"/>
        <v>4.8</v>
      </c>
      <c r="R258" s="99" t="str">
        <f>+IF(Q258+N258&lt;=0, "NO COMPRADOR", +IF(Q258&lt;=0, "SIN COMPRA "&amp;+UPPER(TEXT('DINAMICA ENERO 26'!$C$2,"mmm 'yy")), "COMPRADOR"))</f>
        <v>COMPRADOR</v>
      </c>
      <c r="S258" s="100"/>
      <c r="T258" s="101"/>
      <c r="U258" s="100"/>
      <c r="V258" s="100"/>
    </row>
    <row r="259" spans="1:22" ht="14">
      <c r="A259" s="88" t="s">
        <v>85</v>
      </c>
      <c r="B259" s="89" t="s">
        <v>315</v>
      </c>
      <c r="C259" s="89" t="s">
        <v>43</v>
      </c>
      <c r="D259" s="103">
        <v>100087724</v>
      </c>
      <c r="E259" s="89" t="s">
        <v>44</v>
      </c>
      <c r="F259" s="89">
        <v>100083001</v>
      </c>
      <c r="G259" s="90" t="s">
        <v>348</v>
      </c>
      <c r="H259" s="91">
        <v>4.8</v>
      </c>
      <c r="I259" s="92">
        <v>4.8</v>
      </c>
      <c r="J259" s="93">
        <v>0</v>
      </c>
      <c r="K259" s="94">
        <v>9.6</v>
      </c>
      <c r="L259" s="94">
        <v>9.6</v>
      </c>
      <c r="M259" s="94">
        <v>9.6</v>
      </c>
      <c r="N259" s="102">
        <f t="shared" ref="N259:N322" si="9">+AVERAGE(K259:M259)</f>
        <v>9.6</v>
      </c>
      <c r="O259" s="97">
        <v>9.6</v>
      </c>
      <c r="P259" s="92">
        <v>0</v>
      </c>
      <c r="Q259" s="98">
        <f t="shared" si="8"/>
        <v>9.6</v>
      </c>
      <c r="R259" s="99" t="str">
        <f>+IF(Q259+N259&lt;=0, "NO COMPRADOR", +IF(Q259&lt;=0, "SIN COMPRA "&amp;+UPPER(TEXT('DINAMICA ENERO 26'!$C$2,"mmm 'yy")), "COMPRADOR"))</f>
        <v>COMPRADOR</v>
      </c>
      <c r="S259" s="100"/>
      <c r="T259" s="101"/>
      <c r="U259" s="100"/>
      <c r="V259" s="100"/>
    </row>
    <row r="260" spans="1:22" ht="14">
      <c r="A260" s="88" t="s">
        <v>85</v>
      </c>
      <c r="B260" s="89" t="s">
        <v>315</v>
      </c>
      <c r="C260" s="89" t="s">
        <v>43</v>
      </c>
      <c r="D260" s="103">
        <v>100087724</v>
      </c>
      <c r="E260" s="89" t="s">
        <v>44</v>
      </c>
      <c r="F260" s="89">
        <v>100084045</v>
      </c>
      <c r="G260" s="90" t="s">
        <v>349</v>
      </c>
      <c r="H260" s="91">
        <v>120</v>
      </c>
      <c r="I260" s="92">
        <v>14.399999999999999</v>
      </c>
      <c r="J260" s="93">
        <v>4.8</v>
      </c>
      <c r="K260" s="94">
        <v>47.999999999999993</v>
      </c>
      <c r="L260" s="94">
        <v>76.8</v>
      </c>
      <c r="M260" s="94">
        <v>0</v>
      </c>
      <c r="N260" s="102">
        <f t="shared" si="9"/>
        <v>41.599999999999994</v>
      </c>
      <c r="O260" s="97">
        <v>0</v>
      </c>
      <c r="P260" s="92">
        <v>0</v>
      </c>
      <c r="Q260" s="98">
        <f t="shared" si="8"/>
        <v>0</v>
      </c>
      <c r="R260" s="99" t="str">
        <f>+IF(Q260+N260&lt;=0, "NO COMPRADOR", +IF(Q260&lt;=0, "SIN COMPRA "&amp;+UPPER(TEXT('DINAMICA ENERO 26'!$C$2,"mmm 'yy")), "COMPRADOR"))</f>
        <v>SIN COMPRA FEB '26</v>
      </c>
      <c r="S260" s="100"/>
      <c r="T260" s="101"/>
      <c r="U260" s="100"/>
      <c r="V260" s="100"/>
    </row>
    <row r="261" spans="1:22" ht="14">
      <c r="A261" s="88" t="s">
        <v>85</v>
      </c>
      <c r="B261" s="89" t="s">
        <v>315</v>
      </c>
      <c r="C261" s="89" t="s">
        <v>43</v>
      </c>
      <c r="D261" s="103">
        <v>100087724</v>
      </c>
      <c r="E261" s="89" t="s">
        <v>44</v>
      </c>
      <c r="F261" s="89">
        <v>100087681</v>
      </c>
      <c r="G261" s="90" t="s">
        <v>350</v>
      </c>
      <c r="H261" s="91">
        <v>9.6</v>
      </c>
      <c r="I261" s="92">
        <v>9.6</v>
      </c>
      <c r="J261" s="93">
        <v>-4.8</v>
      </c>
      <c r="K261" s="94">
        <v>9.6</v>
      </c>
      <c r="L261" s="94">
        <v>4.8</v>
      </c>
      <c r="M261" s="94">
        <v>9.6</v>
      </c>
      <c r="N261" s="102">
        <f t="shared" si="9"/>
        <v>8</v>
      </c>
      <c r="O261" s="97">
        <v>4.8</v>
      </c>
      <c r="P261" s="92">
        <v>0</v>
      </c>
      <c r="Q261" s="98">
        <f t="shared" si="8"/>
        <v>4.8</v>
      </c>
      <c r="R261" s="99" t="str">
        <f>+IF(Q261+N261&lt;=0, "NO COMPRADOR", +IF(Q261&lt;=0, "SIN COMPRA "&amp;+UPPER(TEXT('DINAMICA ENERO 26'!$C$2,"mmm 'yy")), "COMPRADOR"))</f>
        <v>COMPRADOR</v>
      </c>
      <c r="S261" s="100"/>
      <c r="T261" s="101"/>
      <c r="U261" s="100"/>
      <c r="V261" s="100"/>
    </row>
    <row r="262" spans="1:22" ht="14">
      <c r="A262" s="88" t="s">
        <v>85</v>
      </c>
      <c r="B262" s="89" t="s">
        <v>351</v>
      </c>
      <c r="C262" s="89" t="s">
        <v>43</v>
      </c>
      <c r="D262" s="103">
        <v>100070275</v>
      </c>
      <c r="E262" s="89" t="s">
        <v>47</v>
      </c>
      <c r="F262" s="89">
        <v>100079420</v>
      </c>
      <c r="G262" s="90" t="s">
        <v>352</v>
      </c>
      <c r="H262" s="91">
        <v>4.8</v>
      </c>
      <c r="I262" s="92">
        <v>0</v>
      </c>
      <c r="J262" s="93">
        <v>0</v>
      </c>
      <c r="K262" s="94">
        <v>14.399999999999999</v>
      </c>
      <c r="L262" s="94">
        <v>-4.8</v>
      </c>
      <c r="M262" s="94">
        <v>4.8</v>
      </c>
      <c r="N262" s="102">
        <f t="shared" si="9"/>
        <v>4.8</v>
      </c>
      <c r="O262" s="97">
        <v>0</v>
      </c>
      <c r="P262" s="92">
        <v>0</v>
      </c>
      <c r="Q262" s="98">
        <f t="shared" si="8"/>
        <v>0</v>
      </c>
      <c r="R262" s="99" t="str">
        <f>+IF(Q262+N262&lt;=0, "NO COMPRADOR", +IF(Q262&lt;=0, "SIN COMPRA "&amp;+UPPER(TEXT('DINAMICA ENERO 26'!$C$2,"mmm 'yy")), "COMPRADOR"))</f>
        <v>SIN COMPRA FEB '26</v>
      </c>
      <c r="S262" s="100"/>
      <c r="T262" s="101"/>
      <c r="U262" s="100"/>
      <c r="V262" s="100"/>
    </row>
    <row r="263" spans="1:22" ht="14">
      <c r="A263" s="88" t="s">
        <v>85</v>
      </c>
      <c r="B263" s="89" t="s">
        <v>351</v>
      </c>
      <c r="C263" s="89" t="s">
        <v>43</v>
      </c>
      <c r="D263" s="103">
        <v>100070275</v>
      </c>
      <c r="E263" s="89" t="s">
        <v>47</v>
      </c>
      <c r="F263" s="89">
        <v>100078680</v>
      </c>
      <c r="G263" s="90" t="s">
        <v>353</v>
      </c>
      <c r="H263" s="91">
        <v>0</v>
      </c>
      <c r="I263" s="92">
        <v>0</v>
      </c>
      <c r="J263" s="93">
        <v>0</v>
      </c>
      <c r="K263" s="94">
        <v>0</v>
      </c>
      <c r="L263" s="94">
        <v>0</v>
      </c>
      <c r="M263" s="94">
        <v>0</v>
      </c>
      <c r="N263" s="102">
        <f t="shared" si="9"/>
        <v>0</v>
      </c>
      <c r="O263" s="97">
        <v>0</v>
      </c>
      <c r="P263" s="92">
        <v>0</v>
      </c>
      <c r="Q263" s="98">
        <f t="shared" si="8"/>
        <v>0</v>
      </c>
      <c r="R263" s="99" t="str">
        <f>+IF(Q263+N263&lt;=0, "NO COMPRADOR", +IF(Q263&lt;=0, "SIN COMPRA "&amp;+UPPER(TEXT('DINAMICA ENERO 26'!$C$2,"mmm 'yy")), "COMPRADOR"))</f>
        <v>NO COMPRADOR</v>
      </c>
      <c r="S263" s="100"/>
      <c r="T263" s="101"/>
      <c r="U263" s="100"/>
      <c r="V263" s="100"/>
    </row>
    <row r="264" spans="1:22" ht="14">
      <c r="A264" s="88" t="s">
        <v>85</v>
      </c>
      <c r="B264" s="89" t="s">
        <v>351</v>
      </c>
      <c r="C264" s="89" t="s">
        <v>43</v>
      </c>
      <c r="D264" s="103">
        <v>100070275</v>
      </c>
      <c r="E264" s="89" t="s">
        <v>47</v>
      </c>
      <c r="F264" s="89">
        <v>100064271</v>
      </c>
      <c r="G264" s="90" t="s">
        <v>354</v>
      </c>
      <c r="H264" s="91">
        <v>4.8</v>
      </c>
      <c r="I264" s="92">
        <v>0</v>
      </c>
      <c r="J264" s="93">
        <v>4.8</v>
      </c>
      <c r="K264" s="94">
        <v>0</v>
      </c>
      <c r="L264" s="94">
        <v>4.8</v>
      </c>
      <c r="M264" s="94">
        <v>0</v>
      </c>
      <c r="N264" s="102">
        <f t="shared" si="9"/>
        <v>1.5999999999999999</v>
      </c>
      <c r="O264" s="97">
        <v>4.8</v>
      </c>
      <c r="P264" s="92">
        <v>0</v>
      </c>
      <c r="Q264" s="98">
        <f t="shared" si="8"/>
        <v>4.8</v>
      </c>
      <c r="R264" s="99" t="str">
        <f>+IF(Q264+N264&lt;=0, "NO COMPRADOR", +IF(Q264&lt;=0, "SIN COMPRA "&amp;+UPPER(TEXT('DINAMICA ENERO 26'!$C$2,"mmm 'yy")), "COMPRADOR"))</f>
        <v>COMPRADOR</v>
      </c>
      <c r="S264" s="100"/>
      <c r="T264" s="101"/>
      <c r="U264" s="100"/>
      <c r="V264" s="100"/>
    </row>
    <row r="265" spans="1:22" ht="14">
      <c r="A265" s="88" t="s">
        <v>85</v>
      </c>
      <c r="B265" s="89" t="s">
        <v>351</v>
      </c>
      <c r="C265" s="89" t="s">
        <v>43</v>
      </c>
      <c r="D265" s="103">
        <v>100070275</v>
      </c>
      <c r="E265" s="89" t="s">
        <v>47</v>
      </c>
      <c r="F265" s="89">
        <v>100069359</v>
      </c>
      <c r="G265" s="90" t="s">
        <v>355</v>
      </c>
      <c r="H265" s="91">
        <v>4.8</v>
      </c>
      <c r="I265" s="92">
        <v>0</v>
      </c>
      <c r="J265" s="93">
        <v>0</v>
      </c>
      <c r="K265" s="94">
        <v>9.6</v>
      </c>
      <c r="L265" s="94">
        <v>4.8</v>
      </c>
      <c r="M265" s="94">
        <v>14.399999999999999</v>
      </c>
      <c r="N265" s="102">
        <f t="shared" si="9"/>
        <v>9.6</v>
      </c>
      <c r="O265" s="97">
        <v>0</v>
      </c>
      <c r="P265" s="92">
        <v>0</v>
      </c>
      <c r="Q265" s="98">
        <f t="shared" si="8"/>
        <v>0</v>
      </c>
      <c r="R265" s="99" t="str">
        <f>+IF(Q265+N265&lt;=0, "NO COMPRADOR", +IF(Q265&lt;=0, "SIN COMPRA "&amp;+UPPER(TEXT('DINAMICA ENERO 26'!$C$2,"mmm 'yy")), "COMPRADOR"))</f>
        <v>SIN COMPRA FEB '26</v>
      </c>
      <c r="S265" s="100"/>
      <c r="T265" s="101"/>
      <c r="U265" s="100"/>
      <c r="V265" s="100"/>
    </row>
    <row r="266" spans="1:22" ht="14">
      <c r="A266" s="88" t="s">
        <v>85</v>
      </c>
      <c r="B266" s="89" t="s">
        <v>351</v>
      </c>
      <c r="C266" s="89" t="s">
        <v>43</v>
      </c>
      <c r="D266" s="103">
        <v>100070275</v>
      </c>
      <c r="E266" s="89" t="s">
        <v>47</v>
      </c>
      <c r="F266" s="89">
        <v>100078132</v>
      </c>
      <c r="G266" s="90" t="s">
        <v>356</v>
      </c>
      <c r="H266" s="91">
        <v>0</v>
      </c>
      <c r="I266" s="92">
        <v>-4.8</v>
      </c>
      <c r="J266" s="93">
        <v>0</v>
      </c>
      <c r="K266" s="94">
        <v>9.6</v>
      </c>
      <c r="L266" s="94">
        <v>14.399999999999999</v>
      </c>
      <c r="M266" s="94">
        <v>9.5999999999999979</v>
      </c>
      <c r="N266" s="102">
        <f t="shared" si="9"/>
        <v>11.199999999999998</v>
      </c>
      <c r="O266" s="97">
        <v>-4.8</v>
      </c>
      <c r="P266" s="92">
        <v>0</v>
      </c>
      <c r="Q266" s="98">
        <f t="shared" si="8"/>
        <v>-4.8</v>
      </c>
      <c r="R266" s="99" t="str">
        <f>+IF(Q266+N266&lt;=0, "NO COMPRADOR", +IF(Q266&lt;=0, "SIN COMPRA "&amp;+UPPER(TEXT('DINAMICA ENERO 26'!$C$2,"mmm 'yy")), "COMPRADOR"))</f>
        <v>SIN COMPRA FEB '26</v>
      </c>
      <c r="S266" s="100"/>
      <c r="T266" s="101"/>
      <c r="U266" s="100"/>
      <c r="V266" s="100"/>
    </row>
    <row r="267" spans="1:22" ht="14">
      <c r="A267" s="88" t="s">
        <v>85</v>
      </c>
      <c r="B267" s="89" t="s">
        <v>351</v>
      </c>
      <c r="C267" s="89" t="s">
        <v>43</v>
      </c>
      <c r="D267" s="103">
        <v>100070275</v>
      </c>
      <c r="E267" s="89" t="s">
        <v>47</v>
      </c>
      <c r="F267" s="89">
        <v>100023921</v>
      </c>
      <c r="G267" s="90" t="s">
        <v>357</v>
      </c>
      <c r="H267" s="91">
        <v>4.8</v>
      </c>
      <c r="I267" s="92">
        <v>0</v>
      </c>
      <c r="J267" s="93">
        <v>4.8</v>
      </c>
      <c r="K267" s="94">
        <v>0</v>
      </c>
      <c r="L267" s="94">
        <v>4.8</v>
      </c>
      <c r="M267" s="94">
        <v>0</v>
      </c>
      <c r="N267" s="102">
        <f t="shared" si="9"/>
        <v>1.5999999999999999</v>
      </c>
      <c r="O267" s="97">
        <v>0</v>
      </c>
      <c r="P267" s="92">
        <v>0</v>
      </c>
      <c r="Q267" s="98">
        <f t="shared" si="8"/>
        <v>0</v>
      </c>
      <c r="R267" s="99" t="str">
        <f>+IF(Q267+N267&lt;=0, "NO COMPRADOR", +IF(Q267&lt;=0, "SIN COMPRA "&amp;+UPPER(TEXT('DINAMICA ENERO 26'!$C$2,"mmm 'yy")), "COMPRADOR"))</f>
        <v>SIN COMPRA FEB '26</v>
      </c>
      <c r="S267" s="100"/>
      <c r="T267" s="101"/>
      <c r="U267" s="100"/>
      <c r="V267" s="100"/>
    </row>
    <row r="268" spans="1:22" ht="14">
      <c r="A268" s="88" t="s">
        <v>85</v>
      </c>
      <c r="B268" s="89" t="s">
        <v>351</v>
      </c>
      <c r="C268" s="89" t="s">
        <v>43</v>
      </c>
      <c r="D268" s="103">
        <v>100070275</v>
      </c>
      <c r="E268" s="89" t="s">
        <v>47</v>
      </c>
      <c r="F268" s="89">
        <v>100082844</v>
      </c>
      <c r="G268" s="90" t="s">
        <v>358</v>
      </c>
      <c r="H268" s="91">
        <v>-8.8817841970012523E-16</v>
      </c>
      <c r="I268" s="92">
        <v>4.8</v>
      </c>
      <c r="J268" s="93">
        <v>-4.8</v>
      </c>
      <c r="K268" s="94">
        <v>4.8</v>
      </c>
      <c r="L268" s="94">
        <v>-4.8</v>
      </c>
      <c r="M268" s="94">
        <v>0</v>
      </c>
      <c r="N268" s="102">
        <f t="shared" si="9"/>
        <v>0</v>
      </c>
      <c r="O268" s="97">
        <v>0</v>
      </c>
      <c r="P268" s="92">
        <v>0</v>
      </c>
      <c r="Q268" s="98">
        <f t="shared" si="8"/>
        <v>0</v>
      </c>
      <c r="R268" s="99" t="str">
        <f>+IF(Q268+N268&lt;=0, "NO COMPRADOR", +IF(Q268&lt;=0, "SIN COMPRA "&amp;+UPPER(TEXT('DINAMICA ENERO 26'!$C$2,"mmm 'yy")), "COMPRADOR"))</f>
        <v>NO COMPRADOR</v>
      </c>
      <c r="T268" s="101"/>
      <c r="U268" s="100"/>
      <c r="V268" s="100"/>
    </row>
    <row r="269" spans="1:22" ht="14">
      <c r="A269" s="88" t="s">
        <v>85</v>
      </c>
      <c r="B269" s="89" t="s">
        <v>351</v>
      </c>
      <c r="C269" s="89" t="s">
        <v>43</v>
      </c>
      <c r="D269" s="103">
        <v>100070275</v>
      </c>
      <c r="E269" s="89" t="s">
        <v>47</v>
      </c>
      <c r="F269" s="89">
        <v>100001577</v>
      </c>
      <c r="G269" s="90" t="s">
        <v>359</v>
      </c>
      <c r="H269" s="91">
        <v>0</v>
      </c>
      <c r="I269" s="92">
        <v>0</v>
      </c>
      <c r="J269" s="93">
        <v>4.8</v>
      </c>
      <c r="K269" s="94">
        <v>0</v>
      </c>
      <c r="L269" s="94">
        <v>0</v>
      </c>
      <c r="M269" s="94">
        <v>0</v>
      </c>
      <c r="N269" s="102">
        <f t="shared" si="9"/>
        <v>0</v>
      </c>
      <c r="O269" s="97">
        <v>9.6</v>
      </c>
      <c r="P269" s="92">
        <v>0</v>
      </c>
      <c r="Q269" s="98">
        <f t="shared" si="8"/>
        <v>9.6</v>
      </c>
      <c r="R269" s="99" t="str">
        <f>+IF(Q269+N269&lt;=0, "NO COMPRADOR", +IF(Q269&lt;=0, "SIN COMPRA "&amp;+UPPER(TEXT('DINAMICA ENERO 26'!$C$2,"mmm 'yy")), "COMPRADOR"))</f>
        <v>COMPRADOR</v>
      </c>
      <c r="S269" s="100"/>
      <c r="T269" s="101"/>
      <c r="U269" s="100"/>
      <c r="V269" s="100"/>
    </row>
    <row r="270" spans="1:22" ht="14">
      <c r="A270" s="88" t="s">
        <v>85</v>
      </c>
      <c r="B270" s="89" t="s">
        <v>351</v>
      </c>
      <c r="C270" s="89" t="s">
        <v>43</v>
      </c>
      <c r="D270" s="103">
        <v>100070275</v>
      </c>
      <c r="E270" s="89" t="s">
        <v>47</v>
      </c>
      <c r="F270" s="89">
        <v>100078048</v>
      </c>
      <c r="G270" s="90" t="s">
        <v>360</v>
      </c>
      <c r="H270" s="91">
        <v>0</v>
      </c>
      <c r="I270" s="92">
        <v>4.8</v>
      </c>
      <c r="J270" s="93">
        <v>0</v>
      </c>
      <c r="K270" s="94">
        <v>0</v>
      </c>
      <c r="L270" s="94">
        <v>9.6</v>
      </c>
      <c r="M270" s="94">
        <v>-9.6</v>
      </c>
      <c r="N270" s="102">
        <f t="shared" si="9"/>
        <v>0</v>
      </c>
      <c r="O270" s="97">
        <v>4.8</v>
      </c>
      <c r="P270" s="92">
        <v>0</v>
      </c>
      <c r="Q270" s="98">
        <f t="shared" si="8"/>
        <v>4.8</v>
      </c>
      <c r="R270" s="99" t="str">
        <f>+IF(Q270+N270&lt;=0, "NO COMPRADOR", +IF(Q270&lt;=0, "SIN COMPRA "&amp;+UPPER(TEXT('DINAMICA ENERO 26'!$C$2,"mmm 'yy")), "COMPRADOR"))</f>
        <v>COMPRADOR</v>
      </c>
      <c r="T270" s="101"/>
      <c r="U270" s="100"/>
      <c r="V270" s="100"/>
    </row>
    <row r="271" spans="1:22" ht="14">
      <c r="A271" s="88" t="s">
        <v>85</v>
      </c>
      <c r="B271" s="89" t="s">
        <v>351</v>
      </c>
      <c r="C271" s="89" t="s">
        <v>43</v>
      </c>
      <c r="D271" s="103">
        <v>100070275</v>
      </c>
      <c r="E271" s="89" t="s">
        <v>47</v>
      </c>
      <c r="F271" s="89">
        <v>100001301</v>
      </c>
      <c r="G271" s="90" t="s">
        <v>361</v>
      </c>
      <c r="H271" s="91">
        <v>0</v>
      </c>
      <c r="I271" s="92">
        <v>0</v>
      </c>
      <c r="J271" s="93">
        <v>0</v>
      </c>
      <c r="K271" s="94">
        <v>0</v>
      </c>
      <c r="L271" s="94">
        <v>0</v>
      </c>
      <c r="M271" s="94">
        <v>0</v>
      </c>
      <c r="N271" s="102">
        <f t="shared" si="9"/>
        <v>0</v>
      </c>
      <c r="O271" s="97">
        <v>0</v>
      </c>
      <c r="P271" s="92">
        <v>0</v>
      </c>
      <c r="Q271" s="98">
        <f t="shared" si="8"/>
        <v>0</v>
      </c>
      <c r="R271" s="99" t="str">
        <f>+IF(Q271+N271&lt;=0, "NO COMPRADOR", +IF(Q271&lt;=0, "SIN COMPRA "&amp;+UPPER(TEXT('DINAMICA ENERO 26'!$C$2,"mmm 'yy")), "COMPRADOR"))</f>
        <v>NO COMPRADOR</v>
      </c>
      <c r="T271" s="101"/>
      <c r="U271" s="100"/>
      <c r="V271" s="100"/>
    </row>
    <row r="272" spans="1:22" ht="14">
      <c r="A272" s="88" t="s">
        <v>85</v>
      </c>
      <c r="B272" s="89" t="s">
        <v>351</v>
      </c>
      <c r="C272" s="89" t="s">
        <v>43</v>
      </c>
      <c r="D272" s="103">
        <v>100070275</v>
      </c>
      <c r="E272" s="89" t="s">
        <v>47</v>
      </c>
      <c r="F272" s="89">
        <v>100002071</v>
      </c>
      <c r="G272" s="90" t="s">
        <v>362</v>
      </c>
      <c r="H272" s="91">
        <v>4.8</v>
      </c>
      <c r="I272" s="92">
        <v>48</v>
      </c>
      <c r="J272" s="93">
        <v>0</v>
      </c>
      <c r="K272" s="94">
        <v>0</v>
      </c>
      <c r="L272" s="94">
        <v>115.2</v>
      </c>
      <c r="M272" s="94">
        <v>72</v>
      </c>
      <c r="N272" s="102">
        <f t="shared" si="9"/>
        <v>62.4</v>
      </c>
      <c r="O272" s="97">
        <v>48</v>
      </c>
      <c r="P272" s="92">
        <v>0</v>
      </c>
      <c r="Q272" s="98">
        <f t="shared" si="8"/>
        <v>48</v>
      </c>
      <c r="R272" s="99" t="str">
        <f>+IF(Q272+N272&lt;=0, "NO COMPRADOR", +IF(Q272&lt;=0, "SIN COMPRA "&amp;+UPPER(TEXT('DINAMICA ENERO 26'!$C$2,"mmm 'yy")), "COMPRADOR"))</f>
        <v>COMPRADOR</v>
      </c>
      <c r="T272" s="101"/>
      <c r="U272" s="100"/>
      <c r="V272" s="100"/>
    </row>
    <row r="273" spans="1:22" ht="14">
      <c r="A273" s="88" t="s">
        <v>85</v>
      </c>
      <c r="B273" s="89" t="s">
        <v>351</v>
      </c>
      <c r="C273" s="89" t="s">
        <v>43</v>
      </c>
      <c r="D273" s="103">
        <v>100070275</v>
      </c>
      <c r="E273" s="89" t="s">
        <v>47</v>
      </c>
      <c r="F273" s="89">
        <v>100001979</v>
      </c>
      <c r="G273" s="90" t="s">
        <v>290</v>
      </c>
      <c r="H273" s="91">
        <v>4.8000000000000007</v>
      </c>
      <c r="I273" s="92">
        <v>19.2</v>
      </c>
      <c r="J273" s="93">
        <v>4.8</v>
      </c>
      <c r="K273" s="94">
        <v>4.8</v>
      </c>
      <c r="L273" s="94">
        <v>14.399999999999999</v>
      </c>
      <c r="M273" s="94">
        <v>14.399999999999999</v>
      </c>
      <c r="N273" s="102">
        <f t="shared" si="9"/>
        <v>11.199999999999998</v>
      </c>
      <c r="O273" s="97">
        <v>-19.2</v>
      </c>
      <c r="P273" s="92">
        <v>19.2</v>
      </c>
      <c r="Q273" s="98">
        <f t="shared" si="8"/>
        <v>0</v>
      </c>
      <c r="R273" s="99" t="str">
        <f>+IF(Q273+N273&lt;=0, "NO COMPRADOR", +IF(Q273&lt;=0, "SIN COMPRA "&amp;+UPPER(TEXT('DINAMICA ENERO 26'!$C$2,"mmm 'yy")), "COMPRADOR"))</f>
        <v>SIN COMPRA FEB '26</v>
      </c>
      <c r="T273" s="101"/>
      <c r="U273" s="100"/>
      <c r="V273" s="100"/>
    </row>
    <row r="274" spans="1:22" ht="14">
      <c r="A274" s="88" t="s">
        <v>85</v>
      </c>
      <c r="B274" s="89" t="s">
        <v>351</v>
      </c>
      <c r="C274" s="89" t="s">
        <v>43</v>
      </c>
      <c r="D274" s="103">
        <v>100070275</v>
      </c>
      <c r="E274" s="89" t="s">
        <v>47</v>
      </c>
      <c r="F274" s="89">
        <v>100001679</v>
      </c>
      <c r="G274" s="90" t="s">
        <v>363</v>
      </c>
      <c r="H274" s="91">
        <v>4.8</v>
      </c>
      <c r="I274" s="92">
        <v>-4.8</v>
      </c>
      <c r="J274" s="93">
        <v>0</v>
      </c>
      <c r="K274" s="94">
        <v>0</v>
      </c>
      <c r="L274" s="94">
        <v>0</v>
      </c>
      <c r="M274" s="94">
        <v>0</v>
      </c>
      <c r="N274" s="102">
        <f t="shared" si="9"/>
        <v>0</v>
      </c>
      <c r="O274" s="97">
        <v>0</v>
      </c>
      <c r="P274" s="92">
        <v>0</v>
      </c>
      <c r="Q274" s="98">
        <f t="shared" si="8"/>
        <v>0</v>
      </c>
      <c r="R274" s="99" t="str">
        <f>+IF(Q274+N274&lt;=0, "NO COMPRADOR", +IF(Q274&lt;=0, "SIN COMPRA "&amp;+UPPER(TEXT('DINAMICA ENERO 26'!$C$2,"mmm 'yy")), "COMPRADOR"))</f>
        <v>NO COMPRADOR</v>
      </c>
      <c r="T274" s="101"/>
      <c r="U274" s="100"/>
      <c r="V274" s="100"/>
    </row>
    <row r="275" spans="1:22" ht="14">
      <c r="A275" s="88" t="s">
        <v>85</v>
      </c>
      <c r="B275" s="89" t="s">
        <v>351</v>
      </c>
      <c r="C275" s="89" t="s">
        <v>43</v>
      </c>
      <c r="D275" s="103">
        <v>100070275</v>
      </c>
      <c r="E275" s="89" t="s">
        <v>47</v>
      </c>
      <c r="F275" s="89">
        <v>100001246</v>
      </c>
      <c r="G275" s="90" t="s">
        <v>364</v>
      </c>
      <c r="H275" s="91">
        <v>48</v>
      </c>
      <c r="I275" s="92">
        <v>0</v>
      </c>
      <c r="J275" s="93">
        <v>4.8</v>
      </c>
      <c r="K275" s="94">
        <v>0</v>
      </c>
      <c r="L275" s="94">
        <v>19.2</v>
      </c>
      <c r="M275" s="94">
        <v>0</v>
      </c>
      <c r="N275" s="102">
        <f t="shared" si="9"/>
        <v>6.3999999999999995</v>
      </c>
      <c r="O275" s="97">
        <v>4.8</v>
      </c>
      <c r="P275" s="92">
        <v>0</v>
      </c>
      <c r="Q275" s="98">
        <f t="shared" si="8"/>
        <v>4.8</v>
      </c>
      <c r="R275" s="99" t="str">
        <f>+IF(Q275+N275&lt;=0, "NO COMPRADOR", +IF(Q275&lt;=0, "SIN COMPRA "&amp;+UPPER(TEXT('DINAMICA ENERO 26'!$C$2,"mmm 'yy")), "COMPRADOR"))</f>
        <v>COMPRADOR</v>
      </c>
      <c r="T275" s="101"/>
      <c r="U275" s="100"/>
      <c r="V275" s="100"/>
    </row>
    <row r="276" spans="1:22" ht="14">
      <c r="A276" s="88" t="s">
        <v>85</v>
      </c>
      <c r="B276" s="89" t="s">
        <v>351</v>
      </c>
      <c r="C276" s="89" t="s">
        <v>43</v>
      </c>
      <c r="D276" s="103">
        <v>100070275</v>
      </c>
      <c r="E276" s="89" t="s">
        <v>47</v>
      </c>
      <c r="F276" s="89">
        <v>100083239</v>
      </c>
      <c r="G276" s="90" t="s">
        <v>365</v>
      </c>
      <c r="H276" s="91">
        <v>0</v>
      </c>
      <c r="I276" s="92">
        <v>0</v>
      </c>
      <c r="J276" s="93">
        <v>0</v>
      </c>
      <c r="K276" s="94">
        <v>4.8</v>
      </c>
      <c r="L276" s="94">
        <v>4.8</v>
      </c>
      <c r="M276" s="94">
        <v>0</v>
      </c>
      <c r="N276" s="102">
        <f t="shared" si="9"/>
        <v>3.1999999999999997</v>
      </c>
      <c r="O276" s="97">
        <v>0</v>
      </c>
      <c r="P276" s="92">
        <v>0</v>
      </c>
      <c r="Q276" s="98">
        <f t="shared" si="8"/>
        <v>0</v>
      </c>
      <c r="R276" s="99" t="str">
        <f>+IF(Q276+N276&lt;=0, "NO COMPRADOR", +IF(Q276&lt;=0, "SIN COMPRA "&amp;+UPPER(TEXT('DINAMICA ENERO 26'!$C$2,"mmm 'yy")), "COMPRADOR"))</f>
        <v>SIN COMPRA FEB '26</v>
      </c>
      <c r="T276" s="101"/>
      <c r="U276" s="100"/>
      <c r="V276" s="100"/>
    </row>
    <row r="277" spans="1:22" ht="14">
      <c r="A277" s="88" t="s">
        <v>85</v>
      </c>
      <c r="B277" s="89" t="s">
        <v>351</v>
      </c>
      <c r="C277" s="89" t="s">
        <v>43</v>
      </c>
      <c r="D277" s="103">
        <v>100070275</v>
      </c>
      <c r="E277" s="89" t="s">
        <v>47</v>
      </c>
      <c r="F277" s="89">
        <v>100066082</v>
      </c>
      <c r="G277" s="90" t="s">
        <v>366</v>
      </c>
      <c r="H277" s="91">
        <v>0</v>
      </c>
      <c r="I277" s="92">
        <v>0</v>
      </c>
      <c r="J277" s="93">
        <v>0</v>
      </c>
      <c r="K277" s="94">
        <v>0</v>
      </c>
      <c r="L277" s="94">
        <v>0</v>
      </c>
      <c r="M277" s="94">
        <v>0</v>
      </c>
      <c r="N277" s="102">
        <f t="shared" si="9"/>
        <v>0</v>
      </c>
      <c r="O277" s="97">
        <v>0</v>
      </c>
      <c r="P277" s="92">
        <v>0</v>
      </c>
      <c r="Q277" s="98">
        <f t="shared" si="8"/>
        <v>0</v>
      </c>
      <c r="R277" s="99" t="str">
        <f>+IF(Q277+N277&lt;=0, "NO COMPRADOR", +IF(Q277&lt;=0, "SIN COMPRA "&amp;+UPPER(TEXT('DINAMICA ENERO 26'!$C$2,"mmm 'yy")), "COMPRADOR"))</f>
        <v>NO COMPRADOR</v>
      </c>
      <c r="T277" s="101"/>
      <c r="U277" s="100"/>
      <c r="V277" s="100"/>
    </row>
    <row r="278" spans="1:22" ht="14">
      <c r="A278" s="88" t="s">
        <v>85</v>
      </c>
      <c r="B278" s="89" t="s">
        <v>351</v>
      </c>
      <c r="C278" s="89" t="s">
        <v>43</v>
      </c>
      <c r="D278" s="103">
        <v>100075073</v>
      </c>
      <c r="E278" s="89" t="s">
        <v>48</v>
      </c>
      <c r="F278" s="89">
        <v>100001979</v>
      </c>
      <c r="G278" s="90" t="s">
        <v>290</v>
      </c>
      <c r="H278" s="91">
        <v>48</v>
      </c>
      <c r="I278" s="92">
        <v>38.4</v>
      </c>
      <c r="J278" s="93">
        <v>38.4</v>
      </c>
      <c r="K278" s="94">
        <v>28.799999999999997</v>
      </c>
      <c r="L278" s="94">
        <v>0</v>
      </c>
      <c r="M278" s="94">
        <v>52.8</v>
      </c>
      <c r="N278" s="102">
        <f t="shared" si="9"/>
        <v>27.2</v>
      </c>
      <c r="O278" s="97">
        <v>9.6</v>
      </c>
      <c r="P278" s="92">
        <v>28.8</v>
      </c>
      <c r="Q278" s="98">
        <f t="shared" si="8"/>
        <v>38.4</v>
      </c>
      <c r="R278" s="99" t="str">
        <f>+IF(Q278+N278&lt;=0, "NO COMPRADOR", +IF(Q278&lt;=0, "SIN COMPRA "&amp;+UPPER(TEXT('DINAMICA ENERO 26'!$C$2,"mmm 'yy")), "COMPRADOR"))</f>
        <v>COMPRADOR</v>
      </c>
      <c r="T278" s="101"/>
      <c r="U278" s="100"/>
      <c r="V278" s="100"/>
    </row>
    <row r="279" spans="1:22" ht="14">
      <c r="A279" s="88" t="s">
        <v>85</v>
      </c>
      <c r="B279" s="89" t="s">
        <v>351</v>
      </c>
      <c r="C279" s="89" t="s">
        <v>43</v>
      </c>
      <c r="D279" s="103">
        <v>100075073</v>
      </c>
      <c r="E279" s="89" t="s">
        <v>48</v>
      </c>
      <c r="F279" s="89">
        <v>100014590</v>
      </c>
      <c r="G279" s="90" t="s">
        <v>367</v>
      </c>
      <c r="H279" s="91">
        <v>9.6</v>
      </c>
      <c r="I279" s="92">
        <v>14.399999999999999</v>
      </c>
      <c r="J279" s="93">
        <v>9.6</v>
      </c>
      <c r="K279" s="94">
        <v>0</v>
      </c>
      <c r="L279" s="94">
        <v>0</v>
      </c>
      <c r="M279" s="94">
        <v>0</v>
      </c>
      <c r="N279" s="102">
        <f t="shared" si="9"/>
        <v>0</v>
      </c>
      <c r="O279" s="97">
        <v>14.399999999999999</v>
      </c>
      <c r="P279" s="92">
        <v>0</v>
      </c>
      <c r="Q279" s="98">
        <f t="shared" si="8"/>
        <v>14.399999999999999</v>
      </c>
      <c r="R279" s="99" t="str">
        <f>+IF(Q279+N279&lt;=0, "NO COMPRADOR", +IF(Q279&lt;=0, "SIN COMPRA "&amp;+UPPER(TEXT('DINAMICA ENERO 26'!$C$2,"mmm 'yy")), "COMPRADOR"))</f>
        <v>COMPRADOR</v>
      </c>
      <c r="T279" s="101"/>
      <c r="U279" s="100"/>
      <c r="V279" s="100"/>
    </row>
    <row r="280" spans="1:22" ht="14">
      <c r="A280" s="88" t="s">
        <v>85</v>
      </c>
      <c r="B280" s="89" t="s">
        <v>351</v>
      </c>
      <c r="C280" s="89" t="s">
        <v>43</v>
      </c>
      <c r="D280" s="103">
        <v>100075073</v>
      </c>
      <c r="E280" s="89" t="s">
        <v>48</v>
      </c>
      <c r="F280" s="89">
        <v>100001197</v>
      </c>
      <c r="G280" s="90" t="s">
        <v>368</v>
      </c>
      <c r="H280" s="91">
        <v>4.8</v>
      </c>
      <c r="I280" s="92">
        <v>14.399999999999999</v>
      </c>
      <c r="J280" s="93">
        <v>-9.5999999999999979</v>
      </c>
      <c r="K280" s="94">
        <v>0</v>
      </c>
      <c r="L280" s="94">
        <v>9.6</v>
      </c>
      <c r="M280" s="94">
        <v>0</v>
      </c>
      <c r="N280" s="102">
        <f t="shared" si="9"/>
        <v>3.1999999999999997</v>
      </c>
      <c r="O280" s="97">
        <v>-9.6</v>
      </c>
      <c r="P280" s="92">
        <v>0</v>
      </c>
      <c r="Q280" s="98">
        <f t="shared" si="8"/>
        <v>-9.6</v>
      </c>
      <c r="R280" s="99" t="str">
        <f>+IF(Q280+N280&lt;=0, "NO COMPRADOR", +IF(Q280&lt;=0, "SIN COMPRA "&amp;+UPPER(TEXT('DINAMICA ENERO 26'!$C$2,"mmm 'yy")), "COMPRADOR"))</f>
        <v>NO COMPRADOR</v>
      </c>
      <c r="T280" s="101"/>
      <c r="U280" s="100"/>
      <c r="V280" s="100"/>
    </row>
    <row r="281" spans="1:22" ht="14">
      <c r="A281" s="88" t="s">
        <v>85</v>
      </c>
      <c r="B281" s="89" t="s">
        <v>351</v>
      </c>
      <c r="C281" s="89" t="s">
        <v>43</v>
      </c>
      <c r="D281" s="103">
        <v>100075073</v>
      </c>
      <c r="E281" s="89" t="s">
        <v>48</v>
      </c>
      <c r="F281" s="89">
        <v>100087851</v>
      </c>
      <c r="G281" s="90" t="s">
        <v>369</v>
      </c>
      <c r="H281" s="91">
        <v>0</v>
      </c>
      <c r="I281" s="92">
        <v>4.8</v>
      </c>
      <c r="J281" s="93">
        <v>0</v>
      </c>
      <c r="K281" s="94">
        <v>0</v>
      </c>
      <c r="L281" s="94">
        <v>4.8</v>
      </c>
      <c r="M281" s="94">
        <v>0</v>
      </c>
      <c r="N281" s="102">
        <f t="shared" si="9"/>
        <v>1.5999999999999999</v>
      </c>
      <c r="O281" s="97">
        <v>0</v>
      </c>
      <c r="P281" s="92">
        <v>0</v>
      </c>
      <c r="Q281" s="98">
        <f t="shared" si="8"/>
        <v>0</v>
      </c>
      <c r="R281" s="99" t="str">
        <f>+IF(Q281+N281&lt;=0, "NO COMPRADOR", +IF(Q281&lt;=0, "SIN COMPRA "&amp;+UPPER(TEXT('DINAMICA ENERO 26'!$C$2,"mmm 'yy")), "COMPRADOR"))</f>
        <v>SIN COMPRA FEB '26</v>
      </c>
      <c r="T281" s="101"/>
      <c r="U281" s="100"/>
      <c r="V281" s="100"/>
    </row>
    <row r="282" spans="1:22" ht="14">
      <c r="A282" s="88" t="s">
        <v>85</v>
      </c>
      <c r="B282" s="89" t="s">
        <v>351</v>
      </c>
      <c r="C282" s="89" t="s">
        <v>43</v>
      </c>
      <c r="D282" s="103">
        <v>100075073</v>
      </c>
      <c r="E282" s="89" t="s">
        <v>48</v>
      </c>
      <c r="F282" s="89">
        <v>100001807</v>
      </c>
      <c r="G282" s="90" t="s">
        <v>370</v>
      </c>
      <c r="H282" s="91">
        <v>0</v>
      </c>
      <c r="I282" s="92">
        <v>0</v>
      </c>
      <c r="J282" s="93">
        <v>4.8</v>
      </c>
      <c r="K282" s="94">
        <v>0</v>
      </c>
      <c r="L282" s="94">
        <v>0</v>
      </c>
      <c r="M282" s="94">
        <v>0</v>
      </c>
      <c r="N282" s="102">
        <f t="shared" si="9"/>
        <v>0</v>
      </c>
      <c r="O282" s="97">
        <v>0</v>
      </c>
      <c r="P282" s="92">
        <v>0</v>
      </c>
      <c r="Q282" s="98">
        <f t="shared" si="8"/>
        <v>0</v>
      </c>
      <c r="R282" s="99" t="str">
        <f>+IF(Q282+N282&lt;=0, "NO COMPRADOR", +IF(Q282&lt;=0, "SIN COMPRA "&amp;+UPPER(TEXT('DINAMICA ENERO 26'!$C$2,"mmm 'yy")), "COMPRADOR"))</f>
        <v>NO COMPRADOR</v>
      </c>
      <c r="T282" s="101"/>
      <c r="U282" s="100"/>
      <c r="V282" s="100"/>
    </row>
    <row r="283" spans="1:22" ht="14">
      <c r="A283" s="88" t="s">
        <v>85</v>
      </c>
      <c r="B283" s="89" t="s">
        <v>351</v>
      </c>
      <c r="C283" s="89" t="s">
        <v>43</v>
      </c>
      <c r="D283" s="103">
        <v>100075073</v>
      </c>
      <c r="E283" s="89" t="s">
        <v>48</v>
      </c>
      <c r="F283" s="89">
        <v>100001935</v>
      </c>
      <c r="G283" s="90" t="s">
        <v>371</v>
      </c>
      <c r="H283" s="91">
        <v>0</v>
      </c>
      <c r="I283" s="92">
        <v>0</v>
      </c>
      <c r="J283" s="93">
        <v>0</v>
      </c>
      <c r="K283" s="94">
        <v>0</v>
      </c>
      <c r="L283" s="94">
        <v>0</v>
      </c>
      <c r="M283" s="94">
        <v>0</v>
      </c>
      <c r="N283" s="102">
        <f t="shared" si="9"/>
        <v>0</v>
      </c>
      <c r="O283" s="97">
        <v>0</v>
      </c>
      <c r="P283" s="92">
        <v>0</v>
      </c>
      <c r="Q283" s="98">
        <f t="shared" ref="Q283:Q340" si="10">+O283+P283</f>
        <v>0</v>
      </c>
      <c r="R283" s="99" t="str">
        <f>+IF(Q283+N283&lt;=0, "NO COMPRADOR", +IF(Q283&lt;=0, "SIN COMPRA "&amp;+UPPER(TEXT('DINAMICA ENERO 26'!$C$2,"mmm 'yy")), "COMPRADOR"))</f>
        <v>NO COMPRADOR</v>
      </c>
      <c r="T283" s="101"/>
      <c r="U283" s="100"/>
      <c r="V283" s="100"/>
    </row>
    <row r="284" spans="1:22" ht="14">
      <c r="A284" s="88" t="s">
        <v>85</v>
      </c>
      <c r="B284" s="89" t="s">
        <v>351</v>
      </c>
      <c r="C284" s="89" t="s">
        <v>43</v>
      </c>
      <c r="D284" s="103">
        <v>100075073</v>
      </c>
      <c r="E284" s="89" t="s">
        <v>48</v>
      </c>
      <c r="F284" s="89">
        <v>100082353</v>
      </c>
      <c r="G284" s="90" t="s">
        <v>372</v>
      </c>
      <c r="H284" s="91">
        <v>4.8</v>
      </c>
      <c r="I284" s="92">
        <v>24</v>
      </c>
      <c r="J284" s="93">
        <v>0</v>
      </c>
      <c r="K284" s="94">
        <v>0</v>
      </c>
      <c r="L284" s="94">
        <v>0</v>
      </c>
      <c r="M284" s="94">
        <v>0</v>
      </c>
      <c r="N284" s="102">
        <f t="shared" si="9"/>
        <v>0</v>
      </c>
      <c r="O284" s="97">
        <v>0</v>
      </c>
      <c r="P284" s="92">
        <v>0</v>
      </c>
      <c r="Q284" s="98">
        <f t="shared" si="10"/>
        <v>0</v>
      </c>
      <c r="R284" s="99" t="str">
        <f>+IF(Q284+N284&lt;=0, "NO COMPRADOR", +IF(Q284&lt;=0, "SIN COMPRA "&amp;+UPPER(TEXT('DINAMICA ENERO 26'!$C$2,"mmm 'yy")), "COMPRADOR"))</f>
        <v>NO COMPRADOR</v>
      </c>
      <c r="T284" s="101"/>
      <c r="U284" s="100"/>
      <c r="V284" s="100"/>
    </row>
    <row r="285" spans="1:22" ht="14">
      <c r="A285" s="88" t="s">
        <v>85</v>
      </c>
      <c r="B285" s="89" t="s">
        <v>351</v>
      </c>
      <c r="C285" s="89" t="s">
        <v>43</v>
      </c>
      <c r="D285" s="103">
        <v>100075073</v>
      </c>
      <c r="E285" s="89" t="s">
        <v>48</v>
      </c>
      <c r="F285" s="89">
        <v>100075136</v>
      </c>
      <c r="G285" s="90" t="s">
        <v>373</v>
      </c>
      <c r="H285" s="91">
        <v>9.6</v>
      </c>
      <c r="I285" s="92">
        <v>33.6</v>
      </c>
      <c r="J285" s="93">
        <v>96</v>
      </c>
      <c r="K285" s="94">
        <v>240</v>
      </c>
      <c r="L285" s="94">
        <v>72</v>
      </c>
      <c r="M285" s="94">
        <v>0</v>
      </c>
      <c r="N285" s="102">
        <f t="shared" si="9"/>
        <v>104</v>
      </c>
      <c r="O285" s="97">
        <v>0</v>
      </c>
      <c r="P285" s="92">
        <v>0</v>
      </c>
      <c r="Q285" s="98">
        <f t="shared" si="10"/>
        <v>0</v>
      </c>
      <c r="R285" s="99" t="str">
        <f>+IF(Q285+N285&lt;=0, "NO COMPRADOR", +IF(Q285&lt;=0, "SIN COMPRA "&amp;+UPPER(TEXT('DINAMICA ENERO 26'!$C$2,"mmm 'yy")), "COMPRADOR"))</f>
        <v>SIN COMPRA FEB '26</v>
      </c>
      <c r="T285" s="101"/>
      <c r="U285" s="100"/>
      <c r="V285" s="100"/>
    </row>
    <row r="286" spans="1:22" ht="14">
      <c r="A286" s="88" t="s">
        <v>85</v>
      </c>
      <c r="B286" s="89" t="s">
        <v>351</v>
      </c>
      <c r="C286" s="89" t="s">
        <v>43</v>
      </c>
      <c r="D286" s="103">
        <v>100075073</v>
      </c>
      <c r="E286" s="89" t="s">
        <v>48</v>
      </c>
      <c r="F286" s="89">
        <v>100002420</v>
      </c>
      <c r="G286" s="90" t="s">
        <v>374</v>
      </c>
      <c r="H286" s="91">
        <v>4.8</v>
      </c>
      <c r="I286" s="92">
        <v>0</v>
      </c>
      <c r="J286" s="93">
        <v>4.8</v>
      </c>
      <c r="K286" s="94">
        <v>0</v>
      </c>
      <c r="L286" s="94">
        <v>0</v>
      </c>
      <c r="M286" s="94">
        <v>0</v>
      </c>
      <c r="N286" s="102">
        <f t="shared" si="9"/>
        <v>0</v>
      </c>
      <c r="O286" s="97">
        <v>0</v>
      </c>
      <c r="P286" s="92">
        <v>0</v>
      </c>
      <c r="Q286" s="98">
        <f t="shared" si="10"/>
        <v>0</v>
      </c>
      <c r="R286" s="99" t="str">
        <f>+IF(Q286+N286&lt;=0, "NO COMPRADOR", +IF(Q286&lt;=0, "SIN COMPRA "&amp;+UPPER(TEXT('DINAMICA ENERO 26'!$C$2,"mmm 'yy")), "COMPRADOR"))</f>
        <v>NO COMPRADOR</v>
      </c>
      <c r="T286" s="101"/>
      <c r="U286" s="100"/>
      <c r="V286" s="100"/>
    </row>
    <row r="287" spans="1:22" ht="14">
      <c r="A287" s="88" t="s">
        <v>85</v>
      </c>
      <c r="B287" s="89" t="s">
        <v>351</v>
      </c>
      <c r="C287" s="89" t="s">
        <v>43</v>
      </c>
      <c r="D287" s="103">
        <v>100075073</v>
      </c>
      <c r="E287" s="89" t="s">
        <v>48</v>
      </c>
      <c r="F287" s="89">
        <v>100064325</v>
      </c>
      <c r="G287" s="90" t="s">
        <v>375</v>
      </c>
      <c r="H287" s="91">
        <v>0</v>
      </c>
      <c r="I287" s="92">
        <v>4.8</v>
      </c>
      <c r="J287" s="93">
        <v>4.8</v>
      </c>
      <c r="K287" s="94">
        <v>0</v>
      </c>
      <c r="L287" s="94">
        <v>0</v>
      </c>
      <c r="M287" s="94">
        <v>0</v>
      </c>
      <c r="N287" s="102">
        <f t="shared" si="9"/>
        <v>0</v>
      </c>
      <c r="O287" s="97">
        <v>0</v>
      </c>
      <c r="P287" s="92">
        <v>0</v>
      </c>
      <c r="Q287" s="98">
        <f t="shared" si="10"/>
        <v>0</v>
      </c>
      <c r="R287" s="99" t="str">
        <f>+IF(Q287+N287&lt;=0, "NO COMPRADOR", +IF(Q287&lt;=0, "SIN COMPRA "&amp;+UPPER(TEXT('DINAMICA ENERO 26'!$C$2,"mmm 'yy")), "COMPRADOR"))</f>
        <v>NO COMPRADOR</v>
      </c>
      <c r="T287" s="101"/>
      <c r="U287" s="100"/>
      <c r="V287" s="100"/>
    </row>
    <row r="288" spans="1:22" ht="14">
      <c r="A288" s="88" t="s">
        <v>85</v>
      </c>
      <c r="B288" s="89" t="s">
        <v>351</v>
      </c>
      <c r="C288" s="89" t="s">
        <v>43</v>
      </c>
      <c r="D288" s="103">
        <v>100075073</v>
      </c>
      <c r="E288" s="89" t="s">
        <v>48</v>
      </c>
      <c r="F288" s="89">
        <v>100085596</v>
      </c>
      <c r="G288" s="90" t="s">
        <v>376</v>
      </c>
      <c r="H288" s="91">
        <v>0</v>
      </c>
      <c r="I288" s="92">
        <v>4.8</v>
      </c>
      <c r="J288" s="93">
        <v>0</v>
      </c>
      <c r="K288" s="94">
        <v>4.8</v>
      </c>
      <c r="L288" s="94">
        <v>-4.8</v>
      </c>
      <c r="M288" s="94">
        <v>0</v>
      </c>
      <c r="N288" s="102">
        <f t="shared" si="9"/>
        <v>0</v>
      </c>
      <c r="O288" s="97">
        <v>0</v>
      </c>
      <c r="P288" s="92">
        <v>0</v>
      </c>
      <c r="Q288" s="98">
        <f t="shared" si="10"/>
        <v>0</v>
      </c>
      <c r="R288" s="99" t="str">
        <f>+IF(Q288+N288&lt;=0, "NO COMPRADOR", +IF(Q288&lt;=0, "SIN COMPRA "&amp;+UPPER(TEXT('DINAMICA ENERO 26'!$C$2,"mmm 'yy")), "COMPRADOR"))</f>
        <v>NO COMPRADOR</v>
      </c>
      <c r="T288" s="101"/>
      <c r="U288" s="100"/>
      <c r="V288" s="100"/>
    </row>
    <row r="289" spans="1:22" ht="14">
      <c r="A289" s="88" t="s">
        <v>85</v>
      </c>
      <c r="B289" s="89" t="s">
        <v>351</v>
      </c>
      <c r="C289" s="89" t="s">
        <v>43</v>
      </c>
      <c r="D289" s="103">
        <v>100075073</v>
      </c>
      <c r="E289" s="89" t="s">
        <v>48</v>
      </c>
      <c r="F289" s="89">
        <v>100001738</v>
      </c>
      <c r="G289" s="90" t="s">
        <v>377</v>
      </c>
      <c r="H289" s="91">
        <v>0</v>
      </c>
      <c r="I289" s="92">
        <v>0</v>
      </c>
      <c r="J289" s="93">
        <v>0</v>
      </c>
      <c r="K289" s="94">
        <v>0</v>
      </c>
      <c r="L289" s="94">
        <v>0</v>
      </c>
      <c r="M289" s="94">
        <v>0</v>
      </c>
      <c r="N289" s="102">
        <f t="shared" si="9"/>
        <v>0</v>
      </c>
      <c r="O289" s="97">
        <v>0</v>
      </c>
      <c r="P289" s="92">
        <v>0</v>
      </c>
      <c r="Q289" s="98">
        <f t="shared" si="10"/>
        <v>0</v>
      </c>
      <c r="R289" s="99" t="str">
        <f>+IF(Q289+N289&lt;=0, "NO COMPRADOR", +IF(Q289&lt;=0, "SIN COMPRA "&amp;+UPPER(TEXT('DINAMICA ENERO 26'!$C$2,"mmm 'yy")), "COMPRADOR"))</f>
        <v>NO COMPRADOR</v>
      </c>
      <c r="T289" s="101"/>
      <c r="U289" s="100"/>
      <c r="V289" s="100"/>
    </row>
    <row r="290" spans="1:22" ht="14">
      <c r="A290" s="88" t="s">
        <v>85</v>
      </c>
      <c r="B290" s="89" t="s">
        <v>351</v>
      </c>
      <c r="C290" s="89" t="s">
        <v>43</v>
      </c>
      <c r="D290" s="103">
        <v>100075073</v>
      </c>
      <c r="E290" s="89" t="s">
        <v>48</v>
      </c>
      <c r="F290" s="89">
        <v>100088892</v>
      </c>
      <c r="G290" s="90" t="s">
        <v>378</v>
      </c>
      <c r="H290" s="91">
        <v>9.6</v>
      </c>
      <c r="I290" s="92">
        <v>0</v>
      </c>
      <c r="J290" s="93">
        <v>4.8</v>
      </c>
      <c r="K290" s="94">
        <v>0</v>
      </c>
      <c r="L290" s="94">
        <v>4.8</v>
      </c>
      <c r="M290" s="94">
        <v>0</v>
      </c>
      <c r="N290" s="102">
        <f t="shared" si="9"/>
        <v>1.5999999999999999</v>
      </c>
      <c r="O290" s="97">
        <v>4.8</v>
      </c>
      <c r="P290" s="92">
        <v>0</v>
      </c>
      <c r="Q290" s="98">
        <f t="shared" si="10"/>
        <v>4.8</v>
      </c>
      <c r="R290" s="99" t="str">
        <f>+IF(Q290+N290&lt;=0, "NO COMPRADOR", +IF(Q290&lt;=0, "SIN COMPRA "&amp;+UPPER(TEXT('DINAMICA ENERO 26'!$C$2,"mmm 'yy")), "COMPRADOR"))</f>
        <v>COMPRADOR</v>
      </c>
      <c r="T290" s="101"/>
      <c r="U290" s="100"/>
      <c r="V290" s="100"/>
    </row>
    <row r="291" spans="1:22" ht="14">
      <c r="A291" s="88" t="s">
        <v>379</v>
      </c>
      <c r="B291" s="89" t="s">
        <v>380</v>
      </c>
      <c r="C291" s="89" t="s">
        <v>38</v>
      </c>
      <c r="D291" s="103">
        <v>100050090</v>
      </c>
      <c r="E291" s="89" t="s">
        <v>39</v>
      </c>
      <c r="F291" s="89">
        <v>100001434</v>
      </c>
      <c r="G291" s="90" t="s">
        <v>381</v>
      </c>
      <c r="H291" s="91">
        <v>297.60000000000002</v>
      </c>
      <c r="I291" s="92">
        <v>187.2</v>
      </c>
      <c r="J291" s="93">
        <v>239.99999999999997</v>
      </c>
      <c r="K291" s="94">
        <v>158.4</v>
      </c>
      <c r="L291" s="94">
        <v>110.39999999999998</v>
      </c>
      <c r="M291" s="94">
        <v>86.4</v>
      </c>
      <c r="N291" s="102">
        <f t="shared" si="9"/>
        <v>118.39999999999998</v>
      </c>
      <c r="O291" s="97">
        <v>33.599999999999994</v>
      </c>
      <c r="P291" s="92">
        <v>4.8</v>
      </c>
      <c r="Q291" s="98">
        <f t="shared" si="10"/>
        <v>38.399999999999991</v>
      </c>
      <c r="R291" s="99" t="str">
        <f>+IF(Q291+N291&lt;=0, "NO COMPRADOR", +IF(Q291&lt;=0, "SIN COMPRA "&amp;+UPPER(TEXT('DINAMICA ENERO 26'!$C$2,"mmm 'yy")), "COMPRADOR"))</f>
        <v>COMPRADOR</v>
      </c>
      <c r="T291" s="101"/>
      <c r="U291" s="100"/>
      <c r="V291" s="100"/>
    </row>
    <row r="292" spans="1:22" ht="14">
      <c r="A292" s="88" t="s">
        <v>379</v>
      </c>
      <c r="B292" s="89" t="s">
        <v>380</v>
      </c>
      <c r="C292" s="89" t="s">
        <v>38</v>
      </c>
      <c r="D292" s="103">
        <v>100050090</v>
      </c>
      <c r="E292" s="89" t="s">
        <v>39</v>
      </c>
      <c r="F292" s="89">
        <v>100014442</v>
      </c>
      <c r="G292" s="90" t="s">
        <v>382</v>
      </c>
      <c r="H292" s="91">
        <v>33.599999999999994</v>
      </c>
      <c r="I292" s="92">
        <v>47.999999999999993</v>
      </c>
      <c r="J292" s="93">
        <v>33.599999999999994</v>
      </c>
      <c r="K292" s="94">
        <v>33.599999999999994</v>
      </c>
      <c r="L292" s="94">
        <v>24</v>
      </c>
      <c r="M292" s="94">
        <v>52.8</v>
      </c>
      <c r="N292" s="102">
        <f t="shared" si="9"/>
        <v>36.799999999999997</v>
      </c>
      <c r="O292" s="97">
        <v>0</v>
      </c>
      <c r="P292" s="92">
        <v>0</v>
      </c>
      <c r="Q292" s="98">
        <f t="shared" si="10"/>
        <v>0</v>
      </c>
      <c r="R292" s="99" t="str">
        <f>+IF(Q292+N292&lt;=0, "NO COMPRADOR", +IF(Q292&lt;=0, "SIN COMPRA "&amp;+UPPER(TEXT('DINAMICA ENERO 26'!$C$2,"mmm 'yy")), "COMPRADOR"))</f>
        <v>SIN COMPRA FEB '26</v>
      </c>
      <c r="T292" s="101"/>
      <c r="U292" s="100"/>
      <c r="V292" s="100"/>
    </row>
    <row r="293" spans="1:22" ht="14">
      <c r="A293" s="88" t="s">
        <v>379</v>
      </c>
      <c r="B293" s="89" t="s">
        <v>380</v>
      </c>
      <c r="C293" s="89" t="s">
        <v>38</v>
      </c>
      <c r="D293" s="103">
        <v>100050090</v>
      </c>
      <c r="E293" s="89" t="s">
        <v>39</v>
      </c>
      <c r="F293" s="89">
        <v>100018913</v>
      </c>
      <c r="G293" s="90" t="s">
        <v>383</v>
      </c>
      <c r="H293" s="91">
        <v>4.8</v>
      </c>
      <c r="I293" s="92">
        <v>0</v>
      </c>
      <c r="J293" s="93">
        <v>9.6</v>
      </c>
      <c r="K293" s="94">
        <v>4.8</v>
      </c>
      <c r="L293" s="94">
        <v>9.6</v>
      </c>
      <c r="M293" s="94">
        <v>-4.8</v>
      </c>
      <c r="N293" s="102">
        <f t="shared" si="9"/>
        <v>3.1999999999999993</v>
      </c>
      <c r="O293" s="97">
        <v>4.8</v>
      </c>
      <c r="P293" s="92">
        <v>0</v>
      </c>
      <c r="Q293" s="98">
        <f t="shared" si="10"/>
        <v>4.8</v>
      </c>
      <c r="R293" s="99" t="str">
        <f>+IF(Q293+N293&lt;=0, "NO COMPRADOR", +IF(Q293&lt;=0, "SIN COMPRA "&amp;+UPPER(TEXT('DINAMICA ENERO 26'!$C$2,"mmm 'yy")), "COMPRADOR"))</f>
        <v>COMPRADOR</v>
      </c>
      <c r="T293" s="101"/>
      <c r="U293" s="100"/>
      <c r="V293" s="100"/>
    </row>
    <row r="294" spans="1:22" ht="14">
      <c r="A294" s="88" t="s">
        <v>379</v>
      </c>
      <c r="B294" s="89" t="s">
        <v>380</v>
      </c>
      <c r="C294" s="89" t="s">
        <v>38</v>
      </c>
      <c r="D294" s="103">
        <v>100050090</v>
      </c>
      <c r="E294" s="89" t="s">
        <v>39</v>
      </c>
      <c r="F294" s="89">
        <v>100015167</v>
      </c>
      <c r="G294" s="90" t="s">
        <v>384</v>
      </c>
      <c r="H294" s="91">
        <v>67.199999999999989</v>
      </c>
      <c r="I294" s="92">
        <v>0</v>
      </c>
      <c r="J294" s="93">
        <v>57.599999999999994</v>
      </c>
      <c r="K294" s="94">
        <v>19.2</v>
      </c>
      <c r="L294" s="94">
        <v>48</v>
      </c>
      <c r="M294" s="94">
        <v>24</v>
      </c>
      <c r="N294" s="102">
        <f t="shared" si="9"/>
        <v>30.400000000000002</v>
      </c>
      <c r="O294" s="97">
        <v>0</v>
      </c>
      <c r="P294" s="92">
        <v>0</v>
      </c>
      <c r="Q294" s="98">
        <f t="shared" si="10"/>
        <v>0</v>
      </c>
      <c r="R294" s="99" t="str">
        <f>+IF(Q294+N294&lt;=0, "NO COMPRADOR", +IF(Q294&lt;=0, "SIN COMPRA "&amp;+UPPER(TEXT('DINAMICA ENERO 26'!$C$2,"mmm 'yy")), "COMPRADOR"))</f>
        <v>SIN COMPRA FEB '26</v>
      </c>
      <c r="T294" s="101"/>
      <c r="U294" s="100"/>
      <c r="V294" s="100"/>
    </row>
    <row r="295" spans="1:22" ht="14">
      <c r="A295" s="88" t="s">
        <v>379</v>
      </c>
      <c r="B295" s="89" t="s">
        <v>380</v>
      </c>
      <c r="C295" s="89" t="s">
        <v>38</v>
      </c>
      <c r="D295" s="103">
        <v>100050090</v>
      </c>
      <c r="E295" s="89" t="s">
        <v>39</v>
      </c>
      <c r="F295" s="89">
        <v>100001979</v>
      </c>
      <c r="G295" s="90" t="s">
        <v>290</v>
      </c>
      <c r="H295" s="91">
        <v>43.2</v>
      </c>
      <c r="I295" s="92">
        <v>14.399999999999999</v>
      </c>
      <c r="J295" s="93">
        <v>19.200000000000003</v>
      </c>
      <c r="K295" s="94">
        <v>24</v>
      </c>
      <c r="L295" s="94">
        <v>148.80000000000001</v>
      </c>
      <c r="M295" s="94">
        <v>115.19999999999999</v>
      </c>
      <c r="N295" s="102">
        <f t="shared" si="9"/>
        <v>96</v>
      </c>
      <c r="O295" s="97">
        <v>19.2</v>
      </c>
      <c r="P295" s="92">
        <v>0</v>
      </c>
      <c r="Q295" s="98">
        <f t="shared" si="10"/>
        <v>19.2</v>
      </c>
      <c r="R295" s="99" t="str">
        <f>+IF(Q295+N295&lt;=0, "NO COMPRADOR", +IF(Q295&lt;=0, "SIN COMPRA "&amp;+UPPER(TEXT('DINAMICA ENERO 26'!$C$2,"mmm 'yy")), "COMPRADOR"))</f>
        <v>COMPRADOR</v>
      </c>
      <c r="T295" s="101"/>
      <c r="U295" s="100"/>
      <c r="V295" s="100"/>
    </row>
    <row r="296" spans="1:22" ht="14">
      <c r="A296" s="88" t="s">
        <v>379</v>
      </c>
      <c r="B296" s="89" t="s">
        <v>380</v>
      </c>
      <c r="C296" s="89" t="s">
        <v>38</v>
      </c>
      <c r="D296" s="103">
        <v>100050090</v>
      </c>
      <c r="E296" s="89" t="s">
        <v>39</v>
      </c>
      <c r="F296" s="89">
        <v>100000650</v>
      </c>
      <c r="G296" s="90" t="s">
        <v>385</v>
      </c>
      <c r="H296" s="91">
        <v>0</v>
      </c>
      <c r="I296" s="92">
        <v>4.8</v>
      </c>
      <c r="J296" s="93">
        <v>0</v>
      </c>
      <c r="K296" s="94">
        <v>4.8</v>
      </c>
      <c r="L296" s="94">
        <v>0</v>
      </c>
      <c r="M296" s="94">
        <v>0</v>
      </c>
      <c r="N296" s="102">
        <f t="shared" si="9"/>
        <v>1.5999999999999999</v>
      </c>
      <c r="O296" s="97">
        <v>0</v>
      </c>
      <c r="P296" s="92">
        <v>0</v>
      </c>
      <c r="Q296" s="98">
        <f t="shared" si="10"/>
        <v>0</v>
      </c>
      <c r="R296" s="99" t="str">
        <f>+IF(Q296+N296&lt;=0, "NO COMPRADOR", +IF(Q296&lt;=0, "SIN COMPRA "&amp;+UPPER(TEXT('DINAMICA ENERO 26'!$C$2,"mmm 'yy")), "COMPRADOR"))</f>
        <v>SIN COMPRA FEB '26</v>
      </c>
      <c r="T296" s="101"/>
      <c r="U296" s="100"/>
      <c r="V296" s="100"/>
    </row>
    <row r="297" spans="1:22" ht="14">
      <c r="A297" s="88" t="s">
        <v>379</v>
      </c>
      <c r="B297" s="89" t="s">
        <v>380</v>
      </c>
      <c r="C297" s="89" t="s">
        <v>38</v>
      </c>
      <c r="D297" s="103">
        <v>100050090</v>
      </c>
      <c r="E297" s="89" t="s">
        <v>39</v>
      </c>
      <c r="F297" s="89">
        <v>100001938</v>
      </c>
      <c r="G297" s="90" t="s">
        <v>386</v>
      </c>
      <c r="H297" s="91">
        <v>105.59999999999997</v>
      </c>
      <c r="I297" s="92">
        <v>71.999999999999986</v>
      </c>
      <c r="J297" s="93">
        <v>91.199999999999974</v>
      </c>
      <c r="K297" s="94">
        <v>43.199999999999996</v>
      </c>
      <c r="L297" s="94">
        <v>71.999999999999986</v>
      </c>
      <c r="M297" s="94">
        <v>172.80000000000004</v>
      </c>
      <c r="N297" s="102">
        <f t="shared" si="9"/>
        <v>96</v>
      </c>
      <c r="O297" s="97">
        <v>14.399999999999999</v>
      </c>
      <c r="P297" s="92">
        <v>14.399999999999999</v>
      </c>
      <c r="Q297" s="98">
        <f t="shared" si="10"/>
        <v>28.799999999999997</v>
      </c>
      <c r="R297" s="99" t="str">
        <f>+IF(Q297+N297&lt;=0, "NO COMPRADOR", +IF(Q297&lt;=0, "SIN COMPRA "&amp;+UPPER(TEXT('DINAMICA ENERO 26'!$C$2,"mmm 'yy")), "COMPRADOR"))</f>
        <v>COMPRADOR</v>
      </c>
      <c r="T297" s="101"/>
      <c r="U297" s="100"/>
      <c r="V297" s="100"/>
    </row>
    <row r="298" spans="1:22" ht="14">
      <c r="A298" s="88" t="s">
        <v>379</v>
      </c>
      <c r="B298" s="89" t="s">
        <v>380</v>
      </c>
      <c r="C298" s="89" t="s">
        <v>38</v>
      </c>
      <c r="D298" s="103">
        <v>100050090</v>
      </c>
      <c r="E298" s="89" t="s">
        <v>39</v>
      </c>
      <c r="F298" s="89">
        <v>100001342</v>
      </c>
      <c r="G298" s="90" t="s">
        <v>387</v>
      </c>
      <c r="H298" s="91">
        <v>0</v>
      </c>
      <c r="I298" s="92">
        <v>0</v>
      </c>
      <c r="J298" s="93">
        <v>0</v>
      </c>
      <c r="K298" s="94">
        <v>0</v>
      </c>
      <c r="L298" s="94">
        <v>0</v>
      </c>
      <c r="M298" s="94">
        <v>0</v>
      </c>
      <c r="N298" s="102">
        <f t="shared" si="9"/>
        <v>0</v>
      </c>
      <c r="O298" s="97">
        <v>0</v>
      </c>
      <c r="P298" s="92">
        <v>0</v>
      </c>
      <c r="Q298" s="98">
        <f t="shared" si="10"/>
        <v>0</v>
      </c>
      <c r="R298" s="99" t="str">
        <f>+IF(Q298+N298&lt;=0, "NO COMPRADOR", +IF(Q298&lt;=0, "SIN COMPRA "&amp;+UPPER(TEXT('DINAMICA ENERO 26'!$C$2,"mmm 'yy")), "COMPRADOR"))</f>
        <v>NO COMPRADOR</v>
      </c>
      <c r="T298" s="101"/>
      <c r="U298" s="100"/>
      <c r="V298" s="100"/>
    </row>
    <row r="299" spans="1:22" ht="14">
      <c r="A299" s="88" t="s">
        <v>379</v>
      </c>
      <c r="B299" s="89" t="s">
        <v>380</v>
      </c>
      <c r="C299" s="89" t="s">
        <v>38</v>
      </c>
      <c r="D299" s="103">
        <v>100075114</v>
      </c>
      <c r="E299" s="89" t="s">
        <v>40</v>
      </c>
      <c r="F299" s="89">
        <v>100001342</v>
      </c>
      <c r="G299" s="90" t="s">
        <v>387</v>
      </c>
      <c r="H299" s="91">
        <v>0</v>
      </c>
      <c r="I299" s="92">
        <v>0</v>
      </c>
      <c r="J299" s="93">
        <v>0</v>
      </c>
      <c r="K299" s="94">
        <v>0</v>
      </c>
      <c r="L299" s="94">
        <v>0</v>
      </c>
      <c r="M299" s="94">
        <v>0</v>
      </c>
      <c r="N299" s="102">
        <f t="shared" si="9"/>
        <v>0</v>
      </c>
      <c r="O299" s="97">
        <v>0</v>
      </c>
      <c r="P299" s="92">
        <v>0</v>
      </c>
      <c r="Q299" s="98">
        <f t="shared" si="10"/>
        <v>0</v>
      </c>
      <c r="R299" s="99" t="str">
        <f>+IF(Q299+N299&lt;=0, "NO COMPRADOR", +IF(Q299&lt;=0, "SIN COMPRA "&amp;+UPPER(TEXT('DINAMICA ENERO 26'!$C$2,"mmm 'yy")), "COMPRADOR"))</f>
        <v>NO COMPRADOR</v>
      </c>
      <c r="T299" s="101"/>
      <c r="U299" s="100"/>
      <c r="V299" s="100"/>
    </row>
    <row r="300" spans="1:22" ht="14">
      <c r="A300" s="88" t="s">
        <v>379</v>
      </c>
      <c r="B300" s="89" t="s">
        <v>380</v>
      </c>
      <c r="C300" s="89" t="s">
        <v>38</v>
      </c>
      <c r="D300" s="103">
        <v>100075114</v>
      </c>
      <c r="E300" s="89" t="s">
        <v>40</v>
      </c>
      <c r="F300" s="89">
        <v>100001850</v>
      </c>
      <c r="G300" s="90" t="s">
        <v>388</v>
      </c>
      <c r="H300" s="91">
        <v>0</v>
      </c>
      <c r="I300" s="92">
        <v>0</v>
      </c>
      <c r="J300" s="93">
        <v>0</v>
      </c>
      <c r="K300" s="94">
        <v>0</v>
      </c>
      <c r="L300" s="94">
        <v>4.8</v>
      </c>
      <c r="M300" s="94">
        <v>0</v>
      </c>
      <c r="N300" s="102">
        <f t="shared" si="9"/>
        <v>1.5999999999999999</v>
      </c>
      <c r="O300" s="97">
        <v>0</v>
      </c>
      <c r="P300" s="92">
        <v>0</v>
      </c>
      <c r="Q300" s="98">
        <f t="shared" si="10"/>
        <v>0</v>
      </c>
      <c r="R300" s="99" t="str">
        <f>+IF(Q300+N300&lt;=0, "NO COMPRADOR", +IF(Q300&lt;=0, "SIN COMPRA "&amp;+UPPER(TEXT('DINAMICA ENERO 26'!$C$2,"mmm 'yy")), "COMPRADOR"))</f>
        <v>SIN COMPRA FEB '26</v>
      </c>
      <c r="T300" s="101"/>
      <c r="U300" s="100"/>
      <c r="V300" s="100"/>
    </row>
    <row r="301" spans="1:22" ht="14">
      <c r="A301" s="88" t="s">
        <v>379</v>
      </c>
      <c r="B301" s="89" t="s">
        <v>380</v>
      </c>
      <c r="C301" s="89" t="s">
        <v>38</v>
      </c>
      <c r="D301" s="103">
        <v>100075114</v>
      </c>
      <c r="E301" s="89" t="s">
        <v>40</v>
      </c>
      <c r="F301" s="89">
        <v>100002199</v>
      </c>
      <c r="G301" s="90" t="s">
        <v>389</v>
      </c>
      <c r="H301" s="91">
        <v>4.8</v>
      </c>
      <c r="I301" s="92">
        <v>57.6</v>
      </c>
      <c r="J301" s="93">
        <v>0</v>
      </c>
      <c r="K301" s="94">
        <v>0</v>
      </c>
      <c r="L301" s="94">
        <v>0</v>
      </c>
      <c r="M301" s="94">
        <v>0</v>
      </c>
      <c r="N301" s="102">
        <f t="shared" si="9"/>
        <v>0</v>
      </c>
      <c r="O301" s="97">
        <v>0</v>
      </c>
      <c r="P301" s="92">
        <v>0</v>
      </c>
      <c r="Q301" s="98">
        <f t="shared" si="10"/>
        <v>0</v>
      </c>
      <c r="R301" s="99" t="str">
        <f>+IF(Q301+N301&lt;=0, "NO COMPRADOR", +IF(Q301&lt;=0, "SIN COMPRA "&amp;+UPPER(TEXT('DINAMICA ENERO 26'!$C$2,"mmm 'yy")), "COMPRADOR"))</f>
        <v>NO COMPRADOR</v>
      </c>
      <c r="T301" s="101"/>
      <c r="U301" s="100"/>
      <c r="V301" s="100"/>
    </row>
    <row r="302" spans="1:22" ht="14">
      <c r="A302" s="88" t="s">
        <v>379</v>
      </c>
      <c r="B302" s="89" t="s">
        <v>380</v>
      </c>
      <c r="C302" s="89" t="s">
        <v>38</v>
      </c>
      <c r="D302" s="103">
        <v>100075114</v>
      </c>
      <c r="E302" s="89" t="s">
        <v>40</v>
      </c>
      <c r="F302" s="89">
        <v>100001583</v>
      </c>
      <c r="G302" s="90" t="s">
        <v>390</v>
      </c>
      <c r="H302" s="91">
        <v>0</v>
      </c>
      <c r="I302" s="92">
        <v>0</v>
      </c>
      <c r="J302" s="93">
        <v>0</v>
      </c>
      <c r="K302" s="94">
        <v>0</v>
      </c>
      <c r="L302" s="94">
        <v>0</v>
      </c>
      <c r="M302" s="94">
        <v>0</v>
      </c>
      <c r="N302" s="102">
        <f t="shared" si="9"/>
        <v>0</v>
      </c>
      <c r="O302" s="97">
        <v>0</v>
      </c>
      <c r="P302" s="92">
        <v>0</v>
      </c>
      <c r="Q302" s="98">
        <f t="shared" si="10"/>
        <v>0</v>
      </c>
      <c r="R302" s="99" t="str">
        <f>+IF(Q302+N302&lt;=0, "NO COMPRADOR", +IF(Q302&lt;=0, "SIN COMPRA "&amp;+UPPER(TEXT('DINAMICA ENERO 26'!$C$2,"mmm 'yy")), "COMPRADOR"))</f>
        <v>NO COMPRADOR</v>
      </c>
      <c r="T302" s="101"/>
      <c r="U302" s="100"/>
      <c r="V302" s="100"/>
    </row>
    <row r="303" spans="1:22" ht="14">
      <c r="A303" s="88" t="s">
        <v>379</v>
      </c>
      <c r="B303" s="89" t="s">
        <v>380</v>
      </c>
      <c r="C303" s="89" t="s">
        <v>38</v>
      </c>
      <c r="D303" s="103">
        <v>100075114</v>
      </c>
      <c r="E303" s="89" t="s">
        <v>40</v>
      </c>
      <c r="F303" s="89">
        <v>100001186</v>
      </c>
      <c r="G303" s="90" t="s">
        <v>391</v>
      </c>
      <c r="H303" s="91">
        <v>4.8</v>
      </c>
      <c r="I303" s="92">
        <v>-4.8</v>
      </c>
      <c r="J303" s="93">
        <v>0</v>
      </c>
      <c r="K303" s="94">
        <v>9.6</v>
      </c>
      <c r="L303" s="94">
        <v>0</v>
      </c>
      <c r="M303" s="94">
        <v>0</v>
      </c>
      <c r="N303" s="102">
        <f t="shared" si="9"/>
        <v>3.1999999999999997</v>
      </c>
      <c r="O303" s="97">
        <v>0</v>
      </c>
      <c r="P303" s="92">
        <v>0</v>
      </c>
      <c r="Q303" s="98">
        <f t="shared" si="10"/>
        <v>0</v>
      </c>
      <c r="R303" s="99" t="str">
        <f>+IF(Q303+N303&lt;=0, "NO COMPRADOR", +IF(Q303&lt;=0, "SIN COMPRA "&amp;+UPPER(TEXT('DINAMICA ENERO 26'!$C$2,"mmm 'yy")), "COMPRADOR"))</f>
        <v>SIN COMPRA FEB '26</v>
      </c>
      <c r="T303" s="101"/>
      <c r="U303" s="100"/>
      <c r="V303" s="100"/>
    </row>
    <row r="304" spans="1:22" ht="14">
      <c r="A304" s="88" t="s">
        <v>379</v>
      </c>
      <c r="B304" s="89" t="s">
        <v>380</v>
      </c>
      <c r="C304" s="89" t="s">
        <v>38</v>
      </c>
      <c r="D304" s="103">
        <v>100075114</v>
      </c>
      <c r="E304" s="89" t="s">
        <v>40</v>
      </c>
      <c r="F304" s="89">
        <v>100001979</v>
      </c>
      <c r="G304" s="90" t="s">
        <v>290</v>
      </c>
      <c r="H304" s="91">
        <v>19.2</v>
      </c>
      <c r="I304" s="92">
        <v>4.7999999999999989</v>
      </c>
      <c r="J304" s="93">
        <v>0</v>
      </c>
      <c r="K304" s="94">
        <v>19.2</v>
      </c>
      <c r="L304" s="94">
        <v>0</v>
      </c>
      <c r="M304" s="94">
        <v>9.6</v>
      </c>
      <c r="N304" s="102">
        <f t="shared" si="9"/>
        <v>9.6</v>
      </c>
      <c r="O304" s="97">
        <v>38.4</v>
      </c>
      <c r="P304" s="92">
        <v>9.6</v>
      </c>
      <c r="Q304" s="98">
        <f t="shared" si="10"/>
        <v>48</v>
      </c>
      <c r="R304" s="99" t="str">
        <f>+IF(Q304+N304&lt;=0, "NO COMPRADOR", +IF(Q304&lt;=0, "SIN COMPRA "&amp;+UPPER(TEXT('DINAMICA ENERO 26'!$C$2,"mmm 'yy")), "COMPRADOR"))</f>
        <v>COMPRADOR</v>
      </c>
      <c r="T304" s="101"/>
      <c r="U304" s="100"/>
      <c r="V304" s="100"/>
    </row>
    <row r="305" spans="1:22" ht="14">
      <c r="A305" s="88" t="s">
        <v>379</v>
      </c>
      <c r="B305" s="89" t="s">
        <v>380</v>
      </c>
      <c r="C305" s="89" t="s">
        <v>38</v>
      </c>
      <c r="D305" s="103">
        <v>100075114</v>
      </c>
      <c r="E305" s="89" t="s">
        <v>40</v>
      </c>
      <c r="F305" s="89">
        <v>100002075</v>
      </c>
      <c r="G305" s="90" t="s">
        <v>392</v>
      </c>
      <c r="H305" s="91">
        <v>4.8</v>
      </c>
      <c r="I305" s="92">
        <v>0</v>
      </c>
      <c r="J305" s="93">
        <v>0</v>
      </c>
      <c r="K305" s="94">
        <v>0</v>
      </c>
      <c r="L305" s="94">
        <v>0</v>
      </c>
      <c r="M305" s="94">
        <v>0</v>
      </c>
      <c r="N305" s="102">
        <f t="shared" si="9"/>
        <v>0</v>
      </c>
      <c r="O305" s="97">
        <v>0</v>
      </c>
      <c r="P305" s="92">
        <v>0</v>
      </c>
      <c r="Q305" s="98">
        <f t="shared" si="10"/>
        <v>0</v>
      </c>
      <c r="R305" s="99" t="str">
        <f>+IF(Q305+N305&lt;=0, "NO COMPRADOR", +IF(Q305&lt;=0, "SIN COMPRA "&amp;+UPPER(TEXT('DINAMICA ENERO 26'!$C$2,"mmm 'yy")), "COMPRADOR"))</f>
        <v>NO COMPRADOR</v>
      </c>
      <c r="T305" s="101"/>
      <c r="U305" s="100"/>
      <c r="V305" s="100"/>
    </row>
    <row r="306" spans="1:22" ht="14">
      <c r="A306" s="88" t="s">
        <v>379</v>
      </c>
      <c r="B306" s="89" t="s">
        <v>380</v>
      </c>
      <c r="C306" s="89" t="s">
        <v>38</v>
      </c>
      <c r="D306" s="103">
        <v>100075114</v>
      </c>
      <c r="E306" s="89" t="s">
        <v>40</v>
      </c>
      <c r="F306" s="89">
        <v>100001434</v>
      </c>
      <c r="G306" s="90" t="s">
        <v>381</v>
      </c>
      <c r="H306" s="91">
        <v>0</v>
      </c>
      <c r="I306" s="92">
        <v>4.8</v>
      </c>
      <c r="J306" s="93">
        <v>0</v>
      </c>
      <c r="K306" s="94">
        <v>-4.8</v>
      </c>
      <c r="L306" s="94">
        <v>14.399999999999999</v>
      </c>
      <c r="M306" s="94">
        <v>-14.399999999999999</v>
      </c>
      <c r="N306" s="102">
        <f t="shared" si="9"/>
        <v>-1.6000000000000003</v>
      </c>
      <c r="O306" s="97">
        <v>0</v>
      </c>
      <c r="P306" s="92">
        <v>0</v>
      </c>
      <c r="Q306" s="98">
        <f t="shared" si="10"/>
        <v>0</v>
      </c>
      <c r="R306" s="99" t="str">
        <f>+IF(Q306+N306&lt;=0, "NO COMPRADOR", +IF(Q306&lt;=0, "SIN COMPRA "&amp;+UPPER(TEXT('DINAMICA ENERO 26'!$C$2,"mmm 'yy")), "COMPRADOR"))</f>
        <v>NO COMPRADOR</v>
      </c>
      <c r="T306" s="101"/>
      <c r="U306" s="100"/>
      <c r="V306" s="100"/>
    </row>
    <row r="307" spans="1:22" ht="14">
      <c r="A307" s="88" t="s">
        <v>379</v>
      </c>
      <c r="B307" s="89" t="s">
        <v>380</v>
      </c>
      <c r="C307" s="89" t="s">
        <v>38</v>
      </c>
      <c r="D307" s="103">
        <v>100071290</v>
      </c>
      <c r="E307" s="89" t="s">
        <v>41</v>
      </c>
      <c r="F307" s="89">
        <v>100002075</v>
      </c>
      <c r="G307" s="90" t="s">
        <v>392</v>
      </c>
      <c r="H307" s="91">
        <v>14.399999999999999</v>
      </c>
      <c r="I307" s="92">
        <v>4.8</v>
      </c>
      <c r="J307" s="93">
        <v>0</v>
      </c>
      <c r="K307" s="94">
        <v>0</v>
      </c>
      <c r="L307" s="94">
        <v>0</v>
      </c>
      <c r="M307" s="94">
        <v>0</v>
      </c>
      <c r="N307" s="102">
        <f t="shared" si="9"/>
        <v>0</v>
      </c>
      <c r="O307" s="97">
        <v>0</v>
      </c>
      <c r="P307" s="92">
        <v>0</v>
      </c>
      <c r="Q307" s="98">
        <f t="shared" si="10"/>
        <v>0</v>
      </c>
      <c r="R307" s="99" t="str">
        <f>+IF(Q307+N307&lt;=0, "NO COMPRADOR", +IF(Q307&lt;=0, "SIN COMPRA "&amp;+UPPER(TEXT('DINAMICA ENERO 26'!$C$2,"mmm 'yy")), "COMPRADOR"))</f>
        <v>NO COMPRADOR</v>
      </c>
      <c r="T307" s="101"/>
      <c r="U307" s="100"/>
      <c r="V307" s="100"/>
    </row>
    <row r="308" spans="1:22" ht="14">
      <c r="A308" s="88" t="s">
        <v>379</v>
      </c>
      <c r="B308" s="89" t="s">
        <v>380</v>
      </c>
      <c r="C308" s="89" t="s">
        <v>38</v>
      </c>
      <c r="D308" s="103">
        <v>100071290</v>
      </c>
      <c r="E308" s="89" t="s">
        <v>41</v>
      </c>
      <c r="F308" s="89">
        <v>100001272</v>
      </c>
      <c r="G308" s="90" t="s">
        <v>393</v>
      </c>
      <c r="H308" s="91">
        <v>19.2</v>
      </c>
      <c r="I308" s="92">
        <v>-14.399999999999999</v>
      </c>
      <c r="J308" s="93">
        <v>0</v>
      </c>
      <c r="K308" s="94">
        <v>9.6</v>
      </c>
      <c r="L308" s="94">
        <v>0</v>
      </c>
      <c r="M308" s="94">
        <v>4.8</v>
      </c>
      <c r="N308" s="102">
        <f t="shared" si="9"/>
        <v>4.8</v>
      </c>
      <c r="O308" s="97">
        <v>0</v>
      </c>
      <c r="P308" s="92">
        <v>0</v>
      </c>
      <c r="Q308" s="98">
        <f t="shared" si="10"/>
        <v>0</v>
      </c>
      <c r="R308" s="99" t="str">
        <f>+IF(Q308+N308&lt;=0, "NO COMPRADOR", +IF(Q308&lt;=0, "SIN COMPRA "&amp;+UPPER(TEXT('DINAMICA ENERO 26'!$C$2,"mmm 'yy")), "COMPRADOR"))</f>
        <v>SIN COMPRA FEB '26</v>
      </c>
      <c r="T308" s="101"/>
      <c r="U308" s="100"/>
      <c r="V308" s="100"/>
    </row>
    <row r="309" spans="1:22" ht="14">
      <c r="A309" s="88" t="s">
        <v>379</v>
      </c>
      <c r="B309" s="89" t="s">
        <v>380</v>
      </c>
      <c r="C309" s="89" t="s">
        <v>38</v>
      </c>
      <c r="D309" s="103">
        <v>100071290</v>
      </c>
      <c r="E309" s="89" t="s">
        <v>41</v>
      </c>
      <c r="F309" s="89">
        <v>100001342</v>
      </c>
      <c r="G309" s="90" t="s">
        <v>387</v>
      </c>
      <c r="H309" s="91">
        <v>0</v>
      </c>
      <c r="I309" s="92">
        <v>0</v>
      </c>
      <c r="J309" s="93">
        <v>0</v>
      </c>
      <c r="K309" s="94">
        <v>0</v>
      </c>
      <c r="L309" s="94">
        <v>0</v>
      </c>
      <c r="M309" s="94">
        <v>0</v>
      </c>
      <c r="N309" s="102">
        <f t="shared" si="9"/>
        <v>0</v>
      </c>
      <c r="O309" s="97">
        <v>0</v>
      </c>
      <c r="P309" s="92">
        <v>0</v>
      </c>
      <c r="Q309" s="98">
        <f t="shared" si="10"/>
        <v>0</v>
      </c>
      <c r="R309" s="99" t="str">
        <f>+IF(Q309+N309&lt;=0, "NO COMPRADOR", +IF(Q309&lt;=0, "SIN COMPRA "&amp;+UPPER(TEXT('DINAMICA ENERO 26'!$C$2,"mmm 'yy")), "COMPRADOR"))</f>
        <v>NO COMPRADOR</v>
      </c>
      <c r="T309" s="101"/>
      <c r="U309" s="100"/>
      <c r="V309" s="100"/>
    </row>
    <row r="310" spans="1:22" ht="14">
      <c r="A310" s="88" t="s">
        <v>379</v>
      </c>
      <c r="B310" s="89" t="s">
        <v>380</v>
      </c>
      <c r="C310" s="89" t="s">
        <v>38</v>
      </c>
      <c r="D310" s="103">
        <v>100071290</v>
      </c>
      <c r="E310" s="89" t="s">
        <v>41</v>
      </c>
      <c r="F310" s="89">
        <v>100001526</v>
      </c>
      <c r="G310" s="90" t="s">
        <v>394</v>
      </c>
      <c r="H310" s="91">
        <v>0</v>
      </c>
      <c r="I310" s="92">
        <v>0</v>
      </c>
      <c r="J310" s="93">
        <v>0</v>
      </c>
      <c r="K310" s="94">
        <v>0</v>
      </c>
      <c r="L310" s="94">
        <v>0</v>
      </c>
      <c r="M310" s="94">
        <v>0</v>
      </c>
      <c r="N310" s="102">
        <f t="shared" si="9"/>
        <v>0</v>
      </c>
      <c r="O310" s="97">
        <v>0</v>
      </c>
      <c r="P310" s="92">
        <v>0</v>
      </c>
      <c r="Q310" s="98">
        <f t="shared" si="10"/>
        <v>0</v>
      </c>
      <c r="R310" s="99" t="str">
        <f>+IF(Q310+N310&lt;=0, "NO COMPRADOR", +IF(Q310&lt;=0, "SIN COMPRA "&amp;+UPPER(TEXT('DINAMICA ENERO 26'!$C$2,"mmm 'yy")), "COMPRADOR"))</f>
        <v>NO COMPRADOR</v>
      </c>
      <c r="T310" s="101"/>
      <c r="U310" s="100"/>
      <c r="V310" s="100"/>
    </row>
    <row r="311" spans="1:22" ht="14">
      <c r="A311" s="88" t="s">
        <v>379</v>
      </c>
      <c r="B311" s="89" t="s">
        <v>380</v>
      </c>
      <c r="C311" s="89" t="s">
        <v>38</v>
      </c>
      <c r="D311" s="103">
        <v>100071290</v>
      </c>
      <c r="E311" s="89" t="s">
        <v>41</v>
      </c>
      <c r="F311" s="89">
        <v>100001979</v>
      </c>
      <c r="G311" s="90" t="s">
        <v>290</v>
      </c>
      <c r="H311" s="91">
        <v>95.999999999999972</v>
      </c>
      <c r="I311" s="92">
        <v>47.999999999999972</v>
      </c>
      <c r="J311" s="93">
        <v>91.2</v>
      </c>
      <c r="K311" s="94">
        <v>81.599999999999994</v>
      </c>
      <c r="L311" s="94">
        <v>9.6000000000000032</v>
      </c>
      <c r="M311" s="94">
        <v>96</v>
      </c>
      <c r="N311" s="102">
        <f t="shared" si="9"/>
        <v>62.4</v>
      </c>
      <c r="O311" s="97">
        <v>52.800000000000004</v>
      </c>
      <c r="P311" s="92">
        <v>43.2</v>
      </c>
      <c r="Q311" s="98">
        <f t="shared" si="10"/>
        <v>96</v>
      </c>
      <c r="R311" s="99" t="str">
        <f>+IF(Q311+N311&lt;=0, "NO COMPRADOR", +IF(Q311&lt;=0, "SIN COMPRA "&amp;+UPPER(TEXT('DINAMICA ENERO 26'!$C$2,"mmm 'yy")), "COMPRADOR"))</f>
        <v>COMPRADOR</v>
      </c>
      <c r="T311" s="101"/>
      <c r="U311" s="100"/>
      <c r="V311" s="100"/>
    </row>
    <row r="312" spans="1:22" ht="14">
      <c r="A312" s="88" t="s">
        <v>379</v>
      </c>
      <c r="B312" s="89" t="s">
        <v>380</v>
      </c>
      <c r="C312" s="89" t="s">
        <v>38</v>
      </c>
      <c r="D312" s="103">
        <v>100071290</v>
      </c>
      <c r="E312" s="89" t="s">
        <v>41</v>
      </c>
      <c r="F312" s="89">
        <v>100063475</v>
      </c>
      <c r="G312" s="90" t="s">
        <v>395</v>
      </c>
      <c r="H312" s="91">
        <v>57.6</v>
      </c>
      <c r="I312" s="92">
        <v>14.399999999999999</v>
      </c>
      <c r="J312" s="93">
        <v>33.6</v>
      </c>
      <c r="K312" s="94">
        <v>72</v>
      </c>
      <c r="L312" s="94">
        <v>28.799999999999997</v>
      </c>
      <c r="M312" s="94">
        <v>72</v>
      </c>
      <c r="N312" s="102">
        <f t="shared" si="9"/>
        <v>57.6</v>
      </c>
      <c r="O312" s="97">
        <v>14.399999999999999</v>
      </c>
      <c r="P312" s="92">
        <v>0</v>
      </c>
      <c r="Q312" s="98">
        <f t="shared" si="10"/>
        <v>14.399999999999999</v>
      </c>
      <c r="R312" s="99" t="str">
        <f>+IF(Q312+N312&lt;=0, "NO COMPRADOR", +IF(Q312&lt;=0, "SIN COMPRA "&amp;+UPPER(TEXT('DINAMICA ENERO 26'!$C$2,"mmm 'yy")), "COMPRADOR"))</f>
        <v>COMPRADOR</v>
      </c>
      <c r="T312" s="101"/>
      <c r="U312" s="100"/>
      <c r="V312" s="100"/>
    </row>
    <row r="313" spans="1:22" ht="14">
      <c r="A313" s="88" t="s">
        <v>379</v>
      </c>
      <c r="B313" s="89" t="s">
        <v>380</v>
      </c>
      <c r="C313" s="89" t="s">
        <v>38</v>
      </c>
      <c r="D313" s="103">
        <v>100071290</v>
      </c>
      <c r="E313" s="89" t="s">
        <v>41</v>
      </c>
      <c r="F313" s="89">
        <v>100001583</v>
      </c>
      <c r="G313" s="90" t="s">
        <v>390</v>
      </c>
      <c r="H313" s="91">
        <v>14.399999999999999</v>
      </c>
      <c r="I313" s="92">
        <v>24</v>
      </c>
      <c r="J313" s="93">
        <v>9.6</v>
      </c>
      <c r="K313" s="94">
        <v>28.799999999999997</v>
      </c>
      <c r="L313" s="94">
        <v>33.6</v>
      </c>
      <c r="M313" s="94">
        <v>24</v>
      </c>
      <c r="N313" s="102">
        <f t="shared" si="9"/>
        <v>28.8</v>
      </c>
      <c r="O313" s="97">
        <v>9.6000000000000014</v>
      </c>
      <c r="P313" s="92">
        <v>0</v>
      </c>
      <c r="Q313" s="98">
        <f t="shared" si="10"/>
        <v>9.6000000000000014</v>
      </c>
      <c r="R313" s="99" t="str">
        <f>+IF(Q313+N313&lt;=0, "NO COMPRADOR", +IF(Q313&lt;=0, "SIN COMPRA "&amp;+UPPER(TEXT('DINAMICA ENERO 26'!$C$2,"mmm 'yy")), "COMPRADOR"))</f>
        <v>COMPRADOR</v>
      </c>
      <c r="T313" s="101"/>
      <c r="U313" s="100"/>
      <c r="V313" s="100"/>
    </row>
    <row r="314" spans="1:22" ht="14">
      <c r="A314" s="88" t="s">
        <v>379</v>
      </c>
      <c r="B314" s="89" t="s">
        <v>380</v>
      </c>
      <c r="C314" s="89" t="s">
        <v>38</v>
      </c>
      <c r="D314" s="103">
        <v>100071290</v>
      </c>
      <c r="E314" s="89" t="s">
        <v>41</v>
      </c>
      <c r="F314" s="89">
        <v>100002003</v>
      </c>
      <c r="G314" s="90" t="s">
        <v>396</v>
      </c>
      <c r="H314" s="91">
        <v>0</v>
      </c>
      <c r="I314" s="92">
        <v>96</v>
      </c>
      <c r="J314" s="93">
        <v>96</v>
      </c>
      <c r="K314" s="94">
        <v>0</v>
      </c>
      <c r="L314" s="94">
        <v>0</v>
      </c>
      <c r="M314" s="94">
        <v>72</v>
      </c>
      <c r="N314" s="102">
        <f t="shared" si="9"/>
        <v>24</v>
      </c>
      <c r="O314" s="97">
        <v>0</v>
      </c>
      <c r="P314" s="92">
        <v>0</v>
      </c>
      <c r="Q314" s="98">
        <f t="shared" si="10"/>
        <v>0</v>
      </c>
      <c r="R314" s="99" t="str">
        <f>+IF(Q314+N314&lt;=0, "NO COMPRADOR", +IF(Q314&lt;=0, "SIN COMPRA "&amp;+UPPER(TEXT('DINAMICA ENERO 26'!$C$2,"mmm 'yy")), "COMPRADOR"))</f>
        <v>SIN COMPRA FEB '26</v>
      </c>
      <c r="T314" s="101"/>
      <c r="U314" s="100"/>
      <c r="V314" s="100"/>
    </row>
    <row r="315" spans="1:22" ht="14">
      <c r="A315" s="88" t="s">
        <v>379</v>
      </c>
      <c r="B315" s="89" t="s">
        <v>380</v>
      </c>
      <c r="C315" s="89" t="s">
        <v>38</v>
      </c>
      <c r="D315" s="103">
        <v>100071290</v>
      </c>
      <c r="E315" s="89" t="s">
        <v>41</v>
      </c>
      <c r="F315" s="89">
        <v>100002411</v>
      </c>
      <c r="G315" s="90" t="s">
        <v>397</v>
      </c>
      <c r="H315" s="91">
        <v>0</v>
      </c>
      <c r="I315" s="92">
        <v>0</v>
      </c>
      <c r="J315" s="93">
        <v>0</v>
      </c>
      <c r="K315" s="94">
        <v>0</v>
      </c>
      <c r="L315" s="94">
        <v>0</v>
      </c>
      <c r="M315" s="94">
        <v>0</v>
      </c>
      <c r="N315" s="102">
        <f t="shared" si="9"/>
        <v>0</v>
      </c>
      <c r="O315" s="97">
        <v>0</v>
      </c>
      <c r="P315" s="92">
        <v>0</v>
      </c>
      <c r="Q315" s="98">
        <f t="shared" si="10"/>
        <v>0</v>
      </c>
      <c r="R315" s="99" t="str">
        <f>+IF(Q315+N315&lt;=0, "NO COMPRADOR", +IF(Q315&lt;=0, "SIN COMPRA "&amp;+UPPER(TEXT('DINAMICA ENERO 26'!$C$2,"mmm 'yy")), "COMPRADOR"))</f>
        <v>NO COMPRADOR</v>
      </c>
      <c r="T315" s="101"/>
      <c r="U315" s="100"/>
      <c r="V315" s="100"/>
    </row>
    <row r="316" spans="1:22" ht="14">
      <c r="A316" s="88" t="s">
        <v>379</v>
      </c>
      <c r="B316" s="89" t="s">
        <v>380</v>
      </c>
      <c r="C316" s="89" t="s">
        <v>38</v>
      </c>
      <c r="D316" s="103">
        <v>100071290</v>
      </c>
      <c r="E316" s="89" t="s">
        <v>41</v>
      </c>
      <c r="F316" s="89">
        <v>100002069</v>
      </c>
      <c r="G316" s="90" t="s">
        <v>398</v>
      </c>
      <c r="H316" s="91">
        <v>9.6</v>
      </c>
      <c r="I316" s="92">
        <v>0</v>
      </c>
      <c r="J316" s="93">
        <v>0</v>
      </c>
      <c r="K316" s="94">
        <v>0</v>
      </c>
      <c r="L316" s="94">
        <v>0</v>
      </c>
      <c r="M316" s="94">
        <v>0</v>
      </c>
      <c r="N316" s="102">
        <f t="shared" si="9"/>
        <v>0</v>
      </c>
      <c r="O316" s="97">
        <v>0</v>
      </c>
      <c r="P316" s="92">
        <v>0</v>
      </c>
      <c r="Q316" s="98">
        <f t="shared" si="10"/>
        <v>0</v>
      </c>
      <c r="R316" s="99" t="str">
        <f>+IF(Q316+N316&lt;=0, "NO COMPRADOR", +IF(Q316&lt;=0, "SIN COMPRA "&amp;+UPPER(TEXT('DINAMICA ENERO 26'!$C$2,"mmm 'yy")), "COMPRADOR"))</f>
        <v>NO COMPRADOR</v>
      </c>
      <c r="T316" s="101"/>
      <c r="U316" s="100"/>
      <c r="V316" s="100"/>
    </row>
    <row r="317" spans="1:22" ht="14">
      <c r="A317" s="88" t="s">
        <v>379</v>
      </c>
      <c r="B317" s="89" t="s">
        <v>380</v>
      </c>
      <c r="C317" s="89" t="s">
        <v>38</v>
      </c>
      <c r="D317" s="103">
        <v>100071290</v>
      </c>
      <c r="E317" s="89" t="s">
        <v>41</v>
      </c>
      <c r="F317" s="89">
        <v>100002068</v>
      </c>
      <c r="G317" s="90" t="s">
        <v>399</v>
      </c>
      <c r="H317" s="91">
        <v>0</v>
      </c>
      <c r="I317" s="92">
        <v>0</v>
      </c>
      <c r="J317" s="93">
        <v>0</v>
      </c>
      <c r="K317" s="94">
        <v>0</v>
      </c>
      <c r="L317" s="94">
        <v>0</v>
      </c>
      <c r="M317" s="94">
        <v>0</v>
      </c>
      <c r="N317" s="102">
        <f t="shared" si="9"/>
        <v>0</v>
      </c>
      <c r="O317" s="97">
        <v>0</v>
      </c>
      <c r="P317" s="92">
        <v>0</v>
      </c>
      <c r="Q317" s="98">
        <f t="shared" si="10"/>
        <v>0</v>
      </c>
      <c r="R317" s="99" t="str">
        <f>+IF(Q317+N317&lt;=0, "NO COMPRADOR", +IF(Q317&lt;=0, "SIN COMPRA "&amp;+UPPER(TEXT('DINAMICA ENERO 26'!$C$2,"mmm 'yy")), "COMPRADOR"))</f>
        <v>NO COMPRADOR</v>
      </c>
      <c r="T317" s="101"/>
      <c r="U317" s="100"/>
      <c r="V317" s="100"/>
    </row>
    <row r="318" spans="1:22" ht="14">
      <c r="A318" s="88" t="s">
        <v>379</v>
      </c>
      <c r="B318" s="89" t="s">
        <v>380</v>
      </c>
      <c r="C318" s="89" t="s">
        <v>38</v>
      </c>
      <c r="D318" s="103">
        <v>100071290</v>
      </c>
      <c r="E318" s="89" t="s">
        <v>41</v>
      </c>
      <c r="F318" s="89">
        <v>100008576</v>
      </c>
      <c r="G318" s="90" t="s">
        <v>400</v>
      </c>
      <c r="H318" s="91">
        <v>0</v>
      </c>
      <c r="I318" s="92">
        <v>0</v>
      </c>
      <c r="J318" s="93">
        <v>48</v>
      </c>
      <c r="K318" s="94">
        <v>0</v>
      </c>
      <c r="L318" s="94">
        <v>0</v>
      </c>
      <c r="M318" s="94">
        <v>0</v>
      </c>
      <c r="N318" s="102">
        <f t="shared" si="9"/>
        <v>0</v>
      </c>
      <c r="O318" s="97">
        <v>0</v>
      </c>
      <c r="P318" s="92">
        <v>0</v>
      </c>
      <c r="Q318" s="98">
        <f t="shared" si="10"/>
        <v>0</v>
      </c>
      <c r="R318" s="99" t="str">
        <f>+IF(Q318+N318&lt;=0, "NO COMPRADOR", +IF(Q318&lt;=0, "SIN COMPRA "&amp;+UPPER(TEXT('DINAMICA ENERO 26'!$C$2,"mmm 'yy")), "COMPRADOR"))</f>
        <v>NO COMPRADOR</v>
      </c>
      <c r="T318" s="101"/>
      <c r="U318" s="100"/>
      <c r="V318" s="100"/>
    </row>
    <row r="319" spans="1:22" ht="14">
      <c r="A319" s="88" t="s">
        <v>379</v>
      </c>
      <c r="B319" s="89" t="s">
        <v>401</v>
      </c>
      <c r="C319" s="89" t="s">
        <v>60</v>
      </c>
      <c r="D319" s="103">
        <v>100088964</v>
      </c>
      <c r="E319" s="89" t="s">
        <v>64</v>
      </c>
      <c r="F319" s="89">
        <v>100001342</v>
      </c>
      <c r="G319" s="90" t="s">
        <v>387</v>
      </c>
      <c r="H319" s="91">
        <v>0</v>
      </c>
      <c r="I319" s="92">
        <v>0</v>
      </c>
      <c r="J319" s="93">
        <v>0</v>
      </c>
      <c r="K319" s="94">
        <v>0</v>
      </c>
      <c r="L319" s="94">
        <v>0</v>
      </c>
      <c r="M319" s="94">
        <v>0</v>
      </c>
      <c r="N319" s="102">
        <f t="shared" si="9"/>
        <v>0</v>
      </c>
      <c r="O319" s="97">
        <v>0</v>
      </c>
      <c r="P319" s="92">
        <v>0</v>
      </c>
      <c r="Q319" s="98">
        <f t="shared" si="10"/>
        <v>0</v>
      </c>
      <c r="R319" s="99" t="str">
        <f>+IF(Q319+N319&lt;=0, "NO COMPRADOR", +IF(Q319&lt;=0, "SIN COMPRA "&amp;+UPPER(TEXT('DINAMICA ENERO 26'!$C$2,"mmm 'yy")), "COMPRADOR"))</f>
        <v>NO COMPRADOR</v>
      </c>
      <c r="T319" s="101"/>
      <c r="U319" s="100"/>
      <c r="V319" s="100"/>
    </row>
    <row r="320" spans="1:22" ht="14">
      <c r="A320" s="88" t="s">
        <v>379</v>
      </c>
      <c r="B320" s="89" t="s">
        <v>401</v>
      </c>
      <c r="C320" s="89" t="s">
        <v>60</v>
      </c>
      <c r="D320" s="103">
        <v>100088964</v>
      </c>
      <c r="E320" s="89" t="s">
        <v>64</v>
      </c>
      <c r="F320" s="89">
        <v>100001434</v>
      </c>
      <c r="G320" s="90" t="s">
        <v>381</v>
      </c>
      <c r="H320" s="91">
        <v>0</v>
      </c>
      <c r="I320" s="92">
        <v>0</v>
      </c>
      <c r="J320" s="93">
        <v>0</v>
      </c>
      <c r="K320" s="94">
        <v>0</v>
      </c>
      <c r="L320" s="94">
        <v>0</v>
      </c>
      <c r="M320" s="94">
        <v>0</v>
      </c>
      <c r="N320" s="102">
        <f t="shared" si="9"/>
        <v>0</v>
      </c>
      <c r="O320" s="97">
        <v>0</v>
      </c>
      <c r="P320" s="92">
        <v>0</v>
      </c>
      <c r="Q320" s="98">
        <f>+O320+P320</f>
        <v>0</v>
      </c>
      <c r="R320" s="99" t="str">
        <f>+IF(Q320+N320&lt;=0, "NO COMPRADOR", +IF(Q320&lt;=0, "SIN COMPRA "&amp;+UPPER(TEXT('DINAMICA ENERO 26'!$C$2,"mmm 'yy")), "COMPRADOR"))</f>
        <v>NO COMPRADOR</v>
      </c>
      <c r="T320" s="101"/>
      <c r="U320" s="100"/>
      <c r="V320" s="100"/>
    </row>
    <row r="321" spans="1:22" ht="14">
      <c r="A321" s="88" t="s">
        <v>379</v>
      </c>
      <c r="B321" s="89" t="s">
        <v>401</v>
      </c>
      <c r="C321" s="89" t="s">
        <v>60</v>
      </c>
      <c r="D321" s="103">
        <v>100088964</v>
      </c>
      <c r="E321" s="89" t="s">
        <v>64</v>
      </c>
      <c r="F321" s="89">
        <v>100001507</v>
      </c>
      <c r="G321" s="90" t="s">
        <v>402</v>
      </c>
      <c r="H321" s="91">
        <v>0</v>
      </c>
      <c r="I321" s="92">
        <v>0</v>
      </c>
      <c r="J321" s="93">
        <v>0</v>
      </c>
      <c r="K321" s="94">
        <v>0</v>
      </c>
      <c r="L321" s="94">
        <v>0</v>
      </c>
      <c r="M321" s="94">
        <v>0</v>
      </c>
      <c r="N321" s="102">
        <f t="shared" si="9"/>
        <v>0</v>
      </c>
      <c r="O321" s="97">
        <v>0</v>
      </c>
      <c r="P321" s="92">
        <v>0</v>
      </c>
      <c r="Q321" s="98">
        <f t="shared" ref="Q321:Q327" si="11">+O321+P321</f>
        <v>0</v>
      </c>
      <c r="R321" s="99" t="str">
        <f>+IF(Q321+N321&lt;=0, "NO COMPRADOR", +IF(Q321&lt;=0, "SIN COMPRA "&amp;+UPPER(TEXT('DINAMICA ENERO 26'!$C$2,"mmm 'yy")), "COMPRADOR"))</f>
        <v>NO COMPRADOR</v>
      </c>
      <c r="T321" s="101"/>
      <c r="U321" s="100"/>
      <c r="V321" s="100"/>
    </row>
    <row r="322" spans="1:22" ht="14">
      <c r="A322" s="88" t="s">
        <v>379</v>
      </c>
      <c r="B322" s="89" t="s">
        <v>401</v>
      </c>
      <c r="C322" s="89" t="s">
        <v>60</v>
      </c>
      <c r="D322" s="103">
        <v>100088964</v>
      </c>
      <c r="E322" s="89" t="s">
        <v>64</v>
      </c>
      <c r="F322" s="89">
        <v>100074147</v>
      </c>
      <c r="G322" s="90" t="s">
        <v>403</v>
      </c>
      <c r="H322" s="91">
        <v>0</v>
      </c>
      <c r="I322" s="92">
        <v>0</v>
      </c>
      <c r="J322" s="93">
        <v>0</v>
      </c>
      <c r="K322" s="94">
        <v>0</v>
      </c>
      <c r="L322" s="94">
        <v>0</v>
      </c>
      <c r="M322" s="94">
        <v>0</v>
      </c>
      <c r="N322" s="102">
        <f t="shared" si="9"/>
        <v>0</v>
      </c>
      <c r="O322" s="97">
        <v>0</v>
      </c>
      <c r="P322" s="92">
        <v>0</v>
      </c>
      <c r="Q322" s="98">
        <f t="shared" si="11"/>
        <v>0</v>
      </c>
      <c r="R322" s="99" t="str">
        <f>+IF(Q322+N322&lt;=0, "NO COMPRADOR", +IF(Q322&lt;=0, "SIN COMPRA "&amp;+UPPER(TEXT('DINAMICA ENERO 26'!$C$2,"mmm 'yy")), "COMPRADOR"))</f>
        <v>NO COMPRADOR</v>
      </c>
      <c r="T322" s="101"/>
      <c r="U322" s="100"/>
      <c r="V322" s="100"/>
    </row>
    <row r="323" spans="1:22" ht="14">
      <c r="A323" s="88" t="s">
        <v>379</v>
      </c>
      <c r="B323" s="89" t="s">
        <v>401</v>
      </c>
      <c r="C323" s="89" t="s">
        <v>60</v>
      </c>
      <c r="D323" s="103">
        <v>100088964</v>
      </c>
      <c r="E323" s="89" t="s">
        <v>64</v>
      </c>
      <c r="F323" s="89">
        <v>100071913</v>
      </c>
      <c r="G323" s="90" t="s">
        <v>404</v>
      </c>
      <c r="H323" s="91">
        <v>0</v>
      </c>
      <c r="I323" s="92">
        <v>0</v>
      </c>
      <c r="J323" s="93">
        <v>0</v>
      </c>
      <c r="K323" s="94">
        <v>0</v>
      </c>
      <c r="L323" s="94">
        <v>0</v>
      </c>
      <c r="M323" s="94">
        <v>9.6</v>
      </c>
      <c r="N323" s="102">
        <f t="shared" ref="N323:N366" si="12">+AVERAGE(K323:M323)</f>
        <v>3.1999999999999997</v>
      </c>
      <c r="O323" s="97">
        <v>0</v>
      </c>
      <c r="P323" s="92">
        <v>0</v>
      </c>
      <c r="Q323" s="98">
        <f t="shared" si="11"/>
        <v>0</v>
      </c>
      <c r="R323" s="99" t="str">
        <f>+IF(Q323+N323&lt;=0, "NO COMPRADOR", +IF(Q323&lt;=0, "SIN COMPRA "&amp;+UPPER(TEXT('DINAMICA ENERO 26'!$C$2,"mmm 'yy")), "COMPRADOR"))</f>
        <v>SIN COMPRA FEB '26</v>
      </c>
      <c r="T323" s="101"/>
      <c r="U323" s="100"/>
      <c r="V323" s="100"/>
    </row>
    <row r="324" spans="1:22" ht="14">
      <c r="A324" s="88" t="s">
        <v>379</v>
      </c>
      <c r="B324" s="89" t="s">
        <v>405</v>
      </c>
      <c r="C324" s="89" t="s">
        <v>32</v>
      </c>
      <c r="D324" s="103">
        <v>100089882</v>
      </c>
      <c r="E324" s="89" t="s">
        <v>36</v>
      </c>
      <c r="F324" s="89">
        <v>100001979</v>
      </c>
      <c r="G324" s="90" t="s">
        <v>290</v>
      </c>
      <c r="H324" s="91">
        <v>14.399999999999999</v>
      </c>
      <c r="I324" s="92">
        <v>28.8</v>
      </c>
      <c r="J324" s="93">
        <v>-9.5999999999999979</v>
      </c>
      <c r="K324" s="94">
        <v>4.8</v>
      </c>
      <c r="L324" s="94">
        <v>-4.8</v>
      </c>
      <c r="M324" s="94">
        <v>0</v>
      </c>
      <c r="N324" s="102">
        <f t="shared" si="12"/>
        <v>0</v>
      </c>
      <c r="O324" s="97">
        <v>0</v>
      </c>
      <c r="P324" s="92">
        <v>0</v>
      </c>
      <c r="Q324" s="98">
        <f t="shared" si="11"/>
        <v>0</v>
      </c>
      <c r="R324" s="99" t="str">
        <f>+IF(Q324+N324&lt;=0, "NO COMPRADOR", +IF(Q324&lt;=0, "SIN COMPRA "&amp;+UPPER(TEXT('DINAMICA ENERO 26'!$C$2,"mmm 'yy")), "COMPRADOR"))</f>
        <v>NO COMPRADOR</v>
      </c>
      <c r="T324" s="101"/>
      <c r="U324" s="100"/>
      <c r="V324" s="100"/>
    </row>
    <row r="325" spans="1:22" ht="14">
      <c r="A325" s="88" t="s">
        <v>379</v>
      </c>
      <c r="B325" s="89" t="s">
        <v>405</v>
      </c>
      <c r="C325" s="89" t="s">
        <v>32</v>
      </c>
      <c r="D325" s="103">
        <v>100089882</v>
      </c>
      <c r="E325" s="89" t="s">
        <v>36</v>
      </c>
      <c r="F325" s="89">
        <v>100001914</v>
      </c>
      <c r="G325" s="90" t="s">
        <v>406</v>
      </c>
      <c r="H325" s="91">
        <v>0</v>
      </c>
      <c r="I325" s="92">
        <v>0</v>
      </c>
      <c r="J325" s="93">
        <v>0</v>
      </c>
      <c r="K325" s="94">
        <v>0</v>
      </c>
      <c r="L325" s="94">
        <v>0</v>
      </c>
      <c r="M325" s="94">
        <v>0</v>
      </c>
      <c r="N325" s="102">
        <f t="shared" si="12"/>
        <v>0</v>
      </c>
      <c r="O325" s="97">
        <v>0</v>
      </c>
      <c r="P325" s="92">
        <v>0</v>
      </c>
      <c r="Q325" s="98">
        <f t="shared" si="11"/>
        <v>0</v>
      </c>
      <c r="R325" s="99" t="str">
        <f>+IF(Q325+N325&lt;=0, "NO COMPRADOR", +IF(Q325&lt;=0, "SIN COMPRA "&amp;+UPPER(TEXT('DINAMICA ENERO 26'!$C$2,"mmm 'yy")), "COMPRADOR"))</f>
        <v>NO COMPRADOR</v>
      </c>
      <c r="T325" s="101"/>
      <c r="U325" s="100"/>
      <c r="V325" s="100"/>
    </row>
    <row r="326" spans="1:22" ht="14">
      <c r="A326" s="88" t="s">
        <v>407</v>
      </c>
      <c r="B326" s="89" t="s">
        <v>407</v>
      </c>
      <c r="C326" s="89" t="s">
        <v>32</v>
      </c>
      <c r="D326" s="103">
        <v>100066387</v>
      </c>
      <c r="E326" s="89" t="s">
        <v>34</v>
      </c>
      <c r="F326" s="89">
        <v>100002258</v>
      </c>
      <c r="G326" s="90" t="s">
        <v>408</v>
      </c>
      <c r="H326" s="91">
        <v>206.39999999999998</v>
      </c>
      <c r="I326" s="92">
        <v>0</v>
      </c>
      <c r="J326" s="93">
        <v>336</v>
      </c>
      <c r="K326" s="94">
        <v>48</v>
      </c>
      <c r="L326" s="94">
        <v>0</v>
      </c>
      <c r="M326" s="94">
        <v>0</v>
      </c>
      <c r="N326" s="102">
        <f t="shared" si="12"/>
        <v>16</v>
      </c>
      <c r="O326" s="97">
        <v>0</v>
      </c>
      <c r="P326" s="92">
        <v>14.4</v>
      </c>
      <c r="Q326" s="98">
        <f t="shared" si="11"/>
        <v>14.4</v>
      </c>
      <c r="R326" s="99" t="str">
        <f>+IF(Q326+N326&lt;=0, "NO COMPRADOR", +IF(Q326&lt;=0, "SIN COMPRA "&amp;+UPPER(TEXT('DINAMICA ENERO 26'!$C$2,"mmm 'yy")), "COMPRADOR"))</f>
        <v>COMPRADOR</v>
      </c>
      <c r="T326" s="101"/>
      <c r="U326" s="100"/>
      <c r="V326" s="100"/>
    </row>
    <row r="327" spans="1:22" ht="14">
      <c r="A327" s="88" t="s">
        <v>407</v>
      </c>
      <c r="B327" s="89" t="s">
        <v>407</v>
      </c>
      <c r="C327" s="89" t="s">
        <v>32</v>
      </c>
      <c r="D327" s="103">
        <v>100087600</v>
      </c>
      <c r="E327" s="89" t="s">
        <v>33</v>
      </c>
      <c r="F327" s="89">
        <v>100002545</v>
      </c>
      <c r="G327" s="90" t="s">
        <v>409</v>
      </c>
      <c r="H327" s="91">
        <v>9.6</v>
      </c>
      <c r="I327" s="92">
        <v>244.79999999999993</v>
      </c>
      <c r="J327" s="93">
        <v>-72</v>
      </c>
      <c r="K327" s="94">
        <v>100.79999999999998</v>
      </c>
      <c r="L327" s="94">
        <v>-19.199999999999996</v>
      </c>
      <c r="M327" s="94">
        <v>33.6</v>
      </c>
      <c r="N327" s="102">
        <f t="shared" si="12"/>
        <v>38.4</v>
      </c>
      <c r="O327" s="97">
        <v>0</v>
      </c>
      <c r="P327" s="92">
        <v>43.2</v>
      </c>
      <c r="Q327" s="98">
        <f t="shared" si="11"/>
        <v>43.2</v>
      </c>
      <c r="R327" s="99" t="str">
        <f>+IF(Q327+N327&lt;=0, "NO COMPRADOR", +IF(Q327&lt;=0, "SIN COMPRA "&amp;+UPPER(TEXT('DINAMICA ENERO 26'!$C$2,"mmm 'yy")), "COMPRADOR"))</f>
        <v>COMPRADOR</v>
      </c>
      <c r="T327" s="101"/>
      <c r="U327" s="100"/>
      <c r="V327" s="100"/>
    </row>
    <row r="328" spans="1:22" ht="14.5">
      <c r="A328" s="88" t="s">
        <v>407</v>
      </c>
      <c r="B328" s="89" t="s">
        <v>407</v>
      </c>
      <c r="C328" s="89" t="s">
        <v>32</v>
      </c>
      <c r="D328" s="103">
        <v>100087600</v>
      </c>
      <c r="E328" s="89" t="s">
        <v>33</v>
      </c>
      <c r="F328" s="89">
        <v>100002424</v>
      </c>
      <c r="G328" s="90" t="s">
        <v>410</v>
      </c>
      <c r="H328" s="105"/>
      <c r="I328" s="106"/>
      <c r="J328" s="106"/>
      <c r="K328" s="107"/>
      <c r="L328" s="107"/>
      <c r="M328" s="107"/>
      <c r="N328" s="108"/>
      <c r="O328" s="105"/>
      <c r="P328" s="106"/>
      <c r="Q328" s="109"/>
      <c r="R328" s="109"/>
      <c r="T328" s="101"/>
      <c r="U328" s="100"/>
      <c r="V328" s="100"/>
    </row>
    <row r="329" spans="1:22" ht="14.5">
      <c r="A329" s="88" t="s">
        <v>407</v>
      </c>
      <c r="B329" s="89" t="s">
        <v>407</v>
      </c>
      <c r="C329" s="89" t="s">
        <v>32</v>
      </c>
      <c r="D329" s="103">
        <v>100087600</v>
      </c>
      <c r="E329" s="89" t="s">
        <v>33</v>
      </c>
      <c r="F329" s="89">
        <v>100002055</v>
      </c>
      <c r="G329" s="90" t="s">
        <v>411</v>
      </c>
      <c r="H329" s="105"/>
      <c r="I329" s="106"/>
      <c r="J329" s="106"/>
      <c r="K329" s="107"/>
      <c r="L329" s="107"/>
      <c r="M329" s="107"/>
      <c r="N329" s="108"/>
      <c r="O329" s="105"/>
      <c r="P329" s="106"/>
      <c r="Q329" s="109"/>
      <c r="R329" s="109"/>
      <c r="T329" s="101"/>
      <c r="U329" s="100"/>
      <c r="V329" s="100"/>
    </row>
    <row r="330" spans="1:22" ht="14">
      <c r="A330" s="88" t="s">
        <v>407</v>
      </c>
      <c r="B330" s="89" t="s">
        <v>407</v>
      </c>
      <c r="C330" s="89" t="s">
        <v>32</v>
      </c>
      <c r="D330" s="103">
        <v>100087600</v>
      </c>
      <c r="E330" s="89" t="s">
        <v>33</v>
      </c>
      <c r="F330" s="89">
        <v>100002054</v>
      </c>
      <c r="G330" s="90" t="s">
        <v>412</v>
      </c>
      <c r="H330" s="91">
        <v>14.400000000000006</v>
      </c>
      <c r="I330" s="92">
        <v>-38.4</v>
      </c>
      <c r="J330" s="93">
        <v>-4.8</v>
      </c>
      <c r="K330" s="94">
        <v>0</v>
      </c>
      <c r="L330" s="94">
        <v>1032</v>
      </c>
      <c r="M330" s="94">
        <v>345.59999999999997</v>
      </c>
      <c r="N330" s="102">
        <f t="shared" si="12"/>
        <v>459.2</v>
      </c>
      <c r="O330" s="97">
        <v>321.60000000000002</v>
      </c>
      <c r="P330" s="92">
        <v>0</v>
      </c>
      <c r="Q330" s="98">
        <f>+O330+P330</f>
        <v>321.60000000000002</v>
      </c>
      <c r="R330" s="99" t="str">
        <f>+IF(Q330+N330&lt;=0, "NO COMPRADOR", +IF(Q330&lt;=0, "SIN COMPRA "&amp;+UPPER(TEXT('DINAMICA ENERO 26'!$C$2,"mmm/yy")), "COMPRADOR"))</f>
        <v>COMPRADOR</v>
      </c>
      <c r="T330" s="101"/>
      <c r="U330" s="100"/>
      <c r="V330" s="100"/>
    </row>
    <row r="331" spans="1:22" ht="14.5">
      <c r="A331" s="88" t="s">
        <v>407</v>
      </c>
      <c r="B331" s="89" t="s">
        <v>407</v>
      </c>
      <c r="C331" s="89" t="s">
        <v>32</v>
      </c>
      <c r="D331" s="103">
        <v>100087600</v>
      </c>
      <c r="E331" s="89" t="s">
        <v>33</v>
      </c>
      <c r="F331" s="89">
        <v>100001241</v>
      </c>
      <c r="G331" s="90" t="s">
        <v>413</v>
      </c>
      <c r="H331" s="105"/>
      <c r="I331" s="106"/>
      <c r="J331" s="106"/>
      <c r="K331" s="107"/>
      <c r="L331" s="107"/>
      <c r="M331" s="107"/>
      <c r="N331" s="108"/>
      <c r="O331" s="105"/>
      <c r="P331" s="106"/>
      <c r="Q331" s="109"/>
      <c r="R331" s="109"/>
      <c r="T331" s="101"/>
      <c r="U331" s="100"/>
      <c r="V331" s="100"/>
    </row>
    <row r="332" spans="1:22" ht="14">
      <c r="A332" s="88" t="s">
        <v>379</v>
      </c>
      <c r="B332" s="89" t="s">
        <v>405</v>
      </c>
      <c r="C332" s="89" t="s">
        <v>32</v>
      </c>
      <c r="D332" s="103">
        <v>100066387</v>
      </c>
      <c r="E332" s="89" t="s">
        <v>34</v>
      </c>
      <c r="F332" s="89">
        <v>100086833</v>
      </c>
      <c r="G332" s="90" t="s">
        <v>414</v>
      </c>
      <c r="H332" s="91">
        <v>0</v>
      </c>
      <c r="I332" s="92">
        <v>0</v>
      </c>
      <c r="J332" s="93">
        <v>0</v>
      </c>
      <c r="K332" s="94">
        <v>0</v>
      </c>
      <c r="L332" s="94">
        <v>0</v>
      </c>
      <c r="M332" s="94">
        <v>0</v>
      </c>
      <c r="N332" s="102">
        <f t="shared" si="12"/>
        <v>0</v>
      </c>
      <c r="O332" s="97">
        <v>0</v>
      </c>
      <c r="P332" s="92">
        <v>0</v>
      </c>
      <c r="Q332" s="98">
        <f t="shared" ref="Q332:Q366" si="13">+O332+P332</f>
        <v>0</v>
      </c>
      <c r="R332" s="99" t="str">
        <f>+IF(Q332+N332&lt;=0, "NO COMPRADOR", +IF(Q332&lt;=0, "SIN COMPRA "&amp;+UPPER(TEXT('DINAMICA ENERO 26'!$C$2,"mmm/yy")), "COMPRADOR"))</f>
        <v>NO COMPRADOR</v>
      </c>
      <c r="T332" s="101"/>
      <c r="U332" s="100"/>
      <c r="V332" s="100"/>
    </row>
    <row r="333" spans="1:22" ht="14">
      <c r="A333" s="88" t="s">
        <v>379</v>
      </c>
      <c r="B333" s="89" t="s">
        <v>415</v>
      </c>
      <c r="C333" s="89" t="s">
        <v>32</v>
      </c>
      <c r="D333" s="110">
        <v>100066387</v>
      </c>
      <c r="E333" s="110" t="s">
        <v>34</v>
      </c>
      <c r="F333" s="89">
        <v>100001434</v>
      </c>
      <c r="G333" s="90" t="s">
        <v>381</v>
      </c>
      <c r="H333" s="91">
        <v>-374.39999999999992</v>
      </c>
      <c r="I333" s="92">
        <v>302.40000000000009</v>
      </c>
      <c r="J333" s="93">
        <v>168</v>
      </c>
      <c r="K333" s="94">
        <v>283.19999999999993</v>
      </c>
      <c r="L333" s="94">
        <v>153.6</v>
      </c>
      <c r="M333" s="94">
        <v>81.599999999999994</v>
      </c>
      <c r="N333" s="102">
        <f t="shared" si="12"/>
        <v>172.79999999999998</v>
      </c>
      <c r="O333" s="97">
        <v>-4.8000000000000025</v>
      </c>
      <c r="P333" s="92">
        <v>48</v>
      </c>
      <c r="Q333" s="98">
        <f t="shared" si="13"/>
        <v>43.199999999999996</v>
      </c>
      <c r="R333" s="99" t="str">
        <f>+IF(Q333+N333&lt;=0, "NO COMPRADOR", +IF(Q333&lt;=0, "SIN COMPRA "&amp;+UPPER(TEXT('DINAMICA ENERO 26'!$C$2,"mmm/yy")), "COMPRADOR"))</f>
        <v>COMPRADOR</v>
      </c>
      <c r="T333" s="101"/>
      <c r="U333" s="100"/>
      <c r="V333" s="100"/>
    </row>
    <row r="334" spans="1:22" ht="14">
      <c r="A334" s="88" t="s">
        <v>379</v>
      </c>
      <c r="B334" s="89" t="s">
        <v>415</v>
      </c>
      <c r="C334" s="89" t="s">
        <v>32</v>
      </c>
      <c r="D334" s="110">
        <v>100089882</v>
      </c>
      <c r="E334" s="110" t="s">
        <v>36</v>
      </c>
      <c r="F334" s="89">
        <v>100002273</v>
      </c>
      <c r="G334" s="90" t="s">
        <v>416</v>
      </c>
      <c r="H334" s="91">
        <v>0</v>
      </c>
      <c r="I334" s="92">
        <v>0</v>
      </c>
      <c r="J334" s="93">
        <v>0</v>
      </c>
      <c r="K334" s="94">
        <v>0</v>
      </c>
      <c r="L334" s="94">
        <v>0</v>
      </c>
      <c r="M334" s="94">
        <v>1209.5999999999999</v>
      </c>
      <c r="N334" s="102">
        <f t="shared" si="12"/>
        <v>403.2</v>
      </c>
      <c r="O334" s="97">
        <v>0</v>
      </c>
      <c r="P334" s="92">
        <v>0</v>
      </c>
      <c r="Q334" s="98">
        <f t="shared" si="13"/>
        <v>0</v>
      </c>
      <c r="R334" s="99" t="str">
        <f>+IF(Q334+N334&lt;=0, "NO COMPRADOR", +IF(Q334&lt;=0, "SIN COMPRA "&amp;+UPPER(TEXT('DINAMICA ENERO 26'!$C$2,"mmm/yy")), "COMPRADOR"))</f>
        <v>SIN COMPRA FEB/26</v>
      </c>
      <c r="T334" s="101"/>
      <c r="U334" s="100"/>
      <c r="V334" s="100"/>
    </row>
    <row r="335" spans="1:22" ht="14">
      <c r="A335" s="88" t="s">
        <v>379</v>
      </c>
      <c r="B335" s="89" t="s">
        <v>415</v>
      </c>
      <c r="C335" s="89" t="s">
        <v>32</v>
      </c>
      <c r="D335" s="110">
        <v>100002748</v>
      </c>
      <c r="E335" s="110" t="s">
        <v>35</v>
      </c>
      <c r="F335" s="89">
        <v>100005896</v>
      </c>
      <c r="G335" s="90" t="s">
        <v>417</v>
      </c>
      <c r="H335" s="91">
        <v>182.39999999999998</v>
      </c>
      <c r="I335" s="92">
        <v>129.6</v>
      </c>
      <c r="J335" s="93">
        <v>494.4</v>
      </c>
      <c r="K335" s="94">
        <v>211.2</v>
      </c>
      <c r="L335" s="94">
        <v>0</v>
      </c>
      <c r="M335" s="94">
        <v>0</v>
      </c>
      <c r="N335" s="102">
        <f t="shared" si="12"/>
        <v>70.399999999999991</v>
      </c>
      <c r="O335" s="97">
        <v>0</v>
      </c>
      <c r="P335" s="92">
        <v>0</v>
      </c>
      <c r="Q335" s="98">
        <f t="shared" si="13"/>
        <v>0</v>
      </c>
      <c r="R335" s="99" t="str">
        <f>+IF(Q335+N335&lt;=0, "NO COMPRADOR", +IF(Q335&lt;=0, "SIN COMPRA "&amp;+UPPER(TEXT('DINAMICA ENERO 26'!$C$2,"mmm/yy")), "COMPRADOR"))</f>
        <v>SIN COMPRA FEB/26</v>
      </c>
      <c r="T335" s="101"/>
      <c r="U335" s="100"/>
      <c r="V335" s="100"/>
    </row>
    <row r="336" spans="1:22" ht="14">
      <c r="A336" s="88" t="s">
        <v>379</v>
      </c>
      <c r="B336" s="89" t="s">
        <v>415</v>
      </c>
      <c r="C336" s="89" t="s">
        <v>32</v>
      </c>
      <c r="D336" s="110">
        <v>100002748</v>
      </c>
      <c r="E336" s="110" t="s">
        <v>35</v>
      </c>
      <c r="F336" s="89">
        <v>100001550</v>
      </c>
      <c r="G336" s="90" t="s">
        <v>418</v>
      </c>
      <c r="H336" s="91">
        <v>0</v>
      </c>
      <c r="I336" s="92">
        <v>0</v>
      </c>
      <c r="J336" s="93">
        <v>0</v>
      </c>
      <c r="K336" s="94">
        <v>0</v>
      </c>
      <c r="L336" s="94">
        <v>0</v>
      </c>
      <c r="M336" s="94">
        <v>0</v>
      </c>
      <c r="N336" s="102">
        <f t="shared" si="12"/>
        <v>0</v>
      </c>
      <c r="O336" s="97">
        <v>0</v>
      </c>
      <c r="P336" s="92">
        <v>0</v>
      </c>
      <c r="Q336" s="98">
        <f t="shared" si="13"/>
        <v>0</v>
      </c>
      <c r="R336" s="99" t="str">
        <f>+IF(Q336+N336&lt;=0, "NO COMPRADOR", +IF(Q336&lt;=0, "SIN COMPRA "&amp;+UPPER(TEXT('DINAMICA ENERO 26'!$C$2,"mmm/yy")), "COMPRADOR"))</f>
        <v>NO COMPRADOR</v>
      </c>
      <c r="T336" s="101"/>
      <c r="U336" s="100"/>
      <c r="V336" s="100"/>
    </row>
    <row r="337" spans="1:22" ht="14">
      <c r="A337" s="88" t="s">
        <v>379</v>
      </c>
      <c r="B337" s="89" t="s">
        <v>415</v>
      </c>
      <c r="C337" s="89" t="s">
        <v>32</v>
      </c>
      <c r="D337" s="110">
        <v>100089882</v>
      </c>
      <c r="E337" s="110" t="s">
        <v>36</v>
      </c>
      <c r="F337" s="89">
        <v>100002492</v>
      </c>
      <c r="G337" s="90" t="s">
        <v>419</v>
      </c>
      <c r="H337" s="91">
        <v>0</v>
      </c>
      <c r="I337" s="92">
        <v>0</v>
      </c>
      <c r="J337" s="93">
        <v>0</v>
      </c>
      <c r="K337" s="94">
        <v>0</v>
      </c>
      <c r="L337" s="94">
        <v>945.59999999999991</v>
      </c>
      <c r="M337" s="94">
        <v>0</v>
      </c>
      <c r="N337" s="102">
        <f t="shared" si="12"/>
        <v>315.2</v>
      </c>
      <c r="O337" s="97">
        <v>451.20000000000005</v>
      </c>
      <c r="P337" s="92">
        <v>984</v>
      </c>
      <c r="Q337" s="98">
        <f t="shared" si="13"/>
        <v>1435.2</v>
      </c>
      <c r="R337" s="99" t="str">
        <f>+IF(Q337+N337&lt;=0, "NO COMPRADOR", +IF(Q337&lt;=0, "SIN COMPRA "&amp;+UPPER(TEXT('DINAMICA ENERO 26'!$C$2,"mmm/yy")), "COMPRADOR"))</f>
        <v>COMPRADOR</v>
      </c>
      <c r="T337" s="101"/>
      <c r="U337" s="100"/>
      <c r="V337" s="100"/>
    </row>
    <row r="338" spans="1:22" ht="14">
      <c r="A338" s="88" t="s">
        <v>379</v>
      </c>
      <c r="B338" s="89" t="s">
        <v>415</v>
      </c>
      <c r="C338" s="89" t="s">
        <v>32</v>
      </c>
      <c r="D338" s="110">
        <v>100066387</v>
      </c>
      <c r="E338" s="110" t="s">
        <v>34</v>
      </c>
      <c r="F338" s="89">
        <v>100001342</v>
      </c>
      <c r="G338" s="90" t="s">
        <v>387</v>
      </c>
      <c r="H338" s="91">
        <v>0</v>
      </c>
      <c r="I338" s="92">
        <v>0</v>
      </c>
      <c r="J338" s="93">
        <v>0</v>
      </c>
      <c r="K338" s="94">
        <v>0</v>
      </c>
      <c r="L338" s="94">
        <v>0</v>
      </c>
      <c r="M338" s="94">
        <v>0</v>
      </c>
      <c r="N338" s="102">
        <f t="shared" si="12"/>
        <v>0</v>
      </c>
      <c r="O338" s="97">
        <v>0</v>
      </c>
      <c r="P338" s="92">
        <v>0</v>
      </c>
      <c r="Q338" s="98">
        <f t="shared" si="13"/>
        <v>0</v>
      </c>
      <c r="R338" s="99" t="str">
        <f>+IF(Q338+N338&lt;=0, "NO COMPRADOR", +IF(Q338&lt;=0, "SIN COMPRA "&amp;+UPPER(TEXT('DINAMICA ENERO 26'!$C$2,"mmm/yy")), "COMPRADOR"))</f>
        <v>NO COMPRADOR</v>
      </c>
      <c r="T338" s="101"/>
      <c r="U338" s="100"/>
      <c r="V338" s="100"/>
    </row>
    <row r="339" spans="1:22" ht="14">
      <c r="A339" s="88" t="s">
        <v>85</v>
      </c>
      <c r="B339" s="89" t="s">
        <v>120</v>
      </c>
      <c r="C339" s="89" t="s">
        <v>52</v>
      </c>
      <c r="D339" s="110">
        <v>100088149</v>
      </c>
      <c r="E339" s="110" t="s">
        <v>56</v>
      </c>
      <c r="F339" s="89">
        <v>100089849</v>
      </c>
      <c r="G339" s="90" t="s">
        <v>420</v>
      </c>
      <c r="H339" s="91">
        <v>0</v>
      </c>
      <c r="I339" s="92">
        <v>0</v>
      </c>
      <c r="J339" s="93">
        <v>0</v>
      </c>
      <c r="K339" s="94">
        <v>0</v>
      </c>
      <c r="L339" s="94">
        <v>0</v>
      </c>
      <c r="M339" s="94">
        <v>0</v>
      </c>
      <c r="N339" s="102">
        <f t="shared" si="12"/>
        <v>0</v>
      </c>
      <c r="O339" s="97">
        <v>0</v>
      </c>
      <c r="P339" s="92">
        <v>0</v>
      </c>
      <c r="Q339" s="98">
        <f t="shared" si="13"/>
        <v>0</v>
      </c>
      <c r="R339" s="99" t="str">
        <f>+IF(Q339+N339&lt;=0, "NO COMPRADOR", +IF(Q339&lt;=0, "SIN COMPRA "&amp;+UPPER(TEXT('DINAMICA ENERO 26'!$C$2,"mmm 'yy")), "COMPRADOR"))</f>
        <v>NO COMPRADOR</v>
      </c>
      <c r="T339" s="101"/>
      <c r="U339" s="100"/>
      <c r="V339" s="100"/>
    </row>
    <row r="340" spans="1:22" ht="14">
      <c r="A340" s="88" t="s">
        <v>85</v>
      </c>
      <c r="B340" s="89" t="s">
        <v>120</v>
      </c>
      <c r="C340" s="89" t="s">
        <v>52</v>
      </c>
      <c r="D340" s="110">
        <v>100079515</v>
      </c>
      <c r="E340" s="110" t="s">
        <v>53</v>
      </c>
      <c r="F340" s="89">
        <v>100025640</v>
      </c>
      <c r="G340" s="90" t="s">
        <v>421</v>
      </c>
      <c r="H340" s="91">
        <v>0</v>
      </c>
      <c r="I340" s="92">
        <v>0</v>
      </c>
      <c r="J340" s="93">
        <v>0</v>
      </c>
      <c r="K340" s="94">
        <v>0</v>
      </c>
      <c r="L340" s="94">
        <v>0</v>
      </c>
      <c r="M340" s="94">
        <v>0</v>
      </c>
      <c r="N340" s="102">
        <f t="shared" si="12"/>
        <v>0</v>
      </c>
      <c r="O340" s="97">
        <v>0</v>
      </c>
      <c r="P340" s="92">
        <v>0</v>
      </c>
      <c r="Q340" s="98">
        <f t="shared" si="13"/>
        <v>0</v>
      </c>
      <c r="R340" s="99" t="str">
        <f>+IF(Q340+N340&lt;=0, "NO COMPRADOR", +IF(Q340&lt;=0, "SIN COMPRA "&amp;+UPPER(TEXT('DINAMICA ENERO 26'!$C$2,"mmm 'yy")), "COMPRADOR"))</f>
        <v>NO COMPRADOR</v>
      </c>
      <c r="T340" s="101"/>
      <c r="U340" s="100"/>
      <c r="V340" s="100"/>
    </row>
    <row r="341" spans="1:22" ht="14">
      <c r="A341" s="88" t="s">
        <v>85</v>
      </c>
      <c r="B341" s="89" t="s">
        <v>157</v>
      </c>
      <c r="C341" s="89" t="s">
        <v>52</v>
      </c>
      <c r="D341" s="110">
        <v>100079674</v>
      </c>
      <c r="E341" s="110" t="s">
        <v>57</v>
      </c>
      <c r="F341" s="89">
        <v>100080761</v>
      </c>
      <c r="G341" s="90" t="s">
        <v>422</v>
      </c>
      <c r="H341" s="91">
        <v>0</v>
      </c>
      <c r="I341" s="92">
        <v>0</v>
      </c>
      <c r="J341" s="93">
        <v>0</v>
      </c>
      <c r="K341" s="94">
        <v>0</v>
      </c>
      <c r="L341" s="94">
        <v>0</v>
      </c>
      <c r="M341" s="94">
        <v>0</v>
      </c>
      <c r="N341" s="102">
        <f t="shared" si="12"/>
        <v>0</v>
      </c>
      <c r="O341" s="97">
        <v>0</v>
      </c>
      <c r="P341" s="92">
        <v>0</v>
      </c>
      <c r="Q341" s="98">
        <f t="shared" si="13"/>
        <v>0</v>
      </c>
      <c r="R341" s="99" t="str">
        <f>+IF(Q341+N341&lt;=0, "NO COMPRADOR", +IF(Q341&lt;=0, "SIN COMPRA "&amp;+UPPER(TEXT('DINAMICA ENERO 26'!$C$2,"mmm 'yy")), "COMPRADOR"))</f>
        <v>NO COMPRADOR</v>
      </c>
      <c r="T341" s="101"/>
      <c r="U341" s="100"/>
      <c r="V341" s="100"/>
    </row>
    <row r="342" spans="1:22" ht="14">
      <c r="A342" s="88" t="s">
        <v>85</v>
      </c>
      <c r="B342" s="89" t="s">
        <v>157</v>
      </c>
      <c r="C342" s="89" t="s">
        <v>52</v>
      </c>
      <c r="D342" s="110">
        <v>100079674</v>
      </c>
      <c r="E342" s="110" t="s">
        <v>57</v>
      </c>
      <c r="F342" s="89">
        <v>100001878</v>
      </c>
      <c r="G342" s="90" t="s">
        <v>423</v>
      </c>
      <c r="H342" s="91">
        <v>0</v>
      </c>
      <c r="I342" s="92">
        <v>0</v>
      </c>
      <c r="J342" s="93">
        <v>0</v>
      </c>
      <c r="K342" s="94">
        <v>0</v>
      </c>
      <c r="L342" s="94">
        <v>0</v>
      </c>
      <c r="M342" s="94">
        <v>0</v>
      </c>
      <c r="N342" s="102">
        <f t="shared" si="12"/>
        <v>0</v>
      </c>
      <c r="O342" s="97">
        <v>0</v>
      </c>
      <c r="P342" s="92">
        <v>0</v>
      </c>
      <c r="Q342" s="98">
        <f t="shared" si="13"/>
        <v>0</v>
      </c>
      <c r="R342" s="99" t="str">
        <f>+IF(Q342+N342&lt;=0, "NO COMPRADOR", +IF(Q342&lt;=0, "SIN COMPRA "&amp;+UPPER(TEXT('DINAMICA ENERO 26'!$C$2,"mmm 'yy")), "COMPRADOR"))</f>
        <v>NO COMPRADOR</v>
      </c>
      <c r="T342" s="101"/>
      <c r="U342" s="100"/>
      <c r="V342" s="100"/>
    </row>
    <row r="343" spans="1:22" ht="14">
      <c r="A343" s="88" t="s">
        <v>85</v>
      </c>
      <c r="B343" s="89" t="s">
        <v>157</v>
      </c>
      <c r="C343" s="89" t="s">
        <v>52</v>
      </c>
      <c r="D343" s="110">
        <v>100079674</v>
      </c>
      <c r="E343" s="110" t="s">
        <v>57</v>
      </c>
      <c r="F343" s="89">
        <v>100085464</v>
      </c>
      <c r="G343" s="90" t="s">
        <v>424</v>
      </c>
      <c r="H343" s="91">
        <v>0</v>
      </c>
      <c r="I343" s="92">
        <v>0</v>
      </c>
      <c r="J343" s="93">
        <v>0</v>
      </c>
      <c r="K343" s="94">
        <v>0</v>
      </c>
      <c r="L343" s="94">
        <v>0</v>
      </c>
      <c r="M343" s="94">
        <v>0</v>
      </c>
      <c r="N343" s="102">
        <f t="shared" si="12"/>
        <v>0</v>
      </c>
      <c r="O343" s="97">
        <v>0</v>
      </c>
      <c r="P343" s="92">
        <v>0</v>
      </c>
      <c r="Q343" s="98">
        <f t="shared" si="13"/>
        <v>0</v>
      </c>
      <c r="R343" s="99" t="str">
        <f>+IF(Q343+N343&lt;=0, "NO COMPRADOR", +IF(Q343&lt;=0, "SIN COMPRA "&amp;+UPPER(TEXT('DINAMICA ENERO 26'!$C$2,"mmm 'yy")), "COMPRADOR"))</f>
        <v>NO COMPRADOR</v>
      </c>
      <c r="T343" s="101"/>
      <c r="U343" s="100"/>
      <c r="V343" s="100"/>
    </row>
    <row r="344" spans="1:22" ht="14">
      <c r="A344" s="88" t="s">
        <v>85</v>
      </c>
      <c r="B344" s="89" t="s">
        <v>157</v>
      </c>
      <c r="C344" s="89" t="s">
        <v>52</v>
      </c>
      <c r="D344" s="110">
        <v>100066856</v>
      </c>
      <c r="E344" s="110" t="s">
        <v>54</v>
      </c>
      <c r="F344" s="89">
        <v>100080160</v>
      </c>
      <c r="G344" s="90" t="s">
        <v>425</v>
      </c>
      <c r="H344" s="91">
        <v>0</v>
      </c>
      <c r="I344" s="92">
        <v>0</v>
      </c>
      <c r="J344" s="93">
        <v>0</v>
      </c>
      <c r="K344" s="94">
        <v>0</v>
      </c>
      <c r="L344" s="94">
        <v>0</v>
      </c>
      <c r="M344" s="94">
        <v>0</v>
      </c>
      <c r="N344" s="102">
        <f t="shared" si="12"/>
        <v>0</v>
      </c>
      <c r="O344" s="97">
        <v>0</v>
      </c>
      <c r="P344" s="92">
        <v>0</v>
      </c>
      <c r="Q344" s="98">
        <f t="shared" si="13"/>
        <v>0</v>
      </c>
      <c r="R344" s="99" t="str">
        <f>+IF(Q344+N344&lt;=0, "NO COMPRADOR", +IF(Q344&lt;=0, "SIN COMPRA "&amp;+UPPER(TEXT('DINAMICA ENERO 26'!$C$2,"mmm 'yy")), "COMPRADOR"))</f>
        <v>NO COMPRADOR</v>
      </c>
      <c r="T344" s="101"/>
      <c r="U344" s="100"/>
      <c r="V344" s="100"/>
    </row>
    <row r="345" spans="1:22" ht="14">
      <c r="A345" s="88" t="s">
        <v>85</v>
      </c>
      <c r="B345" s="89" t="s">
        <v>157</v>
      </c>
      <c r="C345" s="89" t="s">
        <v>52</v>
      </c>
      <c r="D345" s="110">
        <v>100066856</v>
      </c>
      <c r="E345" s="110" t="s">
        <v>54</v>
      </c>
      <c r="F345" s="89">
        <v>100077613</v>
      </c>
      <c r="G345" s="90" t="s">
        <v>426</v>
      </c>
      <c r="H345" s="91">
        <v>0</v>
      </c>
      <c r="I345" s="92">
        <v>0</v>
      </c>
      <c r="J345" s="93">
        <v>0</v>
      </c>
      <c r="K345" s="94">
        <v>0</v>
      </c>
      <c r="L345" s="94">
        <v>0</v>
      </c>
      <c r="M345" s="94">
        <v>0</v>
      </c>
      <c r="N345" s="102">
        <f t="shared" si="12"/>
        <v>0</v>
      </c>
      <c r="O345" s="97">
        <v>0</v>
      </c>
      <c r="P345" s="92">
        <v>0</v>
      </c>
      <c r="Q345" s="98">
        <f t="shared" si="13"/>
        <v>0</v>
      </c>
      <c r="R345" s="99" t="str">
        <f>+IF(Q345+N345&lt;=0, "NO COMPRADOR", +IF(Q345&lt;=0, "SIN COMPRA "&amp;+UPPER(TEXT('DINAMICA ENERO 26'!$C$2,"mmm 'yy")), "COMPRADOR"))</f>
        <v>NO COMPRADOR</v>
      </c>
      <c r="T345" s="101"/>
      <c r="U345" s="100"/>
      <c r="V345" s="100"/>
    </row>
    <row r="346" spans="1:22" ht="14">
      <c r="A346" s="88" t="s">
        <v>85</v>
      </c>
      <c r="B346" s="89" t="s">
        <v>157</v>
      </c>
      <c r="C346" s="89" t="s">
        <v>52</v>
      </c>
      <c r="D346" s="110">
        <v>100066856</v>
      </c>
      <c r="E346" s="110" t="s">
        <v>54</v>
      </c>
      <c r="F346" s="89">
        <v>100082823</v>
      </c>
      <c r="G346" s="90" t="s">
        <v>427</v>
      </c>
      <c r="H346" s="91">
        <v>0</v>
      </c>
      <c r="I346" s="92">
        <v>0</v>
      </c>
      <c r="J346" s="93">
        <v>0</v>
      </c>
      <c r="K346" s="94">
        <v>0</v>
      </c>
      <c r="L346" s="94">
        <v>0</v>
      </c>
      <c r="M346" s="94">
        <v>0</v>
      </c>
      <c r="N346" s="102">
        <f t="shared" si="12"/>
        <v>0</v>
      </c>
      <c r="O346" s="97">
        <v>0</v>
      </c>
      <c r="P346" s="92">
        <v>0</v>
      </c>
      <c r="Q346" s="98">
        <f t="shared" si="13"/>
        <v>0</v>
      </c>
      <c r="R346" s="99" t="str">
        <f>+IF(Q346+N346&lt;=0, "NO COMPRADOR", +IF(Q346&lt;=0, "SIN COMPRA "&amp;+UPPER(TEXT('DINAMICA ENERO 26'!$C$2,"mmm 'yy")), "COMPRADOR"))</f>
        <v>NO COMPRADOR</v>
      </c>
      <c r="T346" s="101"/>
      <c r="U346" s="100"/>
      <c r="V346" s="100"/>
    </row>
    <row r="347" spans="1:22" ht="14">
      <c r="A347" s="88" t="s">
        <v>85</v>
      </c>
      <c r="B347" s="89" t="s">
        <v>204</v>
      </c>
      <c r="C347" s="89" t="s">
        <v>52</v>
      </c>
      <c r="D347" s="110">
        <v>100089701</v>
      </c>
      <c r="E347" s="110" t="s">
        <v>58</v>
      </c>
      <c r="F347" s="89">
        <v>100079045</v>
      </c>
      <c r="G347" s="90" t="s">
        <v>428</v>
      </c>
      <c r="H347" s="91">
        <v>0</v>
      </c>
      <c r="I347" s="92">
        <v>0</v>
      </c>
      <c r="J347" s="93">
        <v>0</v>
      </c>
      <c r="K347" s="94">
        <v>0</v>
      </c>
      <c r="L347" s="94">
        <v>0</v>
      </c>
      <c r="M347" s="94">
        <v>0</v>
      </c>
      <c r="N347" s="102">
        <f t="shared" si="12"/>
        <v>0</v>
      </c>
      <c r="O347" s="97">
        <v>0</v>
      </c>
      <c r="P347" s="92">
        <v>0</v>
      </c>
      <c r="Q347" s="98">
        <f t="shared" si="13"/>
        <v>0</v>
      </c>
      <c r="R347" s="99" t="str">
        <f>+IF(Q347+N347&lt;=0, "NO COMPRADOR", +IF(Q347&lt;=0, "SIN COMPRA "&amp;+UPPER(TEXT('DINAMICA ENERO 26'!$C$2,"mmm 'yy")), "COMPRADOR"))</f>
        <v>NO COMPRADOR</v>
      </c>
      <c r="T347" s="101"/>
      <c r="U347" s="100"/>
      <c r="V347" s="100"/>
    </row>
    <row r="348" spans="1:22" ht="14">
      <c r="A348" s="88" t="s">
        <v>85</v>
      </c>
      <c r="B348" s="89" t="s">
        <v>204</v>
      </c>
      <c r="C348" s="89" t="s">
        <v>52</v>
      </c>
      <c r="D348" s="110">
        <v>100089701</v>
      </c>
      <c r="E348" s="110" t="s">
        <v>58</v>
      </c>
      <c r="F348" s="89">
        <v>100011496</v>
      </c>
      <c r="G348" s="90" t="s">
        <v>429</v>
      </c>
      <c r="H348" s="91">
        <v>0</v>
      </c>
      <c r="I348" s="92">
        <v>0</v>
      </c>
      <c r="J348" s="93">
        <v>0</v>
      </c>
      <c r="K348" s="94">
        <v>0</v>
      </c>
      <c r="L348" s="94">
        <v>0</v>
      </c>
      <c r="M348" s="94">
        <v>0</v>
      </c>
      <c r="N348" s="102">
        <f t="shared" si="12"/>
        <v>0</v>
      </c>
      <c r="O348" s="97">
        <v>0</v>
      </c>
      <c r="P348" s="92">
        <v>0</v>
      </c>
      <c r="Q348" s="98">
        <f t="shared" si="13"/>
        <v>0</v>
      </c>
      <c r="R348" s="99" t="str">
        <f>+IF(Q348+N348&lt;=0, "NO COMPRADOR", +IF(Q348&lt;=0, "SIN COMPRA "&amp;+UPPER(TEXT('DINAMICA ENERO 26'!$C$2,"mmm 'yy")), "COMPRADOR"))</f>
        <v>NO COMPRADOR</v>
      </c>
      <c r="T348" s="101"/>
      <c r="U348" s="100"/>
      <c r="V348" s="100"/>
    </row>
    <row r="349" spans="1:22" ht="14">
      <c r="A349" s="88" t="s">
        <v>85</v>
      </c>
      <c r="B349" s="89" t="s">
        <v>204</v>
      </c>
      <c r="C349" s="89" t="s">
        <v>52</v>
      </c>
      <c r="D349" s="110">
        <v>100073888</v>
      </c>
      <c r="E349" s="110" t="s">
        <v>55</v>
      </c>
      <c r="F349" s="89">
        <v>100001404</v>
      </c>
      <c r="G349" s="90" t="s">
        <v>430</v>
      </c>
      <c r="H349" s="91">
        <v>0</v>
      </c>
      <c r="I349" s="92">
        <v>0</v>
      </c>
      <c r="J349" s="93">
        <v>0</v>
      </c>
      <c r="K349" s="94">
        <v>0</v>
      </c>
      <c r="L349" s="94">
        <v>0</v>
      </c>
      <c r="M349" s="94">
        <v>0</v>
      </c>
      <c r="N349" s="102">
        <f t="shared" si="12"/>
        <v>0</v>
      </c>
      <c r="O349" s="97">
        <v>0</v>
      </c>
      <c r="P349" s="92">
        <v>0</v>
      </c>
      <c r="Q349" s="98">
        <f t="shared" si="13"/>
        <v>0</v>
      </c>
      <c r="R349" s="99" t="str">
        <f>+IF(Q349+N349&lt;=0, "NO COMPRADOR", +IF(Q349&lt;=0, "SIN COMPRA "&amp;+UPPER(TEXT('DINAMICA ENERO 26'!$C$2,"mmm 'yy")), "COMPRADOR"))</f>
        <v>NO COMPRADOR</v>
      </c>
      <c r="T349" s="101"/>
      <c r="U349" s="100"/>
      <c r="V349" s="100"/>
    </row>
    <row r="350" spans="1:22" ht="14">
      <c r="A350" s="88" t="s">
        <v>85</v>
      </c>
      <c r="B350" s="89" t="s">
        <v>204</v>
      </c>
      <c r="C350" s="89" t="s">
        <v>52</v>
      </c>
      <c r="D350" s="110">
        <v>100073888</v>
      </c>
      <c r="E350" s="110" t="s">
        <v>55</v>
      </c>
      <c r="F350" s="89">
        <v>100002253</v>
      </c>
      <c r="G350" s="90" t="s">
        <v>431</v>
      </c>
      <c r="H350" s="91">
        <v>0</v>
      </c>
      <c r="I350" s="92">
        <v>0</v>
      </c>
      <c r="J350" s="93">
        <v>0</v>
      </c>
      <c r="K350" s="94">
        <v>0</v>
      </c>
      <c r="L350" s="94">
        <v>0</v>
      </c>
      <c r="M350" s="94">
        <v>0</v>
      </c>
      <c r="N350" s="102">
        <f t="shared" si="12"/>
        <v>0</v>
      </c>
      <c r="O350" s="97">
        <v>0</v>
      </c>
      <c r="P350" s="92">
        <v>0</v>
      </c>
      <c r="Q350" s="98">
        <f t="shared" si="13"/>
        <v>0</v>
      </c>
      <c r="R350" s="99" t="str">
        <f>+IF(Q350+N350&lt;=0, "NO COMPRADOR", +IF(Q350&lt;=0, "SIN COMPRA "&amp;+UPPER(TEXT('DINAMICA ENERO 26'!$C$2,"mmm 'yy")), "COMPRADOR"))</f>
        <v>NO COMPRADOR</v>
      </c>
      <c r="T350" s="101"/>
      <c r="U350" s="100"/>
      <c r="V350" s="100"/>
    </row>
    <row r="351" spans="1:22" ht="14">
      <c r="A351" s="88" t="s">
        <v>85</v>
      </c>
      <c r="B351" s="89" t="s">
        <v>236</v>
      </c>
      <c r="C351" s="89" t="s">
        <v>68</v>
      </c>
      <c r="D351" s="110">
        <v>100031199</v>
      </c>
      <c r="E351" s="110" t="s">
        <v>69</v>
      </c>
      <c r="F351" s="89">
        <v>100089970</v>
      </c>
      <c r="G351" s="90" t="s">
        <v>432</v>
      </c>
      <c r="H351" s="91">
        <v>0</v>
      </c>
      <c r="I351" s="92">
        <v>0</v>
      </c>
      <c r="J351" s="93">
        <v>0</v>
      </c>
      <c r="K351" s="94">
        <v>0</v>
      </c>
      <c r="L351" s="94">
        <v>0</v>
      </c>
      <c r="M351" s="94">
        <v>0</v>
      </c>
      <c r="N351" s="102">
        <f t="shared" si="12"/>
        <v>0</v>
      </c>
      <c r="O351" s="97">
        <v>0</v>
      </c>
      <c r="P351" s="92">
        <v>0</v>
      </c>
      <c r="Q351" s="98">
        <f t="shared" si="13"/>
        <v>0</v>
      </c>
      <c r="R351" s="99" t="str">
        <f>+IF(Q351+N351&lt;=0, "NO COMPRADOR", +IF(Q351&lt;=0, "SIN COMPRA "&amp;+UPPER(TEXT('DINAMICA ENERO 26'!$C$2,"mmm 'yy")), "COMPRADOR"))</f>
        <v>NO COMPRADOR</v>
      </c>
      <c r="T351" s="101"/>
      <c r="U351" s="100"/>
      <c r="V351" s="100"/>
    </row>
    <row r="352" spans="1:22" ht="14">
      <c r="A352" s="88" t="s">
        <v>85</v>
      </c>
      <c r="B352" s="89" t="s">
        <v>257</v>
      </c>
      <c r="C352" s="89" t="s">
        <v>43</v>
      </c>
      <c r="D352" s="110">
        <v>100088690</v>
      </c>
      <c r="E352" s="110" t="s">
        <v>45</v>
      </c>
      <c r="F352" s="89">
        <v>100002208</v>
      </c>
      <c r="G352" s="90" t="s">
        <v>433</v>
      </c>
      <c r="H352" s="91">
        <v>0</v>
      </c>
      <c r="I352" s="92">
        <v>0</v>
      </c>
      <c r="J352" s="93">
        <v>0</v>
      </c>
      <c r="K352" s="94">
        <v>0</v>
      </c>
      <c r="L352" s="94">
        <v>0</v>
      </c>
      <c r="M352" s="94">
        <v>0</v>
      </c>
      <c r="N352" s="102">
        <f t="shared" si="12"/>
        <v>0</v>
      </c>
      <c r="O352" s="97">
        <v>0</v>
      </c>
      <c r="P352" s="92">
        <v>0</v>
      </c>
      <c r="Q352" s="98">
        <f t="shared" si="13"/>
        <v>0</v>
      </c>
      <c r="R352" s="99" t="str">
        <f>+IF(Q352+N352&lt;=0, "NO COMPRADOR", +IF(Q352&lt;=0, "SIN COMPRA "&amp;+UPPER(TEXT('DINAMICA ENERO 26'!$C$2,"mmm 'yy")), "COMPRADOR"))</f>
        <v>NO COMPRADOR</v>
      </c>
      <c r="T352" s="101"/>
      <c r="U352" s="100"/>
      <c r="V352" s="100"/>
    </row>
    <row r="353" spans="1:22" ht="14">
      <c r="A353" s="88" t="s">
        <v>85</v>
      </c>
      <c r="B353" s="89" t="s">
        <v>257</v>
      </c>
      <c r="C353" s="89" t="s">
        <v>43</v>
      </c>
      <c r="D353" s="110">
        <v>100088690</v>
      </c>
      <c r="E353" s="110" t="s">
        <v>45</v>
      </c>
      <c r="F353" s="89">
        <v>100001513</v>
      </c>
      <c r="G353" s="90" t="s">
        <v>287</v>
      </c>
      <c r="H353" s="91">
        <v>0</v>
      </c>
      <c r="I353" s="92">
        <v>0</v>
      </c>
      <c r="J353" s="93">
        <v>0</v>
      </c>
      <c r="K353" s="94">
        <v>0</v>
      </c>
      <c r="L353" s="94">
        <v>0</v>
      </c>
      <c r="M353" s="94">
        <v>0</v>
      </c>
      <c r="N353" s="102">
        <f t="shared" si="12"/>
        <v>0</v>
      </c>
      <c r="O353" s="97">
        <v>0</v>
      </c>
      <c r="P353" s="92">
        <v>0</v>
      </c>
      <c r="Q353" s="98">
        <f t="shared" si="13"/>
        <v>0</v>
      </c>
      <c r="R353" s="99" t="str">
        <f>+IF(Q353+N353&lt;=0, "NO COMPRADOR", +IF(Q353&lt;=0, "SIN COMPRA "&amp;+UPPER(TEXT('DINAMICA ENERO 26'!$C$2,"mmm 'yy")), "COMPRADOR"))</f>
        <v>NO COMPRADOR</v>
      </c>
      <c r="T353" s="101"/>
      <c r="U353" s="100"/>
      <c r="V353" s="100"/>
    </row>
    <row r="354" spans="1:22" ht="14">
      <c r="A354" s="88" t="s">
        <v>85</v>
      </c>
      <c r="B354" s="89" t="s">
        <v>257</v>
      </c>
      <c r="C354" s="89" t="s">
        <v>43</v>
      </c>
      <c r="D354" s="110">
        <v>100088690</v>
      </c>
      <c r="E354" s="110" t="s">
        <v>45</v>
      </c>
      <c r="F354" s="89">
        <v>100015740</v>
      </c>
      <c r="G354" s="90" t="s">
        <v>434</v>
      </c>
      <c r="H354" s="91">
        <v>0</v>
      </c>
      <c r="I354" s="92">
        <v>0</v>
      </c>
      <c r="J354" s="93">
        <v>0</v>
      </c>
      <c r="K354" s="94">
        <v>0</v>
      </c>
      <c r="L354" s="94">
        <v>177.60000000000002</v>
      </c>
      <c r="M354" s="94">
        <v>0</v>
      </c>
      <c r="N354" s="102">
        <f t="shared" si="12"/>
        <v>59.20000000000001</v>
      </c>
      <c r="O354" s="97">
        <v>0</v>
      </c>
      <c r="P354" s="92">
        <v>0</v>
      </c>
      <c r="Q354" s="98">
        <f t="shared" si="13"/>
        <v>0</v>
      </c>
      <c r="R354" s="99" t="str">
        <f>+IF(Q354+N354&lt;=0, "NO COMPRADOR", +IF(Q354&lt;=0, "SIN COMPRA "&amp;+UPPER(TEXT('DINAMICA ENERO 26'!$C$2,"mmm 'yy")), "COMPRADOR"))</f>
        <v>SIN COMPRA FEB '26</v>
      </c>
      <c r="T354" s="101"/>
      <c r="U354" s="100"/>
      <c r="V354" s="100"/>
    </row>
    <row r="355" spans="1:22" ht="14">
      <c r="A355" s="88" t="s">
        <v>85</v>
      </c>
      <c r="B355" s="89" t="s">
        <v>257</v>
      </c>
      <c r="C355" s="89" t="s">
        <v>43</v>
      </c>
      <c r="D355" s="110">
        <v>100089856</v>
      </c>
      <c r="E355" s="110" t="s">
        <v>49</v>
      </c>
      <c r="F355" s="89">
        <v>100013280</v>
      </c>
      <c r="G355" s="90" t="s">
        <v>435</v>
      </c>
      <c r="H355" s="91">
        <v>0</v>
      </c>
      <c r="I355" s="92">
        <v>0</v>
      </c>
      <c r="J355" s="93">
        <v>0</v>
      </c>
      <c r="K355" s="94">
        <v>0</v>
      </c>
      <c r="L355" s="94">
        <v>0</v>
      </c>
      <c r="M355" s="94">
        <v>0</v>
      </c>
      <c r="N355" s="102">
        <f t="shared" si="12"/>
        <v>0</v>
      </c>
      <c r="O355" s="97">
        <v>0</v>
      </c>
      <c r="P355" s="92">
        <v>0</v>
      </c>
      <c r="Q355" s="98">
        <f t="shared" si="13"/>
        <v>0</v>
      </c>
      <c r="R355" s="99" t="str">
        <f>+IF(Q355+N355&lt;=0, "NO COMPRADOR", +IF(Q355&lt;=0, "SIN COMPRA "&amp;+UPPER(TEXT('DINAMICA ENERO 26'!$C$2,"mmm 'yy")), "COMPRADOR"))</f>
        <v>NO COMPRADOR</v>
      </c>
      <c r="T355" s="101"/>
      <c r="U355" s="100"/>
      <c r="V355" s="100"/>
    </row>
    <row r="356" spans="1:22" ht="14">
      <c r="A356" s="88" t="s">
        <v>85</v>
      </c>
      <c r="B356" s="89" t="s">
        <v>257</v>
      </c>
      <c r="C356" s="89" t="s">
        <v>43</v>
      </c>
      <c r="D356" s="110">
        <v>100089856</v>
      </c>
      <c r="E356" s="110" t="s">
        <v>49</v>
      </c>
      <c r="F356" s="89">
        <v>100081920</v>
      </c>
      <c r="G356" s="90" t="s">
        <v>436</v>
      </c>
      <c r="H356" s="91">
        <v>0</v>
      </c>
      <c r="I356" s="92">
        <v>0</v>
      </c>
      <c r="J356" s="93">
        <v>0</v>
      </c>
      <c r="K356" s="94">
        <v>0</v>
      </c>
      <c r="L356" s="94">
        <v>0</v>
      </c>
      <c r="M356" s="94">
        <v>0</v>
      </c>
      <c r="N356" s="102">
        <f t="shared" si="12"/>
        <v>0</v>
      </c>
      <c r="O356" s="97">
        <v>0</v>
      </c>
      <c r="P356" s="92">
        <v>0</v>
      </c>
      <c r="Q356" s="98">
        <f t="shared" si="13"/>
        <v>0</v>
      </c>
      <c r="R356" s="99" t="str">
        <f>+IF(Q356+N356&lt;=0, "NO COMPRADOR", +IF(Q356&lt;=0, "SIN COMPRA "&amp;+UPPER(TEXT('DINAMICA ENERO 26'!$C$2,"mmm 'yy")), "COMPRADOR"))</f>
        <v>NO COMPRADOR</v>
      </c>
      <c r="T356" s="101"/>
      <c r="U356" s="100"/>
      <c r="V356" s="100"/>
    </row>
    <row r="357" spans="1:22" ht="14">
      <c r="A357" s="88" t="s">
        <v>85</v>
      </c>
      <c r="B357" s="89" t="s">
        <v>257</v>
      </c>
      <c r="C357" s="89" t="s">
        <v>43</v>
      </c>
      <c r="D357" s="110">
        <v>100089856</v>
      </c>
      <c r="E357" s="110" t="s">
        <v>49</v>
      </c>
      <c r="F357" s="89">
        <v>100087806</v>
      </c>
      <c r="G357" s="90" t="s">
        <v>437</v>
      </c>
      <c r="H357" s="91">
        <v>0</v>
      </c>
      <c r="I357" s="92">
        <v>0</v>
      </c>
      <c r="J357" s="93">
        <v>0</v>
      </c>
      <c r="K357" s="94">
        <v>0</v>
      </c>
      <c r="L357" s="94">
        <v>0</v>
      </c>
      <c r="M357" s="94">
        <v>0</v>
      </c>
      <c r="N357" s="102">
        <f t="shared" si="12"/>
        <v>0</v>
      </c>
      <c r="O357" s="97">
        <v>0</v>
      </c>
      <c r="P357" s="92">
        <v>0</v>
      </c>
      <c r="Q357" s="98">
        <f t="shared" si="13"/>
        <v>0</v>
      </c>
      <c r="R357" s="99" t="str">
        <f>+IF(Q357+N357&lt;=0, "NO COMPRADOR", +IF(Q357&lt;=0, "SIN COMPRA "&amp;+UPPER(TEXT('DINAMICA ENERO 26'!$C$2,"mmm 'yy")), "COMPRADOR"))</f>
        <v>NO COMPRADOR</v>
      </c>
      <c r="T357" s="101"/>
      <c r="U357" s="100"/>
      <c r="V357" s="100"/>
    </row>
    <row r="358" spans="1:22" ht="14">
      <c r="A358" s="88" t="s">
        <v>85</v>
      </c>
      <c r="B358" s="89" t="s">
        <v>257</v>
      </c>
      <c r="C358" s="89" t="s">
        <v>43</v>
      </c>
      <c r="D358" s="110">
        <v>100089856</v>
      </c>
      <c r="E358" s="110" t="s">
        <v>49</v>
      </c>
      <c r="F358" s="89">
        <v>100061574</v>
      </c>
      <c r="G358" s="90" t="s">
        <v>438</v>
      </c>
      <c r="H358" s="91">
        <v>0</v>
      </c>
      <c r="I358" s="92">
        <v>0</v>
      </c>
      <c r="J358" s="93">
        <v>0</v>
      </c>
      <c r="K358" s="94">
        <v>0</v>
      </c>
      <c r="L358" s="94">
        <v>0</v>
      </c>
      <c r="M358" s="94">
        <v>0</v>
      </c>
      <c r="N358" s="102">
        <f t="shared" si="12"/>
        <v>0</v>
      </c>
      <c r="O358" s="97">
        <v>0</v>
      </c>
      <c r="P358" s="92">
        <v>0</v>
      </c>
      <c r="Q358" s="98">
        <f t="shared" si="13"/>
        <v>0</v>
      </c>
      <c r="R358" s="99" t="str">
        <f>+IF(Q358+N358&lt;=0, "NO COMPRADOR", +IF(Q358&lt;=0, "SIN COMPRA "&amp;+UPPER(TEXT('DINAMICA ENERO 26'!$C$2,"mmm 'yy")), "COMPRADOR"))</f>
        <v>NO COMPRADOR</v>
      </c>
      <c r="T358" s="101"/>
      <c r="U358" s="100"/>
      <c r="V358" s="100"/>
    </row>
    <row r="359" spans="1:22" ht="14">
      <c r="A359" s="88" t="s">
        <v>85</v>
      </c>
      <c r="B359" s="89" t="s">
        <v>257</v>
      </c>
      <c r="C359" s="89" t="s">
        <v>43</v>
      </c>
      <c r="D359" s="110">
        <v>100089856</v>
      </c>
      <c r="E359" s="110" t="s">
        <v>49</v>
      </c>
      <c r="F359" s="89">
        <v>100005860</v>
      </c>
      <c r="G359" s="90" t="s">
        <v>439</v>
      </c>
      <c r="H359" s="91">
        <v>0</v>
      </c>
      <c r="I359" s="92">
        <v>0</v>
      </c>
      <c r="J359" s="93">
        <v>0</v>
      </c>
      <c r="K359" s="94">
        <v>0</v>
      </c>
      <c r="L359" s="94">
        <v>0</v>
      </c>
      <c r="M359" s="94">
        <v>0</v>
      </c>
      <c r="N359" s="102">
        <f t="shared" si="12"/>
        <v>0</v>
      </c>
      <c r="O359" s="97">
        <v>0</v>
      </c>
      <c r="P359" s="92">
        <v>0</v>
      </c>
      <c r="Q359" s="98">
        <f t="shared" si="13"/>
        <v>0</v>
      </c>
      <c r="R359" s="99" t="str">
        <f>+IF(Q359+N359&lt;=0, "NO COMPRADOR", +IF(Q359&lt;=0, "SIN COMPRA "&amp;+UPPER(TEXT('DINAMICA ENERO 26'!$C$2,"mmm 'yy")), "COMPRADOR"))</f>
        <v>NO COMPRADOR</v>
      </c>
      <c r="T359" s="101"/>
      <c r="U359" s="100"/>
      <c r="V359" s="100"/>
    </row>
    <row r="360" spans="1:22" ht="14">
      <c r="A360" s="88" t="s">
        <v>85</v>
      </c>
      <c r="B360" s="89" t="s">
        <v>257</v>
      </c>
      <c r="C360" s="89" t="s">
        <v>43</v>
      </c>
      <c r="D360" s="103">
        <v>100067806</v>
      </c>
      <c r="E360" s="110" t="s">
        <v>50</v>
      </c>
      <c r="F360" s="89">
        <v>100086144</v>
      </c>
      <c r="G360" s="90" t="s">
        <v>440</v>
      </c>
      <c r="H360" s="91">
        <v>0</v>
      </c>
      <c r="I360" s="92">
        <v>0</v>
      </c>
      <c r="J360" s="93">
        <v>0</v>
      </c>
      <c r="K360" s="94">
        <v>0</v>
      </c>
      <c r="L360" s="94">
        <v>0</v>
      </c>
      <c r="M360" s="94">
        <v>0</v>
      </c>
      <c r="N360" s="102">
        <f t="shared" si="12"/>
        <v>0</v>
      </c>
      <c r="O360" s="97">
        <v>0</v>
      </c>
      <c r="P360" s="92">
        <v>0</v>
      </c>
      <c r="Q360" s="98">
        <f t="shared" si="13"/>
        <v>0</v>
      </c>
      <c r="R360" s="99" t="str">
        <f>+IF(Q360+N360&lt;=0, "NO COMPRADOR", +IF(Q360&lt;=0, "SIN COMPRA "&amp;+UPPER(TEXT('DINAMICA ENERO 26'!$C$2,"mmm 'yy")), "COMPRADOR"))</f>
        <v>NO COMPRADOR</v>
      </c>
      <c r="T360" s="101"/>
      <c r="U360" s="100"/>
      <c r="V360" s="100"/>
    </row>
    <row r="361" spans="1:22" ht="14">
      <c r="A361" s="88" t="s">
        <v>85</v>
      </c>
      <c r="B361" s="89" t="s">
        <v>257</v>
      </c>
      <c r="C361" s="89" t="s">
        <v>43</v>
      </c>
      <c r="D361" s="110">
        <v>100067806</v>
      </c>
      <c r="E361" s="110" t="s">
        <v>50</v>
      </c>
      <c r="F361" s="89">
        <v>100001431</v>
      </c>
      <c r="G361" s="90" t="s">
        <v>441</v>
      </c>
      <c r="H361" s="91">
        <v>0</v>
      </c>
      <c r="I361" s="92">
        <v>0</v>
      </c>
      <c r="J361" s="93">
        <v>0</v>
      </c>
      <c r="K361" s="94">
        <v>0</v>
      </c>
      <c r="L361" s="94">
        <v>0</v>
      </c>
      <c r="M361" s="94">
        <v>0</v>
      </c>
      <c r="N361" s="102">
        <f t="shared" si="12"/>
        <v>0</v>
      </c>
      <c r="O361" s="97">
        <v>0</v>
      </c>
      <c r="P361" s="92">
        <v>0</v>
      </c>
      <c r="Q361" s="98">
        <f t="shared" si="13"/>
        <v>0</v>
      </c>
      <c r="R361" s="99" t="str">
        <f>+IF(Q361+N361&lt;=0, "NO COMPRADOR", +IF(Q361&lt;=0, "SIN COMPRA "&amp;+UPPER(TEXT('DINAMICA ENERO 26'!$C$2,"mmm 'yy")), "COMPRADOR"))</f>
        <v>NO COMPRADOR</v>
      </c>
      <c r="T361" s="101"/>
      <c r="U361" s="100"/>
      <c r="V361" s="100"/>
    </row>
    <row r="362" spans="1:22" ht="14">
      <c r="A362" s="88" t="s">
        <v>85</v>
      </c>
      <c r="B362" s="89" t="s">
        <v>315</v>
      </c>
      <c r="C362" s="89" t="s">
        <v>43</v>
      </c>
      <c r="D362" s="110">
        <v>100063546</v>
      </c>
      <c r="E362" s="110" t="s">
        <v>46</v>
      </c>
      <c r="F362" s="89">
        <v>100083281</v>
      </c>
      <c r="G362" s="90" t="s">
        <v>442</v>
      </c>
      <c r="H362" s="91">
        <v>0</v>
      </c>
      <c r="I362" s="92">
        <v>0</v>
      </c>
      <c r="J362" s="93">
        <v>0</v>
      </c>
      <c r="K362" s="94">
        <v>0</v>
      </c>
      <c r="L362" s="94">
        <v>0</v>
      </c>
      <c r="M362" s="94">
        <v>0</v>
      </c>
      <c r="N362" s="102">
        <f t="shared" si="12"/>
        <v>0</v>
      </c>
      <c r="O362" s="97">
        <v>0</v>
      </c>
      <c r="P362" s="92">
        <v>0</v>
      </c>
      <c r="Q362" s="98">
        <f t="shared" si="13"/>
        <v>0</v>
      </c>
      <c r="R362" s="99" t="str">
        <f>+IF(Q362+N362&lt;=0, "NO COMPRADOR", +IF(Q362&lt;=0, "SIN COMPRA "&amp;+UPPER(TEXT('DINAMICA ENERO 26'!$C$2,"mmm 'yy")), "COMPRADOR"))</f>
        <v>NO COMPRADOR</v>
      </c>
      <c r="T362" s="101"/>
      <c r="U362" s="100"/>
      <c r="V362" s="100"/>
    </row>
    <row r="363" spans="1:22" ht="14">
      <c r="A363" s="88" t="s">
        <v>85</v>
      </c>
      <c r="B363" s="89" t="s">
        <v>351</v>
      </c>
      <c r="C363" s="89" t="s">
        <v>43</v>
      </c>
      <c r="D363" s="110">
        <v>100070275</v>
      </c>
      <c r="E363" s="110" t="s">
        <v>47</v>
      </c>
      <c r="F363" s="89">
        <v>100086676</v>
      </c>
      <c r="G363" s="90" t="s">
        <v>443</v>
      </c>
      <c r="H363" s="91">
        <v>0</v>
      </c>
      <c r="I363" s="92">
        <v>0</v>
      </c>
      <c r="J363" s="93">
        <v>0</v>
      </c>
      <c r="K363" s="94">
        <v>0</v>
      </c>
      <c r="L363" s="94">
        <v>0</v>
      </c>
      <c r="M363" s="94">
        <v>0</v>
      </c>
      <c r="N363" s="102">
        <f t="shared" si="12"/>
        <v>0</v>
      </c>
      <c r="O363" s="97">
        <v>0</v>
      </c>
      <c r="P363" s="92">
        <v>0</v>
      </c>
      <c r="Q363" s="98">
        <f t="shared" si="13"/>
        <v>0</v>
      </c>
      <c r="R363" s="99" t="str">
        <f>+IF(Q363+N363&lt;=0, "NO COMPRADOR", +IF(Q363&lt;=0, "SIN COMPRA "&amp;+UPPER(TEXT('DINAMICA ENERO 26'!$C$2,"mmm 'yy")), "COMPRADOR"))</f>
        <v>NO COMPRADOR</v>
      </c>
      <c r="T363" s="101"/>
      <c r="U363" s="100"/>
      <c r="V363" s="100"/>
    </row>
    <row r="364" spans="1:22" ht="14">
      <c r="A364" s="88" t="s">
        <v>85</v>
      </c>
      <c r="B364" s="89" t="s">
        <v>351</v>
      </c>
      <c r="C364" s="89" t="s">
        <v>43</v>
      </c>
      <c r="D364" s="110">
        <v>100070275</v>
      </c>
      <c r="E364" s="110" t="s">
        <v>47</v>
      </c>
      <c r="F364" s="89">
        <v>100001521</v>
      </c>
      <c r="G364" s="90" t="s">
        <v>444</v>
      </c>
      <c r="H364" s="91">
        <v>0</v>
      </c>
      <c r="I364" s="92">
        <v>0</v>
      </c>
      <c r="J364" s="93">
        <v>0</v>
      </c>
      <c r="K364" s="94">
        <v>0</v>
      </c>
      <c r="L364" s="94">
        <v>0</v>
      </c>
      <c r="M364" s="94">
        <v>0</v>
      </c>
      <c r="N364" s="102">
        <f t="shared" si="12"/>
        <v>0</v>
      </c>
      <c r="O364" s="97">
        <v>0</v>
      </c>
      <c r="P364" s="92">
        <v>0</v>
      </c>
      <c r="Q364" s="98">
        <f t="shared" si="13"/>
        <v>0</v>
      </c>
      <c r="R364" s="99" t="str">
        <f>+IF(Q364+N364&lt;=0, "NO COMPRADOR", +IF(Q364&lt;=0, "SIN COMPRA "&amp;+UPPER(TEXT('DINAMICA ENERO 26'!$C$2,"mmm 'yy")), "COMPRADOR"))</f>
        <v>NO COMPRADOR</v>
      </c>
      <c r="T364" s="101"/>
      <c r="U364" s="100"/>
      <c r="V364" s="100"/>
    </row>
    <row r="365" spans="1:22" ht="14">
      <c r="A365" s="88" t="s">
        <v>85</v>
      </c>
      <c r="B365" s="89" t="s">
        <v>351</v>
      </c>
      <c r="C365" s="89" t="s">
        <v>43</v>
      </c>
      <c r="D365" s="110">
        <v>100070276</v>
      </c>
      <c r="E365" s="110" t="s">
        <v>47</v>
      </c>
      <c r="F365" s="89">
        <v>100088142</v>
      </c>
      <c r="G365" s="90" t="s">
        <v>445</v>
      </c>
      <c r="H365" s="91">
        <v>0</v>
      </c>
      <c r="I365" s="92">
        <v>0</v>
      </c>
      <c r="J365" s="93">
        <v>0</v>
      </c>
      <c r="K365" s="94">
        <v>0</v>
      </c>
      <c r="L365" s="94">
        <v>0</v>
      </c>
      <c r="M365" s="94">
        <v>0</v>
      </c>
      <c r="N365" s="102">
        <f t="shared" si="12"/>
        <v>0</v>
      </c>
      <c r="O365" s="97">
        <v>0</v>
      </c>
      <c r="P365" s="92">
        <v>0</v>
      </c>
      <c r="Q365" s="98">
        <f t="shared" si="13"/>
        <v>0</v>
      </c>
      <c r="R365" s="99" t="str">
        <f>+IF(Q365+N365&lt;=0, "NO COMPRADOR", +IF(Q365&lt;=0, "SIN COMPRA "&amp;+UPPER(TEXT('DINAMICA ENERO 26'!$C$2,"mmm 'yy")), "COMPRADOR"))</f>
        <v>NO COMPRADOR</v>
      </c>
      <c r="T365" s="101"/>
      <c r="U365" s="100"/>
      <c r="V365" s="100"/>
    </row>
    <row r="366" spans="1:22" ht="14.5" thickBot="1">
      <c r="A366" s="111" t="s">
        <v>85</v>
      </c>
      <c r="B366" s="112" t="s">
        <v>351</v>
      </c>
      <c r="C366" s="112" t="s">
        <v>43</v>
      </c>
      <c r="D366" s="113">
        <v>100075073</v>
      </c>
      <c r="E366" s="113" t="s">
        <v>48</v>
      </c>
      <c r="F366" s="112">
        <v>100001336</v>
      </c>
      <c r="G366" s="114" t="s">
        <v>446</v>
      </c>
      <c r="H366" s="115">
        <v>0</v>
      </c>
      <c r="I366" s="116">
        <v>0</v>
      </c>
      <c r="J366" s="117">
        <v>0</v>
      </c>
      <c r="K366" s="118">
        <v>0</v>
      </c>
      <c r="L366" s="118">
        <v>0</v>
      </c>
      <c r="M366" s="118">
        <v>0</v>
      </c>
      <c r="N366" s="119">
        <f t="shared" si="12"/>
        <v>0</v>
      </c>
      <c r="O366" s="120">
        <v>0</v>
      </c>
      <c r="P366" s="116">
        <v>0</v>
      </c>
      <c r="Q366" s="121">
        <f t="shared" si="13"/>
        <v>0</v>
      </c>
      <c r="R366" s="122" t="str">
        <f>+IF(Q366+N366&lt;=0, "NO COMPRADOR", +IF(Q366&lt;=0, "SIN COMPRA "&amp;+UPPER(TEXT('DINAMICA ENERO 26'!$C$2,"mmm 'yy")), "COMPRADOR"))</f>
        <v>NO COMPRADOR</v>
      </c>
      <c r="T366" s="101"/>
      <c r="U366" s="100"/>
      <c r="V366" s="100"/>
    </row>
  </sheetData>
  <autoFilter ref="A2:W366" xr:uid="{00000000-0009-0000-0000-000001000000}"/>
  <conditionalFormatting sqref="N3:N327 Q3:Q327 N330 Q330 N332:N366 Q332:Q366">
    <cfRule type="cellIs" dxfId="6" priority="1" operator="lessThanOr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F514F-21E3-4948-BF57-EE6C9A41AB53}">
  <sheetPr filterMode="1">
    <tabColor rgb="FFFFFF00"/>
  </sheetPr>
  <dimension ref="A1:V366"/>
  <sheetViews>
    <sheetView showGridLines="0" topLeftCell="E1" zoomScale="80" zoomScaleNormal="80" workbookViewId="0">
      <selection activeCell="J12" sqref="J12"/>
    </sheetView>
  </sheetViews>
  <sheetFormatPr baseColWidth="10" defaultColWidth="10.90625" defaultRowHeight="13"/>
  <cols>
    <col min="1" max="1" width="10.90625" style="73"/>
    <col min="2" max="2" width="14" style="73" bestFit="1" customWidth="1"/>
    <col min="3" max="3" width="26.7265625" style="73" bestFit="1" customWidth="1"/>
    <col min="4" max="4" width="17.90625" style="133" customWidth="1"/>
    <col min="5" max="5" width="31.90625" style="73" bestFit="1" customWidth="1"/>
    <col min="6" max="6" width="21.90625" style="73" customWidth="1"/>
    <col min="7" max="7" width="49.453125" style="134" customWidth="1"/>
    <col min="8" max="14" width="10.36328125" style="73" customWidth="1"/>
    <col min="15" max="15" width="10.08984375" style="73" customWidth="1"/>
    <col min="16" max="16" width="10.90625" style="73" customWidth="1"/>
    <col min="17" max="17" width="9.6328125" style="73" customWidth="1"/>
    <col min="18" max="18" width="16.90625" style="73" bestFit="1" customWidth="1"/>
    <col min="19" max="19" width="0" style="73" hidden="1" customWidth="1"/>
    <col min="20" max="16384" width="10.90625" style="73"/>
  </cols>
  <sheetData>
    <row r="1" spans="1:22" ht="19" thickBot="1">
      <c r="A1" s="123" t="s">
        <v>447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72">
        <v>100520902</v>
      </c>
    </row>
    <row r="2" spans="1:22" s="127" customFormat="1" ht="39.5" thickBot="1">
      <c r="A2" s="74" t="s">
        <v>73</v>
      </c>
      <c r="B2" s="75" t="s">
        <v>74</v>
      </c>
      <c r="C2" s="75" t="s">
        <v>8</v>
      </c>
      <c r="D2" s="75" t="s">
        <v>75</v>
      </c>
      <c r="E2" s="75" t="s">
        <v>9</v>
      </c>
      <c r="F2" s="75" t="s">
        <v>76</v>
      </c>
      <c r="G2" s="124" t="s">
        <v>10</v>
      </c>
      <c r="H2" s="78" t="s">
        <v>448</v>
      </c>
      <c r="I2" s="81" t="s">
        <v>78</v>
      </c>
      <c r="J2" s="81" t="s">
        <v>79</v>
      </c>
      <c r="K2" s="81" t="s">
        <v>80</v>
      </c>
      <c r="L2" s="81" t="s">
        <v>81</v>
      </c>
      <c r="M2" s="81" t="s">
        <v>82</v>
      </c>
      <c r="N2" s="125" t="s">
        <v>83</v>
      </c>
      <c r="O2" s="83" t="str">
        <f>+UPPER(TEXT('DINAMICA ENERO 26'!$C$2,"mmm 'yy"))&amp;" FACT"</f>
        <v>FEB '26 FACT</v>
      </c>
      <c r="P2" s="84" t="str">
        <f>+UPPER(TEXT('DINAMICA ENERO 26'!$C$2,"mmm 'yy"))&amp;" PEND."</f>
        <v>FEB '26 PEND.</v>
      </c>
      <c r="Q2" s="85" t="str">
        <f>+UPPER(TEXT('DINAMICA ENERO 26'!$C$2,"mmm 'yy"))&amp;" TOTAL"</f>
        <v>FEB '26 TOTAL</v>
      </c>
      <c r="R2" s="126" t="s">
        <v>84</v>
      </c>
    </row>
    <row r="3" spans="1:22" s="100" customFormat="1" ht="14" hidden="1">
      <c r="A3" s="88" t="s">
        <v>85</v>
      </c>
      <c r="B3" s="89" t="s">
        <v>86</v>
      </c>
      <c r="C3" s="89" t="s">
        <v>60</v>
      </c>
      <c r="D3" s="89">
        <v>100077477</v>
      </c>
      <c r="E3" s="89" t="s">
        <v>65</v>
      </c>
      <c r="F3" s="89">
        <v>100086577</v>
      </c>
      <c r="G3" s="128" t="s">
        <v>87</v>
      </c>
      <c r="H3" s="91">
        <v>29.400000000000002</v>
      </c>
      <c r="I3" s="92">
        <v>0</v>
      </c>
      <c r="J3" s="93">
        <v>686</v>
      </c>
      <c r="K3" s="94">
        <v>49</v>
      </c>
      <c r="L3" s="94">
        <v>49</v>
      </c>
      <c r="M3" s="129">
        <v>0</v>
      </c>
      <c r="N3" s="102">
        <f t="shared" ref="N3:N66" si="0">+AVERAGE(K3:M3)</f>
        <v>32.666666666666664</v>
      </c>
      <c r="O3" s="130">
        <v>0</v>
      </c>
      <c r="P3" s="131">
        <v>0</v>
      </c>
      <c r="Q3" s="132">
        <f>+O3+P3</f>
        <v>0</v>
      </c>
      <c r="R3" s="102" t="str">
        <f>+IF(Q3+N3&lt;=0, "NO COMPRADOR", +IF(Q3&lt;=0, "SIN COMPRA "&amp;+UPPER(TEXT('DINAMICA ENERO 26'!$C$2,"mmm 'yy")), "COMPRADOR"))</f>
        <v>SIN COMPRA FEB '26</v>
      </c>
      <c r="T3" s="101"/>
    </row>
    <row r="4" spans="1:22" s="100" customFormat="1" ht="14" hidden="1">
      <c r="A4" s="88" t="s">
        <v>85</v>
      </c>
      <c r="B4" s="89" t="s">
        <v>86</v>
      </c>
      <c r="C4" s="89" t="s">
        <v>60</v>
      </c>
      <c r="D4" s="89">
        <v>100077477</v>
      </c>
      <c r="E4" s="89" t="s">
        <v>65</v>
      </c>
      <c r="F4" s="89">
        <v>100065731</v>
      </c>
      <c r="G4" s="128" t="s">
        <v>88</v>
      </c>
      <c r="H4" s="91">
        <v>0</v>
      </c>
      <c r="I4" s="92">
        <v>0</v>
      </c>
      <c r="J4" s="93">
        <v>0</v>
      </c>
      <c r="K4" s="94">
        <v>0</v>
      </c>
      <c r="L4" s="94">
        <v>0</v>
      </c>
      <c r="M4" s="129">
        <v>0</v>
      </c>
      <c r="N4" s="102">
        <f t="shared" si="0"/>
        <v>0</v>
      </c>
      <c r="O4" s="97">
        <v>0</v>
      </c>
      <c r="P4" s="92">
        <v>0</v>
      </c>
      <c r="Q4" s="98">
        <f t="shared" ref="Q4:Q67" si="1">+O4+P4</f>
        <v>0</v>
      </c>
      <c r="R4" s="102" t="str">
        <f>+IF(Q4+N4&lt;=0, "NO COMPRADOR", +IF(Q4&lt;=0, "SIN COMPRA "&amp;+UPPER(TEXT('DINAMICA ENERO 26'!$C$2,"mmm 'yy")), "COMPRADOR"))</f>
        <v>NO COMPRADOR</v>
      </c>
      <c r="T4" s="101"/>
    </row>
    <row r="5" spans="1:22" s="104" customFormat="1" ht="14" hidden="1">
      <c r="A5" s="88" t="s">
        <v>85</v>
      </c>
      <c r="B5" s="89" t="s">
        <v>86</v>
      </c>
      <c r="C5" s="89" t="s">
        <v>60</v>
      </c>
      <c r="D5" s="89">
        <v>100077477</v>
      </c>
      <c r="E5" s="89" t="s">
        <v>65</v>
      </c>
      <c r="F5" s="89">
        <v>100010095</v>
      </c>
      <c r="G5" s="128" t="s">
        <v>89</v>
      </c>
      <c r="H5" s="91">
        <v>0</v>
      </c>
      <c r="I5" s="92">
        <v>0</v>
      </c>
      <c r="J5" s="93">
        <v>0</v>
      </c>
      <c r="K5" s="94">
        <v>0</v>
      </c>
      <c r="L5" s="94">
        <v>0</v>
      </c>
      <c r="M5" s="129">
        <v>0</v>
      </c>
      <c r="N5" s="102">
        <f t="shared" si="0"/>
        <v>0</v>
      </c>
      <c r="O5" s="97">
        <v>0</v>
      </c>
      <c r="P5" s="92">
        <v>0</v>
      </c>
      <c r="Q5" s="98">
        <f t="shared" si="1"/>
        <v>0</v>
      </c>
      <c r="R5" s="102" t="str">
        <f>+IF(Q5+N5&lt;=0, "NO COMPRADOR", +IF(Q5&lt;=0, "SIN COMPRA "&amp;+UPPER(TEXT('DINAMICA ENERO 26'!$C$2,"mmm 'yy")), "COMPRADOR"))</f>
        <v>NO COMPRADOR</v>
      </c>
      <c r="S5" s="100"/>
      <c r="T5" s="101"/>
      <c r="U5" s="100"/>
      <c r="V5" s="100"/>
    </row>
    <row r="6" spans="1:22" s="100" customFormat="1" ht="14" hidden="1">
      <c r="A6" s="88" t="s">
        <v>85</v>
      </c>
      <c r="B6" s="89" t="s">
        <v>86</v>
      </c>
      <c r="C6" s="89" t="s">
        <v>60</v>
      </c>
      <c r="D6" s="89">
        <v>100077477</v>
      </c>
      <c r="E6" s="89" t="s">
        <v>65</v>
      </c>
      <c r="F6" s="89">
        <v>100079173</v>
      </c>
      <c r="G6" s="128" t="s">
        <v>90</v>
      </c>
      <c r="H6" s="91">
        <v>392</v>
      </c>
      <c r="I6" s="92">
        <v>235.20000000000002</v>
      </c>
      <c r="J6" s="93">
        <v>156.80000000000001</v>
      </c>
      <c r="K6" s="94">
        <v>98</v>
      </c>
      <c r="L6" s="94">
        <v>980</v>
      </c>
      <c r="M6" s="129">
        <v>460.6</v>
      </c>
      <c r="N6" s="102">
        <f t="shared" si="0"/>
        <v>512.86666666666667</v>
      </c>
      <c r="O6" s="97">
        <v>0</v>
      </c>
      <c r="P6" s="92">
        <v>196</v>
      </c>
      <c r="Q6" s="98">
        <f t="shared" si="1"/>
        <v>196</v>
      </c>
      <c r="R6" s="102" t="str">
        <f>+IF(Q6+N6&lt;=0, "NO COMPRADOR", +IF(Q6&lt;=0, "SIN COMPRA "&amp;+UPPER(TEXT('DINAMICA ENERO 26'!$C$2,"mmm 'yy")), "COMPRADOR"))</f>
        <v>COMPRADOR</v>
      </c>
      <c r="T6" s="101"/>
    </row>
    <row r="7" spans="1:22" s="100" customFormat="1" ht="14" hidden="1">
      <c r="A7" s="88" t="s">
        <v>85</v>
      </c>
      <c r="B7" s="89" t="s">
        <v>86</v>
      </c>
      <c r="C7" s="89" t="s">
        <v>60</v>
      </c>
      <c r="D7" s="89">
        <v>100077477</v>
      </c>
      <c r="E7" s="89" t="s">
        <v>65</v>
      </c>
      <c r="F7" s="89">
        <v>100079594</v>
      </c>
      <c r="G7" s="128" t="s">
        <v>91</v>
      </c>
      <c r="H7" s="91">
        <v>343</v>
      </c>
      <c r="I7" s="92">
        <v>196</v>
      </c>
      <c r="J7" s="93">
        <v>343</v>
      </c>
      <c r="K7" s="94">
        <v>196</v>
      </c>
      <c r="L7" s="94">
        <v>98</v>
      </c>
      <c r="M7" s="129">
        <v>392</v>
      </c>
      <c r="N7" s="102">
        <f t="shared" si="0"/>
        <v>228.66666666666666</v>
      </c>
      <c r="O7" s="97">
        <v>0</v>
      </c>
      <c r="P7" s="92">
        <v>0</v>
      </c>
      <c r="Q7" s="98">
        <f t="shared" si="1"/>
        <v>0</v>
      </c>
      <c r="R7" s="102" t="str">
        <f>+IF(Q7+N7&lt;=0, "NO COMPRADOR", +IF(Q7&lt;=0, "SIN COMPRA "&amp;+UPPER(TEXT('DINAMICA ENERO 26'!$C$2,"mmm 'yy")), "COMPRADOR"))</f>
        <v>SIN COMPRA FEB '26</v>
      </c>
      <c r="T7" s="101"/>
    </row>
    <row r="8" spans="1:22" s="100" customFormat="1" ht="14" hidden="1">
      <c r="A8" s="88" t="s">
        <v>85</v>
      </c>
      <c r="B8" s="89" t="s">
        <v>86</v>
      </c>
      <c r="C8" s="89" t="s">
        <v>60</v>
      </c>
      <c r="D8" s="89">
        <v>100077477</v>
      </c>
      <c r="E8" s="89" t="s">
        <v>65</v>
      </c>
      <c r="F8" s="89">
        <v>100078788</v>
      </c>
      <c r="G8" s="128" t="s">
        <v>92</v>
      </c>
      <c r="H8" s="91">
        <v>490</v>
      </c>
      <c r="I8" s="92">
        <v>460.6</v>
      </c>
      <c r="J8" s="93">
        <v>539</v>
      </c>
      <c r="K8" s="94">
        <v>343</v>
      </c>
      <c r="L8" s="94">
        <v>784</v>
      </c>
      <c r="M8" s="129">
        <v>588</v>
      </c>
      <c r="N8" s="102">
        <f t="shared" si="0"/>
        <v>571.66666666666663</v>
      </c>
      <c r="O8" s="97">
        <v>588</v>
      </c>
      <c r="P8" s="92">
        <v>0</v>
      </c>
      <c r="Q8" s="98">
        <f t="shared" si="1"/>
        <v>588</v>
      </c>
      <c r="R8" s="102" t="str">
        <f>+IF(Q8+N8&lt;=0, "NO COMPRADOR", +IF(Q8&lt;=0, "SIN COMPRA "&amp;+UPPER(TEXT('DINAMICA ENERO 26'!$C$2,"mmm 'yy")), "COMPRADOR"))</f>
        <v>COMPRADOR</v>
      </c>
      <c r="T8" s="101"/>
    </row>
    <row r="9" spans="1:22" s="100" customFormat="1" ht="14" hidden="1">
      <c r="A9" s="88" t="s">
        <v>85</v>
      </c>
      <c r="B9" s="89" t="s">
        <v>86</v>
      </c>
      <c r="C9" s="89" t="s">
        <v>60</v>
      </c>
      <c r="D9" s="89">
        <v>100077477</v>
      </c>
      <c r="E9" s="89" t="s">
        <v>65</v>
      </c>
      <c r="F9" s="89">
        <v>100084185</v>
      </c>
      <c r="G9" s="128" t="s">
        <v>93</v>
      </c>
      <c r="H9" s="91">
        <v>0</v>
      </c>
      <c r="I9" s="92">
        <v>147</v>
      </c>
      <c r="J9" s="93">
        <v>245</v>
      </c>
      <c r="K9" s="94">
        <v>196</v>
      </c>
      <c r="L9" s="94">
        <v>147</v>
      </c>
      <c r="M9" s="129">
        <v>196</v>
      </c>
      <c r="N9" s="102">
        <f t="shared" si="0"/>
        <v>179.66666666666666</v>
      </c>
      <c r="O9" s="97">
        <v>49</v>
      </c>
      <c r="P9" s="92">
        <v>0</v>
      </c>
      <c r="Q9" s="98">
        <f t="shared" si="1"/>
        <v>49</v>
      </c>
      <c r="R9" s="102" t="str">
        <f>+IF(Q9+N9&lt;=0, "NO COMPRADOR", +IF(Q9&lt;=0, "SIN COMPRA "&amp;+UPPER(TEXT('DINAMICA ENERO 26'!$C$2,"mmm 'yy")), "COMPRADOR"))</f>
        <v>COMPRADOR</v>
      </c>
      <c r="T9" s="101"/>
    </row>
    <row r="10" spans="1:22" s="104" customFormat="1" ht="14" hidden="1">
      <c r="A10" s="88" t="s">
        <v>85</v>
      </c>
      <c r="B10" s="89" t="s">
        <v>86</v>
      </c>
      <c r="C10" s="89" t="s">
        <v>60</v>
      </c>
      <c r="D10" s="89">
        <v>100077477</v>
      </c>
      <c r="E10" s="89" t="s">
        <v>65</v>
      </c>
      <c r="F10" s="89">
        <v>100087922</v>
      </c>
      <c r="G10" s="128" t="s">
        <v>94</v>
      </c>
      <c r="H10" s="91">
        <v>0</v>
      </c>
      <c r="I10" s="92">
        <v>0</v>
      </c>
      <c r="J10" s="93">
        <v>0</v>
      </c>
      <c r="K10" s="94">
        <v>0</v>
      </c>
      <c r="L10" s="94">
        <v>0</v>
      </c>
      <c r="M10" s="129">
        <v>0</v>
      </c>
      <c r="N10" s="102">
        <f t="shared" si="0"/>
        <v>0</v>
      </c>
      <c r="O10" s="97">
        <v>0</v>
      </c>
      <c r="P10" s="92">
        <v>0</v>
      </c>
      <c r="Q10" s="98">
        <f t="shared" si="1"/>
        <v>0</v>
      </c>
      <c r="R10" s="102" t="str">
        <f>+IF(Q10+N10&lt;=0, "NO COMPRADOR", +IF(Q10&lt;=0, "SIN COMPRA "&amp;+UPPER(TEXT('DINAMICA ENERO 26'!$C$2,"mmm 'yy")), "COMPRADOR"))</f>
        <v>NO COMPRADOR</v>
      </c>
      <c r="S10" s="100"/>
      <c r="T10" s="101"/>
      <c r="U10" s="100"/>
      <c r="V10" s="100"/>
    </row>
    <row r="11" spans="1:22" s="100" customFormat="1" ht="14" hidden="1">
      <c r="A11" s="88" t="s">
        <v>85</v>
      </c>
      <c r="B11" s="89" t="s">
        <v>86</v>
      </c>
      <c r="C11" s="89" t="s">
        <v>60</v>
      </c>
      <c r="D11" s="89">
        <v>100077477</v>
      </c>
      <c r="E11" s="89" t="s">
        <v>65</v>
      </c>
      <c r="F11" s="89">
        <v>100071741</v>
      </c>
      <c r="G11" s="128" t="s">
        <v>95</v>
      </c>
      <c r="H11" s="91">
        <v>0</v>
      </c>
      <c r="I11" s="92">
        <v>9.8000000000000007</v>
      </c>
      <c r="J11" s="93">
        <v>0</v>
      </c>
      <c r="K11" s="94">
        <v>0</v>
      </c>
      <c r="L11" s="94">
        <v>0</v>
      </c>
      <c r="M11" s="129">
        <v>0</v>
      </c>
      <c r="N11" s="102">
        <f t="shared" si="0"/>
        <v>0</v>
      </c>
      <c r="O11" s="97">
        <v>0</v>
      </c>
      <c r="P11" s="92">
        <v>0</v>
      </c>
      <c r="Q11" s="98">
        <f t="shared" si="1"/>
        <v>0</v>
      </c>
      <c r="R11" s="102" t="str">
        <f>+IF(Q11+N11&lt;=0, "NO COMPRADOR", +IF(Q11&lt;=0, "SIN COMPRA "&amp;+UPPER(TEXT('DINAMICA ENERO 26'!$C$2,"mmm 'yy")), "COMPRADOR"))</f>
        <v>NO COMPRADOR</v>
      </c>
      <c r="T11" s="101"/>
    </row>
    <row r="12" spans="1:22" s="100" customFormat="1" ht="14" hidden="1">
      <c r="A12" s="88" t="s">
        <v>85</v>
      </c>
      <c r="B12" s="89" t="s">
        <v>86</v>
      </c>
      <c r="C12" s="89" t="s">
        <v>60</v>
      </c>
      <c r="D12" s="89">
        <v>100077477</v>
      </c>
      <c r="E12" s="89" t="s">
        <v>65</v>
      </c>
      <c r="F12" s="89">
        <v>100075448</v>
      </c>
      <c r="G12" s="128" t="s">
        <v>96</v>
      </c>
      <c r="H12" s="91">
        <v>39.200000000000003</v>
      </c>
      <c r="I12" s="92">
        <v>19.600000000000001</v>
      </c>
      <c r="J12" s="93">
        <v>0</v>
      </c>
      <c r="K12" s="94">
        <v>0</v>
      </c>
      <c r="L12" s="94">
        <v>0</v>
      </c>
      <c r="M12" s="129">
        <v>0</v>
      </c>
      <c r="N12" s="102">
        <f t="shared" si="0"/>
        <v>0</v>
      </c>
      <c r="O12" s="97">
        <v>0</v>
      </c>
      <c r="P12" s="92">
        <v>0</v>
      </c>
      <c r="Q12" s="98">
        <f t="shared" si="1"/>
        <v>0</v>
      </c>
      <c r="R12" s="102" t="str">
        <f>+IF(Q12+N12&lt;=0, "NO COMPRADOR", +IF(Q12&lt;=0, "SIN COMPRA "&amp;+UPPER(TEXT('DINAMICA ENERO 26'!$C$2,"mmm 'yy")), "COMPRADOR"))</f>
        <v>NO COMPRADOR</v>
      </c>
      <c r="T12" s="101"/>
    </row>
    <row r="13" spans="1:22" s="100" customFormat="1" ht="14" hidden="1">
      <c r="A13" s="88" t="s">
        <v>85</v>
      </c>
      <c r="B13" s="89" t="s">
        <v>86</v>
      </c>
      <c r="C13" s="89" t="s">
        <v>60</v>
      </c>
      <c r="D13" s="89">
        <v>100077477</v>
      </c>
      <c r="E13" s="89" t="s">
        <v>65</v>
      </c>
      <c r="F13" s="89">
        <v>100089232</v>
      </c>
      <c r="G13" s="128" t="s">
        <v>97</v>
      </c>
      <c r="H13" s="91">
        <v>0</v>
      </c>
      <c r="I13" s="92">
        <v>49</v>
      </c>
      <c r="J13" s="93">
        <v>9.8000000000000007</v>
      </c>
      <c r="K13" s="94">
        <v>0</v>
      </c>
      <c r="L13" s="94">
        <v>0</v>
      </c>
      <c r="M13" s="129">
        <v>0</v>
      </c>
      <c r="N13" s="102">
        <f t="shared" si="0"/>
        <v>0</v>
      </c>
      <c r="O13" s="97">
        <v>0</v>
      </c>
      <c r="P13" s="92">
        <v>0</v>
      </c>
      <c r="Q13" s="98">
        <f t="shared" si="1"/>
        <v>0</v>
      </c>
      <c r="R13" s="102" t="str">
        <f>+IF(Q13+N13&lt;=0, "NO COMPRADOR", +IF(Q13&lt;=0, "SIN COMPRA "&amp;+UPPER(TEXT('DINAMICA ENERO 26'!$C$2,"mmm 'yy")), "COMPRADOR"))</f>
        <v>NO COMPRADOR</v>
      </c>
      <c r="T13" s="101"/>
    </row>
    <row r="14" spans="1:22" s="100" customFormat="1" ht="14" hidden="1">
      <c r="A14" s="88" t="s">
        <v>85</v>
      </c>
      <c r="B14" s="89" t="s">
        <v>98</v>
      </c>
      <c r="C14" s="89" t="s">
        <v>60</v>
      </c>
      <c r="D14" s="103">
        <v>100041217</v>
      </c>
      <c r="E14" s="89" t="s">
        <v>63</v>
      </c>
      <c r="F14" s="89">
        <v>100073953</v>
      </c>
      <c r="G14" s="128" t="s">
        <v>99</v>
      </c>
      <c r="H14" s="91">
        <v>0</v>
      </c>
      <c r="I14" s="92">
        <v>0</v>
      </c>
      <c r="J14" s="93">
        <v>0</v>
      </c>
      <c r="K14" s="94">
        <v>0</v>
      </c>
      <c r="L14" s="94">
        <v>0</v>
      </c>
      <c r="M14" s="129">
        <v>0</v>
      </c>
      <c r="N14" s="102">
        <f t="shared" si="0"/>
        <v>0</v>
      </c>
      <c r="O14" s="97">
        <v>0</v>
      </c>
      <c r="P14" s="92">
        <v>0</v>
      </c>
      <c r="Q14" s="98">
        <f t="shared" si="1"/>
        <v>0</v>
      </c>
      <c r="R14" s="102" t="str">
        <f>+IF(Q14+N14&lt;=0, "NO COMPRADOR", +IF(Q14&lt;=0, "SIN COMPRA "&amp;+UPPER(TEXT('DINAMICA ENERO 26'!$C$2,"mmm 'yy")), "COMPRADOR"))</f>
        <v>NO COMPRADOR</v>
      </c>
      <c r="T14" s="101"/>
    </row>
    <row r="15" spans="1:22" s="100" customFormat="1" ht="14" hidden="1">
      <c r="A15" s="88" t="s">
        <v>85</v>
      </c>
      <c r="B15" s="89" t="s">
        <v>98</v>
      </c>
      <c r="C15" s="89" t="s">
        <v>60</v>
      </c>
      <c r="D15" s="103">
        <v>100041217</v>
      </c>
      <c r="E15" s="89" t="s">
        <v>63</v>
      </c>
      <c r="F15" s="89">
        <v>100081405</v>
      </c>
      <c r="G15" s="128" t="s">
        <v>100</v>
      </c>
      <c r="H15" s="91">
        <v>294</v>
      </c>
      <c r="I15" s="92">
        <v>392</v>
      </c>
      <c r="J15" s="93">
        <v>196</v>
      </c>
      <c r="K15" s="94">
        <v>392</v>
      </c>
      <c r="L15" s="94">
        <v>294</v>
      </c>
      <c r="M15" s="129">
        <v>509.6</v>
      </c>
      <c r="N15" s="102">
        <f t="shared" si="0"/>
        <v>398.5333333333333</v>
      </c>
      <c r="O15" s="97">
        <v>392</v>
      </c>
      <c r="P15" s="92">
        <v>0</v>
      </c>
      <c r="Q15" s="98">
        <f t="shared" si="1"/>
        <v>392</v>
      </c>
      <c r="R15" s="102" t="str">
        <f>+IF(Q15+N15&lt;=0, "NO COMPRADOR", +IF(Q15&lt;=0, "SIN COMPRA "&amp;+UPPER(TEXT('DINAMICA ENERO 26'!$C$2,"mmm 'yy")), "COMPRADOR"))</f>
        <v>COMPRADOR</v>
      </c>
      <c r="T15" s="101"/>
    </row>
    <row r="16" spans="1:22" s="100" customFormat="1" ht="14" hidden="1">
      <c r="A16" s="88" t="s">
        <v>85</v>
      </c>
      <c r="B16" s="89" t="s">
        <v>98</v>
      </c>
      <c r="C16" s="89" t="s">
        <v>60</v>
      </c>
      <c r="D16" s="103">
        <v>100041217</v>
      </c>
      <c r="E16" s="89" t="s">
        <v>63</v>
      </c>
      <c r="F16" s="89">
        <v>100066079</v>
      </c>
      <c r="G16" s="128" t="s">
        <v>101</v>
      </c>
      <c r="H16" s="91">
        <v>588</v>
      </c>
      <c r="I16" s="92">
        <v>196</v>
      </c>
      <c r="J16" s="93">
        <v>98</v>
      </c>
      <c r="K16" s="94">
        <v>98</v>
      </c>
      <c r="L16" s="94">
        <v>686</v>
      </c>
      <c r="M16" s="129">
        <v>490</v>
      </c>
      <c r="N16" s="102">
        <f t="shared" si="0"/>
        <v>424.66666666666669</v>
      </c>
      <c r="O16" s="97">
        <v>0</v>
      </c>
      <c r="P16" s="92">
        <v>98</v>
      </c>
      <c r="Q16" s="98">
        <f t="shared" si="1"/>
        <v>98</v>
      </c>
      <c r="R16" s="102" t="str">
        <f>+IF(Q16+N16&lt;=0, "NO COMPRADOR", +IF(Q16&lt;=0, "SIN COMPRA "&amp;+UPPER(TEXT('DINAMICA ENERO 26'!$C$2,"mmm 'yy")), "COMPRADOR"))</f>
        <v>COMPRADOR</v>
      </c>
      <c r="T16" s="101"/>
    </row>
    <row r="17" spans="1:22" s="100" customFormat="1" ht="14" hidden="1">
      <c r="A17" s="88" t="s">
        <v>85</v>
      </c>
      <c r="B17" s="89" t="s">
        <v>98</v>
      </c>
      <c r="C17" s="89" t="s">
        <v>60</v>
      </c>
      <c r="D17" s="103">
        <v>100041217</v>
      </c>
      <c r="E17" s="89" t="s">
        <v>63</v>
      </c>
      <c r="F17" s="89">
        <v>100041131</v>
      </c>
      <c r="G17" s="128" t="s">
        <v>102</v>
      </c>
      <c r="H17" s="91">
        <v>735</v>
      </c>
      <c r="I17" s="92">
        <v>980.00000000000011</v>
      </c>
      <c r="J17" s="93">
        <v>882.00000000000011</v>
      </c>
      <c r="K17" s="94">
        <v>1176</v>
      </c>
      <c r="L17" s="94">
        <v>980.00000000000011</v>
      </c>
      <c r="M17" s="129">
        <v>1176</v>
      </c>
      <c r="N17" s="102">
        <f t="shared" si="0"/>
        <v>1110.6666666666667</v>
      </c>
      <c r="O17" s="97">
        <v>980.00000000000011</v>
      </c>
      <c r="P17" s="92">
        <v>0</v>
      </c>
      <c r="Q17" s="98">
        <f t="shared" si="1"/>
        <v>980.00000000000011</v>
      </c>
      <c r="R17" s="102" t="str">
        <f>+IF(Q17+N17&lt;=0, "NO COMPRADOR", +IF(Q17&lt;=0, "SIN COMPRA "&amp;+UPPER(TEXT('DINAMICA ENERO 26'!$C$2,"mmm 'yy")), "COMPRADOR"))</f>
        <v>COMPRADOR</v>
      </c>
      <c r="T17" s="101"/>
    </row>
    <row r="18" spans="1:22" s="104" customFormat="1" ht="14" hidden="1">
      <c r="A18" s="88" t="s">
        <v>85</v>
      </c>
      <c r="B18" s="89" t="s">
        <v>98</v>
      </c>
      <c r="C18" s="89" t="s">
        <v>60</v>
      </c>
      <c r="D18" s="103">
        <v>100041217</v>
      </c>
      <c r="E18" s="89" t="s">
        <v>63</v>
      </c>
      <c r="F18" s="89">
        <v>100012634</v>
      </c>
      <c r="G18" s="128" t="s">
        <v>103</v>
      </c>
      <c r="H18" s="91">
        <v>147</v>
      </c>
      <c r="I18" s="92">
        <v>0</v>
      </c>
      <c r="J18" s="93">
        <v>0</v>
      </c>
      <c r="K18" s="94">
        <v>78.400000000000006</v>
      </c>
      <c r="L18" s="94">
        <v>0</v>
      </c>
      <c r="M18" s="129">
        <v>0</v>
      </c>
      <c r="N18" s="102">
        <f t="shared" si="0"/>
        <v>26.133333333333336</v>
      </c>
      <c r="O18" s="97">
        <v>78.400000000000006</v>
      </c>
      <c r="P18" s="92">
        <v>0</v>
      </c>
      <c r="Q18" s="98">
        <f t="shared" si="1"/>
        <v>78.400000000000006</v>
      </c>
      <c r="R18" s="102" t="str">
        <f>+IF(Q18+N18&lt;=0, "NO COMPRADOR", +IF(Q18&lt;=0, "SIN COMPRA "&amp;+UPPER(TEXT('DINAMICA ENERO 26'!$C$2,"mmm 'yy")), "COMPRADOR"))</f>
        <v>COMPRADOR</v>
      </c>
      <c r="S18" s="100"/>
      <c r="T18" s="101"/>
      <c r="U18" s="100"/>
      <c r="V18" s="100"/>
    </row>
    <row r="19" spans="1:22" s="100" customFormat="1" ht="14" hidden="1">
      <c r="A19" s="88" t="s">
        <v>85</v>
      </c>
      <c r="B19" s="89" t="s">
        <v>98</v>
      </c>
      <c r="C19" s="89" t="s">
        <v>60</v>
      </c>
      <c r="D19" s="103">
        <v>100041217</v>
      </c>
      <c r="E19" s="89" t="s">
        <v>63</v>
      </c>
      <c r="F19" s="89">
        <v>100049700</v>
      </c>
      <c r="G19" s="128" t="s">
        <v>104</v>
      </c>
      <c r="H19" s="91">
        <v>0</v>
      </c>
      <c r="I19" s="92">
        <v>0</v>
      </c>
      <c r="J19" s="93">
        <v>0</v>
      </c>
      <c r="K19" s="94">
        <v>0</v>
      </c>
      <c r="L19" s="94">
        <v>0</v>
      </c>
      <c r="M19" s="129">
        <v>0</v>
      </c>
      <c r="N19" s="102">
        <f t="shared" si="0"/>
        <v>0</v>
      </c>
      <c r="O19" s="97">
        <v>0</v>
      </c>
      <c r="P19" s="92">
        <v>0</v>
      </c>
      <c r="Q19" s="98">
        <f t="shared" si="1"/>
        <v>0</v>
      </c>
      <c r="R19" s="102" t="str">
        <f>+IF(Q19+N19&lt;=0, "NO COMPRADOR", +IF(Q19&lt;=0, "SIN COMPRA "&amp;+UPPER(TEXT('DINAMICA ENERO 26'!$C$2,"mmm 'yy")), "COMPRADOR"))</f>
        <v>NO COMPRADOR</v>
      </c>
      <c r="T19" s="101"/>
    </row>
    <row r="20" spans="1:22" s="100" customFormat="1" ht="14" hidden="1">
      <c r="A20" s="88" t="s">
        <v>85</v>
      </c>
      <c r="B20" s="89" t="s">
        <v>105</v>
      </c>
      <c r="C20" s="89" t="s">
        <v>60</v>
      </c>
      <c r="D20" s="103">
        <v>100080146</v>
      </c>
      <c r="E20" s="89" t="s">
        <v>66</v>
      </c>
      <c r="F20" s="89">
        <v>100061718</v>
      </c>
      <c r="G20" s="128" t="s">
        <v>106</v>
      </c>
      <c r="H20" s="91">
        <v>49</v>
      </c>
      <c r="I20" s="92">
        <v>294</v>
      </c>
      <c r="J20" s="93">
        <v>392</v>
      </c>
      <c r="K20" s="94">
        <v>19.600000000000001</v>
      </c>
      <c r="L20" s="94">
        <v>303.8</v>
      </c>
      <c r="M20" s="129">
        <v>196</v>
      </c>
      <c r="N20" s="102">
        <f t="shared" si="0"/>
        <v>173.13333333333335</v>
      </c>
      <c r="O20" s="97">
        <v>0</v>
      </c>
      <c r="P20" s="92">
        <v>0</v>
      </c>
      <c r="Q20" s="98">
        <f t="shared" si="1"/>
        <v>0</v>
      </c>
      <c r="R20" s="102" t="str">
        <f>+IF(Q20+N20&lt;=0, "NO COMPRADOR", +IF(Q20&lt;=0, "SIN COMPRA "&amp;+UPPER(TEXT('DINAMICA ENERO 26'!$C$2,"mmm 'yy")), "COMPRADOR"))</f>
        <v>SIN COMPRA FEB '26</v>
      </c>
      <c r="T20" s="101"/>
    </row>
    <row r="21" spans="1:22" s="100" customFormat="1" ht="14" hidden="1">
      <c r="A21" s="88" t="s">
        <v>85</v>
      </c>
      <c r="B21" s="89" t="s">
        <v>105</v>
      </c>
      <c r="C21" s="89" t="s">
        <v>60</v>
      </c>
      <c r="D21" s="103">
        <v>100080146</v>
      </c>
      <c r="E21" s="89" t="s">
        <v>66</v>
      </c>
      <c r="F21" s="89">
        <v>100067160</v>
      </c>
      <c r="G21" s="128" t="s">
        <v>107</v>
      </c>
      <c r="H21" s="91">
        <v>490</v>
      </c>
      <c r="I21" s="92">
        <v>392</v>
      </c>
      <c r="J21" s="93">
        <v>490.00000000000006</v>
      </c>
      <c r="K21" s="94">
        <v>490</v>
      </c>
      <c r="L21" s="94">
        <v>205.8</v>
      </c>
      <c r="M21" s="129">
        <v>196</v>
      </c>
      <c r="N21" s="102">
        <f t="shared" si="0"/>
        <v>297.26666666666665</v>
      </c>
      <c r="O21" s="97">
        <v>0</v>
      </c>
      <c r="P21" s="92">
        <v>0</v>
      </c>
      <c r="Q21" s="98">
        <f t="shared" si="1"/>
        <v>0</v>
      </c>
      <c r="R21" s="102" t="str">
        <f>+IF(Q21+N21&lt;=0, "NO COMPRADOR", +IF(Q21&lt;=0, "SIN COMPRA "&amp;+UPPER(TEXT('DINAMICA ENERO 26'!$C$2,"mmm 'yy")), "COMPRADOR"))</f>
        <v>SIN COMPRA FEB '26</v>
      </c>
      <c r="T21" s="101"/>
    </row>
    <row r="22" spans="1:22" s="100" customFormat="1" ht="14" hidden="1">
      <c r="A22" s="88" t="s">
        <v>85</v>
      </c>
      <c r="B22" s="89" t="s">
        <v>105</v>
      </c>
      <c r="C22" s="89" t="s">
        <v>60</v>
      </c>
      <c r="D22" s="103">
        <v>100080146</v>
      </c>
      <c r="E22" s="89" t="s">
        <v>66</v>
      </c>
      <c r="F22" s="89">
        <v>100001763</v>
      </c>
      <c r="G22" s="128" t="s">
        <v>108</v>
      </c>
      <c r="H22" s="91">
        <v>539</v>
      </c>
      <c r="I22" s="92">
        <v>147</v>
      </c>
      <c r="J22" s="93">
        <v>245.00000000000003</v>
      </c>
      <c r="K22" s="94">
        <v>343</v>
      </c>
      <c r="L22" s="94">
        <v>98</v>
      </c>
      <c r="M22" s="129">
        <v>686</v>
      </c>
      <c r="N22" s="102">
        <f t="shared" si="0"/>
        <v>375.66666666666669</v>
      </c>
      <c r="O22" s="97">
        <v>0</v>
      </c>
      <c r="P22" s="92">
        <v>0</v>
      </c>
      <c r="Q22" s="98">
        <f t="shared" si="1"/>
        <v>0</v>
      </c>
      <c r="R22" s="102" t="str">
        <f>+IF(Q22+N22&lt;=0, "NO COMPRADOR", +IF(Q22&lt;=0, "SIN COMPRA "&amp;+UPPER(TEXT('DINAMICA ENERO 26'!$C$2,"mmm 'yy")), "COMPRADOR"))</f>
        <v>SIN COMPRA FEB '26</v>
      </c>
      <c r="T22" s="101"/>
    </row>
    <row r="23" spans="1:22" s="100" customFormat="1" ht="14" hidden="1">
      <c r="A23" s="88" t="s">
        <v>85</v>
      </c>
      <c r="B23" s="89" t="s">
        <v>105</v>
      </c>
      <c r="C23" s="89" t="s">
        <v>60</v>
      </c>
      <c r="D23" s="103">
        <v>100080146</v>
      </c>
      <c r="E23" s="89" t="s">
        <v>66</v>
      </c>
      <c r="F23" s="89">
        <v>100025425</v>
      </c>
      <c r="G23" s="128" t="s">
        <v>109</v>
      </c>
      <c r="H23" s="91">
        <v>0</v>
      </c>
      <c r="I23" s="92">
        <v>0</v>
      </c>
      <c r="J23" s="93">
        <v>0</v>
      </c>
      <c r="K23" s="94">
        <v>0</v>
      </c>
      <c r="L23" s="94">
        <v>0</v>
      </c>
      <c r="M23" s="129">
        <v>0</v>
      </c>
      <c r="N23" s="102">
        <f t="shared" si="0"/>
        <v>0</v>
      </c>
      <c r="O23" s="97">
        <v>0</v>
      </c>
      <c r="P23" s="92">
        <v>0</v>
      </c>
      <c r="Q23" s="98">
        <f t="shared" si="1"/>
        <v>0</v>
      </c>
      <c r="R23" s="102" t="str">
        <f>+IF(Q23+N23&lt;=0, "NO COMPRADOR", +IF(Q23&lt;=0, "SIN COMPRA "&amp;+UPPER(TEXT('DINAMICA ENERO 26'!$C$2,"mmm 'yy")), "COMPRADOR"))</f>
        <v>NO COMPRADOR</v>
      </c>
      <c r="T23" s="101"/>
    </row>
    <row r="24" spans="1:22" s="100" customFormat="1" ht="14" hidden="1">
      <c r="A24" s="88" t="s">
        <v>85</v>
      </c>
      <c r="B24" s="89" t="s">
        <v>105</v>
      </c>
      <c r="C24" s="89" t="s">
        <v>60</v>
      </c>
      <c r="D24" s="103">
        <v>100068884</v>
      </c>
      <c r="E24" s="89" t="s">
        <v>61</v>
      </c>
      <c r="F24" s="89">
        <v>100079808</v>
      </c>
      <c r="G24" s="128" t="s">
        <v>110</v>
      </c>
      <c r="H24" s="91">
        <v>989.8</v>
      </c>
      <c r="I24" s="92">
        <v>392</v>
      </c>
      <c r="J24" s="93">
        <v>490</v>
      </c>
      <c r="K24" s="94">
        <v>607.6</v>
      </c>
      <c r="L24" s="94">
        <v>784</v>
      </c>
      <c r="M24" s="129">
        <v>490</v>
      </c>
      <c r="N24" s="102">
        <f t="shared" si="0"/>
        <v>627.19999999999993</v>
      </c>
      <c r="O24" s="97">
        <v>588</v>
      </c>
      <c r="P24" s="92">
        <v>0</v>
      </c>
      <c r="Q24" s="98">
        <f t="shared" si="1"/>
        <v>588</v>
      </c>
      <c r="R24" s="102" t="str">
        <f>+IF(Q24+N24&lt;=0, "NO COMPRADOR", +IF(Q24&lt;=0, "SIN COMPRA "&amp;+UPPER(TEXT('DINAMICA ENERO 26'!$C$2,"mmm 'yy")), "COMPRADOR"))</f>
        <v>COMPRADOR</v>
      </c>
      <c r="T24" s="101"/>
    </row>
    <row r="25" spans="1:22" s="104" customFormat="1" ht="14" hidden="1">
      <c r="A25" s="88" t="s">
        <v>85</v>
      </c>
      <c r="B25" s="89" t="s">
        <v>105</v>
      </c>
      <c r="C25" s="89" t="s">
        <v>60</v>
      </c>
      <c r="D25" s="103">
        <v>100068884</v>
      </c>
      <c r="E25" s="89" t="s">
        <v>61</v>
      </c>
      <c r="F25" s="89">
        <v>100069053</v>
      </c>
      <c r="G25" s="128" t="s">
        <v>111</v>
      </c>
      <c r="H25" s="91">
        <v>29.400000000000002</v>
      </c>
      <c r="I25" s="92">
        <v>117.6</v>
      </c>
      <c r="J25" s="93">
        <v>98</v>
      </c>
      <c r="K25" s="94">
        <v>343</v>
      </c>
      <c r="L25" s="94">
        <v>137.20000000000002</v>
      </c>
      <c r="M25" s="129">
        <v>9.8000000000000007</v>
      </c>
      <c r="N25" s="102">
        <f t="shared" si="0"/>
        <v>163.33333333333334</v>
      </c>
      <c r="O25" s="97">
        <v>0</v>
      </c>
      <c r="P25" s="92">
        <v>0</v>
      </c>
      <c r="Q25" s="98">
        <f t="shared" si="1"/>
        <v>0</v>
      </c>
      <c r="R25" s="102" t="str">
        <f>+IF(Q25+N25&lt;=0, "NO COMPRADOR", +IF(Q25&lt;=0, "SIN COMPRA "&amp;+UPPER(TEXT('DINAMICA ENERO 26'!$C$2,"mmm 'yy")), "COMPRADOR"))</f>
        <v>SIN COMPRA FEB '26</v>
      </c>
      <c r="S25" s="100"/>
      <c r="T25" s="101"/>
      <c r="U25" s="100"/>
      <c r="V25" s="100"/>
    </row>
    <row r="26" spans="1:22" s="100" customFormat="1" ht="14" hidden="1">
      <c r="A26" s="88" t="s">
        <v>85</v>
      </c>
      <c r="B26" s="89" t="s">
        <v>105</v>
      </c>
      <c r="C26" s="89" t="s">
        <v>60</v>
      </c>
      <c r="D26" s="103">
        <v>100068884</v>
      </c>
      <c r="E26" s="89" t="s">
        <v>61</v>
      </c>
      <c r="F26" s="89">
        <v>100061654</v>
      </c>
      <c r="G26" s="128" t="s">
        <v>112</v>
      </c>
      <c r="H26" s="91">
        <v>68.599999999999994</v>
      </c>
      <c r="I26" s="92">
        <v>117.6</v>
      </c>
      <c r="J26" s="93">
        <v>0</v>
      </c>
      <c r="K26" s="94">
        <v>49</v>
      </c>
      <c r="L26" s="94">
        <v>19.600000000000001</v>
      </c>
      <c r="M26" s="129">
        <v>205.8</v>
      </c>
      <c r="N26" s="102">
        <f t="shared" si="0"/>
        <v>91.466666666666654</v>
      </c>
      <c r="O26" s="97">
        <v>499.8</v>
      </c>
      <c r="P26" s="92">
        <v>0</v>
      </c>
      <c r="Q26" s="98">
        <f t="shared" si="1"/>
        <v>499.8</v>
      </c>
      <c r="R26" s="102" t="str">
        <f>+IF(Q26+N26&lt;=0, "NO COMPRADOR", +IF(Q26&lt;=0, "SIN COMPRA "&amp;+UPPER(TEXT('DINAMICA ENERO 26'!$C$2,"mmm 'yy")), "COMPRADOR"))</f>
        <v>COMPRADOR</v>
      </c>
      <c r="T26" s="101"/>
    </row>
    <row r="27" spans="1:22" s="100" customFormat="1" ht="14" hidden="1">
      <c r="A27" s="88" t="s">
        <v>85</v>
      </c>
      <c r="B27" s="89" t="s">
        <v>113</v>
      </c>
      <c r="C27" s="89" t="s">
        <v>60</v>
      </c>
      <c r="D27" s="103">
        <v>100088165</v>
      </c>
      <c r="E27" s="89" t="s">
        <v>62</v>
      </c>
      <c r="F27" s="89">
        <v>100000073</v>
      </c>
      <c r="G27" s="128" t="s">
        <v>114</v>
      </c>
      <c r="H27" s="91">
        <v>294</v>
      </c>
      <c r="I27" s="92">
        <v>98</v>
      </c>
      <c r="J27" s="93">
        <v>196</v>
      </c>
      <c r="K27" s="94">
        <v>294</v>
      </c>
      <c r="L27" s="94">
        <v>294</v>
      </c>
      <c r="M27" s="129">
        <v>882</v>
      </c>
      <c r="N27" s="102">
        <f t="shared" si="0"/>
        <v>490</v>
      </c>
      <c r="O27" s="97">
        <v>1176</v>
      </c>
      <c r="P27" s="92">
        <v>0</v>
      </c>
      <c r="Q27" s="98">
        <f t="shared" si="1"/>
        <v>1176</v>
      </c>
      <c r="R27" s="102" t="str">
        <f>+IF(Q27+N27&lt;=0, "NO COMPRADOR", +IF(Q27&lt;=0, "SIN COMPRA "&amp;+UPPER(TEXT('DINAMICA ENERO 26'!$C$2,"mmm 'yy")), "COMPRADOR"))</f>
        <v>COMPRADOR</v>
      </c>
      <c r="T27" s="101"/>
    </row>
    <row r="28" spans="1:22" s="100" customFormat="1" ht="14" hidden="1">
      <c r="A28" s="88" t="s">
        <v>85</v>
      </c>
      <c r="B28" s="89" t="s">
        <v>113</v>
      </c>
      <c r="C28" s="89" t="s">
        <v>60</v>
      </c>
      <c r="D28" s="103">
        <v>100088165</v>
      </c>
      <c r="E28" s="89" t="s">
        <v>62</v>
      </c>
      <c r="F28" s="89">
        <v>100078580</v>
      </c>
      <c r="G28" s="128" t="s">
        <v>115</v>
      </c>
      <c r="H28" s="91">
        <v>0</v>
      </c>
      <c r="I28" s="92">
        <v>49</v>
      </c>
      <c r="J28" s="93">
        <v>29.400000000000002</v>
      </c>
      <c r="K28" s="94">
        <v>49</v>
      </c>
      <c r="L28" s="94">
        <v>0</v>
      </c>
      <c r="M28" s="129">
        <v>0</v>
      </c>
      <c r="N28" s="102">
        <f t="shared" si="0"/>
        <v>16.333333333333332</v>
      </c>
      <c r="O28" s="97">
        <v>0</v>
      </c>
      <c r="P28" s="92">
        <v>0</v>
      </c>
      <c r="Q28" s="98">
        <f t="shared" si="1"/>
        <v>0</v>
      </c>
      <c r="R28" s="102" t="str">
        <f>+IF(Q28+N28&lt;=0, "NO COMPRADOR", +IF(Q28&lt;=0, "SIN COMPRA "&amp;+UPPER(TEXT('DINAMICA ENERO 26'!$C$2,"mmm 'yy")), "COMPRADOR"))</f>
        <v>SIN COMPRA FEB '26</v>
      </c>
      <c r="T28" s="101"/>
    </row>
    <row r="29" spans="1:22" s="104" customFormat="1" ht="14" hidden="1">
      <c r="A29" s="88" t="s">
        <v>85</v>
      </c>
      <c r="B29" s="89" t="s">
        <v>113</v>
      </c>
      <c r="C29" s="89" t="s">
        <v>60</v>
      </c>
      <c r="D29" s="103">
        <v>100088165</v>
      </c>
      <c r="E29" s="89" t="s">
        <v>62</v>
      </c>
      <c r="F29" s="89">
        <v>100080926</v>
      </c>
      <c r="G29" s="128" t="s">
        <v>116</v>
      </c>
      <c r="H29" s="91">
        <v>686</v>
      </c>
      <c r="I29" s="92">
        <v>49</v>
      </c>
      <c r="J29" s="93">
        <v>98</v>
      </c>
      <c r="K29" s="94">
        <v>245</v>
      </c>
      <c r="L29" s="94">
        <v>392</v>
      </c>
      <c r="M29" s="129">
        <v>1176</v>
      </c>
      <c r="N29" s="102">
        <f t="shared" si="0"/>
        <v>604.33333333333337</v>
      </c>
      <c r="O29" s="97">
        <v>0</v>
      </c>
      <c r="P29" s="92">
        <v>0</v>
      </c>
      <c r="Q29" s="98">
        <f t="shared" si="1"/>
        <v>0</v>
      </c>
      <c r="R29" s="102" t="str">
        <f>+IF(Q29+N29&lt;=0, "NO COMPRADOR", +IF(Q29&lt;=0, "SIN COMPRA "&amp;+UPPER(TEXT('DINAMICA ENERO 26'!$C$2,"mmm 'yy")), "COMPRADOR"))</f>
        <v>SIN COMPRA FEB '26</v>
      </c>
      <c r="S29" s="100"/>
      <c r="T29" s="101"/>
      <c r="U29" s="100"/>
      <c r="V29" s="100"/>
    </row>
    <row r="30" spans="1:22" s="100" customFormat="1" ht="14" hidden="1">
      <c r="A30" s="88" t="s">
        <v>85</v>
      </c>
      <c r="B30" s="89" t="s">
        <v>113</v>
      </c>
      <c r="C30" s="89" t="s">
        <v>60</v>
      </c>
      <c r="D30" s="103">
        <v>100088165</v>
      </c>
      <c r="E30" s="89" t="s">
        <v>62</v>
      </c>
      <c r="F30" s="89">
        <v>100077115</v>
      </c>
      <c r="G30" s="128" t="s">
        <v>117</v>
      </c>
      <c r="H30" s="91">
        <v>0</v>
      </c>
      <c r="I30" s="92">
        <v>0</v>
      </c>
      <c r="J30" s="93">
        <v>0</v>
      </c>
      <c r="K30" s="94">
        <v>0</v>
      </c>
      <c r="L30" s="94">
        <v>0</v>
      </c>
      <c r="M30" s="129">
        <v>0</v>
      </c>
      <c r="N30" s="102">
        <f t="shared" si="0"/>
        <v>0</v>
      </c>
      <c r="O30" s="97">
        <v>0</v>
      </c>
      <c r="P30" s="92">
        <v>0</v>
      </c>
      <c r="Q30" s="98">
        <f t="shared" si="1"/>
        <v>0</v>
      </c>
      <c r="R30" s="102" t="str">
        <f>+IF(Q30+N30&lt;=0, "NO COMPRADOR", +IF(Q30&lt;=0, "SIN COMPRA "&amp;+UPPER(TEXT('DINAMICA ENERO 26'!$C$2,"mmm 'yy")), "COMPRADOR"))</f>
        <v>NO COMPRADOR</v>
      </c>
      <c r="T30" s="101"/>
    </row>
    <row r="31" spans="1:22" s="100" customFormat="1" ht="14" hidden="1">
      <c r="A31" s="88" t="s">
        <v>85</v>
      </c>
      <c r="B31" s="89" t="s">
        <v>113</v>
      </c>
      <c r="C31" s="89" t="s">
        <v>60</v>
      </c>
      <c r="D31" s="103">
        <v>100088165</v>
      </c>
      <c r="E31" s="89" t="s">
        <v>62</v>
      </c>
      <c r="F31" s="89">
        <v>100078578</v>
      </c>
      <c r="G31" s="128" t="s">
        <v>118</v>
      </c>
      <c r="H31" s="91">
        <v>49</v>
      </c>
      <c r="I31" s="92">
        <v>0</v>
      </c>
      <c r="J31" s="93">
        <v>39.200000000000003</v>
      </c>
      <c r="K31" s="94">
        <v>98</v>
      </c>
      <c r="L31" s="94">
        <v>19.600000000000001</v>
      </c>
      <c r="M31" s="129">
        <v>19.600000000000001</v>
      </c>
      <c r="N31" s="102">
        <f t="shared" si="0"/>
        <v>45.733333333333327</v>
      </c>
      <c r="O31" s="97">
        <v>0</v>
      </c>
      <c r="P31" s="92">
        <v>0</v>
      </c>
      <c r="Q31" s="98">
        <f t="shared" si="1"/>
        <v>0</v>
      </c>
      <c r="R31" s="102" t="str">
        <f>+IF(Q31+N31&lt;=0, "NO COMPRADOR", +IF(Q31&lt;=0, "SIN COMPRA "&amp;+UPPER(TEXT('DINAMICA ENERO 26'!$C$2,"mmm 'yy")), "COMPRADOR"))</f>
        <v>SIN COMPRA FEB '26</v>
      </c>
      <c r="T31" s="101"/>
    </row>
    <row r="32" spans="1:22" s="104" customFormat="1" ht="14" hidden="1">
      <c r="A32" s="88" t="s">
        <v>85</v>
      </c>
      <c r="B32" s="89" t="s">
        <v>113</v>
      </c>
      <c r="C32" s="89" t="s">
        <v>60</v>
      </c>
      <c r="D32" s="103">
        <v>100088165</v>
      </c>
      <c r="E32" s="89" t="s">
        <v>62</v>
      </c>
      <c r="F32" s="89">
        <v>100021337</v>
      </c>
      <c r="G32" s="128" t="s">
        <v>119</v>
      </c>
      <c r="H32" s="91">
        <v>39.200000000000003</v>
      </c>
      <c r="I32" s="92">
        <v>68.599999999999994</v>
      </c>
      <c r="J32" s="93">
        <v>0</v>
      </c>
      <c r="K32" s="94">
        <v>39.200000000000003</v>
      </c>
      <c r="L32" s="94">
        <v>39.200000000000003</v>
      </c>
      <c r="M32" s="129">
        <v>39.200000000000003</v>
      </c>
      <c r="N32" s="102">
        <f t="shared" si="0"/>
        <v>39.200000000000003</v>
      </c>
      <c r="O32" s="97">
        <v>9.8000000000000007</v>
      </c>
      <c r="P32" s="92">
        <v>0</v>
      </c>
      <c r="Q32" s="98">
        <f t="shared" si="1"/>
        <v>9.8000000000000007</v>
      </c>
      <c r="R32" s="102" t="str">
        <f>+IF(Q32+N32&lt;=0, "NO COMPRADOR", +IF(Q32&lt;=0, "SIN COMPRA "&amp;+UPPER(TEXT('DINAMICA ENERO 26'!$C$2,"mmm 'yy")), "COMPRADOR"))</f>
        <v>COMPRADOR</v>
      </c>
      <c r="S32" s="100"/>
      <c r="T32" s="101"/>
      <c r="U32" s="100"/>
      <c r="V32" s="100"/>
    </row>
    <row r="33" spans="1:22" s="104" customFormat="1" ht="14" hidden="1">
      <c r="A33" s="88" t="s">
        <v>85</v>
      </c>
      <c r="B33" s="89" t="s">
        <v>120</v>
      </c>
      <c r="C33" s="89" t="s">
        <v>52</v>
      </c>
      <c r="D33" s="103">
        <v>100088149</v>
      </c>
      <c r="E33" s="89" t="s">
        <v>56</v>
      </c>
      <c r="F33" s="89">
        <v>100002239</v>
      </c>
      <c r="G33" s="128" t="s">
        <v>121</v>
      </c>
      <c r="H33" s="91">
        <v>0</v>
      </c>
      <c r="I33" s="92">
        <v>0</v>
      </c>
      <c r="J33" s="93">
        <v>0</v>
      </c>
      <c r="K33" s="94">
        <v>0</v>
      </c>
      <c r="L33" s="94">
        <v>0</v>
      </c>
      <c r="M33" s="129">
        <v>0</v>
      </c>
      <c r="N33" s="102">
        <f t="shared" si="0"/>
        <v>0</v>
      </c>
      <c r="O33" s="97">
        <v>0</v>
      </c>
      <c r="P33" s="92">
        <v>0</v>
      </c>
      <c r="Q33" s="98">
        <f t="shared" si="1"/>
        <v>0</v>
      </c>
      <c r="R33" s="102" t="str">
        <f>+IF(Q33+N33&lt;=0, "NO COMPRADOR", +IF(Q33&lt;=0, "SIN COMPRA "&amp;+UPPER(TEXT('DINAMICA ENERO 26'!$C$2,"mmm 'yy")), "COMPRADOR"))</f>
        <v>NO COMPRADOR</v>
      </c>
      <c r="S33" s="100"/>
      <c r="T33" s="101"/>
      <c r="U33" s="100"/>
      <c r="V33" s="100"/>
    </row>
    <row r="34" spans="1:22" s="100" customFormat="1" ht="14" hidden="1">
      <c r="A34" s="88" t="s">
        <v>85</v>
      </c>
      <c r="B34" s="89" t="s">
        <v>120</v>
      </c>
      <c r="C34" s="89" t="s">
        <v>52</v>
      </c>
      <c r="D34" s="103">
        <v>100088149</v>
      </c>
      <c r="E34" s="89" t="s">
        <v>56</v>
      </c>
      <c r="F34" s="89">
        <v>100024103</v>
      </c>
      <c r="G34" s="128" t="s">
        <v>122</v>
      </c>
      <c r="H34" s="91">
        <v>0</v>
      </c>
      <c r="I34" s="92">
        <v>0</v>
      </c>
      <c r="J34" s="93">
        <v>0</v>
      </c>
      <c r="K34" s="94">
        <v>0</v>
      </c>
      <c r="L34" s="94">
        <v>0</v>
      </c>
      <c r="M34" s="129">
        <v>0</v>
      </c>
      <c r="N34" s="102">
        <f t="shared" si="0"/>
        <v>0</v>
      </c>
      <c r="O34" s="97">
        <v>0</v>
      </c>
      <c r="P34" s="92">
        <v>0</v>
      </c>
      <c r="Q34" s="98">
        <f t="shared" si="1"/>
        <v>0</v>
      </c>
      <c r="R34" s="102" t="str">
        <f>+IF(Q34+N34&lt;=0, "NO COMPRADOR", +IF(Q34&lt;=0, "SIN COMPRA "&amp;+UPPER(TEXT('DINAMICA ENERO 26'!$C$2,"mmm 'yy")), "COMPRADOR"))</f>
        <v>NO COMPRADOR</v>
      </c>
      <c r="T34" s="101"/>
    </row>
    <row r="35" spans="1:22" s="100" customFormat="1" ht="14" hidden="1">
      <c r="A35" s="88" t="s">
        <v>85</v>
      </c>
      <c r="B35" s="89" t="s">
        <v>120</v>
      </c>
      <c r="C35" s="89" t="s">
        <v>52</v>
      </c>
      <c r="D35" s="103">
        <v>100088149</v>
      </c>
      <c r="E35" s="89" t="s">
        <v>56</v>
      </c>
      <c r="F35" s="89">
        <v>100086135</v>
      </c>
      <c r="G35" s="128" t="s">
        <v>123</v>
      </c>
      <c r="H35" s="91">
        <v>0</v>
      </c>
      <c r="I35" s="92">
        <v>19.600000000000001</v>
      </c>
      <c r="J35" s="93">
        <v>19.600000000000001</v>
      </c>
      <c r="K35" s="94">
        <v>0</v>
      </c>
      <c r="L35" s="94">
        <v>0</v>
      </c>
      <c r="M35" s="129">
        <v>19.600000000000001</v>
      </c>
      <c r="N35" s="102">
        <f t="shared" si="0"/>
        <v>6.5333333333333341</v>
      </c>
      <c r="O35" s="97">
        <v>0</v>
      </c>
      <c r="P35" s="92">
        <v>0</v>
      </c>
      <c r="Q35" s="98">
        <f t="shared" si="1"/>
        <v>0</v>
      </c>
      <c r="R35" s="102" t="str">
        <f>+IF(Q35+N35&lt;=0, "NO COMPRADOR", +IF(Q35&lt;=0, "SIN COMPRA "&amp;+UPPER(TEXT('DINAMICA ENERO 26'!$C$2,"mmm 'yy")), "COMPRADOR"))</f>
        <v>SIN COMPRA FEB '26</v>
      </c>
      <c r="T35" s="101"/>
    </row>
    <row r="36" spans="1:22" s="100" customFormat="1" ht="14" hidden="1">
      <c r="A36" s="88" t="s">
        <v>85</v>
      </c>
      <c r="B36" s="89" t="s">
        <v>120</v>
      </c>
      <c r="C36" s="89" t="s">
        <v>52</v>
      </c>
      <c r="D36" s="103">
        <v>100088149</v>
      </c>
      <c r="E36" s="89" t="s">
        <v>56</v>
      </c>
      <c r="F36" s="89">
        <v>100077830</v>
      </c>
      <c r="G36" s="128" t="s">
        <v>124</v>
      </c>
      <c r="H36" s="91">
        <v>0</v>
      </c>
      <c r="I36" s="92">
        <v>0</v>
      </c>
      <c r="J36" s="93">
        <v>0</v>
      </c>
      <c r="K36" s="94">
        <v>0</v>
      </c>
      <c r="L36" s="94">
        <v>98</v>
      </c>
      <c r="M36" s="129">
        <v>0</v>
      </c>
      <c r="N36" s="102">
        <f t="shared" si="0"/>
        <v>32.666666666666664</v>
      </c>
      <c r="O36" s="97">
        <v>0</v>
      </c>
      <c r="P36" s="92">
        <v>0</v>
      </c>
      <c r="Q36" s="98">
        <f t="shared" si="1"/>
        <v>0</v>
      </c>
      <c r="R36" s="102" t="str">
        <f>+IF(Q36+N36&lt;=0, "NO COMPRADOR", +IF(Q36&lt;=0, "SIN COMPRA "&amp;+UPPER(TEXT('DINAMICA ENERO 26'!$C$2,"mmm 'yy")), "COMPRADOR"))</f>
        <v>SIN COMPRA FEB '26</v>
      </c>
      <c r="T36" s="101"/>
    </row>
    <row r="37" spans="1:22" s="100" customFormat="1" ht="14" hidden="1">
      <c r="A37" s="88" t="s">
        <v>85</v>
      </c>
      <c r="B37" s="89" t="s">
        <v>120</v>
      </c>
      <c r="C37" s="89" t="s">
        <v>52</v>
      </c>
      <c r="D37" s="103">
        <v>100088149</v>
      </c>
      <c r="E37" s="89" t="s">
        <v>56</v>
      </c>
      <c r="F37" s="89">
        <v>100066030</v>
      </c>
      <c r="G37" s="128" t="s">
        <v>125</v>
      </c>
      <c r="H37" s="91">
        <v>19.600000000000001</v>
      </c>
      <c r="I37" s="92">
        <v>0</v>
      </c>
      <c r="J37" s="93">
        <v>19.600000000000001</v>
      </c>
      <c r="K37" s="94">
        <v>0</v>
      </c>
      <c r="L37" s="94">
        <v>0</v>
      </c>
      <c r="M37" s="129">
        <v>0</v>
      </c>
      <c r="N37" s="102">
        <f t="shared" si="0"/>
        <v>0</v>
      </c>
      <c r="O37" s="97">
        <v>0</v>
      </c>
      <c r="P37" s="92">
        <v>0</v>
      </c>
      <c r="Q37" s="98">
        <f t="shared" si="1"/>
        <v>0</v>
      </c>
      <c r="R37" s="102" t="str">
        <f>+IF(Q37+N37&lt;=0, "NO COMPRADOR", +IF(Q37&lt;=0, "SIN COMPRA "&amp;+UPPER(TEXT('DINAMICA ENERO 26'!$C$2,"mmm 'yy")), "COMPRADOR"))</f>
        <v>NO COMPRADOR</v>
      </c>
      <c r="T37" s="101"/>
    </row>
    <row r="38" spans="1:22" s="100" customFormat="1" ht="14" hidden="1">
      <c r="A38" s="88" t="s">
        <v>85</v>
      </c>
      <c r="B38" s="89" t="s">
        <v>120</v>
      </c>
      <c r="C38" s="89" t="s">
        <v>52</v>
      </c>
      <c r="D38" s="103">
        <v>100088149</v>
      </c>
      <c r="E38" s="89" t="s">
        <v>56</v>
      </c>
      <c r="F38" s="89">
        <v>100085622</v>
      </c>
      <c r="G38" s="128" t="s">
        <v>126</v>
      </c>
      <c r="H38" s="91">
        <v>0</v>
      </c>
      <c r="I38" s="92">
        <v>0</v>
      </c>
      <c r="J38" s="93">
        <v>0</v>
      </c>
      <c r="K38" s="94">
        <v>0</v>
      </c>
      <c r="L38" s="94">
        <v>0</v>
      </c>
      <c r="M38" s="129">
        <v>0</v>
      </c>
      <c r="N38" s="102">
        <f t="shared" si="0"/>
        <v>0</v>
      </c>
      <c r="O38" s="97">
        <v>0</v>
      </c>
      <c r="P38" s="92">
        <v>0</v>
      </c>
      <c r="Q38" s="98">
        <f t="shared" si="1"/>
        <v>0</v>
      </c>
      <c r="R38" s="102" t="str">
        <f>+IF(Q38+N38&lt;=0, "NO COMPRADOR", +IF(Q38&lt;=0, "SIN COMPRA "&amp;+UPPER(TEXT('DINAMICA ENERO 26'!$C$2,"mmm 'yy")), "COMPRADOR"))</f>
        <v>NO COMPRADOR</v>
      </c>
      <c r="T38" s="101"/>
    </row>
    <row r="39" spans="1:22" s="104" customFormat="1" ht="14" hidden="1">
      <c r="A39" s="88" t="s">
        <v>85</v>
      </c>
      <c r="B39" s="89" t="s">
        <v>120</v>
      </c>
      <c r="C39" s="89" t="s">
        <v>52</v>
      </c>
      <c r="D39" s="103">
        <v>100088149</v>
      </c>
      <c r="E39" s="89" t="s">
        <v>56</v>
      </c>
      <c r="F39" s="89">
        <v>100079184</v>
      </c>
      <c r="G39" s="128" t="s">
        <v>127</v>
      </c>
      <c r="H39" s="91">
        <v>19.600000000000001</v>
      </c>
      <c r="I39" s="92">
        <v>9.8000000000000007</v>
      </c>
      <c r="J39" s="93">
        <v>0</v>
      </c>
      <c r="K39" s="94">
        <v>49</v>
      </c>
      <c r="L39" s="94">
        <v>0</v>
      </c>
      <c r="M39" s="129">
        <v>0</v>
      </c>
      <c r="N39" s="102">
        <f t="shared" si="0"/>
        <v>16.333333333333332</v>
      </c>
      <c r="O39" s="97">
        <v>49</v>
      </c>
      <c r="P39" s="92">
        <v>0</v>
      </c>
      <c r="Q39" s="98">
        <f t="shared" si="1"/>
        <v>49</v>
      </c>
      <c r="R39" s="102" t="str">
        <f>+IF(Q39+N39&lt;=0, "NO COMPRADOR", +IF(Q39&lt;=0, "SIN COMPRA "&amp;+UPPER(TEXT('DINAMICA ENERO 26'!$C$2,"mmm 'yy")), "COMPRADOR"))</f>
        <v>COMPRADOR</v>
      </c>
      <c r="S39" s="100"/>
      <c r="T39" s="101"/>
      <c r="U39" s="100"/>
      <c r="V39" s="100"/>
    </row>
    <row r="40" spans="1:22" s="104" customFormat="1" ht="14" hidden="1">
      <c r="A40" s="88" t="s">
        <v>85</v>
      </c>
      <c r="B40" s="89" t="s">
        <v>120</v>
      </c>
      <c r="C40" s="89" t="s">
        <v>52</v>
      </c>
      <c r="D40" s="103">
        <v>100088149</v>
      </c>
      <c r="E40" s="89" t="s">
        <v>56</v>
      </c>
      <c r="F40" s="89">
        <v>100071982</v>
      </c>
      <c r="G40" s="128" t="s">
        <v>128</v>
      </c>
      <c r="H40" s="91">
        <v>196</v>
      </c>
      <c r="I40" s="92">
        <v>98</v>
      </c>
      <c r="J40" s="93">
        <v>19.600000000000001</v>
      </c>
      <c r="K40" s="94">
        <v>107.8</v>
      </c>
      <c r="L40" s="94">
        <v>294</v>
      </c>
      <c r="M40" s="129">
        <v>98</v>
      </c>
      <c r="N40" s="102">
        <f t="shared" si="0"/>
        <v>166.6</v>
      </c>
      <c r="O40" s="97">
        <v>98</v>
      </c>
      <c r="P40" s="92">
        <v>0</v>
      </c>
      <c r="Q40" s="98">
        <f t="shared" si="1"/>
        <v>98</v>
      </c>
      <c r="R40" s="102" t="str">
        <f>+IF(Q40+N40&lt;=0, "NO COMPRADOR", +IF(Q40&lt;=0, "SIN COMPRA "&amp;+UPPER(TEXT('DINAMICA ENERO 26'!$C$2,"mmm 'yy")), "COMPRADOR"))</f>
        <v>COMPRADOR</v>
      </c>
      <c r="S40" s="100"/>
      <c r="T40" s="101"/>
      <c r="U40" s="100"/>
      <c r="V40" s="100"/>
    </row>
    <row r="41" spans="1:22" s="100" customFormat="1" ht="14" hidden="1">
      <c r="A41" s="88" t="s">
        <v>85</v>
      </c>
      <c r="B41" s="89" t="s">
        <v>120</v>
      </c>
      <c r="C41" s="89" t="s">
        <v>52</v>
      </c>
      <c r="D41" s="103">
        <v>100088149</v>
      </c>
      <c r="E41" s="89" t="s">
        <v>56</v>
      </c>
      <c r="F41" s="89">
        <v>100001605</v>
      </c>
      <c r="G41" s="128" t="s">
        <v>129</v>
      </c>
      <c r="H41" s="91">
        <v>39.200000000000003</v>
      </c>
      <c r="I41" s="92">
        <v>98</v>
      </c>
      <c r="J41" s="93">
        <v>98</v>
      </c>
      <c r="K41" s="94">
        <v>49</v>
      </c>
      <c r="L41" s="94">
        <v>19.600000000000001</v>
      </c>
      <c r="M41" s="129">
        <v>39.200000000000003</v>
      </c>
      <c r="N41" s="102">
        <f t="shared" si="0"/>
        <v>35.93333333333333</v>
      </c>
      <c r="O41" s="97">
        <v>0</v>
      </c>
      <c r="P41" s="92">
        <v>0</v>
      </c>
      <c r="Q41" s="98">
        <f t="shared" si="1"/>
        <v>0</v>
      </c>
      <c r="R41" s="102" t="str">
        <f>+IF(Q41+N41&lt;=0, "NO COMPRADOR", +IF(Q41&lt;=0, "SIN COMPRA "&amp;+UPPER(TEXT('DINAMICA ENERO 26'!$C$2,"mmm 'yy")), "COMPRADOR"))</f>
        <v>SIN COMPRA FEB '26</v>
      </c>
      <c r="T41" s="101"/>
    </row>
    <row r="42" spans="1:22" s="100" customFormat="1" ht="14" hidden="1">
      <c r="A42" s="88" t="s">
        <v>85</v>
      </c>
      <c r="B42" s="89" t="s">
        <v>120</v>
      </c>
      <c r="C42" s="89" t="s">
        <v>52</v>
      </c>
      <c r="D42" s="103">
        <v>100088149</v>
      </c>
      <c r="E42" s="89" t="s">
        <v>56</v>
      </c>
      <c r="F42" s="89">
        <v>100082658</v>
      </c>
      <c r="G42" s="128" t="s">
        <v>130</v>
      </c>
      <c r="H42" s="91">
        <v>98</v>
      </c>
      <c r="I42" s="92">
        <v>49</v>
      </c>
      <c r="J42" s="93">
        <v>0</v>
      </c>
      <c r="K42" s="94">
        <v>0</v>
      </c>
      <c r="L42" s="94">
        <v>0</v>
      </c>
      <c r="M42" s="129">
        <v>0</v>
      </c>
      <c r="N42" s="102">
        <f t="shared" si="0"/>
        <v>0</v>
      </c>
      <c r="O42" s="97">
        <v>0</v>
      </c>
      <c r="P42" s="92">
        <v>0</v>
      </c>
      <c r="Q42" s="98">
        <f t="shared" si="1"/>
        <v>0</v>
      </c>
      <c r="R42" s="102" t="str">
        <f>+IF(Q42+N42&lt;=0, "NO COMPRADOR", +IF(Q42&lt;=0, "SIN COMPRA "&amp;+UPPER(TEXT('DINAMICA ENERO 26'!$C$2,"mmm 'yy")), "COMPRADOR"))</f>
        <v>NO COMPRADOR</v>
      </c>
      <c r="T42" s="101"/>
    </row>
    <row r="43" spans="1:22" s="100" customFormat="1" ht="14" hidden="1">
      <c r="A43" s="88" t="s">
        <v>85</v>
      </c>
      <c r="B43" s="89" t="s">
        <v>120</v>
      </c>
      <c r="C43" s="89" t="s">
        <v>52</v>
      </c>
      <c r="D43" s="103">
        <v>100088149</v>
      </c>
      <c r="E43" s="89" t="s">
        <v>56</v>
      </c>
      <c r="F43" s="89">
        <v>100060564</v>
      </c>
      <c r="G43" s="128" t="s">
        <v>131</v>
      </c>
      <c r="H43" s="91">
        <v>0</v>
      </c>
      <c r="I43" s="92">
        <v>0</v>
      </c>
      <c r="J43" s="93">
        <v>0</v>
      </c>
      <c r="K43" s="94">
        <v>0</v>
      </c>
      <c r="L43" s="94">
        <v>0</v>
      </c>
      <c r="M43" s="129">
        <v>19.600000000000001</v>
      </c>
      <c r="N43" s="102">
        <f t="shared" si="0"/>
        <v>6.5333333333333341</v>
      </c>
      <c r="O43" s="97">
        <v>0</v>
      </c>
      <c r="P43" s="92">
        <v>0</v>
      </c>
      <c r="Q43" s="98">
        <f t="shared" si="1"/>
        <v>0</v>
      </c>
      <c r="R43" s="102" t="str">
        <f>+IF(Q43+N43&lt;=0, "NO COMPRADOR", +IF(Q43&lt;=0, "SIN COMPRA "&amp;+UPPER(TEXT('DINAMICA ENERO 26'!$C$2,"mmm 'yy")), "COMPRADOR"))</f>
        <v>SIN COMPRA FEB '26</v>
      </c>
      <c r="T43" s="101"/>
    </row>
    <row r="44" spans="1:22" s="100" customFormat="1" ht="14" hidden="1">
      <c r="A44" s="88" t="s">
        <v>85</v>
      </c>
      <c r="B44" s="89" t="s">
        <v>120</v>
      </c>
      <c r="C44" s="89" t="s">
        <v>52</v>
      </c>
      <c r="D44" s="103">
        <v>100088149</v>
      </c>
      <c r="E44" s="89" t="s">
        <v>56</v>
      </c>
      <c r="F44" s="89">
        <v>100001635</v>
      </c>
      <c r="G44" s="128" t="s">
        <v>132</v>
      </c>
      <c r="H44" s="91">
        <v>98</v>
      </c>
      <c r="I44" s="92">
        <v>245</v>
      </c>
      <c r="J44" s="93">
        <v>68.599999999999994</v>
      </c>
      <c r="K44" s="94">
        <v>294</v>
      </c>
      <c r="L44" s="94">
        <v>343</v>
      </c>
      <c r="M44" s="129">
        <v>196</v>
      </c>
      <c r="N44" s="102">
        <f t="shared" si="0"/>
        <v>277.66666666666669</v>
      </c>
      <c r="O44" s="97">
        <v>98</v>
      </c>
      <c r="P44" s="92">
        <v>0</v>
      </c>
      <c r="Q44" s="98">
        <f t="shared" si="1"/>
        <v>98</v>
      </c>
      <c r="R44" s="102" t="str">
        <f>+IF(Q44+N44&lt;=0, "NO COMPRADOR", +IF(Q44&lt;=0, "SIN COMPRA "&amp;+UPPER(TEXT('DINAMICA ENERO 26'!$C$2,"mmm 'yy")), "COMPRADOR"))</f>
        <v>COMPRADOR</v>
      </c>
      <c r="T44" s="101"/>
    </row>
    <row r="45" spans="1:22" s="104" customFormat="1" ht="14" hidden="1">
      <c r="A45" s="88" t="s">
        <v>85</v>
      </c>
      <c r="B45" s="89" t="s">
        <v>120</v>
      </c>
      <c r="C45" s="89" t="s">
        <v>52</v>
      </c>
      <c r="D45" s="103">
        <v>100088149</v>
      </c>
      <c r="E45" s="89" t="s">
        <v>56</v>
      </c>
      <c r="F45" s="89">
        <v>100001862</v>
      </c>
      <c r="G45" s="128" t="s">
        <v>133</v>
      </c>
      <c r="H45" s="91">
        <v>0</v>
      </c>
      <c r="I45" s="92">
        <v>49</v>
      </c>
      <c r="J45" s="93">
        <v>49</v>
      </c>
      <c r="K45" s="94">
        <v>39.200000000000003</v>
      </c>
      <c r="L45" s="94">
        <v>49</v>
      </c>
      <c r="M45" s="129">
        <v>49</v>
      </c>
      <c r="N45" s="102">
        <f t="shared" si="0"/>
        <v>45.733333333333327</v>
      </c>
      <c r="O45" s="97">
        <v>98</v>
      </c>
      <c r="P45" s="92">
        <v>0</v>
      </c>
      <c r="Q45" s="98">
        <f t="shared" si="1"/>
        <v>98</v>
      </c>
      <c r="R45" s="102" t="str">
        <f>+IF(Q45+N45&lt;=0, "NO COMPRADOR", +IF(Q45&lt;=0, "SIN COMPRA "&amp;+UPPER(TEXT('DINAMICA ENERO 26'!$C$2,"mmm 'yy")), "COMPRADOR"))</f>
        <v>COMPRADOR</v>
      </c>
      <c r="S45" s="100"/>
      <c r="T45" s="101"/>
      <c r="U45" s="100"/>
      <c r="V45" s="100"/>
    </row>
    <row r="46" spans="1:22" s="100" customFormat="1" ht="14" hidden="1">
      <c r="A46" s="88" t="s">
        <v>85</v>
      </c>
      <c r="B46" s="89" t="s">
        <v>120</v>
      </c>
      <c r="C46" s="89" t="s">
        <v>52</v>
      </c>
      <c r="D46" s="103">
        <v>100088149</v>
      </c>
      <c r="E46" s="89" t="s">
        <v>56</v>
      </c>
      <c r="F46" s="89">
        <v>100010026</v>
      </c>
      <c r="G46" s="128" t="s">
        <v>134</v>
      </c>
      <c r="H46" s="91">
        <v>19.600000000000001</v>
      </c>
      <c r="I46" s="92">
        <v>19.600000000000001</v>
      </c>
      <c r="J46" s="93">
        <v>-19.600000000000001</v>
      </c>
      <c r="K46" s="94">
        <v>0</v>
      </c>
      <c r="L46" s="94">
        <v>0</v>
      </c>
      <c r="M46" s="129">
        <v>0</v>
      </c>
      <c r="N46" s="102">
        <f t="shared" si="0"/>
        <v>0</v>
      </c>
      <c r="O46" s="97">
        <v>0</v>
      </c>
      <c r="P46" s="92">
        <v>0</v>
      </c>
      <c r="Q46" s="98">
        <f t="shared" si="1"/>
        <v>0</v>
      </c>
      <c r="R46" s="102" t="str">
        <f>+IF(Q46+N46&lt;=0, "NO COMPRADOR", +IF(Q46&lt;=0, "SIN COMPRA "&amp;+UPPER(TEXT('DINAMICA ENERO 26'!$C$2,"mmm 'yy")), "COMPRADOR"))</f>
        <v>NO COMPRADOR</v>
      </c>
      <c r="T46" s="101"/>
    </row>
    <row r="47" spans="1:22" s="100" customFormat="1" ht="14" hidden="1">
      <c r="A47" s="88" t="s">
        <v>85</v>
      </c>
      <c r="B47" s="89" t="s">
        <v>120</v>
      </c>
      <c r="C47" s="89" t="s">
        <v>52</v>
      </c>
      <c r="D47" s="103">
        <v>100088149</v>
      </c>
      <c r="E47" s="89" t="s">
        <v>56</v>
      </c>
      <c r="F47" s="89">
        <v>100064492</v>
      </c>
      <c r="G47" s="128" t="s">
        <v>135</v>
      </c>
      <c r="H47" s="91">
        <v>294</v>
      </c>
      <c r="I47" s="92">
        <v>294</v>
      </c>
      <c r="J47" s="93">
        <v>98</v>
      </c>
      <c r="K47" s="94">
        <v>196</v>
      </c>
      <c r="L47" s="94">
        <v>19.600000000000001</v>
      </c>
      <c r="M47" s="129">
        <v>0</v>
      </c>
      <c r="N47" s="102">
        <f t="shared" si="0"/>
        <v>71.86666666666666</v>
      </c>
      <c r="O47" s="97">
        <v>49</v>
      </c>
      <c r="P47" s="92">
        <v>0</v>
      </c>
      <c r="Q47" s="98">
        <f t="shared" si="1"/>
        <v>49</v>
      </c>
      <c r="R47" s="102" t="str">
        <f>+IF(Q47+N47&lt;=0, "NO COMPRADOR", +IF(Q47&lt;=0, "SIN COMPRA "&amp;+UPPER(TEXT('DINAMICA ENERO 26'!$C$2,"mmm 'yy")), "COMPRADOR"))</f>
        <v>COMPRADOR</v>
      </c>
      <c r="T47" s="101"/>
    </row>
    <row r="48" spans="1:22" s="100" customFormat="1" ht="14" hidden="1">
      <c r="A48" s="88" t="s">
        <v>85</v>
      </c>
      <c r="B48" s="89" t="s">
        <v>120</v>
      </c>
      <c r="C48" s="89" t="s">
        <v>52</v>
      </c>
      <c r="D48" s="103">
        <v>100088149</v>
      </c>
      <c r="E48" s="89" t="s">
        <v>56</v>
      </c>
      <c r="F48" s="89">
        <v>100084428</v>
      </c>
      <c r="G48" s="128" t="s">
        <v>136</v>
      </c>
      <c r="H48" s="91">
        <v>0</v>
      </c>
      <c r="I48" s="92">
        <v>0</v>
      </c>
      <c r="J48" s="93">
        <v>0</v>
      </c>
      <c r="K48" s="94">
        <v>0</v>
      </c>
      <c r="L48" s="94">
        <v>0</v>
      </c>
      <c r="M48" s="129">
        <v>0</v>
      </c>
      <c r="N48" s="102">
        <f t="shared" si="0"/>
        <v>0</v>
      </c>
      <c r="O48" s="97">
        <v>0</v>
      </c>
      <c r="P48" s="92">
        <v>0</v>
      </c>
      <c r="Q48" s="98">
        <f t="shared" si="1"/>
        <v>0</v>
      </c>
      <c r="R48" s="102" t="str">
        <f>+IF(Q48+N48&lt;=0, "NO COMPRADOR", +IF(Q48&lt;=0, "SIN COMPRA "&amp;+UPPER(TEXT('DINAMICA ENERO 26'!$C$2,"mmm 'yy")), "COMPRADOR"))</f>
        <v>NO COMPRADOR</v>
      </c>
      <c r="T48" s="101"/>
    </row>
    <row r="49" spans="1:22" s="100" customFormat="1" ht="14" hidden="1">
      <c r="A49" s="88" t="s">
        <v>85</v>
      </c>
      <c r="B49" s="89" t="s">
        <v>120</v>
      </c>
      <c r="C49" s="89" t="s">
        <v>52</v>
      </c>
      <c r="D49" s="103">
        <v>100088149</v>
      </c>
      <c r="E49" s="89" t="s">
        <v>56</v>
      </c>
      <c r="F49" s="89">
        <v>100088143</v>
      </c>
      <c r="G49" s="128" t="s">
        <v>137</v>
      </c>
      <c r="H49" s="91">
        <v>9.8000000000000007</v>
      </c>
      <c r="I49" s="92">
        <v>0</v>
      </c>
      <c r="J49" s="93">
        <v>0</v>
      </c>
      <c r="K49" s="94">
        <v>9.8000000000000007</v>
      </c>
      <c r="L49" s="94">
        <v>0</v>
      </c>
      <c r="M49" s="129">
        <v>0</v>
      </c>
      <c r="N49" s="102">
        <f t="shared" si="0"/>
        <v>3.2666666666666671</v>
      </c>
      <c r="O49" s="97">
        <v>0</v>
      </c>
      <c r="P49" s="92">
        <v>0</v>
      </c>
      <c r="Q49" s="98">
        <f t="shared" si="1"/>
        <v>0</v>
      </c>
      <c r="R49" s="102" t="str">
        <f>+IF(Q49+N49&lt;=0, "NO COMPRADOR", +IF(Q49&lt;=0, "SIN COMPRA "&amp;+UPPER(TEXT('DINAMICA ENERO 26'!$C$2,"mmm 'yy")), "COMPRADOR"))</f>
        <v>SIN COMPRA FEB '26</v>
      </c>
      <c r="T49" s="101"/>
    </row>
    <row r="50" spans="1:22" s="100" customFormat="1" ht="14" hidden="1">
      <c r="A50" s="88" t="s">
        <v>85</v>
      </c>
      <c r="B50" s="89" t="s">
        <v>120</v>
      </c>
      <c r="C50" s="89" t="s">
        <v>52</v>
      </c>
      <c r="D50" s="103">
        <v>100088149</v>
      </c>
      <c r="E50" s="89" t="s">
        <v>56</v>
      </c>
      <c r="F50" s="89">
        <v>100069360</v>
      </c>
      <c r="G50" s="128" t="s">
        <v>138</v>
      </c>
      <c r="H50" s="91">
        <v>98</v>
      </c>
      <c r="I50" s="92">
        <v>19.600000000000001</v>
      </c>
      <c r="J50" s="93">
        <v>19.600000000000001</v>
      </c>
      <c r="K50" s="94">
        <v>196</v>
      </c>
      <c r="L50" s="94">
        <v>0</v>
      </c>
      <c r="M50" s="129">
        <v>166.6</v>
      </c>
      <c r="N50" s="102">
        <f t="shared" si="0"/>
        <v>120.86666666666667</v>
      </c>
      <c r="O50" s="97">
        <v>0</v>
      </c>
      <c r="P50" s="92">
        <v>0</v>
      </c>
      <c r="Q50" s="98">
        <f t="shared" si="1"/>
        <v>0</v>
      </c>
      <c r="R50" s="102" t="str">
        <f>+IF(Q50+N50&lt;=0, "NO COMPRADOR", +IF(Q50&lt;=0, "SIN COMPRA "&amp;+UPPER(TEXT('DINAMICA ENERO 26'!$C$2,"mmm 'yy")), "COMPRADOR"))</f>
        <v>SIN COMPRA FEB '26</v>
      </c>
      <c r="T50" s="101"/>
    </row>
    <row r="51" spans="1:22" s="100" customFormat="1" ht="14" hidden="1">
      <c r="A51" s="88" t="s">
        <v>85</v>
      </c>
      <c r="B51" s="89" t="s">
        <v>120</v>
      </c>
      <c r="C51" s="89" t="s">
        <v>52</v>
      </c>
      <c r="D51" s="103">
        <v>100088149</v>
      </c>
      <c r="E51" s="89" t="s">
        <v>56</v>
      </c>
      <c r="F51" s="89">
        <v>100022632</v>
      </c>
      <c r="G51" s="128" t="s">
        <v>139</v>
      </c>
      <c r="H51" s="91">
        <v>98</v>
      </c>
      <c r="I51" s="92">
        <v>98</v>
      </c>
      <c r="J51" s="93">
        <v>156.80000000000001</v>
      </c>
      <c r="K51" s="94">
        <v>156.80000000000001</v>
      </c>
      <c r="L51" s="94">
        <v>196</v>
      </c>
      <c r="M51" s="129">
        <v>215.6</v>
      </c>
      <c r="N51" s="102">
        <f t="shared" si="0"/>
        <v>189.46666666666667</v>
      </c>
      <c r="O51" s="97">
        <v>98</v>
      </c>
      <c r="P51" s="92">
        <v>0</v>
      </c>
      <c r="Q51" s="98">
        <f t="shared" si="1"/>
        <v>98</v>
      </c>
      <c r="R51" s="102" t="str">
        <f>+IF(Q51+N51&lt;=0, "NO COMPRADOR", +IF(Q51&lt;=0, "SIN COMPRA "&amp;+UPPER(TEXT('DINAMICA ENERO 26'!$C$2,"mmm 'yy")), "COMPRADOR"))</f>
        <v>COMPRADOR</v>
      </c>
      <c r="T51" s="101"/>
    </row>
    <row r="52" spans="1:22" s="104" customFormat="1" ht="14" hidden="1">
      <c r="A52" s="88" t="s">
        <v>85</v>
      </c>
      <c r="B52" s="89" t="s">
        <v>120</v>
      </c>
      <c r="C52" s="89" t="s">
        <v>52</v>
      </c>
      <c r="D52" s="103">
        <v>100088149</v>
      </c>
      <c r="E52" s="89" t="s">
        <v>56</v>
      </c>
      <c r="F52" s="89">
        <v>100089326</v>
      </c>
      <c r="G52" s="128" t="s">
        <v>140</v>
      </c>
      <c r="H52" s="91">
        <v>392</v>
      </c>
      <c r="I52" s="92">
        <v>58.800000000000004</v>
      </c>
      <c r="J52" s="93">
        <v>117.6</v>
      </c>
      <c r="K52" s="94">
        <v>166.6</v>
      </c>
      <c r="L52" s="94">
        <v>196</v>
      </c>
      <c r="M52" s="129">
        <v>49</v>
      </c>
      <c r="N52" s="102">
        <f t="shared" si="0"/>
        <v>137.20000000000002</v>
      </c>
      <c r="O52" s="97">
        <v>147</v>
      </c>
      <c r="P52" s="92">
        <v>0</v>
      </c>
      <c r="Q52" s="98">
        <f t="shared" si="1"/>
        <v>147</v>
      </c>
      <c r="R52" s="102" t="str">
        <f>+IF(Q52+N52&lt;=0, "NO COMPRADOR", +IF(Q52&lt;=0, "SIN COMPRA "&amp;+UPPER(TEXT('DINAMICA ENERO 26'!$C$2,"mmm 'yy")), "COMPRADOR"))</f>
        <v>COMPRADOR</v>
      </c>
      <c r="S52" s="100"/>
      <c r="T52" s="101"/>
      <c r="U52" s="100"/>
      <c r="V52" s="100"/>
    </row>
    <row r="53" spans="1:22" s="100" customFormat="1" ht="14" hidden="1">
      <c r="A53" s="88" t="s">
        <v>85</v>
      </c>
      <c r="B53" s="89" t="s">
        <v>120</v>
      </c>
      <c r="C53" s="89" t="s">
        <v>52</v>
      </c>
      <c r="D53" s="103">
        <v>100088149</v>
      </c>
      <c r="E53" s="89" t="s">
        <v>56</v>
      </c>
      <c r="F53" s="89">
        <v>100001380</v>
      </c>
      <c r="G53" s="128" t="s">
        <v>141</v>
      </c>
      <c r="H53" s="91">
        <v>156.80000000000001</v>
      </c>
      <c r="I53" s="92">
        <v>78.400000000000006</v>
      </c>
      <c r="J53" s="93">
        <v>98</v>
      </c>
      <c r="K53" s="94">
        <v>107.80000000000001</v>
      </c>
      <c r="L53" s="94">
        <v>49</v>
      </c>
      <c r="M53" s="129">
        <v>176.4</v>
      </c>
      <c r="N53" s="102">
        <f t="shared" si="0"/>
        <v>111.06666666666668</v>
      </c>
      <c r="O53" s="97">
        <v>107.80000000000001</v>
      </c>
      <c r="P53" s="92">
        <v>0</v>
      </c>
      <c r="Q53" s="98">
        <f t="shared" si="1"/>
        <v>107.80000000000001</v>
      </c>
      <c r="R53" s="102" t="str">
        <f>+IF(Q53+N53&lt;=0, "NO COMPRADOR", +IF(Q53&lt;=0, "SIN COMPRA "&amp;+UPPER(TEXT('DINAMICA ENERO 26'!$C$2,"mmm 'yy")), "COMPRADOR"))</f>
        <v>COMPRADOR</v>
      </c>
      <c r="T53" s="101"/>
    </row>
    <row r="54" spans="1:22" s="100" customFormat="1" ht="14" hidden="1">
      <c r="A54" s="88" t="s">
        <v>85</v>
      </c>
      <c r="B54" s="89" t="s">
        <v>120</v>
      </c>
      <c r="C54" s="89" t="s">
        <v>52</v>
      </c>
      <c r="D54" s="103">
        <v>100079515</v>
      </c>
      <c r="E54" s="89" t="s">
        <v>53</v>
      </c>
      <c r="F54" s="89">
        <v>100070470</v>
      </c>
      <c r="G54" s="128" t="s">
        <v>142</v>
      </c>
      <c r="H54" s="91">
        <v>196</v>
      </c>
      <c r="I54" s="92">
        <v>19.600000000000001</v>
      </c>
      <c r="J54" s="93">
        <v>49</v>
      </c>
      <c r="K54" s="94">
        <v>19.600000000000001</v>
      </c>
      <c r="L54" s="94">
        <v>0</v>
      </c>
      <c r="M54" s="129">
        <v>19.600000000000001</v>
      </c>
      <c r="N54" s="102">
        <f t="shared" si="0"/>
        <v>13.066666666666668</v>
      </c>
      <c r="O54" s="97">
        <v>0</v>
      </c>
      <c r="P54" s="92">
        <v>19.600000000000001</v>
      </c>
      <c r="Q54" s="98">
        <f t="shared" si="1"/>
        <v>19.600000000000001</v>
      </c>
      <c r="R54" s="102" t="str">
        <f>+IF(Q54+N54&lt;=0, "NO COMPRADOR", +IF(Q54&lt;=0, "SIN COMPRA "&amp;+UPPER(TEXT('DINAMICA ENERO 26'!$C$2,"mmm 'yy")), "COMPRADOR"))</f>
        <v>COMPRADOR</v>
      </c>
      <c r="T54" s="101"/>
    </row>
    <row r="55" spans="1:22" s="104" customFormat="1" ht="14" hidden="1">
      <c r="A55" s="88" t="s">
        <v>85</v>
      </c>
      <c r="B55" s="89" t="s">
        <v>120</v>
      </c>
      <c r="C55" s="89" t="s">
        <v>52</v>
      </c>
      <c r="D55" s="103">
        <v>100079515</v>
      </c>
      <c r="E55" s="89" t="s">
        <v>53</v>
      </c>
      <c r="F55" s="89">
        <v>100082270</v>
      </c>
      <c r="G55" s="128" t="s">
        <v>143</v>
      </c>
      <c r="H55" s="91">
        <v>98</v>
      </c>
      <c r="I55" s="92">
        <v>98</v>
      </c>
      <c r="J55" s="93">
        <v>9.8000000000000007</v>
      </c>
      <c r="K55" s="94">
        <v>196</v>
      </c>
      <c r="L55" s="94">
        <v>117.60000000000001</v>
      </c>
      <c r="M55" s="129">
        <v>147</v>
      </c>
      <c r="N55" s="102">
        <f t="shared" si="0"/>
        <v>153.53333333333333</v>
      </c>
      <c r="O55" s="97">
        <v>0</v>
      </c>
      <c r="P55" s="92">
        <v>0</v>
      </c>
      <c r="Q55" s="98">
        <f t="shared" si="1"/>
        <v>0</v>
      </c>
      <c r="R55" s="102" t="str">
        <f>+IF(Q55+N55&lt;=0, "NO COMPRADOR", +IF(Q55&lt;=0, "SIN COMPRA "&amp;+UPPER(TEXT('DINAMICA ENERO 26'!$C$2,"mmm 'yy")), "COMPRADOR"))</f>
        <v>SIN COMPRA FEB '26</v>
      </c>
      <c r="S55" s="100"/>
      <c r="T55" s="101"/>
      <c r="U55" s="100"/>
      <c r="V55" s="100"/>
    </row>
    <row r="56" spans="1:22" s="100" customFormat="1" ht="14" hidden="1">
      <c r="A56" s="88" t="s">
        <v>85</v>
      </c>
      <c r="B56" s="89" t="s">
        <v>120</v>
      </c>
      <c r="C56" s="89" t="s">
        <v>52</v>
      </c>
      <c r="D56" s="103">
        <v>100079515</v>
      </c>
      <c r="E56" s="89" t="s">
        <v>53</v>
      </c>
      <c r="F56" s="89">
        <v>100080489</v>
      </c>
      <c r="G56" s="128" t="s">
        <v>144</v>
      </c>
      <c r="H56" s="91">
        <v>117.60000000000001</v>
      </c>
      <c r="I56" s="92">
        <v>19.600000000000001</v>
      </c>
      <c r="J56" s="93">
        <v>0</v>
      </c>
      <c r="K56" s="94">
        <v>98</v>
      </c>
      <c r="L56" s="94">
        <v>-88.2</v>
      </c>
      <c r="M56" s="129">
        <v>0</v>
      </c>
      <c r="N56" s="102">
        <f t="shared" si="0"/>
        <v>3.2666666666666657</v>
      </c>
      <c r="O56" s="97">
        <v>0</v>
      </c>
      <c r="P56" s="92">
        <v>0</v>
      </c>
      <c r="Q56" s="98">
        <f t="shared" si="1"/>
        <v>0</v>
      </c>
      <c r="R56" s="102" t="str">
        <f>+IF(Q56+N56&lt;=0, "NO COMPRADOR", +IF(Q56&lt;=0, "SIN COMPRA "&amp;+UPPER(TEXT('DINAMICA ENERO 26'!$C$2,"mmm 'yy")), "COMPRADOR"))</f>
        <v>SIN COMPRA FEB '26</v>
      </c>
      <c r="T56" s="101"/>
    </row>
    <row r="57" spans="1:22" s="104" customFormat="1" ht="14" hidden="1">
      <c r="A57" s="88" t="s">
        <v>85</v>
      </c>
      <c r="B57" s="89" t="s">
        <v>120</v>
      </c>
      <c r="C57" s="89" t="s">
        <v>52</v>
      </c>
      <c r="D57" s="103">
        <v>100079515</v>
      </c>
      <c r="E57" s="89" t="s">
        <v>53</v>
      </c>
      <c r="F57" s="89">
        <v>100080370</v>
      </c>
      <c r="G57" s="128" t="s">
        <v>145</v>
      </c>
      <c r="H57" s="91">
        <v>88.2</v>
      </c>
      <c r="I57" s="92">
        <v>88.2</v>
      </c>
      <c r="J57" s="93">
        <v>9.8000000000000007</v>
      </c>
      <c r="K57" s="94">
        <v>0</v>
      </c>
      <c r="L57" s="94">
        <v>0</v>
      </c>
      <c r="M57" s="129">
        <v>0</v>
      </c>
      <c r="N57" s="102">
        <f t="shared" si="0"/>
        <v>0</v>
      </c>
      <c r="O57" s="97">
        <v>0</v>
      </c>
      <c r="P57" s="92">
        <v>0</v>
      </c>
      <c r="Q57" s="98">
        <f t="shared" si="1"/>
        <v>0</v>
      </c>
      <c r="R57" s="102" t="str">
        <f>+IF(Q57+N57&lt;=0, "NO COMPRADOR", +IF(Q57&lt;=0, "SIN COMPRA "&amp;+UPPER(TEXT('DINAMICA ENERO 26'!$C$2,"mmm 'yy")), "COMPRADOR"))</f>
        <v>NO COMPRADOR</v>
      </c>
      <c r="S57" s="100"/>
      <c r="T57" s="101"/>
      <c r="U57" s="100"/>
      <c r="V57" s="100"/>
    </row>
    <row r="58" spans="1:22" s="100" customFormat="1" ht="14" hidden="1">
      <c r="A58" s="88" t="s">
        <v>85</v>
      </c>
      <c r="B58" s="89" t="s">
        <v>120</v>
      </c>
      <c r="C58" s="89" t="s">
        <v>52</v>
      </c>
      <c r="D58" s="103">
        <v>100079515</v>
      </c>
      <c r="E58" s="89" t="s">
        <v>53</v>
      </c>
      <c r="F58" s="89">
        <v>100083809</v>
      </c>
      <c r="G58" s="128" t="s">
        <v>146</v>
      </c>
      <c r="H58" s="91">
        <v>0</v>
      </c>
      <c r="I58" s="92">
        <v>0</v>
      </c>
      <c r="J58" s="93">
        <v>0</v>
      </c>
      <c r="K58" s="94">
        <v>0</v>
      </c>
      <c r="L58" s="94">
        <v>0</v>
      </c>
      <c r="M58" s="129">
        <v>0</v>
      </c>
      <c r="N58" s="102">
        <f t="shared" si="0"/>
        <v>0</v>
      </c>
      <c r="O58" s="97">
        <v>0</v>
      </c>
      <c r="P58" s="92">
        <v>0</v>
      </c>
      <c r="Q58" s="98">
        <f t="shared" si="1"/>
        <v>0</v>
      </c>
      <c r="R58" s="102" t="str">
        <f>+IF(Q58+N58&lt;=0, "NO COMPRADOR", +IF(Q58&lt;=0, "SIN COMPRA "&amp;+UPPER(TEXT('DINAMICA ENERO 26'!$C$2,"mmm 'yy")), "COMPRADOR"))</f>
        <v>NO COMPRADOR</v>
      </c>
      <c r="T58" s="101"/>
    </row>
    <row r="59" spans="1:22" s="100" customFormat="1" ht="14" hidden="1">
      <c r="A59" s="88" t="s">
        <v>85</v>
      </c>
      <c r="B59" s="89" t="s">
        <v>120</v>
      </c>
      <c r="C59" s="89" t="s">
        <v>52</v>
      </c>
      <c r="D59" s="103">
        <v>100079515</v>
      </c>
      <c r="E59" s="89" t="s">
        <v>53</v>
      </c>
      <c r="F59" s="89">
        <v>100082448</v>
      </c>
      <c r="G59" s="128" t="s">
        <v>147</v>
      </c>
      <c r="H59" s="91">
        <v>0</v>
      </c>
      <c r="I59" s="92">
        <v>0</v>
      </c>
      <c r="J59" s="93">
        <v>19.600000000000001</v>
      </c>
      <c r="K59" s="94">
        <v>0</v>
      </c>
      <c r="L59" s="94">
        <v>0</v>
      </c>
      <c r="M59" s="129">
        <v>0</v>
      </c>
      <c r="N59" s="102">
        <f t="shared" si="0"/>
        <v>0</v>
      </c>
      <c r="O59" s="97">
        <v>0</v>
      </c>
      <c r="P59" s="92">
        <v>0</v>
      </c>
      <c r="Q59" s="98">
        <f t="shared" si="1"/>
        <v>0</v>
      </c>
      <c r="R59" s="102" t="str">
        <f>+IF(Q59+N59&lt;=0, "NO COMPRADOR", +IF(Q59&lt;=0, "SIN COMPRA "&amp;+UPPER(TEXT('DINAMICA ENERO 26'!$C$2,"mmm 'yy")), "COMPRADOR"))</f>
        <v>NO COMPRADOR</v>
      </c>
      <c r="T59" s="101"/>
    </row>
    <row r="60" spans="1:22" s="100" customFormat="1" ht="14" hidden="1">
      <c r="A60" s="88" t="s">
        <v>85</v>
      </c>
      <c r="B60" s="89" t="s">
        <v>120</v>
      </c>
      <c r="C60" s="89" t="s">
        <v>52</v>
      </c>
      <c r="D60" s="103">
        <v>100079515</v>
      </c>
      <c r="E60" s="89" t="s">
        <v>53</v>
      </c>
      <c r="F60" s="89">
        <v>100079845</v>
      </c>
      <c r="G60" s="128" t="s">
        <v>148</v>
      </c>
      <c r="H60" s="91">
        <v>196</v>
      </c>
      <c r="I60" s="92">
        <v>196</v>
      </c>
      <c r="J60" s="93">
        <v>343</v>
      </c>
      <c r="K60" s="94">
        <v>264.60000000000002</v>
      </c>
      <c r="L60" s="94">
        <v>98</v>
      </c>
      <c r="M60" s="129">
        <v>245</v>
      </c>
      <c r="N60" s="102">
        <f t="shared" si="0"/>
        <v>202.53333333333333</v>
      </c>
      <c r="O60" s="97">
        <v>196</v>
      </c>
      <c r="P60" s="92">
        <v>0</v>
      </c>
      <c r="Q60" s="98">
        <f t="shared" si="1"/>
        <v>196</v>
      </c>
      <c r="R60" s="102" t="str">
        <f>+IF(Q60+N60&lt;=0, "NO COMPRADOR", +IF(Q60&lt;=0, "SIN COMPRA "&amp;+UPPER(TEXT('DINAMICA ENERO 26'!$C$2,"mmm 'yy")), "COMPRADOR"))</f>
        <v>COMPRADOR</v>
      </c>
      <c r="T60" s="101"/>
    </row>
    <row r="61" spans="1:22" s="100" customFormat="1" ht="14" hidden="1">
      <c r="A61" s="88" t="s">
        <v>85</v>
      </c>
      <c r="B61" s="89" t="s">
        <v>120</v>
      </c>
      <c r="C61" s="89" t="s">
        <v>52</v>
      </c>
      <c r="D61" s="103">
        <v>100079515</v>
      </c>
      <c r="E61" s="89" t="s">
        <v>53</v>
      </c>
      <c r="F61" s="89">
        <v>100002289</v>
      </c>
      <c r="G61" s="128" t="s">
        <v>149</v>
      </c>
      <c r="H61" s="91">
        <v>0</v>
      </c>
      <c r="I61" s="92">
        <v>0</v>
      </c>
      <c r="J61" s="93">
        <v>9.8000000000000007</v>
      </c>
      <c r="K61" s="94">
        <v>0</v>
      </c>
      <c r="L61" s="94">
        <v>9.8000000000000007</v>
      </c>
      <c r="M61" s="129">
        <v>0</v>
      </c>
      <c r="N61" s="102">
        <f t="shared" si="0"/>
        <v>3.2666666666666671</v>
      </c>
      <c r="O61" s="97">
        <v>0</v>
      </c>
      <c r="P61" s="92">
        <v>0</v>
      </c>
      <c r="Q61" s="98">
        <f t="shared" si="1"/>
        <v>0</v>
      </c>
      <c r="R61" s="102" t="str">
        <f>+IF(Q61+N61&lt;=0, "NO COMPRADOR", +IF(Q61&lt;=0, "SIN COMPRA "&amp;+UPPER(TEXT('DINAMICA ENERO 26'!$C$2,"mmm 'yy")), "COMPRADOR"))</f>
        <v>SIN COMPRA FEB '26</v>
      </c>
      <c r="T61" s="101"/>
    </row>
    <row r="62" spans="1:22" s="104" customFormat="1" ht="14" hidden="1">
      <c r="A62" s="88" t="s">
        <v>85</v>
      </c>
      <c r="B62" s="89" t="s">
        <v>120</v>
      </c>
      <c r="C62" s="89" t="s">
        <v>52</v>
      </c>
      <c r="D62" s="103">
        <v>100079515</v>
      </c>
      <c r="E62" s="89" t="s">
        <v>53</v>
      </c>
      <c r="F62" s="89">
        <v>100078959</v>
      </c>
      <c r="G62" s="128" t="s">
        <v>150</v>
      </c>
      <c r="H62" s="91">
        <v>19.600000000000001</v>
      </c>
      <c r="I62" s="92">
        <v>9.8000000000000007</v>
      </c>
      <c r="J62" s="93">
        <v>9.8000000000000007</v>
      </c>
      <c r="K62" s="94">
        <v>0</v>
      </c>
      <c r="L62" s="94">
        <v>9.8000000000000007</v>
      </c>
      <c r="M62" s="129">
        <v>0</v>
      </c>
      <c r="N62" s="102">
        <f t="shared" si="0"/>
        <v>3.2666666666666671</v>
      </c>
      <c r="O62" s="97">
        <v>0</v>
      </c>
      <c r="P62" s="92">
        <v>0</v>
      </c>
      <c r="Q62" s="98">
        <f t="shared" si="1"/>
        <v>0</v>
      </c>
      <c r="R62" s="102" t="str">
        <f>+IF(Q62+N62&lt;=0, "NO COMPRADOR", +IF(Q62&lt;=0, "SIN COMPRA "&amp;+UPPER(TEXT('DINAMICA ENERO 26'!$C$2,"mmm 'yy")), "COMPRADOR"))</f>
        <v>SIN COMPRA FEB '26</v>
      </c>
      <c r="S62" s="100"/>
      <c r="T62" s="101"/>
      <c r="U62" s="100"/>
      <c r="V62" s="100"/>
    </row>
    <row r="63" spans="1:22" s="100" customFormat="1" ht="14" hidden="1">
      <c r="A63" s="88" t="s">
        <v>85</v>
      </c>
      <c r="B63" s="89" t="s">
        <v>120</v>
      </c>
      <c r="C63" s="89" t="s">
        <v>52</v>
      </c>
      <c r="D63" s="103">
        <v>100079515</v>
      </c>
      <c r="E63" s="89" t="s">
        <v>53</v>
      </c>
      <c r="F63" s="89">
        <v>100084977</v>
      </c>
      <c r="G63" s="128" t="s">
        <v>151</v>
      </c>
      <c r="H63" s="91">
        <v>68.600000000000009</v>
      </c>
      <c r="I63" s="92">
        <v>39.200000000000003</v>
      </c>
      <c r="J63" s="93">
        <v>19.600000000000001</v>
      </c>
      <c r="K63" s="94">
        <v>29.400000000000002</v>
      </c>
      <c r="L63" s="94">
        <v>58.800000000000004</v>
      </c>
      <c r="M63" s="129">
        <v>39.200000000000003</v>
      </c>
      <c r="N63" s="102">
        <f t="shared" si="0"/>
        <v>42.466666666666669</v>
      </c>
      <c r="O63" s="97">
        <v>19.600000000000001</v>
      </c>
      <c r="P63" s="92">
        <v>0</v>
      </c>
      <c r="Q63" s="98">
        <f t="shared" si="1"/>
        <v>19.600000000000001</v>
      </c>
      <c r="R63" s="102" t="str">
        <f>+IF(Q63+N63&lt;=0, "NO COMPRADOR", +IF(Q63&lt;=0, "SIN COMPRA "&amp;+UPPER(TEXT('DINAMICA ENERO 26'!$C$2,"mmm 'yy")), "COMPRADOR"))</f>
        <v>COMPRADOR</v>
      </c>
      <c r="T63" s="101"/>
    </row>
    <row r="64" spans="1:22" s="100" customFormat="1" ht="14" hidden="1">
      <c r="A64" s="88" t="s">
        <v>85</v>
      </c>
      <c r="B64" s="89" t="s">
        <v>120</v>
      </c>
      <c r="C64" s="89" t="s">
        <v>52</v>
      </c>
      <c r="D64" s="103">
        <v>100079515</v>
      </c>
      <c r="E64" s="89" t="s">
        <v>53</v>
      </c>
      <c r="F64" s="89">
        <v>100074170</v>
      </c>
      <c r="G64" s="128" t="s">
        <v>152</v>
      </c>
      <c r="H64" s="91">
        <v>235.2</v>
      </c>
      <c r="I64" s="92">
        <v>245</v>
      </c>
      <c r="J64" s="93">
        <v>196</v>
      </c>
      <c r="K64" s="94">
        <v>127.4</v>
      </c>
      <c r="L64" s="94">
        <v>343</v>
      </c>
      <c r="M64" s="129">
        <v>98</v>
      </c>
      <c r="N64" s="102">
        <f t="shared" si="0"/>
        <v>189.46666666666667</v>
      </c>
      <c r="O64" s="97">
        <v>98</v>
      </c>
      <c r="P64" s="92">
        <v>0</v>
      </c>
      <c r="Q64" s="98">
        <f t="shared" si="1"/>
        <v>98</v>
      </c>
      <c r="R64" s="102" t="str">
        <f>+IF(Q64+N64&lt;=0, "NO COMPRADOR", +IF(Q64&lt;=0, "SIN COMPRA "&amp;+UPPER(TEXT('DINAMICA ENERO 26'!$C$2,"mmm 'yy")), "COMPRADOR"))</f>
        <v>COMPRADOR</v>
      </c>
      <c r="T64" s="101"/>
    </row>
    <row r="65" spans="1:22" s="104" customFormat="1" ht="14" hidden="1">
      <c r="A65" s="88" t="s">
        <v>85</v>
      </c>
      <c r="B65" s="89" t="s">
        <v>120</v>
      </c>
      <c r="C65" s="89" t="s">
        <v>52</v>
      </c>
      <c r="D65" s="103">
        <v>100079515</v>
      </c>
      <c r="E65" s="89" t="s">
        <v>53</v>
      </c>
      <c r="F65" s="89">
        <v>100087942</v>
      </c>
      <c r="G65" s="128" t="s">
        <v>153</v>
      </c>
      <c r="H65" s="91">
        <v>0</v>
      </c>
      <c r="I65" s="92">
        <v>0</v>
      </c>
      <c r="J65" s="93">
        <v>9.8000000000000007</v>
      </c>
      <c r="K65" s="94">
        <v>19.600000000000001</v>
      </c>
      <c r="L65" s="94">
        <v>29.400000000000002</v>
      </c>
      <c r="M65" s="129">
        <v>78.400000000000006</v>
      </c>
      <c r="N65" s="102">
        <f t="shared" si="0"/>
        <v>42.466666666666669</v>
      </c>
      <c r="O65" s="97">
        <v>0</v>
      </c>
      <c r="P65" s="92">
        <v>0</v>
      </c>
      <c r="Q65" s="98">
        <f t="shared" si="1"/>
        <v>0</v>
      </c>
      <c r="R65" s="102" t="str">
        <f>+IF(Q65+N65&lt;=0, "NO COMPRADOR", +IF(Q65&lt;=0, "SIN COMPRA "&amp;+UPPER(TEXT('DINAMICA ENERO 26'!$C$2,"mmm 'yy")), "COMPRADOR"))</f>
        <v>SIN COMPRA FEB '26</v>
      </c>
      <c r="S65" s="100"/>
      <c r="T65" s="101"/>
      <c r="U65" s="100"/>
      <c r="V65" s="100"/>
    </row>
    <row r="66" spans="1:22" s="100" customFormat="1" ht="14" hidden="1">
      <c r="A66" s="88" t="s">
        <v>85</v>
      </c>
      <c r="B66" s="89" t="s">
        <v>120</v>
      </c>
      <c r="C66" s="89" t="s">
        <v>52</v>
      </c>
      <c r="D66" s="103">
        <v>100079515</v>
      </c>
      <c r="E66" s="89" t="s">
        <v>53</v>
      </c>
      <c r="F66" s="89">
        <v>100068357</v>
      </c>
      <c r="G66" s="128" t="s">
        <v>154</v>
      </c>
      <c r="H66" s="91">
        <v>98</v>
      </c>
      <c r="I66" s="92">
        <v>98</v>
      </c>
      <c r="J66" s="93">
        <v>9.8000000000000007</v>
      </c>
      <c r="K66" s="94">
        <v>0</v>
      </c>
      <c r="L66" s="94">
        <v>0</v>
      </c>
      <c r="M66" s="129">
        <v>0</v>
      </c>
      <c r="N66" s="102">
        <f t="shared" si="0"/>
        <v>0</v>
      </c>
      <c r="O66" s="97">
        <v>0</v>
      </c>
      <c r="P66" s="92">
        <v>0</v>
      </c>
      <c r="Q66" s="98">
        <f t="shared" si="1"/>
        <v>0</v>
      </c>
      <c r="R66" s="102" t="str">
        <f>+IF(Q66+N66&lt;=0, "NO COMPRADOR", +IF(Q66&lt;=0, "SIN COMPRA "&amp;+UPPER(TEXT('DINAMICA ENERO 26'!$C$2,"mmm 'yy")), "COMPRADOR"))</f>
        <v>NO COMPRADOR</v>
      </c>
      <c r="T66" s="101"/>
    </row>
    <row r="67" spans="1:22" s="104" customFormat="1" ht="14" hidden="1">
      <c r="A67" s="88" t="s">
        <v>85</v>
      </c>
      <c r="B67" s="89" t="s">
        <v>120</v>
      </c>
      <c r="C67" s="89" t="s">
        <v>52</v>
      </c>
      <c r="D67" s="103">
        <v>100079515</v>
      </c>
      <c r="E67" s="89" t="s">
        <v>53</v>
      </c>
      <c r="F67" s="89">
        <v>100001391</v>
      </c>
      <c r="G67" s="128" t="s">
        <v>155</v>
      </c>
      <c r="H67" s="91">
        <v>627.20000000000027</v>
      </c>
      <c r="I67" s="92">
        <v>705.59999999999957</v>
      </c>
      <c r="J67" s="93">
        <v>960.39999999999975</v>
      </c>
      <c r="K67" s="94">
        <v>725.1999999999997</v>
      </c>
      <c r="L67" s="94">
        <v>656.60000000000014</v>
      </c>
      <c r="M67" s="129">
        <v>921.20000000000016</v>
      </c>
      <c r="N67" s="102">
        <f t="shared" ref="N67:N130" si="2">+AVERAGE(K67:M67)</f>
        <v>767.66666666666663</v>
      </c>
      <c r="O67" s="97">
        <v>646.79999999999995</v>
      </c>
      <c r="P67" s="92">
        <v>754.59999999999991</v>
      </c>
      <c r="Q67" s="98">
        <f t="shared" si="1"/>
        <v>1401.3999999999999</v>
      </c>
      <c r="R67" s="102" t="str">
        <f>+IF(Q67+N67&lt;=0, "NO COMPRADOR", +IF(Q67&lt;=0, "SIN COMPRA "&amp;+UPPER(TEXT('DINAMICA ENERO 26'!$C$2,"mmm 'yy")), "COMPRADOR"))</f>
        <v>COMPRADOR</v>
      </c>
      <c r="S67" s="100"/>
      <c r="T67" s="101"/>
      <c r="U67" s="100"/>
      <c r="V67" s="100"/>
    </row>
    <row r="68" spans="1:22" s="100" customFormat="1" ht="14" hidden="1">
      <c r="A68" s="88" t="s">
        <v>85</v>
      </c>
      <c r="B68" s="89" t="s">
        <v>120</v>
      </c>
      <c r="C68" s="89" t="s">
        <v>52</v>
      </c>
      <c r="D68" s="103">
        <v>100079515</v>
      </c>
      <c r="E68" s="89" t="s">
        <v>53</v>
      </c>
      <c r="F68" s="89">
        <v>100085149</v>
      </c>
      <c r="G68" s="128" t="s">
        <v>156</v>
      </c>
      <c r="H68" s="91">
        <v>0</v>
      </c>
      <c r="I68" s="92">
        <v>0</v>
      </c>
      <c r="J68" s="93">
        <v>0</v>
      </c>
      <c r="K68" s="94">
        <v>0</v>
      </c>
      <c r="L68" s="94">
        <v>39.200000000000003</v>
      </c>
      <c r="M68" s="129">
        <v>107.80000000000001</v>
      </c>
      <c r="N68" s="102">
        <f t="shared" si="2"/>
        <v>49</v>
      </c>
      <c r="O68" s="97">
        <v>0</v>
      </c>
      <c r="P68" s="92">
        <v>0</v>
      </c>
      <c r="Q68" s="98">
        <f t="shared" ref="Q68:Q131" si="3">+O68+P68</f>
        <v>0</v>
      </c>
      <c r="R68" s="102" t="str">
        <f>+IF(Q68+N68&lt;=0, "NO COMPRADOR", +IF(Q68&lt;=0, "SIN COMPRA "&amp;+UPPER(TEXT('DINAMICA ENERO 26'!$C$2,"mmm 'yy")), "COMPRADOR"))</f>
        <v>SIN COMPRA FEB '26</v>
      </c>
      <c r="T68" s="101"/>
    </row>
    <row r="69" spans="1:22" s="100" customFormat="1" ht="14" hidden="1">
      <c r="A69" s="88" t="s">
        <v>85</v>
      </c>
      <c r="B69" s="89" t="s">
        <v>157</v>
      </c>
      <c r="C69" s="89" t="s">
        <v>52</v>
      </c>
      <c r="D69" s="103">
        <v>100079674</v>
      </c>
      <c r="E69" s="89" t="s">
        <v>57</v>
      </c>
      <c r="F69" s="89">
        <v>100079807</v>
      </c>
      <c r="G69" s="128" t="s">
        <v>158</v>
      </c>
      <c r="H69" s="91">
        <v>9.8000000000000007</v>
      </c>
      <c r="I69" s="92">
        <v>9.8000000000000007</v>
      </c>
      <c r="J69" s="93">
        <v>9.8000000000000007</v>
      </c>
      <c r="K69" s="94">
        <v>9.8000000000000007</v>
      </c>
      <c r="L69" s="94">
        <v>19.600000000000001</v>
      </c>
      <c r="M69" s="129">
        <v>9.8000000000000007</v>
      </c>
      <c r="N69" s="102">
        <f t="shared" si="2"/>
        <v>13.066666666666668</v>
      </c>
      <c r="O69" s="97">
        <v>9.8000000000000007</v>
      </c>
      <c r="P69" s="92">
        <v>0</v>
      </c>
      <c r="Q69" s="98">
        <f t="shared" si="3"/>
        <v>9.8000000000000007</v>
      </c>
      <c r="R69" s="102" t="str">
        <f>+IF(Q69+N69&lt;=0, "NO COMPRADOR", +IF(Q69&lt;=0, "SIN COMPRA "&amp;+UPPER(TEXT('DINAMICA ENERO 26'!$C$2,"mmm 'yy")), "COMPRADOR"))</f>
        <v>COMPRADOR</v>
      </c>
      <c r="T69" s="101"/>
    </row>
    <row r="70" spans="1:22" s="100" customFormat="1" ht="14" hidden="1">
      <c r="A70" s="88" t="s">
        <v>85</v>
      </c>
      <c r="B70" s="89" t="s">
        <v>157</v>
      </c>
      <c r="C70" s="89" t="s">
        <v>52</v>
      </c>
      <c r="D70" s="103">
        <v>100079674</v>
      </c>
      <c r="E70" s="89" t="s">
        <v>57</v>
      </c>
      <c r="F70" s="89">
        <v>100086113</v>
      </c>
      <c r="G70" s="128" t="s">
        <v>159</v>
      </c>
      <c r="H70" s="91">
        <v>0</v>
      </c>
      <c r="I70" s="92">
        <v>0</v>
      </c>
      <c r="J70" s="93">
        <v>0</v>
      </c>
      <c r="K70" s="94">
        <v>0</v>
      </c>
      <c r="L70" s="94">
        <v>0</v>
      </c>
      <c r="M70" s="129">
        <v>0</v>
      </c>
      <c r="N70" s="102">
        <f t="shared" si="2"/>
        <v>0</v>
      </c>
      <c r="O70" s="97">
        <v>0</v>
      </c>
      <c r="P70" s="92">
        <v>0</v>
      </c>
      <c r="Q70" s="98">
        <f t="shared" si="3"/>
        <v>0</v>
      </c>
      <c r="R70" s="102" t="str">
        <f>+IF(Q70+N70&lt;=0, "NO COMPRADOR", +IF(Q70&lt;=0, "SIN COMPRA "&amp;+UPPER(TEXT('DINAMICA ENERO 26'!$C$2,"mmm 'yy")), "COMPRADOR"))</f>
        <v>NO COMPRADOR</v>
      </c>
      <c r="T70" s="101"/>
    </row>
    <row r="71" spans="1:22" s="100" customFormat="1" ht="14" hidden="1">
      <c r="A71" s="88" t="s">
        <v>85</v>
      </c>
      <c r="B71" s="89" t="s">
        <v>157</v>
      </c>
      <c r="C71" s="89" t="s">
        <v>52</v>
      </c>
      <c r="D71" s="103">
        <v>100079674</v>
      </c>
      <c r="E71" s="89" t="s">
        <v>57</v>
      </c>
      <c r="F71" s="89">
        <v>100086648</v>
      </c>
      <c r="G71" s="128" t="s">
        <v>160</v>
      </c>
      <c r="H71" s="91">
        <v>19.600000000000001</v>
      </c>
      <c r="I71" s="92">
        <v>19.600000000000001</v>
      </c>
      <c r="J71" s="93">
        <v>0</v>
      </c>
      <c r="K71" s="94">
        <v>9.8000000000000007</v>
      </c>
      <c r="L71" s="94">
        <v>19.600000000000001</v>
      </c>
      <c r="M71" s="129">
        <v>19.600000000000001</v>
      </c>
      <c r="N71" s="102">
        <f t="shared" si="2"/>
        <v>16.333333333333332</v>
      </c>
      <c r="O71" s="97">
        <v>0</v>
      </c>
      <c r="P71" s="92">
        <v>0</v>
      </c>
      <c r="Q71" s="98">
        <f t="shared" si="3"/>
        <v>0</v>
      </c>
      <c r="R71" s="102" t="str">
        <f>+IF(Q71+N71&lt;=0, "NO COMPRADOR", +IF(Q71&lt;=0, "SIN COMPRA "&amp;+UPPER(TEXT('DINAMICA ENERO 26'!$C$2,"mmm 'yy")), "COMPRADOR"))</f>
        <v>SIN COMPRA FEB '26</v>
      </c>
      <c r="T71" s="101"/>
    </row>
    <row r="72" spans="1:22" s="100" customFormat="1" ht="14" hidden="1">
      <c r="A72" s="88" t="s">
        <v>85</v>
      </c>
      <c r="B72" s="89" t="s">
        <v>157</v>
      </c>
      <c r="C72" s="89" t="s">
        <v>52</v>
      </c>
      <c r="D72" s="103">
        <v>100079674</v>
      </c>
      <c r="E72" s="89" t="s">
        <v>57</v>
      </c>
      <c r="F72" s="89">
        <v>100085802</v>
      </c>
      <c r="G72" s="128" t="s">
        <v>161</v>
      </c>
      <c r="H72" s="91">
        <v>0</v>
      </c>
      <c r="I72" s="92">
        <v>9.8000000000000007</v>
      </c>
      <c r="J72" s="93">
        <v>0</v>
      </c>
      <c r="K72" s="94">
        <v>9.8000000000000007</v>
      </c>
      <c r="L72" s="94">
        <v>0</v>
      </c>
      <c r="M72" s="129">
        <v>0</v>
      </c>
      <c r="N72" s="102">
        <f t="shared" si="2"/>
        <v>3.2666666666666671</v>
      </c>
      <c r="O72" s="97">
        <v>0</v>
      </c>
      <c r="P72" s="92">
        <v>0</v>
      </c>
      <c r="Q72" s="98">
        <f t="shared" si="3"/>
        <v>0</v>
      </c>
      <c r="R72" s="102" t="str">
        <f>+IF(Q72+N72&lt;=0, "NO COMPRADOR", +IF(Q72&lt;=0, "SIN COMPRA "&amp;+UPPER(TEXT('DINAMICA ENERO 26'!$C$2,"mmm 'yy")), "COMPRADOR"))</f>
        <v>SIN COMPRA FEB '26</v>
      </c>
      <c r="T72" s="101"/>
    </row>
    <row r="73" spans="1:22" s="100" customFormat="1" ht="14" hidden="1">
      <c r="A73" s="88" t="s">
        <v>85</v>
      </c>
      <c r="B73" s="89" t="s">
        <v>157</v>
      </c>
      <c r="C73" s="89" t="s">
        <v>52</v>
      </c>
      <c r="D73" s="103">
        <v>100079674</v>
      </c>
      <c r="E73" s="89" t="s">
        <v>57</v>
      </c>
      <c r="F73" s="89">
        <v>100079430</v>
      </c>
      <c r="G73" s="128" t="s">
        <v>162</v>
      </c>
      <c r="H73" s="91">
        <v>9.8000000000000007</v>
      </c>
      <c r="I73" s="92">
        <v>0</v>
      </c>
      <c r="J73" s="93">
        <v>0</v>
      </c>
      <c r="K73" s="94">
        <v>0</v>
      </c>
      <c r="L73" s="94">
        <v>0</v>
      </c>
      <c r="M73" s="129">
        <v>0</v>
      </c>
      <c r="N73" s="102">
        <f t="shared" si="2"/>
        <v>0</v>
      </c>
      <c r="O73" s="97">
        <v>0</v>
      </c>
      <c r="P73" s="92">
        <v>0</v>
      </c>
      <c r="Q73" s="98">
        <f t="shared" si="3"/>
        <v>0</v>
      </c>
      <c r="R73" s="102" t="str">
        <f>+IF(Q73+N73&lt;=0, "NO COMPRADOR", +IF(Q73&lt;=0, "SIN COMPRA "&amp;+UPPER(TEXT('DINAMICA ENERO 26'!$C$2,"mmm 'yy")), "COMPRADOR"))</f>
        <v>NO COMPRADOR</v>
      </c>
      <c r="T73" s="101"/>
    </row>
    <row r="74" spans="1:22" s="100" customFormat="1" ht="14" hidden="1">
      <c r="A74" s="88" t="s">
        <v>85</v>
      </c>
      <c r="B74" s="89" t="s">
        <v>157</v>
      </c>
      <c r="C74" s="89" t="s">
        <v>52</v>
      </c>
      <c r="D74" s="103">
        <v>100079674</v>
      </c>
      <c r="E74" s="89" t="s">
        <v>57</v>
      </c>
      <c r="F74" s="89">
        <v>100001212</v>
      </c>
      <c r="G74" s="128" t="s">
        <v>163</v>
      </c>
      <c r="H74" s="91">
        <v>0</v>
      </c>
      <c r="I74" s="92">
        <v>19.600000000000001</v>
      </c>
      <c r="J74" s="93">
        <v>0</v>
      </c>
      <c r="K74" s="94">
        <v>19.600000000000001</v>
      </c>
      <c r="L74" s="94">
        <v>29.400000000000002</v>
      </c>
      <c r="M74" s="129">
        <v>19.600000000000001</v>
      </c>
      <c r="N74" s="102">
        <f t="shared" si="2"/>
        <v>22.866666666666664</v>
      </c>
      <c r="O74" s="97">
        <v>9.8000000000000007</v>
      </c>
      <c r="P74" s="92">
        <v>0</v>
      </c>
      <c r="Q74" s="98">
        <f t="shared" si="3"/>
        <v>9.8000000000000007</v>
      </c>
      <c r="R74" s="102" t="str">
        <f>+IF(Q74+N74&lt;=0, "NO COMPRADOR", +IF(Q74&lt;=0, "SIN COMPRA "&amp;+UPPER(TEXT('DINAMICA ENERO 26'!$C$2,"mmm 'yy")), "COMPRADOR"))</f>
        <v>COMPRADOR</v>
      </c>
      <c r="T74" s="101"/>
    </row>
    <row r="75" spans="1:22" s="104" customFormat="1" ht="14" hidden="1">
      <c r="A75" s="88" t="s">
        <v>85</v>
      </c>
      <c r="B75" s="89" t="s">
        <v>157</v>
      </c>
      <c r="C75" s="89" t="s">
        <v>52</v>
      </c>
      <c r="D75" s="103">
        <v>100079674</v>
      </c>
      <c r="E75" s="89" t="s">
        <v>57</v>
      </c>
      <c r="F75" s="89">
        <v>100001259</v>
      </c>
      <c r="G75" s="128" t="s">
        <v>164</v>
      </c>
      <c r="H75" s="91">
        <v>9.8000000000000007</v>
      </c>
      <c r="I75" s="92">
        <v>9.8000000000000007</v>
      </c>
      <c r="J75" s="93">
        <v>9.8000000000000007</v>
      </c>
      <c r="K75" s="94">
        <v>19.600000000000001</v>
      </c>
      <c r="L75" s="94">
        <v>29.400000000000002</v>
      </c>
      <c r="M75" s="129">
        <v>9.8000000000000007</v>
      </c>
      <c r="N75" s="102">
        <f t="shared" si="2"/>
        <v>19.599999999999998</v>
      </c>
      <c r="O75" s="97">
        <v>0</v>
      </c>
      <c r="P75" s="92">
        <v>0</v>
      </c>
      <c r="Q75" s="98">
        <f t="shared" si="3"/>
        <v>0</v>
      </c>
      <c r="R75" s="102" t="str">
        <f>+IF(Q75+N75&lt;=0, "NO COMPRADOR", +IF(Q75&lt;=0, "SIN COMPRA "&amp;+UPPER(TEXT('DINAMICA ENERO 26'!$C$2,"mmm 'yy")), "COMPRADOR"))</f>
        <v>SIN COMPRA FEB '26</v>
      </c>
      <c r="S75" s="100"/>
      <c r="T75" s="101"/>
      <c r="U75" s="100"/>
      <c r="V75" s="100"/>
    </row>
    <row r="76" spans="1:22" s="104" customFormat="1" ht="14" hidden="1">
      <c r="A76" s="88" t="s">
        <v>85</v>
      </c>
      <c r="B76" s="89" t="s">
        <v>157</v>
      </c>
      <c r="C76" s="89" t="s">
        <v>52</v>
      </c>
      <c r="D76" s="103">
        <v>100079674</v>
      </c>
      <c r="E76" s="89" t="s">
        <v>57</v>
      </c>
      <c r="F76" s="89">
        <v>100082864</v>
      </c>
      <c r="G76" s="128" t="s">
        <v>165</v>
      </c>
      <c r="H76" s="91">
        <v>9.8000000000000007</v>
      </c>
      <c r="I76" s="92">
        <v>29.400000000000002</v>
      </c>
      <c r="J76" s="93">
        <v>29.400000000000002</v>
      </c>
      <c r="K76" s="94">
        <v>0</v>
      </c>
      <c r="L76" s="94">
        <v>29.400000000000002</v>
      </c>
      <c r="M76" s="129">
        <v>0</v>
      </c>
      <c r="N76" s="102">
        <f t="shared" si="2"/>
        <v>9.8000000000000007</v>
      </c>
      <c r="O76" s="97">
        <v>19.600000000000001</v>
      </c>
      <c r="P76" s="92">
        <v>0</v>
      </c>
      <c r="Q76" s="98">
        <f t="shared" si="3"/>
        <v>19.600000000000001</v>
      </c>
      <c r="R76" s="102" t="str">
        <f>+IF(Q76+N76&lt;=0, "NO COMPRADOR", +IF(Q76&lt;=0, "SIN COMPRA "&amp;+UPPER(TEXT('DINAMICA ENERO 26'!$C$2,"mmm 'yy")), "COMPRADOR"))</f>
        <v>COMPRADOR</v>
      </c>
      <c r="S76" s="100"/>
      <c r="T76" s="101"/>
      <c r="U76" s="100"/>
      <c r="V76" s="100"/>
    </row>
    <row r="77" spans="1:22" s="104" customFormat="1" ht="14" hidden="1">
      <c r="A77" s="88" t="s">
        <v>85</v>
      </c>
      <c r="B77" s="89" t="s">
        <v>157</v>
      </c>
      <c r="C77" s="89" t="s">
        <v>52</v>
      </c>
      <c r="D77" s="103">
        <v>100079674</v>
      </c>
      <c r="E77" s="89" t="s">
        <v>57</v>
      </c>
      <c r="F77" s="89">
        <v>100073859</v>
      </c>
      <c r="G77" s="128" t="s">
        <v>166</v>
      </c>
      <c r="H77" s="91">
        <v>117.60000000000001</v>
      </c>
      <c r="I77" s="92">
        <v>68.599999999999994</v>
      </c>
      <c r="J77" s="93">
        <v>68.599999999999994</v>
      </c>
      <c r="K77" s="94">
        <v>68.599999999999994</v>
      </c>
      <c r="L77" s="94">
        <v>78.400000000000006</v>
      </c>
      <c r="M77" s="129">
        <v>49</v>
      </c>
      <c r="N77" s="102">
        <f t="shared" si="2"/>
        <v>65.333333333333329</v>
      </c>
      <c r="O77" s="97">
        <v>29.400000000000002</v>
      </c>
      <c r="P77" s="92">
        <v>0</v>
      </c>
      <c r="Q77" s="98">
        <f t="shared" si="3"/>
        <v>29.400000000000002</v>
      </c>
      <c r="R77" s="102" t="str">
        <f>+IF(Q77+N77&lt;=0, "NO COMPRADOR", +IF(Q77&lt;=0, "SIN COMPRA "&amp;+UPPER(TEXT('DINAMICA ENERO 26'!$C$2,"mmm 'yy")), "COMPRADOR"))</f>
        <v>COMPRADOR</v>
      </c>
      <c r="S77" s="100"/>
      <c r="T77" s="101"/>
      <c r="U77" s="100"/>
      <c r="V77" s="100"/>
    </row>
    <row r="78" spans="1:22" s="104" customFormat="1" ht="14" hidden="1">
      <c r="A78" s="88" t="s">
        <v>85</v>
      </c>
      <c r="B78" s="89" t="s">
        <v>157</v>
      </c>
      <c r="C78" s="89" t="s">
        <v>52</v>
      </c>
      <c r="D78" s="103">
        <v>100079674</v>
      </c>
      <c r="E78" s="89" t="s">
        <v>57</v>
      </c>
      <c r="F78" s="89">
        <v>100001941</v>
      </c>
      <c r="G78" s="128" t="s">
        <v>167</v>
      </c>
      <c r="H78" s="91">
        <v>9.8000000000000007</v>
      </c>
      <c r="I78" s="92">
        <v>9.8000000000000007</v>
      </c>
      <c r="J78" s="93">
        <v>19.600000000000001</v>
      </c>
      <c r="K78" s="94">
        <v>9.8000000000000007</v>
      </c>
      <c r="L78" s="94">
        <v>9.8000000000000007</v>
      </c>
      <c r="M78" s="129">
        <v>9.8000000000000007</v>
      </c>
      <c r="N78" s="102">
        <f t="shared" si="2"/>
        <v>9.8000000000000007</v>
      </c>
      <c r="O78" s="97">
        <v>9.8000000000000007</v>
      </c>
      <c r="P78" s="92">
        <v>0</v>
      </c>
      <c r="Q78" s="98">
        <f t="shared" si="3"/>
        <v>9.8000000000000007</v>
      </c>
      <c r="R78" s="102" t="str">
        <f>+IF(Q78+N78&lt;=0, "NO COMPRADOR", +IF(Q78&lt;=0, "SIN COMPRA "&amp;+UPPER(TEXT('DINAMICA ENERO 26'!$C$2,"mmm 'yy")), "COMPRADOR"))</f>
        <v>COMPRADOR</v>
      </c>
      <c r="S78" s="100"/>
      <c r="T78" s="101"/>
      <c r="U78" s="100"/>
      <c r="V78" s="100"/>
    </row>
    <row r="79" spans="1:22" s="104" customFormat="1" ht="14" hidden="1">
      <c r="A79" s="88" t="s">
        <v>85</v>
      </c>
      <c r="B79" s="89" t="s">
        <v>157</v>
      </c>
      <c r="C79" s="89" t="s">
        <v>52</v>
      </c>
      <c r="D79" s="103">
        <v>100079674</v>
      </c>
      <c r="E79" s="89" t="s">
        <v>57</v>
      </c>
      <c r="F79" s="89">
        <v>100005864</v>
      </c>
      <c r="G79" s="128" t="s">
        <v>168</v>
      </c>
      <c r="H79" s="91">
        <v>19.600000000000001</v>
      </c>
      <c r="I79" s="92">
        <v>9.8000000000000007</v>
      </c>
      <c r="J79" s="93">
        <v>9.8000000000000007</v>
      </c>
      <c r="K79" s="94">
        <v>19.600000000000001</v>
      </c>
      <c r="L79" s="94">
        <v>0</v>
      </c>
      <c r="M79" s="129">
        <v>0</v>
      </c>
      <c r="N79" s="102">
        <f t="shared" si="2"/>
        <v>6.5333333333333341</v>
      </c>
      <c r="O79" s="97">
        <v>0</v>
      </c>
      <c r="P79" s="92">
        <v>0</v>
      </c>
      <c r="Q79" s="98">
        <f t="shared" si="3"/>
        <v>0</v>
      </c>
      <c r="R79" s="102" t="str">
        <f>+IF(Q79+N79&lt;=0, "NO COMPRADOR", +IF(Q79&lt;=0, "SIN COMPRA "&amp;+UPPER(TEXT('DINAMICA ENERO 26'!$C$2,"mmm 'yy")), "COMPRADOR"))</f>
        <v>SIN COMPRA FEB '26</v>
      </c>
      <c r="S79" s="100"/>
      <c r="T79" s="101"/>
      <c r="U79" s="100"/>
      <c r="V79" s="100"/>
    </row>
    <row r="80" spans="1:22" s="100" customFormat="1" ht="14" hidden="1">
      <c r="A80" s="88" t="s">
        <v>85</v>
      </c>
      <c r="B80" s="89" t="s">
        <v>157</v>
      </c>
      <c r="C80" s="89" t="s">
        <v>52</v>
      </c>
      <c r="D80" s="103">
        <v>100079674</v>
      </c>
      <c r="E80" s="89" t="s">
        <v>57</v>
      </c>
      <c r="F80" s="89">
        <v>100009067</v>
      </c>
      <c r="G80" s="128" t="s">
        <v>169</v>
      </c>
      <c r="H80" s="91">
        <v>78.400000000000006</v>
      </c>
      <c r="I80" s="92">
        <v>58.800000000000004</v>
      </c>
      <c r="J80" s="93">
        <v>0</v>
      </c>
      <c r="K80" s="94">
        <v>29.400000000000002</v>
      </c>
      <c r="L80" s="94">
        <v>0</v>
      </c>
      <c r="M80" s="129">
        <v>0</v>
      </c>
      <c r="N80" s="102">
        <f t="shared" si="2"/>
        <v>9.8000000000000007</v>
      </c>
      <c r="O80" s="97">
        <v>0</v>
      </c>
      <c r="P80" s="92">
        <v>0</v>
      </c>
      <c r="Q80" s="98">
        <f t="shared" si="3"/>
        <v>0</v>
      </c>
      <c r="R80" s="102" t="str">
        <f>+IF(Q80+N80&lt;=0, "NO COMPRADOR", +IF(Q80&lt;=0, "SIN COMPRA "&amp;+UPPER(TEXT('DINAMICA ENERO 26'!$C$2,"mmm 'yy")), "COMPRADOR"))</f>
        <v>SIN COMPRA FEB '26</v>
      </c>
      <c r="T80" s="101"/>
    </row>
    <row r="81" spans="1:22" s="104" customFormat="1" ht="14" hidden="1">
      <c r="A81" s="88" t="s">
        <v>85</v>
      </c>
      <c r="B81" s="89" t="s">
        <v>157</v>
      </c>
      <c r="C81" s="89" t="s">
        <v>52</v>
      </c>
      <c r="D81" s="103">
        <v>100079674</v>
      </c>
      <c r="E81" s="89" t="s">
        <v>57</v>
      </c>
      <c r="F81" s="89">
        <v>100059556</v>
      </c>
      <c r="G81" s="128" t="s">
        <v>170</v>
      </c>
      <c r="H81" s="91">
        <v>0</v>
      </c>
      <c r="I81" s="92">
        <v>0</v>
      </c>
      <c r="J81" s="93">
        <v>0</v>
      </c>
      <c r="K81" s="94">
        <v>0</v>
      </c>
      <c r="L81" s="94">
        <v>0</v>
      </c>
      <c r="M81" s="129">
        <v>0</v>
      </c>
      <c r="N81" s="102">
        <f t="shared" si="2"/>
        <v>0</v>
      </c>
      <c r="O81" s="97">
        <v>0</v>
      </c>
      <c r="P81" s="92">
        <v>0</v>
      </c>
      <c r="Q81" s="98">
        <f t="shared" si="3"/>
        <v>0</v>
      </c>
      <c r="R81" s="102" t="str">
        <f>+IF(Q81+N81&lt;=0, "NO COMPRADOR", +IF(Q81&lt;=0, "SIN COMPRA "&amp;+UPPER(TEXT('DINAMICA ENERO 26'!$C$2,"mmm 'yy")), "COMPRADOR"))</f>
        <v>NO COMPRADOR</v>
      </c>
      <c r="S81" s="100"/>
      <c r="T81" s="101"/>
      <c r="U81" s="100"/>
      <c r="V81" s="100"/>
    </row>
    <row r="82" spans="1:22" s="104" customFormat="1" ht="14" hidden="1">
      <c r="A82" s="88" t="s">
        <v>85</v>
      </c>
      <c r="B82" s="89" t="s">
        <v>157</v>
      </c>
      <c r="C82" s="89" t="s">
        <v>52</v>
      </c>
      <c r="D82" s="103">
        <v>100079674</v>
      </c>
      <c r="E82" s="89" t="s">
        <v>57</v>
      </c>
      <c r="F82" s="89">
        <v>100082635</v>
      </c>
      <c r="G82" s="128" t="s">
        <v>171</v>
      </c>
      <c r="H82" s="91">
        <v>9.8000000000000007</v>
      </c>
      <c r="I82" s="92">
        <v>0</v>
      </c>
      <c r="J82" s="93">
        <v>9.8000000000000007</v>
      </c>
      <c r="K82" s="94">
        <v>0</v>
      </c>
      <c r="L82" s="94">
        <v>19.600000000000001</v>
      </c>
      <c r="M82" s="129">
        <v>9.8000000000000007</v>
      </c>
      <c r="N82" s="102">
        <f t="shared" si="2"/>
        <v>9.8000000000000007</v>
      </c>
      <c r="O82" s="97">
        <v>0</v>
      </c>
      <c r="P82" s="92">
        <v>9.8000000000000007</v>
      </c>
      <c r="Q82" s="98">
        <f t="shared" si="3"/>
        <v>9.8000000000000007</v>
      </c>
      <c r="R82" s="102" t="str">
        <f>+IF(Q82+N82&lt;=0, "NO COMPRADOR", +IF(Q82&lt;=0, "SIN COMPRA "&amp;+UPPER(TEXT('DINAMICA ENERO 26'!$C$2,"mmm 'yy")), "COMPRADOR"))</f>
        <v>COMPRADOR</v>
      </c>
      <c r="S82" s="100"/>
      <c r="T82" s="101"/>
      <c r="U82" s="100"/>
      <c r="V82" s="100"/>
    </row>
    <row r="83" spans="1:22" s="104" customFormat="1" ht="14" hidden="1">
      <c r="A83" s="88" t="s">
        <v>85</v>
      </c>
      <c r="B83" s="89" t="s">
        <v>157</v>
      </c>
      <c r="C83" s="89" t="s">
        <v>52</v>
      </c>
      <c r="D83" s="103">
        <v>100079674</v>
      </c>
      <c r="E83" s="89" t="s">
        <v>57</v>
      </c>
      <c r="F83" s="89">
        <v>100087436</v>
      </c>
      <c r="G83" s="128" t="s">
        <v>172</v>
      </c>
      <c r="H83" s="91">
        <v>9.8000000000000007</v>
      </c>
      <c r="I83" s="92">
        <v>39.200000000000003</v>
      </c>
      <c r="J83" s="93">
        <v>0</v>
      </c>
      <c r="K83" s="94">
        <v>19.600000000000001</v>
      </c>
      <c r="L83" s="94">
        <v>9.8000000000000007</v>
      </c>
      <c r="M83" s="129">
        <v>19.600000000000001</v>
      </c>
      <c r="N83" s="102">
        <f t="shared" si="2"/>
        <v>16.333333333333332</v>
      </c>
      <c r="O83" s="97">
        <v>0</v>
      </c>
      <c r="P83" s="92">
        <v>0</v>
      </c>
      <c r="Q83" s="98">
        <f t="shared" si="3"/>
        <v>0</v>
      </c>
      <c r="R83" s="102" t="str">
        <f>+IF(Q83+N83&lt;=0, "NO COMPRADOR", +IF(Q83&lt;=0, "SIN COMPRA "&amp;+UPPER(TEXT('DINAMICA ENERO 26'!$C$2,"mmm 'yy")), "COMPRADOR"))</f>
        <v>SIN COMPRA FEB '26</v>
      </c>
      <c r="S83" s="100"/>
      <c r="T83" s="101"/>
      <c r="U83" s="100"/>
      <c r="V83" s="100"/>
    </row>
    <row r="84" spans="1:22" s="100" customFormat="1" ht="14" hidden="1">
      <c r="A84" s="88" t="s">
        <v>85</v>
      </c>
      <c r="B84" s="89" t="s">
        <v>157</v>
      </c>
      <c r="C84" s="89" t="s">
        <v>52</v>
      </c>
      <c r="D84" s="103">
        <v>100079674</v>
      </c>
      <c r="E84" s="89" t="s">
        <v>57</v>
      </c>
      <c r="F84" s="89">
        <v>100072236</v>
      </c>
      <c r="G84" s="128" t="s">
        <v>173</v>
      </c>
      <c r="H84" s="91">
        <v>78.400000000000006</v>
      </c>
      <c r="I84" s="92">
        <v>107.80000000000001</v>
      </c>
      <c r="J84" s="93">
        <v>88.199999999999989</v>
      </c>
      <c r="K84" s="94">
        <v>117.60000000000001</v>
      </c>
      <c r="L84" s="94">
        <v>323.39999999999998</v>
      </c>
      <c r="M84" s="129">
        <v>9.8000000000000007</v>
      </c>
      <c r="N84" s="102">
        <f t="shared" si="2"/>
        <v>150.26666666666668</v>
      </c>
      <c r="O84" s="97">
        <v>9.8000000000000007</v>
      </c>
      <c r="P84" s="92">
        <v>0</v>
      </c>
      <c r="Q84" s="98">
        <f t="shared" si="3"/>
        <v>9.8000000000000007</v>
      </c>
      <c r="R84" s="102" t="str">
        <f>+IF(Q84+N84&lt;=0, "NO COMPRADOR", +IF(Q84&lt;=0, "SIN COMPRA "&amp;+UPPER(TEXT('DINAMICA ENERO 26'!$C$2,"mmm 'yy")), "COMPRADOR"))</f>
        <v>COMPRADOR</v>
      </c>
      <c r="T84" s="101"/>
    </row>
    <row r="85" spans="1:22" s="100" customFormat="1" ht="14" hidden="1">
      <c r="A85" s="88" t="s">
        <v>85</v>
      </c>
      <c r="B85" s="89" t="s">
        <v>157</v>
      </c>
      <c r="C85" s="89" t="s">
        <v>52</v>
      </c>
      <c r="D85" s="103">
        <v>100079674</v>
      </c>
      <c r="E85" s="89" t="s">
        <v>57</v>
      </c>
      <c r="F85" s="89">
        <v>100087960</v>
      </c>
      <c r="G85" s="128" t="s">
        <v>174</v>
      </c>
      <c r="H85" s="91">
        <v>0</v>
      </c>
      <c r="I85" s="92">
        <v>0</v>
      </c>
      <c r="J85" s="93">
        <v>0</v>
      </c>
      <c r="K85" s="94">
        <v>19.600000000000001</v>
      </c>
      <c r="L85" s="94">
        <v>0</v>
      </c>
      <c r="M85" s="129">
        <v>0</v>
      </c>
      <c r="N85" s="102">
        <f t="shared" si="2"/>
        <v>6.5333333333333341</v>
      </c>
      <c r="O85" s="97">
        <v>49</v>
      </c>
      <c r="P85" s="92">
        <v>0</v>
      </c>
      <c r="Q85" s="98">
        <f t="shared" si="3"/>
        <v>49</v>
      </c>
      <c r="R85" s="102" t="str">
        <f>+IF(Q85+N85&lt;=0, "NO COMPRADOR", +IF(Q85&lt;=0, "SIN COMPRA "&amp;+UPPER(TEXT('DINAMICA ENERO 26'!$C$2,"mmm 'yy")), "COMPRADOR"))</f>
        <v>COMPRADOR</v>
      </c>
      <c r="T85" s="101"/>
    </row>
    <row r="86" spans="1:22" s="104" customFormat="1" ht="14" hidden="1">
      <c r="A86" s="88" t="s">
        <v>85</v>
      </c>
      <c r="B86" s="89" t="s">
        <v>157</v>
      </c>
      <c r="C86" s="89" t="s">
        <v>52</v>
      </c>
      <c r="D86" s="103">
        <v>100079674</v>
      </c>
      <c r="E86" s="89" t="s">
        <v>57</v>
      </c>
      <c r="F86" s="89">
        <v>100080270</v>
      </c>
      <c r="G86" s="128" t="s">
        <v>175</v>
      </c>
      <c r="H86" s="91">
        <v>58.800000000000004</v>
      </c>
      <c r="I86" s="92">
        <v>98</v>
      </c>
      <c r="J86" s="93">
        <v>9.8000000000000007</v>
      </c>
      <c r="K86" s="94">
        <v>9.8000000000000007</v>
      </c>
      <c r="L86" s="94">
        <v>9.8000000000000007</v>
      </c>
      <c r="M86" s="129">
        <v>9.8000000000000007</v>
      </c>
      <c r="N86" s="102">
        <f t="shared" si="2"/>
        <v>9.8000000000000007</v>
      </c>
      <c r="O86" s="97">
        <v>39.200000000000003</v>
      </c>
      <c r="P86" s="92">
        <v>0</v>
      </c>
      <c r="Q86" s="98">
        <f t="shared" si="3"/>
        <v>39.200000000000003</v>
      </c>
      <c r="R86" s="102" t="str">
        <f>+IF(Q86+N86&lt;=0, "NO COMPRADOR", +IF(Q86&lt;=0, "SIN COMPRA "&amp;+UPPER(TEXT('DINAMICA ENERO 26'!$C$2,"mmm 'yy")), "COMPRADOR"))</f>
        <v>COMPRADOR</v>
      </c>
      <c r="S86" s="100"/>
      <c r="T86" s="101"/>
      <c r="U86" s="100"/>
      <c r="V86" s="100"/>
    </row>
    <row r="87" spans="1:22" ht="14" hidden="1">
      <c r="A87" s="88" t="s">
        <v>85</v>
      </c>
      <c r="B87" s="89" t="s">
        <v>157</v>
      </c>
      <c r="C87" s="89" t="s">
        <v>52</v>
      </c>
      <c r="D87" s="103">
        <v>100079674</v>
      </c>
      <c r="E87" s="89" t="s">
        <v>57</v>
      </c>
      <c r="F87" s="89">
        <v>100073740</v>
      </c>
      <c r="G87" s="128" t="s">
        <v>176</v>
      </c>
      <c r="H87" s="91">
        <v>58.8</v>
      </c>
      <c r="I87" s="92">
        <v>107.80000000000001</v>
      </c>
      <c r="J87" s="93">
        <v>29.400000000000002</v>
      </c>
      <c r="K87" s="94">
        <v>39.200000000000003</v>
      </c>
      <c r="L87" s="94">
        <v>68.600000000000009</v>
      </c>
      <c r="M87" s="129">
        <v>49</v>
      </c>
      <c r="N87" s="102">
        <f t="shared" si="2"/>
        <v>52.266666666666673</v>
      </c>
      <c r="O87" s="97">
        <v>29.400000000000002</v>
      </c>
      <c r="P87" s="92">
        <v>0</v>
      </c>
      <c r="Q87" s="98">
        <f t="shared" si="3"/>
        <v>29.400000000000002</v>
      </c>
      <c r="R87" s="102" t="str">
        <f>+IF(Q87+N87&lt;=0, "NO COMPRADOR", +IF(Q87&lt;=0, "SIN COMPRA "&amp;+UPPER(TEXT('DINAMICA ENERO 26'!$C$2,"mmm 'yy")), "COMPRADOR"))</f>
        <v>COMPRADOR</v>
      </c>
      <c r="S87" s="100"/>
      <c r="T87" s="101"/>
      <c r="U87" s="100"/>
      <c r="V87" s="100"/>
    </row>
    <row r="88" spans="1:22" s="100" customFormat="1" ht="14" hidden="1">
      <c r="A88" s="88" t="s">
        <v>85</v>
      </c>
      <c r="B88" s="89" t="s">
        <v>157</v>
      </c>
      <c r="C88" s="89" t="s">
        <v>52</v>
      </c>
      <c r="D88" s="103">
        <v>100079674</v>
      </c>
      <c r="E88" s="89" t="s">
        <v>57</v>
      </c>
      <c r="F88" s="89">
        <v>100073876</v>
      </c>
      <c r="G88" s="128" t="s">
        <v>177</v>
      </c>
      <c r="H88" s="91">
        <v>29.400000000000002</v>
      </c>
      <c r="I88" s="92">
        <v>9.8000000000000007</v>
      </c>
      <c r="J88" s="93">
        <v>9.8000000000000007</v>
      </c>
      <c r="K88" s="94">
        <v>19.600000000000001</v>
      </c>
      <c r="L88" s="94">
        <v>0</v>
      </c>
      <c r="M88" s="129">
        <v>19.600000000000001</v>
      </c>
      <c r="N88" s="102">
        <f t="shared" si="2"/>
        <v>13.066666666666668</v>
      </c>
      <c r="O88" s="97">
        <v>9.8000000000000007</v>
      </c>
      <c r="P88" s="92">
        <v>0</v>
      </c>
      <c r="Q88" s="98">
        <f t="shared" si="3"/>
        <v>9.8000000000000007</v>
      </c>
      <c r="R88" s="102" t="str">
        <f>+IF(Q88+N88&lt;=0, "NO COMPRADOR", +IF(Q88&lt;=0, "SIN COMPRA "&amp;+UPPER(TEXT('DINAMICA ENERO 26'!$C$2,"mmm 'yy")), "COMPRADOR"))</f>
        <v>COMPRADOR</v>
      </c>
      <c r="T88" s="101"/>
    </row>
    <row r="89" spans="1:22" s="100" customFormat="1" ht="14" hidden="1">
      <c r="A89" s="88" t="s">
        <v>85</v>
      </c>
      <c r="B89" s="89" t="s">
        <v>157</v>
      </c>
      <c r="C89" s="89" t="s">
        <v>52</v>
      </c>
      <c r="D89" s="103">
        <v>100079674</v>
      </c>
      <c r="E89" s="89" t="s">
        <v>57</v>
      </c>
      <c r="F89" s="89">
        <v>100077196</v>
      </c>
      <c r="G89" s="128" t="s">
        <v>178</v>
      </c>
      <c r="H89" s="91">
        <v>9.8000000000000007</v>
      </c>
      <c r="I89" s="92">
        <v>0</v>
      </c>
      <c r="J89" s="93">
        <v>0</v>
      </c>
      <c r="K89" s="94">
        <v>9.8000000000000007</v>
      </c>
      <c r="L89" s="94">
        <v>19.600000000000001</v>
      </c>
      <c r="M89" s="129">
        <v>9.8000000000000007</v>
      </c>
      <c r="N89" s="102">
        <f t="shared" si="2"/>
        <v>13.066666666666668</v>
      </c>
      <c r="O89" s="97">
        <v>9.8000000000000007</v>
      </c>
      <c r="P89" s="92">
        <v>0</v>
      </c>
      <c r="Q89" s="98">
        <f t="shared" si="3"/>
        <v>9.8000000000000007</v>
      </c>
      <c r="R89" s="102" t="str">
        <f>+IF(Q89+N89&lt;=0, "NO COMPRADOR", +IF(Q89&lt;=0, "SIN COMPRA "&amp;+UPPER(TEXT('DINAMICA ENERO 26'!$C$2,"mmm 'yy")), "COMPRADOR"))</f>
        <v>COMPRADOR</v>
      </c>
      <c r="T89" s="101"/>
    </row>
    <row r="90" spans="1:22" s="104" customFormat="1" ht="14" hidden="1">
      <c r="A90" s="88" t="s">
        <v>85</v>
      </c>
      <c r="B90" s="89" t="s">
        <v>157</v>
      </c>
      <c r="C90" s="89" t="s">
        <v>52</v>
      </c>
      <c r="D90" s="103">
        <v>100079674</v>
      </c>
      <c r="E90" s="89" t="s">
        <v>57</v>
      </c>
      <c r="F90" s="89">
        <v>100063753</v>
      </c>
      <c r="G90" s="128" t="s">
        <v>179</v>
      </c>
      <c r="H90" s="91">
        <v>39.200000000000003</v>
      </c>
      <c r="I90" s="92">
        <v>19.600000000000001</v>
      </c>
      <c r="J90" s="93">
        <v>19.600000000000001</v>
      </c>
      <c r="K90" s="94">
        <v>29.400000000000002</v>
      </c>
      <c r="L90" s="94">
        <v>117.6</v>
      </c>
      <c r="M90" s="129">
        <v>19.600000000000001</v>
      </c>
      <c r="N90" s="102">
        <f t="shared" si="2"/>
        <v>55.533333333333331</v>
      </c>
      <c r="O90" s="97">
        <v>19.600000000000001</v>
      </c>
      <c r="P90" s="92">
        <v>0</v>
      </c>
      <c r="Q90" s="98">
        <f t="shared" si="3"/>
        <v>19.600000000000001</v>
      </c>
      <c r="R90" s="102" t="str">
        <f>+IF(Q90+N90&lt;=0, "NO COMPRADOR", +IF(Q90&lt;=0, "SIN COMPRA "&amp;+UPPER(TEXT('DINAMICA ENERO 26'!$C$2,"mmm 'yy")), "COMPRADOR"))</f>
        <v>COMPRADOR</v>
      </c>
      <c r="S90" s="100"/>
      <c r="T90" s="101"/>
      <c r="U90" s="100"/>
      <c r="V90" s="100"/>
    </row>
    <row r="91" spans="1:22" s="100" customFormat="1" ht="14" hidden="1">
      <c r="A91" s="88" t="s">
        <v>85</v>
      </c>
      <c r="B91" s="89" t="s">
        <v>157</v>
      </c>
      <c r="C91" s="89" t="s">
        <v>52</v>
      </c>
      <c r="D91" s="103">
        <v>100079674</v>
      </c>
      <c r="E91" s="89" t="s">
        <v>57</v>
      </c>
      <c r="F91" s="89">
        <v>100084198</v>
      </c>
      <c r="G91" s="128" t="s">
        <v>180</v>
      </c>
      <c r="H91" s="91">
        <v>9.8000000000000007</v>
      </c>
      <c r="I91" s="92">
        <v>9.8000000000000007</v>
      </c>
      <c r="J91" s="93">
        <v>9.8000000000000007</v>
      </c>
      <c r="K91" s="94">
        <v>0</v>
      </c>
      <c r="L91" s="94">
        <v>19.600000000000001</v>
      </c>
      <c r="M91" s="129">
        <v>49</v>
      </c>
      <c r="N91" s="102">
        <f t="shared" si="2"/>
        <v>22.866666666666664</v>
      </c>
      <c r="O91" s="97">
        <v>0</v>
      </c>
      <c r="P91" s="92">
        <v>0</v>
      </c>
      <c r="Q91" s="98">
        <f t="shared" si="3"/>
        <v>0</v>
      </c>
      <c r="R91" s="102" t="str">
        <f>+IF(Q91+N91&lt;=0, "NO COMPRADOR", +IF(Q91&lt;=0, "SIN COMPRA "&amp;+UPPER(TEXT('DINAMICA ENERO 26'!$C$2,"mmm 'yy")), "COMPRADOR"))</f>
        <v>SIN COMPRA FEB '26</v>
      </c>
      <c r="T91" s="101"/>
    </row>
    <row r="92" spans="1:22" s="100" customFormat="1" ht="14" hidden="1">
      <c r="A92" s="88" t="s">
        <v>85</v>
      </c>
      <c r="B92" s="89" t="s">
        <v>157</v>
      </c>
      <c r="C92" s="89" t="s">
        <v>52</v>
      </c>
      <c r="D92" s="103">
        <v>100079674</v>
      </c>
      <c r="E92" s="89" t="s">
        <v>57</v>
      </c>
      <c r="F92" s="89">
        <v>100084321</v>
      </c>
      <c r="G92" s="128" t="s">
        <v>181</v>
      </c>
      <c r="H92" s="91">
        <v>9.8000000000000007</v>
      </c>
      <c r="I92" s="92">
        <v>19.600000000000001</v>
      </c>
      <c r="J92" s="93">
        <v>0</v>
      </c>
      <c r="K92" s="94">
        <v>9.8000000000000007</v>
      </c>
      <c r="L92" s="94">
        <v>19.600000000000001</v>
      </c>
      <c r="M92" s="129">
        <v>39.200000000000003</v>
      </c>
      <c r="N92" s="102">
        <f t="shared" si="2"/>
        <v>22.866666666666671</v>
      </c>
      <c r="O92" s="97">
        <v>0</v>
      </c>
      <c r="P92" s="92">
        <v>0</v>
      </c>
      <c r="Q92" s="98">
        <f t="shared" si="3"/>
        <v>0</v>
      </c>
      <c r="R92" s="102" t="str">
        <f>+IF(Q92+N92&lt;=0, "NO COMPRADOR", +IF(Q92&lt;=0, "SIN COMPRA "&amp;+UPPER(TEXT('DINAMICA ENERO 26'!$C$2,"mmm 'yy")), "COMPRADOR"))</f>
        <v>SIN COMPRA FEB '26</v>
      </c>
      <c r="T92" s="101"/>
    </row>
    <row r="93" spans="1:22" s="104" customFormat="1" ht="14" hidden="1">
      <c r="A93" s="88" t="s">
        <v>85</v>
      </c>
      <c r="B93" s="89" t="s">
        <v>157</v>
      </c>
      <c r="C93" s="89" t="s">
        <v>52</v>
      </c>
      <c r="D93" s="103">
        <v>100079674</v>
      </c>
      <c r="E93" s="89" t="s">
        <v>57</v>
      </c>
      <c r="F93" s="89">
        <v>100088056</v>
      </c>
      <c r="G93" s="128" t="s">
        <v>182</v>
      </c>
      <c r="H93" s="91">
        <v>9.8000000000000007</v>
      </c>
      <c r="I93" s="92">
        <v>9.8000000000000007</v>
      </c>
      <c r="J93" s="93">
        <v>9.8000000000000007</v>
      </c>
      <c r="K93" s="94">
        <v>19.600000000000001</v>
      </c>
      <c r="L93" s="94">
        <v>19.600000000000001</v>
      </c>
      <c r="M93" s="129">
        <v>19.600000000000001</v>
      </c>
      <c r="N93" s="102">
        <f t="shared" si="2"/>
        <v>19.600000000000001</v>
      </c>
      <c r="O93" s="97">
        <v>39.200000000000003</v>
      </c>
      <c r="P93" s="92">
        <v>0</v>
      </c>
      <c r="Q93" s="98">
        <f t="shared" si="3"/>
        <v>39.200000000000003</v>
      </c>
      <c r="R93" s="102" t="str">
        <f>+IF(Q93+N93&lt;=0, "NO COMPRADOR", +IF(Q93&lt;=0, "SIN COMPRA "&amp;+UPPER(TEXT('DINAMICA ENERO 26'!$C$2,"mmm 'yy")), "COMPRADOR"))</f>
        <v>COMPRADOR</v>
      </c>
      <c r="S93" s="100"/>
      <c r="T93" s="101"/>
      <c r="U93" s="100"/>
      <c r="V93" s="100"/>
    </row>
    <row r="94" spans="1:22" s="100" customFormat="1" ht="14" hidden="1">
      <c r="A94" s="88" t="s">
        <v>85</v>
      </c>
      <c r="B94" s="89" t="s">
        <v>157</v>
      </c>
      <c r="C94" s="89" t="s">
        <v>52</v>
      </c>
      <c r="D94" s="103">
        <v>100079674</v>
      </c>
      <c r="E94" s="89" t="s">
        <v>57</v>
      </c>
      <c r="F94" s="89">
        <v>100089829</v>
      </c>
      <c r="G94" s="128" t="s">
        <v>183</v>
      </c>
      <c r="H94" s="91">
        <v>0</v>
      </c>
      <c r="I94" s="92">
        <v>98</v>
      </c>
      <c r="J94" s="93">
        <v>686</v>
      </c>
      <c r="K94" s="94">
        <v>294</v>
      </c>
      <c r="L94" s="94">
        <v>294</v>
      </c>
      <c r="M94" s="129">
        <v>98</v>
      </c>
      <c r="N94" s="102">
        <f t="shared" si="2"/>
        <v>228.66666666666666</v>
      </c>
      <c r="O94" s="97">
        <v>0</v>
      </c>
      <c r="P94" s="92">
        <v>98</v>
      </c>
      <c r="Q94" s="98">
        <f t="shared" si="3"/>
        <v>98</v>
      </c>
      <c r="R94" s="102" t="str">
        <f>+IF(Q94+N94&lt;=0, "NO COMPRADOR", +IF(Q94&lt;=0, "SIN COMPRA "&amp;+UPPER(TEXT('DINAMICA ENERO 26'!$C$2,"mmm 'yy")), "COMPRADOR"))</f>
        <v>COMPRADOR</v>
      </c>
      <c r="T94" s="101"/>
    </row>
    <row r="95" spans="1:22" s="100" customFormat="1" ht="14" hidden="1">
      <c r="A95" s="88" t="s">
        <v>85</v>
      </c>
      <c r="B95" s="89" t="s">
        <v>157</v>
      </c>
      <c r="C95" s="89" t="s">
        <v>52</v>
      </c>
      <c r="D95" s="103">
        <v>100066856</v>
      </c>
      <c r="E95" s="89" t="s">
        <v>54</v>
      </c>
      <c r="F95" s="89">
        <v>100080175</v>
      </c>
      <c r="G95" s="128" t="s">
        <v>184</v>
      </c>
      <c r="H95" s="91">
        <v>68.600000000000009</v>
      </c>
      <c r="I95" s="92">
        <v>0</v>
      </c>
      <c r="J95" s="93">
        <v>39.200000000000003</v>
      </c>
      <c r="K95" s="94">
        <v>29.400000000000002</v>
      </c>
      <c r="L95" s="94">
        <v>49</v>
      </c>
      <c r="M95" s="129">
        <v>49</v>
      </c>
      <c r="N95" s="102">
        <f t="shared" si="2"/>
        <v>42.466666666666669</v>
      </c>
      <c r="O95" s="97">
        <v>39.200000000000003</v>
      </c>
      <c r="P95" s="92">
        <v>0</v>
      </c>
      <c r="Q95" s="98">
        <f t="shared" si="3"/>
        <v>39.200000000000003</v>
      </c>
      <c r="R95" s="102" t="str">
        <f>+IF(Q95+N95&lt;=0, "NO COMPRADOR", +IF(Q95&lt;=0, "SIN COMPRA "&amp;+UPPER(TEXT('DINAMICA ENERO 26'!$C$2,"mmm 'yy")), "COMPRADOR"))</f>
        <v>COMPRADOR</v>
      </c>
      <c r="T95" s="101"/>
    </row>
    <row r="96" spans="1:22" s="100" customFormat="1" ht="14" hidden="1">
      <c r="A96" s="88" t="s">
        <v>85</v>
      </c>
      <c r="B96" s="89" t="s">
        <v>157</v>
      </c>
      <c r="C96" s="89" t="s">
        <v>52</v>
      </c>
      <c r="D96" s="103">
        <v>100066856</v>
      </c>
      <c r="E96" s="89" t="s">
        <v>54</v>
      </c>
      <c r="F96" s="89">
        <v>100086921</v>
      </c>
      <c r="G96" s="128" t="s">
        <v>185</v>
      </c>
      <c r="H96" s="91">
        <v>39.200000000000003</v>
      </c>
      <c r="I96" s="92">
        <v>9.8000000000000007</v>
      </c>
      <c r="J96" s="93">
        <v>0</v>
      </c>
      <c r="K96" s="94">
        <v>29.400000000000002</v>
      </c>
      <c r="L96" s="94">
        <v>29.400000000000002</v>
      </c>
      <c r="M96" s="129">
        <v>0</v>
      </c>
      <c r="N96" s="102">
        <f t="shared" si="2"/>
        <v>19.600000000000001</v>
      </c>
      <c r="O96" s="97">
        <v>0</v>
      </c>
      <c r="P96" s="92">
        <v>0</v>
      </c>
      <c r="Q96" s="98">
        <f t="shared" si="3"/>
        <v>0</v>
      </c>
      <c r="R96" s="102" t="str">
        <f>+IF(Q96+N96&lt;=0, "NO COMPRADOR", +IF(Q96&lt;=0, "SIN COMPRA "&amp;+UPPER(TEXT('DINAMICA ENERO 26'!$C$2,"mmm 'yy")), "COMPRADOR"))</f>
        <v>SIN COMPRA FEB '26</v>
      </c>
      <c r="T96" s="101"/>
    </row>
    <row r="97" spans="1:22" s="100" customFormat="1" ht="14" hidden="1">
      <c r="A97" s="88" t="s">
        <v>85</v>
      </c>
      <c r="B97" s="89" t="s">
        <v>157</v>
      </c>
      <c r="C97" s="89" t="s">
        <v>52</v>
      </c>
      <c r="D97" s="103">
        <v>100066856</v>
      </c>
      <c r="E97" s="89" t="s">
        <v>54</v>
      </c>
      <c r="F97" s="89">
        <v>100063903</v>
      </c>
      <c r="G97" s="128" t="s">
        <v>186</v>
      </c>
      <c r="H97" s="91">
        <v>19.600000000000001</v>
      </c>
      <c r="I97" s="92">
        <v>9.8000000000000007</v>
      </c>
      <c r="J97" s="93">
        <v>9.8000000000000007</v>
      </c>
      <c r="K97" s="94">
        <v>29.400000000000002</v>
      </c>
      <c r="L97" s="94">
        <v>78.400000000000006</v>
      </c>
      <c r="M97" s="129">
        <v>0</v>
      </c>
      <c r="N97" s="102">
        <f t="shared" si="2"/>
        <v>35.933333333333337</v>
      </c>
      <c r="O97" s="97">
        <v>9.8000000000000007</v>
      </c>
      <c r="P97" s="92">
        <v>0</v>
      </c>
      <c r="Q97" s="98">
        <f t="shared" si="3"/>
        <v>9.8000000000000007</v>
      </c>
      <c r="R97" s="102" t="str">
        <f>+IF(Q97+N97&lt;=0, "NO COMPRADOR", +IF(Q97&lt;=0, "SIN COMPRA "&amp;+UPPER(TEXT('DINAMICA ENERO 26'!$C$2,"mmm 'yy")), "COMPRADOR"))</f>
        <v>COMPRADOR</v>
      </c>
      <c r="T97" s="101"/>
    </row>
    <row r="98" spans="1:22" s="104" customFormat="1" ht="14" hidden="1">
      <c r="A98" s="88" t="s">
        <v>85</v>
      </c>
      <c r="B98" s="89" t="s">
        <v>157</v>
      </c>
      <c r="C98" s="89" t="s">
        <v>52</v>
      </c>
      <c r="D98" s="103">
        <v>100066856</v>
      </c>
      <c r="E98" s="89" t="s">
        <v>54</v>
      </c>
      <c r="F98" s="89">
        <v>100081047</v>
      </c>
      <c r="G98" s="128" t="s">
        <v>187</v>
      </c>
      <c r="H98" s="91">
        <v>9.8000000000000007</v>
      </c>
      <c r="I98" s="92">
        <v>19.600000000000001</v>
      </c>
      <c r="J98" s="93">
        <v>29.400000000000002</v>
      </c>
      <c r="K98" s="94">
        <v>19.600000000000001</v>
      </c>
      <c r="L98" s="94">
        <v>29.400000000000002</v>
      </c>
      <c r="M98" s="129">
        <v>19.600000000000001</v>
      </c>
      <c r="N98" s="102">
        <f t="shared" si="2"/>
        <v>22.866666666666664</v>
      </c>
      <c r="O98" s="97">
        <v>29.400000000000002</v>
      </c>
      <c r="P98" s="92">
        <v>0</v>
      </c>
      <c r="Q98" s="98">
        <f t="shared" si="3"/>
        <v>29.400000000000002</v>
      </c>
      <c r="R98" s="102" t="str">
        <f>+IF(Q98+N98&lt;=0, "NO COMPRADOR", +IF(Q98&lt;=0, "SIN COMPRA "&amp;+UPPER(TEXT('DINAMICA ENERO 26'!$C$2,"mmm 'yy")), "COMPRADOR"))</f>
        <v>COMPRADOR</v>
      </c>
      <c r="S98" s="100"/>
      <c r="T98" s="101"/>
      <c r="U98" s="100"/>
      <c r="V98" s="100"/>
    </row>
    <row r="99" spans="1:22" s="100" customFormat="1" ht="14" hidden="1">
      <c r="A99" s="88" t="s">
        <v>85</v>
      </c>
      <c r="B99" s="89" t="s">
        <v>157</v>
      </c>
      <c r="C99" s="89" t="s">
        <v>52</v>
      </c>
      <c r="D99" s="103">
        <v>100066856</v>
      </c>
      <c r="E99" s="89" t="s">
        <v>54</v>
      </c>
      <c r="F99" s="89">
        <v>100081503</v>
      </c>
      <c r="G99" s="128" t="s">
        <v>188</v>
      </c>
      <c r="H99" s="91">
        <v>9.8000000000000007</v>
      </c>
      <c r="I99" s="92">
        <v>-9.8000000000000007</v>
      </c>
      <c r="J99" s="93">
        <v>0</v>
      </c>
      <c r="K99" s="94">
        <v>0</v>
      </c>
      <c r="L99" s="94">
        <v>0</v>
      </c>
      <c r="M99" s="129">
        <v>0</v>
      </c>
      <c r="N99" s="102">
        <f t="shared" si="2"/>
        <v>0</v>
      </c>
      <c r="O99" s="97">
        <v>0</v>
      </c>
      <c r="P99" s="92">
        <v>0</v>
      </c>
      <c r="Q99" s="98">
        <f t="shared" si="3"/>
        <v>0</v>
      </c>
      <c r="R99" s="102" t="str">
        <f>+IF(Q99+N99&lt;=0, "NO COMPRADOR", +IF(Q99&lt;=0, "SIN COMPRA "&amp;+UPPER(TEXT('DINAMICA ENERO 26'!$C$2,"mmm 'yy")), "COMPRADOR"))</f>
        <v>NO COMPRADOR</v>
      </c>
      <c r="T99" s="101"/>
    </row>
    <row r="100" spans="1:22" s="104" customFormat="1" ht="14" hidden="1">
      <c r="A100" s="88" t="s">
        <v>85</v>
      </c>
      <c r="B100" s="89" t="s">
        <v>157</v>
      </c>
      <c r="C100" s="89" t="s">
        <v>52</v>
      </c>
      <c r="D100" s="103">
        <v>100066856</v>
      </c>
      <c r="E100" s="89" t="s">
        <v>54</v>
      </c>
      <c r="F100" s="89">
        <v>100087607</v>
      </c>
      <c r="G100" s="128" t="s">
        <v>189</v>
      </c>
      <c r="H100" s="91">
        <v>9.8000000000000007</v>
      </c>
      <c r="I100" s="92">
        <v>98</v>
      </c>
      <c r="J100" s="93">
        <v>0</v>
      </c>
      <c r="K100" s="94">
        <v>9.8000000000000007</v>
      </c>
      <c r="L100" s="94">
        <v>19.600000000000001</v>
      </c>
      <c r="M100" s="129">
        <v>29.400000000000002</v>
      </c>
      <c r="N100" s="102">
        <f t="shared" si="2"/>
        <v>19.600000000000001</v>
      </c>
      <c r="O100" s="97">
        <v>0</v>
      </c>
      <c r="P100" s="92">
        <v>0</v>
      </c>
      <c r="Q100" s="98">
        <f t="shared" si="3"/>
        <v>0</v>
      </c>
      <c r="R100" s="102" t="str">
        <f>+IF(Q100+N100&lt;=0, "NO COMPRADOR", +IF(Q100&lt;=0, "SIN COMPRA "&amp;+UPPER(TEXT('DINAMICA ENERO 26'!$C$2,"mmm 'yy")), "COMPRADOR"))</f>
        <v>SIN COMPRA FEB '26</v>
      </c>
      <c r="S100" s="100"/>
      <c r="T100" s="101"/>
      <c r="U100" s="100"/>
      <c r="V100" s="100"/>
    </row>
    <row r="101" spans="1:22" s="104" customFormat="1" ht="14" hidden="1">
      <c r="A101" s="88" t="s">
        <v>85</v>
      </c>
      <c r="B101" s="89" t="s">
        <v>157</v>
      </c>
      <c r="C101" s="89" t="s">
        <v>52</v>
      </c>
      <c r="D101" s="103">
        <v>100066856</v>
      </c>
      <c r="E101" s="89" t="s">
        <v>54</v>
      </c>
      <c r="F101" s="89">
        <v>100088062</v>
      </c>
      <c r="G101" s="128" t="s">
        <v>190</v>
      </c>
      <c r="H101" s="91">
        <v>9.8000000000000007</v>
      </c>
      <c r="I101" s="92">
        <v>68.599999999999994</v>
      </c>
      <c r="J101" s="93">
        <v>-9.8000000000000007</v>
      </c>
      <c r="K101" s="94">
        <v>58.8</v>
      </c>
      <c r="L101" s="94">
        <v>215.60000000000002</v>
      </c>
      <c r="M101" s="129">
        <v>-176.4</v>
      </c>
      <c r="N101" s="102">
        <f t="shared" si="2"/>
        <v>32.666666666666679</v>
      </c>
      <c r="O101" s="97">
        <v>0</v>
      </c>
      <c r="P101" s="92">
        <v>0</v>
      </c>
      <c r="Q101" s="98">
        <f t="shared" si="3"/>
        <v>0</v>
      </c>
      <c r="R101" s="102" t="str">
        <f>+IF(Q101+N101&lt;=0, "NO COMPRADOR", +IF(Q101&lt;=0, "SIN COMPRA "&amp;+UPPER(TEXT('DINAMICA ENERO 26'!$C$2,"mmm 'yy")), "COMPRADOR"))</f>
        <v>SIN COMPRA FEB '26</v>
      </c>
      <c r="S101" s="100"/>
      <c r="T101" s="101"/>
      <c r="U101" s="100"/>
      <c r="V101" s="100"/>
    </row>
    <row r="102" spans="1:22" s="104" customFormat="1" ht="14" hidden="1">
      <c r="A102" s="88" t="s">
        <v>85</v>
      </c>
      <c r="B102" s="89" t="s">
        <v>157</v>
      </c>
      <c r="C102" s="89" t="s">
        <v>52</v>
      </c>
      <c r="D102" s="103">
        <v>100066856</v>
      </c>
      <c r="E102" s="89" t="s">
        <v>54</v>
      </c>
      <c r="F102" s="89">
        <v>100087789</v>
      </c>
      <c r="G102" s="128" t="s">
        <v>191</v>
      </c>
      <c r="H102" s="91">
        <v>19.600000000000001</v>
      </c>
      <c r="I102" s="92">
        <v>39.200000000000003</v>
      </c>
      <c r="J102" s="93">
        <v>39.200000000000003</v>
      </c>
      <c r="K102" s="94">
        <v>19.600000000000001</v>
      </c>
      <c r="L102" s="94">
        <v>19.600000000000001</v>
      </c>
      <c r="M102" s="129">
        <v>49</v>
      </c>
      <c r="N102" s="102">
        <f t="shared" si="2"/>
        <v>29.400000000000002</v>
      </c>
      <c r="O102" s="97">
        <v>9.8000000000000007</v>
      </c>
      <c r="P102" s="92">
        <v>0</v>
      </c>
      <c r="Q102" s="98">
        <f t="shared" si="3"/>
        <v>9.8000000000000007</v>
      </c>
      <c r="R102" s="102" t="str">
        <f>+IF(Q102+N102&lt;=0, "NO COMPRADOR", +IF(Q102&lt;=0, "SIN COMPRA "&amp;+UPPER(TEXT('DINAMICA ENERO 26'!$C$2,"mmm 'yy")), "COMPRADOR"))</f>
        <v>COMPRADOR</v>
      </c>
      <c r="S102" s="100"/>
      <c r="T102" s="101"/>
      <c r="U102" s="100"/>
      <c r="V102" s="100"/>
    </row>
    <row r="103" spans="1:22" s="104" customFormat="1" ht="14" hidden="1">
      <c r="A103" s="88" t="s">
        <v>85</v>
      </c>
      <c r="B103" s="89" t="s">
        <v>157</v>
      </c>
      <c r="C103" s="89" t="s">
        <v>52</v>
      </c>
      <c r="D103" s="103">
        <v>100066856</v>
      </c>
      <c r="E103" s="89" t="s">
        <v>54</v>
      </c>
      <c r="F103" s="89">
        <v>100016352</v>
      </c>
      <c r="G103" s="128" t="s">
        <v>192</v>
      </c>
      <c r="H103" s="91">
        <v>0</v>
      </c>
      <c r="I103" s="92">
        <v>0</v>
      </c>
      <c r="J103" s="93">
        <v>0</v>
      </c>
      <c r="K103" s="94">
        <v>9.8000000000000007</v>
      </c>
      <c r="L103" s="94">
        <v>0</v>
      </c>
      <c r="M103" s="129">
        <v>0</v>
      </c>
      <c r="N103" s="102">
        <f t="shared" si="2"/>
        <v>3.2666666666666671</v>
      </c>
      <c r="O103" s="97">
        <v>0</v>
      </c>
      <c r="P103" s="92">
        <v>0</v>
      </c>
      <c r="Q103" s="98">
        <f t="shared" si="3"/>
        <v>0</v>
      </c>
      <c r="R103" s="102" t="str">
        <f>+IF(Q103+N103&lt;=0, "NO COMPRADOR", +IF(Q103&lt;=0, "SIN COMPRA "&amp;+UPPER(TEXT('DINAMICA ENERO 26'!$C$2,"mmm 'yy")), "COMPRADOR"))</f>
        <v>SIN COMPRA FEB '26</v>
      </c>
      <c r="S103" s="100"/>
      <c r="T103" s="101"/>
      <c r="U103" s="100"/>
      <c r="V103" s="100"/>
    </row>
    <row r="104" spans="1:22" s="100" customFormat="1" ht="14" hidden="1">
      <c r="A104" s="88" t="s">
        <v>85</v>
      </c>
      <c r="B104" s="89" t="s">
        <v>157</v>
      </c>
      <c r="C104" s="89" t="s">
        <v>52</v>
      </c>
      <c r="D104" s="103">
        <v>100066856</v>
      </c>
      <c r="E104" s="89" t="s">
        <v>54</v>
      </c>
      <c r="F104" s="89">
        <v>100083764</v>
      </c>
      <c r="G104" s="128" t="s">
        <v>193</v>
      </c>
      <c r="H104" s="91">
        <v>9.8000000000000007</v>
      </c>
      <c r="I104" s="92">
        <v>49</v>
      </c>
      <c r="J104" s="93">
        <v>9.8000000000000007</v>
      </c>
      <c r="K104" s="94">
        <v>107.8</v>
      </c>
      <c r="L104" s="94">
        <v>58.800000000000004</v>
      </c>
      <c r="M104" s="129">
        <v>-58.800000000000004</v>
      </c>
      <c r="N104" s="102">
        <f t="shared" si="2"/>
        <v>35.93333333333333</v>
      </c>
      <c r="O104" s="97">
        <v>0</v>
      </c>
      <c r="P104" s="92">
        <v>0</v>
      </c>
      <c r="Q104" s="98">
        <f t="shared" si="3"/>
        <v>0</v>
      </c>
      <c r="R104" s="102" t="str">
        <f>+IF(Q104+N104&lt;=0, "NO COMPRADOR", +IF(Q104&lt;=0, "SIN COMPRA "&amp;+UPPER(TEXT('DINAMICA ENERO 26'!$C$2,"mmm 'yy")), "COMPRADOR"))</f>
        <v>SIN COMPRA FEB '26</v>
      </c>
      <c r="T104" s="101"/>
    </row>
    <row r="105" spans="1:22" s="100" customFormat="1" ht="14" hidden="1">
      <c r="A105" s="88" t="s">
        <v>85</v>
      </c>
      <c r="B105" s="89" t="s">
        <v>157</v>
      </c>
      <c r="C105" s="89" t="s">
        <v>52</v>
      </c>
      <c r="D105" s="103">
        <v>100066856</v>
      </c>
      <c r="E105" s="89" t="s">
        <v>54</v>
      </c>
      <c r="F105" s="89">
        <v>100071616</v>
      </c>
      <c r="G105" s="128" t="s">
        <v>194</v>
      </c>
      <c r="H105" s="91">
        <v>107.8</v>
      </c>
      <c r="I105" s="92">
        <v>205.8</v>
      </c>
      <c r="J105" s="93">
        <v>480.20000000000005</v>
      </c>
      <c r="K105" s="94">
        <v>245</v>
      </c>
      <c r="L105" s="94">
        <v>156.80000000000001</v>
      </c>
      <c r="M105" s="129">
        <v>529.20000000000005</v>
      </c>
      <c r="N105" s="102">
        <f t="shared" si="2"/>
        <v>310.33333333333331</v>
      </c>
      <c r="O105" s="97">
        <v>0</v>
      </c>
      <c r="P105" s="92">
        <v>0</v>
      </c>
      <c r="Q105" s="98">
        <f t="shared" si="3"/>
        <v>0</v>
      </c>
      <c r="R105" s="102" t="str">
        <f>+IF(Q105+N105&lt;=0, "NO COMPRADOR", +IF(Q105&lt;=0, "SIN COMPRA "&amp;+UPPER(TEXT('DINAMICA ENERO 26'!$C$2,"mmm 'yy")), "COMPRADOR"))</f>
        <v>SIN COMPRA FEB '26</v>
      </c>
      <c r="T105" s="101"/>
    </row>
    <row r="106" spans="1:22" s="100" customFormat="1" ht="14" hidden="1">
      <c r="A106" s="88" t="s">
        <v>85</v>
      </c>
      <c r="B106" s="89" t="s">
        <v>157</v>
      </c>
      <c r="C106" s="89" t="s">
        <v>52</v>
      </c>
      <c r="D106" s="103">
        <v>100066856</v>
      </c>
      <c r="E106" s="89" t="s">
        <v>54</v>
      </c>
      <c r="F106" s="89">
        <v>100011726</v>
      </c>
      <c r="G106" s="128" t="s">
        <v>195</v>
      </c>
      <c r="H106" s="91">
        <v>0</v>
      </c>
      <c r="I106" s="92">
        <v>0</v>
      </c>
      <c r="J106" s="93">
        <v>0</v>
      </c>
      <c r="K106" s="94">
        <v>0</v>
      </c>
      <c r="L106" s="94">
        <v>9.8000000000000007</v>
      </c>
      <c r="M106" s="129">
        <v>0</v>
      </c>
      <c r="N106" s="102">
        <f t="shared" si="2"/>
        <v>3.2666666666666671</v>
      </c>
      <c r="O106" s="97">
        <v>0</v>
      </c>
      <c r="P106" s="92">
        <v>0</v>
      </c>
      <c r="Q106" s="98">
        <f t="shared" si="3"/>
        <v>0</v>
      </c>
      <c r="R106" s="102" t="str">
        <f>+IF(Q106+N106&lt;=0, "NO COMPRADOR", +IF(Q106&lt;=0, "SIN COMPRA "&amp;+UPPER(TEXT('DINAMICA ENERO 26'!$C$2,"mmm 'yy")), "COMPRADOR"))</f>
        <v>SIN COMPRA FEB '26</v>
      </c>
      <c r="T106" s="101"/>
    </row>
    <row r="107" spans="1:22" s="100" customFormat="1" ht="14" hidden="1">
      <c r="A107" s="88" t="s">
        <v>85</v>
      </c>
      <c r="B107" s="89" t="s">
        <v>157</v>
      </c>
      <c r="C107" s="89" t="s">
        <v>52</v>
      </c>
      <c r="D107" s="103">
        <v>100066856</v>
      </c>
      <c r="E107" s="89" t="s">
        <v>54</v>
      </c>
      <c r="F107" s="89">
        <v>100077612</v>
      </c>
      <c r="G107" s="128" t="s">
        <v>196</v>
      </c>
      <c r="H107" s="91">
        <v>9.8000000000000007</v>
      </c>
      <c r="I107" s="92">
        <v>0</v>
      </c>
      <c r="J107" s="93">
        <v>0</v>
      </c>
      <c r="K107" s="94">
        <v>9.8000000000000007</v>
      </c>
      <c r="L107" s="94">
        <v>0</v>
      </c>
      <c r="M107" s="129">
        <v>29.400000000000002</v>
      </c>
      <c r="N107" s="102">
        <f t="shared" si="2"/>
        <v>13.066666666666668</v>
      </c>
      <c r="O107" s="97">
        <v>0</v>
      </c>
      <c r="P107" s="92">
        <v>0</v>
      </c>
      <c r="Q107" s="98">
        <f t="shared" si="3"/>
        <v>0</v>
      </c>
      <c r="R107" s="102" t="str">
        <f>+IF(Q107+N107&lt;=0, "NO COMPRADOR", +IF(Q107&lt;=0, "SIN COMPRA "&amp;+UPPER(TEXT('DINAMICA ENERO 26'!$C$2,"mmm 'yy")), "COMPRADOR"))</f>
        <v>SIN COMPRA FEB '26</v>
      </c>
      <c r="T107" s="101"/>
    </row>
    <row r="108" spans="1:22" s="100" customFormat="1" ht="14" hidden="1">
      <c r="A108" s="88" t="s">
        <v>85</v>
      </c>
      <c r="B108" s="89" t="s">
        <v>157</v>
      </c>
      <c r="C108" s="89" t="s">
        <v>52</v>
      </c>
      <c r="D108" s="103">
        <v>100066856</v>
      </c>
      <c r="E108" s="89" t="s">
        <v>54</v>
      </c>
      <c r="F108" s="89">
        <v>100073860</v>
      </c>
      <c r="G108" s="128" t="s">
        <v>197</v>
      </c>
      <c r="H108" s="91">
        <v>9.8000000000000007</v>
      </c>
      <c r="I108" s="92">
        <v>19.600000000000001</v>
      </c>
      <c r="J108" s="93">
        <v>19.600000000000001</v>
      </c>
      <c r="K108" s="94">
        <v>78.400000000000006</v>
      </c>
      <c r="L108" s="94">
        <v>68.600000000000009</v>
      </c>
      <c r="M108" s="129">
        <v>98</v>
      </c>
      <c r="N108" s="102">
        <f t="shared" si="2"/>
        <v>81.666666666666671</v>
      </c>
      <c r="O108" s="97">
        <v>107.80000000000001</v>
      </c>
      <c r="P108" s="92">
        <v>0</v>
      </c>
      <c r="Q108" s="98">
        <f t="shared" si="3"/>
        <v>107.80000000000001</v>
      </c>
      <c r="R108" s="102" t="str">
        <f>+IF(Q108+N108&lt;=0, "NO COMPRADOR", +IF(Q108&lt;=0, "SIN COMPRA "&amp;+UPPER(TEXT('DINAMICA ENERO 26'!$C$2,"mmm 'yy")), "COMPRADOR"))</f>
        <v>COMPRADOR</v>
      </c>
      <c r="T108" s="101"/>
    </row>
    <row r="109" spans="1:22" s="104" customFormat="1" ht="14" hidden="1">
      <c r="A109" s="88" t="s">
        <v>85</v>
      </c>
      <c r="B109" s="89" t="s">
        <v>157</v>
      </c>
      <c r="C109" s="89" t="s">
        <v>52</v>
      </c>
      <c r="D109" s="103">
        <v>100066856</v>
      </c>
      <c r="E109" s="89" t="s">
        <v>54</v>
      </c>
      <c r="F109" s="89">
        <v>100002246</v>
      </c>
      <c r="G109" s="128" t="s">
        <v>198</v>
      </c>
      <c r="H109" s="91">
        <v>0</v>
      </c>
      <c r="I109" s="92">
        <v>0</v>
      </c>
      <c r="J109" s="93">
        <v>0</v>
      </c>
      <c r="K109" s="94">
        <v>0</v>
      </c>
      <c r="L109" s="94">
        <v>0</v>
      </c>
      <c r="M109" s="129">
        <v>0</v>
      </c>
      <c r="N109" s="102">
        <f t="shared" si="2"/>
        <v>0</v>
      </c>
      <c r="O109" s="97">
        <v>0</v>
      </c>
      <c r="P109" s="92">
        <v>0</v>
      </c>
      <c r="Q109" s="98">
        <f t="shared" si="3"/>
        <v>0</v>
      </c>
      <c r="R109" s="102" t="str">
        <f>+IF(Q109+N109&lt;=0, "NO COMPRADOR", +IF(Q109&lt;=0, "SIN COMPRA "&amp;+UPPER(TEXT('DINAMICA ENERO 26'!$C$2,"mmm 'yy")), "COMPRADOR"))</f>
        <v>NO COMPRADOR</v>
      </c>
      <c r="S109" s="100"/>
      <c r="T109" s="101"/>
      <c r="U109" s="100"/>
      <c r="V109" s="100"/>
    </row>
    <row r="110" spans="1:22" s="104" customFormat="1" ht="14" hidden="1">
      <c r="A110" s="88" t="s">
        <v>85</v>
      </c>
      <c r="B110" s="89" t="s">
        <v>157</v>
      </c>
      <c r="C110" s="89" t="s">
        <v>52</v>
      </c>
      <c r="D110" s="103">
        <v>100066856</v>
      </c>
      <c r="E110" s="89" t="s">
        <v>54</v>
      </c>
      <c r="F110" s="89">
        <v>100071232</v>
      </c>
      <c r="G110" s="128" t="s">
        <v>199</v>
      </c>
      <c r="H110" s="91">
        <v>19.600000000000001</v>
      </c>
      <c r="I110" s="92">
        <v>0</v>
      </c>
      <c r="J110" s="93">
        <v>0</v>
      </c>
      <c r="K110" s="94">
        <v>0</v>
      </c>
      <c r="L110" s="94">
        <v>19.600000000000001</v>
      </c>
      <c r="M110" s="129">
        <v>0</v>
      </c>
      <c r="N110" s="102">
        <f t="shared" si="2"/>
        <v>6.5333333333333341</v>
      </c>
      <c r="O110" s="97">
        <v>0</v>
      </c>
      <c r="P110" s="92">
        <v>0</v>
      </c>
      <c r="Q110" s="98">
        <f t="shared" si="3"/>
        <v>0</v>
      </c>
      <c r="R110" s="102" t="str">
        <f>+IF(Q110+N110&lt;=0, "NO COMPRADOR", +IF(Q110&lt;=0, "SIN COMPRA "&amp;+UPPER(TEXT('DINAMICA ENERO 26'!$C$2,"mmm 'yy")), "COMPRADOR"))</f>
        <v>SIN COMPRA FEB '26</v>
      </c>
      <c r="S110" s="100"/>
      <c r="T110" s="101"/>
      <c r="U110" s="100"/>
      <c r="V110" s="100"/>
    </row>
    <row r="111" spans="1:22" s="100" customFormat="1" ht="14" hidden="1">
      <c r="A111" s="88" t="s">
        <v>85</v>
      </c>
      <c r="B111" s="89" t="s">
        <v>157</v>
      </c>
      <c r="C111" s="89" t="s">
        <v>52</v>
      </c>
      <c r="D111" s="103">
        <v>100066856</v>
      </c>
      <c r="E111" s="89" t="s">
        <v>54</v>
      </c>
      <c r="F111" s="89">
        <v>100076868</v>
      </c>
      <c r="G111" s="128" t="s">
        <v>200</v>
      </c>
      <c r="H111" s="91">
        <v>49</v>
      </c>
      <c r="I111" s="92">
        <v>49</v>
      </c>
      <c r="J111" s="93">
        <v>39.200000000000003</v>
      </c>
      <c r="K111" s="94">
        <v>156.80000000000001</v>
      </c>
      <c r="L111" s="94">
        <v>49</v>
      </c>
      <c r="M111" s="129">
        <v>235.20000000000002</v>
      </c>
      <c r="N111" s="102">
        <f t="shared" si="2"/>
        <v>147</v>
      </c>
      <c r="O111" s="97">
        <v>0</v>
      </c>
      <c r="P111" s="92">
        <v>0</v>
      </c>
      <c r="Q111" s="98">
        <f t="shared" si="3"/>
        <v>0</v>
      </c>
      <c r="R111" s="102" t="str">
        <f>+IF(Q111+N111&lt;=0, "NO COMPRADOR", +IF(Q111&lt;=0, "SIN COMPRA "&amp;+UPPER(TEXT('DINAMICA ENERO 26'!$C$2,"mmm 'yy")), "COMPRADOR"))</f>
        <v>SIN COMPRA FEB '26</v>
      </c>
      <c r="T111" s="101"/>
    </row>
    <row r="112" spans="1:22" s="100" customFormat="1" ht="14" hidden="1">
      <c r="A112" s="88" t="s">
        <v>85</v>
      </c>
      <c r="B112" s="89" t="s">
        <v>157</v>
      </c>
      <c r="C112" s="89" t="s">
        <v>52</v>
      </c>
      <c r="D112" s="103">
        <v>100066856</v>
      </c>
      <c r="E112" s="89" t="s">
        <v>54</v>
      </c>
      <c r="F112" s="89">
        <v>100007082</v>
      </c>
      <c r="G112" s="128" t="s">
        <v>201</v>
      </c>
      <c r="H112" s="91">
        <v>9.8000000000000007</v>
      </c>
      <c r="I112" s="92">
        <v>0</v>
      </c>
      <c r="J112" s="93">
        <v>0</v>
      </c>
      <c r="K112" s="94">
        <v>9.8000000000000007</v>
      </c>
      <c r="L112" s="94">
        <v>29.400000000000002</v>
      </c>
      <c r="M112" s="129">
        <v>0</v>
      </c>
      <c r="N112" s="102">
        <f t="shared" si="2"/>
        <v>13.066666666666668</v>
      </c>
      <c r="O112" s="97">
        <v>0</v>
      </c>
      <c r="P112" s="92">
        <v>0</v>
      </c>
      <c r="Q112" s="98">
        <f t="shared" si="3"/>
        <v>0</v>
      </c>
      <c r="R112" s="102" t="str">
        <f>+IF(Q112+N112&lt;=0, "NO COMPRADOR", +IF(Q112&lt;=0, "SIN COMPRA "&amp;+UPPER(TEXT('DINAMICA ENERO 26'!$C$2,"mmm 'yy")), "COMPRADOR"))</f>
        <v>SIN COMPRA FEB '26</v>
      </c>
      <c r="T112" s="101"/>
    </row>
    <row r="113" spans="1:22" s="104" customFormat="1" ht="14" hidden="1">
      <c r="A113" s="88" t="s">
        <v>85</v>
      </c>
      <c r="B113" s="89" t="s">
        <v>157</v>
      </c>
      <c r="C113" s="89" t="s">
        <v>52</v>
      </c>
      <c r="D113" s="103">
        <v>100066856</v>
      </c>
      <c r="E113" s="89" t="s">
        <v>54</v>
      </c>
      <c r="F113" s="89">
        <v>100084941</v>
      </c>
      <c r="G113" s="128" t="s">
        <v>202</v>
      </c>
      <c r="H113" s="91">
        <v>0</v>
      </c>
      <c r="I113" s="92">
        <v>0</v>
      </c>
      <c r="J113" s="93">
        <v>0</v>
      </c>
      <c r="K113" s="94">
        <v>0</v>
      </c>
      <c r="L113" s="94">
        <v>0</v>
      </c>
      <c r="M113" s="129">
        <v>0</v>
      </c>
      <c r="N113" s="102">
        <f t="shared" si="2"/>
        <v>0</v>
      </c>
      <c r="O113" s="97">
        <v>58.800000000000004</v>
      </c>
      <c r="P113" s="92">
        <v>0</v>
      </c>
      <c r="Q113" s="98">
        <f t="shared" si="3"/>
        <v>58.800000000000004</v>
      </c>
      <c r="R113" s="102" t="str">
        <f>+IF(Q113+N113&lt;=0, "NO COMPRADOR", +IF(Q113&lt;=0, "SIN COMPRA "&amp;+UPPER(TEXT('DINAMICA ENERO 26'!$C$2,"mmm 'yy")), "COMPRADOR"))</f>
        <v>COMPRADOR</v>
      </c>
      <c r="S113" s="100"/>
      <c r="T113" s="101"/>
      <c r="U113" s="100"/>
      <c r="V113" s="100"/>
    </row>
    <row r="114" spans="1:22" s="100" customFormat="1" ht="14" hidden="1">
      <c r="A114" s="88" t="s">
        <v>85</v>
      </c>
      <c r="B114" s="89" t="s">
        <v>157</v>
      </c>
      <c r="C114" s="89" t="s">
        <v>52</v>
      </c>
      <c r="D114" s="103">
        <v>100066856</v>
      </c>
      <c r="E114" s="89" t="s">
        <v>54</v>
      </c>
      <c r="F114" s="89">
        <v>100071677</v>
      </c>
      <c r="G114" s="128" t="s">
        <v>203</v>
      </c>
      <c r="H114" s="91">
        <v>0</v>
      </c>
      <c r="I114" s="92">
        <v>19.600000000000001</v>
      </c>
      <c r="J114" s="93">
        <v>0</v>
      </c>
      <c r="K114" s="94">
        <v>0</v>
      </c>
      <c r="L114" s="94">
        <v>49</v>
      </c>
      <c r="M114" s="129">
        <v>0</v>
      </c>
      <c r="N114" s="102">
        <f t="shared" si="2"/>
        <v>16.333333333333332</v>
      </c>
      <c r="O114" s="97">
        <v>0</v>
      </c>
      <c r="P114" s="92">
        <v>0</v>
      </c>
      <c r="Q114" s="98">
        <f t="shared" si="3"/>
        <v>0</v>
      </c>
      <c r="R114" s="102" t="str">
        <f>+IF(Q114+N114&lt;=0, "NO COMPRADOR", +IF(Q114&lt;=0, "SIN COMPRA "&amp;+UPPER(TEXT('DINAMICA ENERO 26'!$C$2,"mmm 'yy")), "COMPRADOR"))</f>
        <v>SIN COMPRA FEB '26</v>
      </c>
      <c r="T114" s="101"/>
    </row>
    <row r="115" spans="1:22" s="100" customFormat="1" ht="14" hidden="1">
      <c r="A115" s="88" t="s">
        <v>85</v>
      </c>
      <c r="B115" s="89" t="s">
        <v>204</v>
      </c>
      <c r="C115" s="89" t="s">
        <v>52</v>
      </c>
      <c r="D115" s="103">
        <v>100089701</v>
      </c>
      <c r="E115" s="89" t="s">
        <v>58</v>
      </c>
      <c r="F115" s="89">
        <v>100082346</v>
      </c>
      <c r="G115" s="128" t="s">
        <v>205</v>
      </c>
      <c r="H115" s="91">
        <v>313.60000000000002</v>
      </c>
      <c r="I115" s="92">
        <v>343</v>
      </c>
      <c r="J115" s="93">
        <v>245</v>
      </c>
      <c r="K115" s="94">
        <v>205.8</v>
      </c>
      <c r="L115" s="94">
        <v>313.60000000000002</v>
      </c>
      <c r="M115" s="129">
        <v>205.8</v>
      </c>
      <c r="N115" s="102">
        <f t="shared" si="2"/>
        <v>241.73333333333335</v>
      </c>
      <c r="O115" s="97">
        <v>166.60000000000002</v>
      </c>
      <c r="P115" s="92">
        <v>0</v>
      </c>
      <c r="Q115" s="98">
        <f t="shared" si="3"/>
        <v>166.60000000000002</v>
      </c>
      <c r="R115" s="102" t="str">
        <f>+IF(Q115+N115&lt;=0, "NO COMPRADOR", +IF(Q115&lt;=0, "SIN COMPRA "&amp;+UPPER(TEXT('DINAMICA ENERO 26'!$C$2,"mmm 'yy")), "COMPRADOR"))</f>
        <v>COMPRADOR</v>
      </c>
      <c r="T115" s="101"/>
    </row>
    <row r="116" spans="1:22" s="100" customFormat="1" ht="14" hidden="1">
      <c r="A116" s="88" t="s">
        <v>85</v>
      </c>
      <c r="B116" s="89" t="s">
        <v>204</v>
      </c>
      <c r="C116" s="89" t="s">
        <v>52</v>
      </c>
      <c r="D116" s="103">
        <v>100089701</v>
      </c>
      <c r="E116" s="89" t="s">
        <v>58</v>
      </c>
      <c r="F116" s="89">
        <v>100009863</v>
      </c>
      <c r="G116" s="128" t="s">
        <v>206</v>
      </c>
      <c r="H116" s="91">
        <v>0</v>
      </c>
      <c r="I116" s="92">
        <v>19.600000000000001</v>
      </c>
      <c r="J116" s="93">
        <v>39.200000000000003</v>
      </c>
      <c r="K116" s="94">
        <v>19.600000000000001</v>
      </c>
      <c r="L116" s="94">
        <v>29.400000000000002</v>
      </c>
      <c r="M116" s="129">
        <v>0</v>
      </c>
      <c r="N116" s="102">
        <f t="shared" si="2"/>
        <v>16.333333333333332</v>
      </c>
      <c r="O116" s="97">
        <v>0</v>
      </c>
      <c r="P116" s="92">
        <v>0</v>
      </c>
      <c r="Q116" s="98">
        <f t="shared" si="3"/>
        <v>0</v>
      </c>
      <c r="R116" s="102" t="str">
        <f>+IF(Q116+N116&lt;=0, "NO COMPRADOR", +IF(Q116&lt;=0, "SIN COMPRA "&amp;+UPPER(TEXT('DINAMICA ENERO 26'!$C$2,"mmm 'yy")), "COMPRADOR"))</f>
        <v>SIN COMPRA FEB '26</v>
      </c>
      <c r="T116" s="101"/>
    </row>
    <row r="117" spans="1:22" s="100" customFormat="1" ht="14" hidden="1">
      <c r="A117" s="88" t="s">
        <v>85</v>
      </c>
      <c r="B117" s="89" t="s">
        <v>204</v>
      </c>
      <c r="C117" s="89" t="s">
        <v>52</v>
      </c>
      <c r="D117" s="103">
        <v>100089701</v>
      </c>
      <c r="E117" s="89" t="s">
        <v>58</v>
      </c>
      <c r="F117" s="89">
        <v>100080357</v>
      </c>
      <c r="G117" s="128" t="s">
        <v>207</v>
      </c>
      <c r="H117" s="91">
        <v>9.8000000000000007</v>
      </c>
      <c r="I117" s="92">
        <v>49</v>
      </c>
      <c r="J117" s="93">
        <v>117.6</v>
      </c>
      <c r="K117" s="94">
        <v>9.8000000000000007</v>
      </c>
      <c r="L117" s="94">
        <v>78.400000000000006</v>
      </c>
      <c r="M117" s="129">
        <v>39.200000000000003</v>
      </c>
      <c r="N117" s="102">
        <f t="shared" si="2"/>
        <v>42.466666666666669</v>
      </c>
      <c r="O117" s="97">
        <v>39.200000000000003</v>
      </c>
      <c r="P117" s="92">
        <v>0</v>
      </c>
      <c r="Q117" s="98">
        <f t="shared" si="3"/>
        <v>39.200000000000003</v>
      </c>
      <c r="R117" s="102" t="str">
        <f>+IF(Q117+N117&lt;=0, "NO COMPRADOR", +IF(Q117&lt;=0, "SIN COMPRA "&amp;+UPPER(TEXT('DINAMICA ENERO 26'!$C$2,"mmm 'yy")), "COMPRADOR"))</f>
        <v>COMPRADOR</v>
      </c>
      <c r="T117" s="101"/>
    </row>
    <row r="118" spans="1:22" s="100" customFormat="1" ht="14" hidden="1">
      <c r="A118" s="88" t="s">
        <v>85</v>
      </c>
      <c r="B118" s="89" t="s">
        <v>204</v>
      </c>
      <c r="C118" s="89" t="s">
        <v>52</v>
      </c>
      <c r="D118" s="103">
        <v>100089701</v>
      </c>
      <c r="E118" s="89" t="s">
        <v>58</v>
      </c>
      <c r="F118" s="89">
        <v>100046307</v>
      </c>
      <c r="G118" s="128" t="s">
        <v>208</v>
      </c>
      <c r="H118" s="91">
        <v>39.200000000000003</v>
      </c>
      <c r="I118" s="92">
        <v>19.600000000000001</v>
      </c>
      <c r="J118" s="93">
        <v>0</v>
      </c>
      <c r="K118" s="94">
        <v>19.600000000000001</v>
      </c>
      <c r="L118" s="94">
        <v>9.8000000000000007</v>
      </c>
      <c r="M118" s="129">
        <v>0</v>
      </c>
      <c r="N118" s="102">
        <f t="shared" si="2"/>
        <v>9.8000000000000007</v>
      </c>
      <c r="O118" s="97">
        <v>0</v>
      </c>
      <c r="P118" s="92">
        <v>0</v>
      </c>
      <c r="Q118" s="98">
        <f t="shared" si="3"/>
        <v>0</v>
      </c>
      <c r="R118" s="102" t="str">
        <f>+IF(Q118+N118&lt;=0, "NO COMPRADOR", +IF(Q118&lt;=0, "SIN COMPRA "&amp;+UPPER(TEXT('DINAMICA ENERO 26'!$C$2,"mmm 'yy")), "COMPRADOR"))</f>
        <v>SIN COMPRA FEB '26</v>
      </c>
      <c r="T118" s="101"/>
    </row>
    <row r="119" spans="1:22" s="104" customFormat="1" ht="14" hidden="1">
      <c r="A119" s="88" t="s">
        <v>85</v>
      </c>
      <c r="B119" s="89" t="s">
        <v>204</v>
      </c>
      <c r="C119" s="89" t="s">
        <v>52</v>
      </c>
      <c r="D119" s="103">
        <v>100089701</v>
      </c>
      <c r="E119" s="89" t="s">
        <v>58</v>
      </c>
      <c r="F119" s="89">
        <v>100087065</v>
      </c>
      <c r="G119" s="128" t="s">
        <v>209</v>
      </c>
      <c r="H119" s="91">
        <v>29.400000000000002</v>
      </c>
      <c r="I119" s="92">
        <v>88.2</v>
      </c>
      <c r="J119" s="93">
        <v>19.600000000000001</v>
      </c>
      <c r="K119" s="94">
        <v>0</v>
      </c>
      <c r="L119" s="94">
        <v>98</v>
      </c>
      <c r="M119" s="129">
        <v>19.600000000000001</v>
      </c>
      <c r="N119" s="102">
        <f t="shared" si="2"/>
        <v>39.199999999999996</v>
      </c>
      <c r="O119" s="97">
        <v>49</v>
      </c>
      <c r="P119" s="92">
        <v>0</v>
      </c>
      <c r="Q119" s="98">
        <f t="shared" si="3"/>
        <v>49</v>
      </c>
      <c r="R119" s="102" t="str">
        <f>+IF(Q119+N119&lt;=0, "NO COMPRADOR", +IF(Q119&lt;=0, "SIN COMPRA "&amp;+UPPER(TEXT('DINAMICA ENERO 26'!$C$2,"mmm 'yy")), "COMPRADOR"))</f>
        <v>COMPRADOR</v>
      </c>
      <c r="S119" s="100"/>
      <c r="T119" s="101"/>
      <c r="U119" s="100"/>
      <c r="V119" s="100"/>
    </row>
    <row r="120" spans="1:22" s="100" customFormat="1" ht="14" hidden="1">
      <c r="A120" s="88" t="s">
        <v>85</v>
      </c>
      <c r="B120" s="89" t="s">
        <v>204</v>
      </c>
      <c r="C120" s="89" t="s">
        <v>52</v>
      </c>
      <c r="D120" s="103">
        <v>100089701</v>
      </c>
      <c r="E120" s="89" t="s">
        <v>58</v>
      </c>
      <c r="F120" s="89">
        <v>100087742</v>
      </c>
      <c r="G120" s="128" t="s">
        <v>210</v>
      </c>
      <c r="H120" s="91">
        <v>19.600000000000001</v>
      </c>
      <c r="I120" s="92">
        <v>29.400000000000002</v>
      </c>
      <c r="J120" s="93">
        <v>0</v>
      </c>
      <c r="K120" s="94">
        <v>0</v>
      </c>
      <c r="L120" s="94">
        <v>49</v>
      </c>
      <c r="M120" s="129">
        <v>0</v>
      </c>
      <c r="N120" s="102">
        <f t="shared" si="2"/>
        <v>16.333333333333332</v>
      </c>
      <c r="O120" s="97">
        <v>9.8000000000000007</v>
      </c>
      <c r="P120" s="92">
        <v>0</v>
      </c>
      <c r="Q120" s="98">
        <f t="shared" si="3"/>
        <v>9.8000000000000007</v>
      </c>
      <c r="R120" s="102" t="str">
        <f>+IF(Q120+N120&lt;=0, "NO COMPRADOR", +IF(Q120&lt;=0, "SIN COMPRA "&amp;+UPPER(TEXT('DINAMICA ENERO 26'!$C$2,"mmm 'yy")), "COMPRADOR"))</f>
        <v>COMPRADOR</v>
      </c>
      <c r="T120" s="101"/>
    </row>
    <row r="121" spans="1:22" s="104" customFormat="1" ht="14" hidden="1">
      <c r="A121" s="88" t="s">
        <v>85</v>
      </c>
      <c r="B121" s="89" t="s">
        <v>204</v>
      </c>
      <c r="C121" s="89" t="s">
        <v>52</v>
      </c>
      <c r="D121" s="103">
        <v>100089701</v>
      </c>
      <c r="E121" s="89" t="s">
        <v>58</v>
      </c>
      <c r="F121" s="89">
        <v>100087748</v>
      </c>
      <c r="G121" s="128" t="s">
        <v>211</v>
      </c>
      <c r="H121" s="91">
        <v>107.80000000000001</v>
      </c>
      <c r="I121" s="92">
        <v>39.200000000000003</v>
      </c>
      <c r="J121" s="93">
        <v>0</v>
      </c>
      <c r="K121" s="94">
        <v>39.200000000000003</v>
      </c>
      <c r="L121" s="94">
        <v>137.19999999999999</v>
      </c>
      <c r="M121" s="129">
        <v>68.599999999999994</v>
      </c>
      <c r="N121" s="102">
        <f t="shared" si="2"/>
        <v>81.666666666666657</v>
      </c>
      <c r="O121" s="97">
        <v>0</v>
      </c>
      <c r="P121" s="92">
        <v>0</v>
      </c>
      <c r="Q121" s="98">
        <f t="shared" si="3"/>
        <v>0</v>
      </c>
      <c r="R121" s="102" t="str">
        <f>+IF(Q121+N121&lt;=0, "NO COMPRADOR", +IF(Q121&lt;=0, "SIN COMPRA "&amp;+UPPER(TEXT('DINAMICA ENERO 26'!$C$2,"mmm 'yy")), "COMPRADOR"))</f>
        <v>SIN COMPRA FEB '26</v>
      </c>
      <c r="S121" s="100"/>
      <c r="T121" s="101"/>
      <c r="U121" s="100"/>
      <c r="V121" s="100"/>
    </row>
    <row r="122" spans="1:22" s="104" customFormat="1" ht="14" hidden="1">
      <c r="A122" s="88" t="s">
        <v>85</v>
      </c>
      <c r="B122" s="89" t="s">
        <v>204</v>
      </c>
      <c r="C122" s="89" t="s">
        <v>52</v>
      </c>
      <c r="D122" s="103">
        <v>100089701</v>
      </c>
      <c r="E122" s="89" t="s">
        <v>58</v>
      </c>
      <c r="F122" s="89">
        <v>100022260</v>
      </c>
      <c r="G122" s="128" t="s">
        <v>212</v>
      </c>
      <c r="H122" s="91">
        <v>0</v>
      </c>
      <c r="I122" s="92">
        <v>29.400000000000002</v>
      </c>
      <c r="J122" s="93">
        <v>9.8000000000000007</v>
      </c>
      <c r="K122" s="94">
        <v>9.8000000000000007</v>
      </c>
      <c r="L122" s="94">
        <v>9.8000000000000007</v>
      </c>
      <c r="M122" s="129">
        <v>235.2</v>
      </c>
      <c r="N122" s="102">
        <f t="shared" si="2"/>
        <v>84.933333333333323</v>
      </c>
      <c r="O122" s="97">
        <v>0</v>
      </c>
      <c r="P122" s="92">
        <v>0</v>
      </c>
      <c r="Q122" s="98">
        <f t="shared" si="3"/>
        <v>0</v>
      </c>
      <c r="R122" s="102" t="str">
        <f>+IF(Q122+N122&lt;=0, "NO COMPRADOR", +IF(Q122&lt;=0, "SIN COMPRA "&amp;+UPPER(TEXT('DINAMICA ENERO 26'!$C$2,"mmm 'yy")), "COMPRADOR"))</f>
        <v>SIN COMPRA FEB '26</v>
      </c>
      <c r="S122" s="100"/>
      <c r="T122" s="101"/>
      <c r="U122" s="100"/>
      <c r="V122" s="100"/>
    </row>
    <row r="123" spans="1:22" s="104" customFormat="1" ht="14" hidden="1">
      <c r="A123" s="88" t="s">
        <v>85</v>
      </c>
      <c r="B123" s="89" t="s">
        <v>204</v>
      </c>
      <c r="C123" s="89" t="s">
        <v>52</v>
      </c>
      <c r="D123" s="103">
        <v>100089701</v>
      </c>
      <c r="E123" s="89" t="s">
        <v>58</v>
      </c>
      <c r="F123" s="89">
        <v>100085159</v>
      </c>
      <c r="G123" s="128" t="s">
        <v>213</v>
      </c>
      <c r="H123" s="91">
        <v>39.200000000000003</v>
      </c>
      <c r="I123" s="92">
        <v>0</v>
      </c>
      <c r="J123" s="93">
        <v>0</v>
      </c>
      <c r="K123" s="94">
        <v>78.400000000000006</v>
      </c>
      <c r="L123" s="94">
        <v>0</v>
      </c>
      <c r="M123" s="129">
        <v>0</v>
      </c>
      <c r="N123" s="102">
        <f t="shared" si="2"/>
        <v>26.133333333333336</v>
      </c>
      <c r="O123" s="97">
        <v>0</v>
      </c>
      <c r="P123" s="92">
        <v>0</v>
      </c>
      <c r="Q123" s="98">
        <f t="shared" si="3"/>
        <v>0</v>
      </c>
      <c r="R123" s="102" t="str">
        <f>+IF(Q123+N123&lt;=0, "NO COMPRADOR", +IF(Q123&lt;=0, "SIN COMPRA "&amp;+UPPER(TEXT('DINAMICA ENERO 26'!$C$2,"mmm 'yy")), "COMPRADOR"))</f>
        <v>SIN COMPRA FEB '26</v>
      </c>
      <c r="S123" s="100"/>
      <c r="T123" s="101"/>
      <c r="U123" s="100"/>
      <c r="V123" s="100"/>
    </row>
    <row r="124" spans="1:22" s="104" customFormat="1" ht="14" hidden="1">
      <c r="A124" s="88" t="s">
        <v>85</v>
      </c>
      <c r="B124" s="89" t="s">
        <v>204</v>
      </c>
      <c r="C124" s="89" t="s">
        <v>52</v>
      </c>
      <c r="D124" s="103">
        <v>100089701</v>
      </c>
      <c r="E124" s="89" t="s">
        <v>58</v>
      </c>
      <c r="F124" s="89">
        <v>100087283</v>
      </c>
      <c r="G124" s="128" t="s">
        <v>214</v>
      </c>
      <c r="H124" s="91">
        <v>0</v>
      </c>
      <c r="I124" s="92">
        <v>0</v>
      </c>
      <c r="J124" s="93">
        <v>0</v>
      </c>
      <c r="K124" s="94">
        <v>0</v>
      </c>
      <c r="L124" s="94">
        <v>0</v>
      </c>
      <c r="M124" s="129">
        <v>0</v>
      </c>
      <c r="N124" s="102">
        <f t="shared" si="2"/>
        <v>0</v>
      </c>
      <c r="O124" s="97">
        <v>0</v>
      </c>
      <c r="P124" s="92">
        <v>0</v>
      </c>
      <c r="Q124" s="98">
        <f t="shared" si="3"/>
        <v>0</v>
      </c>
      <c r="R124" s="102" t="str">
        <f>+IF(Q124+N124&lt;=0, "NO COMPRADOR", +IF(Q124&lt;=0, "SIN COMPRA "&amp;+UPPER(TEXT('DINAMICA ENERO 26'!$C$2,"mmm 'yy")), "COMPRADOR"))</f>
        <v>NO COMPRADOR</v>
      </c>
      <c r="S124" s="100"/>
      <c r="T124" s="101"/>
      <c r="U124" s="100"/>
      <c r="V124" s="100"/>
    </row>
    <row r="125" spans="1:22" s="104" customFormat="1" ht="14" hidden="1">
      <c r="A125" s="88" t="s">
        <v>85</v>
      </c>
      <c r="B125" s="89" t="s">
        <v>204</v>
      </c>
      <c r="C125" s="89" t="s">
        <v>52</v>
      </c>
      <c r="D125" s="103">
        <v>100089701</v>
      </c>
      <c r="E125" s="89" t="s">
        <v>58</v>
      </c>
      <c r="F125" s="89">
        <v>100001601</v>
      </c>
      <c r="G125" s="128" t="s">
        <v>215</v>
      </c>
      <c r="H125" s="91">
        <v>0</v>
      </c>
      <c r="I125" s="92">
        <v>0</v>
      </c>
      <c r="J125" s="93">
        <v>0</v>
      </c>
      <c r="K125" s="94">
        <v>0</v>
      </c>
      <c r="L125" s="94">
        <v>0</v>
      </c>
      <c r="M125" s="129">
        <v>0</v>
      </c>
      <c r="N125" s="102">
        <f t="shared" si="2"/>
        <v>0</v>
      </c>
      <c r="O125" s="97">
        <v>0</v>
      </c>
      <c r="P125" s="92">
        <v>0</v>
      </c>
      <c r="Q125" s="98">
        <f t="shared" si="3"/>
        <v>0</v>
      </c>
      <c r="R125" s="102" t="str">
        <f>+IF(Q125+N125&lt;=0, "NO COMPRADOR", +IF(Q125&lt;=0, "SIN COMPRA "&amp;+UPPER(TEXT('DINAMICA ENERO 26'!$C$2,"mmm 'yy")), "COMPRADOR"))</f>
        <v>NO COMPRADOR</v>
      </c>
      <c r="S125" s="100"/>
      <c r="T125" s="101"/>
      <c r="U125" s="100"/>
      <c r="V125" s="100"/>
    </row>
    <row r="126" spans="1:22" s="104" customFormat="1" ht="14" hidden="1">
      <c r="A126" s="88" t="s">
        <v>85</v>
      </c>
      <c r="B126" s="89" t="s">
        <v>204</v>
      </c>
      <c r="C126" s="89" t="s">
        <v>52</v>
      </c>
      <c r="D126" s="103">
        <v>100089701</v>
      </c>
      <c r="E126" s="89" t="s">
        <v>58</v>
      </c>
      <c r="F126" s="89">
        <v>100081880</v>
      </c>
      <c r="G126" s="128" t="s">
        <v>216</v>
      </c>
      <c r="H126" s="91">
        <v>19.600000000000001</v>
      </c>
      <c r="I126" s="92">
        <v>0</v>
      </c>
      <c r="J126" s="93">
        <v>0</v>
      </c>
      <c r="K126" s="94">
        <v>9.8000000000000007</v>
      </c>
      <c r="L126" s="94">
        <v>19.600000000000001</v>
      </c>
      <c r="M126" s="129">
        <v>98</v>
      </c>
      <c r="N126" s="102">
        <f t="shared" si="2"/>
        <v>42.466666666666669</v>
      </c>
      <c r="O126" s="97">
        <v>58.800000000000004</v>
      </c>
      <c r="P126" s="92">
        <v>0</v>
      </c>
      <c r="Q126" s="98">
        <f t="shared" si="3"/>
        <v>58.800000000000004</v>
      </c>
      <c r="R126" s="102" t="str">
        <f>+IF(Q126+N126&lt;=0, "NO COMPRADOR", +IF(Q126&lt;=0, "SIN COMPRA "&amp;+UPPER(TEXT('DINAMICA ENERO 26'!$C$2,"mmm 'yy")), "COMPRADOR"))</f>
        <v>COMPRADOR</v>
      </c>
      <c r="S126" s="100"/>
      <c r="T126" s="101"/>
      <c r="U126" s="100"/>
      <c r="V126" s="100"/>
    </row>
    <row r="127" spans="1:22" s="104" customFormat="1" ht="14" hidden="1">
      <c r="A127" s="88" t="s">
        <v>85</v>
      </c>
      <c r="B127" s="89" t="s">
        <v>204</v>
      </c>
      <c r="C127" s="89" t="s">
        <v>52</v>
      </c>
      <c r="D127" s="103">
        <v>100089701</v>
      </c>
      <c r="E127" s="89" t="s">
        <v>58</v>
      </c>
      <c r="F127" s="89">
        <v>100083522</v>
      </c>
      <c r="G127" s="128" t="s">
        <v>217</v>
      </c>
      <c r="H127" s="91">
        <v>245</v>
      </c>
      <c r="I127" s="92">
        <v>147</v>
      </c>
      <c r="J127" s="93">
        <v>196</v>
      </c>
      <c r="K127" s="94">
        <v>98</v>
      </c>
      <c r="L127" s="94">
        <v>205.8</v>
      </c>
      <c r="M127" s="129">
        <v>107.80000000000001</v>
      </c>
      <c r="N127" s="102">
        <f t="shared" si="2"/>
        <v>137.20000000000002</v>
      </c>
      <c r="O127" s="97">
        <v>107.80000000000001</v>
      </c>
      <c r="P127" s="92">
        <v>0</v>
      </c>
      <c r="Q127" s="98">
        <f t="shared" si="3"/>
        <v>107.80000000000001</v>
      </c>
      <c r="R127" s="102" t="str">
        <f>+IF(Q127+N127&lt;=0, "NO COMPRADOR", +IF(Q127&lt;=0, "SIN COMPRA "&amp;+UPPER(TEXT('DINAMICA ENERO 26'!$C$2,"mmm 'yy")), "COMPRADOR"))</f>
        <v>COMPRADOR</v>
      </c>
      <c r="S127" s="100"/>
      <c r="T127" s="101"/>
      <c r="U127" s="100"/>
      <c r="V127" s="100"/>
    </row>
    <row r="128" spans="1:22" s="104" customFormat="1" ht="14" hidden="1">
      <c r="A128" s="88" t="s">
        <v>85</v>
      </c>
      <c r="B128" s="89" t="s">
        <v>204</v>
      </c>
      <c r="C128" s="89" t="s">
        <v>52</v>
      </c>
      <c r="D128" s="103">
        <v>100089701</v>
      </c>
      <c r="E128" s="89" t="s">
        <v>58</v>
      </c>
      <c r="F128" s="89">
        <v>100073281</v>
      </c>
      <c r="G128" s="128" t="s">
        <v>218</v>
      </c>
      <c r="H128" s="91">
        <v>0</v>
      </c>
      <c r="I128" s="92">
        <v>0</v>
      </c>
      <c r="J128" s="93">
        <v>0</v>
      </c>
      <c r="K128" s="94">
        <v>9.8000000000000007</v>
      </c>
      <c r="L128" s="94">
        <v>9.8000000000000007</v>
      </c>
      <c r="M128" s="129">
        <v>39.200000000000003</v>
      </c>
      <c r="N128" s="102">
        <f t="shared" si="2"/>
        <v>19.600000000000001</v>
      </c>
      <c r="O128" s="97">
        <v>0</v>
      </c>
      <c r="P128" s="92">
        <v>0</v>
      </c>
      <c r="Q128" s="98">
        <f t="shared" si="3"/>
        <v>0</v>
      </c>
      <c r="R128" s="102" t="str">
        <f>+IF(Q128+N128&lt;=0, "NO COMPRADOR", +IF(Q128&lt;=0, "SIN COMPRA "&amp;+UPPER(TEXT('DINAMICA ENERO 26'!$C$2,"mmm 'yy")), "COMPRADOR"))</f>
        <v>SIN COMPRA FEB '26</v>
      </c>
      <c r="S128" s="100"/>
      <c r="T128" s="101"/>
      <c r="U128" s="100"/>
      <c r="V128" s="100"/>
    </row>
    <row r="129" spans="1:22" s="104" customFormat="1" ht="14" hidden="1">
      <c r="A129" s="88" t="s">
        <v>85</v>
      </c>
      <c r="B129" s="89" t="s">
        <v>204</v>
      </c>
      <c r="C129" s="89" t="s">
        <v>52</v>
      </c>
      <c r="D129" s="103">
        <v>100089701</v>
      </c>
      <c r="E129" s="89" t="s">
        <v>58</v>
      </c>
      <c r="F129" s="89">
        <v>100051099</v>
      </c>
      <c r="G129" s="128" t="s">
        <v>219</v>
      </c>
      <c r="H129" s="91">
        <v>0</v>
      </c>
      <c r="I129" s="92">
        <v>0</v>
      </c>
      <c r="J129" s="93">
        <v>0</v>
      </c>
      <c r="K129" s="94">
        <v>0</v>
      </c>
      <c r="L129" s="94">
        <v>0</v>
      </c>
      <c r="M129" s="129">
        <v>0</v>
      </c>
      <c r="N129" s="102">
        <f t="shared" si="2"/>
        <v>0</v>
      </c>
      <c r="O129" s="97">
        <v>0</v>
      </c>
      <c r="P129" s="92">
        <v>0</v>
      </c>
      <c r="Q129" s="98">
        <f t="shared" si="3"/>
        <v>0</v>
      </c>
      <c r="R129" s="102" t="str">
        <f>+IF(Q129+N129&lt;=0, "NO COMPRADOR", +IF(Q129&lt;=0, "SIN COMPRA "&amp;+UPPER(TEXT('DINAMICA ENERO 26'!$C$2,"mmm 'yy")), "COMPRADOR"))</f>
        <v>NO COMPRADOR</v>
      </c>
      <c r="S129" s="100"/>
      <c r="T129" s="101"/>
      <c r="U129" s="100"/>
      <c r="V129" s="100"/>
    </row>
    <row r="130" spans="1:22" s="104" customFormat="1" ht="14" hidden="1">
      <c r="A130" s="88" t="s">
        <v>85</v>
      </c>
      <c r="B130" s="89" t="s">
        <v>204</v>
      </c>
      <c r="C130" s="89" t="s">
        <v>52</v>
      </c>
      <c r="D130" s="103">
        <v>100089701</v>
      </c>
      <c r="E130" s="89" t="s">
        <v>58</v>
      </c>
      <c r="F130" s="89">
        <v>100087844</v>
      </c>
      <c r="G130" s="128" t="s">
        <v>220</v>
      </c>
      <c r="H130" s="91">
        <v>98</v>
      </c>
      <c r="I130" s="92">
        <v>0</v>
      </c>
      <c r="J130" s="93">
        <v>19.600000000000001</v>
      </c>
      <c r="K130" s="94">
        <v>9.8000000000000007</v>
      </c>
      <c r="L130" s="94">
        <v>0</v>
      </c>
      <c r="M130" s="129">
        <v>9.8000000000000007</v>
      </c>
      <c r="N130" s="102">
        <f t="shared" si="2"/>
        <v>6.5333333333333341</v>
      </c>
      <c r="O130" s="97">
        <v>0</v>
      </c>
      <c r="P130" s="92">
        <v>0</v>
      </c>
      <c r="Q130" s="98">
        <f t="shared" si="3"/>
        <v>0</v>
      </c>
      <c r="R130" s="102" t="str">
        <f>+IF(Q130+N130&lt;=0, "NO COMPRADOR", +IF(Q130&lt;=0, "SIN COMPRA "&amp;+UPPER(TEXT('DINAMICA ENERO 26'!$C$2,"mmm 'yy")), "COMPRADOR"))</f>
        <v>SIN COMPRA FEB '26</v>
      </c>
      <c r="S130" s="100"/>
      <c r="T130" s="101"/>
      <c r="U130" s="100"/>
      <c r="V130" s="100"/>
    </row>
    <row r="131" spans="1:22" s="104" customFormat="1" ht="14" hidden="1">
      <c r="A131" s="88" t="s">
        <v>85</v>
      </c>
      <c r="B131" s="89" t="s">
        <v>204</v>
      </c>
      <c r="C131" s="89" t="s">
        <v>52</v>
      </c>
      <c r="D131" s="103">
        <v>100089701</v>
      </c>
      <c r="E131" s="89" t="s">
        <v>58</v>
      </c>
      <c r="F131" s="89">
        <v>100088156</v>
      </c>
      <c r="G131" s="128" t="s">
        <v>221</v>
      </c>
      <c r="H131" s="91">
        <v>0</v>
      </c>
      <c r="I131" s="92">
        <v>0</v>
      </c>
      <c r="J131" s="93">
        <v>0</v>
      </c>
      <c r="K131" s="94">
        <v>9.8000000000000007</v>
      </c>
      <c r="L131" s="94">
        <v>0</v>
      </c>
      <c r="M131" s="129">
        <v>0</v>
      </c>
      <c r="N131" s="102">
        <f t="shared" ref="N131:N194" si="4">+AVERAGE(K131:M131)</f>
        <v>3.2666666666666671</v>
      </c>
      <c r="O131" s="97">
        <v>0</v>
      </c>
      <c r="P131" s="92">
        <v>0</v>
      </c>
      <c r="Q131" s="98">
        <f t="shared" si="3"/>
        <v>0</v>
      </c>
      <c r="R131" s="102" t="str">
        <f>+IF(Q131+N131&lt;=0, "NO COMPRADOR", +IF(Q131&lt;=0, "SIN COMPRA "&amp;+UPPER(TEXT('DINAMICA ENERO 26'!$C$2,"mmm 'yy")), "COMPRADOR"))</f>
        <v>SIN COMPRA FEB '26</v>
      </c>
      <c r="S131" s="100"/>
      <c r="T131" s="101"/>
      <c r="U131" s="100"/>
      <c r="V131" s="100"/>
    </row>
    <row r="132" spans="1:22" s="104" customFormat="1" ht="14" hidden="1">
      <c r="A132" s="88" t="s">
        <v>85</v>
      </c>
      <c r="B132" s="89" t="s">
        <v>204</v>
      </c>
      <c r="C132" s="89" t="s">
        <v>52</v>
      </c>
      <c r="D132" s="103">
        <v>100089701</v>
      </c>
      <c r="E132" s="89" t="s">
        <v>58</v>
      </c>
      <c r="F132" s="89">
        <v>100088609</v>
      </c>
      <c r="G132" s="128" t="s">
        <v>222</v>
      </c>
      <c r="H132" s="91">
        <v>49</v>
      </c>
      <c r="I132" s="92">
        <v>137.19999999999999</v>
      </c>
      <c r="J132" s="93">
        <v>107.8</v>
      </c>
      <c r="K132" s="94">
        <v>49</v>
      </c>
      <c r="L132" s="94">
        <v>88.2</v>
      </c>
      <c r="M132" s="129">
        <v>88.2</v>
      </c>
      <c r="N132" s="102">
        <f t="shared" si="4"/>
        <v>75.133333333333326</v>
      </c>
      <c r="O132" s="97">
        <v>58.800000000000004</v>
      </c>
      <c r="P132" s="92">
        <v>0</v>
      </c>
      <c r="Q132" s="98">
        <f t="shared" ref="Q132:Q195" si="5">+O132+P132</f>
        <v>58.800000000000004</v>
      </c>
      <c r="R132" s="102" t="str">
        <f>+IF(Q132+N132&lt;=0, "NO COMPRADOR", +IF(Q132&lt;=0, "SIN COMPRA "&amp;+UPPER(TEXT('DINAMICA ENERO 26'!$C$2,"mmm 'yy")), "COMPRADOR"))</f>
        <v>COMPRADOR</v>
      </c>
      <c r="S132" s="100"/>
      <c r="T132" s="101"/>
      <c r="U132" s="100"/>
      <c r="V132" s="100"/>
    </row>
    <row r="133" spans="1:22" s="104" customFormat="1" ht="14" hidden="1">
      <c r="A133" s="88" t="s">
        <v>85</v>
      </c>
      <c r="B133" s="89" t="s">
        <v>204</v>
      </c>
      <c r="C133" s="89" t="s">
        <v>52</v>
      </c>
      <c r="D133" s="103">
        <v>100073888</v>
      </c>
      <c r="E133" s="89" t="s">
        <v>55</v>
      </c>
      <c r="F133" s="89">
        <v>100001215</v>
      </c>
      <c r="G133" s="128" t="s">
        <v>223</v>
      </c>
      <c r="H133" s="91">
        <v>29.400000000000002</v>
      </c>
      <c r="I133" s="92">
        <v>98</v>
      </c>
      <c r="J133" s="93">
        <v>0</v>
      </c>
      <c r="K133" s="94">
        <v>98</v>
      </c>
      <c r="L133" s="94">
        <v>49</v>
      </c>
      <c r="M133" s="129">
        <v>49</v>
      </c>
      <c r="N133" s="102">
        <f t="shared" si="4"/>
        <v>65.333333333333329</v>
      </c>
      <c r="O133" s="97">
        <v>49</v>
      </c>
      <c r="P133" s="92">
        <v>0</v>
      </c>
      <c r="Q133" s="98">
        <f t="shared" si="5"/>
        <v>49</v>
      </c>
      <c r="R133" s="102" t="str">
        <f>+IF(Q133+N133&lt;=0, "NO COMPRADOR", +IF(Q133&lt;=0, "SIN COMPRA "&amp;+UPPER(TEXT('DINAMICA ENERO 26'!$C$2,"mmm 'yy")), "COMPRADOR"))</f>
        <v>COMPRADOR</v>
      </c>
      <c r="S133" s="100"/>
      <c r="T133" s="101"/>
      <c r="U133" s="100"/>
      <c r="V133" s="100"/>
    </row>
    <row r="134" spans="1:22" s="104" customFormat="1" ht="14" hidden="1">
      <c r="A134" s="88" t="s">
        <v>85</v>
      </c>
      <c r="B134" s="89" t="s">
        <v>204</v>
      </c>
      <c r="C134" s="89" t="s">
        <v>52</v>
      </c>
      <c r="D134" s="103">
        <v>100073888</v>
      </c>
      <c r="E134" s="89" t="s">
        <v>55</v>
      </c>
      <c r="F134" s="89">
        <v>100060702</v>
      </c>
      <c r="G134" s="128" t="s">
        <v>224</v>
      </c>
      <c r="H134" s="91">
        <v>19.600000000000001</v>
      </c>
      <c r="I134" s="92">
        <v>9.8000000000000007</v>
      </c>
      <c r="J134" s="93">
        <v>19.600000000000001</v>
      </c>
      <c r="K134" s="94">
        <v>19.600000000000001</v>
      </c>
      <c r="L134" s="94">
        <v>19.600000000000001</v>
      </c>
      <c r="M134" s="129">
        <v>19.600000000000001</v>
      </c>
      <c r="N134" s="102">
        <f t="shared" si="4"/>
        <v>19.600000000000001</v>
      </c>
      <c r="O134" s="97">
        <v>19.600000000000001</v>
      </c>
      <c r="P134" s="92">
        <v>0</v>
      </c>
      <c r="Q134" s="98">
        <f t="shared" si="5"/>
        <v>19.600000000000001</v>
      </c>
      <c r="R134" s="102" t="str">
        <f>+IF(Q134+N134&lt;=0, "NO COMPRADOR", +IF(Q134&lt;=0, "SIN COMPRA "&amp;+UPPER(TEXT('DINAMICA ENERO 26'!$C$2,"mmm 'yy")), "COMPRADOR"))</f>
        <v>COMPRADOR</v>
      </c>
      <c r="S134" s="100"/>
      <c r="T134" s="101"/>
      <c r="U134" s="100"/>
      <c r="V134" s="100"/>
    </row>
    <row r="135" spans="1:22" s="104" customFormat="1" ht="14" hidden="1">
      <c r="A135" s="88" t="s">
        <v>85</v>
      </c>
      <c r="B135" s="89" t="s">
        <v>204</v>
      </c>
      <c r="C135" s="89" t="s">
        <v>52</v>
      </c>
      <c r="D135" s="103">
        <v>100073888</v>
      </c>
      <c r="E135" s="89" t="s">
        <v>55</v>
      </c>
      <c r="F135" s="89">
        <v>100086804</v>
      </c>
      <c r="G135" s="128" t="s">
        <v>225</v>
      </c>
      <c r="H135" s="91">
        <v>313.60000000000002</v>
      </c>
      <c r="I135" s="92">
        <v>196</v>
      </c>
      <c r="J135" s="93">
        <v>49</v>
      </c>
      <c r="K135" s="94">
        <v>196</v>
      </c>
      <c r="L135" s="94">
        <v>254.8</v>
      </c>
      <c r="M135" s="129">
        <v>98</v>
      </c>
      <c r="N135" s="102">
        <f t="shared" si="4"/>
        <v>182.93333333333331</v>
      </c>
      <c r="O135" s="97">
        <v>0</v>
      </c>
      <c r="P135" s="92">
        <v>0</v>
      </c>
      <c r="Q135" s="98">
        <f t="shared" si="5"/>
        <v>0</v>
      </c>
      <c r="R135" s="102" t="str">
        <f>+IF(Q135+N135&lt;=0, "NO COMPRADOR", +IF(Q135&lt;=0, "SIN COMPRA "&amp;+UPPER(TEXT('DINAMICA ENERO 26'!$C$2,"mmm 'yy")), "COMPRADOR"))</f>
        <v>SIN COMPRA FEB '26</v>
      </c>
      <c r="S135" s="100"/>
      <c r="T135" s="101"/>
      <c r="U135" s="100"/>
      <c r="V135" s="100"/>
    </row>
    <row r="136" spans="1:22" s="104" customFormat="1" ht="14" hidden="1">
      <c r="A136" s="88" t="s">
        <v>85</v>
      </c>
      <c r="B136" s="89" t="s">
        <v>204</v>
      </c>
      <c r="C136" s="89" t="s">
        <v>52</v>
      </c>
      <c r="D136" s="103">
        <v>100073888</v>
      </c>
      <c r="E136" s="89" t="s">
        <v>55</v>
      </c>
      <c r="F136" s="89">
        <v>100084349</v>
      </c>
      <c r="G136" s="128" t="s">
        <v>226</v>
      </c>
      <c r="H136" s="91">
        <v>147</v>
      </c>
      <c r="I136" s="92">
        <v>343</v>
      </c>
      <c r="J136" s="93">
        <v>147</v>
      </c>
      <c r="K136" s="94">
        <v>49</v>
      </c>
      <c r="L136" s="94">
        <v>245</v>
      </c>
      <c r="M136" s="129">
        <v>362.6</v>
      </c>
      <c r="N136" s="102">
        <f t="shared" si="4"/>
        <v>218.86666666666667</v>
      </c>
      <c r="O136" s="97">
        <v>49</v>
      </c>
      <c r="P136" s="92">
        <v>0</v>
      </c>
      <c r="Q136" s="98">
        <f t="shared" si="5"/>
        <v>49</v>
      </c>
      <c r="R136" s="102" t="str">
        <f>+IF(Q136+N136&lt;=0, "NO COMPRADOR", +IF(Q136&lt;=0, "SIN COMPRA "&amp;+UPPER(TEXT('DINAMICA ENERO 26'!$C$2,"mmm 'yy")), "COMPRADOR"))</f>
        <v>COMPRADOR</v>
      </c>
      <c r="S136" s="100"/>
      <c r="T136" s="101"/>
      <c r="U136" s="100"/>
      <c r="V136" s="100"/>
    </row>
    <row r="137" spans="1:22" s="104" customFormat="1" ht="14" hidden="1">
      <c r="A137" s="88" t="s">
        <v>85</v>
      </c>
      <c r="B137" s="89" t="s">
        <v>204</v>
      </c>
      <c r="C137" s="89" t="s">
        <v>52</v>
      </c>
      <c r="D137" s="103">
        <v>100073888</v>
      </c>
      <c r="E137" s="89" t="s">
        <v>55</v>
      </c>
      <c r="F137" s="89">
        <v>100001752</v>
      </c>
      <c r="G137" s="128" t="s">
        <v>227</v>
      </c>
      <c r="H137" s="91">
        <v>19.600000000000001</v>
      </c>
      <c r="I137" s="92">
        <v>29.400000000000002</v>
      </c>
      <c r="J137" s="93">
        <v>39.200000000000003</v>
      </c>
      <c r="K137" s="94">
        <v>9.8000000000000007</v>
      </c>
      <c r="L137" s="94">
        <v>49</v>
      </c>
      <c r="M137" s="129">
        <v>39.200000000000003</v>
      </c>
      <c r="N137" s="102">
        <f t="shared" si="4"/>
        <v>32.666666666666664</v>
      </c>
      <c r="O137" s="97">
        <v>0</v>
      </c>
      <c r="P137" s="92">
        <v>0</v>
      </c>
      <c r="Q137" s="98">
        <f t="shared" si="5"/>
        <v>0</v>
      </c>
      <c r="R137" s="102" t="str">
        <f>+IF(Q137+N137&lt;=0, "NO COMPRADOR", +IF(Q137&lt;=0, "SIN COMPRA "&amp;+UPPER(TEXT('DINAMICA ENERO 26'!$C$2,"mmm 'yy")), "COMPRADOR"))</f>
        <v>SIN COMPRA FEB '26</v>
      </c>
      <c r="S137" s="100"/>
      <c r="T137" s="101"/>
      <c r="U137" s="100"/>
      <c r="V137" s="100"/>
    </row>
    <row r="138" spans="1:22" s="100" customFormat="1" ht="14" hidden="1">
      <c r="A138" s="88" t="s">
        <v>85</v>
      </c>
      <c r="B138" s="89" t="s">
        <v>204</v>
      </c>
      <c r="C138" s="89" t="s">
        <v>52</v>
      </c>
      <c r="D138" s="103">
        <v>100073888</v>
      </c>
      <c r="E138" s="89" t="s">
        <v>55</v>
      </c>
      <c r="F138" s="89">
        <v>100081166</v>
      </c>
      <c r="G138" s="128" t="s">
        <v>228</v>
      </c>
      <c r="H138" s="91">
        <v>0</v>
      </c>
      <c r="I138" s="92">
        <v>0</v>
      </c>
      <c r="J138" s="93">
        <v>0</v>
      </c>
      <c r="K138" s="94">
        <v>0</v>
      </c>
      <c r="L138" s="94">
        <v>9.8000000000000007</v>
      </c>
      <c r="M138" s="129">
        <v>0</v>
      </c>
      <c r="N138" s="102">
        <f t="shared" si="4"/>
        <v>3.2666666666666671</v>
      </c>
      <c r="O138" s="97">
        <v>0</v>
      </c>
      <c r="P138" s="92">
        <v>0</v>
      </c>
      <c r="Q138" s="98">
        <f t="shared" si="5"/>
        <v>0</v>
      </c>
      <c r="R138" s="102" t="str">
        <f>+IF(Q138+N138&lt;=0, "NO COMPRADOR", +IF(Q138&lt;=0, "SIN COMPRA "&amp;+UPPER(TEXT('DINAMICA ENERO 26'!$C$2,"mmm 'yy")), "COMPRADOR"))</f>
        <v>SIN COMPRA FEB '26</v>
      </c>
      <c r="T138" s="101"/>
    </row>
    <row r="139" spans="1:22" s="100" customFormat="1" ht="14" hidden="1">
      <c r="A139" s="88" t="s">
        <v>85</v>
      </c>
      <c r="B139" s="89" t="s">
        <v>204</v>
      </c>
      <c r="C139" s="89" t="s">
        <v>52</v>
      </c>
      <c r="D139" s="103">
        <v>100073888</v>
      </c>
      <c r="E139" s="89" t="s">
        <v>55</v>
      </c>
      <c r="F139" s="89">
        <v>100064228</v>
      </c>
      <c r="G139" s="128" t="s">
        <v>229</v>
      </c>
      <c r="H139" s="91">
        <v>19.600000000000001</v>
      </c>
      <c r="I139" s="92">
        <v>19.600000000000001</v>
      </c>
      <c r="J139" s="93">
        <v>127.4</v>
      </c>
      <c r="K139" s="94">
        <v>9.8000000000000007</v>
      </c>
      <c r="L139" s="94">
        <v>29.400000000000002</v>
      </c>
      <c r="M139" s="129">
        <v>9.8000000000000007</v>
      </c>
      <c r="N139" s="102">
        <f t="shared" si="4"/>
        <v>16.333333333333332</v>
      </c>
      <c r="O139" s="97">
        <v>39.200000000000003</v>
      </c>
      <c r="P139" s="92">
        <v>0</v>
      </c>
      <c r="Q139" s="98">
        <f t="shared" si="5"/>
        <v>39.200000000000003</v>
      </c>
      <c r="R139" s="102" t="str">
        <f>+IF(Q139+N139&lt;=0, "NO COMPRADOR", +IF(Q139&lt;=0, "SIN COMPRA "&amp;+UPPER(TEXT('DINAMICA ENERO 26'!$C$2,"mmm 'yy")), "COMPRADOR"))</f>
        <v>COMPRADOR</v>
      </c>
      <c r="T139" s="101"/>
    </row>
    <row r="140" spans="1:22" s="100" customFormat="1" ht="14" hidden="1">
      <c r="A140" s="88" t="s">
        <v>85</v>
      </c>
      <c r="B140" s="89" t="s">
        <v>204</v>
      </c>
      <c r="C140" s="89" t="s">
        <v>52</v>
      </c>
      <c r="D140" s="103">
        <v>100073888</v>
      </c>
      <c r="E140" s="89" t="s">
        <v>55</v>
      </c>
      <c r="F140" s="89">
        <v>100083588</v>
      </c>
      <c r="G140" s="128" t="s">
        <v>230</v>
      </c>
      <c r="H140" s="91">
        <v>49</v>
      </c>
      <c r="I140" s="92">
        <v>49</v>
      </c>
      <c r="J140" s="93">
        <v>98</v>
      </c>
      <c r="K140" s="94">
        <v>29.400000000000002</v>
      </c>
      <c r="L140" s="94">
        <v>49</v>
      </c>
      <c r="M140" s="129">
        <v>58.800000000000004</v>
      </c>
      <c r="N140" s="102">
        <f t="shared" si="4"/>
        <v>45.733333333333341</v>
      </c>
      <c r="O140" s="97">
        <v>29.400000000000002</v>
      </c>
      <c r="P140" s="92">
        <v>0</v>
      </c>
      <c r="Q140" s="98">
        <f t="shared" si="5"/>
        <v>29.400000000000002</v>
      </c>
      <c r="R140" s="102" t="str">
        <f>+IF(Q140+N140&lt;=0, "NO COMPRADOR", +IF(Q140&lt;=0, "SIN COMPRA "&amp;+UPPER(TEXT('DINAMICA ENERO 26'!$C$2,"mmm 'yy")), "COMPRADOR"))</f>
        <v>COMPRADOR</v>
      </c>
      <c r="T140" s="101"/>
    </row>
    <row r="141" spans="1:22" s="100" customFormat="1" ht="14" hidden="1">
      <c r="A141" s="88" t="s">
        <v>85</v>
      </c>
      <c r="B141" s="89" t="s">
        <v>204</v>
      </c>
      <c r="C141" s="89" t="s">
        <v>52</v>
      </c>
      <c r="D141" s="103">
        <v>100073888</v>
      </c>
      <c r="E141" s="89" t="s">
        <v>55</v>
      </c>
      <c r="F141" s="89">
        <v>100010576</v>
      </c>
      <c r="G141" s="128" t="s">
        <v>231</v>
      </c>
      <c r="H141" s="91">
        <v>19.600000000000001</v>
      </c>
      <c r="I141" s="92">
        <v>39.200000000000003</v>
      </c>
      <c r="J141" s="93">
        <v>19.600000000000001</v>
      </c>
      <c r="K141" s="94">
        <v>-19.600000000000001</v>
      </c>
      <c r="L141" s="94">
        <v>19.600000000000001</v>
      </c>
      <c r="M141" s="129">
        <v>29.400000000000002</v>
      </c>
      <c r="N141" s="102">
        <f t="shared" si="4"/>
        <v>9.8000000000000007</v>
      </c>
      <c r="O141" s="97">
        <v>0</v>
      </c>
      <c r="P141" s="92">
        <v>0</v>
      </c>
      <c r="Q141" s="98">
        <f t="shared" si="5"/>
        <v>0</v>
      </c>
      <c r="R141" s="102" t="str">
        <f>+IF(Q141+N141&lt;=0, "NO COMPRADOR", +IF(Q141&lt;=0, "SIN COMPRA "&amp;+UPPER(TEXT('DINAMICA ENERO 26'!$C$2,"mmm 'yy")), "COMPRADOR"))</f>
        <v>SIN COMPRA FEB '26</v>
      </c>
      <c r="T141" s="101"/>
    </row>
    <row r="142" spans="1:22" s="100" customFormat="1" ht="14" hidden="1">
      <c r="A142" s="88" t="s">
        <v>85</v>
      </c>
      <c r="B142" s="89" t="s">
        <v>204</v>
      </c>
      <c r="C142" s="89" t="s">
        <v>52</v>
      </c>
      <c r="D142" s="103">
        <v>100073888</v>
      </c>
      <c r="E142" s="89" t="s">
        <v>55</v>
      </c>
      <c r="F142" s="89">
        <v>100002203</v>
      </c>
      <c r="G142" s="128" t="s">
        <v>232</v>
      </c>
      <c r="H142" s="91">
        <v>49</v>
      </c>
      <c r="I142" s="92">
        <v>-49</v>
      </c>
      <c r="J142" s="93">
        <v>0</v>
      </c>
      <c r="K142" s="94">
        <v>0</v>
      </c>
      <c r="L142" s="94">
        <v>19.600000000000001</v>
      </c>
      <c r="M142" s="129">
        <v>0</v>
      </c>
      <c r="N142" s="102">
        <f t="shared" si="4"/>
        <v>6.5333333333333341</v>
      </c>
      <c r="O142" s="97">
        <v>0</v>
      </c>
      <c r="P142" s="92">
        <v>0</v>
      </c>
      <c r="Q142" s="98">
        <f t="shared" si="5"/>
        <v>0</v>
      </c>
      <c r="R142" s="102" t="str">
        <f>+IF(Q142+N142&lt;=0, "NO COMPRADOR", +IF(Q142&lt;=0, "SIN COMPRA "&amp;+UPPER(TEXT('DINAMICA ENERO 26'!$C$2,"mmm 'yy")), "COMPRADOR"))</f>
        <v>SIN COMPRA FEB '26</v>
      </c>
      <c r="T142" s="101"/>
    </row>
    <row r="143" spans="1:22" s="100" customFormat="1" ht="14" hidden="1">
      <c r="A143" s="88" t="s">
        <v>85</v>
      </c>
      <c r="B143" s="89" t="s">
        <v>204</v>
      </c>
      <c r="C143" s="89" t="s">
        <v>52</v>
      </c>
      <c r="D143" s="103">
        <v>100073888</v>
      </c>
      <c r="E143" s="89" t="s">
        <v>55</v>
      </c>
      <c r="F143" s="89">
        <v>100001329</v>
      </c>
      <c r="G143" s="128" t="s">
        <v>233</v>
      </c>
      <c r="H143" s="91">
        <v>0</v>
      </c>
      <c r="I143" s="92">
        <v>9.8000000000000007</v>
      </c>
      <c r="J143" s="93">
        <v>39.200000000000003</v>
      </c>
      <c r="K143" s="94">
        <v>19.600000000000001</v>
      </c>
      <c r="L143" s="94">
        <v>29.400000000000002</v>
      </c>
      <c r="M143" s="129">
        <v>78.399999999999991</v>
      </c>
      <c r="N143" s="102">
        <f t="shared" si="4"/>
        <v>42.466666666666661</v>
      </c>
      <c r="O143" s="97">
        <v>19.600000000000001</v>
      </c>
      <c r="P143" s="92">
        <v>0</v>
      </c>
      <c r="Q143" s="98">
        <f t="shared" si="5"/>
        <v>19.600000000000001</v>
      </c>
      <c r="R143" s="102" t="str">
        <f>+IF(Q143+N143&lt;=0, "NO COMPRADOR", +IF(Q143&lt;=0, "SIN COMPRA "&amp;+UPPER(TEXT('DINAMICA ENERO 26'!$C$2,"mmm 'yy")), "COMPRADOR"))</f>
        <v>COMPRADOR</v>
      </c>
      <c r="T143" s="101"/>
    </row>
    <row r="144" spans="1:22" s="100" customFormat="1" ht="14" hidden="1">
      <c r="A144" s="88" t="s">
        <v>85</v>
      </c>
      <c r="B144" s="89" t="s">
        <v>204</v>
      </c>
      <c r="C144" s="89" t="s">
        <v>52</v>
      </c>
      <c r="D144" s="103">
        <v>100073888</v>
      </c>
      <c r="E144" s="89" t="s">
        <v>55</v>
      </c>
      <c r="F144" s="89">
        <v>100077493</v>
      </c>
      <c r="G144" s="128" t="s">
        <v>234</v>
      </c>
      <c r="H144" s="91">
        <v>19.600000000000001</v>
      </c>
      <c r="I144" s="92">
        <v>19.600000000000001</v>
      </c>
      <c r="J144" s="93">
        <v>19.600000000000001</v>
      </c>
      <c r="K144" s="94">
        <v>9.8000000000000007</v>
      </c>
      <c r="L144" s="94">
        <v>0</v>
      </c>
      <c r="M144" s="129">
        <v>58.800000000000004</v>
      </c>
      <c r="N144" s="102">
        <f t="shared" si="4"/>
        <v>22.866666666666671</v>
      </c>
      <c r="O144" s="97">
        <v>0</v>
      </c>
      <c r="P144" s="92">
        <v>0</v>
      </c>
      <c r="Q144" s="98">
        <f t="shared" si="5"/>
        <v>0</v>
      </c>
      <c r="R144" s="102" t="str">
        <f>+IF(Q144+N144&lt;=0, "NO COMPRADOR", +IF(Q144&lt;=0, "SIN COMPRA "&amp;+UPPER(TEXT('DINAMICA ENERO 26'!$C$2,"mmm 'yy")), "COMPRADOR"))</f>
        <v>SIN COMPRA FEB '26</v>
      </c>
      <c r="T144" s="101"/>
    </row>
    <row r="145" spans="1:22" s="100" customFormat="1" ht="14" hidden="1">
      <c r="A145" s="88" t="s">
        <v>85</v>
      </c>
      <c r="B145" s="89" t="s">
        <v>204</v>
      </c>
      <c r="C145" s="89" t="s">
        <v>52</v>
      </c>
      <c r="D145" s="103">
        <v>100073888</v>
      </c>
      <c r="E145" s="89" t="s">
        <v>55</v>
      </c>
      <c r="F145" s="89">
        <v>100084330</v>
      </c>
      <c r="G145" s="128" t="s">
        <v>235</v>
      </c>
      <c r="H145" s="91">
        <v>29.400000000000002</v>
      </c>
      <c r="I145" s="92">
        <v>0</v>
      </c>
      <c r="J145" s="93">
        <v>0</v>
      </c>
      <c r="K145" s="94">
        <v>19.600000000000001</v>
      </c>
      <c r="L145" s="94">
        <v>0</v>
      </c>
      <c r="M145" s="129">
        <v>0</v>
      </c>
      <c r="N145" s="102">
        <f t="shared" si="4"/>
        <v>6.5333333333333341</v>
      </c>
      <c r="O145" s="97">
        <v>0</v>
      </c>
      <c r="P145" s="92">
        <v>0</v>
      </c>
      <c r="Q145" s="98">
        <f t="shared" si="5"/>
        <v>0</v>
      </c>
      <c r="R145" s="102" t="str">
        <f>+IF(Q145+N145&lt;=0, "NO COMPRADOR", +IF(Q145&lt;=0, "SIN COMPRA "&amp;+UPPER(TEXT('DINAMICA ENERO 26'!$C$2,"mmm 'yy")), "COMPRADOR"))</f>
        <v>SIN COMPRA FEB '26</v>
      </c>
      <c r="T145" s="101"/>
    </row>
    <row r="146" spans="1:22" s="100" customFormat="1" ht="14" hidden="1">
      <c r="A146" s="88" t="s">
        <v>85</v>
      </c>
      <c r="B146" s="89" t="s">
        <v>236</v>
      </c>
      <c r="C146" s="89" t="s">
        <v>68</v>
      </c>
      <c r="D146" s="103">
        <v>100089354</v>
      </c>
      <c r="E146" s="89" t="s">
        <v>68</v>
      </c>
      <c r="F146" s="89">
        <v>100058447</v>
      </c>
      <c r="G146" s="128" t="s">
        <v>237</v>
      </c>
      <c r="H146" s="91">
        <v>0</v>
      </c>
      <c r="I146" s="92">
        <v>0</v>
      </c>
      <c r="J146" s="93">
        <v>0</v>
      </c>
      <c r="K146" s="94">
        <v>0</v>
      </c>
      <c r="L146" s="94">
        <v>0</v>
      </c>
      <c r="M146" s="129">
        <v>0</v>
      </c>
      <c r="N146" s="102">
        <f t="shared" si="4"/>
        <v>0</v>
      </c>
      <c r="O146" s="97">
        <v>0</v>
      </c>
      <c r="P146" s="92">
        <v>0</v>
      </c>
      <c r="Q146" s="98">
        <f t="shared" si="5"/>
        <v>0</v>
      </c>
      <c r="R146" s="102" t="str">
        <f>+IF(Q146+N146&lt;=0, "NO COMPRADOR", +IF(Q146&lt;=0, "SIN COMPRA "&amp;+UPPER(TEXT('DINAMICA ENERO 26'!$C$2,"mmm 'yy")), "COMPRADOR"))</f>
        <v>NO COMPRADOR</v>
      </c>
      <c r="T146" s="101"/>
    </row>
    <row r="147" spans="1:22" s="100" customFormat="1" ht="14" hidden="1">
      <c r="A147" s="88" t="s">
        <v>85</v>
      </c>
      <c r="B147" s="89" t="s">
        <v>236</v>
      </c>
      <c r="C147" s="89" t="s">
        <v>68</v>
      </c>
      <c r="D147" s="103">
        <v>100089354</v>
      </c>
      <c r="E147" s="89" t="s">
        <v>68</v>
      </c>
      <c r="F147" s="89">
        <v>100079903</v>
      </c>
      <c r="G147" s="128" t="s">
        <v>238</v>
      </c>
      <c r="H147" s="91">
        <v>0</v>
      </c>
      <c r="I147" s="92">
        <v>0</v>
      </c>
      <c r="J147" s="93">
        <v>0</v>
      </c>
      <c r="K147" s="94">
        <v>0</v>
      </c>
      <c r="L147" s="94">
        <v>0</v>
      </c>
      <c r="M147" s="129">
        <v>0</v>
      </c>
      <c r="N147" s="102">
        <f t="shared" si="4"/>
        <v>0</v>
      </c>
      <c r="O147" s="97">
        <v>0</v>
      </c>
      <c r="P147" s="92">
        <v>0</v>
      </c>
      <c r="Q147" s="98">
        <f t="shared" si="5"/>
        <v>0</v>
      </c>
      <c r="R147" s="102" t="str">
        <f>+IF(Q147+N147&lt;=0, "NO COMPRADOR", +IF(Q147&lt;=0, "SIN COMPRA "&amp;+UPPER(TEXT('DINAMICA ENERO 26'!$C$2,"mmm 'yy")), "COMPRADOR"))</f>
        <v>NO COMPRADOR</v>
      </c>
      <c r="T147" s="101"/>
    </row>
    <row r="148" spans="1:22" s="100" customFormat="1" ht="14" hidden="1">
      <c r="A148" s="88" t="s">
        <v>85</v>
      </c>
      <c r="B148" s="89" t="s">
        <v>236</v>
      </c>
      <c r="C148" s="89" t="s">
        <v>68</v>
      </c>
      <c r="D148" s="103">
        <v>100089354</v>
      </c>
      <c r="E148" s="89" t="s">
        <v>68</v>
      </c>
      <c r="F148" s="89">
        <v>100083681</v>
      </c>
      <c r="G148" s="128" t="s">
        <v>239</v>
      </c>
      <c r="H148" s="91">
        <v>0</v>
      </c>
      <c r="I148" s="92">
        <v>0</v>
      </c>
      <c r="J148" s="93">
        <v>0</v>
      </c>
      <c r="K148" s="94">
        <v>0</v>
      </c>
      <c r="L148" s="94">
        <v>0</v>
      </c>
      <c r="M148" s="129">
        <v>0</v>
      </c>
      <c r="N148" s="102">
        <f t="shared" si="4"/>
        <v>0</v>
      </c>
      <c r="O148" s="97">
        <v>0</v>
      </c>
      <c r="P148" s="92">
        <v>0</v>
      </c>
      <c r="Q148" s="98">
        <f t="shared" si="5"/>
        <v>0</v>
      </c>
      <c r="R148" s="102" t="str">
        <f>+IF(Q148+N148&lt;=0, "NO COMPRADOR", +IF(Q148&lt;=0, "SIN COMPRA "&amp;+UPPER(TEXT('DINAMICA ENERO 26'!$C$2,"mmm 'yy")), "COMPRADOR"))</f>
        <v>NO COMPRADOR</v>
      </c>
      <c r="T148" s="101"/>
    </row>
    <row r="149" spans="1:22" s="104" customFormat="1" ht="14" hidden="1">
      <c r="A149" s="88" t="s">
        <v>85</v>
      </c>
      <c r="B149" s="89" t="s">
        <v>236</v>
      </c>
      <c r="C149" s="89" t="s">
        <v>68</v>
      </c>
      <c r="D149" s="103">
        <v>100031199</v>
      </c>
      <c r="E149" s="89" t="s">
        <v>69</v>
      </c>
      <c r="F149" s="89">
        <v>100088905</v>
      </c>
      <c r="G149" s="128" t="s">
        <v>240</v>
      </c>
      <c r="H149" s="91">
        <v>0</v>
      </c>
      <c r="I149" s="92">
        <v>0</v>
      </c>
      <c r="J149" s="93">
        <v>0</v>
      </c>
      <c r="K149" s="94">
        <v>0</v>
      </c>
      <c r="L149" s="94">
        <v>0</v>
      </c>
      <c r="M149" s="129">
        <v>0</v>
      </c>
      <c r="N149" s="102">
        <f t="shared" si="4"/>
        <v>0</v>
      </c>
      <c r="O149" s="97">
        <v>0</v>
      </c>
      <c r="P149" s="92">
        <v>0</v>
      </c>
      <c r="Q149" s="98">
        <f t="shared" si="5"/>
        <v>0</v>
      </c>
      <c r="R149" s="102" t="str">
        <f>+IF(Q149+N149&lt;=0, "NO COMPRADOR", +IF(Q149&lt;=0, "SIN COMPRA "&amp;+UPPER(TEXT('DINAMICA ENERO 26'!$C$2,"mmm 'yy")), "COMPRADOR"))</f>
        <v>NO COMPRADOR</v>
      </c>
      <c r="S149" s="100"/>
      <c r="T149" s="101"/>
      <c r="U149" s="100"/>
      <c r="V149" s="100"/>
    </row>
    <row r="150" spans="1:22" s="100" customFormat="1" ht="14" hidden="1">
      <c r="A150" s="88" t="s">
        <v>85</v>
      </c>
      <c r="B150" s="89" t="s">
        <v>236</v>
      </c>
      <c r="C150" s="89" t="s">
        <v>68</v>
      </c>
      <c r="D150" s="103">
        <v>100031199</v>
      </c>
      <c r="E150" s="89" t="s">
        <v>69</v>
      </c>
      <c r="F150" s="89">
        <v>100087340</v>
      </c>
      <c r="G150" s="128" t="s">
        <v>241</v>
      </c>
      <c r="H150" s="91">
        <v>0</v>
      </c>
      <c r="I150" s="92">
        <v>0</v>
      </c>
      <c r="J150" s="93">
        <v>0</v>
      </c>
      <c r="K150" s="94">
        <v>0</v>
      </c>
      <c r="L150" s="94">
        <v>0</v>
      </c>
      <c r="M150" s="129">
        <v>0</v>
      </c>
      <c r="N150" s="102">
        <f t="shared" si="4"/>
        <v>0</v>
      </c>
      <c r="O150" s="97">
        <v>0</v>
      </c>
      <c r="P150" s="92">
        <v>0</v>
      </c>
      <c r="Q150" s="98">
        <f t="shared" si="5"/>
        <v>0</v>
      </c>
      <c r="R150" s="102" t="str">
        <f>+IF(Q150+N150&lt;=0, "NO COMPRADOR", +IF(Q150&lt;=0, "SIN COMPRA "&amp;+UPPER(TEXT('DINAMICA ENERO 26'!$C$2,"mmm 'yy")), "COMPRADOR"))</f>
        <v>NO COMPRADOR</v>
      </c>
      <c r="T150" s="101"/>
    </row>
    <row r="151" spans="1:22" s="100" customFormat="1" ht="14" hidden="1">
      <c r="A151" s="88" t="s">
        <v>85</v>
      </c>
      <c r="B151" s="89" t="s">
        <v>236</v>
      </c>
      <c r="C151" s="89" t="s">
        <v>68</v>
      </c>
      <c r="D151" s="103">
        <v>100031199</v>
      </c>
      <c r="E151" s="89" t="s">
        <v>69</v>
      </c>
      <c r="F151" s="89">
        <v>100087098</v>
      </c>
      <c r="G151" s="128" t="s">
        <v>242</v>
      </c>
      <c r="H151" s="91">
        <v>0</v>
      </c>
      <c r="I151" s="92">
        <v>0</v>
      </c>
      <c r="J151" s="93">
        <v>0</v>
      </c>
      <c r="K151" s="94">
        <v>0</v>
      </c>
      <c r="L151" s="94">
        <v>0</v>
      </c>
      <c r="M151" s="129">
        <v>0</v>
      </c>
      <c r="N151" s="102">
        <f t="shared" si="4"/>
        <v>0</v>
      </c>
      <c r="O151" s="97">
        <v>0</v>
      </c>
      <c r="P151" s="92">
        <v>0</v>
      </c>
      <c r="Q151" s="98">
        <f t="shared" si="5"/>
        <v>0</v>
      </c>
      <c r="R151" s="102" t="str">
        <f>+IF(Q151+N151&lt;=0, "NO COMPRADOR", +IF(Q151&lt;=0, "SIN COMPRA "&amp;+UPPER(TEXT('DINAMICA ENERO 26'!$C$2,"mmm 'yy")), "COMPRADOR"))</f>
        <v>NO COMPRADOR</v>
      </c>
      <c r="T151" s="101"/>
    </row>
    <row r="152" spans="1:22" s="104" customFormat="1" ht="14" hidden="1">
      <c r="A152" s="88" t="s">
        <v>85</v>
      </c>
      <c r="B152" s="89" t="s">
        <v>236</v>
      </c>
      <c r="C152" s="89" t="s">
        <v>68</v>
      </c>
      <c r="D152" s="103">
        <v>100031199</v>
      </c>
      <c r="E152" s="89" t="s">
        <v>69</v>
      </c>
      <c r="F152" s="89">
        <v>100085167</v>
      </c>
      <c r="G152" s="128" t="s">
        <v>243</v>
      </c>
      <c r="H152" s="91">
        <v>0</v>
      </c>
      <c r="I152" s="92">
        <v>0</v>
      </c>
      <c r="J152" s="93">
        <v>0</v>
      </c>
      <c r="K152" s="94">
        <v>0</v>
      </c>
      <c r="L152" s="94">
        <v>0</v>
      </c>
      <c r="M152" s="129">
        <v>0</v>
      </c>
      <c r="N152" s="102">
        <f t="shared" si="4"/>
        <v>0</v>
      </c>
      <c r="O152" s="97">
        <v>0</v>
      </c>
      <c r="P152" s="92">
        <v>0</v>
      </c>
      <c r="Q152" s="98">
        <f t="shared" si="5"/>
        <v>0</v>
      </c>
      <c r="R152" s="102" t="str">
        <f>+IF(Q152+N152&lt;=0, "NO COMPRADOR", +IF(Q152&lt;=0, "SIN COMPRA "&amp;+UPPER(TEXT('DINAMICA ENERO 26'!$C$2,"mmm 'yy")), "COMPRADOR"))</f>
        <v>NO COMPRADOR</v>
      </c>
      <c r="S152" s="100"/>
      <c r="T152" s="101"/>
      <c r="U152" s="100"/>
      <c r="V152" s="100"/>
    </row>
    <row r="153" spans="1:22" s="100" customFormat="1" ht="14" hidden="1">
      <c r="A153" s="88" t="s">
        <v>85</v>
      </c>
      <c r="B153" s="89" t="s">
        <v>236</v>
      </c>
      <c r="C153" s="89" t="s">
        <v>68</v>
      </c>
      <c r="D153" s="103">
        <v>100031199</v>
      </c>
      <c r="E153" s="89" t="s">
        <v>69</v>
      </c>
      <c r="F153" s="89">
        <v>100085481</v>
      </c>
      <c r="G153" s="128" t="s">
        <v>244</v>
      </c>
      <c r="H153" s="91">
        <v>0</v>
      </c>
      <c r="I153" s="92">
        <v>0</v>
      </c>
      <c r="J153" s="93">
        <v>0</v>
      </c>
      <c r="K153" s="94">
        <v>0</v>
      </c>
      <c r="L153" s="94">
        <v>0</v>
      </c>
      <c r="M153" s="129">
        <v>0</v>
      </c>
      <c r="N153" s="102">
        <f t="shared" si="4"/>
        <v>0</v>
      </c>
      <c r="O153" s="97">
        <v>0</v>
      </c>
      <c r="P153" s="92">
        <v>0</v>
      </c>
      <c r="Q153" s="98">
        <f t="shared" si="5"/>
        <v>0</v>
      </c>
      <c r="R153" s="102" t="str">
        <f>+IF(Q153+N153&lt;=0, "NO COMPRADOR", +IF(Q153&lt;=0, "SIN COMPRA "&amp;+UPPER(TEXT('DINAMICA ENERO 26'!$C$2,"mmm 'yy")), "COMPRADOR"))</f>
        <v>NO COMPRADOR</v>
      </c>
      <c r="T153" s="101"/>
    </row>
    <row r="154" spans="1:22" s="104" customFormat="1" ht="14" hidden="1">
      <c r="A154" s="88" t="s">
        <v>85</v>
      </c>
      <c r="B154" s="89" t="s">
        <v>236</v>
      </c>
      <c r="C154" s="89" t="s">
        <v>68</v>
      </c>
      <c r="D154" s="103">
        <v>100031199</v>
      </c>
      <c r="E154" s="89" t="s">
        <v>69</v>
      </c>
      <c r="F154" s="89">
        <v>100008613</v>
      </c>
      <c r="G154" s="128" t="s">
        <v>245</v>
      </c>
      <c r="H154" s="91">
        <v>0</v>
      </c>
      <c r="I154" s="92">
        <v>0</v>
      </c>
      <c r="J154" s="93">
        <v>0</v>
      </c>
      <c r="K154" s="94">
        <v>0</v>
      </c>
      <c r="L154" s="94">
        <v>0</v>
      </c>
      <c r="M154" s="129">
        <v>0</v>
      </c>
      <c r="N154" s="102">
        <f t="shared" si="4"/>
        <v>0</v>
      </c>
      <c r="O154" s="97">
        <v>0</v>
      </c>
      <c r="P154" s="92">
        <v>0</v>
      </c>
      <c r="Q154" s="98">
        <f t="shared" si="5"/>
        <v>0</v>
      </c>
      <c r="R154" s="102" t="str">
        <f>+IF(Q154+N154&lt;=0, "NO COMPRADOR", +IF(Q154&lt;=0, "SIN COMPRA "&amp;+UPPER(TEXT('DINAMICA ENERO 26'!$C$2,"mmm 'yy")), "COMPRADOR"))</f>
        <v>NO COMPRADOR</v>
      </c>
      <c r="S154" s="100"/>
      <c r="T154" s="101"/>
      <c r="U154" s="100"/>
      <c r="V154" s="100"/>
    </row>
    <row r="155" spans="1:22" s="104" customFormat="1" ht="14" hidden="1">
      <c r="A155" s="88" t="s">
        <v>85</v>
      </c>
      <c r="B155" s="89" t="s">
        <v>236</v>
      </c>
      <c r="C155" s="89" t="s">
        <v>68</v>
      </c>
      <c r="D155" s="103">
        <v>100031199</v>
      </c>
      <c r="E155" s="89" t="s">
        <v>69</v>
      </c>
      <c r="F155" s="89">
        <v>100002250</v>
      </c>
      <c r="G155" s="128" t="s">
        <v>246</v>
      </c>
      <c r="H155" s="91">
        <v>617.4</v>
      </c>
      <c r="I155" s="92">
        <v>931</v>
      </c>
      <c r="J155" s="93">
        <v>735</v>
      </c>
      <c r="K155" s="94">
        <v>0</v>
      </c>
      <c r="L155" s="94">
        <v>19.600000000000001</v>
      </c>
      <c r="M155" s="129">
        <v>98</v>
      </c>
      <c r="N155" s="102">
        <f t="shared" si="4"/>
        <v>39.199999999999996</v>
      </c>
      <c r="O155" s="97">
        <v>0</v>
      </c>
      <c r="P155" s="92">
        <v>0</v>
      </c>
      <c r="Q155" s="98">
        <f t="shared" si="5"/>
        <v>0</v>
      </c>
      <c r="R155" s="102" t="str">
        <f>+IF(Q155+N155&lt;=0, "NO COMPRADOR", +IF(Q155&lt;=0, "SIN COMPRA "&amp;+UPPER(TEXT('DINAMICA ENERO 26'!$C$2,"mmm 'yy")), "COMPRADOR"))</f>
        <v>SIN COMPRA FEB '26</v>
      </c>
      <c r="S155" s="100"/>
      <c r="T155" s="101"/>
      <c r="U155" s="100"/>
      <c r="V155" s="100"/>
    </row>
    <row r="156" spans="1:22" s="100" customFormat="1" ht="14" hidden="1">
      <c r="A156" s="88" t="s">
        <v>85</v>
      </c>
      <c r="B156" s="89" t="s">
        <v>236</v>
      </c>
      <c r="C156" s="89" t="s">
        <v>68</v>
      </c>
      <c r="D156" s="103">
        <v>100031199</v>
      </c>
      <c r="E156" s="89" t="s">
        <v>69</v>
      </c>
      <c r="F156" s="89">
        <v>100002229</v>
      </c>
      <c r="G156" s="128" t="s">
        <v>247</v>
      </c>
      <c r="H156" s="91">
        <v>294</v>
      </c>
      <c r="I156" s="92">
        <v>196</v>
      </c>
      <c r="J156" s="93">
        <v>0</v>
      </c>
      <c r="K156" s="94">
        <v>0</v>
      </c>
      <c r="L156" s="94">
        <v>0</v>
      </c>
      <c r="M156" s="129">
        <v>0</v>
      </c>
      <c r="N156" s="102">
        <f t="shared" si="4"/>
        <v>0</v>
      </c>
      <c r="O156" s="97">
        <v>0</v>
      </c>
      <c r="P156" s="92">
        <v>0</v>
      </c>
      <c r="Q156" s="98">
        <f t="shared" si="5"/>
        <v>0</v>
      </c>
      <c r="R156" s="102" t="str">
        <f>+IF(Q156+N156&lt;=0, "NO COMPRADOR", +IF(Q156&lt;=0, "SIN COMPRA "&amp;+UPPER(TEXT('DINAMICA ENERO 26'!$C$2,"mmm 'yy")), "COMPRADOR"))</f>
        <v>NO COMPRADOR</v>
      </c>
      <c r="T156" s="101"/>
    </row>
    <row r="157" spans="1:22" s="100" customFormat="1" ht="14" hidden="1">
      <c r="A157" s="88" t="s">
        <v>85</v>
      </c>
      <c r="B157" s="89" t="s">
        <v>236</v>
      </c>
      <c r="C157" s="89" t="s">
        <v>68</v>
      </c>
      <c r="D157" s="103">
        <v>100031199</v>
      </c>
      <c r="E157" s="89" t="s">
        <v>69</v>
      </c>
      <c r="F157" s="89">
        <v>100022327</v>
      </c>
      <c r="G157" s="128" t="s">
        <v>248</v>
      </c>
      <c r="H157" s="91">
        <v>588</v>
      </c>
      <c r="I157" s="92">
        <v>490</v>
      </c>
      <c r="J157" s="93">
        <v>686</v>
      </c>
      <c r="K157" s="94">
        <v>0</v>
      </c>
      <c r="L157" s="94">
        <v>0</v>
      </c>
      <c r="M157" s="129">
        <v>0</v>
      </c>
      <c r="N157" s="102">
        <f t="shared" si="4"/>
        <v>0</v>
      </c>
      <c r="O157" s="97">
        <v>0</v>
      </c>
      <c r="P157" s="92">
        <v>0</v>
      </c>
      <c r="Q157" s="98">
        <f t="shared" si="5"/>
        <v>0</v>
      </c>
      <c r="R157" s="102" t="str">
        <f>+IF(Q157+N157&lt;=0, "NO COMPRADOR", +IF(Q157&lt;=0, "SIN COMPRA "&amp;+UPPER(TEXT('DINAMICA ENERO 26'!$C$2,"mmm 'yy")), "COMPRADOR"))</f>
        <v>NO COMPRADOR</v>
      </c>
      <c r="T157" s="101"/>
    </row>
    <row r="158" spans="1:22" s="104" customFormat="1" ht="14" hidden="1">
      <c r="A158" s="88" t="s">
        <v>85</v>
      </c>
      <c r="B158" s="89" t="s">
        <v>236</v>
      </c>
      <c r="C158" s="89" t="s">
        <v>68</v>
      </c>
      <c r="D158" s="103">
        <v>100031199</v>
      </c>
      <c r="E158" s="89" t="s">
        <v>69</v>
      </c>
      <c r="F158" s="89">
        <v>100002225</v>
      </c>
      <c r="G158" s="128" t="s">
        <v>249</v>
      </c>
      <c r="H158" s="91">
        <v>411.6</v>
      </c>
      <c r="I158" s="92">
        <v>529.20000000000005</v>
      </c>
      <c r="J158" s="93">
        <v>499.80000000000007</v>
      </c>
      <c r="K158" s="94">
        <v>646.80000000000007</v>
      </c>
      <c r="L158" s="94">
        <v>539</v>
      </c>
      <c r="M158" s="129">
        <v>411.6</v>
      </c>
      <c r="N158" s="102">
        <f t="shared" si="4"/>
        <v>532.4666666666667</v>
      </c>
      <c r="O158" s="97">
        <v>0</v>
      </c>
      <c r="P158" s="92">
        <v>0</v>
      </c>
      <c r="Q158" s="98">
        <f t="shared" si="5"/>
        <v>0</v>
      </c>
      <c r="R158" s="102" t="str">
        <f>+IF(Q158+N158&lt;=0, "NO COMPRADOR", +IF(Q158&lt;=0, "SIN COMPRA "&amp;+UPPER(TEXT('DINAMICA ENERO 26'!$C$2,"mmm 'yy")), "COMPRADOR"))</f>
        <v>SIN COMPRA FEB '26</v>
      </c>
      <c r="S158" s="100"/>
      <c r="T158" s="101"/>
      <c r="U158" s="100"/>
      <c r="V158" s="100"/>
    </row>
    <row r="159" spans="1:22" s="100" customFormat="1" ht="14" hidden="1">
      <c r="A159" s="88" t="s">
        <v>85</v>
      </c>
      <c r="B159" s="89" t="s">
        <v>236</v>
      </c>
      <c r="C159" s="89" t="s">
        <v>68</v>
      </c>
      <c r="D159" s="103">
        <v>100031199</v>
      </c>
      <c r="E159" s="89" t="s">
        <v>69</v>
      </c>
      <c r="F159" s="89">
        <v>100071477</v>
      </c>
      <c r="G159" s="128" t="s">
        <v>250</v>
      </c>
      <c r="H159" s="91">
        <v>0</v>
      </c>
      <c r="I159" s="92">
        <v>0</v>
      </c>
      <c r="J159" s="93">
        <v>166.60000000000002</v>
      </c>
      <c r="K159" s="94">
        <v>245</v>
      </c>
      <c r="L159" s="94">
        <v>196</v>
      </c>
      <c r="M159" s="129">
        <v>196</v>
      </c>
      <c r="N159" s="102">
        <f t="shared" si="4"/>
        <v>212.33333333333334</v>
      </c>
      <c r="O159" s="97">
        <v>0</v>
      </c>
      <c r="P159" s="92">
        <v>0</v>
      </c>
      <c r="Q159" s="98">
        <f t="shared" si="5"/>
        <v>0</v>
      </c>
      <c r="R159" s="102" t="str">
        <f>+IF(Q159+N159&lt;=0, "NO COMPRADOR", +IF(Q159&lt;=0, "SIN COMPRA "&amp;+UPPER(TEXT('DINAMICA ENERO 26'!$C$2,"mmm 'yy")), "COMPRADOR"))</f>
        <v>SIN COMPRA FEB '26</v>
      </c>
      <c r="T159" s="101"/>
    </row>
    <row r="160" spans="1:22" s="100" customFormat="1" ht="14" hidden="1">
      <c r="A160" s="88" t="s">
        <v>85</v>
      </c>
      <c r="B160" s="89" t="s">
        <v>236</v>
      </c>
      <c r="C160" s="89" t="s">
        <v>68</v>
      </c>
      <c r="D160" s="103">
        <v>100031199</v>
      </c>
      <c r="E160" s="89" t="s">
        <v>69</v>
      </c>
      <c r="F160" s="89">
        <v>100073868</v>
      </c>
      <c r="G160" s="128" t="s">
        <v>251</v>
      </c>
      <c r="H160" s="91">
        <v>0</v>
      </c>
      <c r="I160" s="92">
        <v>0</v>
      </c>
      <c r="J160" s="93">
        <v>29.400000000000002</v>
      </c>
      <c r="K160" s="94">
        <v>78.400000000000006</v>
      </c>
      <c r="L160" s="94">
        <v>0</v>
      </c>
      <c r="M160" s="129">
        <v>0</v>
      </c>
      <c r="N160" s="102">
        <f t="shared" si="4"/>
        <v>26.133333333333336</v>
      </c>
      <c r="O160" s="97">
        <v>0</v>
      </c>
      <c r="P160" s="92">
        <v>0</v>
      </c>
      <c r="Q160" s="98">
        <f t="shared" si="5"/>
        <v>0</v>
      </c>
      <c r="R160" s="102" t="str">
        <f>+IF(Q160+N160&lt;=0, "NO COMPRADOR", +IF(Q160&lt;=0, "SIN COMPRA "&amp;+UPPER(TEXT('DINAMICA ENERO 26'!$C$2,"mmm 'yy")), "COMPRADOR"))</f>
        <v>SIN COMPRA FEB '26</v>
      </c>
      <c r="T160" s="101"/>
    </row>
    <row r="161" spans="1:22" s="100" customFormat="1" ht="14" hidden="1">
      <c r="A161" s="88" t="s">
        <v>85</v>
      </c>
      <c r="B161" s="89" t="s">
        <v>236</v>
      </c>
      <c r="C161" s="89" t="s">
        <v>68</v>
      </c>
      <c r="D161" s="103">
        <v>100031199</v>
      </c>
      <c r="E161" s="89" t="s">
        <v>69</v>
      </c>
      <c r="F161" s="89">
        <v>100040021</v>
      </c>
      <c r="G161" s="128" t="s">
        <v>252</v>
      </c>
      <c r="H161" s="91">
        <v>156.80000000000001</v>
      </c>
      <c r="I161" s="92">
        <v>147</v>
      </c>
      <c r="J161" s="93">
        <v>147</v>
      </c>
      <c r="K161" s="94">
        <v>147</v>
      </c>
      <c r="L161" s="94">
        <v>215.60000000000002</v>
      </c>
      <c r="M161" s="129">
        <v>147</v>
      </c>
      <c r="N161" s="102">
        <f t="shared" si="4"/>
        <v>169.86666666666667</v>
      </c>
      <c r="O161" s="97">
        <v>0</v>
      </c>
      <c r="P161" s="92">
        <v>0</v>
      </c>
      <c r="Q161" s="98">
        <f t="shared" si="5"/>
        <v>0</v>
      </c>
      <c r="R161" s="102" t="str">
        <f>+IF(Q161+N161&lt;=0, "NO COMPRADOR", +IF(Q161&lt;=0, "SIN COMPRA "&amp;+UPPER(TEXT('DINAMICA ENERO 26'!$C$2,"mmm 'yy")), "COMPRADOR"))</f>
        <v>SIN COMPRA FEB '26</v>
      </c>
      <c r="T161" s="101"/>
    </row>
    <row r="162" spans="1:22" s="100" customFormat="1" ht="14" hidden="1">
      <c r="A162" s="88" t="s">
        <v>85</v>
      </c>
      <c r="B162" s="89" t="s">
        <v>236</v>
      </c>
      <c r="C162" s="89" t="s">
        <v>68</v>
      </c>
      <c r="D162" s="103">
        <v>100031199</v>
      </c>
      <c r="E162" s="89" t="s">
        <v>69</v>
      </c>
      <c r="F162" s="89">
        <v>100019451</v>
      </c>
      <c r="G162" s="128" t="s">
        <v>253</v>
      </c>
      <c r="H162" s="91">
        <v>323.39999999999998</v>
      </c>
      <c r="I162" s="92">
        <v>382.2</v>
      </c>
      <c r="J162" s="93">
        <v>264.60000000000002</v>
      </c>
      <c r="K162" s="94">
        <v>117.60000000000001</v>
      </c>
      <c r="L162" s="94">
        <v>597.80000000000007</v>
      </c>
      <c r="M162" s="129">
        <v>205.8</v>
      </c>
      <c r="N162" s="102">
        <f t="shared" si="4"/>
        <v>307.06666666666666</v>
      </c>
      <c r="O162" s="97">
        <v>0</v>
      </c>
      <c r="P162" s="92">
        <v>0</v>
      </c>
      <c r="Q162" s="98">
        <f t="shared" si="5"/>
        <v>0</v>
      </c>
      <c r="R162" s="102" t="str">
        <f>+IF(Q162+N162&lt;=0, "NO COMPRADOR", +IF(Q162&lt;=0, "SIN COMPRA "&amp;+UPPER(TEXT('DINAMICA ENERO 26'!$C$2,"mmm 'yy")), "COMPRADOR"))</f>
        <v>SIN COMPRA FEB '26</v>
      </c>
      <c r="T162" s="101"/>
    </row>
    <row r="163" spans="1:22" s="100" customFormat="1" ht="14" hidden="1">
      <c r="A163" s="88" t="s">
        <v>85</v>
      </c>
      <c r="B163" s="89" t="s">
        <v>236</v>
      </c>
      <c r="C163" s="89" t="s">
        <v>68</v>
      </c>
      <c r="D163" s="103">
        <v>100031199</v>
      </c>
      <c r="E163" s="89" t="s">
        <v>69</v>
      </c>
      <c r="F163" s="89">
        <v>100066048</v>
      </c>
      <c r="G163" s="128" t="s">
        <v>254</v>
      </c>
      <c r="H163" s="91">
        <v>137.20000000000002</v>
      </c>
      <c r="I163" s="92">
        <v>68.600000000000009</v>
      </c>
      <c r="J163" s="93">
        <v>98</v>
      </c>
      <c r="K163" s="94">
        <v>49</v>
      </c>
      <c r="L163" s="94">
        <v>49</v>
      </c>
      <c r="M163" s="129">
        <v>0</v>
      </c>
      <c r="N163" s="102">
        <f t="shared" si="4"/>
        <v>32.666666666666664</v>
      </c>
      <c r="O163" s="97">
        <v>0</v>
      </c>
      <c r="P163" s="92">
        <v>0</v>
      </c>
      <c r="Q163" s="98">
        <f t="shared" si="5"/>
        <v>0</v>
      </c>
      <c r="R163" s="102" t="str">
        <f>+IF(Q163+N163&lt;=0, "NO COMPRADOR", +IF(Q163&lt;=0, "SIN COMPRA "&amp;+UPPER(TEXT('DINAMICA ENERO 26'!$C$2,"mmm 'yy")), "COMPRADOR"))</f>
        <v>SIN COMPRA FEB '26</v>
      </c>
      <c r="T163" s="101"/>
    </row>
    <row r="164" spans="1:22" s="100" customFormat="1" ht="14" hidden="1">
      <c r="A164" s="88" t="s">
        <v>85</v>
      </c>
      <c r="B164" s="89" t="s">
        <v>236</v>
      </c>
      <c r="C164" s="89" t="s">
        <v>68</v>
      </c>
      <c r="D164" s="103">
        <v>100031199</v>
      </c>
      <c r="E164" s="89" t="s">
        <v>69</v>
      </c>
      <c r="F164" s="89">
        <v>100086078</v>
      </c>
      <c r="G164" s="128" t="s">
        <v>255</v>
      </c>
      <c r="H164" s="91">
        <v>0</v>
      </c>
      <c r="I164" s="92">
        <v>0</v>
      </c>
      <c r="J164" s="93">
        <v>0</v>
      </c>
      <c r="K164" s="94">
        <v>0</v>
      </c>
      <c r="L164" s="94">
        <v>0</v>
      </c>
      <c r="M164" s="129">
        <v>0</v>
      </c>
      <c r="N164" s="102">
        <f t="shared" si="4"/>
        <v>0</v>
      </c>
      <c r="O164" s="97">
        <v>0</v>
      </c>
      <c r="P164" s="92">
        <v>0</v>
      </c>
      <c r="Q164" s="98">
        <f t="shared" si="5"/>
        <v>0</v>
      </c>
      <c r="R164" s="102" t="str">
        <f>+IF(Q164+N164&lt;=0, "NO COMPRADOR", +IF(Q164&lt;=0, "SIN COMPRA "&amp;+UPPER(TEXT('DINAMICA ENERO 26'!$C$2,"mmm 'yy")), "COMPRADOR"))</f>
        <v>NO COMPRADOR</v>
      </c>
      <c r="T164" s="101"/>
    </row>
    <row r="165" spans="1:22" s="100" customFormat="1" ht="14" hidden="1">
      <c r="A165" s="88" t="s">
        <v>85</v>
      </c>
      <c r="B165" s="89" t="s">
        <v>236</v>
      </c>
      <c r="C165" s="89" t="s">
        <v>68</v>
      </c>
      <c r="D165" s="103">
        <v>100031199</v>
      </c>
      <c r="E165" s="89" t="s">
        <v>69</v>
      </c>
      <c r="F165" s="89">
        <v>100089860</v>
      </c>
      <c r="G165" s="128" t="s">
        <v>256</v>
      </c>
      <c r="H165" s="91">
        <v>0</v>
      </c>
      <c r="I165" s="92">
        <v>0</v>
      </c>
      <c r="J165" s="93">
        <v>0</v>
      </c>
      <c r="K165" s="94">
        <v>0</v>
      </c>
      <c r="L165" s="94">
        <v>0</v>
      </c>
      <c r="M165" s="129">
        <v>0</v>
      </c>
      <c r="N165" s="102">
        <f t="shared" si="4"/>
        <v>0</v>
      </c>
      <c r="O165" s="97">
        <v>0</v>
      </c>
      <c r="P165" s="92">
        <v>0</v>
      </c>
      <c r="Q165" s="98">
        <f t="shared" si="5"/>
        <v>0</v>
      </c>
      <c r="R165" s="102" t="str">
        <f>+IF(Q165+N165&lt;=0, "NO COMPRADOR", +IF(Q165&lt;=0, "SIN COMPRA "&amp;+UPPER(TEXT('DINAMICA ENERO 26'!$C$2,"mmm 'yy")), "COMPRADOR"))</f>
        <v>NO COMPRADOR</v>
      </c>
      <c r="T165" s="101"/>
    </row>
    <row r="166" spans="1:22" s="100" customFormat="1" ht="14" hidden="1">
      <c r="A166" s="88" t="s">
        <v>85</v>
      </c>
      <c r="B166" s="89" t="s">
        <v>257</v>
      </c>
      <c r="C166" s="89" t="s">
        <v>43</v>
      </c>
      <c r="D166" s="103">
        <v>100088690</v>
      </c>
      <c r="E166" s="89" t="s">
        <v>45</v>
      </c>
      <c r="F166" s="89">
        <v>100080700</v>
      </c>
      <c r="G166" s="128" t="s">
        <v>258</v>
      </c>
      <c r="H166" s="91">
        <v>58.8</v>
      </c>
      <c r="I166" s="92">
        <v>0</v>
      </c>
      <c r="J166" s="93">
        <v>19.600000000000001</v>
      </c>
      <c r="K166" s="94">
        <v>68.599999999999994</v>
      </c>
      <c r="L166" s="94">
        <v>9.8000000000000007</v>
      </c>
      <c r="M166" s="129">
        <v>-9.8000000000000007</v>
      </c>
      <c r="N166" s="102">
        <f t="shared" si="4"/>
        <v>22.866666666666664</v>
      </c>
      <c r="O166" s="97">
        <v>0</v>
      </c>
      <c r="P166" s="92">
        <v>0</v>
      </c>
      <c r="Q166" s="98">
        <f t="shared" si="5"/>
        <v>0</v>
      </c>
      <c r="R166" s="102" t="str">
        <f>+IF(Q166+N166&lt;=0, "NO COMPRADOR", +IF(Q166&lt;=0, "SIN COMPRA "&amp;+UPPER(TEXT('DINAMICA ENERO 26'!$C$2,"mmm 'yy")), "COMPRADOR"))</f>
        <v>SIN COMPRA FEB '26</v>
      </c>
      <c r="T166" s="101"/>
    </row>
    <row r="167" spans="1:22" s="100" customFormat="1" ht="14" hidden="1">
      <c r="A167" s="88" t="s">
        <v>85</v>
      </c>
      <c r="B167" s="89" t="s">
        <v>257</v>
      </c>
      <c r="C167" s="89" t="s">
        <v>43</v>
      </c>
      <c r="D167" s="103">
        <v>100088690</v>
      </c>
      <c r="E167" s="89" t="s">
        <v>45</v>
      </c>
      <c r="F167" s="89">
        <v>100082871</v>
      </c>
      <c r="G167" s="128" t="s">
        <v>259</v>
      </c>
      <c r="H167" s="91">
        <v>9.8000000000000007</v>
      </c>
      <c r="I167" s="92">
        <v>0</v>
      </c>
      <c r="J167" s="93">
        <v>0</v>
      </c>
      <c r="K167" s="94">
        <v>0</v>
      </c>
      <c r="L167" s="94">
        <v>0</v>
      </c>
      <c r="M167" s="129">
        <v>0</v>
      </c>
      <c r="N167" s="102">
        <f t="shared" si="4"/>
        <v>0</v>
      </c>
      <c r="O167" s="97">
        <v>0</v>
      </c>
      <c r="P167" s="92">
        <v>0</v>
      </c>
      <c r="Q167" s="98">
        <f t="shared" si="5"/>
        <v>0</v>
      </c>
      <c r="R167" s="102" t="str">
        <f>+IF(Q167+N167&lt;=0, "NO COMPRADOR", +IF(Q167&lt;=0, "SIN COMPRA "&amp;+UPPER(TEXT('DINAMICA ENERO 26'!$C$2,"mmm 'yy")), "COMPRADOR"))</f>
        <v>NO COMPRADOR</v>
      </c>
      <c r="T167" s="101"/>
    </row>
    <row r="168" spans="1:22" s="100" customFormat="1" ht="14" hidden="1">
      <c r="A168" s="88" t="s">
        <v>85</v>
      </c>
      <c r="B168" s="89" t="s">
        <v>257</v>
      </c>
      <c r="C168" s="89" t="s">
        <v>43</v>
      </c>
      <c r="D168" s="103">
        <v>100088690</v>
      </c>
      <c r="E168" s="89" t="s">
        <v>45</v>
      </c>
      <c r="F168" s="89">
        <v>100001500</v>
      </c>
      <c r="G168" s="128" t="s">
        <v>260</v>
      </c>
      <c r="H168" s="91">
        <v>0</v>
      </c>
      <c r="I168" s="92">
        <v>0</v>
      </c>
      <c r="J168" s="93">
        <v>0</v>
      </c>
      <c r="K168" s="94">
        <v>0</v>
      </c>
      <c r="L168" s="94">
        <v>0</v>
      </c>
      <c r="M168" s="129">
        <v>0</v>
      </c>
      <c r="N168" s="102">
        <f t="shared" si="4"/>
        <v>0</v>
      </c>
      <c r="O168" s="97">
        <v>0</v>
      </c>
      <c r="P168" s="92">
        <v>0</v>
      </c>
      <c r="Q168" s="98">
        <f t="shared" si="5"/>
        <v>0</v>
      </c>
      <c r="R168" s="102" t="str">
        <f>+IF(Q168+N168&lt;=0, "NO COMPRADOR", +IF(Q168&lt;=0, "SIN COMPRA "&amp;+UPPER(TEXT('DINAMICA ENERO 26'!$C$2,"mmm 'yy")), "COMPRADOR"))</f>
        <v>NO COMPRADOR</v>
      </c>
      <c r="T168" s="101"/>
    </row>
    <row r="169" spans="1:22" s="104" customFormat="1" ht="14" hidden="1">
      <c r="A169" s="88" t="s">
        <v>85</v>
      </c>
      <c r="B169" s="89" t="s">
        <v>257</v>
      </c>
      <c r="C169" s="89" t="s">
        <v>43</v>
      </c>
      <c r="D169" s="103">
        <v>100088690</v>
      </c>
      <c r="E169" s="89" t="s">
        <v>45</v>
      </c>
      <c r="F169" s="89">
        <v>100026401</v>
      </c>
      <c r="G169" s="128" t="s">
        <v>261</v>
      </c>
      <c r="H169" s="91">
        <v>235.20000000000002</v>
      </c>
      <c r="I169" s="92">
        <v>392.00000000000017</v>
      </c>
      <c r="J169" s="93">
        <v>313.60000000000014</v>
      </c>
      <c r="K169" s="94">
        <v>225.40000000000006</v>
      </c>
      <c r="L169" s="94">
        <v>382.20000000000022</v>
      </c>
      <c r="M169" s="129">
        <v>264.60000000000008</v>
      </c>
      <c r="N169" s="102">
        <f t="shared" si="4"/>
        <v>290.73333333333341</v>
      </c>
      <c r="O169" s="97">
        <v>294.00000000000011</v>
      </c>
      <c r="P169" s="92">
        <v>0</v>
      </c>
      <c r="Q169" s="98">
        <f t="shared" si="5"/>
        <v>294.00000000000011</v>
      </c>
      <c r="R169" s="102" t="str">
        <f>+IF(Q169+N169&lt;=0, "NO COMPRADOR", +IF(Q169&lt;=0, "SIN COMPRA "&amp;+UPPER(TEXT('DINAMICA ENERO 26'!$C$2,"mmm 'yy")), "COMPRADOR"))</f>
        <v>COMPRADOR</v>
      </c>
      <c r="S169" s="100"/>
      <c r="T169" s="101"/>
      <c r="U169" s="100"/>
      <c r="V169" s="100"/>
    </row>
    <row r="170" spans="1:22" s="104" customFormat="1" ht="14" hidden="1">
      <c r="A170" s="88" t="s">
        <v>85</v>
      </c>
      <c r="B170" s="89" t="s">
        <v>257</v>
      </c>
      <c r="C170" s="89" t="s">
        <v>43</v>
      </c>
      <c r="D170" s="103">
        <v>100088690</v>
      </c>
      <c r="E170" s="89" t="s">
        <v>45</v>
      </c>
      <c r="F170" s="89">
        <v>100067627</v>
      </c>
      <c r="G170" s="128" t="s">
        <v>262</v>
      </c>
      <c r="H170" s="91">
        <v>107.80000000000001</v>
      </c>
      <c r="I170" s="92">
        <v>117.60000000000001</v>
      </c>
      <c r="J170" s="93">
        <v>137.19999999999999</v>
      </c>
      <c r="K170" s="94">
        <v>480.20000000000005</v>
      </c>
      <c r="L170" s="94">
        <v>-29.400000000000006</v>
      </c>
      <c r="M170" s="129">
        <v>156.79999999999998</v>
      </c>
      <c r="N170" s="102">
        <f t="shared" si="4"/>
        <v>202.53333333333333</v>
      </c>
      <c r="O170" s="97">
        <v>127.4</v>
      </c>
      <c r="P170" s="92">
        <v>0</v>
      </c>
      <c r="Q170" s="98">
        <f t="shared" si="5"/>
        <v>127.4</v>
      </c>
      <c r="R170" s="102" t="str">
        <f>+IF(Q170+N170&lt;=0, "NO COMPRADOR", +IF(Q170&lt;=0, "SIN COMPRA "&amp;+UPPER(TEXT('DINAMICA ENERO 26'!$C$2,"mmm 'yy")), "COMPRADOR"))</f>
        <v>COMPRADOR</v>
      </c>
      <c r="S170" s="100"/>
      <c r="T170" s="101"/>
      <c r="U170" s="100"/>
      <c r="V170" s="100"/>
    </row>
    <row r="171" spans="1:22" s="104" customFormat="1" ht="14" hidden="1">
      <c r="A171" s="88" t="s">
        <v>85</v>
      </c>
      <c r="B171" s="89" t="s">
        <v>257</v>
      </c>
      <c r="C171" s="89" t="s">
        <v>43</v>
      </c>
      <c r="D171" s="103">
        <v>100088690</v>
      </c>
      <c r="E171" s="89" t="s">
        <v>45</v>
      </c>
      <c r="F171" s="89">
        <v>100072066</v>
      </c>
      <c r="G171" s="128" t="s">
        <v>263</v>
      </c>
      <c r="H171" s="91">
        <v>68.600000000000009</v>
      </c>
      <c r="I171" s="92">
        <v>205.8</v>
      </c>
      <c r="J171" s="93">
        <v>166.60000000000002</v>
      </c>
      <c r="K171" s="94">
        <v>117.60000000000001</v>
      </c>
      <c r="L171" s="94">
        <v>29.400000000000002</v>
      </c>
      <c r="M171" s="129">
        <v>274.40000000000003</v>
      </c>
      <c r="N171" s="102">
        <f t="shared" si="4"/>
        <v>140.46666666666667</v>
      </c>
      <c r="O171" s="97">
        <v>0</v>
      </c>
      <c r="P171" s="92">
        <v>0</v>
      </c>
      <c r="Q171" s="98">
        <f t="shared" si="5"/>
        <v>0</v>
      </c>
      <c r="R171" s="102" t="str">
        <f>+IF(Q171+N171&lt;=0, "NO COMPRADOR", +IF(Q171&lt;=0, "SIN COMPRA "&amp;+UPPER(TEXT('DINAMICA ENERO 26'!$C$2,"mmm 'yy")), "COMPRADOR"))</f>
        <v>SIN COMPRA FEB '26</v>
      </c>
      <c r="S171" s="100"/>
      <c r="T171" s="101"/>
      <c r="U171" s="100"/>
      <c r="V171" s="100"/>
    </row>
    <row r="172" spans="1:22" s="100" customFormat="1" ht="14" hidden="1">
      <c r="A172" s="88" t="s">
        <v>85</v>
      </c>
      <c r="B172" s="89" t="s">
        <v>257</v>
      </c>
      <c r="C172" s="89" t="s">
        <v>43</v>
      </c>
      <c r="D172" s="103">
        <v>100088690</v>
      </c>
      <c r="E172" s="89" t="s">
        <v>45</v>
      </c>
      <c r="F172" s="89">
        <v>100081814</v>
      </c>
      <c r="G172" s="128" t="s">
        <v>264</v>
      </c>
      <c r="H172" s="91">
        <v>0</v>
      </c>
      <c r="I172" s="92">
        <v>0</v>
      </c>
      <c r="J172" s="93">
        <v>0</v>
      </c>
      <c r="K172" s="94">
        <v>0</v>
      </c>
      <c r="L172" s="94">
        <v>0</v>
      </c>
      <c r="M172" s="129">
        <v>0</v>
      </c>
      <c r="N172" s="102">
        <f t="shared" si="4"/>
        <v>0</v>
      </c>
      <c r="O172" s="97">
        <v>0</v>
      </c>
      <c r="P172" s="92">
        <v>0</v>
      </c>
      <c r="Q172" s="98">
        <f t="shared" si="5"/>
        <v>0</v>
      </c>
      <c r="R172" s="102" t="str">
        <f>+IF(Q172+N172&lt;=0, "NO COMPRADOR", +IF(Q172&lt;=0, "SIN COMPRA "&amp;+UPPER(TEXT('DINAMICA ENERO 26'!$C$2,"mmm 'yy")), "COMPRADOR"))</f>
        <v>NO COMPRADOR</v>
      </c>
      <c r="T172" s="101"/>
    </row>
    <row r="173" spans="1:22" s="100" customFormat="1" ht="14" hidden="1">
      <c r="A173" s="88" t="s">
        <v>85</v>
      </c>
      <c r="B173" s="89" t="s">
        <v>257</v>
      </c>
      <c r="C173" s="89" t="s">
        <v>43</v>
      </c>
      <c r="D173" s="103">
        <v>100088690</v>
      </c>
      <c r="E173" s="89" t="s">
        <v>45</v>
      </c>
      <c r="F173" s="89">
        <v>100072064</v>
      </c>
      <c r="G173" s="128" t="s">
        <v>265</v>
      </c>
      <c r="H173" s="91">
        <v>176.4</v>
      </c>
      <c r="I173" s="92">
        <v>117.60000000000001</v>
      </c>
      <c r="J173" s="93">
        <v>39.200000000000003</v>
      </c>
      <c r="K173" s="94">
        <v>117.6</v>
      </c>
      <c r="L173" s="94">
        <v>166.6</v>
      </c>
      <c r="M173" s="129">
        <v>58.800000000000004</v>
      </c>
      <c r="N173" s="102">
        <f t="shared" si="4"/>
        <v>114.33333333333333</v>
      </c>
      <c r="O173" s="97">
        <v>88.2</v>
      </c>
      <c r="P173" s="92">
        <v>0</v>
      </c>
      <c r="Q173" s="98">
        <f t="shared" si="5"/>
        <v>88.2</v>
      </c>
      <c r="R173" s="102" t="str">
        <f>+IF(Q173+N173&lt;=0, "NO COMPRADOR", +IF(Q173&lt;=0, "SIN COMPRA "&amp;+UPPER(TEXT('DINAMICA ENERO 26'!$C$2,"mmm 'yy")), "COMPRADOR"))</f>
        <v>COMPRADOR</v>
      </c>
      <c r="T173" s="101"/>
    </row>
    <row r="174" spans="1:22" s="100" customFormat="1" ht="14" hidden="1">
      <c r="A174" s="88" t="s">
        <v>85</v>
      </c>
      <c r="B174" s="89" t="s">
        <v>257</v>
      </c>
      <c r="C174" s="89" t="s">
        <v>43</v>
      </c>
      <c r="D174" s="103">
        <v>100088690</v>
      </c>
      <c r="E174" s="89" t="s">
        <v>45</v>
      </c>
      <c r="F174" s="89">
        <v>100080445</v>
      </c>
      <c r="G174" s="128" t="s">
        <v>266</v>
      </c>
      <c r="H174" s="91">
        <v>205.8</v>
      </c>
      <c r="I174" s="92">
        <v>147</v>
      </c>
      <c r="J174" s="93">
        <v>166.6</v>
      </c>
      <c r="K174" s="94">
        <v>264.60000000000002</v>
      </c>
      <c r="L174" s="94">
        <v>127.4</v>
      </c>
      <c r="M174" s="129">
        <v>284.2</v>
      </c>
      <c r="N174" s="102">
        <f t="shared" si="4"/>
        <v>225.4</v>
      </c>
      <c r="O174" s="97">
        <v>117.60000000000001</v>
      </c>
      <c r="P174" s="92">
        <v>0</v>
      </c>
      <c r="Q174" s="98">
        <f t="shared" si="5"/>
        <v>117.60000000000001</v>
      </c>
      <c r="R174" s="102" t="str">
        <f>+IF(Q174+N174&lt;=0, "NO COMPRADOR", +IF(Q174&lt;=0, "SIN COMPRA "&amp;+UPPER(TEXT('DINAMICA ENERO 26'!$C$2,"mmm 'yy")), "COMPRADOR"))</f>
        <v>COMPRADOR</v>
      </c>
      <c r="T174" s="101"/>
    </row>
    <row r="175" spans="1:22" s="100" customFormat="1" ht="14" hidden="1">
      <c r="A175" s="88" t="s">
        <v>85</v>
      </c>
      <c r="B175" s="89" t="s">
        <v>257</v>
      </c>
      <c r="C175" s="89" t="s">
        <v>43</v>
      </c>
      <c r="D175" s="103">
        <v>100088690</v>
      </c>
      <c r="E175" s="89" t="s">
        <v>45</v>
      </c>
      <c r="F175" s="89">
        <v>100018910</v>
      </c>
      <c r="G175" s="128" t="s">
        <v>267</v>
      </c>
      <c r="H175" s="91">
        <v>9.8000000000000007</v>
      </c>
      <c r="I175" s="92">
        <v>29.400000000000002</v>
      </c>
      <c r="J175" s="93">
        <v>19.600000000000001</v>
      </c>
      <c r="K175" s="94">
        <v>107.8</v>
      </c>
      <c r="L175" s="94">
        <v>68.599999999999994</v>
      </c>
      <c r="M175" s="129">
        <v>0</v>
      </c>
      <c r="N175" s="102">
        <f t="shared" si="4"/>
        <v>58.79999999999999</v>
      </c>
      <c r="O175" s="97">
        <v>0</v>
      </c>
      <c r="P175" s="92">
        <v>0</v>
      </c>
      <c r="Q175" s="98">
        <f t="shared" si="5"/>
        <v>0</v>
      </c>
      <c r="R175" s="102" t="str">
        <f>+IF(Q175+N175&lt;=0, "NO COMPRADOR", +IF(Q175&lt;=0, "SIN COMPRA "&amp;+UPPER(TEXT('DINAMICA ENERO 26'!$C$2,"mmm 'yy")), "COMPRADOR"))</f>
        <v>SIN COMPRA FEB '26</v>
      </c>
      <c r="T175" s="101"/>
    </row>
    <row r="176" spans="1:22" s="100" customFormat="1" ht="14" hidden="1">
      <c r="A176" s="88" t="s">
        <v>85</v>
      </c>
      <c r="B176" s="89" t="s">
        <v>257</v>
      </c>
      <c r="C176" s="89" t="s">
        <v>43</v>
      </c>
      <c r="D176" s="103">
        <v>100088690</v>
      </c>
      <c r="E176" s="89" t="s">
        <v>45</v>
      </c>
      <c r="F176" s="89">
        <v>100072065</v>
      </c>
      <c r="G176" s="128" t="s">
        <v>268</v>
      </c>
      <c r="H176" s="91">
        <v>637</v>
      </c>
      <c r="I176" s="92">
        <v>294</v>
      </c>
      <c r="J176" s="93">
        <v>509.6</v>
      </c>
      <c r="K176" s="94">
        <v>617.40000000000009</v>
      </c>
      <c r="L176" s="94">
        <v>490</v>
      </c>
      <c r="M176" s="129">
        <v>205.8</v>
      </c>
      <c r="N176" s="102">
        <f t="shared" si="4"/>
        <v>437.73333333333335</v>
      </c>
      <c r="O176" s="97">
        <v>352.80000000000007</v>
      </c>
      <c r="P176" s="92">
        <v>0</v>
      </c>
      <c r="Q176" s="98">
        <f t="shared" si="5"/>
        <v>352.80000000000007</v>
      </c>
      <c r="R176" s="102" t="str">
        <f>+IF(Q176+N176&lt;=0, "NO COMPRADOR", +IF(Q176&lt;=0, "SIN COMPRA "&amp;+UPPER(TEXT('DINAMICA ENERO 26'!$C$2,"mmm 'yy")), "COMPRADOR"))</f>
        <v>COMPRADOR</v>
      </c>
      <c r="T176" s="101"/>
    </row>
    <row r="177" spans="1:22" s="100" customFormat="1" ht="14" hidden="1">
      <c r="A177" s="88" t="s">
        <v>85</v>
      </c>
      <c r="B177" s="89" t="s">
        <v>257</v>
      </c>
      <c r="C177" s="89" t="s">
        <v>43</v>
      </c>
      <c r="D177" s="103">
        <v>100088690</v>
      </c>
      <c r="E177" s="89" t="s">
        <v>45</v>
      </c>
      <c r="F177" s="89">
        <v>100068677</v>
      </c>
      <c r="G177" s="128" t="s">
        <v>269</v>
      </c>
      <c r="H177" s="91">
        <v>0</v>
      </c>
      <c r="I177" s="92">
        <v>0</v>
      </c>
      <c r="J177" s="93">
        <v>39.200000000000003</v>
      </c>
      <c r="K177" s="94">
        <v>0</v>
      </c>
      <c r="L177" s="94">
        <v>9.8000000000000007</v>
      </c>
      <c r="M177" s="129">
        <v>9.8000000000000007</v>
      </c>
      <c r="N177" s="102">
        <f t="shared" si="4"/>
        <v>6.5333333333333341</v>
      </c>
      <c r="O177" s="97">
        <v>29.400000000000002</v>
      </c>
      <c r="P177" s="92">
        <v>0</v>
      </c>
      <c r="Q177" s="98">
        <f t="shared" si="5"/>
        <v>29.400000000000002</v>
      </c>
      <c r="R177" s="102" t="str">
        <f>+IF(Q177+N177&lt;=0, "NO COMPRADOR", +IF(Q177&lt;=0, "SIN COMPRA "&amp;+UPPER(TEXT('DINAMICA ENERO 26'!$C$2,"mmm 'yy")), "COMPRADOR"))</f>
        <v>COMPRADOR</v>
      </c>
      <c r="T177" s="101"/>
    </row>
    <row r="178" spans="1:22" s="100" customFormat="1" ht="14" hidden="1">
      <c r="A178" s="88" t="s">
        <v>85</v>
      </c>
      <c r="B178" s="89" t="s">
        <v>257</v>
      </c>
      <c r="C178" s="89" t="s">
        <v>43</v>
      </c>
      <c r="D178" s="103">
        <v>100088690</v>
      </c>
      <c r="E178" s="89" t="s">
        <v>45</v>
      </c>
      <c r="F178" s="89">
        <v>100017754</v>
      </c>
      <c r="G178" s="128" t="s">
        <v>270</v>
      </c>
      <c r="H178" s="91">
        <v>9.8000000000000007</v>
      </c>
      <c r="I178" s="92">
        <v>9.8000000000000007</v>
      </c>
      <c r="J178" s="93">
        <v>0</v>
      </c>
      <c r="K178" s="94">
        <v>0</v>
      </c>
      <c r="L178" s="94">
        <v>9.8000000000000007</v>
      </c>
      <c r="M178" s="129">
        <v>0</v>
      </c>
      <c r="N178" s="102">
        <f t="shared" si="4"/>
        <v>3.2666666666666671</v>
      </c>
      <c r="O178" s="97">
        <v>0</v>
      </c>
      <c r="P178" s="92">
        <v>0</v>
      </c>
      <c r="Q178" s="98">
        <f t="shared" si="5"/>
        <v>0</v>
      </c>
      <c r="R178" s="102" t="str">
        <f>+IF(Q178+N178&lt;=0, "NO COMPRADOR", +IF(Q178&lt;=0, "SIN COMPRA "&amp;+UPPER(TEXT('DINAMICA ENERO 26'!$C$2,"mmm 'yy")), "COMPRADOR"))</f>
        <v>SIN COMPRA FEB '26</v>
      </c>
      <c r="T178" s="101"/>
    </row>
    <row r="179" spans="1:22" s="104" customFormat="1" ht="14" hidden="1">
      <c r="A179" s="88" t="s">
        <v>85</v>
      </c>
      <c r="B179" s="89" t="s">
        <v>257</v>
      </c>
      <c r="C179" s="89" t="s">
        <v>43</v>
      </c>
      <c r="D179" s="103">
        <v>100088690</v>
      </c>
      <c r="E179" s="89" t="s">
        <v>45</v>
      </c>
      <c r="F179" s="89">
        <v>100024126</v>
      </c>
      <c r="G179" s="128" t="s">
        <v>271</v>
      </c>
      <c r="H179" s="91">
        <v>166.60000000000002</v>
      </c>
      <c r="I179" s="92">
        <v>49</v>
      </c>
      <c r="J179" s="93">
        <v>39.200000000000003</v>
      </c>
      <c r="K179" s="94">
        <v>68.600000000000009</v>
      </c>
      <c r="L179" s="94">
        <v>49</v>
      </c>
      <c r="M179" s="129">
        <v>78.400000000000006</v>
      </c>
      <c r="N179" s="102">
        <f t="shared" si="4"/>
        <v>65.333333333333329</v>
      </c>
      <c r="O179" s="97">
        <v>68.599999999999994</v>
      </c>
      <c r="P179" s="92">
        <v>0</v>
      </c>
      <c r="Q179" s="98">
        <f t="shared" si="5"/>
        <v>68.599999999999994</v>
      </c>
      <c r="R179" s="102" t="str">
        <f>+IF(Q179+N179&lt;=0, "NO COMPRADOR", +IF(Q179&lt;=0, "SIN COMPRA "&amp;+UPPER(TEXT('DINAMICA ENERO 26'!$C$2,"mmm 'yy")), "COMPRADOR"))</f>
        <v>COMPRADOR</v>
      </c>
      <c r="S179" s="100"/>
      <c r="T179" s="101"/>
      <c r="U179" s="100"/>
      <c r="V179" s="100"/>
    </row>
    <row r="180" spans="1:22" s="100" customFormat="1" ht="14" hidden="1">
      <c r="A180" s="88" t="s">
        <v>85</v>
      </c>
      <c r="B180" s="89" t="s">
        <v>257</v>
      </c>
      <c r="C180" s="89" t="s">
        <v>43</v>
      </c>
      <c r="D180" s="103">
        <v>100088690</v>
      </c>
      <c r="E180" s="89" t="s">
        <v>45</v>
      </c>
      <c r="F180" s="89">
        <v>100071480</v>
      </c>
      <c r="G180" s="128" t="s">
        <v>272</v>
      </c>
      <c r="H180" s="91">
        <v>39.200000000000003</v>
      </c>
      <c r="I180" s="92">
        <v>19.600000000000001</v>
      </c>
      <c r="J180" s="93">
        <v>0</v>
      </c>
      <c r="K180" s="94">
        <v>68.599999999999994</v>
      </c>
      <c r="L180" s="94">
        <v>19.600000000000001</v>
      </c>
      <c r="M180" s="129">
        <v>0</v>
      </c>
      <c r="N180" s="102">
        <f t="shared" si="4"/>
        <v>29.399999999999995</v>
      </c>
      <c r="O180" s="97">
        <v>0</v>
      </c>
      <c r="P180" s="92">
        <v>0</v>
      </c>
      <c r="Q180" s="98">
        <f t="shared" si="5"/>
        <v>0</v>
      </c>
      <c r="R180" s="102" t="str">
        <f>+IF(Q180+N180&lt;=0, "NO COMPRADOR", +IF(Q180&lt;=0, "SIN COMPRA "&amp;+UPPER(TEXT('DINAMICA ENERO 26'!$C$2,"mmm 'yy")), "COMPRADOR"))</f>
        <v>SIN COMPRA FEB '26</v>
      </c>
      <c r="T180" s="101"/>
    </row>
    <row r="181" spans="1:22" s="104" customFormat="1" ht="14" hidden="1">
      <c r="A181" s="88" t="s">
        <v>85</v>
      </c>
      <c r="B181" s="89" t="s">
        <v>257</v>
      </c>
      <c r="C181" s="89" t="s">
        <v>43</v>
      </c>
      <c r="D181" s="103">
        <v>100088690</v>
      </c>
      <c r="E181" s="89" t="s">
        <v>45</v>
      </c>
      <c r="F181" s="89">
        <v>100063075</v>
      </c>
      <c r="G181" s="128" t="s">
        <v>273</v>
      </c>
      <c r="H181" s="91">
        <v>0</v>
      </c>
      <c r="I181" s="92">
        <v>0</v>
      </c>
      <c r="J181" s="93">
        <v>0</v>
      </c>
      <c r="K181" s="94">
        <v>0</v>
      </c>
      <c r="L181" s="94">
        <v>0</v>
      </c>
      <c r="M181" s="129">
        <v>0</v>
      </c>
      <c r="N181" s="102">
        <f t="shared" si="4"/>
        <v>0</v>
      </c>
      <c r="O181" s="97">
        <v>0</v>
      </c>
      <c r="P181" s="92">
        <v>0</v>
      </c>
      <c r="Q181" s="98">
        <f t="shared" si="5"/>
        <v>0</v>
      </c>
      <c r="R181" s="102" t="str">
        <f>+IF(Q181+N181&lt;=0, "NO COMPRADOR", +IF(Q181&lt;=0, "SIN COMPRA "&amp;+UPPER(TEXT('DINAMICA ENERO 26'!$C$2,"mmm 'yy")), "COMPRADOR"))</f>
        <v>NO COMPRADOR</v>
      </c>
      <c r="S181" s="100"/>
      <c r="T181" s="101"/>
      <c r="U181" s="100"/>
      <c r="V181" s="100"/>
    </row>
    <row r="182" spans="1:22" s="100" customFormat="1" ht="14" hidden="1">
      <c r="A182" s="88" t="s">
        <v>85</v>
      </c>
      <c r="B182" s="89" t="s">
        <v>257</v>
      </c>
      <c r="C182" s="89" t="s">
        <v>43</v>
      </c>
      <c r="D182" s="103">
        <v>100088690</v>
      </c>
      <c r="E182" s="89" t="s">
        <v>45</v>
      </c>
      <c r="F182" s="89">
        <v>100072084</v>
      </c>
      <c r="G182" s="128" t="s">
        <v>274</v>
      </c>
      <c r="H182" s="91">
        <v>186.20000000000002</v>
      </c>
      <c r="I182" s="92">
        <v>0</v>
      </c>
      <c r="J182" s="93">
        <v>127.4</v>
      </c>
      <c r="K182" s="94">
        <v>68.599999999999994</v>
      </c>
      <c r="L182" s="94">
        <v>98</v>
      </c>
      <c r="M182" s="129">
        <v>98</v>
      </c>
      <c r="N182" s="102">
        <f t="shared" si="4"/>
        <v>88.2</v>
      </c>
      <c r="O182" s="97">
        <v>39.200000000000003</v>
      </c>
      <c r="P182" s="92">
        <v>0</v>
      </c>
      <c r="Q182" s="98">
        <f t="shared" si="5"/>
        <v>39.200000000000003</v>
      </c>
      <c r="R182" s="102" t="str">
        <f>+IF(Q182+N182&lt;=0, "NO COMPRADOR", +IF(Q182&lt;=0, "SIN COMPRA "&amp;+UPPER(TEXT('DINAMICA ENERO 26'!$C$2,"mmm 'yy")), "COMPRADOR"))</f>
        <v>COMPRADOR</v>
      </c>
      <c r="T182" s="101"/>
    </row>
    <row r="183" spans="1:22" s="100" customFormat="1" ht="14" hidden="1">
      <c r="A183" s="88" t="s">
        <v>85</v>
      </c>
      <c r="B183" s="89" t="s">
        <v>257</v>
      </c>
      <c r="C183" s="89" t="s">
        <v>43</v>
      </c>
      <c r="D183" s="103">
        <v>100088690</v>
      </c>
      <c r="E183" s="89" t="s">
        <v>45</v>
      </c>
      <c r="F183" s="89">
        <v>100000283</v>
      </c>
      <c r="G183" s="128" t="s">
        <v>275</v>
      </c>
      <c r="H183" s="91">
        <v>98</v>
      </c>
      <c r="I183" s="92">
        <v>303.8</v>
      </c>
      <c r="J183" s="93">
        <v>147</v>
      </c>
      <c r="K183" s="94">
        <v>117.6</v>
      </c>
      <c r="L183" s="94">
        <v>117.6</v>
      </c>
      <c r="M183" s="129">
        <v>156.80000000000001</v>
      </c>
      <c r="N183" s="102">
        <f t="shared" si="4"/>
        <v>130.66666666666666</v>
      </c>
      <c r="O183" s="97">
        <v>68.599999999999994</v>
      </c>
      <c r="P183" s="92">
        <v>0</v>
      </c>
      <c r="Q183" s="98">
        <f t="shared" si="5"/>
        <v>68.599999999999994</v>
      </c>
      <c r="R183" s="102" t="str">
        <f>+IF(Q183+N183&lt;=0, "NO COMPRADOR", +IF(Q183&lt;=0, "SIN COMPRA "&amp;+UPPER(TEXT('DINAMICA ENERO 26'!$C$2,"mmm 'yy")), "COMPRADOR"))</f>
        <v>COMPRADOR</v>
      </c>
      <c r="T183" s="101"/>
    </row>
    <row r="184" spans="1:22" s="104" customFormat="1" ht="14" hidden="1">
      <c r="A184" s="88" t="s">
        <v>85</v>
      </c>
      <c r="B184" s="89" t="s">
        <v>257</v>
      </c>
      <c r="C184" s="89" t="s">
        <v>43</v>
      </c>
      <c r="D184" s="103">
        <v>100088690</v>
      </c>
      <c r="E184" s="89" t="s">
        <v>45</v>
      </c>
      <c r="F184" s="89">
        <v>100001254</v>
      </c>
      <c r="G184" s="128" t="s">
        <v>276</v>
      </c>
      <c r="H184" s="91">
        <v>0</v>
      </c>
      <c r="I184" s="92">
        <v>0</v>
      </c>
      <c r="J184" s="93">
        <v>0</v>
      </c>
      <c r="K184" s="94">
        <v>0</v>
      </c>
      <c r="L184" s="94">
        <v>0</v>
      </c>
      <c r="M184" s="129">
        <v>0</v>
      </c>
      <c r="N184" s="102">
        <f t="shared" si="4"/>
        <v>0</v>
      </c>
      <c r="O184" s="97">
        <v>0</v>
      </c>
      <c r="P184" s="92">
        <v>0</v>
      </c>
      <c r="Q184" s="98">
        <f t="shared" si="5"/>
        <v>0</v>
      </c>
      <c r="R184" s="102" t="str">
        <f>+IF(Q184+N184&lt;=0, "NO COMPRADOR", +IF(Q184&lt;=0, "SIN COMPRA "&amp;+UPPER(TEXT('DINAMICA ENERO 26'!$C$2,"mmm 'yy")), "COMPRADOR"))</f>
        <v>NO COMPRADOR</v>
      </c>
      <c r="S184" s="100"/>
      <c r="T184" s="101"/>
      <c r="U184" s="100"/>
      <c r="V184" s="100"/>
    </row>
    <row r="185" spans="1:22" s="104" customFormat="1" ht="14" hidden="1">
      <c r="A185" s="88" t="s">
        <v>85</v>
      </c>
      <c r="B185" s="89" t="s">
        <v>257</v>
      </c>
      <c r="C185" s="89" t="s">
        <v>43</v>
      </c>
      <c r="D185" s="103">
        <v>100088690</v>
      </c>
      <c r="E185" s="89" t="s">
        <v>45</v>
      </c>
      <c r="F185" s="89">
        <v>100088794</v>
      </c>
      <c r="G185" s="128" t="s">
        <v>277</v>
      </c>
      <c r="H185" s="91">
        <v>29.400000000000002</v>
      </c>
      <c r="I185" s="92">
        <v>39.200000000000003</v>
      </c>
      <c r="J185" s="93">
        <v>19.600000000000001</v>
      </c>
      <c r="K185" s="94">
        <v>88.2</v>
      </c>
      <c r="L185" s="94">
        <v>49</v>
      </c>
      <c r="M185" s="129">
        <v>49</v>
      </c>
      <c r="N185" s="102">
        <f t="shared" si="4"/>
        <v>62.066666666666663</v>
      </c>
      <c r="O185" s="97">
        <v>49</v>
      </c>
      <c r="P185" s="92">
        <v>0</v>
      </c>
      <c r="Q185" s="98">
        <f t="shared" si="5"/>
        <v>49</v>
      </c>
      <c r="R185" s="102" t="str">
        <f>+IF(Q185+N185&lt;=0, "NO COMPRADOR", +IF(Q185&lt;=0, "SIN COMPRA "&amp;+UPPER(TEXT('DINAMICA ENERO 26'!$C$2,"mmm 'yy")), "COMPRADOR"))</f>
        <v>COMPRADOR</v>
      </c>
      <c r="S185" s="100"/>
      <c r="T185" s="101"/>
      <c r="U185" s="100"/>
      <c r="V185" s="100"/>
    </row>
    <row r="186" spans="1:22" s="100" customFormat="1" ht="14" hidden="1">
      <c r="A186" s="88" t="s">
        <v>85</v>
      </c>
      <c r="B186" s="89" t="s">
        <v>257</v>
      </c>
      <c r="C186" s="89" t="s">
        <v>43</v>
      </c>
      <c r="D186" s="103">
        <v>100088690</v>
      </c>
      <c r="E186" s="89" t="s">
        <v>45</v>
      </c>
      <c r="F186" s="89">
        <v>100088316</v>
      </c>
      <c r="G186" s="128" t="s">
        <v>278</v>
      </c>
      <c r="H186" s="91">
        <v>98</v>
      </c>
      <c r="I186" s="92">
        <v>39.200000000000003</v>
      </c>
      <c r="J186" s="93">
        <v>186.20000000000002</v>
      </c>
      <c r="K186" s="94">
        <v>343</v>
      </c>
      <c r="L186" s="94">
        <v>127.4</v>
      </c>
      <c r="M186" s="129">
        <v>98</v>
      </c>
      <c r="N186" s="102">
        <f t="shared" si="4"/>
        <v>189.46666666666667</v>
      </c>
      <c r="O186" s="97">
        <v>117.60000000000001</v>
      </c>
      <c r="P186" s="92">
        <v>0</v>
      </c>
      <c r="Q186" s="98">
        <f t="shared" si="5"/>
        <v>117.60000000000001</v>
      </c>
      <c r="R186" s="102" t="str">
        <f>+IF(Q186+N186&lt;=0, "NO COMPRADOR", +IF(Q186&lt;=0, "SIN COMPRA "&amp;+UPPER(TEXT('DINAMICA ENERO 26'!$C$2,"mmm 'yy")), "COMPRADOR"))</f>
        <v>COMPRADOR</v>
      </c>
      <c r="T186" s="101"/>
    </row>
    <row r="187" spans="1:22" s="104" customFormat="1" ht="14" hidden="1">
      <c r="A187" s="88" t="s">
        <v>85</v>
      </c>
      <c r="B187" s="89" t="s">
        <v>257</v>
      </c>
      <c r="C187" s="89" t="s">
        <v>43</v>
      </c>
      <c r="D187" s="103">
        <v>100088690</v>
      </c>
      <c r="E187" s="89" t="s">
        <v>45</v>
      </c>
      <c r="F187" s="89">
        <v>100089468</v>
      </c>
      <c r="G187" s="128" t="s">
        <v>279</v>
      </c>
      <c r="H187" s="91">
        <v>9.8000000000000007</v>
      </c>
      <c r="I187" s="92">
        <v>78.400000000000006</v>
      </c>
      <c r="J187" s="93">
        <v>39.200000000000003</v>
      </c>
      <c r="K187" s="94">
        <v>0</v>
      </c>
      <c r="L187" s="94">
        <v>9.8000000000000007</v>
      </c>
      <c r="M187" s="129">
        <v>0</v>
      </c>
      <c r="N187" s="102">
        <f t="shared" si="4"/>
        <v>3.2666666666666671</v>
      </c>
      <c r="O187" s="97">
        <v>0</v>
      </c>
      <c r="P187" s="92">
        <v>0</v>
      </c>
      <c r="Q187" s="98">
        <f t="shared" si="5"/>
        <v>0</v>
      </c>
      <c r="R187" s="102" t="str">
        <f>+IF(Q187+N187&lt;=0, "NO COMPRADOR", +IF(Q187&lt;=0, "SIN COMPRA "&amp;+UPPER(TEXT('DINAMICA ENERO 26'!$C$2,"mmm 'yy")), "COMPRADOR"))</f>
        <v>SIN COMPRA FEB '26</v>
      </c>
      <c r="S187" s="100"/>
      <c r="T187" s="101"/>
      <c r="U187" s="100"/>
      <c r="V187" s="100"/>
    </row>
    <row r="188" spans="1:22" s="104" customFormat="1" ht="14" hidden="1">
      <c r="A188" s="88" t="s">
        <v>85</v>
      </c>
      <c r="B188" s="89" t="s">
        <v>257</v>
      </c>
      <c r="C188" s="89" t="s">
        <v>43</v>
      </c>
      <c r="D188" s="103">
        <v>100089856</v>
      </c>
      <c r="E188" s="89" t="s">
        <v>49</v>
      </c>
      <c r="F188" s="89">
        <v>100001543</v>
      </c>
      <c r="G188" s="128" t="s">
        <v>280</v>
      </c>
      <c r="H188" s="91">
        <v>0</v>
      </c>
      <c r="I188" s="92">
        <v>0</v>
      </c>
      <c r="J188" s="93">
        <v>9.8000000000000007</v>
      </c>
      <c r="K188" s="94">
        <v>0</v>
      </c>
      <c r="L188" s="94">
        <v>9.8000000000000007</v>
      </c>
      <c r="M188" s="129">
        <v>0</v>
      </c>
      <c r="N188" s="102">
        <f t="shared" si="4"/>
        <v>3.2666666666666671</v>
      </c>
      <c r="O188" s="97">
        <v>0</v>
      </c>
      <c r="P188" s="92">
        <v>0</v>
      </c>
      <c r="Q188" s="98">
        <f t="shared" si="5"/>
        <v>0</v>
      </c>
      <c r="R188" s="102" t="str">
        <f>+IF(Q188+N188&lt;=0, "NO COMPRADOR", +IF(Q188&lt;=0, "SIN COMPRA "&amp;+UPPER(TEXT('DINAMICA ENERO 26'!$C$2,"mmm 'yy")), "COMPRADOR"))</f>
        <v>SIN COMPRA FEB '26</v>
      </c>
      <c r="S188" s="100"/>
      <c r="T188" s="101"/>
      <c r="U188" s="100"/>
      <c r="V188" s="100"/>
    </row>
    <row r="189" spans="1:22" s="100" customFormat="1" ht="14" hidden="1">
      <c r="A189" s="88" t="s">
        <v>85</v>
      </c>
      <c r="B189" s="89" t="s">
        <v>257</v>
      </c>
      <c r="C189" s="89" t="s">
        <v>43</v>
      </c>
      <c r="D189" s="103">
        <v>100089856</v>
      </c>
      <c r="E189" s="89" t="s">
        <v>49</v>
      </c>
      <c r="F189" s="89">
        <v>100066164</v>
      </c>
      <c r="G189" s="128" t="s">
        <v>281</v>
      </c>
      <c r="H189" s="91">
        <v>9.8000000000000007</v>
      </c>
      <c r="I189" s="92">
        <v>245</v>
      </c>
      <c r="J189" s="93">
        <v>98</v>
      </c>
      <c r="K189" s="94">
        <v>245</v>
      </c>
      <c r="L189" s="94">
        <v>539</v>
      </c>
      <c r="M189" s="129">
        <v>9.8000000000000007</v>
      </c>
      <c r="N189" s="102">
        <f t="shared" si="4"/>
        <v>264.59999999999997</v>
      </c>
      <c r="O189" s="97">
        <v>245</v>
      </c>
      <c r="P189" s="92">
        <v>0</v>
      </c>
      <c r="Q189" s="98">
        <f t="shared" si="5"/>
        <v>245</v>
      </c>
      <c r="R189" s="102" t="str">
        <f>+IF(Q189+N189&lt;=0, "NO COMPRADOR", +IF(Q189&lt;=0, "SIN COMPRA "&amp;+UPPER(TEXT('DINAMICA ENERO 26'!$C$2,"mmm 'yy")), "COMPRADOR"))</f>
        <v>COMPRADOR</v>
      </c>
      <c r="T189" s="101"/>
    </row>
    <row r="190" spans="1:22" s="100" customFormat="1" ht="14" hidden="1">
      <c r="A190" s="88" t="s">
        <v>85</v>
      </c>
      <c r="B190" s="89" t="s">
        <v>257</v>
      </c>
      <c r="C190" s="89" t="s">
        <v>43</v>
      </c>
      <c r="D190" s="103">
        <v>100089856</v>
      </c>
      <c r="E190" s="89" t="s">
        <v>49</v>
      </c>
      <c r="F190" s="89">
        <v>100034611</v>
      </c>
      <c r="G190" s="128" t="s">
        <v>282</v>
      </c>
      <c r="H190" s="91">
        <v>0</v>
      </c>
      <c r="I190" s="92">
        <v>0</v>
      </c>
      <c r="J190" s="93">
        <v>0</v>
      </c>
      <c r="K190" s="94">
        <v>0</v>
      </c>
      <c r="L190" s="94">
        <v>0</v>
      </c>
      <c r="M190" s="129">
        <v>0</v>
      </c>
      <c r="N190" s="102">
        <f t="shared" si="4"/>
        <v>0</v>
      </c>
      <c r="O190" s="97">
        <v>0</v>
      </c>
      <c r="P190" s="92">
        <v>0</v>
      </c>
      <c r="Q190" s="98">
        <f t="shared" si="5"/>
        <v>0</v>
      </c>
      <c r="R190" s="102" t="str">
        <f>+IF(Q190+N190&lt;=0, "NO COMPRADOR", +IF(Q190&lt;=0, "SIN COMPRA "&amp;+UPPER(TEXT('DINAMICA ENERO 26'!$C$2,"mmm 'yy")), "COMPRADOR"))</f>
        <v>NO COMPRADOR</v>
      </c>
      <c r="T190" s="101"/>
    </row>
    <row r="191" spans="1:22" s="100" customFormat="1" ht="14" hidden="1">
      <c r="A191" s="88" t="s">
        <v>85</v>
      </c>
      <c r="B191" s="89" t="s">
        <v>257</v>
      </c>
      <c r="C191" s="89" t="s">
        <v>43</v>
      </c>
      <c r="D191" s="103">
        <v>100089856</v>
      </c>
      <c r="E191" s="89" t="s">
        <v>49</v>
      </c>
      <c r="F191" s="89">
        <v>100001907</v>
      </c>
      <c r="G191" s="128" t="s">
        <v>283</v>
      </c>
      <c r="H191" s="91">
        <v>294</v>
      </c>
      <c r="I191" s="92">
        <v>294</v>
      </c>
      <c r="J191" s="93">
        <v>0</v>
      </c>
      <c r="K191" s="94">
        <v>9.8000000000000007</v>
      </c>
      <c r="L191" s="94">
        <v>98</v>
      </c>
      <c r="M191" s="129">
        <v>196</v>
      </c>
      <c r="N191" s="102">
        <f t="shared" si="4"/>
        <v>101.26666666666667</v>
      </c>
      <c r="O191" s="97">
        <v>196</v>
      </c>
      <c r="P191" s="92">
        <v>0</v>
      </c>
      <c r="Q191" s="98">
        <f t="shared" si="5"/>
        <v>196</v>
      </c>
      <c r="R191" s="102" t="str">
        <f>+IF(Q191+N191&lt;=0, "NO COMPRADOR", +IF(Q191&lt;=0, "SIN COMPRA "&amp;+UPPER(TEXT('DINAMICA ENERO 26'!$C$2,"mmm 'yy")), "COMPRADOR"))</f>
        <v>COMPRADOR</v>
      </c>
      <c r="T191" s="101"/>
    </row>
    <row r="192" spans="1:22" s="104" customFormat="1" ht="14" hidden="1">
      <c r="A192" s="88" t="s">
        <v>85</v>
      </c>
      <c r="B192" s="89" t="s">
        <v>257</v>
      </c>
      <c r="C192" s="89" t="s">
        <v>43</v>
      </c>
      <c r="D192" s="103">
        <v>100089856</v>
      </c>
      <c r="E192" s="89" t="s">
        <v>49</v>
      </c>
      <c r="F192" s="89">
        <v>100068177</v>
      </c>
      <c r="G192" s="128" t="s">
        <v>284</v>
      </c>
      <c r="H192" s="91">
        <v>78.400000000000006</v>
      </c>
      <c r="I192" s="92">
        <v>78.400000000000006</v>
      </c>
      <c r="J192" s="93">
        <v>68.600000000000009</v>
      </c>
      <c r="K192" s="94">
        <v>88.2</v>
      </c>
      <c r="L192" s="94">
        <v>19.600000000000001</v>
      </c>
      <c r="M192" s="129">
        <v>49</v>
      </c>
      <c r="N192" s="102">
        <f t="shared" si="4"/>
        <v>52.266666666666673</v>
      </c>
      <c r="O192" s="97">
        <v>0</v>
      </c>
      <c r="P192" s="92">
        <v>0</v>
      </c>
      <c r="Q192" s="98">
        <f t="shared" si="5"/>
        <v>0</v>
      </c>
      <c r="R192" s="102" t="str">
        <f>+IF(Q192+N192&lt;=0, "NO COMPRADOR", +IF(Q192&lt;=0, "SIN COMPRA "&amp;+UPPER(TEXT('DINAMICA ENERO 26'!$C$2,"mmm 'yy")), "COMPRADOR"))</f>
        <v>SIN COMPRA FEB '26</v>
      </c>
      <c r="S192" s="100"/>
      <c r="T192" s="101"/>
      <c r="U192" s="100"/>
      <c r="V192" s="100"/>
    </row>
    <row r="193" spans="1:22" s="104" customFormat="1" ht="14" hidden="1">
      <c r="A193" s="88" t="s">
        <v>85</v>
      </c>
      <c r="B193" s="89" t="s">
        <v>257</v>
      </c>
      <c r="C193" s="89" t="s">
        <v>43</v>
      </c>
      <c r="D193" s="103">
        <v>100089856</v>
      </c>
      <c r="E193" s="89" t="s">
        <v>49</v>
      </c>
      <c r="F193" s="89">
        <v>100062882</v>
      </c>
      <c r="G193" s="128" t="s">
        <v>285</v>
      </c>
      <c r="H193" s="91">
        <v>39.200000000000003</v>
      </c>
      <c r="I193" s="92">
        <v>39.200000000000003</v>
      </c>
      <c r="J193" s="93">
        <v>9.8000000000000007</v>
      </c>
      <c r="K193" s="94">
        <v>49</v>
      </c>
      <c r="L193" s="94">
        <v>19.600000000000001</v>
      </c>
      <c r="M193" s="129">
        <v>39.200000000000003</v>
      </c>
      <c r="N193" s="102">
        <f t="shared" si="4"/>
        <v>35.93333333333333</v>
      </c>
      <c r="O193" s="97">
        <v>39.200000000000003</v>
      </c>
      <c r="P193" s="92">
        <v>0</v>
      </c>
      <c r="Q193" s="98">
        <f t="shared" si="5"/>
        <v>39.200000000000003</v>
      </c>
      <c r="R193" s="102" t="str">
        <f>+IF(Q193+N193&lt;=0, "NO COMPRADOR", +IF(Q193&lt;=0, "SIN COMPRA "&amp;+UPPER(TEXT('DINAMICA ENERO 26'!$C$2,"mmm 'yy")), "COMPRADOR"))</f>
        <v>COMPRADOR</v>
      </c>
      <c r="S193" s="100"/>
      <c r="T193" s="101"/>
      <c r="U193" s="100"/>
      <c r="V193" s="100"/>
    </row>
    <row r="194" spans="1:22" s="104" customFormat="1" ht="14" hidden="1">
      <c r="A194" s="88" t="s">
        <v>85</v>
      </c>
      <c r="B194" s="89" t="s">
        <v>257</v>
      </c>
      <c r="C194" s="89" t="s">
        <v>43</v>
      </c>
      <c r="D194" s="103">
        <v>100089856</v>
      </c>
      <c r="E194" s="89" t="s">
        <v>49</v>
      </c>
      <c r="F194" s="89">
        <v>100001936</v>
      </c>
      <c r="G194" s="128" t="s">
        <v>286</v>
      </c>
      <c r="H194" s="91">
        <v>9.8000000000000007</v>
      </c>
      <c r="I194" s="92">
        <v>9.8000000000000007</v>
      </c>
      <c r="J194" s="93">
        <v>9.8000000000000007</v>
      </c>
      <c r="K194" s="94">
        <v>0</v>
      </c>
      <c r="L194" s="94">
        <v>0</v>
      </c>
      <c r="M194" s="129">
        <v>0</v>
      </c>
      <c r="N194" s="102">
        <f t="shared" si="4"/>
        <v>0</v>
      </c>
      <c r="O194" s="97">
        <v>9.8000000000000007</v>
      </c>
      <c r="P194" s="92">
        <v>0</v>
      </c>
      <c r="Q194" s="98">
        <f t="shared" si="5"/>
        <v>9.8000000000000007</v>
      </c>
      <c r="R194" s="102" t="str">
        <f>+IF(Q194+N194&lt;=0, "NO COMPRADOR", +IF(Q194&lt;=0, "SIN COMPRA "&amp;+UPPER(TEXT('DINAMICA ENERO 26'!$C$2,"mmm 'yy")), "COMPRADOR"))</f>
        <v>COMPRADOR</v>
      </c>
      <c r="S194" s="100"/>
      <c r="T194" s="101"/>
      <c r="U194" s="100"/>
      <c r="V194" s="100"/>
    </row>
    <row r="195" spans="1:22" s="104" customFormat="1" ht="14" hidden="1">
      <c r="A195" s="88" t="s">
        <v>85</v>
      </c>
      <c r="B195" s="89" t="s">
        <v>257</v>
      </c>
      <c r="C195" s="89" t="s">
        <v>43</v>
      </c>
      <c r="D195" s="103">
        <v>100089856</v>
      </c>
      <c r="E195" s="89" t="s">
        <v>49</v>
      </c>
      <c r="F195" s="89">
        <v>100001513</v>
      </c>
      <c r="G195" s="128" t="s">
        <v>287</v>
      </c>
      <c r="H195" s="91">
        <v>0</v>
      </c>
      <c r="I195" s="92">
        <v>0</v>
      </c>
      <c r="J195" s="93">
        <v>0</v>
      </c>
      <c r="K195" s="94">
        <v>9.8000000000000007</v>
      </c>
      <c r="L195" s="94">
        <v>0</v>
      </c>
      <c r="M195" s="129">
        <v>0</v>
      </c>
      <c r="N195" s="102">
        <f t="shared" ref="N195:N258" si="6">+AVERAGE(K195:M195)</f>
        <v>3.2666666666666671</v>
      </c>
      <c r="O195" s="97">
        <v>0</v>
      </c>
      <c r="P195" s="92">
        <v>0</v>
      </c>
      <c r="Q195" s="98">
        <f t="shared" si="5"/>
        <v>0</v>
      </c>
      <c r="R195" s="102" t="str">
        <f>+IF(Q195+N195&lt;=0, "NO COMPRADOR", +IF(Q195&lt;=0, "SIN COMPRA "&amp;+UPPER(TEXT('DINAMICA ENERO 26'!$C$2,"mmm 'yy")), "COMPRADOR"))</f>
        <v>SIN COMPRA FEB '26</v>
      </c>
      <c r="S195" s="100"/>
      <c r="T195" s="101"/>
      <c r="U195" s="100"/>
      <c r="V195" s="100"/>
    </row>
    <row r="196" spans="1:22" s="100" customFormat="1" ht="14" hidden="1">
      <c r="A196" s="88" t="s">
        <v>85</v>
      </c>
      <c r="B196" s="89" t="s">
        <v>257</v>
      </c>
      <c r="C196" s="89" t="s">
        <v>43</v>
      </c>
      <c r="D196" s="103">
        <v>100089856</v>
      </c>
      <c r="E196" s="89" t="s">
        <v>49</v>
      </c>
      <c r="F196" s="89">
        <v>100059754</v>
      </c>
      <c r="G196" s="128" t="s">
        <v>288</v>
      </c>
      <c r="H196" s="91">
        <v>58.8</v>
      </c>
      <c r="I196" s="92">
        <v>68.599999999999994</v>
      </c>
      <c r="J196" s="93">
        <v>68.599999999999994</v>
      </c>
      <c r="K196" s="94">
        <v>58.8</v>
      </c>
      <c r="L196" s="94">
        <v>78.399999999999991</v>
      </c>
      <c r="M196" s="129">
        <v>49</v>
      </c>
      <c r="N196" s="102">
        <f t="shared" si="6"/>
        <v>62.066666666666663</v>
      </c>
      <c r="O196" s="97">
        <v>68.599999999999994</v>
      </c>
      <c r="P196" s="92">
        <v>0</v>
      </c>
      <c r="Q196" s="98">
        <f t="shared" ref="Q196:Q259" si="7">+O196+P196</f>
        <v>68.599999999999994</v>
      </c>
      <c r="R196" s="102" t="str">
        <f>+IF(Q196+N196&lt;=0, "NO COMPRADOR", +IF(Q196&lt;=0, "SIN COMPRA "&amp;+UPPER(TEXT('DINAMICA ENERO 26'!$C$2,"mmm 'yy")), "COMPRADOR"))</f>
        <v>COMPRADOR</v>
      </c>
      <c r="T196" s="101"/>
    </row>
    <row r="197" spans="1:22" s="100" customFormat="1" ht="14" hidden="1">
      <c r="A197" s="88" t="s">
        <v>85</v>
      </c>
      <c r="B197" s="89" t="s">
        <v>257</v>
      </c>
      <c r="C197" s="89" t="s">
        <v>43</v>
      </c>
      <c r="D197" s="103">
        <v>100089856</v>
      </c>
      <c r="E197" s="89" t="s">
        <v>49</v>
      </c>
      <c r="F197" s="89">
        <v>100064962</v>
      </c>
      <c r="G197" s="128" t="s">
        <v>289</v>
      </c>
      <c r="H197" s="91">
        <v>39.200000000000003</v>
      </c>
      <c r="I197" s="92">
        <v>29.400000000000002</v>
      </c>
      <c r="J197" s="93">
        <v>19.600000000000001</v>
      </c>
      <c r="K197" s="94">
        <v>78.400000000000006</v>
      </c>
      <c r="L197" s="94">
        <v>39.200000000000003</v>
      </c>
      <c r="M197" s="129">
        <v>19.600000000000001</v>
      </c>
      <c r="N197" s="102">
        <f t="shared" si="6"/>
        <v>45.733333333333341</v>
      </c>
      <c r="O197" s="97">
        <v>19.600000000000001</v>
      </c>
      <c r="P197" s="92">
        <v>0</v>
      </c>
      <c r="Q197" s="98">
        <f t="shared" si="7"/>
        <v>19.600000000000001</v>
      </c>
      <c r="R197" s="102" t="str">
        <f>+IF(Q197+N197&lt;=0, "NO COMPRADOR", +IF(Q197&lt;=0, "SIN COMPRA "&amp;+UPPER(TEXT('DINAMICA ENERO 26'!$C$2,"mmm 'yy")), "COMPRADOR"))</f>
        <v>COMPRADOR</v>
      </c>
      <c r="T197" s="101"/>
    </row>
    <row r="198" spans="1:22" s="100" customFormat="1" ht="14">
      <c r="A198" s="88" t="s">
        <v>85</v>
      </c>
      <c r="B198" s="89" t="s">
        <v>257</v>
      </c>
      <c r="C198" s="89" t="s">
        <v>43</v>
      </c>
      <c r="D198" s="103">
        <v>100067806</v>
      </c>
      <c r="E198" s="89" t="s">
        <v>50</v>
      </c>
      <c r="F198" s="89">
        <v>100001979</v>
      </c>
      <c r="G198" s="128" t="s">
        <v>290</v>
      </c>
      <c r="H198" s="91">
        <v>19.600000000000001</v>
      </c>
      <c r="I198" s="92">
        <v>9.8000000000000007</v>
      </c>
      <c r="J198" s="93">
        <v>0</v>
      </c>
      <c r="K198" s="94">
        <v>9.8000000000000007</v>
      </c>
      <c r="L198" s="94">
        <v>29.400000000000002</v>
      </c>
      <c r="M198" s="129">
        <v>0</v>
      </c>
      <c r="N198" s="102">
        <f t="shared" si="6"/>
        <v>13.066666666666668</v>
      </c>
      <c r="O198" s="97">
        <v>29.400000000000002</v>
      </c>
      <c r="P198" s="92">
        <v>0</v>
      </c>
      <c r="Q198" s="98">
        <f t="shared" si="7"/>
        <v>29.400000000000002</v>
      </c>
      <c r="R198" s="102" t="str">
        <f>+IF(Q198+N198&lt;=0, "NO COMPRADOR", +IF(Q198&lt;=0, "SIN COMPRA "&amp;+UPPER(TEXT('DINAMICA ENERO 26'!$C$2,"mmm 'yy")), "COMPRADOR"))</f>
        <v>COMPRADOR</v>
      </c>
      <c r="T198" s="101"/>
    </row>
    <row r="199" spans="1:22" s="100" customFormat="1" ht="14" hidden="1">
      <c r="A199" s="88" t="s">
        <v>85</v>
      </c>
      <c r="B199" s="89" t="s">
        <v>257</v>
      </c>
      <c r="C199" s="89" t="s">
        <v>43</v>
      </c>
      <c r="D199" s="103">
        <v>100067806</v>
      </c>
      <c r="E199" s="89" t="s">
        <v>50</v>
      </c>
      <c r="F199" s="89">
        <v>100002252</v>
      </c>
      <c r="G199" s="128" t="s">
        <v>291</v>
      </c>
      <c r="H199" s="91">
        <v>9.8000000000000007</v>
      </c>
      <c r="I199" s="92">
        <v>19.600000000000001</v>
      </c>
      <c r="J199" s="93">
        <v>49</v>
      </c>
      <c r="K199" s="94">
        <v>19.600000000000001</v>
      </c>
      <c r="L199" s="94">
        <v>49</v>
      </c>
      <c r="M199" s="129">
        <v>29.400000000000002</v>
      </c>
      <c r="N199" s="102">
        <f t="shared" si="6"/>
        <v>32.666666666666664</v>
      </c>
      <c r="O199" s="97">
        <v>0</v>
      </c>
      <c r="P199" s="92">
        <v>0</v>
      </c>
      <c r="Q199" s="98">
        <f t="shared" si="7"/>
        <v>0</v>
      </c>
      <c r="R199" s="102" t="str">
        <f>+IF(Q199+N199&lt;=0, "NO COMPRADOR", +IF(Q199&lt;=0, "SIN COMPRA "&amp;+UPPER(TEXT('DINAMICA ENERO 26'!$C$2,"mmm 'yy")), "COMPRADOR"))</f>
        <v>SIN COMPRA FEB '26</v>
      </c>
      <c r="T199" s="101"/>
    </row>
    <row r="200" spans="1:22" s="100" customFormat="1" ht="14" hidden="1">
      <c r="A200" s="88" t="s">
        <v>85</v>
      </c>
      <c r="B200" s="89" t="s">
        <v>257</v>
      </c>
      <c r="C200" s="89" t="s">
        <v>43</v>
      </c>
      <c r="D200" s="103">
        <v>100067806</v>
      </c>
      <c r="E200" s="89" t="s">
        <v>50</v>
      </c>
      <c r="F200" s="89">
        <v>100085225</v>
      </c>
      <c r="G200" s="128" t="s">
        <v>292</v>
      </c>
      <c r="H200" s="91">
        <v>0</v>
      </c>
      <c r="I200" s="92">
        <v>0</v>
      </c>
      <c r="J200" s="93">
        <v>0</v>
      </c>
      <c r="K200" s="94">
        <v>0</v>
      </c>
      <c r="L200" s="94">
        <v>0</v>
      </c>
      <c r="M200" s="129">
        <v>0</v>
      </c>
      <c r="N200" s="102">
        <f t="shared" si="6"/>
        <v>0</v>
      </c>
      <c r="O200" s="97">
        <v>0</v>
      </c>
      <c r="P200" s="92">
        <v>0</v>
      </c>
      <c r="Q200" s="98">
        <f t="shared" si="7"/>
        <v>0</v>
      </c>
      <c r="R200" s="102" t="str">
        <f>+IF(Q200+N200&lt;=0, "NO COMPRADOR", +IF(Q200&lt;=0, "SIN COMPRA "&amp;+UPPER(TEXT('DINAMICA ENERO 26'!$C$2,"mmm 'yy")), "COMPRADOR"))</f>
        <v>NO COMPRADOR</v>
      </c>
      <c r="T200" s="101"/>
    </row>
    <row r="201" spans="1:22" s="100" customFormat="1" ht="14" hidden="1">
      <c r="A201" s="88" t="s">
        <v>85</v>
      </c>
      <c r="B201" s="89" t="s">
        <v>257</v>
      </c>
      <c r="C201" s="89" t="s">
        <v>43</v>
      </c>
      <c r="D201" s="103">
        <v>100067806</v>
      </c>
      <c r="E201" s="89" t="s">
        <v>50</v>
      </c>
      <c r="F201" s="89">
        <v>100001891</v>
      </c>
      <c r="G201" s="128" t="s">
        <v>293</v>
      </c>
      <c r="H201" s="91">
        <v>264.60000000000002</v>
      </c>
      <c r="I201" s="92">
        <v>9.8000000000000007</v>
      </c>
      <c r="J201" s="93">
        <v>107.80000000000001</v>
      </c>
      <c r="K201" s="94">
        <v>137.19999999999999</v>
      </c>
      <c r="L201" s="94">
        <v>49</v>
      </c>
      <c r="M201" s="129">
        <v>147</v>
      </c>
      <c r="N201" s="102">
        <f t="shared" si="6"/>
        <v>111.06666666666666</v>
      </c>
      <c r="O201" s="97">
        <v>107.80000000000001</v>
      </c>
      <c r="P201" s="92">
        <v>0</v>
      </c>
      <c r="Q201" s="98">
        <f t="shared" si="7"/>
        <v>107.80000000000001</v>
      </c>
      <c r="R201" s="102" t="str">
        <f>+IF(Q201+N201&lt;=0, "NO COMPRADOR", +IF(Q201&lt;=0, "SIN COMPRA "&amp;+UPPER(TEXT('DINAMICA ENERO 26'!$C$2,"mmm 'yy")), "COMPRADOR"))</f>
        <v>COMPRADOR</v>
      </c>
      <c r="T201" s="101"/>
    </row>
    <row r="202" spans="1:22" s="100" customFormat="1" ht="14" hidden="1">
      <c r="A202" s="88" t="s">
        <v>85</v>
      </c>
      <c r="B202" s="89" t="s">
        <v>257</v>
      </c>
      <c r="C202" s="89" t="s">
        <v>43</v>
      </c>
      <c r="D202" s="103">
        <v>100067806</v>
      </c>
      <c r="E202" s="89" t="s">
        <v>50</v>
      </c>
      <c r="F202" s="89">
        <v>100001593</v>
      </c>
      <c r="G202" s="128" t="s">
        <v>294</v>
      </c>
      <c r="H202" s="91">
        <v>117.6</v>
      </c>
      <c r="I202" s="92">
        <v>0</v>
      </c>
      <c r="J202" s="93">
        <v>19.600000000000001</v>
      </c>
      <c r="K202" s="94">
        <v>9.8000000000000007</v>
      </c>
      <c r="L202" s="94">
        <v>9.8000000000000007</v>
      </c>
      <c r="M202" s="129">
        <v>0</v>
      </c>
      <c r="N202" s="102">
        <f t="shared" si="6"/>
        <v>6.5333333333333341</v>
      </c>
      <c r="O202" s="97">
        <v>0</v>
      </c>
      <c r="P202" s="92">
        <v>0</v>
      </c>
      <c r="Q202" s="98">
        <f t="shared" si="7"/>
        <v>0</v>
      </c>
      <c r="R202" s="102" t="str">
        <f>+IF(Q202+N202&lt;=0, "NO COMPRADOR", +IF(Q202&lt;=0, "SIN COMPRA "&amp;+UPPER(TEXT('DINAMICA ENERO 26'!$C$2,"mmm 'yy")), "COMPRADOR"))</f>
        <v>SIN COMPRA FEB '26</v>
      </c>
      <c r="T202" s="101"/>
    </row>
    <row r="203" spans="1:22" s="100" customFormat="1" ht="14" hidden="1">
      <c r="A203" s="88" t="s">
        <v>85</v>
      </c>
      <c r="B203" s="89" t="s">
        <v>257</v>
      </c>
      <c r="C203" s="89" t="s">
        <v>43</v>
      </c>
      <c r="D203" s="103">
        <v>100067806</v>
      </c>
      <c r="E203" s="89" t="s">
        <v>50</v>
      </c>
      <c r="F203" s="89">
        <v>100081330</v>
      </c>
      <c r="G203" s="128" t="s">
        <v>295</v>
      </c>
      <c r="H203" s="91">
        <v>19.600000000000001</v>
      </c>
      <c r="I203" s="92">
        <v>0</v>
      </c>
      <c r="J203" s="93">
        <v>19.600000000000001</v>
      </c>
      <c r="K203" s="94">
        <v>0</v>
      </c>
      <c r="L203" s="94">
        <v>19.600000000000001</v>
      </c>
      <c r="M203" s="129">
        <v>0</v>
      </c>
      <c r="N203" s="102">
        <f t="shared" si="6"/>
        <v>6.5333333333333341</v>
      </c>
      <c r="O203" s="97">
        <v>0</v>
      </c>
      <c r="P203" s="92">
        <v>0</v>
      </c>
      <c r="Q203" s="98">
        <f t="shared" si="7"/>
        <v>0</v>
      </c>
      <c r="R203" s="102" t="str">
        <f>+IF(Q203+N203&lt;=0, "NO COMPRADOR", +IF(Q203&lt;=0, "SIN COMPRA "&amp;+UPPER(TEXT('DINAMICA ENERO 26'!$C$2,"mmm 'yy")), "COMPRADOR"))</f>
        <v>SIN COMPRA FEB '26</v>
      </c>
      <c r="T203" s="101"/>
    </row>
    <row r="204" spans="1:22" s="100" customFormat="1" ht="14" hidden="1">
      <c r="A204" s="88" t="s">
        <v>85</v>
      </c>
      <c r="B204" s="89" t="s">
        <v>257</v>
      </c>
      <c r="C204" s="89" t="s">
        <v>43</v>
      </c>
      <c r="D204" s="103">
        <v>100067806</v>
      </c>
      <c r="E204" s="89" t="s">
        <v>50</v>
      </c>
      <c r="F204" s="89">
        <v>100079383</v>
      </c>
      <c r="G204" s="128" t="s">
        <v>296</v>
      </c>
      <c r="H204" s="91">
        <v>39.200000000000003</v>
      </c>
      <c r="I204" s="92">
        <v>0</v>
      </c>
      <c r="J204" s="93">
        <v>0</v>
      </c>
      <c r="K204" s="94">
        <v>9.8000000000000007</v>
      </c>
      <c r="L204" s="94">
        <v>0</v>
      </c>
      <c r="M204" s="129">
        <v>0</v>
      </c>
      <c r="N204" s="102">
        <f t="shared" si="6"/>
        <v>3.2666666666666671</v>
      </c>
      <c r="O204" s="97">
        <v>0</v>
      </c>
      <c r="P204" s="92">
        <v>0</v>
      </c>
      <c r="Q204" s="98">
        <f t="shared" si="7"/>
        <v>0</v>
      </c>
      <c r="R204" s="102" t="str">
        <f>+IF(Q204+N204&lt;=0, "NO COMPRADOR", +IF(Q204&lt;=0, "SIN COMPRA "&amp;+UPPER(TEXT('DINAMICA ENERO 26'!$C$2,"mmm 'yy")), "COMPRADOR"))</f>
        <v>SIN COMPRA FEB '26</v>
      </c>
      <c r="T204" s="101"/>
    </row>
    <row r="205" spans="1:22" s="100" customFormat="1" ht="14" hidden="1">
      <c r="A205" s="88" t="s">
        <v>85</v>
      </c>
      <c r="B205" s="89" t="s">
        <v>257</v>
      </c>
      <c r="C205" s="89" t="s">
        <v>43</v>
      </c>
      <c r="D205" s="103">
        <v>100067806</v>
      </c>
      <c r="E205" s="89" t="s">
        <v>50</v>
      </c>
      <c r="F205" s="89">
        <v>100079030</v>
      </c>
      <c r="G205" s="128" t="s">
        <v>297</v>
      </c>
      <c r="H205" s="91">
        <v>9.8000000000000007</v>
      </c>
      <c r="I205" s="92">
        <v>0</v>
      </c>
      <c r="J205" s="93">
        <v>9.8000000000000007</v>
      </c>
      <c r="K205" s="94">
        <v>19.600000000000001</v>
      </c>
      <c r="L205" s="94">
        <v>19.600000000000001</v>
      </c>
      <c r="M205" s="129">
        <v>0</v>
      </c>
      <c r="N205" s="102">
        <f t="shared" si="6"/>
        <v>13.066666666666668</v>
      </c>
      <c r="O205" s="97">
        <v>19.600000000000001</v>
      </c>
      <c r="P205" s="92">
        <v>0</v>
      </c>
      <c r="Q205" s="98">
        <f t="shared" si="7"/>
        <v>19.600000000000001</v>
      </c>
      <c r="R205" s="102" t="str">
        <f>+IF(Q205+N205&lt;=0, "NO COMPRADOR", +IF(Q205&lt;=0, "SIN COMPRA "&amp;+UPPER(TEXT('DINAMICA ENERO 26'!$C$2,"mmm 'yy")), "COMPRADOR"))</f>
        <v>COMPRADOR</v>
      </c>
      <c r="T205" s="101"/>
    </row>
    <row r="206" spans="1:22" s="104" customFormat="1" ht="14" hidden="1">
      <c r="A206" s="88" t="s">
        <v>85</v>
      </c>
      <c r="B206" s="89" t="s">
        <v>257</v>
      </c>
      <c r="C206" s="89" t="s">
        <v>43</v>
      </c>
      <c r="D206" s="103">
        <v>100067806</v>
      </c>
      <c r="E206" s="89" t="s">
        <v>50</v>
      </c>
      <c r="F206" s="89">
        <v>100024035</v>
      </c>
      <c r="G206" s="128" t="s">
        <v>298</v>
      </c>
      <c r="H206" s="91">
        <v>0</v>
      </c>
      <c r="I206" s="92">
        <v>39.200000000000003</v>
      </c>
      <c r="J206" s="93">
        <v>49</v>
      </c>
      <c r="K206" s="94">
        <v>58.8</v>
      </c>
      <c r="L206" s="94">
        <v>58.8</v>
      </c>
      <c r="M206" s="129">
        <v>9.8000000000000007</v>
      </c>
      <c r="N206" s="102">
        <f t="shared" si="6"/>
        <v>42.466666666666661</v>
      </c>
      <c r="O206" s="97">
        <v>0</v>
      </c>
      <c r="P206" s="92">
        <v>0</v>
      </c>
      <c r="Q206" s="98">
        <f t="shared" si="7"/>
        <v>0</v>
      </c>
      <c r="R206" s="102" t="str">
        <f>+IF(Q206+N206&lt;=0, "NO COMPRADOR", +IF(Q206&lt;=0, "SIN COMPRA "&amp;+UPPER(TEXT('DINAMICA ENERO 26'!$C$2,"mmm 'yy")), "COMPRADOR"))</f>
        <v>SIN COMPRA FEB '26</v>
      </c>
      <c r="S206" s="100"/>
      <c r="T206" s="101"/>
      <c r="U206" s="100"/>
      <c r="V206" s="100"/>
    </row>
    <row r="207" spans="1:22" s="100" customFormat="1" ht="14" hidden="1">
      <c r="A207" s="88" t="s">
        <v>85</v>
      </c>
      <c r="B207" s="89" t="s">
        <v>257</v>
      </c>
      <c r="C207" s="89" t="s">
        <v>43</v>
      </c>
      <c r="D207" s="103">
        <v>100067806</v>
      </c>
      <c r="E207" s="89" t="s">
        <v>50</v>
      </c>
      <c r="F207" s="89">
        <v>100054056</v>
      </c>
      <c r="G207" s="128" t="s">
        <v>299</v>
      </c>
      <c r="H207" s="91">
        <v>9.8000000000000007</v>
      </c>
      <c r="I207" s="92">
        <v>117.6</v>
      </c>
      <c r="J207" s="93">
        <v>0</v>
      </c>
      <c r="K207" s="94">
        <v>98</v>
      </c>
      <c r="L207" s="94">
        <v>29.400000000000002</v>
      </c>
      <c r="M207" s="129">
        <v>68.600000000000009</v>
      </c>
      <c r="N207" s="102">
        <f t="shared" si="6"/>
        <v>65.333333333333329</v>
      </c>
      <c r="O207" s="97">
        <v>0</v>
      </c>
      <c r="P207" s="92">
        <v>0</v>
      </c>
      <c r="Q207" s="98">
        <f t="shared" si="7"/>
        <v>0</v>
      </c>
      <c r="R207" s="102" t="str">
        <f>+IF(Q207+N207&lt;=0, "NO COMPRADOR", +IF(Q207&lt;=0, "SIN COMPRA "&amp;+UPPER(TEXT('DINAMICA ENERO 26'!$C$2,"mmm 'yy")), "COMPRADOR"))</f>
        <v>SIN COMPRA FEB '26</v>
      </c>
      <c r="T207" s="101"/>
    </row>
    <row r="208" spans="1:22" s="100" customFormat="1" ht="14" hidden="1">
      <c r="A208" s="88" t="s">
        <v>85</v>
      </c>
      <c r="B208" s="89" t="s">
        <v>257</v>
      </c>
      <c r="C208" s="89" t="s">
        <v>43</v>
      </c>
      <c r="D208" s="103">
        <v>100067806</v>
      </c>
      <c r="E208" s="89" t="s">
        <v>50</v>
      </c>
      <c r="F208" s="89">
        <v>100076315</v>
      </c>
      <c r="G208" s="128" t="s">
        <v>300</v>
      </c>
      <c r="H208" s="91">
        <v>29.400000000000002</v>
      </c>
      <c r="I208" s="92">
        <v>58.800000000000004</v>
      </c>
      <c r="J208" s="93">
        <v>0</v>
      </c>
      <c r="K208" s="94">
        <v>9.8000000000000007</v>
      </c>
      <c r="L208" s="94">
        <v>117.60000000000001</v>
      </c>
      <c r="M208" s="129">
        <v>9.8000000000000007</v>
      </c>
      <c r="N208" s="102">
        <f t="shared" si="6"/>
        <v>45.733333333333341</v>
      </c>
      <c r="O208" s="97">
        <v>0</v>
      </c>
      <c r="P208" s="92">
        <v>0</v>
      </c>
      <c r="Q208" s="98">
        <f t="shared" si="7"/>
        <v>0</v>
      </c>
      <c r="R208" s="102" t="str">
        <f>+IF(Q208+N208&lt;=0, "NO COMPRADOR", +IF(Q208&lt;=0, "SIN COMPRA "&amp;+UPPER(TEXT('DINAMICA ENERO 26'!$C$2,"mmm 'yy")), "COMPRADOR"))</f>
        <v>SIN COMPRA FEB '26</v>
      </c>
      <c r="T208" s="101"/>
    </row>
    <row r="209" spans="1:22" s="100" customFormat="1" ht="14" hidden="1">
      <c r="A209" s="88" t="s">
        <v>85</v>
      </c>
      <c r="B209" s="89" t="s">
        <v>257</v>
      </c>
      <c r="C209" s="89" t="s">
        <v>43</v>
      </c>
      <c r="D209" s="103">
        <v>100067806</v>
      </c>
      <c r="E209" s="89" t="s">
        <v>50</v>
      </c>
      <c r="F209" s="89">
        <v>100002218</v>
      </c>
      <c r="G209" s="128" t="s">
        <v>301</v>
      </c>
      <c r="H209" s="91">
        <v>9.8000000000000007</v>
      </c>
      <c r="I209" s="92">
        <v>0</v>
      </c>
      <c r="J209" s="93">
        <v>0</v>
      </c>
      <c r="K209" s="94">
        <v>29.400000000000002</v>
      </c>
      <c r="L209" s="94">
        <v>9.8000000000000007</v>
      </c>
      <c r="M209" s="129">
        <v>0</v>
      </c>
      <c r="N209" s="102">
        <f t="shared" si="6"/>
        <v>13.066666666666668</v>
      </c>
      <c r="O209" s="97">
        <v>19.600000000000001</v>
      </c>
      <c r="P209" s="92">
        <v>0</v>
      </c>
      <c r="Q209" s="98">
        <f t="shared" si="7"/>
        <v>19.600000000000001</v>
      </c>
      <c r="R209" s="102" t="str">
        <f>+IF(Q209+N209&lt;=0, "NO COMPRADOR", +IF(Q209&lt;=0, "SIN COMPRA "&amp;+UPPER(TEXT('DINAMICA ENERO 26'!$C$2,"mmm 'yy")), "COMPRADOR"))</f>
        <v>COMPRADOR</v>
      </c>
      <c r="T209" s="101"/>
    </row>
    <row r="210" spans="1:22" s="104" customFormat="1" ht="14" hidden="1">
      <c r="A210" s="88" t="s">
        <v>85</v>
      </c>
      <c r="B210" s="89" t="s">
        <v>257</v>
      </c>
      <c r="C210" s="89" t="s">
        <v>43</v>
      </c>
      <c r="D210" s="103">
        <v>100067806</v>
      </c>
      <c r="E210" s="89" t="s">
        <v>50</v>
      </c>
      <c r="F210" s="89">
        <v>100076218</v>
      </c>
      <c r="G210" s="128" t="s">
        <v>302</v>
      </c>
      <c r="H210" s="91">
        <v>0</v>
      </c>
      <c r="I210" s="92">
        <v>0</v>
      </c>
      <c r="J210" s="93">
        <v>9.8000000000000007</v>
      </c>
      <c r="K210" s="94">
        <v>0</v>
      </c>
      <c r="L210" s="94">
        <v>9.8000000000000007</v>
      </c>
      <c r="M210" s="129">
        <v>-9.8000000000000007</v>
      </c>
      <c r="N210" s="102">
        <f t="shared" si="6"/>
        <v>0</v>
      </c>
      <c r="O210" s="97">
        <v>0</v>
      </c>
      <c r="P210" s="92">
        <v>0</v>
      </c>
      <c r="Q210" s="98">
        <f t="shared" si="7"/>
        <v>0</v>
      </c>
      <c r="R210" s="102" t="str">
        <f>+IF(Q210+N210&lt;=0, "NO COMPRADOR", +IF(Q210&lt;=0, "SIN COMPRA "&amp;+UPPER(TEXT('DINAMICA ENERO 26'!$C$2,"mmm 'yy")), "COMPRADOR"))</f>
        <v>NO COMPRADOR</v>
      </c>
      <c r="S210" s="100"/>
      <c r="T210" s="101"/>
      <c r="U210" s="100"/>
      <c r="V210" s="100"/>
    </row>
    <row r="211" spans="1:22" s="100" customFormat="1" ht="14" hidden="1">
      <c r="A211" s="88" t="s">
        <v>85</v>
      </c>
      <c r="B211" s="89" t="s">
        <v>257</v>
      </c>
      <c r="C211" s="89" t="s">
        <v>43</v>
      </c>
      <c r="D211" s="103">
        <v>100067806</v>
      </c>
      <c r="E211" s="89" t="s">
        <v>50</v>
      </c>
      <c r="F211" s="89">
        <v>100071903</v>
      </c>
      <c r="G211" s="128" t="s">
        <v>303</v>
      </c>
      <c r="H211" s="91">
        <v>19.600000000000001</v>
      </c>
      <c r="I211" s="92">
        <v>19.600000000000001</v>
      </c>
      <c r="J211" s="93">
        <v>49</v>
      </c>
      <c r="K211" s="94">
        <v>49</v>
      </c>
      <c r="L211" s="94">
        <v>0</v>
      </c>
      <c r="M211" s="129">
        <v>29.400000000000002</v>
      </c>
      <c r="N211" s="102">
        <f t="shared" si="6"/>
        <v>26.133333333333336</v>
      </c>
      <c r="O211" s="97">
        <v>0</v>
      </c>
      <c r="P211" s="92">
        <v>0</v>
      </c>
      <c r="Q211" s="98">
        <f t="shared" si="7"/>
        <v>0</v>
      </c>
      <c r="R211" s="102" t="str">
        <f>+IF(Q211+N211&lt;=0, "NO COMPRADOR", +IF(Q211&lt;=0, "SIN COMPRA "&amp;+UPPER(TEXT('DINAMICA ENERO 26'!$C$2,"mmm 'yy")), "COMPRADOR"))</f>
        <v>SIN COMPRA FEB '26</v>
      </c>
      <c r="T211" s="101"/>
    </row>
    <row r="212" spans="1:22" s="100" customFormat="1" ht="14" hidden="1">
      <c r="A212" s="88" t="s">
        <v>85</v>
      </c>
      <c r="B212" s="89" t="s">
        <v>257</v>
      </c>
      <c r="C212" s="89" t="s">
        <v>43</v>
      </c>
      <c r="D212" s="103">
        <v>100067806</v>
      </c>
      <c r="E212" s="89" t="s">
        <v>50</v>
      </c>
      <c r="F212" s="89">
        <v>100080254</v>
      </c>
      <c r="G212" s="128" t="s">
        <v>304</v>
      </c>
      <c r="H212" s="91">
        <v>0</v>
      </c>
      <c r="I212" s="92">
        <v>0</v>
      </c>
      <c r="J212" s="93">
        <v>0</v>
      </c>
      <c r="K212" s="94">
        <v>0</v>
      </c>
      <c r="L212" s="94">
        <v>0</v>
      </c>
      <c r="M212" s="129">
        <v>0</v>
      </c>
      <c r="N212" s="102">
        <f t="shared" si="6"/>
        <v>0</v>
      </c>
      <c r="O212" s="97">
        <v>0</v>
      </c>
      <c r="P212" s="92">
        <v>0</v>
      </c>
      <c r="Q212" s="98">
        <f t="shared" si="7"/>
        <v>0</v>
      </c>
      <c r="R212" s="102" t="str">
        <f>+IF(Q212+N212&lt;=0, "NO COMPRADOR", +IF(Q212&lt;=0, "SIN COMPRA "&amp;+UPPER(TEXT('DINAMICA ENERO 26'!$C$2,"mmm 'yy")), "COMPRADOR"))</f>
        <v>NO COMPRADOR</v>
      </c>
      <c r="T212" s="101"/>
    </row>
    <row r="213" spans="1:22" s="100" customFormat="1" ht="14" hidden="1">
      <c r="A213" s="88" t="s">
        <v>85</v>
      </c>
      <c r="B213" s="89" t="s">
        <v>257</v>
      </c>
      <c r="C213" s="89" t="s">
        <v>43</v>
      </c>
      <c r="D213" s="103">
        <v>100067806</v>
      </c>
      <c r="E213" s="89" t="s">
        <v>50</v>
      </c>
      <c r="F213" s="89">
        <v>100080176</v>
      </c>
      <c r="G213" s="128" t="s">
        <v>305</v>
      </c>
      <c r="H213" s="91">
        <v>19.600000000000001</v>
      </c>
      <c r="I213" s="92">
        <v>19.600000000000001</v>
      </c>
      <c r="J213" s="93">
        <v>19.600000000000001</v>
      </c>
      <c r="K213" s="94">
        <v>29.400000000000002</v>
      </c>
      <c r="L213" s="94">
        <v>19.600000000000001</v>
      </c>
      <c r="M213" s="129">
        <v>9.8000000000000007</v>
      </c>
      <c r="N213" s="102">
        <f t="shared" si="6"/>
        <v>19.599999999999998</v>
      </c>
      <c r="O213" s="97">
        <v>0</v>
      </c>
      <c r="P213" s="92">
        <v>0</v>
      </c>
      <c r="Q213" s="98">
        <f t="shared" si="7"/>
        <v>0</v>
      </c>
      <c r="R213" s="102" t="str">
        <f>+IF(Q213+N213&lt;=0, "NO COMPRADOR", +IF(Q213&lt;=0, "SIN COMPRA "&amp;+UPPER(TEXT('DINAMICA ENERO 26'!$C$2,"mmm 'yy")), "COMPRADOR"))</f>
        <v>SIN COMPRA FEB '26</v>
      </c>
      <c r="T213" s="101"/>
    </row>
    <row r="214" spans="1:22" s="100" customFormat="1" ht="14" hidden="1">
      <c r="A214" s="88" t="s">
        <v>85</v>
      </c>
      <c r="B214" s="89" t="s">
        <v>257</v>
      </c>
      <c r="C214" s="89" t="s">
        <v>43</v>
      </c>
      <c r="D214" s="103">
        <v>100067806</v>
      </c>
      <c r="E214" s="89" t="s">
        <v>50</v>
      </c>
      <c r="F214" s="89">
        <v>100085312</v>
      </c>
      <c r="G214" s="128" t="s">
        <v>306</v>
      </c>
      <c r="H214" s="91">
        <v>9.8000000000000007</v>
      </c>
      <c r="I214" s="92">
        <v>0</v>
      </c>
      <c r="J214" s="93">
        <v>0</v>
      </c>
      <c r="K214" s="94">
        <v>0</v>
      </c>
      <c r="L214" s="94">
        <v>0</v>
      </c>
      <c r="M214" s="129">
        <v>0</v>
      </c>
      <c r="N214" s="102">
        <f t="shared" si="6"/>
        <v>0</v>
      </c>
      <c r="O214" s="97">
        <v>0</v>
      </c>
      <c r="P214" s="92">
        <v>0</v>
      </c>
      <c r="Q214" s="98">
        <f t="shared" si="7"/>
        <v>0</v>
      </c>
      <c r="R214" s="102" t="str">
        <f>+IF(Q214+N214&lt;=0, "NO COMPRADOR", +IF(Q214&lt;=0, "SIN COMPRA "&amp;+UPPER(TEXT('DINAMICA ENERO 26'!$C$2,"mmm 'yy")), "COMPRADOR"))</f>
        <v>NO COMPRADOR</v>
      </c>
      <c r="T214" s="101"/>
    </row>
    <row r="215" spans="1:22" s="104" customFormat="1" ht="14" hidden="1">
      <c r="A215" s="88" t="s">
        <v>85</v>
      </c>
      <c r="B215" s="89" t="s">
        <v>257</v>
      </c>
      <c r="C215" s="89" t="s">
        <v>43</v>
      </c>
      <c r="D215" s="103">
        <v>100067806</v>
      </c>
      <c r="E215" s="89" t="s">
        <v>50</v>
      </c>
      <c r="F215" s="89">
        <v>100076730</v>
      </c>
      <c r="G215" s="128" t="s">
        <v>307</v>
      </c>
      <c r="H215" s="91">
        <v>0</v>
      </c>
      <c r="I215" s="92">
        <v>0</v>
      </c>
      <c r="J215" s="93">
        <v>0</v>
      </c>
      <c r="K215" s="94">
        <v>49</v>
      </c>
      <c r="L215" s="94">
        <v>0</v>
      </c>
      <c r="M215" s="129">
        <v>0</v>
      </c>
      <c r="N215" s="102">
        <f t="shared" si="6"/>
        <v>16.333333333333332</v>
      </c>
      <c r="O215" s="97">
        <v>0</v>
      </c>
      <c r="P215" s="92">
        <v>0</v>
      </c>
      <c r="Q215" s="98">
        <f t="shared" si="7"/>
        <v>0</v>
      </c>
      <c r="R215" s="102" t="str">
        <f>+IF(Q215+N215&lt;=0, "NO COMPRADOR", +IF(Q215&lt;=0, "SIN COMPRA "&amp;+UPPER(TEXT('DINAMICA ENERO 26'!$C$2,"mmm 'yy")), "COMPRADOR"))</f>
        <v>SIN COMPRA FEB '26</v>
      </c>
      <c r="S215" s="100"/>
      <c r="T215" s="101"/>
      <c r="U215" s="100"/>
      <c r="V215" s="100"/>
    </row>
    <row r="216" spans="1:22" s="104" customFormat="1" ht="14" hidden="1">
      <c r="A216" s="88" t="s">
        <v>85</v>
      </c>
      <c r="B216" s="89" t="s">
        <v>257</v>
      </c>
      <c r="C216" s="89" t="s">
        <v>43</v>
      </c>
      <c r="D216" s="103">
        <v>100067806</v>
      </c>
      <c r="E216" s="89" t="s">
        <v>50</v>
      </c>
      <c r="F216" s="89">
        <v>100009892</v>
      </c>
      <c r="G216" s="128" t="s">
        <v>308</v>
      </c>
      <c r="H216" s="91">
        <v>156.80000000000001</v>
      </c>
      <c r="I216" s="92">
        <v>127.40000000000002</v>
      </c>
      <c r="J216" s="93">
        <v>107.8</v>
      </c>
      <c r="K216" s="94">
        <v>117.60000000000001</v>
      </c>
      <c r="L216" s="94">
        <v>147</v>
      </c>
      <c r="M216" s="129">
        <v>127.4</v>
      </c>
      <c r="N216" s="102">
        <f t="shared" si="6"/>
        <v>130.66666666666666</v>
      </c>
      <c r="O216" s="97">
        <v>137.20000000000002</v>
      </c>
      <c r="P216" s="92">
        <v>0</v>
      </c>
      <c r="Q216" s="98">
        <f t="shared" si="7"/>
        <v>137.20000000000002</v>
      </c>
      <c r="R216" s="102" t="str">
        <f>+IF(Q216+N216&lt;=0, "NO COMPRADOR", +IF(Q216&lt;=0, "SIN COMPRA "&amp;+UPPER(TEXT('DINAMICA ENERO 26'!$C$2,"mmm 'yy")), "COMPRADOR"))</f>
        <v>COMPRADOR</v>
      </c>
      <c r="S216" s="100"/>
      <c r="T216" s="101"/>
      <c r="U216" s="100"/>
      <c r="V216" s="100"/>
    </row>
    <row r="217" spans="1:22" s="100" customFormat="1" ht="14" hidden="1">
      <c r="A217" s="88" t="s">
        <v>85</v>
      </c>
      <c r="B217" s="89" t="s">
        <v>257</v>
      </c>
      <c r="C217" s="89" t="s">
        <v>43</v>
      </c>
      <c r="D217" s="103">
        <v>100067806</v>
      </c>
      <c r="E217" s="89" t="s">
        <v>50</v>
      </c>
      <c r="F217" s="89">
        <v>100063728</v>
      </c>
      <c r="G217" s="128" t="s">
        <v>309</v>
      </c>
      <c r="H217" s="91">
        <v>294</v>
      </c>
      <c r="I217" s="92">
        <v>0</v>
      </c>
      <c r="J217" s="93">
        <v>19.600000000000001</v>
      </c>
      <c r="K217" s="94">
        <v>392</v>
      </c>
      <c r="L217" s="94">
        <v>98</v>
      </c>
      <c r="M217" s="129">
        <v>98</v>
      </c>
      <c r="N217" s="102">
        <f t="shared" si="6"/>
        <v>196</v>
      </c>
      <c r="O217" s="97">
        <v>0</v>
      </c>
      <c r="P217" s="92">
        <v>0</v>
      </c>
      <c r="Q217" s="98">
        <f t="shared" si="7"/>
        <v>0</v>
      </c>
      <c r="R217" s="102" t="str">
        <f>+IF(Q217+N217&lt;=0, "NO COMPRADOR", +IF(Q217&lt;=0, "SIN COMPRA "&amp;+UPPER(TEXT('DINAMICA ENERO 26'!$C$2,"mmm 'yy")), "COMPRADOR"))</f>
        <v>SIN COMPRA FEB '26</v>
      </c>
      <c r="T217" s="101"/>
    </row>
    <row r="218" spans="1:22" s="100" customFormat="1" ht="14" hidden="1">
      <c r="A218" s="88" t="s">
        <v>85</v>
      </c>
      <c r="B218" s="89" t="s">
        <v>257</v>
      </c>
      <c r="C218" s="89" t="s">
        <v>43</v>
      </c>
      <c r="D218" s="103">
        <v>100067806</v>
      </c>
      <c r="E218" s="89" t="s">
        <v>50</v>
      </c>
      <c r="F218" s="89">
        <v>100084491</v>
      </c>
      <c r="G218" s="128" t="s">
        <v>310</v>
      </c>
      <c r="H218" s="91">
        <v>0</v>
      </c>
      <c r="I218" s="92">
        <v>0</v>
      </c>
      <c r="J218" s="93">
        <v>0</v>
      </c>
      <c r="K218" s="94">
        <v>0</v>
      </c>
      <c r="L218" s="94">
        <v>0</v>
      </c>
      <c r="M218" s="129">
        <v>0</v>
      </c>
      <c r="N218" s="102">
        <f t="shared" si="6"/>
        <v>0</v>
      </c>
      <c r="O218" s="97">
        <v>0</v>
      </c>
      <c r="P218" s="92">
        <v>0</v>
      </c>
      <c r="Q218" s="98">
        <f t="shared" si="7"/>
        <v>0</v>
      </c>
      <c r="R218" s="102" t="str">
        <f>+IF(Q218+N218&lt;=0, "NO COMPRADOR", +IF(Q218&lt;=0, "SIN COMPRA "&amp;+UPPER(TEXT('DINAMICA ENERO 26'!$C$2,"mmm 'yy")), "COMPRADOR"))</f>
        <v>NO COMPRADOR</v>
      </c>
      <c r="T218" s="101"/>
    </row>
    <row r="219" spans="1:22" s="100" customFormat="1" ht="14" hidden="1">
      <c r="A219" s="88" t="s">
        <v>85</v>
      </c>
      <c r="B219" s="89" t="s">
        <v>257</v>
      </c>
      <c r="C219" s="89" t="s">
        <v>43</v>
      </c>
      <c r="D219" s="103">
        <v>100067806</v>
      </c>
      <c r="E219" s="89" t="s">
        <v>50</v>
      </c>
      <c r="F219" s="89">
        <v>100062883</v>
      </c>
      <c r="G219" s="128" t="s">
        <v>311</v>
      </c>
      <c r="H219" s="91">
        <v>9.8000000000000007</v>
      </c>
      <c r="I219" s="92">
        <v>0</v>
      </c>
      <c r="J219" s="93">
        <v>0</v>
      </c>
      <c r="K219" s="94">
        <v>9.8000000000000007</v>
      </c>
      <c r="L219" s="94">
        <v>0</v>
      </c>
      <c r="M219" s="129">
        <v>19.600000000000001</v>
      </c>
      <c r="N219" s="102">
        <f t="shared" si="6"/>
        <v>9.8000000000000007</v>
      </c>
      <c r="O219" s="97">
        <v>0</v>
      </c>
      <c r="P219" s="92">
        <v>0</v>
      </c>
      <c r="Q219" s="98">
        <f t="shared" si="7"/>
        <v>0</v>
      </c>
      <c r="R219" s="102" t="str">
        <f>+IF(Q219+N219&lt;=0, "NO COMPRADOR", +IF(Q219&lt;=0, "SIN COMPRA "&amp;+UPPER(TEXT('DINAMICA ENERO 26'!$C$2,"mmm 'yy")), "COMPRADOR"))</f>
        <v>SIN COMPRA FEB '26</v>
      </c>
      <c r="T219" s="101"/>
    </row>
    <row r="220" spans="1:22" s="104" customFormat="1" ht="14" hidden="1">
      <c r="A220" s="88" t="s">
        <v>85</v>
      </c>
      <c r="B220" s="89" t="s">
        <v>257</v>
      </c>
      <c r="C220" s="89" t="s">
        <v>43</v>
      </c>
      <c r="D220" s="103">
        <v>100067806</v>
      </c>
      <c r="E220" s="89" t="s">
        <v>50</v>
      </c>
      <c r="F220" s="89">
        <v>100014014</v>
      </c>
      <c r="G220" s="128" t="s">
        <v>312</v>
      </c>
      <c r="H220" s="91">
        <v>0</v>
      </c>
      <c r="I220" s="92">
        <v>19.600000000000001</v>
      </c>
      <c r="J220" s="93">
        <v>39.200000000000003</v>
      </c>
      <c r="K220" s="94">
        <v>0</v>
      </c>
      <c r="L220" s="94">
        <v>0</v>
      </c>
      <c r="M220" s="129">
        <v>19.600000000000001</v>
      </c>
      <c r="N220" s="102">
        <f t="shared" si="6"/>
        <v>6.5333333333333341</v>
      </c>
      <c r="O220" s="97">
        <v>19.600000000000001</v>
      </c>
      <c r="P220" s="92">
        <v>0</v>
      </c>
      <c r="Q220" s="98">
        <f t="shared" si="7"/>
        <v>19.600000000000001</v>
      </c>
      <c r="R220" s="102" t="str">
        <f>+IF(Q220+N220&lt;=0, "NO COMPRADOR", +IF(Q220&lt;=0, "SIN COMPRA "&amp;+UPPER(TEXT('DINAMICA ENERO 26'!$C$2,"mmm 'yy")), "COMPRADOR"))</f>
        <v>COMPRADOR</v>
      </c>
      <c r="S220" s="100"/>
      <c r="T220" s="101"/>
      <c r="U220" s="100"/>
      <c r="V220" s="100"/>
    </row>
    <row r="221" spans="1:22" s="100" customFormat="1" ht="14" hidden="1">
      <c r="A221" s="88" t="s">
        <v>85</v>
      </c>
      <c r="B221" s="89" t="s">
        <v>257</v>
      </c>
      <c r="C221" s="89" t="s">
        <v>43</v>
      </c>
      <c r="D221" s="103">
        <v>100067806</v>
      </c>
      <c r="E221" s="89" t="s">
        <v>50</v>
      </c>
      <c r="F221" s="89">
        <v>100088613</v>
      </c>
      <c r="G221" s="128" t="s">
        <v>313</v>
      </c>
      <c r="H221" s="91">
        <v>88.2</v>
      </c>
      <c r="I221" s="92">
        <v>39.200000000000003</v>
      </c>
      <c r="J221" s="93">
        <v>49</v>
      </c>
      <c r="K221" s="94">
        <v>58.800000000000004</v>
      </c>
      <c r="L221" s="94">
        <v>29.400000000000002</v>
      </c>
      <c r="M221" s="129">
        <v>49</v>
      </c>
      <c r="N221" s="102">
        <f t="shared" si="6"/>
        <v>45.733333333333327</v>
      </c>
      <c r="O221" s="97">
        <v>29.400000000000002</v>
      </c>
      <c r="P221" s="92">
        <v>0</v>
      </c>
      <c r="Q221" s="98">
        <f t="shared" si="7"/>
        <v>29.400000000000002</v>
      </c>
      <c r="R221" s="102" t="str">
        <f>+IF(Q221+N221&lt;=0, "NO COMPRADOR", +IF(Q221&lt;=0, "SIN COMPRA "&amp;+UPPER(TEXT('DINAMICA ENERO 26'!$C$2,"mmm 'yy")), "COMPRADOR"))</f>
        <v>COMPRADOR</v>
      </c>
      <c r="T221" s="101"/>
    </row>
    <row r="222" spans="1:22" s="100" customFormat="1" ht="14" hidden="1">
      <c r="A222" s="88" t="s">
        <v>85</v>
      </c>
      <c r="B222" s="89" t="s">
        <v>257</v>
      </c>
      <c r="C222" s="89" t="s">
        <v>43</v>
      </c>
      <c r="D222" s="103">
        <v>100067806</v>
      </c>
      <c r="E222" s="89" t="s">
        <v>50</v>
      </c>
      <c r="F222" s="89">
        <v>100001513</v>
      </c>
      <c r="G222" s="128" t="s">
        <v>287</v>
      </c>
      <c r="H222" s="91">
        <v>19.600000000000001</v>
      </c>
      <c r="I222" s="92">
        <v>9.8000000000000007</v>
      </c>
      <c r="J222" s="93">
        <v>19.600000000000001</v>
      </c>
      <c r="K222" s="94">
        <v>19.600000000000001</v>
      </c>
      <c r="L222" s="94">
        <v>0</v>
      </c>
      <c r="M222" s="129">
        <v>0</v>
      </c>
      <c r="N222" s="102">
        <f t="shared" si="6"/>
        <v>6.5333333333333341</v>
      </c>
      <c r="O222" s="97">
        <v>19.600000000000001</v>
      </c>
      <c r="P222" s="92">
        <v>9.8000000000000007</v>
      </c>
      <c r="Q222" s="98">
        <f t="shared" si="7"/>
        <v>29.400000000000002</v>
      </c>
      <c r="R222" s="102" t="str">
        <f>+IF(Q222+N222&lt;=0, "NO COMPRADOR", +IF(Q222&lt;=0, "SIN COMPRA "&amp;+UPPER(TEXT('DINAMICA ENERO 26'!$C$2,"mmm 'yy")), "COMPRADOR"))</f>
        <v>COMPRADOR</v>
      </c>
      <c r="T222" s="101"/>
    </row>
    <row r="223" spans="1:22" s="100" customFormat="1" ht="14" hidden="1">
      <c r="A223" s="88" t="s">
        <v>85</v>
      </c>
      <c r="B223" s="89" t="s">
        <v>257</v>
      </c>
      <c r="C223" s="89" t="s">
        <v>43</v>
      </c>
      <c r="D223" s="103">
        <v>100067806</v>
      </c>
      <c r="E223" s="89" t="s">
        <v>50</v>
      </c>
      <c r="F223" s="89">
        <v>100001295</v>
      </c>
      <c r="G223" s="128" t="s">
        <v>314</v>
      </c>
      <c r="H223" s="91">
        <v>0</v>
      </c>
      <c r="I223" s="92">
        <v>0</v>
      </c>
      <c r="J223" s="93">
        <v>0</v>
      </c>
      <c r="K223" s="94">
        <v>0</v>
      </c>
      <c r="L223" s="94">
        <v>0</v>
      </c>
      <c r="M223" s="129">
        <v>0</v>
      </c>
      <c r="N223" s="102">
        <f t="shared" si="6"/>
        <v>0</v>
      </c>
      <c r="O223" s="97">
        <v>0</v>
      </c>
      <c r="P223" s="92">
        <v>0</v>
      </c>
      <c r="Q223" s="98">
        <f t="shared" si="7"/>
        <v>0</v>
      </c>
      <c r="R223" s="102" t="str">
        <f>+IF(Q223+N223&lt;=0, "NO COMPRADOR", +IF(Q223&lt;=0, "SIN COMPRA "&amp;+UPPER(TEXT('DINAMICA ENERO 26'!$C$2,"mmm 'yy")), "COMPRADOR"))</f>
        <v>NO COMPRADOR</v>
      </c>
      <c r="T223" s="101"/>
    </row>
    <row r="224" spans="1:22" s="104" customFormat="1" ht="14">
      <c r="A224" s="88" t="s">
        <v>85</v>
      </c>
      <c r="B224" s="89" t="s">
        <v>315</v>
      </c>
      <c r="C224" s="89" t="s">
        <v>43</v>
      </c>
      <c r="D224" s="103">
        <v>100063546</v>
      </c>
      <c r="E224" s="89" t="s">
        <v>46</v>
      </c>
      <c r="F224" s="89">
        <v>100001979</v>
      </c>
      <c r="G224" s="128" t="s">
        <v>290</v>
      </c>
      <c r="H224" s="91">
        <v>29.400000000000002</v>
      </c>
      <c r="I224" s="92">
        <v>0</v>
      </c>
      <c r="J224" s="93">
        <v>9.8000000000000007</v>
      </c>
      <c r="K224" s="94">
        <v>29.400000000000002</v>
      </c>
      <c r="L224" s="94">
        <v>9.8000000000000007</v>
      </c>
      <c r="M224" s="129">
        <v>29.400000000000002</v>
      </c>
      <c r="N224" s="102">
        <f t="shared" si="6"/>
        <v>22.866666666666671</v>
      </c>
      <c r="O224" s="97">
        <v>19.600000000000001</v>
      </c>
      <c r="P224" s="92">
        <v>0</v>
      </c>
      <c r="Q224" s="98">
        <f t="shared" si="7"/>
        <v>19.600000000000001</v>
      </c>
      <c r="R224" s="102" t="str">
        <f>+IF(Q224+N224&lt;=0, "NO COMPRADOR", +IF(Q224&lt;=0, "SIN COMPRA "&amp;+UPPER(TEXT('DINAMICA ENERO 26'!$C$2,"mmm 'yy")), "COMPRADOR"))</f>
        <v>COMPRADOR</v>
      </c>
      <c r="S224" s="100"/>
      <c r="T224" s="101"/>
      <c r="U224" s="100"/>
      <c r="V224" s="100"/>
    </row>
    <row r="225" spans="1:22" s="104" customFormat="1" ht="14" hidden="1">
      <c r="A225" s="88" t="s">
        <v>85</v>
      </c>
      <c r="B225" s="89" t="s">
        <v>315</v>
      </c>
      <c r="C225" s="89" t="s">
        <v>43</v>
      </c>
      <c r="D225" s="103">
        <v>100063546</v>
      </c>
      <c r="E225" s="89" t="s">
        <v>46</v>
      </c>
      <c r="F225" s="89">
        <v>100001709</v>
      </c>
      <c r="G225" s="128" t="s">
        <v>316</v>
      </c>
      <c r="H225" s="91">
        <v>0</v>
      </c>
      <c r="I225" s="92">
        <v>39.200000000000003</v>
      </c>
      <c r="J225" s="93">
        <v>0</v>
      </c>
      <c r="K225" s="94">
        <v>9.8000000000000007</v>
      </c>
      <c r="L225" s="94">
        <v>29.400000000000002</v>
      </c>
      <c r="M225" s="129">
        <v>29.400000000000002</v>
      </c>
      <c r="N225" s="102">
        <f t="shared" si="6"/>
        <v>22.866666666666671</v>
      </c>
      <c r="O225" s="97">
        <v>0</v>
      </c>
      <c r="P225" s="92">
        <v>39.200000000000003</v>
      </c>
      <c r="Q225" s="98">
        <f t="shared" si="7"/>
        <v>39.200000000000003</v>
      </c>
      <c r="R225" s="102" t="str">
        <f>+IF(Q225+N225&lt;=0, "NO COMPRADOR", +IF(Q225&lt;=0, "SIN COMPRA "&amp;+UPPER(TEXT('DINAMICA ENERO 26'!$C$2,"mmm 'yy")), "COMPRADOR"))</f>
        <v>COMPRADOR</v>
      </c>
      <c r="S225" s="100"/>
      <c r="T225" s="101"/>
      <c r="U225" s="100"/>
      <c r="V225" s="100"/>
    </row>
    <row r="226" spans="1:22" s="100" customFormat="1" ht="14" hidden="1">
      <c r="A226" s="88" t="s">
        <v>85</v>
      </c>
      <c r="B226" s="89" t="s">
        <v>315</v>
      </c>
      <c r="C226" s="89" t="s">
        <v>43</v>
      </c>
      <c r="D226" s="103">
        <v>100063546</v>
      </c>
      <c r="E226" s="89" t="s">
        <v>46</v>
      </c>
      <c r="F226" s="89">
        <v>100001939</v>
      </c>
      <c r="G226" s="128" t="s">
        <v>317</v>
      </c>
      <c r="H226" s="91">
        <v>196</v>
      </c>
      <c r="I226" s="92">
        <v>392</v>
      </c>
      <c r="J226" s="93">
        <v>196</v>
      </c>
      <c r="K226" s="94">
        <v>539</v>
      </c>
      <c r="L226" s="94">
        <v>245</v>
      </c>
      <c r="M226" s="129">
        <v>392</v>
      </c>
      <c r="N226" s="102">
        <f t="shared" si="6"/>
        <v>392</v>
      </c>
      <c r="O226" s="97">
        <v>392</v>
      </c>
      <c r="P226" s="92">
        <v>0</v>
      </c>
      <c r="Q226" s="98">
        <f t="shared" si="7"/>
        <v>392</v>
      </c>
      <c r="R226" s="102" t="str">
        <f>+IF(Q226+N226&lt;=0, "NO COMPRADOR", +IF(Q226&lt;=0, "SIN COMPRA "&amp;+UPPER(TEXT('DINAMICA ENERO 26'!$C$2,"mmm 'yy")), "COMPRADOR"))</f>
        <v>COMPRADOR</v>
      </c>
      <c r="T226" s="101"/>
    </row>
    <row r="227" spans="1:22" s="100" customFormat="1" ht="14" hidden="1">
      <c r="A227" s="88" t="s">
        <v>85</v>
      </c>
      <c r="B227" s="89" t="s">
        <v>315</v>
      </c>
      <c r="C227" s="89" t="s">
        <v>43</v>
      </c>
      <c r="D227" s="103">
        <v>100063546</v>
      </c>
      <c r="E227" s="89" t="s">
        <v>46</v>
      </c>
      <c r="F227" s="89">
        <v>100065432</v>
      </c>
      <c r="G227" s="128" t="s">
        <v>318</v>
      </c>
      <c r="H227" s="91">
        <v>0</v>
      </c>
      <c r="I227" s="92">
        <v>9.8000000000000007</v>
      </c>
      <c r="J227" s="93">
        <v>9.8000000000000007</v>
      </c>
      <c r="K227" s="94">
        <v>58.8</v>
      </c>
      <c r="L227" s="94">
        <v>9.8000000000000007</v>
      </c>
      <c r="M227" s="129">
        <v>9.8000000000000007</v>
      </c>
      <c r="N227" s="102">
        <f t="shared" si="6"/>
        <v>26.133333333333329</v>
      </c>
      <c r="O227" s="97">
        <v>0</v>
      </c>
      <c r="P227" s="92">
        <v>0</v>
      </c>
      <c r="Q227" s="98">
        <f t="shared" si="7"/>
        <v>0</v>
      </c>
      <c r="R227" s="102" t="str">
        <f>+IF(Q227+N227&lt;=0, "NO COMPRADOR", +IF(Q227&lt;=0, "SIN COMPRA "&amp;+UPPER(TEXT('DINAMICA ENERO 26'!$C$2,"mmm 'yy")), "COMPRADOR"))</f>
        <v>SIN COMPRA FEB '26</v>
      </c>
      <c r="T227" s="101"/>
    </row>
    <row r="228" spans="1:22" s="100" customFormat="1" ht="14" hidden="1">
      <c r="A228" s="88" t="s">
        <v>85</v>
      </c>
      <c r="B228" s="89" t="s">
        <v>315</v>
      </c>
      <c r="C228" s="89" t="s">
        <v>43</v>
      </c>
      <c r="D228" s="103">
        <v>100063546</v>
      </c>
      <c r="E228" s="89" t="s">
        <v>46</v>
      </c>
      <c r="F228" s="89">
        <v>100084929</v>
      </c>
      <c r="G228" s="128" t="s">
        <v>319</v>
      </c>
      <c r="H228" s="91">
        <v>0</v>
      </c>
      <c r="I228" s="92">
        <v>0</v>
      </c>
      <c r="J228" s="93">
        <v>0</v>
      </c>
      <c r="K228" s="94">
        <v>0</v>
      </c>
      <c r="L228" s="94">
        <v>0</v>
      </c>
      <c r="M228" s="129">
        <v>0</v>
      </c>
      <c r="N228" s="102">
        <f t="shared" si="6"/>
        <v>0</v>
      </c>
      <c r="O228" s="97">
        <v>0</v>
      </c>
      <c r="P228" s="92">
        <v>0</v>
      </c>
      <c r="Q228" s="98">
        <f t="shared" si="7"/>
        <v>0</v>
      </c>
      <c r="R228" s="102" t="str">
        <f>+IF(Q228+N228&lt;=0, "NO COMPRADOR", +IF(Q228&lt;=0, "SIN COMPRA "&amp;+UPPER(TEXT('DINAMICA ENERO 26'!$C$2,"mmm 'yy")), "COMPRADOR"))</f>
        <v>NO COMPRADOR</v>
      </c>
      <c r="T228" s="101"/>
    </row>
    <row r="229" spans="1:22" s="100" customFormat="1" ht="14" hidden="1">
      <c r="A229" s="88" t="s">
        <v>85</v>
      </c>
      <c r="B229" s="89" t="s">
        <v>315</v>
      </c>
      <c r="C229" s="89" t="s">
        <v>43</v>
      </c>
      <c r="D229" s="103">
        <v>100063546</v>
      </c>
      <c r="E229" s="89" t="s">
        <v>46</v>
      </c>
      <c r="F229" s="89">
        <v>100001196</v>
      </c>
      <c r="G229" s="128" t="s">
        <v>320</v>
      </c>
      <c r="H229" s="91">
        <v>382.20000000000016</v>
      </c>
      <c r="I229" s="92">
        <v>646.80000000000007</v>
      </c>
      <c r="J229" s="93">
        <v>588.00000000000011</v>
      </c>
      <c r="K229" s="94">
        <v>627.20000000000005</v>
      </c>
      <c r="L229" s="94">
        <v>813.39999999999986</v>
      </c>
      <c r="M229" s="129">
        <v>705.6</v>
      </c>
      <c r="N229" s="102">
        <f t="shared" si="6"/>
        <v>715.4</v>
      </c>
      <c r="O229" s="97">
        <v>695.79999999999961</v>
      </c>
      <c r="P229" s="92">
        <v>19.600000000000001</v>
      </c>
      <c r="Q229" s="98">
        <f t="shared" si="7"/>
        <v>715.39999999999964</v>
      </c>
      <c r="R229" s="102" t="str">
        <f>+IF(Q229+N229&lt;=0, "NO COMPRADOR", +IF(Q229&lt;=0, "SIN COMPRA "&amp;+UPPER(TEXT('DINAMICA ENERO 26'!$C$2,"mmm 'yy")), "COMPRADOR"))</f>
        <v>COMPRADOR</v>
      </c>
      <c r="T229" s="101"/>
    </row>
    <row r="230" spans="1:22" s="100" customFormat="1" ht="14" hidden="1">
      <c r="A230" s="88" t="s">
        <v>85</v>
      </c>
      <c r="B230" s="89" t="s">
        <v>315</v>
      </c>
      <c r="C230" s="89" t="s">
        <v>43</v>
      </c>
      <c r="D230" s="103">
        <v>100063546</v>
      </c>
      <c r="E230" s="89" t="s">
        <v>46</v>
      </c>
      <c r="F230" s="89">
        <v>100005901</v>
      </c>
      <c r="G230" s="128" t="s">
        <v>321</v>
      </c>
      <c r="H230" s="91">
        <v>29.400000000000002</v>
      </c>
      <c r="I230" s="92">
        <v>0</v>
      </c>
      <c r="J230" s="93">
        <v>39.200000000000003</v>
      </c>
      <c r="K230" s="94">
        <v>147</v>
      </c>
      <c r="L230" s="94">
        <v>58.800000000000004</v>
      </c>
      <c r="M230" s="129">
        <v>147</v>
      </c>
      <c r="N230" s="102">
        <f t="shared" si="6"/>
        <v>117.60000000000001</v>
      </c>
      <c r="O230" s="97">
        <v>0</v>
      </c>
      <c r="P230" s="92">
        <v>0</v>
      </c>
      <c r="Q230" s="98">
        <f t="shared" si="7"/>
        <v>0</v>
      </c>
      <c r="R230" s="102" t="str">
        <f>+IF(Q230+N230&lt;=0, "NO COMPRADOR", +IF(Q230&lt;=0, "SIN COMPRA "&amp;+UPPER(TEXT('DINAMICA ENERO 26'!$C$2,"mmm 'yy")), "COMPRADOR"))</f>
        <v>SIN COMPRA FEB '26</v>
      </c>
      <c r="T230" s="101"/>
    </row>
    <row r="231" spans="1:22" s="100" customFormat="1" ht="14" hidden="1">
      <c r="A231" s="88" t="s">
        <v>85</v>
      </c>
      <c r="B231" s="89" t="s">
        <v>315</v>
      </c>
      <c r="C231" s="89" t="s">
        <v>43</v>
      </c>
      <c r="D231" s="103">
        <v>100063546</v>
      </c>
      <c r="E231" s="89" t="s">
        <v>46</v>
      </c>
      <c r="F231" s="89">
        <v>100015382</v>
      </c>
      <c r="G231" s="128" t="s">
        <v>322</v>
      </c>
      <c r="H231" s="91">
        <v>0</v>
      </c>
      <c r="I231" s="92">
        <v>0</v>
      </c>
      <c r="J231" s="93">
        <v>0</v>
      </c>
      <c r="K231" s="94">
        <v>0</v>
      </c>
      <c r="L231" s="94">
        <v>0</v>
      </c>
      <c r="M231" s="129">
        <v>0</v>
      </c>
      <c r="N231" s="102">
        <f t="shared" si="6"/>
        <v>0</v>
      </c>
      <c r="O231" s="97">
        <v>0</v>
      </c>
      <c r="P231" s="92">
        <v>0</v>
      </c>
      <c r="Q231" s="98">
        <f t="shared" si="7"/>
        <v>0</v>
      </c>
      <c r="R231" s="102" t="str">
        <f>+IF(Q231+N231&lt;=0, "NO COMPRADOR", +IF(Q231&lt;=0, "SIN COMPRA "&amp;+UPPER(TEXT('DINAMICA ENERO 26'!$C$2,"mmm 'yy")), "COMPRADOR"))</f>
        <v>NO COMPRADOR</v>
      </c>
      <c r="T231" s="101"/>
    </row>
    <row r="232" spans="1:22" s="100" customFormat="1" ht="14" hidden="1">
      <c r="A232" s="88" t="s">
        <v>85</v>
      </c>
      <c r="B232" s="89" t="s">
        <v>315</v>
      </c>
      <c r="C232" s="89" t="s">
        <v>43</v>
      </c>
      <c r="D232" s="103">
        <v>100063546</v>
      </c>
      <c r="E232" s="89" t="s">
        <v>46</v>
      </c>
      <c r="F232" s="89">
        <v>100001715</v>
      </c>
      <c r="G232" s="128" t="s">
        <v>323</v>
      </c>
      <c r="H232" s="91">
        <v>9.8000000000000007</v>
      </c>
      <c r="I232" s="92">
        <v>9.8000000000000007</v>
      </c>
      <c r="J232" s="93">
        <v>0</v>
      </c>
      <c r="K232" s="94">
        <v>9.8000000000000007</v>
      </c>
      <c r="L232" s="94">
        <v>39.200000000000003</v>
      </c>
      <c r="M232" s="129">
        <v>19.600000000000001</v>
      </c>
      <c r="N232" s="102">
        <f t="shared" si="6"/>
        <v>22.866666666666664</v>
      </c>
      <c r="O232" s="97">
        <v>0</v>
      </c>
      <c r="P232" s="92">
        <v>0</v>
      </c>
      <c r="Q232" s="98">
        <f t="shared" si="7"/>
        <v>0</v>
      </c>
      <c r="R232" s="102" t="str">
        <f>+IF(Q232+N232&lt;=0, "NO COMPRADOR", +IF(Q232&lt;=0, "SIN COMPRA "&amp;+UPPER(TEXT('DINAMICA ENERO 26'!$C$2,"mmm 'yy")), "COMPRADOR"))</f>
        <v>SIN COMPRA FEB '26</v>
      </c>
      <c r="T232" s="101"/>
    </row>
    <row r="233" spans="1:22" s="100" customFormat="1" ht="14" hidden="1">
      <c r="A233" s="88" t="s">
        <v>85</v>
      </c>
      <c r="B233" s="89" t="s">
        <v>315</v>
      </c>
      <c r="C233" s="89" t="s">
        <v>43</v>
      </c>
      <c r="D233" s="103">
        <v>100063546</v>
      </c>
      <c r="E233" s="89" t="s">
        <v>46</v>
      </c>
      <c r="F233" s="89">
        <v>100001825</v>
      </c>
      <c r="G233" s="128" t="s">
        <v>324</v>
      </c>
      <c r="H233" s="91">
        <v>0</v>
      </c>
      <c r="I233" s="92">
        <v>0</v>
      </c>
      <c r="J233" s="93">
        <v>9.8000000000000007</v>
      </c>
      <c r="K233" s="94">
        <v>0</v>
      </c>
      <c r="L233" s="94">
        <v>0</v>
      </c>
      <c r="M233" s="129">
        <v>0</v>
      </c>
      <c r="N233" s="102">
        <f t="shared" si="6"/>
        <v>0</v>
      </c>
      <c r="O233" s="97">
        <v>0</v>
      </c>
      <c r="P233" s="92">
        <v>0</v>
      </c>
      <c r="Q233" s="98">
        <f t="shared" si="7"/>
        <v>0</v>
      </c>
      <c r="R233" s="102" t="str">
        <f>+IF(Q233+N233&lt;=0, "NO COMPRADOR", +IF(Q233&lt;=0, "SIN COMPRA "&amp;+UPPER(TEXT('DINAMICA ENERO 26'!$C$2,"mmm 'yy")), "COMPRADOR"))</f>
        <v>NO COMPRADOR</v>
      </c>
      <c r="T233" s="101"/>
    </row>
    <row r="234" spans="1:22" s="100" customFormat="1" ht="14" hidden="1">
      <c r="A234" s="88" t="s">
        <v>85</v>
      </c>
      <c r="B234" s="89" t="s">
        <v>315</v>
      </c>
      <c r="C234" s="89" t="s">
        <v>43</v>
      </c>
      <c r="D234" s="103">
        <v>100063546</v>
      </c>
      <c r="E234" s="89" t="s">
        <v>46</v>
      </c>
      <c r="F234" s="89">
        <v>100071034</v>
      </c>
      <c r="G234" s="128" t="s">
        <v>325</v>
      </c>
      <c r="H234" s="91">
        <v>0</v>
      </c>
      <c r="I234" s="92">
        <v>0</v>
      </c>
      <c r="J234" s="93">
        <v>0</v>
      </c>
      <c r="K234" s="94">
        <v>0</v>
      </c>
      <c r="L234" s="94">
        <v>0</v>
      </c>
      <c r="M234" s="129">
        <v>0</v>
      </c>
      <c r="N234" s="102">
        <f t="shared" si="6"/>
        <v>0</v>
      </c>
      <c r="O234" s="97">
        <v>0</v>
      </c>
      <c r="P234" s="92">
        <v>0</v>
      </c>
      <c r="Q234" s="98">
        <f t="shared" si="7"/>
        <v>0</v>
      </c>
      <c r="R234" s="102" t="str">
        <f>+IF(Q234+N234&lt;=0, "NO COMPRADOR", +IF(Q234&lt;=0, "SIN COMPRA "&amp;+UPPER(TEXT('DINAMICA ENERO 26'!$C$2,"mmm 'yy")), "COMPRADOR"))</f>
        <v>NO COMPRADOR</v>
      </c>
      <c r="T234" s="101"/>
    </row>
    <row r="235" spans="1:22" s="104" customFormat="1" ht="14" hidden="1">
      <c r="A235" s="88" t="s">
        <v>85</v>
      </c>
      <c r="B235" s="89" t="s">
        <v>315</v>
      </c>
      <c r="C235" s="89" t="s">
        <v>43</v>
      </c>
      <c r="D235" s="103">
        <v>100063546</v>
      </c>
      <c r="E235" s="89" t="s">
        <v>46</v>
      </c>
      <c r="F235" s="89">
        <v>100001510</v>
      </c>
      <c r="G235" s="128" t="s">
        <v>326</v>
      </c>
      <c r="H235" s="91">
        <v>68.599999999999994</v>
      </c>
      <c r="I235" s="92">
        <v>0</v>
      </c>
      <c r="J235" s="93">
        <v>235.20000000000002</v>
      </c>
      <c r="K235" s="94">
        <v>98</v>
      </c>
      <c r="L235" s="94">
        <v>117.60000000000001</v>
      </c>
      <c r="M235" s="129">
        <v>78.400000000000006</v>
      </c>
      <c r="N235" s="102">
        <f t="shared" si="6"/>
        <v>98</v>
      </c>
      <c r="O235" s="97">
        <v>254.8</v>
      </c>
      <c r="P235" s="92">
        <v>0</v>
      </c>
      <c r="Q235" s="98">
        <f t="shared" si="7"/>
        <v>254.8</v>
      </c>
      <c r="R235" s="102" t="str">
        <f>+IF(Q235+N235&lt;=0, "NO COMPRADOR", +IF(Q235&lt;=0, "SIN COMPRA "&amp;+UPPER(TEXT('DINAMICA ENERO 26'!$C$2,"mmm 'yy")), "COMPRADOR"))</f>
        <v>COMPRADOR</v>
      </c>
      <c r="S235" s="100"/>
      <c r="T235" s="101"/>
      <c r="U235" s="100"/>
      <c r="V235" s="100"/>
    </row>
    <row r="236" spans="1:22" s="100" customFormat="1" ht="14" hidden="1">
      <c r="A236" s="88" t="s">
        <v>85</v>
      </c>
      <c r="B236" s="89" t="s">
        <v>315</v>
      </c>
      <c r="C236" s="89" t="s">
        <v>43</v>
      </c>
      <c r="D236" s="103">
        <v>100063546</v>
      </c>
      <c r="E236" s="89" t="s">
        <v>46</v>
      </c>
      <c r="F236" s="89">
        <v>100086920</v>
      </c>
      <c r="G236" s="128" t="s">
        <v>327</v>
      </c>
      <c r="H236" s="91">
        <v>0</v>
      </c>
      <c r="I236" s="92">
        <v>0</v>
      </c>
      <c r="J236" s="93">
        <v>0</v>
      </c>
      <c r="K236" s="94">
        <v>0</v>
      </c>
      <c r="L236" s="94">
        <v>0</v>
      </c>
      <c r="M236" s="129">
        <v>0</v>
      </c>
      <c r="N236" s="102">
        <f t="shared" si="6"/>
        <v>0</v>
      </c>
      <c r="O236" s="97">
        <v>0</v>
      </c>
      <c r="P236" s="92">
        <v>0</v>
      </c>
      <c r="Q236" s="98">
        <f t="shared" si="7"/>
        <v>0</v>
      </c>
      <c r="R236" s="102" t="str">
        <f>+IF(Q236+N236&lt;=0, "NO COMPRADOR", +IF(Q236&lt;=0, "SIN COMPRA "&amp;+UPPER(TEXT('DINAMICA ENERO 26'!$C$2,"mmm 'yy")), "COMPRADOR"))</f>
        <v>NO COMPRADOR</v>
      </c>
      <c r="T236" s="101"/>
    </row>
    <row r="237" spans="1:22" s="100" customFormat="1" ht="14" hidden="1">
      <c r="A237" s="88" t="s">
        <v>85</v>
      </c>
      <c r="B237" s="89" t="s">
        <v>315</v>
      </c>
      <c r="C237" s="89" t="s">
        <v>43</v>
      </c>
      <c r="D237" s="103">
        <v>100063546</v>
      </c>
      <c r="E237" s="89" t="s">
        <v>46</v>
      </c>
      <c r="F237" s="89">
        <v>100076015</v>
      </c>
      <c r="G237" s="128" t="s">
        <v>328</v>
      </c>
      <c r="H237" s="91">
        <v>19.600000000000001</v>
      </c>
      <c r="I237" s="92">
        <v>9.8000000000000007</v>
      </c>
      <c r="J237" s="93">
        <v>9.8000000000000007</v>
      </c>
      <c r="K237" s="94">
        <v>9.8000000000000007</v>
      </c>
      <c r="L237" s="94">
        <v>29.400000000000002</v>
      </c>
      <c r="M237" s="129">
        <v>29.400000000000002</v>
      </c>
      <c r="N237" s="102">
        <f t="shared" si="6"/>
        <v>22.866666666666671</v>
      </c>
      <c r="O237" s="97">
        <v>49</v>
      </c>
      <c r="P237" s="92">
        <v>0</v>
      </c>
      <c r="Q237" s="98">
        <f t="shared" si="7"/>
        <v>49</v>
      </c>
      <c r="R237" s="102" t="str">
        <f>+IF(Q237+N237&lt;=0, "NO COMPRADOR", +IF(Q237&lt;=0, "SIN COMPRA "&amp;+UPPER(TEXT('DINAMICA ENERO 26'!$C$2,"mmm 'yy")), "COMPRADOR"))</f>
        <v>COMPRADOR</v>
      </c>
      <c r="T237" s="101"/>
    </row>
    <row r="238" spans="1:22" s="100" customFormat="1" ht="14" hidden="1">
      <c r="A238" s="88" t="s">
        <v>85</v>
      </c>
      <c r="B238" s="89" t="s">
        <v>315</v>
      </c>
      <c r="C238" s="89" t="s">
        <v>43</v>
      </c>
      <c r="D238" s="103">
        <v>100063546</v>
      </c>
      <c r="E238" s="89" t="s">
        <v>46</v>
      </c>
      <c r="F238" s="89">
        <v>100071319</v>
      </c>
      <c r="G238" s="128" t="s">
        <v>329</v>
      </c>
      <c r="H238" s="91">
        <v>166.60000000000002</v>
      </c>
      <c r="I238" s="92">
        <v>107.80000000000001</v>
      </c>
      <c r="J238" s="93">
        <v>49</v>
      </c>
      <c r="K238" s="94">
        <v>39.200000000000003</v>
      </c>
      <c r="L238" s="94">
        <v>58.800000000000004</v>
      </c>
      <c r="M238" s="129">
        <v>68.599999999999994</v>
      </c>
      <c r="N238" s="102">
        <f t="shared" si="6"/>
        <v>55.533333333333331</v>
      </c>
      <c r="O238" s="97">
        <v>29.400000000000002</v>
      </c>
      <c r="P238" s="92">
        <v>0</v>
      </c>
      <c r="Q238" s="98">
        <f t="shared" si="7"/>
        <v>29.400000000000002</v>
      </c>
      <c r="R238" s="102" t="str">
        <f>+IF(Q238+N238&lt;=0, "NO COMPRADOR", +IF(Q238&lt;=0, "SIN COMPRA "&amp;+UPPER(TEXT('DINAMICA ENERO 26'!$C$2,"mmm 'yy")), "COMPRADOR"))</f>
        <v>COMPRADOR</v>
      </c>
      <c r="T238" s="101"/>
    </row>
    <row r="239" spans="1:22" s="100" customFormat="1" ht="14" hidden="1">
      <c r="A239" s="88" t="s">
        <v>85</v>
      </c>
      <c r="B239" s="89" t="s">
        <v>315</v>
      </c>
      <c r="C239" s="89" t="s">
        <v>43</v>
      </c>
      <c r="D239" s="103">
        <v>100063546</v>
      </c>
      <c r="E239" s="89" t="s">
        <v>46</v>
      </c>
      <c r="F239" s="89">
        <v>100069083</v>
      </c>
      <c r="G239" s="128" t="s">
        <v>330</v>
      </c>
      <c r="H239" s="91">
        <v>19.600000000000001</v>
      </c>
      <c r="I239" s="92">
        <v>58.800000000000004</v>
      </c>
      <c r="J239" s="93">
        <v>29.400000000000002</v>
      </c>
      <c r="K239" s="94">
        <v>9.8000000000000007</v>
      </c>
      <c r="L239" s="94">
        <v>19.600000000000001</v>
      </c>
      <c r="M239" s="129">
        <v>29.400000000000002</v>
      </c>
      <c r="N239" s="102">
        <f t="shared" si="6"/>
        <v>19.600000000000001</v>
      </c>
      <c r="O239" s="97">
        <v>49</v>
      </c>
      <c r="P239" s="92">
        <v>0</v>
      </c>
      <c r="Q239" s="98">
        <f t="shared" si="7"/>
        <v>49</v>
      </c>
      <c r="R239" s="102" t="str">
        <f>+IF(Q239+N239&lt;=0, "NO COMPRADOR", +IF(Q239&lt;=0, "SIN COMPRA "&amp;+UPPER(TEXT('DINAMICA ENERO 26'!$C$2,"mmm 'yy")), "COMPRADOR"))</f>
        <v>COMPRADOR</v>
      </c>
      <c r="T239" s="101"/>
    </row>
    <row r="240" spans="1:22" s="104" customFormat="1" ht="14" hidden="1">
      <c r="A240" s="88" t="s">
        <v>85</v>
      </c>
      <c r="B240" s="89" t="s">
        <v>315</v>
      </c>
      <c r="C240" s="89" t="s">
        <v>43</v>
      </c>
      <c r="D240" s="103">
        <v>100063546</v>
      </c>
      <c r="E240" s="89" t="s">
        <v>46</v>
      </c>
      <c r="F240" s="89">
        <v>100072087</v>
      </c>
      <c r="G240" s="128" t="s">
        <v>331</v>
      </c>
      <c r="H240" s="91">
        <v>117.60000000000001</v>
      </c>
      <c r="I240" s="92">
        <v>225.4</v>
      </c>
      <c r="J240" s="93">
        <v>49</v>
      </c>
      <c r="K240" s="94">
        <v>156.80000000000001</v>
      </c>
      <c r="L240" s="94">
        <v>98</v>
      </c>
      <c r="M240" s="129">
        <v>186.20000000000002</v>
      </c>
      <c r="N240" s="102">
        <f t="shared" si="6"/>
        <v>147</v>
      </c>
      <c r="O240" s="97">
        <v>98</v>
      </c>
      <c r="P240" s="92">
        <v>0</v>
      </c>
      <c r="Q240" s="98">
        <f t="shared" si="7"/>
        <v>98</v>
      </c>
      <c r="R240" s="102" t="str">
        <f>+IF(Q240+N240&lt;=0, "NO COMPRADOR", +IF(Q240&lt;=0, "SIN COMPRA "&amp;+UPPER(TEXT('DINAMICA ENERO 26'!$C$2,"mmm 'yy")), "COMPRADOR"))</f>
        <v>COMPRADOR</v>
      </c>
      <c r="S240" s="100"/>
      <c r="T240" s="101"/>
      <c r="U240" s="100"/>
      <c r="V240" s="100"/>
    </row>
    <row r="241" spans="1:22" s="100" customFormat="1" ht="14" hidden="1">
      <c r="A241" s="88" t="s">
        <v>85</v>
      </c>
      <c r="B241" s="89" t="s">
        <v>315</v>
      </c>
      <c r="C241" s="89" t="s">
        <v>43</v>
      </c>
      <c r="D241" s="103">
        <v>100063546</v>
      </c>
      <c r="E241" s="89" t="s">
        <v>46</v>
      </c>
      <c r="F241" s="89">
        <v>100078525</v>
      </c>
      <c r="G241" s="128" t="s">
        <v>332</v>
      </c>
      <c r="H241" s="91">
        <v>9.8000000000000007</v>
      </c>
      <c r="I241" s="92">
        <v>0</v>
      </c>
      <c r="J241" s="93">
        <v>9.8000000000000007</v>
      </c>
      <c r="K241" s="94">
        <v>9.8000000000000007</v>
      </c>
      <c r="L241" s="94">
        <v>9.8000000000000007</v>
      </c>
      <c r="M241" s="129">
        <v>0</v>
      </c>
      <c r="N241" s="102">
        <f t="shared" si="6"/>
        <v>6.5333333333333341</v>
      </c>
      <c r="O241" s="97">
        <v>0</v>
      </c>
      <c r="P241" s="92">
        <v>0</v>
      </c>
      <c r="Q241" s="98">
        <f t="shared" si="7"/>
        <v>0</v>
      </c>
      <c r="R241" s="102" t="str">
        <f>+IF(Q241+N241&lt;=0, "NO COMPRADOR", +IF(Q241&lt;=0, "SIN COMPRA "&amp;+UPPER(TEXT('DINAMICA ENERO 26'!$C$2,"mmm 'yy")), "COMPRADOR"))</f>
        <v>SIN COMPRA FEB '26</v>
      </c>
      <c r="T241" s="101"/>
    </row>
    <row r="242" spans="1:22" s="100" customFormat="1" ht="14" hidden="1">
      <c r="A242" s="88" t="s">
        <v>85</v>
      </c>
      <c r="B242" s="89" t="s">
        <v>315</v>
      </c>
      <c r="C242" s="89" t="s">
        <v>43</v>
      </c>
      <c r="D242" s="103">
        <v>100063546</v>
      </c>
      <c r="E242" s="89" t="s">
        <v>46</v>
      </c>
      <c r="F242" s="89">
        <v>100078986</v>
      </c>
      <c r="G242" s="128" t="s">
        <v>333</v>
      </c>
      <c r="H242" s="91">
        <v>39.200000000000003</v>
      </c>
      <c r="I242" s="92">
        <v>29.400000000000002</v>
      </c>
      <c r="J242" s="93">
        <v>9.8000000000000007</v>
      </c>
      <c r="K242" s="94">
        <v>0</v>
      </c>
      <c r="L242" s="94">
        <v>19.600000000000001</v>
      </c>
      <c r="M242" s="129">
        <v>29.400000000000002</v>
      </c>
      <c r="N242" s="102">
        <f t="shared" si="6"/>
        <v>16.333333333333332</v>
      </c>
      <c r="O242" s="97">
        <v>0</v>
      </c>
      <c r="P242" s="92">
        <v>0</v>
      </c>
      <c r="Q242" s="98">
        <f t="shared" si="7"/>
        <v>0</v>
      </c>
      <c r="R242" s="102" t="str">
        <f>+IF(Q242+N242&lt;=0, "NO COMPRADOR", +IF(Q242&lt;=0, "SIN COMPRA "&amp;+UPPER(TEXT('DINAMICA ENERO 26'!$C$2,"mmm 'yy")), "COMPRADOR"))</f>
        <v>SIN COMPRA FEB '26</v>
      </c>
      <c r="T242" s="101"/>
    </row>
    <row r="243" spans="1:22" s="100" customFormat="1" ht="14" hidden="1">
      <c r="A243" s="88" t="s">
        <v>85</v>
      </c>
      <c r="B243" s="89" t="s">
        <v>315</v>
      </c>
      <c r="C243" s="89" t="s">
        <v>43</v>
      </c>
      <c r="D243" s="103">
        <v>100063546</v>
      </c>
      <c r="E243" s="89" t="s">
        <v>46</v>
      </c>
      <c r="F243" s="89">
        <v>100053840</v>
      </c>
      <c r="G243" s="128" t="s">
        <v>334</v>
      </c>
      <c r="H243" s="91">
        <v>9.8000000000000007</v>
      </c>
      <c r="I243" s="92">
        <v>19.600000000000001</v>
      </c>
      <c r="J243" s="93">
        <v>0</v>
      </c>
      <c r="K243" s="94">
        <v>19.600000000000001</v>
      </c>
      <c r="L243" s="94">
        <v>9.8000000000000007</v>
      </c>
      <c r="M243" s="129">
        <v>0</v>
      </c>
      <c r="N243" s="102">
        <f t="shared" si="6"/>
        <v>9.8000000000000007</v>
      </c>
      <c r="O243" s="97">
        <v>-9.8000000000000007</v>
      </c>
      <c r="P243" s="92">
        <v>0</v>
      </c>
      <c r="Q243" s="98">
        <f t="shared" si="7"/>
        <v>-9.8000000000000007</v>
      </c>
      <c r="R243" s="102" t="str">
        <f>+IF(Q243+N243&lt;=0, "NO COMPRADOR", +IF(Q243&lt;=0, "SIN COMPRA "&amp;+UPPER(TEXT('DINAMICA ENERO 26'!$C$2,"mmm 'yy")), "COMPRADOR"))</f>
        <v>NO COMPRADOR</v>
      </c>
      <c r="T243" s="101"/>
    </row>
    <row r="244" spans="1:22" s="100" customFormat="1" ht="14" hidden="1">
      <c r="A244" s="88" t="s">
        <v>85</v>
      </c>
      <c r="B244" s="89" t="s">
        <v>315</v>
      </c>
      <c r="C244" s="89" t="s">
        <v>43</v>
      </c>
      <c r="D244" s="103">
        <v>100063546</v>
      </c>
      <c r="E244" s="89" t="s">
        <v>46</v>
      </c>
      <c r="F244" s="89">
        <v>100084699</v>
      </c>
      <c r="G244" s="128" t="s">
        <v>335</v>
      </c>
      <c r="H244" s="91">
        <v>78.400000000000006</v>
      </c>
      <c r="I244" s="92">
        <v>127.40000000000002</v>
      </c>
      <c r="J244" s="93">
        <v>9.8000000000000007</v>
      </c>
      <c r="K244" s="94">
        <v>29.400000000000002</v>
      </c>
      <c r="L244" s="94">
        <v>68.600000000000009</v>
      </c>
      <c r="M244" s="129">
        <v>78.400000000000006</v>
      </c>
      <c r="N244" s="102">
        <f t="shared" si="6"/>
        <v>58.800000000000011</v>
      </c>
      <c r="O244" s="97">
        <v>49</v>
      </c>
      <c r="P244" s="92">
        <v>0</v>
      </c>
      <c r="Q244" s="98">
        <f t="shared" si="7"/>
        <v>49</v>
      </c>
      <c r="R244" s="102" t="str">
        <f>+IF(Q244+N244&lt;=0, "NO COMPRADOR", +IF(Q244&lt;=0, "SIN COMPRA "&amp;+UPPER(TEXT('DINAMICA ENERO 26'!$C$2,"mmm 'yy")), "COMPRADOR"))</f>
        <v>COMPRADOR</v>
      </c>
      <c r="T244" s="101"/>
    </row>
    <row r="245" spans="1:22" s="100" customFormat="1" ht="14" hidden="1">
      <c r="A245" s="88" t="s">
        <v>85</v>
      </c>
      <c r="B245" s="89" t="s">
        <v>315</v>
      </c>
      <c r="C245" s="89" t="s">
        <v>43</v>
      </c>
      <c r="D245" s="103">
        <v>100063546</v>
      </c>
      <c r="E245" s="89" t="s">
        <v>46</v>
      </c>
      <c r="F245" s="89">
        <v>100080253</v>
      </c>
      <c r="G245" s="128" t="s">
        <v>336</v>
      </c>
      <c r="H245" s="91">
        <v>0</v>
      </c>
      <c r="I245" s="92">
        <v>0</v>
      </c>
      <c r="J245" s="93">
        <v>0</v>
      </c>
      <c r="K245" s="94">
        <v>0</v>
      </c>
      <c r="L245" s="94">
        <v>0</v>
      </c>
      <c r="M245" s="129">
        <v>9.8000000000000007</v>
      </c>
      <c r="N245" s="102">
        <f t="shared" si="6"/>
        <v>3.2666666666666671</v>
      </c>
      <c r="O245" s="97">
        <v>0</v>
      </c>
      <c r="P245" s="92">
        <v>0</v>
      </c>
      <c r="Q245" s="98">
        <f t="shared" si="7"/>
        <v>0</v>
      </c>
      <c r="R245" s="102" t="str">
        <f>+IF(Q245+N245&lt;=0, "NO COMPRADOR", +IF(Q245&lt;=0, "SIN COMPRA "&amp;+UPPER(TEXT('DINAMICA ENERO 26'!$C$2,"mmm 'yy")), "COMPRADOR"))</f>
        <v>SIN COMPRA FEB '26</v>
      </c>
      <c r="T245" s="101"/>
    </row>
    <row r="246" spans="1:22" s="104" customFormat="1" ht="14" hidden="1">
      <c r="A246" s="88" t="s">
        <v>85</v>
      </c>
      <c r="B246" s="89" t="s">
        <v>315</v>
      </c>
      <c r="C246" s="89" t="s">
        <v>43</v>
      </c>
      <c r="D246" s="103">
        <v>100063546</v>
      </c>
      <c r="E246" s="89" t="s">
        <v>46</v>
      </c>
      <c r="F246" s="89">
        <v>100089146</v>
      </c>
      <c r="G246" s="128" t="s">
        <v>337</v>
      </c>
      <c r="H246" s="91">
        <v>58.799999999999983</v>
      </c>
      <c r="I246" s="92">
        <v>0</v>
      </c>
      <c r="J246" s="93">
        <v>9.8000000000000007</v>
      </c>
      <c r="K246" s="94">
        <v>9.8000000000000007</v>
      </c>
      <c r="L246" s="94">
        <v>0</v>
      </c>
      <c r="M246" s="129">
        <v>0</v>
      </c>
      <c r="N246" s="102">
        <f t="shared" si="6"/>
        <v>3.2666666666666671</v>
      </c>
      <c r="O246" s="97">
        <v>0</v>
      </c>
      <c r="P246" s="92">
        <v>0</v>
      </c>
      <c r="Q246" s="98">
        <f t="shared" si="7"/>
        <v>0</v>
      </c>
      <c r="R246" s="102" t="str">
        <f>+IF(Q246+N246&lt;=0, "NO COMPRADOR", +IF(Q246&lt;=0, "SIN COMPRA "&amp;+UPPER(TEXT('DINAMICA ENERO 26'!$C$2,"mmm 'yy")), "COMPRADOR"))</f>
        <v>SIN COMPRA FEB '26</v>
      </c>
      <c r="S246" s="100"/>
      <c r="T246" s="101"/>
      <c r="U246" s="100"/>
      <c r="V246" s="100"/>
    </row>
    <row r="247" spans="1:22" s="100" customFormat="1" ht="14" hidden="1">
      <c r="A247" s="88" t="s">
        <v>85</v>
      </c>
      <c r="B247" s="89" t="s">
        <v>315</v>
      </c>
      <c r="C247" s="89" t="s">
        <v>43</v>
      </c>
      <c r="D247" s="103">
        <v>100087724</v>
      </c>
      <c r="E247" s="89" t="s">
        <v>44</v>
      </c>
      <c r="F247" s="89">
        <v>100001196</v>
      </c>
      <c r="G247" s="128" t="s">
        <v>320</v>
      </c>
      <c r="H247" s="91">
        <v>205.8</v>
      </c>
      <c r="I247" s="92">
        <v>107.8</v>
      </c>
      <c r="J247" s="93">
        <v>176.39999999999998</v>
      </c>
      <c r="K247" s="94">
        <v>166.6</v>
      </c>
      <c r="L247" s="94">
        <v>156.80000000000001</v>
      </c>
      <c r="M247" s="129">
        <v>176.4</v>
      </c>
      <c r="N247" s="102">
        <f t="shared" si="6"/>
        <v>166.6</v>
      </c>
      <c r="O247" s="97">
        <v>88.200000000000017</v>
      </c>
      <c r="P247" s="92">
        <v>107.8</v>
      </c>
      <c r="Q247" s="98">
        <f t="shared" si="7"/>
        <v>196</v>
      </c>
      <c r="R247" s="102" t="str">
        <f>+IF(Q247+N247&lt;=0, "NO COMPRADOR", +IF(Q247&lt;=0, "SIN COMPRA "&amp;+UPPER(TEXT('DINAMICA ENERO 26'!$C$2,"mmm 'yy")), "COMPRADOR"))</f>
        <v>COMPRADOR</v>
      </c>
      <c r="T247" s="101"/>
    </row>
    <row r="248" spans="1:22" s="104" customFormat="1" ht="14">
      <c r="A248" s="88" t="s">
        <v>85</v>
      </c>
      <c r="B248" s="89" t="s">
        <v>315</v>
      </c>
      <c r="C248" s="89" t="s">
        <v>43</v>
      </c>
      <c r="D248" s="103">
        <v>100087724</v>
      </c>
      <c r="E248" s="89" t="s">
        <v>44</v>
      </c>
      <c r="F248" s="89">
        <v>100001979</v>
      </c>
      <c r="G248" s="128" t="s">
        <v>290</v>
      </c>
      <c r="H248" s="91">
        <v>58.8</v>
      </c>
      <c r="I248" s="92">
        <v>29.400000000000002</v>
      </c>
      <c r="J248" s="93">
        <v>29.400000000000002</v>
      </c>
      <c r="K248" s="94">
        <v>19.600000000000001</v>
      </c>
      <c r="L248" s="94">
        <v>49</v>
      </c>
      <c r="M248" s="129">
        <v>19.600000000000001</v>
      </c>
      <c r="N248" s="102">
        <f t="shared" si="6"/>
        <v>29.399999999999995</v>
      </c>
      <c r="O248" s="97">
        <v>39.200000000000003</v>
      </c>
      <c r="P248" s="92">
        <v>0</v>
      </c>
      <c r="Q248" s="98">
        <f t="shared" si="7"/>
        <v>39.200000000000003</v>
      </c>
      <c r="R248" s="102" t="str">
        <f>+IF(Q248+N248&lt;=0, "NO COMPRADOR", +IF(Q248&lt;=0, "SIN COMPRA "&amp;+UPPER(TEXT('DINAMICA ENERO 26'!$C$2,"mmm 'yy")), "COMPRADOR"))</f>
        <v>COMPRADOR</v>
      </c>
      <c r="S248" s="100"/>
      <c r="T248" s="101"/>
      <c r="U248" s="100"/>
      <c r="V248" s="100"/>
    </row>
    <row r="249" spans="1:22" s="104" customFormat="1" ht="14" hidden="1">
      <c r="A249" s="88" t="s">
        <v>85</v>
      </c>
      <c r="B249" s="89" t="s">
        <v>315</v>
      </c>
      <c r="C249" s="89" t="s">
        <v>43</v>
      </c>
      <c r="D249" s="103">
        <v>100087724</v>
      </c>
      <c r="E249" s="89" t="s">
        <v>44</v>
      </c>
      <c r="F249" s="89">
        <v>100002471</v>
      </c>
      <c r="G249" s="128" t="s">
        <v>338</v>
      </c>
      <c r="H249" s="91">
        <v>9.8000000000000007</v>
      </c>
      <c r="I249" s="92">
        <v>0</v>
      </c>
      <c r="J249" s="93">
        <v>0</v>
      </c>
      <c r="K249" s="94">
        <v>9.8000000000000007</v>
      </c>
      <c r="L249" s="94">
        <v>-9.8000000000000007</v>
      </c>
      <c r="M249" s="129">
        <v>0</v>
      </c>
      <c r="N249" s="102">
        <f t="shared" si="6"/>
        <v>0</v>
      </c>
      <c r="O249" s="97">
        <v>0</v>
      </c>
      <c r="P249" s="92">
        <v>0</v>
      </c>
      <c r="Q249" s="98">
        <f t="shared" si="7"/>
        <v>0</v>
      </c>
      <c r="R249" s="102" t="str">
        <f>+IF(Q249+N249&lt;=0, "NO COMPRADOR", +IF(Q249&lt;=0, "SIN COMPRA "&amp;+UPPER(TEXT('DINAMICA ENERO 26'!$C$2,"mmm 'yy")), "COMPRADOR"))</f>
        <v>NO COMPRADOR</v>
      </c>
      <c r="S249" s="100"/>
      <c r="T249" s="101"/>
      <c r="U249" s="100"/>
      <c r="V249" s="100"/>
    </row>
    <row r="250" spans="1:22" s="100" customFormat="1" ht="14" hidden="1">
      <c r="A250" s="88" t="s">
        <v>85</v>
      </c>
      <c r="B250" s="89" t="s">
        <v>315</v>
      </c>
      <c r="C250" s="89" t="s">
        <v>43</v>
      </c>
      <c r="D250" s="103">
        <v>100087724</v>
      </c>
      <c r="E250" s="89" t="s">
        <v>44</v>
      </c>
      <c r="F250" s="89">
        <v>100005866</v>
      </c>
      <c r="G250" s="128" t="s">
        <v>339</v>
      </c>
      <c r="H250" s="91">
        <v>39.200000000000003</v>
      </c>
      <c r="I250" s="92">
        <v>0</v>
      </c>
      <c r="J250" s="93">
        <v>19.600000000000001</v>
      </c>
      <c r="K250" s="94">
        <v>19.600000000000001</v>
      </c>
      <c r="L250" s="94">
        <v>19.600000000000001</v>
      </c>
      <c r="M250" s="129">
        <v>0</v>
      </c>
      <c r="N250" s="102">
        <f t="shared" si="6"/>
        <v>13.066666666666668</v>
      </c>
      <c r="O250" s="97">
        <v>0</v>
      </c>
      <c r="P250" s="92">
        <v>0</v>
      </c>
      <c r="Q250" s="98">
        <f t="shared" si="7"/>
        <v>0</v>
      </c>
      <c r="R250" s="102" t="str">
        <f>+IF(Q250+N250&lt;=0, "NO COMPRADOR", +IF(Q250&lt;=0, "SIN COMPRA "&amp;+UPPER(TEXT('DINAMICA ENERO 26'!$C$2,"mmm 'yy")), "COMPRADOR"))</f>
        <v>SIN COMPRA FEB '26</v>
      </c>
      <c r="T250" s="101"/>
    </row>
    <row r="251" spans="1:22" s="104" customFormat="1" ht="14" hidden="1">
      <c r="A251" s="88" t="s">
        <v>85</v>
      </c>
      <c r="B251" s="89" t="s">
        <v>315</v>
      </c>
      <c r="C251" s="89" t="s">
        <v>43</v>
      </c>
      <c r="D251" s="103">
        <v>100087724</v>
      </c>
      <c r="E251" s="89" t="s">
        <v>44</v>
      </c>
      <c r="F251" s="89">
        <v>100025209</v>
      </c>
      <c r="G251" s="128" t="s">
        <v>340</v>
      </c>
      <c r="H251" s="91">
        <v>1617</v>
      </c>
      <c r="I251" s="92">
        <v>2597</v>
      </c>
      <c r="J251" s="93">
        <v>19.600000000000001</v>
      </c>
      <c r="K251" s="94">
        <v>1029</v>
      </c>
      <c r="L251" s="94">
        <v>931</v>
      </c>
      <c r="M251" s="129">
        <v>980.00000000000011</v>
      </c>
      <c r="N251" s="102">
        <f t="shared" si="6"/>
        <v>980</v>
      </c>
      <c r="O251" s="97">
        <v>1470.0000000000002</v>
      </c>
      <c r="P251" s="92">
        <v>0</v>
      </c>
      <c r="Q251" s="98">
        <f t="shared" si="7"/>
        <v>1470.0000000000002</v>
      </c>
      <c r="R251" s="102" t="str">
        <f>+IF(Q251+N251&lt;=0, "NO COMPRADOR", +IF(Q251&lt;=0, "SIN COMPRA "&amp;+UPPER(TEXT('DINAMICA ENERO 26'!$C$2,"mmm 'yy")), "COMPRADOR"))</f>
        <v>COMPRADOR</v>
      </c>
      <c r="S251" s="100"/>
      <c r="T251" s="101"/>
      <c r="U251" s="100"/>
      <c r="V251" s="100"/>
    </row>
    <row r="252" spans="1:22" s="100" customFormat="1" ht="14" hidden="1">
      <c r="A252" s="88" t="s">
        <v>85</v>
      </c>
      <c r="B252" s="89" t="s">
        <v>315</v>
      </c>
      <c r="C252" s="89" t="s">
        <v>43</v>
      </c>
      <c r="D252" s="103">
        <v>100087724</v>
      </c>
      <c r="E252" s="89" t="s">
        <v>44</v>
      </c>
      <c r="F252" s="89">
        <v>100087941</v>
      </c>
      <c r="G252" s="128" t="s">
        <v>341</v>
      </c>
      <c r="H252" s="91">
        <v>9.8000000000000007</v>
      </c>
      <c r="I252" s="92">
        <v>9.8000000000000007</v>
      </c>
      <c r="J252" s="93">
        <v>9.8000000000000007</v>
      </c>
      <c r="K252" s="94">
        <v>9.8000000000000007</v>
      </c>
      <c r="L252" s="94">
        <v>9.8000000000000007</v>
      </c>
      <c r="M252" s="129">
        <v>9.8000000000000007</v>
      </c>
      <c r="N252" s="102">
        <f t="shared" si="6"/>
        <v>9.8000000000000007</v>
      </c>
      <c r="O252" s="97">
        <v>0</v>
      </c>
      <c r="P252" s="92">
        <v>0</v>
      </c>
      <c r="Q252" s="98">
        <f t="shared" si="7"/>
        <v>0</v>
      </c>
      <c r="R252" s="102" t="str">
        <f>+IF(Q252+N252&lt;=0, "NO COMPRADOR", +IF(Q252&lt;=0, "SIN COMPRA "&amp;+UPPER(TEXT('DINAMICA ENERO 26'!$C$2,"mmm 'yy")), "COMPRADOR"))</f>
        <v>SIN COMPRA FEB '26</v>
      </c>
      <c r="T252" s="101"/>
    </row>
    <row r="253" spans="1:22" s="100" customFormat="1" ht="14" hidden="1">
      <c r="A253" s="88" t="s">
        <v>85</v>
      </c>
      <c r="B253" s="89" t="s">
        <v>315</v>
      </c>
      <c r="C253" s="89" t="s">
        <v>43</v>
      </c>
      <c r="D253" s="103">
        <v>100087724</v>
      </c>
      <c r="E253" s="89" t="s">
        <v>44</v>
      </c>
      <c r="F253" s="89">
        <v>100067528</v>
      </c>
      <c r="G253" s="128" t="s">
        <v>342</v>
      </c>
      <c r="H253" s="91">
        <v>9.8000000000000007</v>
      </c>
      <c r="I253" s="92">
        <v>49</v>
      </c>
      <c r="J253" s="93">
        <v>19.600000000000001</v>
      </c>
      <c r="K253" s="94">
        <v>9.8000000000000007</v>
      </c>
      <c r="L253" s="94">
        <v>9.8000000000000007</v>
      </c>
      <c r="M253" s="129">
        <v>9.8000000000000007</v>
      </c>
      <c r="N253" s="102">
        <f t="shared" si="6"/>
        <v>9.8000000000000007</v>
      </c>
      <c r="O253" s="97">
        <v>9.8000000000000007</v>
      </c>
      <c r="P253" s="92">
        <v>0</v>
      </c>
      <c r="Q253" s="98">
        <f t="shared" si="7"/>
        <v>9.8000000000000007</v>
      </c>
      <c r="R253" s="102" t="str">
        <f>+IF(Q253+N253&lt;=0, "NO COMPRADOR", +IF(Q253&lt;=0, "SIN COMPRA "&amp;+UPPER(TEXT('DINAMICA ENERO 26'!$C$2,"mmm 'yy")), "COMPRADOR"))</f>
        <v>COMPRADOR</v>
      </c>
      <c r="T253" s="101"/>
    </row>
    <row r="254" spans="1:22" s="100" customFormat="1" ht="14" hidden="1">
      <c r="A254" s="88" t="s">
        <v>85</v>
      </c>
      <c r="B254" s="89" t="s">
        <v>315</v>
      </c>
      <c r="C254" s="89" t="s">
        <v>43</v>
      </c>
      <c r="D254" s="103">
        <v>100087724</v>
      </c>
      <c r="E254" s="89" t="s">
        <v>44</v>
      </c>
      <c r="F254" s="89">
        <v>100087924</v>
      </c>
      <c r="G254" s="128" t="s">
        <v>343</v>
      </c>
      <c r="H254" s="91">
        <v>0</v>
      </c>
      <c r="I254" s="92">
        <v>9.8000000000000007</v>
      </c>
      <c r="J254" s="93">
        <v>9.8000000000000007</v>
      </c>
      <c r="K254" s="94">
        <v>9.8000000000000007</v>
      </c>
      <c r="L254" s="94">
        <v>9.8000000000000007</v>
      </c>
      <c r="M254" s="129">
        <v>0</v>
      </c>
      <c r="N254" s="102">
        <f t="shared" si="6"/>
        <v>6.5333333333333341</v>
      </c>
      <c r="O254" s="97">
        <v>0</v>
      </c>
      <c r="P254" s="92">
        <v>0</v>
      </c>
      <c r="Q254" s="98">
        <f t="shared" si="7"/>
        <v>0</v>
      </c>
      <c r="R254" s="102" t="str">
        <f>+IF(Q254+N254&lt;=0, "NO COMPRADOR", +IF(Q254&lt;=0, "SIN COMPRA "&amp;+UPPER(TEXT('DINAMICA ENERO 26'!$C$2,"mmm 'yy")), "COMPRADOR"))</f>
        <v>SIN COMPRA FEB '26</v>
      </c>
      <c r="T254" s="101"/>
    </row>
    <row r="255" spans="1:22" s="100" customFormat="1" ht="14" hidden="1">
      <c r="A255" s="88" t="s">
        <v>85</v>
      </c>
      <c r="B255" s="89" t="s">
        <v>315</v>
      </c>
      <c r="C255" s="89" t="s">
        <v>43</v>
      </c>
      <c r="D255" s="103">
        <v>100087724</v>
      </c>
      <c r="E255" s="89" t="s">
        <v>44</v>
      </c>
      <c r="F255" s="89">
        <v>100069181</v>
      </c>
      <c r="G255" s="128" t="s">
        <v>344</v>
      </c>
      <c r="H255" s="91">
        <v>58.8</v>
      </c>
      <c r="I255" s="92">
        <v>98</v>
      </c>
      <c r="J255" s="93">
        <v>9.8000000000000007</v>
      </c>
      <c r="K255" s="94">
        <v>9.8000000000000007</v>
      </c>
      <c r="L255" s="94">
        <v>68.600000000000009</v>
      </c>
      <c r="M255" s="129">
        <v>98</v>
      </c>
      <c r="N255" s="102">
        <f t="shared" si="6"/>
        <v>58.800000000000004</v>
      </c>
      <c r="O255" s="97">
        <v>0</v>
      </c>
      <c r="P255" s="92">
        <v>0</v>
      </c>
      <c r="Q255" s="98">
        <f t="shared" si="7"/>
        <v>0</v>
      </c>
      <c r="R255" s="102" t="str">
        <f>+IF(Q255+N255&lt;=0, "NO COMPRADOR", +IF(Q255&lt;=0, "SIN COMPRA "&amp;+UPPER(TEXT('DINAMICA ENERO 26'!$C$2,"mmm 'yy")), "COMPRADOR"))</f>
        <v>SIN COMPRA FEB '26</v>
      </c>
      <c r="T255" s="101"/>
    </row>
    <row r="256" spans="1:22" s="104" customFormat="1" ht="14" hidden="1">
      <c r="A256" s="88" t="s">
        <v>85</v>
      </c>
      <c r="B256" s="89" t="s">
        <v>315</v>
      </c>
      <c r="C256" s="89" t="s">
        <v>43</v>
      </c>
      <c r="D256" s="103">
        <v>100087724</v>
      </c>
      <c r="E256" s="89" t="s">
        <v>44</v>
      </c>
      <c r="F256" s="89">
        <v>100070616</v>
      </c>
      <c r="G256" s="128" t="s">
        <v>345</v>
      </c>
      <c r="H256" s="91">
        <v>9.8000000000000007</v>
      </c>
      <c r="I256" s="92">
        <v>19.600000000000001</v>
      </c>
      <c r="J256" s="93">
        <v>9.8000000000000007</v>
      </c>
      <c r="K256" s="94">
        <v>29.400000000000002</v>
      </c>
      <c r="L256" s="94">
        <v>29.400000000000002</v>
      </c>
      <c r="M256" s="129">
        <v>9.8000000000000007</v>
      </c>
      <c r="N256" s="102">
        <f t="shared" si="6"/>
        <v>22.866666666666671</v>
      </c>
      <c r="O256" s="97">
        <v>0</v>
      </c>
      <c r="P256" s="92">
        <v>0</v>
      </c>
      <c r="Q256" s="98">
        <f t="shared" si="7"/>
        <v>0</v>
      </c>
      <c r="R256" s="102" t="str">
        <f>+IF(Q256+N256&lt;=0, "NO COMPRADOR", +IF(Q256&lt;=0, "SIN COMPRA "&amp;+UPPER(TEXT('DINAMICA ENERO 26'!$C$2,"mmm 'yy")), "COMPRADOR"))</f>
        <v>SIN COMPRA FEB '26</v>
      </c>
      <c r="S256" s="100"/>
      <c r="T256" s="101"/>
      <c r="U256" s="100"/>
      <c r="V256" s="100"/>
    </row>
    <row r="257" spans="1:22" s="104" customFormat="1" ht="14" hidden="1">
      <c r="A257" s="88" t="s">
        <v>85</v>
      </c>
      <c r="B257" s="89" t="s">
        <v>315</v>
      </c>
      <c r="C257" s="89" t="s">
        <v>43</v>
      </c>
      <c r="D257" s="103">
        <v>100087724</v>
      </c>
      <c r="E257" s="89" t="s">
        <v>44</v>
      </c>
      <c r="F257" s="89">
        <v>100079876</v>
      </c>
      <c r="G257" s="128" t="s">
        <v>346</v>
      </c>
      <c r="H257" s="91">
        <v>117.6</v>
      </c>
      <c r="I257" s="92">
        <v>49</v>
      </c>
      <c r="J257" s="93">
        <v>117.6</v>
      </c>
      <c r="K257" s="94">
        <v>29.400000000000002</v>
      </c>
      <c r="L257" s="94">
        <v>49</v>
      </c>
      <c r="M257" s="129">
        <v>107.79999999999998</v>
      </c>
      <c r="N257" s="102">
        <f t="shared" si="6"/>
        <v>62.066666666666663</v>
      </c>
      <c r="O257" s="97">
        <v>49</v>
      </c>
      <c r="P257" s="92">
        <v>0</v>
      </c>
      <c r="Q257" s="98">
        <f t="shared" si="7"/>
        <v>49</v>
      </c>
      <c r="R257" s="102" t="str">
        <f>+IF(Q257+N257&lt;=0, "NO COMPRADOR", +IF(Q257&lt;=0, "SIN COMPRA "&amp;+UPPER(TEXT('DINAMICA ENERO 26'!$C$2,"mmm 'yy")), "COMPRADOR"))</f>
        <v>COMPRADOR</v>
      </c>
      <c r="S257" s="100"/>
      <c r="T257" s="101"/>
      <c r="U257" s="100"/>
      <c r="V257" s="100"/>
    </row>
    <row r="258" spans="1:22" s="104" customFormat="1" ht="14" hidden="1">
      <c r="A258" s="88" t="s">
        <v>85</v>
      </c>
      <c r="B258" s="89" t="s">
        <v>315</v>
      </c>
      <c r="C258" s="89" t="s">
        <v>43</v>
      </c>
      <c r="D258" s="103">
        <v>100087724</v>
      </c>
      <c r="E258" s="89" t="s">
        <v>44</v>
      </c>
      <c r="F258" s="89">
        <v>100081157</v>
      </c>
      <c r="G258" s="128" t="s">
        <v>347</v>
      </c>
      <c r="H258" s="91">
        <v>9.8000000000000007</v>
      </c>
      <c r="I258" s="92">
        <v>9.8000000000000007</v>
      </c>
      <c r="J258" s="93">
        <v>19.600000000000001</v>
      </c>
      <c r="K258" s="94">
        <v>19.600000000000001</v>
      </c>
      <c r="L258" s="94">
        <v>9.8000000000000007</v>
      </c>
      <c r="M258" s="129">
        <v>9.8000000000000007</v>
      </c>
      <c r="N258" s="102">
        <f t="shared" si="6"/>
        <v>13.066666666666668</v>
      </c>
      <c r="O258" s="97">
        <v>9.8000000000000007</v>
      </c>
      <c r="P258" s="92">
        <v>0</v>
      </c>
      <c r="Q258" s="98">
        <f t="shared" si="7"/>
        <v>9.8000000000000007</v>
      </c>
      <c r="R258" s="102" t="str">
        <f>+IF(Q258+N258&lt;=0, "NO COMPRADOR", +IF(Q258&lt;=0, "SIN COMPRA "&amp;+UPPER(TEXT('DINAMICA ENERO 26'!$C$2,"mmm 'yy")), "COMPRADOR"))</f>
        <v>COMPRADOR</v>
      </c>
      <c r="S258" s="100"/>
      <c r="T258" s="101"/>
      <c r="U258" s="100"/>
      <c r="V258" s="100"/>
    </row>
    <row r="259" spans="1:22" s="100" customFormat="1" ht="14" hidden="1">
      <c r="A259" s="88" t="s">
        <v>85</v>
      </c>
      <c r="B259" s="89" t="s">
        <v>315</v>
      </c>
      <c r="C259" s="89" t="s">
        <v>43</v>
      </c>
      <c r="D259" s="103">
        <v>100087724</v>
      </c>
      <c r="E259" s="89" t="s">
        <v>44</v>
      </c>
      <c r="F259" s="89">
        <v>100083001</v>
      </c>
      <c r="G259" s="128" t="s">
        <v>348</v>
      </c>
      <c r="H259" s="91">
        <v>49</v>
      </c>
      <c r="I259" s="92">
        <v>29.400000000000002</v>
      </c>
      <c r="J259" s="93">
        <v>49</v>
      </c>
      <c r="K259" s="94">
        <v>29.400000000000002</v>
      </c>
      <c r="L259" s="94">
        <v>39.200000000000003</v>
      </c>
      <c r="M259" s="129">
        <v>68.599999999999994</v>
      </c>
      <c r="N259" s="102">
        <f t="shared" ref="N259:N322" si="8">+AVERAGE(K259:M259)</f>
        <v>45.733333333333327</v>
      </c>
      <c r="O259" s="97">
        <v>49</v>
      </c>
      <c r="P259" s="92">
        <v>0</v>
      </c>
      <c r="Q259" s="98">
        <f t="shared" si="7"/>
        <v>49</v>
      </c>
      <c r="R259" s="102" t="str">
        <f>+IF(Q259+N259&lt;=0, "NO COMPRADOR", +IF(Q259&lt;=0, "SIN COMPRA "&amp;+UPPER(TEXT('DINAMICA ENERO 26'!$C$2,"mmm 'yy")), "COMPRADOR"))</f>
        <v>COMPRADOR</v>
      </c>
      <c r="T259" s="101"/>
    </row>
    <row r="260" spans="1:22" s="100" customFormat="1" ht="14" hidden="1">
      <c r="A260" s="88" t="s">
        <v>85</v>
      </c>
      <c r="B260" s="89" t="s">
        <v>315</v>
      </c>
      <c r="C260" s="89" t="s">
        <v>43</v>
      </c>
      <c r="D260" s="103">
        <v>100087724</v>
      </c>
      <c r="E260" s="89" t="s">
        <v>44</v>
      </c>
      <c r="F260" s="89">
        <v>100084045</v>
      </c>
      <c r="G260" s="128" t="s">
        <v>349</v>
      </c>
      <c r="H260" s="91">
        <v>352.8</v>
      </c>
      <c r="I260" s="92">
        <v>49</v>
      </c>
      <c r="J260" s="93">
        <v>9.8000000000000007</v>
      </c>
      <c r="K260" s="94">
        <v>107.8</v>
      </c>
      <c r="L260" s="94">
        <v>147</v>
      </c>
      <c r="M260" s="129">
        <v>98</v>
      </c>
      <c r="N260" s="102">
        <f t="shared" si="8"/>
        <v>117.60000000000001</v>
      </c>
      <c r="O260" s="97">
        <v>294</v>
      </c>
      <c r="P260" s="92">
        <v>0</v>
      </c>
      <c r="Q260" s="98">
        <f t="shared" ref="Q260:Q323" si="9">+O260+P260</f>
        <v>294</v>
      </c>
      <c r="R260" s="102" t="str">
        <f>+IF(Q260+N260&lt;=0, "NO COMPRADOR", +IF(Q260&lt;=0, "SIN COMPRA "&amp;+UPPER(TEXT('DINAMICA ENERO 26'!$C$2,"mmm 'yy")), "COMPRADOR"))</f>
        <v>COMPRADOR</v>
      </c>
      <c r="T260" s="101"/>
    </row>
    <row r="261" spans="1:22" s="104" customFormat="1" ht="14" hidden="1">
      <c r="A261" s="88" t="s">
        <v>85</v>
      </c>
      <c r="B261" s="89" t="s">
        <v>315</v>
      </c>
      <c r="C261" s="89" t="s">
        <v>43</v>
      </c>
      <c r="D261" s="103">
        <v>100087724</v>
      </c>
      <c r="E261" s="89" t="s">
        <v>44</v>
      </c>
      <c r="F261" s="89">
        <v>100087681</v>
      </c>
      <c r="G261" s="128" t="s">
        <v>350</v>
      </c>
      <c r="H261" s="91">
        <v>196</v>
      </c>
      <c r="I261" s="92">
        <v>98</v>
      </c>
      <c r="J261" s="93">
        <v>98</v>
      </c>
      <c r="K261" s="94">
        <v>196</v>
      </c>
      <c r="L261" s="94">
        <v>98</v>
      </c>
      <c r="M261" s="129">
        <v>147</v>
      </c>
      <c r="N261" s="102">
        <f t="shared" si="8"/>
        <v>147</v>
      </c>
      <c r="O261" s="97">
        <v>98</v>
      </c>
      <c r="P261" s="92">
        <v>0</v>
      </c>
      <c r="Q261" s="98">
        <f t="shared" si="9"/>
        <v>98</v>
      </c>
      <c r="R261" s="102" t="str">
        <f>+IF(Q261+N261&lt;=0, "NO COMPRADOR", +IF(Q261&lt;=0, "SIN COMPRA "&amp;+UPPER(TEXT('DINAMICA ENERO 26'!$C$2,"mmm 'yy")), "COMPRADOR"))</f>
        <v>COMPRADOR</v>
      </c>
      <c r="S261" s="100"/>
      <c r="T261" s="101"/>
      <c r="U261" s="100"/>
      <c r="V261" s="100"/>
    </row>
    <row r="262" spans="1:22" s="100" customFormat="1" ht="14" hidden="1">
      <c r="A262" s="88" t="s">
        <v>85</v>
      </c>
      <c r="B262" s="89" t="s">
        <v>351</v>
      </c>
      <c r="C262" s="89" t="s">
        <v>43</v>
      </c>
      <c r="D262" s="103">
        <v>100070275</v>
      </c>
      <c r="E262" s="89" t="s">
        <v>47</v>
      </c>
      <c r="F262" s="89">
        <v>100079420</v>
      </c>
      <c r="G262" s="128" t="s">
        <v>352</v>
      </c>
      <c r="H262" s="91">
        <v>58.800000000000004</v>
      </c>
      <c r="I262" s="92">
        <v>107.80000000000001</v>
      </c>
      <c r="J262" s="93">
        <v>107.80000000000001</v>
      </c>
      <c r="K262" s="94">
        <v>39.200000000000003</v>
      </c>
      <c r="L262" s="94">
        <v>39.200000000000003</v>
      </c>
      <c r="M262" s="129">
        <v>49</v>
      </c>
      <c r="N262" s="102">
        <f t="shared" si="8"/>
        <v>42.466666666666669</v>
      </c>
      <c r="O262" s="97">
        <v>49</v>
      </c>
      <c r="P262" s="92">
        <v>0</v>
      </c>
      <c r="Q262" s="98">
        <f t="shared" si="9"/>
        <v>49</v>
      </c>
      <c r="R262" s="102" t="str">
        <f>+IF(Q262+N262&lt;=0, "NO COMPRADOR", +IF(Q262&lt;=0, "SIN COMPRA "&amp;+UPPER(TEXT('DINAMICA ENERO 26'!$C$2,"mmm 'yy")), "COMPRADOR"))</f>
        <v>COMPRADOR</v>
      </c>
      <c r="T262" s="101"/>
    </row>
    <row r="263" spans="1:22" s="104" customFormat="1" ht="14" hidden="1">
      <c r="A263" s="88" t="s">
        <v>85</v>
      </c>
      <c r="B263" s="89" t="s">
        <v>351</v>
      </c>
      <c r="C263" s="89" t="s">
        <v>43</v>
      </c>
      <c r="D263" s="103">
        <v>100070275</v>
      </c>
      <c r="E263" s="89" t="s">
        <v>47</v>
      </c>
      <c r="F263" s="89">
        <v>100078680</v>
      </c>
      <c r="G263" s="128" t="s">
        <v>353</v>
      </c>
      <c r="H263" s="91">
        <v>0</v>
      </c>
      <c r="I263" s="92">
        <v>0</v>
      </c>
      <c r="J263" s="93">
        <v>0</v>
      </c>
      <c r="K263" s="94">
        <v>0</v>
      </c>
      <c r="L263" s="94">
        <v>0</v>
      </c>
      <c r="M263" s="129">
        <v>0</v>
      </c>
      <c r="N263" s="102">
        <f t="shared" si="8"/>
        <v>0</v>
      </c>
      <c r="O263" s="97">
        <v>0</v>
      </c>
      <c r="P263" s="92">
        <v>0</v>
      </c>
      <c r="Q263" s="98">
        <f t="shared" si="9"/>
        <v>0</v>
      </c>
      <c r="R263" s="102" t="str">
        <f>+IF(Q263+N263&lt;=0, "NO COMPRADOR", +IF(Q263&lt;=0, "SIN COMPRA "&amp;+UPPER(TEXT('DINAMICA ENERO 26'!$C$2,"mmm 'yy")), "COMPRADOR"))</f>
        <v>NO COMPRADOR</v>
      </c>
      <c r="S263" s="100"/>
      <c r="T263" s="101"/>
      <c r="U263" s="100"/>
      <c r="V263" s="100"/>
    </row>
    <row r="264" spans="1:22" s="100" customFormat="1" ht="14" hidden="1">
      <c r="A264" s="88" t="s">
        <v>85</v>
      </c>
      <c r="B264" s="89" t="s">
        <v>351</v>
      </c>
      <c r="C264" s="89" t="s">
        <v>43</v>
      </c>
      <c r="D264" s="103">
        <v>100070275</v>
      </c>
      <c r="E264" s="89" t="s">
        <v>47</v>
      </c>
      <c r="F264" s="89">
        <v>100064271</v>
      </c>
      <c r="G264" s="128" t="s">
        <v>354</v>
      </c>
      <c r="H264" s="91">
        <v>19.600000000000001</v>
      </c>
      <c r="I264" s="92">
        <v>9.8000000000000007</v>
      </c>
      <c r="J264" s="93">
        <v>9.8000000000000007</v>
      </c>
      <c r="K264" s="94">
        <v>0</v>
      </c>
      <c r="L264" s="94">
        <v>0</v>
      </c>
      <c r="M264" s="129">
        <v>0</v>
      </c>
      <c r="N264" s="102">
        <f t="shared" si="8"/>
        <v>0</v>
      </c>
      <c r="O264" s="97">
        <v>9.8000000000000007</v>
      </c>
      <c r="P264" s="92">
        <v>0</v>
      </c>
      <c r="Q264" s="98">
        <f t="shared" si="9"/>
        <v>9.8000000000000007</v>
      </c>
      <c r="R264" s="102" t="str">
        <f>+IF(Q264+N264&lt;=0, "NO COMPRADOR", +IF(Q264&lt;=0, "SIN COMPRA "&amp;+UPPER(TEXT('DINAMICA ENERO 26'!$C$2,"mmm 'yy")), "COMPRADOR"))</f>
        <v>COMPRADOR</v>
      </c>
      <c r="T264" s="101"/>
    </row>
    <row r="265" spans="1:22" s="104" customFormat="1" ht="14" hidden="1">
      <c r="A265" s="88" t="s">
        <v>85</v>
      </c>
      <c r="B265" s="89" t="s">
        <v>351</v>
      </c>
      <c r="C265" s="89" t="s">
        <v>43</v>
      </c>
      <c r="D265" s="103">
        <v>100070275</v>
      </c>
      <c r="E265" s="89" t="s">
        <v>47</v>
      </c>
      <c r="F265" s="89">
        <v>100069359</v>
      </c>
      <c r="G265" s="128" t="s">
        <v>355</v>
      </c>
      <c r="H265" s="91">
        <v>49</v>
      </c>
      <c r="I265" s="92">
        <v>9.8000000000000007</v>
      </c>
      <c r="J265" s="93">
        <v>196</v>
      </c>
      <c r="K265" s="94">
        <v>0</v>
      </c>
      <c r="L265" s="94">
        <v>9.8000000000000007</v>
      </c>
      <c r="M265" s="129">
        <v>0</v>
      </c>
      <c r="N265" s="102">
        <f t="shared" si="8"/>
        <v>3.2666666666666671</v>
      </c>
      <c r="O265" s="97">
        <v>0</v>
      </c>
      <c r="P265" s="92">
        <v>0</v>
      </c>
      <c r="Q265" s="98">
        <f t="shared" si="9"/>
        <v>0</v>
      </c>
      <c r="R265" s="102" t="str">
        <f>+IF(Q265+N265&lt;=0, "NO COMPRADOR", +IF(Q265&lt;=0, "SIN COMPRA "&amp;+UPPER(TEXT('DINAMICA ENERO 26'!$C$2,"mmm 'yy")), "COMPRADOR"))</f>
        <v>SIN COMPRA FEB '26</v>
      </c>
      <c r="S265" s="100"/>
      <c r="T265" s="101"/>
      <c r="U265" s="100"/>
      <c r="V265" s="100"/>
    </row>
    <row r="266" spans="1:22" s="104" customFormat="1" ht="14" hidden="1">
      <c r="A266" s="88" t="s">
        <v>85</v>
      </c>
      <c r="B266" s="89" t="s">
        <v>351</v>
      </c>
      <c r="C266" s="89" t="s">
        <v>43</v>
      </c>
      <c r="D266" s="103">
        <v>100070275</v>
      </c>
      <c r="E266" s="89" t="s">
        <v>47</v>
      </c>
      <c r="F266" s="89">
        <v>100078132</v>
      </c>
      <c r="G266" s="128" t="s">
        <v>356</v>
      </c>
      <c r="H266" s="91">
        <v>58.8</v>
      </c>
      <c r="I266" s="92">
        <v>147</v>
      </c>
      <c r="J266" s="93">
        <v>9.8000000000000007</v>
      </c>
      <c r="K266" s="94">
        <v>49</v>
      </c>
      <c r="L266" s="94">
        <v>39.200000000000003</v>
      </c>
      <c r="M266" s="129">
        <v>68.599999999999994</v>
      </c>
      <c r="N266" s="102">
        <f t="shared" si="8"/>
        <v>52.266666666666673</v>
      </c>
      <c r="O266" s="97">
        <v>39.200000000000003</v>
      </c>
      <c r="P266" s="92">
        <v>0</v>
      </c>
      <c r="Q266" s="98">
        <f t="shared" si="9"/>
        <v>39.200000000000003</v>
      </c>
      <c r="R266" s="102" t="str">
        <f>+IF(Q266+N266&lt;=0, "NO COMPRADOR", +IF(Q266&lt;=0, "SIN COMPRA "&amp;+UPPER(TEXT('DINAMICA ENERO 26'!$C$2,"mmm 'yy")), "COMPRADOR"))</f>
        <v>COMPRADOR</v>
      </c>
      <c r="S266" s="100"/>
      <c r="T266" s="101"/>
      <c r="U266" s="100"/>
      <c r="V266" s="100"/>
    </row>
    <row r="267" spans="1:22" s="104" customFormat="1" ht="14" hidden="1">
      <c r="A267" s="88" t="s">
        <v>85</v>
      </c>
      <c r="B267" s="89" t="s">
        <v>351</v>
      </c>
      <c r="C267" s="89" t="s">
        <v>43</v>
      </c>
      <c r="D267" s="103">
        <v>100070275</v>
      </c>
      <c r="E267" s="89" t="s">
        <v>47</v>
      </c>
      <c r="F267" s="89">
        <v>100023921</v>
      </c>
      <c r="G267" s="128" t="s">
        <v>357</v>
      </c>
      <c r="H267" s="91">
        <v>29.400000000000002</v>
      </c>
      <c r="I267" s="92">
        <v>0</v>
      </c>
      <c r="J267" s="93">
        <v>9.8000000000000007</v>
      </c>
      <c r="K267" s="94">
        <v>0</v>
      </c>
      <c r="L267" s="94">
        <v>9.8000000000000007</v>
      </c>
      <c r="M267" s="129">
        <v>0</v>
      </c>
      <c r="N267" s="102">
        <f t="shared" si="8"/>
        <v>3.2666666666666671</v>
      </c>
      <c r="O267" s="97">
        <v>-9.8000000000000007</v>
      </c>
      <c r="P267" s="92">
        <v>0</v>
      </c>
      <c r="Q267" s="98">
        <f t="shared" si="9"/>
        <v>-9.8000000000000007</v>
      </c>
      <c r="R267" s="102" t="str">
        <f>+IF(Q267+N267&lt;=0, "NO COMPRADOR", +IF(Q267&lt;=0, "SIN COMPRA "&amp;+UPPER(TEXT('DINAMICA ENERO 26'!$C$2,"mmm 'yy")), "COMPRADOR"))</f>
        <v>NO COMPRADOR</v>
      </c>
      <c r="S267" s="100"/>
      <c r="T267" s="101"/>
      <c r="U267" s="100"/>
      <c r="V267" s="100"/>
    </row>
    <row r="268" spans="1:22" s="100" customFormat="1" ht="14" hidden="1">
      <c r="A268" s="88" t="s">
        <v>85</v>
      </c>
      <c r="B268" s="89" t="s">
        <v>351</v>
      </c>
      <c r="C268" s="89" t="s">
        <v>43</v>
      </c>
      <c r="D268" s="103">
        <v>100070275</v>
      </c>
      <c r="E268" s="89" t="s">
        <v>47</v>
      </c>
      <c r="F268" s="89">
        <v>100082844</v>
      </c>
      <c r="G268" s="128" t="s">
        <v>358</v>
      </c>
      <c r="H268" s="91">
        <v>588</v>
      </c>
      <c r="I268" s="92">
        <v>490</v>
      </c>
      <c r="J268" s="93">
        <v>196</v>
      </c>
      <c r="K268" s="94">
        <v>490</v>
      </c>
      <c r="L268" s="94">
        <v>343</v>
      </c>
      <c r="M268" s="129">
        <v>245</v>
      </c>
      <c r="N268" s="102">
        <f t="shared" si="8"/>
        <v>359.33333333333331</v>
      </c>
      <c r="O268" s="97">
        <v>0</v>
      </c>
      <c r="P268" s="92">
        <v>0</v>
      </c>
      <c r="Q268" s="98">
        <f t="shared" si="9"/>
        <v>0</v>
      </c>
      <c r="R268" s="102" t="str">
        <f>+IF(Q268+N268&lt;=0, "NO COMPRADOR", +IF(Q268&lt;=0, "SIN COMPRA "&amp;+UPPER(TEXT('DINAMICA ENERO 26'!$C$2,"mmm 'yy")), "COMPRADOR"))</f>
        <v>SIN COMPRA FEB '26</v>
      </c>
      <c r="T268" s="101"/>
    </row>
    <row r="269" spans="1:22" s="104" customFormat="1" ht="14" hidden="1">
      <c r="A269" s="88" t="s">
        <v>85</v>
      </c>
      <c r="B269" s="89" t="s">
        <v>351</v>
      </c>
      <c r="C269" s="89" t="s">
        <v>43</v>
      </c>
      <c r="D269" s="103">
        <v>100070275</v>
      </c>
      <c r="E269" s="89" t="s">
        <v>47</v>
      </c>
      <c r="F269" s="89">
        <v>100001577</v>
      </c>
      <c r="G269" s="128" t="s">
        <v>359</v>
      </c>
      <c r="H269" s="91">
        <v>98</v>
      </c>
      <c r="I269" s="92">
        <v>0</v>
      </c>
      <c r="J269" s="93">
        <v>39.200000000000003</v>
      </c>
      <c r="K269" s="94">
        <v>0</v>
      </c>
      <c r="L269" s="94">
        <v>0</v>
      </c>
      <c r="M269" s="129">
        <v>0</v>
      </c>
      <c r="N269" s="102">
        <f t="shared" si="8"/>
        <v>0</v>
      </c>
      <c r="O269" s="97">
        <v>29.400000000000002</v>
      </c>
      <c r="P269" s="92">
        <v>0</v>
      </c>
      <c r="Q269" s="98">
        <f t="shared" si="9"/>
        <v>29.400000000000002</v>
      </c>
      <c r="R269" s="102" t="str">
        <f>+IF(Q269+N269&lt;=0, "NO COMPRADOR", +IF(Q269&lt;=0, "SIN COMPRA "&amp;+UPPER(TEXT('DINAMICA ENERO 26'!$C$2,"mmm 'yy")), "COMPRADOR"))</f>
        <v>COMPRADOR</v>
      </c>
      <c r="S269" s="100"/>
      <c r="T269" s="101"/>
      <c r="U269" s="100"/>
      <c r="V269" s="100"/>
    </row>
    <row r="270" spans="1:22" s="100" customFormat="1" ht="14" hidden="1">
      <c r="A270" s="88" t="s">
        <v>85</v>
      </c>
      <c r="B270" s="89" t="s">
        <v>351</v>
      </c>
      <c r="C270" s="89" t="s">
        <v>43</v>
      </c>
      <c r="D270" s="103">
        <v>100070275</v>
      </c>
      <c r="E270" s="89" t="s">
        <v>47</v>
      </c>
      <c r="F270" s="89">
        <v>100078048</v>
      </c>
      <c r="G270" s="128" t="s">
        <v>360</v>
      </c>
      <c r="H270" s="91">
        <v>58.8</v>
      </c>
      <c r="I270" s="92">
        <v>58.8</v>
      </c>
      <c r="J270" s="93">
        <v>98</v>
      </c>
      <c r="K270" s="94">
        <v>49</v>
      </c>
      <c r="L270" s="94">
        <v>107.80000000000001</v>
      </c>
      <c r="M270" s="129">
        <v>-9.7999999999999972</v>
      </c>
      <c r="N270" s="102">
        <f t="shared" si="8"/>
        <v>49</v>
      </c>
      <c r="O270" s="97">
        <v>49</v>
      </c>
      <c r="P270" s="92">
        <v>0</v>
      </c>
      <c r="Q270" s="98">
        <f t="shared" si="9"/>
        <v>49</v>
      </c>
      <c r="R270" s="102" t="str">
        <f>+IF(Q270+N270&lt;=0, "NO COMPRADOR", +IF(Q270&lt;=0, "SIN COMPRA "&amp;+UPPER(TEXT('DINAMICA ENERO 26'!$C$2,"mmm 'yy")), "COMPRADOR"))</f>
        <v>COMPRADOR</v>
      </c>
      <c r="T270" s="101"/>
    </row>
    <row r="271" spans="1:22" ht="14" hidden="1">
      <c r="A271" s="88" t="s">
        <v>85</v>
      </c>
      <c r="B271" s="89" t="s">
        <v>351</v>
      </c>
      <c r="C271" s="89" t="s">
        <v>43</v>
      </c>
      <c r="D271" s="103">
        <v>100070275</v>
      </c>
      <c r="E271" s="89" t="s">
        <v>47</v>
      </c>
      <c r="F271" s="89">
        <v>100001301</v>
      </c>
      <c r="G271" s="128" t="s">
        <v>361</v>
      </c>
      <c r="H271" s="91">
        <v>0</v>
      </c>
      <c r="I271" s="92">
        <v>9.8000000000000007</v>
      </c>
      <c r="J271" s="93">
        <v>0</v>
      </c>
      <c r="K271" s="94">
        <v>0</v>
      </c>
      <c r="L271" s="94">
        <v>0</v>
      </c>
      <c r="M271" s="129">
        <v>0</v>
      </c>
      <c r="N271" s="102">
        <f t="shared" si="8"/>
        <v>0</v>
      </c>
      <c r="O271" s="97">
        <v>0</v>
      </c>
      <c r="P271" s="92">
        <v>0</v>
      </c>
      <c r="Q271" s="98">
        <f t="shared" si="9"/>
        <v>0</v>
      </c>
      <c r="R271" s="102" t="str">
        <f>+IF(Q271+N271&lt;=0, "NO COMPRADOR", +IF(Q271&lt;=0, "SIN COMPRA "&amp;+UPPER(TEXT('DINAMICA ENERO 26'!$C$2,"mmm 'yy")), "COMPRADOR"))</f>
        <v>NO COMPRADOR</v>
      </c>
      <c r="S271" s="100"/>
      <c r="T271" s="101"/>
      <c r="U271" s="100"/>
      <c r="V271" s="100"/>
    </row>
    <row r="272" spans="1:22" ht="14" hidden="1">
      <c r="A272" s="88" t="s">
        <v>85</v>
      </c>
      <c r="B272" s="89" t="s">
        <v>351</v>
      </c>
      <c r="C272" s="89" t="s">
        <v>43</v>
      </c>
      <c r="D272" s="103">
        <v>100070275</v>
      </c>
      <c r="E272" s="89" t="s">
        <v>47</v>
      </c>
      <c r="F272" s="89">
        <v>100002071</v>
      </c>
      <c r="G272" s="128" t="s">
        <v>362</v>
      </c>
      <c r="H272" s="91">
        <v>196</v>
      </c>
      <c r="I272" s="92">
        <v>-98</v>
      </c>
      <c r="J272" s="93">
        <v>29.400000000000002</v>
      </c>
      <c r="K272" s="94">
        <v>0</v>
      </c>
      <c r="L272" s="94">
        <v>39.200000000000003</v>
      </c>
      <c r="M272" s="129">
        <v>0</v>
      </c>
      <c r="N272" s="102">
        <f t="shared" si="8"/>
        <v>13.066666666666668</v>
      </c>
      <c r="O272" s="97">
        <v>9.8000000000000007</v>
      </c>
      <c r="P272" s="92">
        <v>0</v>
      </c>
      <c r="Q272" s="98">
        <f t="shared" si="9"/>
        <v>9.8000000000000007</v>
      </c>
      <c r="R272" s="102" t="str">
        <f>+IF(Q272+N272&lt;=0, "NO COMPRADOR", +IF(Q272&lt;=0, "SIN COMPRA "&amp;+UPPER(TEXT('DINAMICA ENERO 26'!$C$2,"mmm 'yy")), "COMPRADOR"))</f>
        <v>COMPRADOR</v>
      </c>
      <c r="S272" s="100"/>
      <c r="T272" s="101"/>
      <c r="U272" s="100"/>
      <c r="V272" s="100"/>
    </row>
    <row r="273" spans="1:22" ht="14">
      <c r="A273" s="88" t="s">
        <v>85</v>
      </c>
      <c r="B273" s="89" t="s">
        <v>351</v>
      </c>
      <c r="C273" s="89" t="s">
        <v>43</v>
      </c>
      <c r="D273" s="103">
        <v>100070275</v>
      </c>
      <c r="E273" s="89" t="s">
        <v>47</v>
      </c>
      <c r="F273" s="89">
        <v>100001979</v>
      </c>
      <c r="G273" s="128" t="s">
        <v>290</v>
      </c>
      <c r="H273" s="91">
        <v>29.400000000000002</v>
      </c>
      <c r="I273" s="92">
        <v>39.200000000000003</v>
      </c>
      <c r="J273" s="93">
        <v>9.8000000000000007</v>
      </c>
      <c r="K273" s="94">
        <v>29.400000000000002</v>
      </c>
      <c r="L273" s="94">
        <v>9.8000000000000007</v>
      </c>
      <c r="M273" s="129">
        <v>19.600000000000001</v>
      </c>
      <c r="N273" s="102">
        <f t="shared" si="8"/>
        <v>19.600000000000001</v>
      </c>
      <c r="O273" s="97">
        <v>0</v>
      </c>
      <c r="P273" s="92">
        <v>0</v>
      </c>
      <c r="Q273" s="98">
        <f t="shared" si="9"/>
        <v>0</v>
      </c>
      <c r="R273" s="102" t="str">
        <f>+IF(Q273+N273&lt;=0, "NO COMPRADOR", +IF(Q273&lt;=0, "SIN COMPRA "&amp;+UPPER(TEXT('DINAMICA ENERO 26'!$C$2,"mmm 'yy")), "COMPRADOR"))</f>
        <v>SIN COMPRA FEB '26</v>
      </c>
      <c r="S273" s="100"/>
      <c r="T273" s="101"/>
      <c r="U273" s="100"/>
      <c r="V273" s="100"/>
    </row>
    <row r="274" spans="1:22" s="104" customFormat="1" ht="14" hidden="1">
      <c r="A274" s="88" t="s">
        <v>85</v>
      </c>
      <c r="B274" s="89" t="s">
        <v>351</v>
      </c>
      <c r="C274" s="89" t="s">
        <v>43</v>
      </c>
      <c r="D274" s="103">
        <v>100070275</v>
      </c>
      <c r="E274" s="89" t="s">
        <v>47</v>
      </c>
      <c r="F274" s="89">
        <v>100001679</v>
      </c>
      <c r="G274" s="128" t="s">
        <v>363</v>
      </c>
      <c r="H274" s="91">
        <v>88.2</v>
      </c>
      <c r="I274" s="92">
        <v>49</v>
      </c>
      <c r="J274" s="93">
        <v>98</v>
      </c>
      <c r="K274" s="94">
        <v>98</v>
      </c>
      <c r="L274" s="94">
        <v>0</v>
      </c>
      <c r="M274" s="129">
        <v>137.20000000000002</v>
      </c>
      <c r="N274" s="102">
        <f t="shared" si="8"/>
        <v>78.400000000000006</v>
      </c>
      <c r="O274" s="97">
        <v>58.800000000000004</v>
      </c>
      <c r="P274" s="92">
        <v>0</v>
      </c>
      <c r="Q274" s="98">
        <f t="shared" si="9"/>
        <v>58.800000000000004</v>
      </c>
      <c r="R274" s="102" t="str">
        <f>+IF(Q274+N274&lt;=0, "NO COMPRADOR", +IF(Q274&lt;=0, "SIN COMPRA "&amp;+UPPER(TEXT('DINAMICA ENERO 26'!$C$2,"mmm 'yy")), "COMPRADOR"))</f>
        <v>COMPRADOR</v>
      </c>
      <c r="S274" s="100"/>
      <c r="T274" s="101"/>
      <c r="U274" s="100"/>
      <c r="V274" s="100"/>
    </row>
    <row r="275" spans="1:22" s="100" customFormat="1" ht="14" hidden="1">
      <c r="A275" s="88" t="s">
        <v>85</v>
      </c>
      <c r="B275" s="89" t="s">
        <v>351</v>
      </c>
      <c r="C275" s="89" t="s">
        <v>43</v>
      </c>
      <c r="D275" s="103">
        <v>100070275</v>
      </c>
      <c r="E275" s="89" t="s">
        <v>47</v>
      </c>
      <c r="F275" s="89">
        <v>100001246</v>
      </c>
      <c r="G275" s="128" t="s">
        <v>364</v>
      </c>
      <c r="H275" s="91">
        <v>98</v>
      </c>
      <c r="I275" s="92">
        <v>0</v>
      </c>
      <c r="J275" s="93">
        <v>9.8000000000000007</v>
      </c>
      <c r="K275" s="94">
        <v>0</v>
      </c>
      <c r="L275" s="94">
        <v>9.8000000000000007</v>
      </c>
      <c r="M275" s="129">
        <v>0</v>
      </c>
      <c r="N275" s="102">
        <f t="shared" si="8"/>
        <v>3.2666666666666671</v>
      </c>
      <c r="O275" s="97">
        <v>98</v>
      </c>
      <c r="P275" s="92">
        <v>0</v>
      </c>
      <c r="Q275" s="98">
        <f t="shared" si="9"/>
        <v>98</v>
      </c>
      <c r="R275" s="102" t="str">
        <f>+IF(Q275+N275&lt;=0, "NO COMPRADOR", +IF(Q275&lt;=0, "SIN COMPRA "&amp;+UPPER(TEXT('DINAMICA ENERO 26'!$C$2,"mmm 'yy")), "COMPRADOR"))</f>
        <v>COMPRADOR</v>
      </c>
      <c r="T275" s="101"/>
    </row>
    <row r="276" spans="1:22" s="100" customFormat="1" ht="14" hidden="1">
      <c r="A276" s="88" t="s">
        <v>85</v>
      </c>
      <c r="B276" s="89" t="s">
        <v>351</v>
      </c>
      <c r="C276" s="89" t="s">
        <v>43</v>
      </c>
      <c r="D276" s="103">
        <v>100070275</v>
      </c>
      <c r="E276" s="89" t="s">
        <v>47</v>
      </c>
      <c r="F276" s="89">
        <v>100083239</v>
      </c>
      <c r="G276" s="128" t="s">
        <v>365</v>
      </c>
      <c r="H276" s="91">
        <v>9.8000000000000007</v>
      </c>
      <c r="I276" s="92">
        <v>9.8000000000000007</v>
      </c>
      <c r="J276" s="93">
        <v>0</v>
      </c>
      <c r="K276" s="94">
        <v>9.8000000000000007</v>
      </c>
      <c r="L276" s="94">
        <v>9.8000000000000007</v>
      </c>
      <c r="M276" s="129">
        <v>0</v>
      </c>
      <c r="N276" s="102">
        <f t="shared" si="8"/>
        <v>6.5333333333333341</v>
      </c>
      <c r="O276" s="97">
        <v>0</v>
      </c>
      <c r="P276" s="92">
        <v>0</v>
      </c>
      <c r="Q276" s="98">
        <f t="shared" si="9"/>
        <v>0</v>
      </c>
      <c r="R276" s="102" t="str">
        <f>+IF(Q276+N276&lt;=0, "NO COMPRADOR", +IF(Q276&lt;=0, "SIN COMPRA "&amp;+UPPER(TEXT('DINAMICA ENERO 26'!$C$2,"mmm 'yy")), "COMPRADOR"))</f>
        <v>SIN COMPRA FEB '26</v>
      </c>
      <c r="T276" s="101"/>
    </row>
    <row r="277" spans="1:22" s="104" customFormat="1" ht="14" hidden="1">
      <c r="A277" s="88" t="s">
        <v>85</v>
      </c>
      <c r="B277" s="89" t="s">
        <v>351</v>
      </c>
      <c r="C277" s="89" t="s">
        <v>43</v>
      </c>
      <c r="D277" s="103">
        <v>100070275</v>
      </c>
      <c r="E277" s="89" t="s">
        <v>47</v>
      </c>
      <c r="F277" s="89">
        <v>100066082</v>
      </c>
      <c r="G277" s="128" t="s">
        <v>366</v>
      </c>
      <c r="H277" s="91">
        <v>0</v>
      </c>
      <c r="I277" s="92">
        <v>0</v>
      </c>
      <c r="J277" s="93">
        <v>0</v>
      </c>
      <c r="K277" s="94">
        <v>0</v>
      </c>
      <c r="L277" s="94">
        <v>0</v>
      </c>
      <c r="M277" s="129">
        <v>0</v>
      </c>
      <c r="N277" s="102">
        <f t="shared" si="8"/>
        <v>0</v>
      </c>
      <c r="O277" s="97">
        <v>0</v>
      </c>
      <c r="P277" s="92">
        <v>0</v>
      </c>
      <c r="Q277" s="98">
        <f t="shared" si="9"/>
        <v>0</v>
      </c>
      <c r="R277" s="102" t="str">
        <f>+IF(Q277+N277&lt;=0, "NO COMPRADOR", +IF(Q277&lt;=0, "SIN COMPRA "&amp;+UPPER(TEXT('DINAMICA ENERO 26'!$C$2,"mmm 'yy")), "COMPRADOR"))</f>
        <v>NO COMPRADOR</v>
      </c>
      <c r="S277" s="100"/>
      <c r="T277" s="101"/>
      <c r="U277" s="100"/>
      <c r="V277" s="100"/>
    </row>
    <row r="278" spans="1:22" s="100" customFormat="1" ht="14">
      <c r="A278" s="88" t="s">
        <v>85</v>
      </c>
      <c r="B278" s="89" t="s">
        <v>351</v>
      </c>
      <c r="C278" s="89" t="s">
        <v>43</v>
      </c>
      <c r="D278" s="103">
        <v>100075073</v>
      </c>
      <c r="E278" s="89" t="s">
        <v>48</v>
      </c>
      <c r="F278" s="89">
        <v>100001979</v>
      </c>
      <c r="G278" s="128" t="s">
        <v>290</v>
      </c>
      <c r="H278" s="91">
        <v>19.600000000000001</v>
      </c>
      <c r="I278" s="92">
        <v>0</v>
      </c>
      <c r="J278" s="93">
        <v>9.8000000000000007</v>
      </c>
      <c r="K278" s="94">
        <v>9.8000000000000007</v>
      </c>
      <c r="L278" s="94">
        <v>29.400000000000002</v>
      </c>
      <c r="M278" s="129">
        <v>0</v>
      </c>
      <c r="N278" s="102">
        <f t="shared" si="8"/>
        <v>13.066666666666668</v>
      </c>
      <c r="O278" s="97">
        <v>19.600000000000001</v>
      </c>
      <c r="P278" s="92">
        <v>0</v>
      </c>
      <c r="Q278" s="98">
        <f t="shared" si="9"/>
        <v>19.600000000000001</v>
      </c>
      <c r="R278" s="102" t="str">
        <f>+IF(Q278+N278&lt;=0, "NO COMPRADOR", +IF(Q278&lt;=0, "SIN COMPRA "&amp;+UPPER(TEXT('DINAMICA ENERO 26'!$C$2,"mmm 'yy")), "COMPRADOR"))</f>
        <v>COMPRADOR</v>
      </c>
      <c r="T278" s="101"/>
    </row>
    <row r="279" spans="1:22" s="100" customFormat="1" ht="14" hidden="1">
      <c r="A279" s="88" t="s">
        <v>85</v>
      </c>
      <c r="B279" s="89" t="s">
        <v>351</v>
      </c>
      <c r="C279" s="89" t="s">
        <v>43</v>
      </c>
      <c r="D279" s="103">
        <v>100075073</v>
      </c>
      <c r="E279" s="89" t="s">
        <v>48</v>
      </c>
      <c r="F279" s="89">
        <v>100014590</v>
      </c>
      <c r="G279" s="128" t="s">
        <v>367</v>
      </c>
      <c r="H279" s="91">
        <v>19.600000000000001</v>
      </c>
      <c r="I279" s="92">
        <v>0</v>
      </c>
      <c r="J279" s="93">
        <v>9.8000000000000007</v>
      </c>
      <c r="K279" s="94">
        <v>0</v>
      </c>
      <c r="L279" s="94">
        <v>19.600000000000001</v>
      </c>
      <c r="M279" s="129">
        <v>0</v>
      </c>
      <c r="N279" s="102">
        <f t="shared" si="8"/>
        <v>6.5333333333333341</v>
      </c>
      <c r="O279" s="97">
        <v>0</v>
      </c>
      <c r="P279" s="92">
        <v>0</v>
      </c>
      <c r="Q279" s="98">
        <f t="shared" si="9"/>
        <v>0</v>
      </c>
      <c r="R279" s="102" t="str">
        <f>+IF(Q279+N279&lt;=0, "NO COMPRADOR", +IF(Q279&lt;=0, "SIN COMPRA "&amp;+UPPER(TEXT('DINAMICA ENERO 26'!$C$2,"mmm 'yy")), "COMPRADOR"))</f>
        <v>SIN COMPRA FEB '26</v>
      </c>
      <c r="T279" s="101"/>
    </row>
    <row r="280" spans="1:22" s="100" customFormat="1" ht="14" hidden="1">
      <c r="A280" s="88" t="s">
        <v>85</v>
      </c>
      <c r="B280" s="89" t="s">
        <v>351</v>
      </c>
      <c r="C280" s="89" t="s">
        <v>43</v>
      </c>
      <c r="D280" s="103">
        <v>100075073</v>
      </c>
      <c r="E280" s="89" t="s">
        <v>48</v>
      </c>
      <c r="F280" s="89">
        <v>100001197</v>
      </c>
      <c r="G280" s="128" t="s">
        <v>368</v>
      </c>
      <c r="H280" s="91">
        <v>19.600000000000001</v>
      </c>
      <c r="I280" s="92">
        <v>29.400000000000002</v>
      </c>
      <c r="J280" s="93">
        <v>-9.8000000000000007</v>
      </c>
      <c r="K280" s="94">
        <v>19.600000000000001</v>
      </c>
      <c r="L280" s="94">
        <v>19.600000000000001</v>
      </c>
      <c r="M280" s="129">
        <v>0</v>
      </c>
      <c r="N280" s="102">
        <f t="shared" si="8"/>
        <v>13.066666666666668</v>
      </c>
      <c r="O280" s="97">
        <v>0</v>
      </c>
      <c r="P280" s="92">
        <v>0</v>
      </c>
      <c r="Q280" s="98">
        <f t="shared" si="9"/>
        <v>0</v>
      </c>
      <c r="R280" s="102" t="str">
        <f>+IF(Q280+N280&lt;=0, "NO COMPRADOR", +IF(Q280&lt;=0, "SIN COMPRA "&amp;+UPPER(TEXT('DINAMICA ENERO 26'!$C$2,"mmm 'yy")), "COMPRADOR"))</f>
        <v>SIN COMPRA FEB '26</v>
      </c>
      <c r="T280" s="101"/>
    </row>
    <row r="281" spans="1:22" s="104" customFormat="1" ht="14" hidden="1">
      <c r="A281" s="88" t="s">
        <v>85</v>
      </c>
      <c r="B281" s="89" t="s">
        <v>351</v>
      </c>
      <c r="C281" s="89" t="s">
        <v>43</v>
      </c>
      <c r="D281" s="103">
        <v>100075073</v>
      </c>
      <c r="E281" s="89" t="s">
        <v>48</v>
      </c>
      <c r="F281" s="89">
        <v>100087851</v>
      </c>
      <c r="G281" s="128" t="s">
        <v>369</v>
      </c>
      <c r="H281" s="91">
        <v>0</v>
      </c>
      <c r="I281" s="92">
        <v>58.8</v>
      </c>
      <c r="J281" s="93">
        <v>137.19999999999999</v>
      </c>
      <c r="K281" s="94">
        <v>0</v>
      </c>
      <c r="L281" s="94">
        <v>9.8000000000000007</v>
      </c>
      <c r="M281" s="129">
        <v>0</v>
      </c>
      <c r="N281" s="102">
        <f t="shared" si="8"/>
        <v>3.2666666666666671</v>
      </c>
      <c r="O281" s="97">
        <v>0</v>
      </c>
      <c r="P281" s="92">
        <v>0</v>
      </c>
      <c r="Q281" s="98">
        <f t="shared" si="9"/>
        <v>0</v>
      </c>
      <c r="R281" s="102" t="str">
        <f>+IF(Q281+N281&lt;=0, "NO COMPRADOR", +IF(Q281&lt;=0, "SIN COMPRA "&amp;+UPPER(TEXT('DINAMICA ENERO 26'!$C$2,"mmm 'yy")), "COMPRADOR"))</f>
        <v>SIN COMPRA FEB '26</v>
      </c>
      <c r="S281" s="100"/>
      <c r="T281" s="101"/>
      <c r="U281" s="100"/>
      <c r="V281" s="100"/>
    </row>
    <row r="282" spans="1:22" s="104" customFormat="1" ht="14" hidden="1">
      <c r="A282" s="88" t="s">
        <v>85</v>
      </c>
      <c r="B282" s="89" t="s">
        <v>351</v>
      </c>
      <c r="C282" s="89" t="s">
        <v>43</v>
      </c>
      <c r="D282" s="103">
        <v>100075073</v>
      </c>
      <c r="E282" s="89" t="s">
        <v>48</v>
      </c>
      <c r="F282" s="89">
        <v>100001807</v>
      </c>
      <c r="G282" s="128" t="s">
        <v>370</v>
      </c>
      <c r="H282" s="91">
        <v>9.8000000000000007</v>
      </c>
      <c r="I282" s="92">
        <v>29.400000000000002</v>
      </c>
      <c r="J282" s="93">
        <v>9.8000000000000007</v>
      </c>
      <c r="K282" s="94">
        <v>19.600000000000001</v>
      </c>
      <c r="L282" s="94">
        <v>19.600000000000001</v>
      </c>
      <c r="M282" s="129">
        <v>9.8000000000000007</v>
      </c>
      <c r="N282" s="102">
        <f t="shared" si="8"/>
        <v>16.333333333333332</v>
      </c>
      <c r="O282" s="97">
        <v>9.8000000000000007</v>
      </c>
      <c r="P282" s="92">
        <v>0</v>
      </c>
      <c r="Q282" s="98">
        <f t="shared" si="9"/>
        <v>9.8000000000000007</v>
      </c>
      <c r="R282" s="102" t="str">
        <f>+IF(Q282+N282&lt;=0, "NO COMPRADOR", +IF(Q282&lt;=0, "SIN COMPRA "&amp;+UPPER(TEXT('DINAMICA ENERO 26'!$C$2,"mmm 'yy")), "COMPRADOR"))</f>
        <v>COMPRADOR</v>
      </c>
      <c r="S282" s="100"/>
      <c r="T282" s="101"/>
      <c r="U282" s="100"/>
      <c r="V282" s="100"/>
    </row>
    <row r="283" spans="1:22" s="104" customFormat="1" ht="14" hidden="1">
      <c r="A283" s="88" t="s">
        <v>85</v>
      </c>
      <c r="B283" s="89" t="s">
        <v>351</v>
      </c>
      <c r="C283" s="89" t="s">
        <v>43</v>
      </c>
      <c r="D283" s="103">
        <v>100075073</v>
      </c>
      <c r="E283" s="89" t="s">
        <v>48</v>
      </c>
      <c r="F283" s="89">
        <v>100001935</v>
      </c>
      <c r="G283" s="128" t="s">
        <v>371</v>
      </c>
      <c r="H283" s="91">
        <v>49</v>
      </c>
      <c r="I283" s="92">
        <v>58.8</v>
      </c>
      <c r="J283" s="93">
        <v>58.8</v>
      </c>
      <c r="K283" s="94">
        <v>0</v>
      </c>
      <c r="L283" s="94">
        <v>-9.8000000000000007</v>
      </c>
      <c r="M283" s="129">
        <v>49</v>
      </c>
      <c r="N283" s="102">
        <f t="shared" si="8"/>
        <v>13.066666666666668</v>
      </c>
      <c r="O283" s="97">
        <v>9.8000000000000007</v>
      </c>
      <c r="P283" s="92">
        <v>49</v>
      </c>
      <c r="Q283" s="98">
        <f t="shared" si="9"/>
        <v>58.8</v>
      </c>
      <c r="R283" s="102" t="str">
        <f>+IF(Q283+N283&lt;=0, "NO COMPRADOR", +IF(Q283&lt;=0, "SIN COMPRA "&amp;+UPPER(TEXT('DINAMICA ENERO 26'!$C$2,"mmm 'yy")), "COMPRADOR"))</f>
        <v>COMPRADOR</v>
      </c>
      <c r="S283" s="100"/>
      <c r="T283" s="101"/>
      <c r="U283" s="100"/>
      <c r="V283" s="100"/>
    </row>
    <row r="284" spans="1:22" ht="14" hidden="1">
      <c r="A284" s="88" t="s">
        <v>85</v>
      </c>
      <c r="B284" s="89" t="s">
        <v>351</v>
      </c>
      <c r="C284" s="89" t="s">
        <v>43</v>
      </c>
      <c r="D284" s="103">
        <v>100075073</v>
      </c>
      <c r="E284" s="89" t="s">
        <v>48</v>
      </c>
      <c r="F284" s="89">
        <v>100082353</v>
      </c>
      <c r="G284" s="128" t="s">
        <v>372</v>
      </c>
      <c r="H284" s="91">
        <v>29.400000000000002</v>
      </c>
      <c r="I284" s="92">
        <v>98</v>
      </c>
      <c r="J284" s="93">
        <v>0</v>
      </c>
      <c r="K284" s="94">
        <v>196</v>
      </c>
      <c r="L284" s="94">
        <v>98</v>
      </c>
      <c r="M284" s="129">
        <v>294</v>
      </c>
      <c r="N284" s="102">
        <f t="shared" si="8"/>
        <v>196</v>
      </c>
      <c r="O284" s="97">
        <v>0</v>
      </c>
      <c r="P284" s="92">
        <v>0</v>
      </c>
      <c r="Q284" s="98">
        <f t="shared" si="9"/>
        <v>0</v>
      </c>
      <c r="R284" s="102" t="str">
        <f>+IF(Q284+N284&lt;=0, "NO COMPRADOR", +IF(Q284&lt;=0, "SIN COMPRA "&amp;+UPPER(TEXT('DINAMICA ENERO 26'!$C$2,"mmm 'yy")), "COMPRADOR"))</f>
        <v>SIN COMPRA FEB '26</v>
      </c>
      <c r="S284" s="100"/>
      <c r="T284" s="101"/>
      <c r="U284" s="100"/>
      <c r="V284" s="100"/>
    </row>
    <row r="285" spans="1:22" ht="14" hidden="1">
      <c r="A285" s="88" t="s">
        <v>85</v>
      </c>
      <c r="B285" s="89" t="s">
        <v>351</v>
      </c>
      <c r="C285" s="89" t="s">
        <v>43</v>
      </c>
      <c r="D285" s="103">
        <v>100075073</v>
      </c>
      <c r="E285" s="89" t="s">
        <v>48</v>
      </c>
      <c r="F285" s="89">
        <v>100075136</v>
      </c>
      <c r="G285" s="128" t="s">
        <v>373</v>
      </c>
      <c r="H285" s="91">
        <v>294</v>
      </c>
      <c r="I285" s="92">
        <v>627.20000000000005</v>
      </c>
      <c r="J285" s="93">
        <v>294</v>
      </c>
      <c r="K285" s="94">
        <v>588</v>
      </c>
      <c r="L285" s="94">
        <v>294</v>
      </c>
      <c r="M285" s="129">
        <v>588</v>
      </c>
      <c r="N285" s="102">
        <f t="shared" si="8"/>
        <v>490</v>
      </c>
      <c r="O285" s="97">
        <v>392</v>
      </c>
      <c r="P285" s="92">
        <v>0</v>
      </c>
      <c r="Q285" s="98">
        <f t="shared" si="9"/>
        <v>392</v>
      </c>
      <c r="R285" s="102" t="str">
        <f>+IF(Q285+N285&lt;=0, "NO COMPRADOR", +IF(Q285&lt;=0, "SIN COMPRA "&amp;+UPPER(TEXT('DINAMICA ENERO 26'!$C$2,"mmm 'yy")), "COMPRADOR"))</f>
        <v>COMPRADOR</v>
      </c>
      <c r="S285" s="100"/>
      <c r="T285" s="101"/>
      <c r="U285" s="100"/>
      <c r="V285" s="100"/>
    </row>
    <row r="286" spans="1:22" ht="14" hidden="1">
      <c r="A286" s="88" t="s">
        <v>85</v>
      </c>
      <c r="B286" s="89" t="s">
        <v>351</v>
      </c>
      <c r="C286" s="89" t="s">
        <v>43</v>
      </c>
      <c r="D286" s="103">
        <v>100075073</v>
      </c>
      <c r="E286" s="89" t="s">
        <v>48</v>
      </c>
      <c r="F286" s="89">
        <v>100002420</v>
      </c>
      <c r="G286" s="128" t="s">
        <v>374</v>
      </c>
      <c r="H286" s="91">
        <v>29.400000000000002</v>
      </c>
      <c r="I286" s="92">
        <v>0</v>
      </c>
      <c r="J286" s="93">
        <v>9.8000000000000007</v>
      </c>
      <c r="K286" s="94">
        <v>0</v>
      </c>
      <c r="L286" s="94">
        <v>0</v>
      </c>
      <c r="M286" s="129">
        <v>0</v>
      </c>
      <c r="N286" s="102">
        <f t="shared" si="8"/>
        <v>0</v>
      </c>
      <c r="O286" s="97">
        <v>0</v>
      </c>
      <c r="P286" s="92">
        <v>0</v>
      </c>
      <c r="Q286" s="98">
        <f t="shared" si="9"/>
        <v>0</v>
      </c>
      <c r="R286" s="102" t="str">
        <f>+IF(Q286+N286&lt;=0, "NO COMPRADOR", +IF(Q286&lt;=0, "SIN COMPRA "&amp;+UPPER(TEXT('DINAMICA ENERO 26'!$C$2,"mmm 'yy")), "COMPRADOR"))</f>
        <v>NO COMPRADOR</v>
      </c>
      <c r="S286" s="100"/>
      <c r="T286" s="101"/>
      <c r="U286" s="100"/>
      <c r="V286" s="100"/>
    </row>
    <row r="287" spans="1:22" ht="14" hidden="1">
      <c r="A287" s="88" t="s">
        <v>85</v>
      </c>
      <c r="B287" s="89" t="s">
        <v>351</v>
      </c>
      <c r="C287" s="89" t="s">
        <v>43</v>
      </c>
      <c r="D287" s="103">
        <v>100075073</v>
      </c>
      <c r="E287" s="89" t="s">
        <v>48</v>
      </c>
      <c r="F287" s="89">
        <v>100064325</v>
      </c>
      <c r="G287" s="128" t="s">
        <v>375</v>
      </c>
      <c r="H287" s="91">
        <v>0</v>
      </c>
      <c r="I287" s="92">
        <v>9.8000000000000007</v>
      </c>
      <c r="J287" s="93">
        <v>9.8000000000000007</v>
      </c>
      <c r="K287" s="94">
        <v>9.8000000000000007</v>
      </c>
      <c r="L287" s="94">
        <v>0</v>
      </c>
      <c r="M287" s="129">
        <v>0</v>
      </c>
      <c r="N287" s="102">
        <f t="shared" si="8"/>
        <v>3.2666666666666671</v>
      </c>
      <c r="O287" s="97">
        <v>0</v>
      </c>
      <c r="P287" s="92">
        <v>0</v>
      </c>
      <c r="Q287" s="98">
        <f t="shared" si="9"/>
        <v>0</v>
      </c>
      <c r="R287" s="102" t="str">
        <f>+IF(Q287+N287&lt;=0, "NO COMPRADOR", +IF(Q287&lt;=0, "SIN COMPRA "&amp;+UPPER(TEXT('DINAMICA ENERO 26'!$C$2,"mmm 'yy")), "COMPRADOR"))</f>
        <v>SIN COMPRA FEB '26</v>
      </c>
      <c r="S287" s="100"/>
      <c r="T287" s="101"/>
      <c r="U287" s="100"/>
      <c r="V287" s="100"/>
    </row>
    <row r="288" spans="1:22" ht="14" hidden="1">
      <c r="A288" s="88" t="s">
        <v>85</v>
      </c>
      <c r="B288" s="89" t="s">
        <v>351</v>
      </c>
      <c r="C288" s="89" t="s">
        <v>43</v>
      </c>
      <c r="D288" s="103">
        <v>100075073</v>
      </c>
      <c r="E288" s="89" t="s">
        <v>48</v>
      </c>
      <c r="F288" s="89">
        <v>100085596</v>
      </c>
      <c r="G288" s="128" t="s">
        <v>376</v>
      </c>
      <c r="H288" s="91">
        <v>127.39999999999999</v>
      </c>
      <c r="I288" s="92">
        <v>166.60000000000002</v>
      </c>
      <c r="J288" s="93">
        <v>29.400000000000002</v>
      </c>
      <c r="K288" s="94">
        <v>58.800000000000004</v>
      </c>
      <c r="L288" s="94">
        <v>68.600000000000009</v>
      </c>
      <c r="M288" s="129">
        <v>0</v>
      </c>
      <c r="N288" s="102">
        <f t="shared" si="8"/>
        <v>42.466666666666669</v>
      </c>
      <c r="O288" s="97">
        <v>0</v>
      </c>
      <c r="P288" s="92">
        <v>0</v>
      </c>
      <c r="Q288" s="98">
        <f t="shared" si="9"/>
        <v>0</v>
      </c>
      <c r="R288" s="102" t="str">
        <f>+IF(Q288+N288&lt;=0, "NO COMPRADOR", +IF(Q288&lt;=0, "SIN COMPRA "&amp;+UPPER(TEXT('DINAMICA ENERO 26'!$C$2,"mmm 'yy")), "COMPRADOR"))</f>
        <v>SIN COMPRA FEB '26</v>
      </c>
      <c r="S288" s="100"/>
      <c r="T288" s="101"/>
      <c r="U288" s="100"/>
      <c r="V288" s="100"/>
    </row>
    <row r="289" spans="1:22" ht="14" hidden="1">
      <c r="A289" s="88" t="s">
        <v>85</v>
      </c>
      <c r="B289" s="89" t="s">
        <v>351</v>
      </c>
      <c r="C289" s="89" t="s">
        <v>43</v>
      </c>
      <c r="D289" s="103">
        <v>100075073</v>
      </c>
      <c r="E289" s="89" t="s">
        <v>48</v>
      </c>
      <c r="F289" s="89">
        <v>100001738</v>
      </c>
      <c r="G289" s="128" t="s">
        <v>377</v>
      </c>
      <c r="H289" s="91">
        <v>0</v>
      </c>
      <c r="I289" s="92">
        <v>0</v>
      </c>
      <c r="J289" s="93">
        <v>0</v>
      </c>
      <c r="K289" s="94">
        <v>0</v>
      </c>
      <c r="L289" s="94">
        <v>0</v>
      </c>
      <c r="M289" s="129">
        <v>0</v>
      </c>
      <c r="N289" s="102">
        <f t="shared" si="8"/>
        <v>0</v>
      </c>
      <c r="O289" s="97">
        <v>0</v>
      </c>
      <c r="P289" s="92">
        <v>0</v>
      </c>
      <c r="Q289" s="98">
        <f t="shared" si="9"/>
        <v>0</v>
      </c>
      <c r="R289" s="102" t="str">
        <f>+IF(Q289+N289&lt;=0, "NO COMPRADOR", +IF(Q289&lt;=0, "SIN COMPRA "&amp;+UPPER(TEXT('DINAMICA ENERO 26'!$C$2,"mmm 'yy")), "COMPRADOR"))</f>
        <v>NO COMPRADOR</v>
      </c>
      <c r="S289" s="100"/>
      <c r="T289" s="101"/>
      <c r="U289" s="100"/>
      <c r="V289" s="100"/>
    </row>
    <row r="290" spans="1:22" ht="14" hidden="1">
      <c r="A290" s="88" t="s">
        <v>85</v>
      </c>
      <c r="B290" s="89" t="s">
        <v>351</v>
      </c>
      <c r="C290" s="89" t="s">
        <v>43</v>
      </c>
      <c r="D290" s="103">
        <v>100075073</v>
      </c>
      <c r="E290" s="89" t="s">
        <v>48</v>
      </c>
      <c r="F290" s="89">
        <v>100088892</v>
      </c>
      <c r="G290" s="128" t="s">
        <v>378</v>
      </c>
      <c r="H290" s="91">
        <v>88.2</v>
      </c>
      <c r="I290" s="92">
        <v>147</v>
      </c>
      <c r="J290" s="93">
        <v>49</v>
      </c>
      <c r="K290" s="94">
        <v>127.4</v>
      </c>
      <c r="L290" s="94">
        <v>147</v>
      </c>
      <c r="M290" s="129">
        <v>0</v>
      </c>
      <c r="N290" s="102">
        <f t="shared" si="8"/>
        <v>91.466666666666654</v>
      </c>
      <c r="O290" s="97">
        <v>98</v>
      </c>
      <c r="P290" s="92">
        <v>0</v>
      </c>
      <c r="Q290" s="98">
        <f t="shared" si="9"/>
        <v>98</v>
      </c>
      <c r="R290" s="102" t="str">
        <f>+IF(Q290+N290&lt;=0, "NO COMPRADOR", +IF(Q290&lt;=0, "SIN COMPRA "&amp;+UPPER(TEXT('DINAMICA ENERO 26'!$C$2,"mmm 'yy")), "COMPRADOR"))</f>
        <v>COMPRADOR</v>
      </c>
      <c r="S290" s="100"/>
      <c r="T290" s="101"/>
      <c r="U290" s="100"/>
      <c r="V290" s="100"/>
    </row>
    <row r="291" spans="1:22" ht="14" hidden="1">
      <c r="A291" s="88" t="s">
        <v>379</v>
      </c>
      <c r="B291" s="89" t="s">
        <v>380</v>
      </c>
      <c r="C291" s="89" t="s">
        <v>38</v>
      </c>
      <c r="D291" s="103">
        <v>100050090</v>
      </c>
      <c r="E291" s="89" t="s">
        <v>39</v>
      </c>
      <c r="F291" s="89">
        <v>100001434</v>
      </c>
      <c r="G291" s="128" t="s">
        <v>381</v>
      </c>
      <c r="H291" s="91">
        <v>0</v>
      </c>
      <c r="I291" s="92">
        <v>0</v>
      </c>
      <c r="J291" s="93">
        <v>0</v>
      </c>
      <c r="K291" s="94">
        <v>0</v>
      </c>
      <c r="L291" s="94">
        <v>0</v>
      </c>
      <c r="M291" s="129">
        <v>0</v>
      </c>
      <c r="N291" s="102">
        <f t="shared" si="8"/>
        <v>0</v>
      </c>
      <c r="O291" s="97">
        <v>666.4</v>
      </c>
      <c r="P291" s="92">
        <v>0</v>
      </c>
      <c r="Q291" s="98">
        <f t="shared" si="9"/>
        <v>666.4</v>
      </c>
      <c r="R291" s="102" t="str">
        <f>+IF(Q291+N291&lt;=0, "NO COMPRADOR", +IF(Q291&lt;=0, "SIN COMPRA "&amp;+UPPER(TEXT('DINAMICA ENERO 26'!$C$2,"mmm 'yy")), "COMPRADOR"))</f>
        <v>COMPRADOR</v>
      </c>
      <c r="S291" s="100"/>
      <c r="T291" s="101"/>
      <c r="U291" s="100"/>
      <c r="V291" s="100"/>
    </row>
    <row r="292" spans="1:22" ht="14" hidden="1">
      <c r="A292" s="88" t="s">
        <v>379</v>
      </c>
      <c r="B292" s="89" t="s">
        <v>380</v>
      </c>
      <c r="C292" s="89" t="s">
        <v>38</v>
      </c>
      <c r="D292" s="103">
        <v>100050090</v>
      </c>
      <c r="E292" s="89" t="s">
        <v>39</v>
      </c>
      <c r="F292" s="89">
        <v>100014442</v>
      </c>
      <c r="G292" s="128" t="s">
        <v>382</v>
      </c>
      <c r="H292" s="91">
        <v>588</v>
      </c>
      <c r="I292" s="92">
        <v>49</v>
      </c>
      <c r="J292" s="93">
        <v>245</v>
      </c>
      <c r="K292" s="94">
        <v>441</v>
      </c>
      <c r="L292" s="94">
        <v>343</v>
      </c>
      <c r="M292" s="129">
        <v>196</v>
      </c>
      <c r="N292" s="102">
        <f t="shared" si="8"/>
        <v>326.66666666666669</v>
      </c>
      <c r="O292" s="97">
        <v>343</v>
      </c>
      <c r="P292" s="92">
        <v>0</v>
      </c>
      <c r="Q292" s="98">
        <f t="shared" si="9"/>
        <v>343</v>
      </c>
      <c r="R292" s="102" t="str">
        <f>+IF(Q292+N292&lt;=0, "NO COMPRADOR", +IF(Q292&lt;=0, "SIN COMPRA "&amp;+UPPER(TEXT('DINAMICA ENERO 26'!$C$2,"mmm 'yy")), "COMPRADOR"))</f>
        <v>COMPRADOR</v>
      </c>
      <c r="S292" s="100"/>
      <c r="T292" s="101"/>
      <c r="U292" s="100"/>
      <c r="V292" s="100"/>
    </row>
    <row r="293" spans="1:22" ht="14" hidden="1">
      <c r="A293" s="88" t="s">
        <v>379</v>
      </c>
      <c r="B293" s="89" t="s">
        <v>380</v>
      </c>
      <c r="C293" s="89" t="s">
        <v>38</v>
      </c>
      <c r="D293" s="103">
        <v>100050090</v>
      </c>
      <c r="E293" s="89" t="s">
        <v>39</v>
      </c>
      <c r="F293" s="89">
        <v>100018913</v>
      </c>
      <c r="G293" s="128" t="s">
        <v>383</v>
      </c>
      <c r="H293" s="91">
        <v>9.8000000000000007</v>
      </c>
      <c r="I293" s="92">
        <v>127.4</v>
      </c>
      <c r="J293" s="93">
        <v>0</v>
      </c>
      <c r="K293" s="94">
        <v>127.4</v>
      </c>
      <c r="L293" s="94">
        <v>0</v>
      </c>
      <c r="M293" s="129">
        <v>0</v>
      </c>
      <c r="N293" s="102">
        <f t="shared" si="8"/>
        <v>42.466666666666669</v>
      </c>
      <c r="O293" s="97">
        <v>29.400000000000002</v>
      </c>
      <c r="P293" s="92">
        <v>0</v>
      </c>
      <c r="Q293" s="98">
        <f t="shared" si="9"/>
        <v>29.400000000000002</v>
      </c>
      <c r="R293" s="102" t="str">
        <f>+IF(Q293+N293&lt;=0, "NO COMPRADOR", +IF(Q293&lt;=0, "SIN COMPRA "&amp;+UPPER(TEXT('DINAMICA ENERO 26'!$C$2,"mmm 'yy")), "COMPRADOR"))</f>
        <v>COMPRADOR</v>
      </c>
      <c r="S293" s="100"/>
      <c r="T293" s="101"/>
      <c r="U293" s="100"/>
      <c r="V293" s="100"/>
    </row>
    <row r="294" spans="1:22" ht="14" hidden="1">
      <c r="A294" s="88" t="s">
        <v>379</v>
      </c>
      <c r="B294" s="89" t="s">
        <v>380</v>
      </c>
      <c r="C294" s="89" t="s">
        <v>38</v>
      </c>
      <c r="D294" s="103">
        <v>100050090</v>
      </c>
      <c r="E294" s="89" t="s">
        <v>39</v>
      </c>
      <c r="F294" s="89">
        <v>100015167</v>
      </c>
      <c r="G294" s="128" t="s">
        <v>384</v>
      </c>
      <c r="H294" s="91">
        <v>392</v>
      </c>
      <c r="I294" s="92">
        <v>392</v>
      </c>
      <c r="J294" s="93">
        <v>343</v>
      </c>
      <c r="K294" s="94">
        <v>343</v>
      </c>
      <c r="L294" s="94">
        <v>392</v>
      </c>
      <c r="M294" s="129">
        <v>98</v>
      </c>
      <c r="N294" s="102">
        <f t="shared" si="8"/>
        <v>277.66666666666669</v>
      </c>
      <c r="O294" s="97">
        <v>254.8</v>
      </c>
      <c r="P294" s="92">
        <v>0</v>
      </c>
      <c r="Q294" s="98">
        <f t="shared" si="9"/>
        <v>254.8</v>
      </c>
      <c r="R294" s="102" t="str">
        <f>+IF(Q294+N294&lt;=0, "NO COMPRADOR", +IF(Q294&lt;=0, "SIN COMPRA "&amp;+UPPER(TEXT('DINAMICA ENERO 26'!$C$2,"mmm 'yy")), "COMPRADOR"))</f>
        <v>COMPRADOR</v>
      </c>
      <c r="S294" s="100"/>
      <c r="T294" s="101"/>
      <c r="U294" s="100"/>
      <c r="V294" s="100"/>
    </row>
    <row r="295" spans="1:22" ht="14">
      <c r="A295" s="88" t="s">
        <v>379</v>
      </c>
      <c r="B295" s="89" t="s">
        <v>380</v>
      </c>
      <c r="C295" s="89" t="s">
        <v>38</v>
      </c>
      <c r="D295" s="103">
        <v>100050090</v>
      </c>
      <c r="E295" s="89" t="s">
        <v>39</v>
      </c>
      <c r="F295" s="89">
        <v>100001979</v>
      </c>
      <c r="G295" s="128" t="s">
        <v>290</v>
      </c>
      <c r="H295" s="91">
        <v>29.400000000000002</v>
      </c>
      <c r="I295" s="92">
        <v>29.400000000000002</v>
      </c>
      <c r="J295" s="93">
        <v>39.200000000000003</v>
      </c>
      <c r="K295" s="94">
        <v>9.8000000000000007</v>
      </c>
      <c r="L295" s="94">
        <v>49</v>
      </c>
      <c r="M295" s="129">
        <v>19.600000000000001</v>
      </c>
      <c r="N295" s="102">
        <f t="shared" si="8"/>
        <v>26.133333333333336</v>
      </c>
      <c r="O295" s="97">
        <v>68.599999999999994</v>
      </c>
      <c r="P295" s="92">
        <v>0</v>
      </c>
      <c r="Q295" s="98">
        <f t="shared" si="9"/>
        <v>68.599999999999994</v>
      </c>
      <c r="R295" s="102" t="str">
        <f>+IF(Q295+N295&lt;=0, "NO COMPRADOR", +IF(Q295&lt;=0, "SIN COMPRA "&amp;+UPPER(TEXT('DINAMICA ENERO 26'!$C$2,"mmm 'yy")), "COMPRADOR"))</f>
        <v>COMPRADOR</v>
      </c>
      <c r="S295" s="100"/>
      <c r="T295" s="101"/>
      <c r="U295" s="100"/>
      <c r="V295" s="100"/>
    </row>
    <row r="296" spans="1:22" ht="14" hidden="1">
      <c r="A296" s="88" t="s">
        <v>379</v>
      </c>
      <c r="B296" s="89" t="s">
        <v>380</v>
      </c>
      <c r="C296" s="89" t="s">
        <v>38</v>
      </c>
      <c r="D296" s="103">
        <v>100050090</v>
      </c>
      <c r="E296" s="89" t="s">
        <v>39</v>
      </c>
      <c r="F296" s="89">
        <v>100000650</v>
      </c>
      <c r="G296" s="128" t="s">
        <v>385</v>
      </c>
      <c r="H296" s="91">
        <v>0</v>
      </c>
      <c r="I296" s="92">
        <v>127.39999999999999</v>
      </c>
      <c r="J296" s="93">
        <v>29.400000000000002</v>
      </c>
      <c r="K296" s="94">
        <v>19.600000000000001</v>
      </c>
      <c r="L296" s="94">
        <v>19.600000000000001</v>
      </c>
      <c r="M296" s="129">
        <v>19.600000000000001</v>
      </c>
      <c r="N296" s="102">
        <f t="shared" si="8"/>
        <v>19.600000000000001</v>
      </c>
      <c r="O296" s="97">
        <v>0</v>
      </c>
      <c r="P296" s="92">
        <v>0</v>
      </c>
      <c r="Q296" s="98">
        <f t="shared" si="9"/>
        <v>0</v>
      </c>
      <c r="R296" s="102" t="str">
        <f>+IF(Q296+N296&lt;=0, "NO COMPRADOR", +IF(Q296&lt;=0, "SIN COMPRA "&amp;+UPPER(TEXT('DINAMICA ENERO 26'!$C$2,"mmm 'yy")), "COMPRADOR"))</f>
        <v>SIN COMPRA FEB '26</v>
      </c>
      <c r="S296" s="100"/>
      <c r="T296" s="101"/>
      <c r="U296" s="100"/>
      <c r="V296" s="100"/>
    </row>
    <row r="297" spans="1:22" ht="14" hidden="1">
      <c r="A297" s="88" t="s">
        <v>379</v>
      </c>
      <c r="B297" s="89" t="s">
        <v>380</v>
      </c>
      <c r="C297" s="89" t="s">
        <v>38</v>
      </c>
      <c r="D297" s="103">
        <v>100050090</v>
      </c>
      <c r="E297" s="89" t="s">
        <v>39</v>
      </c>
      <c r="F297" s="89">
        <v>100001938</v>
      </c>
      <c r="G297" s="128" t="s">
        <v>386</v>
      </c>
      <c r="H297" s="91">
        <v>588.00000000000011</v>
      </c>
      <c r="I297" s="92">
        <v>686.00000000000011</v>
      </c>
      <c r="J297" s="93">
        <v>676.19999999999993</v>
      </c>
      <c r="K297" s="94">
        <v>411.60000000000014</v>
      </c>
      <c r="L297" s="94">
        <v>803.60000000000025</v>
      </c>
      <c r="M297" s="129">
        <v>744.80000000000007</v>
      </c>
      <c r="N297" s="102">
        <f t="shared" si="8"/>
        <v>653.33333333333348</v>
      </c>
      <c r="O297" s="97">
        <v>754.60000000000014</v>
      </c>
      <c r="P297" s="92">
        <v>49</v>
      </c>
      <c r="Q297" s="98">
        <f t="shared" si="9"/>
        <v>803.60000000000014</v>
      </c>
      <c r="R297" s="102" t="str">
        <f>+IF(Q297+N297&lt;=0, "NO COMPRADOR", +IF(Q297&lt;=0, "SIN COMPRA "&amp;+UPPER(TEXT('DINAMICA ENERO 26'!$C$2,"mmm 'yy")), "COMPRADOR"))</f>
        <v>COMPRADOR</v>
      </c>
      <c r="S297" s="100"/>
      <c r="T297" s="101"/>
      <c r="U297" s="100"/>
      <c r="V297" s="100"/>
    </row>
    <row r="298" spans="1:22" ht="14" hidden="1">
      <c r="A298" s="88" t="s">
        <v>379</v>
      </c>
      <c r="B298" s="89" t="s">
        <v>380</v>
      </c>
      <c r="C298" s="89" t="s">
        <v>38</v>
      </c>
      <c r="D298" s="103">
        <v>100050090</v>
      </c>
      <c r="E298" s="89" t="s">
        <v>39</v>
      </c>
      <c r="F298" s="89">
        <v>100001342</v>
      </c>
      <c r="G298" s="128" t="s">
        <v>387</v>
      </c>
      <c r="H298" s="91">
        <v>0</v>
      </c>
      <c r="I298" s="92">
        <v>0</v>
      </c>
      <c r="J298" s="93">
        <v>0</v>
      </c>
      <c r="K298" s="94">
        <v>0</v>
      </c>
      <c r="L298" s="94">
        <v>0</v>
      </c>
      <c r="M298" s="129">
        <v>0</v>
      </c>
      <c r="N298" s="102">
        <f t="shared" si="8"/>
        <v>0</v>
      </c>
      <c r="O298" s="97">
        <v>0</v>
      </c>
      <c r="P298" s="92">
        <v>0</v>
      </c>
      <c r="Q298" s="98">
        <f t="shared" si="9"/>
        <v>0</v>
      </c>
      <c r="R298" s="102" t="str">
        <f>+IF(Q298+N298&lt;=0, "NO COMPRADOR", +IF(Q298&lt;=0, "SIN COMPRA "&amp;+UPPER(TEXT('DINAMICA ENERO 26'!$C$2,"mmm 'yy")), "COMPRADOR"))</f>
        <v>NO COMPRADOR</v>
      </c>
      <c r="S298" s="100"/>
      <c r="V298" s="100"/>
    </row>
    <row r="299" spans="1:22" ht="14" hidden="1">
      <c r="A299" s="88" t="s">
        <v>379</v>
      </c>
      <c r="B299" s="89" t="s">
        <v>380</v>
      </c>
      <c r="C299" s="89" t="s">
        <v>38</v>
      </c>
      <c r="D299" s="103">
        <v>100075114</v>
      </c>
      <c r="E299" s="89" t="s">
        <v>40</v>
      </c>
      <c r="F299" s="89">
        <v>100001342</v>
      </c>
      <c r="G299" s="128" t="s">
        <v>387</v>
      </c>
      <c r="H299" s="91">
        <v>695.80000000000007</v>
      </c>
      <c r="I299" s="92">
        <v>68.600000000000009</v>
      </c>
      <c r="J299" s="93">
        <v>9.8000000000000007</v>
      </c>
      <c r="K299" s="94">
        <v>98</v>
      </c>
      <c r="L299" s="94">
        <v>107.8</v>
      </c>
      <c r="M299" s="129">
        <v>411.60000000000019</v>
      </c>
      <c r="N299" s="102">
        <f t="shared" si="8"/>
        <v>205.80000000000007</v>
      </c>
      <c r="O299" s="97">
        <v>294.00000000000006</v>
      </c>
      <c r="P299" s="92">
        <v>215.6</v>
      </c>
      <c r="Q299" s="98">
        <f t="shared" si="9"/>
        <v>509.6</v>
      </c>
      <c r="R299" s="102" t="str">
        <f>+IF(Q299+N299&lt;=0, "NO COMPRADOR", +IF(Q299&lt;=0, "SIN COMPRA "&amp;+UPPER(TEXT('DINAMICA ENERO 26'!$C$2,"mmm 'yy")), "COMPRADOR"))</f>
        <v>COMPRADOR</v>
      </c>
      <c r="S299" s="100"/>
      <c r="V299" s="100"/>
    </row>
    <row r="300" spans="1:22" ht="14" hidden="1">
      <c r="A300" s="88" t="s">
        <v>379</v>
      </c>
      <c r="B300" s="89" t="s">
        <v>380</v>
      </c>
      <c r="C300" s="89" t="s">
        <v>38</v>
      </c>
      <c r="D300" s="103">
        <v>100075114</v>
      </c>
      <c r="E300" s="89" t="s">
        <v>40</v>
      </c>
      <c r="F300" s="89">
        <v>100001850</v>
      </c>
      <c r="G300" s="128" t="s">
        <v>388</v>
      </c>
      <c r="H300" s="91">
        <v>117.60000000000001</v>
      </c>
      <c r="I300" s="92">
        <v>78.400000000000006</v>
      </c>
      <c r="J300" s="93">
        <v>29.400000000000002</v>
      </c>
      <c r="K300" s="94">
        <v>68.599999999999994</v>
      </c>
      <c r="L300" s="94">
        <v>137.19999999999999</v>
      </c>
      <c r="M300" s="129">
        <v>39.200000000000003</v>
      </c>
      <c r="N300" s="102">
        <f t="shared" si="8"/>
        <v>81.666666666666671</v>
      </c>
      <c r="O300" s="97">
        <v>49</v>
      </c>
      <c r="P300" s="92">
        <v>19.600000000000001</v>
      </c>
      <c r="Q300" s="98">
        <f t="shared" si="9"/>
        <v>68.599999999999994</v>
      </c>
      <c r="R300" s="102" t="str">
        <f>+IF(Q300+N300&lt;=0, "NO COMPRADOR", +IF(Q300&lt;=0, "SIN COMPRA "&amp;+UPPER(TEXT('DINAMICA ENERO 26'!$C$2,"mmm 'yy")), "COMPRADOR"))</f>
        <v>COMPRADOR</v>
      </c>
      <c r="S300" s="100"/>
      <c r="V300" s="100"/>
    </row>
    <row r="301" spans="1:22" ht="14" hidden="1">
      <c r="A301" s="88" t="s">
        <v>379</v>
      </c>
      <c r="B301" s="89" t="s">
        <v>380</v>
      </c>
      <c r="C301" s="89" t="s">
        <v>38</v>
      </c>
      <c r="D301" s="103">
        <v>100075114</v>
      </c>
      <c r="E301" s="89" t="s">
        <v>40</v>
      </c>
      <c r="F301" s="89">
        <v>100002199</v>
      </c>
      <c r="G301" s="128" t="s">
        <v>389</v>
      </c>
      <c r="H301" s="91">
        <v>215.60000000000002</v>
      </c>
      <c r="I301" s="92">
        <v>303.8</v>
      </c>
      <c r="J301" s="93">
        <v>78.400000000000006</v>
      </c>
      <c r="K301" s="94">
        <v>343</v>
      </c>
      <c r="L301" s="94">
        <v>98</v>
      </c>
      <c r="M301" s="129">
        <v>117.60000000000001</v>
      </c>
      <c r="N301" s="102">
        <f t="shared" si="8"/>
        <v>186.20000000000002</v>
      </c>
      <c r="O301" s="97">
        <v>107.80000000000001</v>
      </c>
      <c r="P301" s="92">
        <v>0</v>
      </c>
      <c r="Q301" s="98">
        <f t="shared" si="9"/>
        <v>107.80000000000001</v>
      </c>
      <c r="R301" s="102" t="str">
        <f>+IF(Q301+N301&lt;=0, "NO COMPRADOR", +IF(Q301&lt;=0, "SIN COMPRA "&amp;+UPPER(TEXT('DINAMICA ENERO 26'!$C$2,"mmm 'yy")), "COMPRADOR"))</f>
        <v>COMPRADOR</v>
      </c>
      <c r="S301" s="100"/>
      <c r="V301" s="100"/>
    </row>
    <row r="302" spans="1:22" ht="14" hidden="1">
      <c r="A302" s="88" t="s">
        <v>379</v>
      </c>
      <c r="B302" s="89" t="s">
        <v>380</v>
      </c>
      <c r="C302" s="89" t="s">
        <v>38</v>
      </c>
      <c r="D302" s="103">
        <v>100075114</v>
      </c>
      <c r="E302" s="89" t="s">
        <v>40</v>
      </c>
      <c r="F302" s="89">
        <v>100001583</v>
      </c>
      <c r="G302" s="128" t="s">
        <v>390</v>
      </c>
      <c r="H302" s="91">
        <v>196</v>
      </c>
      <c r="I302" s="92">
        <v>19.600000000000001</v>
      </c>
      <c r="J302" s="93">
        <v>205.8</v>
      </c>
      <c r="K302" s="94">
        <v>117.6</v>
      </c>
      <c r="L302" s="94">
        <v>117.6</v>
      </c>
      <c r="M302" s="129">
        <v>117.6</v>
      </c>
      <c r="N302" s="102">
        <f t="shared" si="8"/>
        <v>117.59999999999998</v>
      </c>
      <c r="O302" s="97">
        <v>137.20000000000002</v>
      </c>
      <c r="P302" s="92">
        <v>0</v>
      </c>
      <c r="Q302" s="98">
        <f t="shared" si="9"/>
        <v>137.20000000000002</v>
      </c>
      <c r="R302" s="102" t="str">
        <f>+IF(Q302+N302&lt;=0, "NO COMPRADOR", +IF(Q302&lt;=0, "SIN COMPRA "&amp;+UPPER(TEXT('DINAMICA ENERO 26'!$C$2,"mmm 'yy")), "COMPRADOR"))</f>
        <v>COMPRADOR</v>
      </c>
      <c r="S302" s="100"/>
      <c r="V302" s="100"/>
    </row>
    <row r="303" spans="1:22" ht="14" hidden="1">
      <c r="A303" s="88" t="s">
        <v>379</v>
      </c>
      <c r="B303" s="89" t="s">
        <v>380</v>
      </c>
      <c r="C303" s="89" t="s">
        <v>38</v>
      </c>
      <c r="D303" s="103">
        <v>100075114</v>
      </c>
      <c r="E303" s="89" t="s">
        <v>40</v>
      </c>
      <c r="F303" s="89">
        <v>100001186</v>
      </c>
      <c r="G303" s="128" t="s">
        <v>391</v>
      </c>
      <c r="H303" s="91">
        <v>176.40000000000003</v>
      </c>
      <c r="I303" s="92">
        <v>78.399999999999991</v>
      </c>
      <c r="J303" s="93">
        <v>215.6</v>
      </c>
      <c r="K303" s="94">
        <v>68.600000000000009</v>
      </c>
      <c r="L303" s="94">
        <v>225.40000000000003</v>
      </c>
      <c r="M303" s="129">
        <v>284.20000000000005</v>
      </c>
      <c r="N303" s="102">
        <f t="shared" si="8"/>
        <v>192.73333333333335</v>
      </c>
      <c r="O303" s="97">
        <v>9.8000000000000007</v>
      </c>
      <c r="P303" s="92">
        <v>0</v>
      </c>
      <c r="Q303" s="98">
        <f t="shared" si="9"/>
        <v>9.8000000000000007</v>
      </c>
      <c r="R303" s="102" t="str">
        <f>+IF(Q303+N303&lt;=0, "NO COMPRADOR", +IF(Q303&lt;=0, "SIN COMPRA "&amp;+UPPER(TEXT('DINAMICA ENERO 26'!$C$2,"mmm 'yy")), "COMPRADOR"))</f>
        <v>COMPRADOR</v>
      </c>
      <c r="S303" s="100"/>
      <c r="V303" s="100"/>
    </row>
    <row r="304" spans="1:22" ht="14">
      <c r="A304" s="88" t="s">
        <v>379</v>
      </c>
      <c r="B304" s="89" t="s">
        <v>380</v>
      </c>
      <c r="C304" s="89" t="s">
        <v>38</v>
      </c>
      <c r="D304" s="103">
        <v>100075114</v>
      </c>
      <c r="E304" s="89" t="s">
        <v>40</v>
      </c>
      <c r="F304" s="89">
        <v>100001979</v>
      </c>
      <c r="G304" s="128" t="s">
        <v>290</v>
      </c>
      <c r="H304" s="91">
        <v>29.400000000000002</v>
      </c>
      <c r="I304" s="92">
        <v>9.8000000000000007</v>
      </c>
      <c r="J304" s="93">
        <v>0</v>
      </c>
      <c r="K304" s="94">
        <v>19.600000000000001</v>
      </c>
      <c r="L304" s="94">
        <v>9.8000000000000007</v>
      </c>
      <c r="M304" s="129">
        <v>19.600000000000001</v>
      </c>
      <c r="N304" s="102">
        <f t="shared" si="8"/>
        <v>16.333333333333332</v>
      </c>
      <c r="O304" s="97">
        <v>19.600000000000001</v>
      </c>
      <c r="P304" s="92">
        <v>0</v>
      </c>
      <c r="Q304" s="98">
        <f t="shared" si="9"/>
        <v>19.600000000000001</v>
      </c>
      <c r="R304" s="102" t="str">
        <f>+IF(Q304+N304&lt;=0, "NO COMPRADOR", +IF(Q304&lt;=0, "SIN COMPRA "&amp;+UPPER(TEXT('DINAMICA ENERO 26'!$C$2,"mmm 'yy")), "COMPRADOR"))</f>
        <v>COMPRADOR</v>
      </c>
      <c r="S304" s="100"/>
      <c r="V304" s="100"/>
    </row>
    <row r="305" spans="1:22" ht="14" hidden="1">
      <c r="A305" s="88" t="s">
        <v>379</v>
      </c>
      <c r="B305" s="89" t="s">
        <v>380</v>
      </c>
      <c r="C305" s="89" t="s">
        <v>38</v>
      </c>
      <c r="D305" s="103">
        <v>100075114</v>
      </c>
      <c r="E305" s="89" t="s">
        <v>40</v>
      </c>
      <c r="F305" s="89">
        <v>100002075</v>
      </c>
      <c r="G305" s="128" t="s">
        <v>392</v>
      </c>
      <c r="H305" s="91">
        <v>303.80000000000013</v>
      </c>
      <c r="I305" s="92">
        <v>852.59999999999889</v>
      </c>
      <c r="J305" s="93">
        <v>617.4</v>
      </c>
      <c r="K305" s="94">
        <v>685.99999999999977</v>
      </c>
      <c r="L305" s="94">
        <v>597.80000000000007</v>
      </c>
      <c r="M305" s="129">
        <v>734.99999999999989</v>
      </c>
      <c r="N305" s="102">
        <f t="shared" si="8"/>
        <v>672.93333333333328</v>
      </c>
      <c r="O305" s="97">
        <v>401.8000000000003</v>
      </c>
      <c r="P305" s="92">
        <v>186.20000000000005</v>
      </c>
      <c r="Q305" s="98">
        <f t="shared" si="9"/>
        <v>588.00000000000034</v>
      </c>
      <c r="R305" s="102" t="str">
        <f>+IF(Q305+N305&lt;=0, "NO COMPRADOR", +IF(Q305&lt;=0, "SIN COMPRA "&amp;+UPPER(TEXT('DINAMICA ENERO 26'!$C$2,"mmm 'yy")), "COMPRADOR"))</f>
        <v>COMPRADOR</v>
      </c>
      <c r="S305" s="100"/>
      <c r="V305" s="100"/>
    </row>
    <row r="306" spans="1:22" ht="14" hidden="1">
      <c r="A306" s="88" t="s">
        <v>379</v>
      </c>
      <c r="B306" s="89" t="s">
        <v>380</v>
      </c>
      <c r="C306" s="89" t="s">
        <v>38</v>
      </c>
      <c r="D306" s="103">
        <v>100075114</v>
      </c>
      <c r="E306" s="89" t="s">
        <v>40</v>
      </c>
      <c r="F306" s="89">
        <v>100001434</v>
      </c>
      <c r="G306" s="128" t="s">
        <v>381</v>
      </c>
      <c r="H306" s="91">
        <v>0</v>
      </c>
      <c r="I306" s="92">
        <v>0</v>
      </c>
      <c r="J306" s="93">
        <v>0</v>
      </c>
      <c r="K306" s="94">
        <v>0</v>
      </c>
      <c r="L306" s="94">
        <v>0</v>
      </c>
      <c r="M306" s="129">
        <v>0</v>
      </c>
      <c r="N306" s="102">
        <f t="shared" si="8"/>
        <v>0</v>
      </c>
      <c r="O306" s="97">
        <v>68.600000000000009</v>
      </c>
      <c r="P306" s="92">
        <v>0</v>
      </c>
      <c r="Q306" s="98">
        <f t="shared" si="9"/>
        <v>68.600000000000009</v>
      </c>
      <c r="R306" s="102" t="str">
        <f>+IF(Q306+N306&lt;=0, "NO COMPRADOR", +IF(Q306&lt;=0, "SIN COMPRA "&amp;+UPPER(TEXT('DINAMICA ENERO 26'!$C$2,"mmm 'yy")), "COMPRADOR"))</f>
        <v>COMPRADOR</v>
      </c>
      <c r="S306" s="100"/>
      <c r="V306" s="100"/>
    </row>
    <row r="307" spans="1:22" ht="14" hidden="1">
      <c r="A307" s="88" t="s">
        <v>379</v>
      </c>
      <c r="B307" s="89" t="s">
        <v>380</v>
      </c>
      <c r="C307" s="89" t="s">
        <v>38</v>
      </c>
      <c r="D307" s="103">
        <v>100071290</v>
      </c>
      <c r="E307" s="89" t="s">
        <v>41</v>
      </c>
      <c r="F307" s="89">
        <v>100002075</v>
      </c>
      <c r="G307" s="128" t="s">
        <v>392</v>
      </c>
      <c r="H307" s="91">
        <v>49</v>
      </c>
      <c r="I307" s="92">
        <v>9.8000000000000007</v>
      </c>
      <c r="J307" s="93">
        <v>98</v>
      </c>
      <c r="K307" s="94">
        <v>0</v>
      </c>
      <c r="L307" s="94">
        <v>0</v>
      </c>
      <c r="M307" s="129">
        <v>39.200000000000003</v>
      </c>
      <c r="N307" s="102">
        <f t="shared" si="8"/>
        <v>13.066666666666668</v>
      </c>
      <c r="O307" s="97">
        <v>0</v>
      </c>
      <c r="P307" s="92">
        <v>0</v>
      </c>
      <c r="Q307" s="98">
        <f t="shared" si="9"/>
        <v>0</v>
      </c>
      <c r="R307" s="102" t="str">
        <f>+IF(Q307+N307&lt;=0, "NO COMPRADOR", +IF(Q307&lt;=0, "SIN COMPRA "&amp;+UPPER(TEXT('DINAMICA ENERO 26'!$C$2,"mmm 'yy")), "COMPRADOR"))</f>
        <v>SIN COMPRA FEB '26</v>
      </c>
      <c r="S307" s="100"/>
      <c r="V307" s="100"/>
    </row>
    <row r="308" spans="1:22" ht="14" hidden="1">
      <c r="A308" s="88" t="s">
        <v>379</v>
      </c>
      <c r="B308" s="89" t="s">
        <v>380</v>
      </c>
      <c r="C308" s="89" t="s">
        <v>38</v>
      </c>
      <c r="D308" s="103">
        <v>100071290</v>
      </c>
      <c r="E308" s="89" t="s">
        <v>41</v>
      </c>
      <c r="F308" s="89">
        <v>100001272</v>
      </c>
      <c r="G308" s="128" t="s">
        <v>393</v>
      </c>
      <c r="H308" s="91">
        <v>97.999999999999986</v>
      </c>
      <c r="I308" s="92">
        <v>39.200000000000003</v>
      </c>
      <c r="J308" s="93">
        <v>49</v>
      </c>
      <c r="K308" s="94">
        <v>49</v>
      </c>
      <c r="L308" s="94">
        <v>19.600000000000001</v>
      </c>
      <c r="M308" s="129">
        <v>137.19999999999999</v>
      </c>
      <c r="N308" s="102">
        <f t="shared" si="8"/>
        <v>68.599999999999994</v>
      </c>
      <c r="O308" s="97">
        <v>29.400000000000002</v>
      </c>
      <c r="P308" s="92">
        <v>0</v>
      </c>
      <c r="Q308" s="98">
        <f t="shared" si="9"/>
        <v>29.400000000000002</v>
      </c>
      <c r="R308" s="102" t="str">
        <f>+IF(Q308+N308&lt;=0, "NO COMPRADOR", +IF(Q308&lt;=0, "SIN COMPRA "&amp;+UPPER(TEXT('DINAMICA ENERO 26'!$C$2,"mmm 'yy")), "COMPRADOR"))</f>
        <v>COMPRADOR</v>
      </c>
      <c r="S308" s="100"/>
      <c r="V308" s="100"/>
    </row>
    <row r="309" spans="1:22" ht="14" hidden="1">
      <c r="A309" s="88" t="s">
        <v>379</v>
      </c>
      <c r="B309" s="89" t="s">
        <v>380</v>
      </c>
      <c r="C309" s="89" t="s">
        <v>38</v>
      </c>
      <c r="D309" s="103">
        <v>100071290</v>
      </c>
      <c r="E309" s="89" t="s">
        <v>41</v>
      </c>
      <c r="F309" s="89">
        <v>100001342</v>
      </c>
      <c r="G309" s="128" t="s">
        <v>387</v>
      </c>
      <c r="H309" s="91">
        <v>343.00000000000011</v>
      </c>
      <c r="I309" s="92">
        <v>264.60000000000002</v>
      </c>
      <c r="J309" s="93">
        <v>245.00000000000003</v>
      </c>
      <c r="K309" s="94">
        <v>156.79999999999998</v>
      </c>
      <c r="L309" s="94">
        <v>186.20000000000005</v>
      </c>
      <c r="M309" s="129">
        <v>499.8000000000003</v>
      </c>
      <c r="N309" s="102">
        <f t="shared" si="8"/>
        <v>280.93333333333345</v>
      </c>
      <c r="O309" s="97">
        <v>88.199999999999974</v>
      </c>
      <c r="P309" s="92">
        <v>215.60000000000005</v>
      </c>
      <c r="Q309" s="98">
        <f t="shared" si="9"/>
        <v>303.8</v>
      </c>
      <c r="R309" s="102" t="str">
        <f>+IF(Q309+N309&lt;=0, "NO COMPRADOR", +IF(Q309&lt;=0, "SIN COMPRA "&amp;+UPPER(TEXT('DINAMICA ENERO 26'!$C$2,"mmm 'yy")), "COMPRADOR"))</f>
        <v>COMPRADOR</v>
      </c>
      <c r="S309" s="100"/>
      <c r="V309" s="100"/>
    </row>
    <row r="310" spans="1:22" ht="14" hidden="1">
      <c r="A310" s="88" t="s">
        <v>379</v>
      </c>
      <c r="B310" s="89" t="s">
        <v>380</v>
      </c>
      <c r="C310" s="89" t="s">
        <v>38</v>
      </c>
      <c r="D310" s="103">
        <v>100071290</v>
      </c>
      <c r="E310" s="89" t="s">
        <v>41</v>
      </c>
      <c r="F310" s="89">
        <v>100001526</v>
      </c>
      <c r="G310" s="128" t="s">
        <v>394</v>
      </c>
      <c r="H310" s="91">
        <v>0</v>
      </c>
      <c r="I310" s="92">
        <v>39.200000000000003</v>
      </c>
      <c r="J310" s="93">
        <v>0</v>
      </c>
      <c r="K310" s="94">
        <v>9.8000000000000007</v>
      </c>
      <c r="L310" s="94">
        <v>0</v>
      </c>
      <c r="M310" s="129">
        <v>58.800000000000004</v>
      </c>
      <c r="N310" s="102">
        <f t="shared" si="8"/>
        <v>22.866666666666671</v>
      </c>
      <c r="O310" s="97">
        <v>19.600000000000001</v>
      </c>
      <c r="P310" s="92">
        <v>9.8000000000000007</v>
      </c>
      <c r="Q310" s="98">
        <f t="shared" si="9"/>
        <v>29.400000000000002</v>
      </c>
      <c r="R310" s="102" t="str">
        <f>+IF(Q310+N310&lt;=0, "NO COMPRADOR", +IF(Q310&lt;=0, "SIN COMPRA "&amp;+UPPER(TEXT('DINAMICA ENERO 26'!$C$2,"mmm 'yy")), "COMPRADOR"))</f>
        <v>COMPRADOR</v>
      </c>
      <c r="S310" s="100"/>
      <c r="V310" s="100"/>
    </row>
    <row r="311" spans="1:22" ht="14">
      <c r="A311" s="88" t="s">
        <v>379</v>
      </c>
      <c r="B311" s="89" t="s">
        <v>380</v>
      </c>
      <c r="C311" s="89" t="s">
        <v>38</v>
      </c>
      <c r="D311" s="103">
        <v>100071290</v>
      </c>
      <c r="E311" s="89" t="s">
        <v>41</v>
      </c>
      <c r="F311" s="89">
        <v>100001979</v>
      </c>
      <c r="G311" s="128" t="s">
        <v>290</v>
      </c>
      <c r="H311" s="91">
        <v>68.599999999999994</v>
      </c>
      <c r="I311" s="92">
        <v>88.199999999999989</v>
      </c>
      <c r="J311" s="93">
        <v>78.399999999999991</v>
      </c>
      <c r="K311" s="94">
        <v>88.199999999999989</v>
      </c>
      <c r="L311" s="94">
        <v>127.39999999999999</v>
      </c>
      <c r="M311" s="129">
        <v>107.79999999999998</v>
      </c>
      <c r="N311" s="102">
        <f t="shared" si="8"/>
        <v>107.8</v>
      </c>
      <c r="O311" s="97">
        <v>19.600000000000001</v>
      </c>
      <c r="P311" s="92">
        <v>0</v>
      </c>
      <c r="Q311" s="98">
        <f t="shared" si="9"/>
        <v>19.600000000000001</v>
      </c>
      <c r="R311" s="102" t="str">
        <f>+IF(Q311+N311&lt;=0, "NO COMPRADOR", +IF(Q311&lt;=0, "SIN COMPRA "&amp;+UPPER(TEXT('DINAMICA ENERO 26'!$C$2,"mmm 'yy")), "COMPRADOR"))</f>
        <v>COMPRADOR</v>
      </c>
      <c r="S311" s="100"/>
      <c r="V311" s="100"/>
    </row>
    <row r="312" spans="1:22" ht="14" hidden="1">
      <c r="A312" s="88" t="s">
        <v>379</v>
      </c>
      <c r="B312" s="89" t="s">
        <v>380</v>
      </c>
      <c r="C312" s="89" t="s">
        <v>38</v>
      </c>
      <c r="D312" s="103">
        <v>100071290</v>
      </c>
      <c r="E312" s="89" t="s">
        <v>41</v>
      </c>
      <c r="F312" s="89">
        <v>100063475</v>
      </c>
      <c r="G312" s="128" t="s">
        <v>395</v>
      </c>
      <c r="H312" s="91">
        <v>196</v>
      </c>
      <c r="I312" s="92">
        <v>294</v>
      </c>
      <c r="J312" s="93">
        <v>0</v>
      </c>
      <c r="K312" s="94">
        <v>147</v>
      </c>
      <c r="L312" s="94">
        <v>196</v>
      </c>
      <c r="M312" s="129">
        <v>0</v>
      </c>
      <c r="N312" s="102">
        <f t="shared" si="8"/>
        <v>114.33333333333333</v>
      </c>
      <c r="O312" s="97">
        <v>98</v>
      </c>
      <c r="P312" s="92">
        <v>0</v>
      </c>
      <c r="Q312" s="98">
        <f t="shared" si="9"/>
        <v>98</v>
      </c>
      <c r="R312" s="102" t="str">
        <f>+IF(Q312+N312&lt;=0, "NO COMPRADOR", +IF(Q312&lt;=0, "SIN COMPRA "&amp;+UPPER(TEXT('DINAMICA ENERO 26'!$C$2,"mmm 'yy")), "COMPRADOR"))</f>
        <v>COMPRADOR</v>
      </c>
      <c r="S312" s="100"/>
      <c r="V312" s="100"/>
    </row>
    <row r="313" spans="1:22" ht="14" hidden="1">
      <c r="A313" s="88" t="s">
        <v>379</v>
      </c>
      <c r="B313" s="89" t="s">
        <v>380</v>
      </c>
      <c r="C313" s="89" t="s">
        <v>38</v>
      </c>
      <c r="D313" s="103">
        <v>100071290</v>
      </c>
      <c r="E313" s="89" t="s">
        <v>41</v>
      </c>
      <c r="F313" s="89">
        <v>100001583</v>
      </c>
      <c r="G313" s="128" t="s">
        <v>390</v>
      </c>
      <c r="H313" s="91">
        <v>401.8</v>
      </c>
      <c r="I313" s="92">
        <v>490</v>
      </c>
      <c r="J313" s="93">
        <v>225.4</v>
      </c>
      <c r="K313" s="94">
        <v>646.79999999999995</v>
      </c>
      <c r="L313" s="94">
        <v>1009.4000000000001</v>
      </c>
      <c r="M313" s="129">
        <v>617.4</v>
      </c>
      <c r="N313" s="102">
        <f t="shared" si="8"/>
        <v>757.86666666666667</v>
      </c>
      <c r="O313" s="97">
        <v>323.40000000000003</v>
      </c>
      <c r="P313" s="92">
        <v>0</v>
      </c>
      <c r="Q313" s="98">
        <f t="shared" si="9"/>
        <v>323.40000000000003</v>
      </c>
      <c r="R313" s="102" t="str">
        <f>+IF(Q313+N313&lt;=0, "NO COMPRADOR", +IF(Q313&lt;=0, "SIN COMPRA "&amp;+UPPER(TEXT('DINAMICA ENERO 26'!$C$2,"mmm 'yy")), "COMPRADOR"))</f>
        <v>COMPRADOR</v>
      </c>
      <c r="S313" s="100"/>
      <c r="V313" s="100"/>
    </row>
    <row r="314" spans="1:22" ht="14" hidden="1">
      <c r="A314" s="88" t="s">
        <v>379</v>
      </c>
      <c r="B314" s="89" t="s">
        <v>380</v>
      </c>
      <c r="C314" s="89" t="s">
        <v>38</v>
      </c>
      <c r="D314" s="103">
        <v>100071290</v>
      </c>
      <c r="E314" s="89" t="s">
        <v>41</v>
      </c>
      <c r="F314" s="89">
        <v>100002003</v>
      </c>
      <c r="G314" s="128" t="s">
        <v>396</v>
      </c>
      <c r="H314" s="91">
        <v>156.80000000000001</v>
      </c>
      <c r="I314" s="92">
        <v>58.800000000000004</v>
      </c>
      <c r="J314" s="93">
        <v>735</v>
      </c>
      <c r="K314" s="94">
        <v>196</v>
      </c>
      <c r="L314" s="94">
        <v>196</v>
      </c>
      <c r="M314" s="129">
        <v>441.00000000000006</v>
      </c>
      <c r="N314" s="102">
        <f t="shared" si="8"/>
        <v>277.66666666666669</v>
      </c>
      <c r="O314" s="97">
        <v>0</v>
      </c>
      <c r="P314" s="92">
        <v>0</v>
      </c>
      <c r="Q314" s="98">
        <f t="shared" si="9"/>
        <v>0</v>
      </c>
      <c r="R314" s="102" t="str">
        <f>+IF(Q314+N314&lt;=0, "NO COMPRADOR", +IF(Q314&lt;=0, "SIN COMPRA "&amp;+UPPER(TEXT('DINAMICA ENERO 26'!$C$2,"mmm 'yy")), "COMPRADOR"))</f>
        <v>SIN COMPRA FEB '26</v>
      </c>
      <c r="S314" s="100"/>
      <c r="V314" s="100"/>
    </row>
    <row r="315" spans="1:22" ht="14" hidden="1">
      <c r="A315" s="88" t="s">
        <v>379</v>
      </c>
      <c r="B315" s="89" t="s">
        <v>380</v>
      </c>
      <c r="C315" s="89" t="s">
        <v>38</v>
      </c>
      <c r="D315" s="103">
        <v>100071290</v>
      </c>
      <c r="E315" s="89" t="s">
        <v>41</v>
      </c>
      <c r="F315" s="89">
        <v>100002411</v>
      </c>
      <c r="G315" s="128" t="s">
        <v>397</v>
      </c>
      <c r="H315" s="91">
        <v>49</v>
      </c>
      <c r="I315" s="92">
        <v>49</v>
      </c>
      <c r="J315" s="93">
        <v>0</v>
      </c>
      <c r="K315" s="94">
        <v>0</v>
      </c>
      <c r="L315" s="94">
        <v>49</v>
      </c>
      <c r="M315" s="129">
        <v>0</v>
      </c>
      <c r="N315" s="102">
        <f t="shared" si="8"/>
        <v>16.333333333333332</v>
      </c>
      <c r="O315" s="97">
        <v>98</v>
      </c>
      <c r="P315" s="92">
        <v>0</v>
      </c>
      <c r="Q315" s="98">
        <f t="shared" si="9"/>
        <v>98</v>
      </c>
      <c r="R315" s="102" t="str">
        <f>+IF(Q315+N315&lt;=0, "NO COMPRADOR", +IF(Q315&lt;=0, "SIN COMPRA "&amp;+UPPER(TEXT('DINAMICA ENERO 26'!$C$2,"mmm 'yy")), "COMPRADOR"))</f>
        <v>COMPRADOR</v>
      </c>
      <c r="S315" s="100"/>
      <c r="V315" s="100"/>
    </row>
    <row r="316" spans="1:22" ht="14" hidden="1">
      <c r="A316" s="88" t="s">
        <v>379</v>
      </c>
      <c r="B316" s="89" t="s">
        <v>380</v>
      </c>
      <c r="C316" s="89" t="s">
        <v>38</v>
      </c>
      <c r="D316" s="103">
        <v>100071290</v>
      </c>
      <c r="E316" s="89" t="s">
        <v>41</v>
      </c>
      <c r="F316" s="89">
        <v>100002069</v>
      </c>
      <c r="G316" s="128" t="s">
        <v>398</v>
      </c>
      <c r="H316" s="91">
        <v>392</v>
      </c>
      <c r="I316" s="92">
        <v>0</v>
      </c>
      <c r="J316" s="93">
        <v>392</v>
      </c>
      <c r="K316" s="94">
        <v>460.6</v>
      </c>
      <c r="L316" s="94">
        <v>-39.200000000000003</v>
      </c>
      <c r="M316" s="129">
        <v>392</v>
      </c>
      <c r="N316" s="102">
        <f t="shared" si="8"/>
        <v>271.13333333333338</v>
      </c>
      <c r="O316" s="97">
        <v>0</v>
      </c>
      <c r="P316" s="92">
        <v>196</v>
      </c>
      <c r="Q316" s="98">
        <f t="shared" si="9"/>
        <v>196</v>
      </c>
      <c r="R316" s="102" t="str">
        <f>+IF(Q316+N316&lt;=0, "NO COMPRADOR", +IF(Q316&lt;=0, "SIN COMPRA "&amp;+UPPER(TEXT('DINAMICA ENERO 26'!$C$2,"mmm 'yy")), "COMPRADOR"))</f>
        <v>COMPRADOR</v>
      </c>
      <c r="S316" s="100"/>
      <c r="V316" s="100"/>
    </row>
    <row r="317" spans="1:22" ht="14" hidden="1">
      <c r="A317" s="88" t="s">
        <v>379</v>
      </c>
      <c r="B317" s="89" t="s">
        <v>380</v>
      </c>
      <c r="C317" s="89" t="s">
        <v>38</v>
      </c>
      <c r="D317" s="103">
        <v>100071290</v>
      </c>
      <c r="E317" s="89" t="s">
        <v>41</v>
      </c>
      <c r="F317" s="89">
        <v>100002068</v>
      </c>
      <c r="G317" s="128" t="s">
        <v>399</v>
      </c>
      <c r="H317" s="91">
        <v>196</v>
      </c>
      <c r="I317" s="92">
        <v>107.8</v>
      </c>
      <c r="J317" s="93">
        <v>0</v>
      </c>
      <c r="K317" s="94">
        <v>225.4</v>
      </c>
      <c r="L317" s="94">
        <v>19.600000000000001</v>
      </c>
      <c r="M317" s="129">
        <v>460.6</v>
      </c>
      <c r="N317" s="102">
        <f t="shared" si="8"/>
        <v>235.20000000000002</v>
      </c>
      <c r="O317" s="97">
        <v>0</v>
      </c>
      <c r="P317" s="92">
        <v>0</v>
      </c>
      <c r="Q317" s="98">
        <f t="shared" si="9"/>
        <v>0</v>
      </c>
      <c r="R317" s="102" t="str">
        <f>+IF(Q317+N317&lt;=0, "NO COMPRADOR", +IF(Q317&lt;=0, "SIN COMPRA "&amp;+UPPER(TEXT('DINAMICA ENERO 26'!$C$2,"mmm 'yy")), "COMPRADOR"))</f>
        <v>SIN COMPRA FEB '26</v>
      </c>
      <c r="S317" s="100"/>
      <c r="V317" s="100"/>
    </row>
    <row r="318" spans="1:22" ht="14" hidden="1">
      <c r="A318" s="88" t="s">
        <v>379</v>
      </c>
      <c r="B318" s="89" t="s">
        <v>380</v>
      </c>
      <c r="C318" s="89" t="s">
        <v>38</v>
      </c>
      <c r="D318" s="103">
        <v>100071290</v>
      </c>
      <c r="E318" s="89" t="s">
        <v>41</v>
      </c>
      <c r="F318" s="89">
        <v>100008576</v>
      </c>
      <c r="G318" s="128" t="s">
        <v>400</v>
      </c>
      <c r="H318" s="91">
        <v>392</v>
      </c>
      <c r="I318" s="92">
        <v>98</v>
      </c>
      <c r="J318" s="93">
        <v>98</v>
      </c>
      <c r="K318" s="94">
        <v>558.6</v>
      </c>
      <c r="L318" s="94">
        <v>0</v>
      </c>
      <c r="M318" s="129">
        <v>441</v>
      </c>
      <c r="N318" s="102">
        <f t="shared" si="8"/>
        <v>333.2</v>
      </c>
      <c r="O318" s="97">
        <v>490.00000000000006</v>
      </c>
      <c r="P318" s="92">
        <v>490</v>
      </c>
      <c r="Q318" s="98">
        <f t="shared" si="9"/>
        <v>980</v>
      </c>
      <c r="R318" s="102" t="str">
        <f>+IF(Q318+N318&lt;=0, "NO COMPRADOR", +IF(Q318&lt;=0, "SIN COMPRA "&amp;+UPPER(TEXT('DINAMICA ENERO 26'!$C$2,"mmm 'yy")), "COMPRADOR"))</f>
        <v>COMPRADOR</v>
      </c>
      <c r="S318" s="100"/>
      <c r="V318" s="100"/>
    </row>
    <row r="319" spans="1:22" ht="14" hidden="1">
      <c r="A319" s="88" t="s">
        <v>379</v>
      </c>
      <c r="B319" s="89" t="s">
        <v>401</v>
      </c>
      <c r="C319" s="89" t="s">
        <v>60</v>
      </c>
      <c r="D319" s="103">
        <v>100088964</v>
      </c>
      <c r="E319" s="89" t="s">
        <v>64</v>
      </c>
      <c r="F319" s="89">
        <v>100001342</v>
      </c>
      <c r="G319" s="128" t="s">
        <v>387</v>
      </c>
      <c r="H319" s="91">
        <v>0</v>
      </c>
      <c r="I319" s="92">
        <v>0</v>
      </c>
      <c r="J319" s="93">
        <v>58.800000000000004</v>
      </c>
      <c r="K319" s="94">
        <v>29.400000000000002</v>
      </c>
      <c r="L319" s="94">
        <v>0</v>
      </c>
      <c r="M319" s="129">
        <v>49</v>
      </c>
      <c r="N319" s="102">
        <f t="shared" si="8"/>
        <v>26.133333333333336</v>
      </c>
      <c r="O319" s="97">
        <v>49</v>
      </c>
      <c r="P319" s="92">
        <v>0</v>
      </c>
      <c r="Q319" s="98">
        <f t="shared" si="9"/>
        <v>49</v>
      </c>
      <c r="R319" s="102" t="str">
        <f>+IF(Q319+N319&lt;=0, "NO COMPRADOR", +IF(Q319&lt;=0, "SIN COMPRA "&amp;+UPPER(TEXT('DINAMICA ENERO 26'!$C$2,"mmm 'yy")), "COMPRADOR"))</f>
        <v>COMPRADOR</v>
      </c>
      <c r="S319" s="100"/>
      <c r="V319" s="100"/>
    </row>
    <row r="320" spans="1:22" ht="14" hidden="1">
      <c r="A320" s="88" t="s">
        <v>379</v>
      </c>
      <c r="B320" s="89" t="s">
        <v>401</v>
      </c>
      <c r="C320" s="89" t="s">
        <v>60</v>
      </c>
      <c r="D320" s="103">
        <v>100088964</v>
      </c>
      <c r="E320" s="89" t="s">
        <v>64</v>
      </c>
      <c r="F320" s="89">
        <v>100001434</v>
      </c>
      <c r="G320" s="128" t="s">
        <v>381</v>
      </c>
      <c r="H320" s="91">
        <v>0</v>
      </c>
      <c r="I320" s="92">
        <v>0</v>
      </c>
      <c r="J320" s="93">
        <v>0</v>
      </c>
      <c r="K320" s="94">
        <v>0</v>
      </c>
      <c r="L320" s="94">
        <v>0</v>
      </c>
      <c r="M320" s="129">
        <v>0</v>
      </c>
      <c r="N320" s="102">
        <f t="shared" si="8"/>
        <v>0</v>
      </c>
      <c r="O320" s="97">
        <v>147.00000000000003</v>
      </c>
      <c r="P320" s="92">
        <v>9.8000000000000007</v>
      </c>
      <c r="Q320" s="98">
        <f t="shared" si="9"/>
        <v>156.80000000000004</v>
      </c>
      <c r="R320" s="102" t="str">
        <f>+IF(Q320+N320&lt;=0, "NO COMPRADOR", +IF(Q320&lt;=0, "SIN COMPRA "&amp;+UPPER(TEXT('DINAMICA ENERO 26'!$C$2,"mmm 'yy")), "COMPRADOR"))</f>
        <v>COMPRADOR</v>
      </c>
      <c r="S320" s="100"/>
      <c r="V320" s="100"/>
    </row>
    <row r="321" spans="1:22" ht="14" hidden="1">
      <c r="A321" s="88" t="s">
        <v>379</v>
      </c>
      <c r="B321" s="89" t="s">
        <v>401</v>
      </c>
      <c r="C321" s="89" t="s">
        <v>60</v>
      </c>
      <c r="D321" s="103">
        <v>100088964</v>
      </c>
      <c r="E321" s="89" t="s">
        <v>64</v>
      </c>
      <c r="F321" s="89">
        <v>100001507</v>
      </c>
      <c r="G321" s="128" t="s">
        <v>402</v>
      </c>
      <c r="H321" s="91">
        <v>0</v>
      </c>
      <c r="I321" s="92">
        <v>0</v>
      </c>
      <c r="J321" s="93">
        <v>0</v>
      </c>
      <c r="K321" s="94">
        <v>0</v>
      </c>
      <c r="L321" s="94">
        <v>0</v>
      </c>
      <c r="M321" s="129">
        <v>0</v>
      </c>
      <c r="N321" s="102">
        <f t="shared" si="8"/>
        <v>0</v>
      </c>
      <c r="O321" s="97">
        <v>0</v>
      </c>
      <c r="P321" s="92">
        <v>0</v>
      </c>
      <c r="Q321" s="98">
        <f t="shared" si="9"/>
        <v>0</v>
      </c>
      <c r="R321" s="102" t="str">
        <f>+IF(Q321+N321&lt;=0, "NO COMPRADOR", +IF(Q321&lt;=0, "SIN COMPRA "&amp;+UPPER(TEXT('DINAMICA ENERO 26'!$C$2,"mmm 'yy")), "COMPRADOR"))</f>
        <v>NO COMPRADOR</v>
      </c>
      <c r="S321" s="100"/>
      <c r="V321" s="100"/>
    </row>
    <row r="322" spans="1:22" ht="14" hidden="1">
      <c r="A322" s="88" t="s">
        <v>379</v>
      </c>
      <c r="B322" s="89" t="s">
        <v>401</v>
      </c>
      <c r="C322" s="89" t="s">
        <v>60</v>
      </c>
      <c r="D322" s="103">
        <v>100088964</v>
      </c>
      <c r="E322" s="89" t="s">
        <v>64</v>
      </c>
      <c r="F322" s="89">
        <v>100074147</v>
      </c>
      <c r="G322" s="128" t="s">
        <v>403</v>
      </c>
      <c r="H322" s="91">
        <v>0</v>
      </c>
      <c r="I322" s="92">
        <v>19.600000000000001</v>
      </c>
      <c r="J322" s="93">
        <v>58.800000000000004</v>
      </c>
      <c r="K322" s="94">
        <v>0</v>
      </c>
      <c r="L322" s="94">
        <v>78.400000000000006</v>
      </c>
      <c r="M322" s="129">
        <v>0</v>
      </c>
      <c r="N322" s="102">
        <f t="shared" si="8"/>
        <v>26.133333333333336</v>
      </c>
      <c r="O322" s="97">
        <v>0</v>
      </c>
      <c r="P322" s="92">
        <v>0</v>
      </c>
      <c r="Q322" s="98">
        <f t="shared" si="9"/>
        <v>0</v>
      </c>
      <c r="R322" s="102" t="str">
        <f>+IF(Q322+N322&lt;=0, "NO COMPRADOR", +IF(Q322&lt;=0, "SIN COMPRA "&amp;+UPPER(TEXT('DINAMICA ENERO 26'!$C$2,"mmm 'yy")), "COMPRADOR"))</f>
        <v>SIN COMPRA FEB '26</v>
      </c>
      <c r="S322" s="100"/>
      <c r="V322" s="100"/>
    </row>
    <row r="323" spans="1:22" ht="14" hidden="1">
      <c r="A323" s="88" t="s">
        <v>379</v>
      </c>
      <c r="B323" s="89" t="s">
        <v>401</v>
      </c>
      <c r="C323" s="89" t="s">
        <v>60</v>
      </c>
      <c r="D323" s="103">
        <v>100088964</v>
      </c>
      <c r="E323" s="89" t="s">
        <v>64</v>
      </c>
      <c r="F323" s="89">
        <v>100071913</v>
      </c>
      <c r="G323" s="128" t="s">
        <v>404</v>
      </c>
      <c r="H323" s="91">
        <v>0</v>
      </c>
      <c r="I323" s="92">
        <v>0</v>
      </c>
      <c r="J323" s="93">
        <v>0</v>
      </c>
      <c r="K323" s="94">
        <v>0</v>
      </c>
      <c r="L323" s="94">
        <v>0</v>
      </c>
      <c r="M323" s="129">
        <v>0</v>
      </c>
      <c r="N323" s="102">
        <f t="shared" ref="N323:N366" si="10">+AVERAGE(K323:M323)</f>
        <v>0</v>
      </c>
      <c r="O323" s="97">
        <v>0</v>
      </c>
      <c r="P323" s="92">
        <v>0</v>
      </c>
      <c r="Q323" s="98">
        <f t="shared" si="9"/>
        <v>0</v>
      </c>
      <c r="R323" s="102" t="str">
        <f>+IF(Q323+N323&lt;=0, "NO COMPRADOR", +IF(Q323&lt;=0, "SIN COMPRA "&amp;+UPPER(TEXT('DINAMICA ENERO 26'!$C$2,"mmm 'yy")), "COMPRADOR"))</f>
        <v>NO COMPRADOR</v>
      </c>
      <c r="S323" s="100"/>
      <c r="V323" s="100"/>
    </row>
    <row r="324" spans="1:22" ht="14">
      <c r="A324" s="88" t="s">
        <v>379</v>
      </c>
      <c r="B324" s="89" t="s">
        <v>405</v>
      </c>
      <c r="C324" s="89" t="s">
        <v>32</v>
      </c>
      <c r="D324" s="103">
        <v>100089882</v>
      </c>
      <c r="E324" s="89" t="s">
        <v>36</v>
      </c>
      <c r="F324" s="89">
        <v>100001979</v>
      </c>
      <c r="G324" s="128" t="s">
        <v>290</v>
      </c>
      <c r="H324" s="91">
        <v>19.600000000000001</v>
      </c>
      <c r="I324" s="92">
        <v>29.400000000000002</v>
      </c>
      <c r="J324" s="93">
        <v>39.200000000000003</v>
      </c>
      <c r="K324" s="94">
        <v>19.600000000000001</v>
      </c>
      <c r="L324" s="94">
        <v>39.200000000000003</v>
      </c>
      <c r="M324" s="129">
        <v>19.600000000000001</v>
      </c>
      <c r="N324" s="102">
        <f t="shared" si="10"/>
        <v>26.133333333333336</v>
      </c>
      <c r="O324" s="97">
        <v>-9.8000000000000007</v>
      </c>
      <c r="P324" s="92">
        <v>0</v>
      </c>
      <c r="Q324" s="98">
        <f t="shared" ref="Q324:Q366" si="11">+O324+P324</f>
        <v>-9.8000000000000007</v>
      </c>
      <c r="R324" s="102" t="str">
        <f>+IF(Q324+N324&lt;=0, "NO COMPRADOR", +IF(Q324&lt;=0, "SIN COMPRA "&amp;+UPPER(TEXT('DINAMICA ENERO 26'!$C$2,"mmm 'yy")), "COMPRADOR"))</f>
        <v>SIN COMPRA FEB '26</v>
      </c>
      <c r="S324" s="100"/>
      <c r="V324" s="100"/>
    </row>
    <row r="325" spans="1:22" ht="14" hidden="1">
      <c r="A325" s="88" t="s">
        <v>379</v>
      </c>
      <c r="B325" s="89" t="s">
        <v>405</v>
      </c>
      <c r="C325" s="89" t="s">
        <v>32</v>
      </c>
      <c r="D325" s="103">
        <v>100089882</v>
      </c>
      <c r="E325" s="89" t="s">
        <v>36</v>
      </c>
      <c r="F325" s="89">
        <v>100001914</v>
      </c>
      <c r="G325" s="128" t="s">
        <v>406</v>
      </c>
      <c r="H325" s="91">
        <v>186.20000000000005</v>
      </c>
      <c r="I325" s="92">
        <v>196.00000000000003</v>
      </c>
      <c r="J325" s="93">
        <v>186.20000000000002</v>
      </c>
      <c r="K325" s="94">
        <v>186.2</v>
      </c>
      <c r="L325" s="94">
        <v>254.80000000000007</v>
      </c>
      <c r="M325" s="129">
        <v>68.599999999999994</v>
      </c>
      <c r="N325" s="102">
        <f t="shared" si="10"/>
        <v>169.86666666666667</v>
      </c>
      <c r="O325" s="97">
        <v>196.00000000000003</v>
      </c>
      <c r="P325" s="92">
        <v>195.99999999999997</v>
      </c>
      <c r="Q325" s="98">
        <f t="shared" si="11"/>
        <v>392</v>
      </c>
      <c r="R325" s="102" t="str">
        <f>+IF(Q325+N325&lt;=0, "NO COMPRADOR", +IF(Q325&lt;=0, "SIN COMPRA "&amp;+UPPER(TEXT('DINAMICA ENERO 26'!$C$2,"mmm 'yy")), "COMPRADOR"))</f>
        <v>COMPRADOR</v>
      </c>
      <c r="S325" s="100"/>
      <c r="V325" s="100"/>
    </row>
    <row r="326" spans="1:22" ht="14" hidden="1">
      <c r="A326" s="88" t="s">
        <v>407</v>
      </c>
      <c r="B326" s="89" t="s">
        <v>407</v>
      </c>
      <c r="C326" s="89" t="s">
        <v>32</v>
      </c>
      <c r="D326" s="103">
        <v>100066387</v>
      </c>
      <c r="E326" s="89" t="s">
        <v>34</v>
      </c>
      <c r="F326" s="89">
        <v>100002258</v>
      </c>
      <c r="G326" s="128" t="s">
        <v>408</v>
      </c>
      <c r="H326" s="91">
        <v>0</v>
      </c>
      <c r="I326" s="92">
        <v>0</v>
      </c>
      <c r="J326" s="93">
        <v>147</v>
      </c>
      <c r="K326" s="94">
        <v>196</v>
      </c>
      <c r="L326" s="94">
        <v>343</v>
      </c>
      <c r="M326" s="129">
        <v>147</v>
      </c>
      <c r="N326" s="102">
        <f t="shared" si="10"/>
        <v>228.66666666666666</v>
      </c>
      <c r="O326" s="97">
        <v>0</v>
      </c>
      <c r="P326" s="92">
        <v>49</v>
      </c>
      <c r="Q326" s="98">
        <f t="shared" si="11"/>
        <v>49</v>
      </c>
      <c r="R326" s="102" t="str">
        <f>+IF(Q326+N326&lt;=0, "NO COMPRADOR", +IF(Q326&lt;=0, "SIN COMPRA "&amp;+UPPER(TEXT('DINAMICA ENERO 26'!$C$2,"mmm 'yy")), "COMPRADOR"))</f>
        <v>COMPRADOR</v>
      </c>
      <c r="S326" s="100"/>
      <c r="V326" s="100"/>
    </row>
    <row r="327" spans="1:22" ht="14" hidden="1">
      <c r="A327" s="88" t="s">
        <v>407</v>
      </c>
      <c r="B327" s="89" t="s">
        <v>407</v>
      </c>
      <c r="C327" s="89" t="s">
        <v>32</v>
      </c>
      <c r="D327" s="103">
        <v>100087600</v>
      </c>
      <c r="E327" s="89" t="s">
        <v>33</v>
      </c>
      <c r="F327" s="89">
        <v>100002545</v>
      </c>
      <c r="G327" s="128" t="s">
        <v>409</v>
      </c>
      <c r="H327" s="91">
        <v>343.00000000000011</v>
      </c>
      <c r="I327" s="92">
        <v>1107.3999999999996</v>
      </c>
      <c r="J327" s="93">
        <v>764.4000000000002</v>
      </c>
      <c r="K327" s="94">
        <v>372.40000000000003</v>
      </c>
      <c r="L327" s="94">
        <v>460.60000000000014</v>
      </c>
      <c r="M327" s="129">
        <v>1264.1999999999998</v>
      </c>
      <c r="N327" s="102">
        <f t="shared" si="10"/>
        <v>699.06666666666661</v>
      </c>
      <c r="O327" s="97">
        <v>225.39999999999998</v>
      </c>
      <c r="P327" s="92">
        <v>58.800000000000004</v>
      </c>
      <c r="Q327" s="98">
        <f t="shared" si="11"/>
        <v>284.2</v>
      </c>
      <c r="R327" s="102" t="str">
        <f>+IF(Q327+N327&lt;=0, "NO COMPRADOR", +IF(Q327&lt;=0, "SIN COMPRA "&amp;+UPPER(TEXT('DINAMICA ENERO 26'!$C$2,"mmm 'yy")), "COMPRADOR"))</f>
        <v>COMPRADOR</v>
      </c>
      <c r="S327" s="100"/>
      <c r="V327" s="100"/>
    </row>
    <row r="328" spans="1:22" ht="14" hidden="1">
      <c r="A328" s="88" t="s">
        <v>407</v>
      </c>
      <c r="B328" s="89" t="s">
        <v>407</v>
      </c>
      <c r="C328" s="89" t="s">
        <v>32</v>
      </c>
      <c r="D328" s="103">
        <v>100087600</v>
      </c>
      <c r="E328" s="89" t="s">
        <v>33</v>
      </c>
      <c r="F328" s="89">
        <v>100002424</v>
      </c>
      <c r="G328" s="128" t="s">
        <v>410</v>
      </c>
      <c r="H328" s="91">
        <v>215.60000000000002</v>
      </c>
      <c r="I328" s="92">
        <v>0</v>
      </c>
      <c r="J328" s="93">
        <v>-19.600000000000001</v>
      </c>
      <c r="K328" s="94">
        <v>0</v>
      </c>
      <c r="L328" s="94">
        <v>0</v>
      </c>
      <c r="M328" s="129">
        <v>0</v>
      </c>
      <c r="N328" s="102">
        <f t="shared" si="10"/>
        <v>0</v>
      </c>
      <c r="O328" s="97">
        <v>0</v>
      </c>
      <c r="P328" s="92">
        <v>0</v>
      </c>
      <c r="Q328" s="98">
        <f t="shared" si="11"/>
        <v>0</v>
      </c>
      <c r="R328" s="102" t="str">
        <f>+IF(Q328+N328&lt;=0, "NO COMPRADOR", +IF(Q328&lt;=0, "SIN COMPRA "&amp;+UPPER(TEXT('DINAMICA ENERO 26'!$C$2,"mmm 'yy")), "COMPRADOR"))</f>
        <v>NO COMPRADOR</v>
      </c>
      <c r="S328" s="100"/>
      <c r="V328" s="100"/>
    </row>
    <row r="329" spans="1:22" ht="14" hidden="1">
      <c r="A329" s="88" t="s">
        <v>407</v>
      </c>
      <c r="B329" s="89" t="s">
        <v>407</v>
      </c>
      <c r="C329" s="89" t="s">
        <v>32</v>
      </c>
      <c r="D329" s="103">
        <v>100087600</v>
      </c>
      <c r="E329" s="89" t="s">
        <v>33</v>
      </c>
      <c r="F329" s="89">
        <v>100002055</v>
      </c>
      <c r="G329" s="128" t="s">
        <v>411</v>
      </c>
      <c r="H329" s="91">
        <v>0</v>
      </c>
      <c r="I329" s="92">
        <v>2312.7999999999997</v>
      </c>
      <c r="J329" s="93">
        <v>1225</v>
      </c>
      <c r="K329" s="94">
        <v>3312.3999999999992</v>
      </c>
      <c r="L329" s="94">
        <v>1930.6</v>
      </c>
      <c r="M329" s="129">
        <v>2939.9999999999995</v>
      </c>
      <c r="N329" s="102">
        <f t="shared" si="10"/>
        <v>2727.6666666666661</v>
      </c>
      <c r="O329" s="97">
        <v>1440.6</v>
      </c>
      <c r="P329" s="92">
        <v>245</v>
      </c>
      <c r="Q329" s="98">
        <f t="shared" si="11"/>
        <v>1685.6</v>
      </c>
      <c r="R329" s="102" t="str">
        <f>+IF(Q329+N329&lt;=0, "NO COMPRADOR", +IF(Q329&lt;=0, "SIN COMPRA "&amp;+UPPER(TEXT('DINAMICA ENERO 26'!$C$2,"mmm 'yy")), "COMPRADOR"))</f>
        <v>COMPRADOR</v>
      </c>
      <c r="S329" s="100"/>
      <c r="V329" s="100"/>
    </row>
    <row r="330" spans="1:22" ht="14" hidden="1">
      <c r="A330" s="88" t="s">
        <v>407</v>
      </c>
      <c r="B330" s="89" t="s">
        <v>407</v>
      </c>
      <c r="C330" s="89" t="s">
        <v>32</v>
      </c>
      <c r="D330" s="103">
        <v>100087600</v>
      </c>
      <c r="E330" s="89" t="s">
        <v>33</v>
      </c>
      <c r="F330" s="89">
        <v>100002054</v>
      </c>
      <c r="G330" s="128" t="s">
        <v>412</v>
      </c>
      <c r="H330" s="91">
        <v>597.79999999999984</v>
      </c>
      <c r="I330" s="92">
        <v>764.4000000000002</v>
      </c>
      <c r="J330" s="93">
        <v>548.80000000000007</v>
      </c>
      <c r="K330" s="94">
        <v>735</v>
      </c>
      <c r="L330" s="94">
        <v>832.99999999999977</v>
      </c>
      <c r="M330" s="129">
        <v>480.20000000000016</v>
      </c>
      <c r="N330" s="102">
        <f t="shared" si="10"/>
        <v>682.73333333333323</v>
      </c>
      <c r="O330" s="97">
        <v>548.80000000000018</v>
      </c>
      <c r="P330" s="92">
        <v>9.8000000000000007</v>
      </c>
      <c r="Q330" s="98">
        <f t="shared" si="11"/>
        <v>558.60000000000014</v>
      </c>
      <c r="R330" s="102" t="str">
        <f>+IF(Q330+N330&lt;=0, "NO COMPRADOR", +IF(Q330&lt;=0, "SIN COMPRA "&amp;+UPPER(TEXT('DINAMICA ENERO 26'!$C$2,"mmm 'yy")), "COMPRADOR"))</f>
        <v>COMPRADOR</v>
      </c>
      <c r="S330" s="100"/>
      <c r="V330" s="100"/>
    </row>
    <row r="331" spans="1:22" ht="14" hidden="1">
      <c r="A331" s="88" t="s">
        <v>407</v>
      </c>
      <c r="B331" s="89" t="s">
        <v>407</v>
      </c>
      <c r="C331" s="89" t="s">
        <v>32</v>
      </c>
      <c r="D331" s="103">
        <v>100087600</v>
      </c>
      <c r="E331" s="89" t="s">
        <v>33</v>
      </c>
      <c r="F331" s="89">
        <v>100001241</v>
      </c>
      <c r="G331" s="128" t="s">
        <v>413</v>
      </c>
      <c r="H331" s="91">
        <v>519.40000000000032</v>
      </c>
      <c r="I331" s="92">
        <v>2156.0000000000005</v>
      </c>
      <c r="J331" s="93">
        <v>372.40000000000009</v>
      </c>
      <c r="K331" s="94">
        <v>1264.1999999999996</v>
      </c>
      <c r="L331" s="94">
        <v>362.60000000000008</v>
      </c>
      <c r="M331" s="129">
        <v>499.8000000000003</v>
      </c>
      <c r="N331" s="102">
        <f t="shared" si="10"/>
        <v>708.86666666666667</v>
      </c>
      <c r="O331" s="97">
        <v>617.4000000000002</v>
      </c>
      <c r="P331" s="92">
        <v>441.00000000000023</v>
      </c>
      <c r="Q331" s="98">
        <f t="shared" si="11"/>
        <v>1058.4000000000005</v>
      </c>
      <c r="R331" s="102" t="str">
        <f>+IF(Q331+N331&lt;=0, "NO COMPRADOR", +IF(Q331&lt;=0, "SIN COMPRA "&amp;+UPPER(TEXT('DINAMICA ENERO 26'!$C$2,"mmm 'yy")), "COMPRADOR"))</f>
        <v>COMPRADOR</v>
      </c>
      <c r="S331" s="100"/>
      <c r="V331" s="100"/>
    </row>
    <row r="332" spans="1:22" ht="14" hidden="1">
      <c r="A332" s="88" t="s">
        <v>379</v>
      </c>
      <c r="B332" s="89" t="s">
        <v>405</v>
      </c>
      <c r="C332" s="89" t="s">
        <v>32</v>
      </c>
      <c r="D332" s="103">
        <v>100066387</v>
      </c>
      <c r="E332" s="89" t="s">
        <v>34</v>
      </c>
      <c r="F332" s="89">
        <v>100086833</v>
      </c>
      <c r="G332" s="128" t="s">
        <v>414</v>
      </c>
      <c r="H332" s="91">
        <v>0</v>
      </c>
      <c r="I332" s="92">
        <v>0</v>
      </c>
      <c r="J332" s="93">
        <v>0</v>
      </c>
      <c r="K332" s="94">
        <v>0</v>
      </c>
      <c r="L332" s="94">
        <v>0</v>
      </c>
      <c r="M332" s="129">
        <v>0</v>
      </c>
      <c r="N332" s="102">
        <f t="shared" si="10"/>
        <v>0</v>
      </c>
      <c r="O332" s="97">
        <v>0</v>
      </c>
      <c r="P332" s="92">
        <v>0</v>
      </c>
      <c r="Q332" s="98">
        <f t="shared" si="11"/>
        <v>0</v>
      </c>
      <c r="R332" s="102" t="str">
        <f>+IF(Q332+N332&lt;=0, "NO COMPRADOR", +IF(Q332&lt;=0, "SIN COMPRA "&amp;+UPPER(TEXT('DINAMICA ENERO 26'!$C$2,"mmm 'yy")), "COMPRADOR"))</f>
        <v>NO COMPRADOR</v>
      </c>
      <c r="S332" s="100"/>
      <c r="V332" s="100"/>
    </row>
    <row r="333" spans="1:22" ht="14" hidden="1">
      <c r="A333" s="88" t="s">
        <v>379</v>
      </c>
      <c r="B333" s="89" t="s">
        <v>415</v>
      </c>
      <c r="C333" s="89" t="s">
        <v>32</v>
      </c>
      <c r="D333" s="110">
        <v>100066387</v>
      </c>
      <c r="E333" s="110" t="s">
        <v>34</v>
      </c>
      <c r="F333" s="89">
        <v>100001434</v>
      </c>
      <c r="G333" s="128" t="s">
        <v>381</v>
      </c>
      <c r="H333" s="91">
        <v>-352.80000000000018</v>
      </c>
      <c r="I333" s="92">
        <v>-19.600000000000001</v>
      </c>
      <c r="J333" s="93">
        <v>-58.8</v>
      </c>
      <c r="K333" s="94">
        <v>0</v>
      </c>
      <c r="L333" s="94">
        <v>0</v>
      </c>
      <c r="M333" s="129">
        <v>0</v>
      </c>
      <c r="N333" s="102">
        <f t="shared" si="10"/>
        <v>0</v>
      </c>
      <c r="O333" s="97">
        <v>4713.7999999999938</v>
      </c>
      <c r="P333" s="92">
        <v>39.200000000000003</v>
      </c>
      <c r="Q333" s="98">
        <f t="shared" si="11"/>
        <v>4752.9999999999936</v>
      </c>
      <c r="R333" s="102" t="str">
        <f>+IF(Q333+N333&lt;=0, "NO COMPRADOR", +IF(Q333&lt;=0, "SIN COMPRA "&amp;+UPPER(TEXT('DINAMICA ENERO 26'!$C$2,"mmm 'yy")), "COMPRADOR"))</f>
        <v>COMPRADOR</v>
      </c>
      <c r="S333" s="100"/>
      <c r="V333" s="100"/>
    </row>
    <row r="334" spans="1:22" ht="14" hidden="1">
      <c r="A334" s="88" t="s">
        <v>379</v>
      </c>
      <c r="B334" s="89" t="s">
        <v>415</v>
      </c>
      <c r="C334" s="89" t="s">
        <v>32</v>
      </c>
      <c r="D334" s="110">
        <v>100089882</v>
      </c>
      <c r="E334" s="110" t="s">
        <v>36</v>
      </c>
      <c r="F334" s="89">
        <v>100002273</v>
      </c>
      <c r="G334" s="128" t="s">
        <v>416</v>
      </c>
      <c r="H334" s="91">
        <v>784</v>
      </c>
      <c r="I334" s="92">
        <v>196</v>
      </c>
      <c r="J334" s="93">
        <v>1568</v>
      </c>
      <c r="K334" s="94">
        <v>98</v>
      </c>
      <c r="L334" s="94">
        <v>392</v>
      </c>
      <c r="M334" s="129">
        <v>3136</v>
      </c>
      <c r="N334" s="102">
        <f t="shared" si="10"/>
        <v>1208.6666666666667</v>
      </c>
      <c r="O334" s="97">
        <v>1479.8000000000002</v>
      </c>
      <c r="P334" s="92">
        <v>0</v>
      </c>
      <c r="Q334" s="98">
        <f t="shared" si="11"/>
        <v>1479.8000000000002</v>
      </c>
      <c r="R334" s="102" t="str">
        <f>+IF(Q334+N334&lt;=0, "NO COMPRADOR", +IF(Q334&lt;=0, "SIN COMPRA "&amp;+UPPER(TEXT('DINAMICA ENERO 26'!$C$2,"mmm 'yy")), "COMPRADOR"))</f>
        <v>COMPRADOR</v>
      </c>
      <c r="S334" s="100"/>
      <c r="V334" s="100"/>
    </row>
    <row r="335" spans="1:22" ht="14" hidden="1">
      <c r="A335" s="88" t="s">
        <v>379</v>
      </c>
      <c r="B335" s="89" t="s">
        <v>415</v>
      </c>
      <c r="C335" s="89" t="s">
        <v>32</v>
      </c>
      <c r="D335" s="110">
        <v>100002748</v>
      </c>
      <c r="E335" s="110" t="s">
        <v>35</v>
      </c>
      <c r="F335" s="89">
        <v>100005896</v>
      </c>
      <c r="G335" s="128" t="s">
        <v>417</v>
      </c>
      <c r="H335" s="91">
        <v>676.2</v>
      </c>
      <c r="I335" s="92">
        <v>872.19999999999982</v>
      </c>
      <c r="J335" s="93">
        <v>1107.3999999999999</v>
      </c>
      <c r="K335" s="94">
        <v>4870.6000000000031</v>
      </c>
      <c r="L335" s="94">
        <v>5174.4000000000024</v>
      </c>
      <c r="M335" s="129">
        <v>2087.4000000000005</v>
      </c>
      <c r="N335" s="102">
        <f t="shared" si="10"/>
        <v>4044.133333333335</v>
      </c>
      <c r="O335" s="97">
        <v>1803.1999999999991</v>
      </c>
      <c r="P335" s="92">
        <v>88.2</v>
      </c>
      <c r="Q335" s="98">
        <f t="shared" si="11"/>
        <v>1891.3999999999992</v>
      </c>
      <c r="R335" s="102" t="str">
        <f>+IF(Q335+N335&lt;=0, "NO COMPRADOR", +IF(Q335&lt;=0, "SIN COMPRA "&amp;+UPPER(TEXT('DINAMICA ENERO 26'!$C$2,"mmm 'yy")), "COMPRADOR"))</f>
        <v>COMPRADOR</v>
      </c>
      <c r="S335" s="100"/>
      <c r="V335" s="100"/>
    </row>
    <row r="336" spans="1:22" ht="14" hidden="1">
      <c r="A336" s="88" t="s">
        <v>379</v>
      </c>
      <c r="B336" s="89" t="s">
        <v>415</v>
      </c>
      <c r="C336" s="89" t="s">
        <v>32</v>
      </c>
      <c r="D336" s="110">
        <v>100002748</v>
      </c>
      <c r="E336" s="110" t="s">
        <v>35</v>
      </c>
      <c r="F336" s="89">
        <v>100001550</v>
      </c>
      <c r="G336" s="128" t="s">
        <v>418</v>
      </c>
      <c r="H336" s="91">
        <v>0</v>
      </c>
      <c r="I336" s="92">
        <v>0</v>
      </c>
      <c r="J336" s="93">
        <v>0</v>
      </c>
      <c r="K336" s="94">
        <v>0</v>
      </c>
      <c r="L336" s="94">
        <v>0</v>
      </c>
      <c r="M336" s="129">
        <v>0</v>
      </c>
      <c r="N336" s="102">
        <f t="shared" si="10"/>
        <v>0</v>
      </c>
      <c r="O336" s="97">
        <v>0</v>
      </c>
      <c r="P336" s="92">
        <v>0</v>
      </c>
      <c r="Q336" s="98">
        <f t="shared" si="11"/>
        <v>0</v>
      </c>
      <c r="R336" s="102" t="str">
        <f>+IF(Q336+N336&lt;=0, "NO COMPRADOR", +IF(Q336&lt;=0, "SIN COMPRA "&amp;+UPPER(TEXT('DINAMICA ENERO 26'!$C$2,"mmm 'yy")), "COMPRADOR"))</f>
        <v>NO COMPRADOR</v>
      </c>
      <c r="S336" s="100"/>
      <c r="V336" s="100"/>
    </row>
    <row r="337" spans="1:22" ht="14" hidden="1">
      <c r="A337" s="88" t="s">
        <v>379</v>
      </c>
      <c r="B337" s="89" t="s">
        <v>415</v>
      </c>
      <c r="C337" s="89" t="s">
        <v>32</v>
      </c>
      <c r="D337" s="110">
        <v>100089882</v>
      </c>
      <c r="E337" s="110" t="s">
        <v>36</v>
      </c>
      <c r="F337" s="89">
        <v>100002492</v>
      </c>
      <c r="G337" s="128" t="s">
        <v>419</v>
      </c>
      <c r="H337" s="91">
        <v>352.8</v>
      </c>
      <c r="I337" s="92">
        <v>568.4</v>
      </c>
      <c r="J337" s="93">
        <v>1185.8</v>
      </c>
      <c r="K337" s="94">
        <v>725.2</v>
      </c>
      <c r="L337" s="94">
        <v>676.2</v>
      </c>
      <c r="M337" s="129">
        <v>548.79999999999995</v>
      </c>
      <c r="N337" s="102">
        <f t="shared" si="10"/>
        <v>650.06666666666672</v>
      </c>
      <c r="O337" s="97">
        <v>29.399999999999977</v>
      </c>
      <c r="P337" s="92">
        <v>548.79999999999995</v>
      </c>
      <c r="Q337" s="98">
        <f t="shared" si="11"/>
        <v>578.19999999999993</v>
      </c>
      <c r="R337" s="102" t="str">
        <f>+IF(Q337+N337&lt;=0, "NO COMPRADOR", +IF(Q337&lt;=0, "SIN COMPRA "&amp;+UPPER(TEXT('DINAMICA ENERO 26'!$C$2,"mmm 'yy")), "COMPRADOR"))</f>
        <v>COMPRADOR</v>
      </c>
      <c r="S337" s="100"/>
      <c r="V337" s="100"/>
    </row>
    <row r="338" spans="1:22" ht="14" hidden="1">
      <c r="A338" s="88" t="s">
        <v>379</v>
      </c>
      <c r="B338" s="89" t="s">
        <v>415</v>
      </c>
      <c r="C338" s="89" t="s">
        <v>32</v>
      </c>
      <c r="D338" s="110">
        <v>100066387</v>
      </c>
      <c r="E338" s="110" t="s">
        <v>34</v>
      </c>
      <c r="F338" s="89">
        <v>100001342</v>
      </c>
      <c r="G338" s="128" t="s">
        <v>387</v>
      </c>
      <c r="H338" s="91">
        <v>205.80000000000007</v>
      </c>
      <c r="I338" s="92">
        <v>303.80000000000007</v>
      </c>
      <c r="J338" s="93">
        <v>313.60000000000002</v>
      </c>
      <c r="K338" s="94">
        <v>323.40000000000009</v>
      </c>
      <c r="L338" s="94">
        <v>764.4</v>
      </c>
      <c r="M338" s="129">
        <v>754.60000000000014</v>
      </c>
      <c r="N338" s="102">
        <f t="shared" si="10"/>
        <v>614.13333333333344</v>
      </c>
      <c r="O338" s="97">
        <v>117.60000000000001</v>
      </c>
      <c r="P338" s="92">
        <v>88.2</v>
      </c>
      <c r="Q338" s="98">
        <f t="shared" si="11"/>
        <v>205.8</v>
      </c>
      <c r="R338" s="102" t="str">
        <f>+IF(Q338+N338&lt;=0, "NO COMPRADOR", +IF(Q338&lt;=0, "SIN COMPRA "&amp;+UPPER(TEXT('DINAMICA ENERO 26'!$C$2,"mmm 'yy")), "COMPRADOR"))</f>
        <v>COMPRADOR</v>
      </c>
      <c r="S338" s="100"/>
      <c r="V338" s="100"/>
    </row>
    <row r="339" spans="1:22" ht="14" hidden="1">
      <c r="A339" s="88" t="s">
        <v>85</v>
      </c>
      <c r="B339" s="89" t="s">
        <v>120</v>
      </c>
      <c r="C339" s="89" t="s">
        <v>52</v>
      </c>
      <c r="D339" s="110">
        <v>100088149</v>
      </c>
      <c r="E339" s="110" t="s">
        <v>56</v>
      </c>
      <c r="F339" s="89">
        <v>100089849</v>
      </c>
      <c r="G339" s="128" t="s">
        <v>420</v>
      </c>
      <c r="H339" s="91">
        <v>0</v>
      </c>
      <c r="I339" s="92">
        <v>0</v>
      </c>
      <c r="J339" s="93">
        <v>0</v>
      </c>
      <c r="K339" s="94">
        <v>0</v>
      </c>
      <c r="L339" s="94">
        <v>0</v>
      </c>
      <c r="M339" s="129">
        <v>0</v>
      </c>
      <c r="N339" s="102">
        <f t="shared" si="10"/>
        <v>0</v>
      </c>
      <c r="O339" s="97">
        <v>0</v>
      </c>
      <c r="P339" s="92">
        <v>0</v>
      </c>
      <c r="Q339" s="98">
        <f t="shared" si="11"/>
        <v>0</v>
      </c>
      <c r="R339" s="102" t="str">
        <f>+IF(Q339+N339&lt;=0, "NO COMPRADOR", +IF(Q339&lt;=0, "SIN COMPRA "&amp;+UPPER(TEXT('DINAMICA ENERO 26'!$C$2,"mmm 'yy")), "COMPRADOR"))</f>
        <v>NO COMPRADOR</v>
      </c>
      <c r="S339" s="100"/>
      <c r="V339" s="100"/>
    </row>
    <row r="340" spans="1:22" ht="14" hidden="1">
      <c r="A340" s="88" t="s">
        <v>85</v>
      </c>
      <c r="B340" s="89" t="s">
        <v>120</v>
      </c>
      <c r="C340" s="89" t="s">
        <v>52</v>
      </c>
      <c r="D340" s="110">
        <v>100079515</v>
      </c>
      <c r="E340" s="110" t="s">
        <v>53</v>
      </c>
      <c r="F340" s="89">
        <v>100025640</v>
      </c>
      <c r="G340" s="128" t="s">
        <v>421</v>
      </c>
      <c r="H340" s="91">
        <v>0</v>
      </c>
      <c r="I340" s="92">
        <v>0</v>
      </c>
      <c r="J340" s="93">
        <v>0</v>
      </c>
      <c r="K340" s="94">
        <v>0</v>
      </c>
      <c r="L340" s="94">
        <v>0</v>
      </c>
      <c r="M340" s="129">
        <v>0</v>
      </c>
      <c r="N340" s="102">
        <f t="shared" si="10"/>
        <v>0</v>
      </c>
      <c r="O340" s="97">
        <v>0</v>
      </c>
      <c r="P340" s="92">
        <v>0</v>
      </c>
      <c r="Q340" s="98">
        <f t="shared" si="11"/>
        <v>0</v>
      </c>
      <c r="R340" s="102" t="str">
        <f>+IF(Q340+N340&lt;=0, "NO COMPRADOR", +IF(Q340&lt;=0, "SIN COMPRA "&amp;+UPPER(TEXT('DINAMICA ENERO 26'!$C$2,"mmm 'yy")), "COMPRADOR"))</f>
        <v>NO COMPRADOR</v>
      </c>
      <c r="S340" s="100"/>
      <c r="V340" s="100"/>
    </row>
    <row r="341" spans="1:22" ht="14" hidden="1">
      <c r="A341" s="88" t="s">
        <v>85</v>
      </c>
      <c r="B341" s="89" t="s">
        <v>157</v>
      </c>
      <c r="C341" s="89" t="s">
        <v>52</v>
      </c>
      <c r="D341" s="110">
        <v>100079674</v>
      </c>
      <c r="E341" s="110" t="s">
        <v>57</v>
      </c>
      <c r="F341" s="89">
        <v>100080761</v>
      </c>
      <c r="G341" s="128" t="s">
        <v>422</v>
      </c>
      <c r="H341" s="91">
        <v>0</v>
      </c>
      <c r="I341" s="92">
        <v>0</v>
      </c>
      <c r="J341" s="93">
        <v>0</v>
      </c>
      <c r="K341" s="94">
        <v>0</v>
      </c>
      <c r="L341" s="94">
        <v>0</v>
      </c>
      <c r="M341" s="129">
        <v>0</v>
      </c>
      <c r="N341" s="102">
        <f t="shared" si="10"/>
        <v>0</v>
      </c>
      <c r="O341" s="97">
        <v>0</v>
      </c>
      <c r="P341" s="92">
        <v>0</v>
      </c>
      <c r="Q341" s="98">
        <f t="shared" si="11"/>
        <v>0</v>
      </c>
      <c r="R341" s="102" t="str">
        <f>+IF(Q341+N341&lt;=0, "NO COMPRADOR", +IF(Q341&lt;=0, "SIN COMPRA "&amp;+UPPER(TEXT('DINAMICA ENERO 26'!$C$2,"mmm 'yy")), "COMPRADOR"))</f>
        <v>NO COMPRADOR</v>
      </c>
      <c r="S341" s="100"/>
      <c r="V341" s="100"/>
    </row>
    <row r="342" spans="1:22" ht="14" hidden="1">
      <c r="A342" s="88" t="s">
        <v>85</v>
      </c>
      <c r="B342" s="89" t="s">
        <v>157</v>
      </c>
      <c r="C342" s="89" t="s">
        <v>52</v>
      </c>
      <c r="D342" s="110">
        <v>100079674</v>
      </c>
      <c r="E342" s="110" t="s">
        <v>57</v>
      </c>
      <c r="F342" s="89">
        <v>100001878</v>
      </c>
      <c r="G342" s="128" t="s">
        <v>423</v>
      </c>
      <c r="H342" s="91">
        <v>0</v>
      </c>
      <c r="I342" s="92">
        <v>0</v>
      </c>
      <c r="J342" s="93">
        <v>0</v>
      </c>
      <c r="K342" s="94">
        <v>0</v>
      </c>
      <c r="L342" s="94">
        <v>0</v>
      </c>
      <c r="M342" s="129">
        <v>0</v>
      </c>
      <c r="N342" s="102">
        <f t="shared" si="10"/>
        <v>0</v>
      </c>
      <c r="O342" s="97">
        <v>0</v>
      </c>
      <c r="P342" s="92">
        <v>0</v>
      </c>
      <c r="Q342" s="98">
        <f t="shared" si="11"/>
        <v>0</v>
      </c>
      <c r="R342" s="102" t="str">
        <f>+IF(Q342+N342&lt;=0, "NO COMPRADOR", +IF(Q342&lt;=0, "SIN COMPRA "&amp;+UPPER(TEXT('DINAMICA ENERO 26'!$C$2,"mmm 'yy")), "COMPRADOR"))</f>
        <v>NO COMPRADOR</v>
      </c>
      <c r="S342" s="100"/>
      <c r="V342" s="100"/>
    </row>
    <row r="343" spans="1:22" ht="14" hidden="1">
      <c r="A343" s="88" t="s">
        <v>85</v>
      </c>
      <c r="B343" s="89" t="s">
        <v>157</v>
      </c>
      <c r="C343" s="89" t="s">
        <v>52</v>
      </c>
      <c r="D343" s="110">
        <v>100079674</v>
      </c>
      <c r="E343" s="110" t="s">
        <v>57</v>
      </c>
      <c r="F343" s="89">
        <v>100085464</v>
      </c>
      <c r="G343" s="128" t="s">
        <v>424</v>
      </c>
      <c r="H343" s="91">
        <v>0</v>
      </c>
      <c r="I343" s="92">
        <v>0</v>
      </c>
      <c r="J343" s="93">
        <v>0</v>
      </c>
      <c r="K343" s="94">
        <v>0</v>
      </c>
      <c r="L343" s="94">
        <v>0</v>
      </c>
      <c r="M343" s="129">
        <v>0</v>
      </c>
      <c r="N343" s="102">
        <f t="shared" si="10"/>
        <v>0</v>
      </c>
      <c r="O343" s="97">
        <v>0</v>
      </c>
      <c r="P343" s="92">
        <v>0</v>
      </c>
      <c r="Q343" s="98">
        <f t="shared" si="11"/>
        <v>0</v>
      </c>
      <c r="R343" s="102" t="str">
        <f>+IF(Q343+N343&lt;=0, "NO COMPRADOR", +IF(Q343&lt;=0, "SIN COMPRA "&amp;+UPPER(TEXT('DINAMICA ENERO 26'!$C$2,"mmm 'yy")), "COMPRADOR"))</f>
        <v>NO COMPRADOR</v>
      </c>
      <c r="S343" s="100"/>
      <c r="V343" s="100"/>
    </row>
    <row r="344" spans="1:22" ht="14" hidden="1">
      <c r="A344" s="88" t="s">
        <v>85</v>
      </c>
      <c r="B344" s="89" t="s">
        <v>157</v>
      </c>
      <c r="C344" s="89" t="s">
        <v>52</v>
      </c>
      <c r="D344" s="110">
        <v>100066856</v>
      </c>
      <c r="E344" s="110" t="s">
        <v>54</v>
      </c>
      <c r="F344" s="89">
        <v>100080160</v>
      </c>
      <c r="G344" s="128" t="s">
        <v>425</v>
      </c>
      <c r="H344" s="91">
        <v>0</v>
      </c>
      <c r="I344" s="92">
        <v>0</v>
      </c>
      <c r="J344" s="93">
        <v>0</v>
      </c>
      <c r="K344" s="94">
        <v>0</v>
      </c>
      <c r="L344" s="94">
        <v>0</v>
      </c>
      <c r="M344" s="129">
        <v>0</v>
      </c>
      <c r="N344" s="102">
        <f t="shared" si="10"/>
        <v>0</v>
      </c>
      <c r="O344" s="97">
        <v>0</v>
      </c>
      <c r="P344" s="92">
        <v>0</v>
      </c>
      <c r="Q344" s="98">
        <f t="shared" si="11"/>
        <v>0</v>
      </c>
      <c r="R344" s="102" t="str">
        <f>+IF(Q344+N344&lt;=0, "NO COMPRADOR", +IF(Q344&lt;=0, "SIN COMPRA "&amp;+UPPER(TEXT('DINAMICA ENERO 26'!$C$2,"mmm 'yy")), "COMPRADOR"))</f>
        <v>NO COMPRADOR</v>
      </c>
      <c r="S344" s="100"/>
      <c r="V344" s="100"/>
    </row>
    <row r="345" spans="1:22" ht="14" hidden="1">
      <c r="A345" s="88" t="s">
        <v>85</v>
      </c>
      <c r="B345" s="89" t="s">
        <v>157</v>
      </c>
      <c r="C345" s="89" t="s">
        <v>52</v>
      </c>
      <c r="D345" s="110">
        <v>100066856</v>
      </c>
      <c r="E345" s="110" t="s">
        <v>54</v>
      </c>
      <c r="F345" s="89">
        <v>100077613</v>
      </c>
      <c r="G345" s="128" t="s">
        <v>426</v>
      </c>
      <c r="H345" s="91">
        <v>0</v>
      </c>
      <c r="I345" s="92">
        <v>0</v>
      </c>
      <c r="J345" s="93">
        <v>0</v>
      </c>
      <c r="K345" s="94">
        <v>0</v>
      </c>
      <c r="L345" s="94">
        <v>0</v>
      </c>
      <c r="M345" s="129">
        <v>0</v>
      </c>
      <c r="N345" s="102">
        <f t="shared" si="10"/>
        <v>0</v>
      </c>
      <c r="O345" s="97">
        <v>0</v>
      </c>
      <c r="P345" s="92">
        <v>0</v>
      </c>
      <c r="Q345" s="98">
        <f t="shared" si="11"/>
        <v>0</v>
      </c>
      <c r="R345" s="102" t="str">
        <f>+IF(Q345+N345&lt;=0, "NO COMPRADOR", +IF(Q345&lt;=0, "SIN COMPRA "&amp;+UPPER(TEXT('DINAMICA ENERO 26'!$C$2,"mmm 'yy")), "COMPRADOR"))</f>
        <v>NO COMPRADOR</v>
      </c>
      <c r="S345" s="100"/>
      <c r="V345" s="100"/>
    </row>
    <row r="346" spans="1:22" ht="14" hidden="1">
      <c r="A346" s="88" t="s">
        <v>85</v>
      </c>
      <c r="B346" s="89" t="s">
        <v>157</v>
      </c>
      <c r="C346" s="89" t="s">
        <v>52</v>
      </c>
      <c r="D346" s="110">
        <v>100066856</v>
      </c>
      <c r="E346" s="110" t="s">
        <v>54</v>
      </c>
      <c r="F346" s="89">
        <v>100082823</v>
      </c>
      <c r="G346" s="128" t="s">
        <v>427</v>
      </c>
      <c r="H346" s="91">
        <v>0</v>
      </c>
      <c r="I346" s="92">
        <v>0</v>
      </c>
      <c r="J346" s="93">
        <v>0</v>
      </c>
      <c r="K346" s="94">
        <v>0</v>
      </c>
      <c r="L346" s="94">
        <v>0</v>
      </c>
      <c r="M346" s="129">
        <v>0</v>
      </c>
      <c r="N346" s="102">
        <f t="shared" si="10"/>
        <v>0</v>
      </c>
      <c r="O346" s="97">
        <v>0</v>
      </c>
      <c r="P346" s="92">
        <v>0</v>
      </c>
      <c r="Q346" s="98">
        <f t="shared" si="11"/>
        <v>0</v>
      </c>
      <c r="R346" s="102" t="str">
        <f>+IF(Q346+N346&lt;=0, "NO COMPRADOR", +IF(Q346&lt;=0, "SIN COMPRA "&amp;+UPPER(TEXT('DINAMICA ENERO 26'!$C$2,"mmm 'yy")), "COMPRADOR"))</f>
        <v>NO COMPRADOR</v>
      </c>
      <c r="S346" s="100"/>
      <c r="V346" s="100"/>
    </row>
    <row r="347" spans="1:22" ht="14" hidden="1">
      <c r="A347" s="88" t="s">
        <v>85</v>
      </c>
      <c r="B347" s="89" t="s">
        <v>204</v>
      </c>
      <c r="C347" s="89" t="s">
        <v>52</v>
      </c>
      <c r="D347" s="110">
        <v>100089701</v>
      </c>
      <c r="E347" s="110" t="s">
        <v>58</v>
      </c>
      <c r="F347" s="89">
        <v>100079045</v>
      </c>
      <c r="G347" s="128" t="s">
        <v>428</v>
      </c>
      <c r="H347" s="91">
        <v>0</v>
      </c>
      <c r="I347" s="92">
        <v>0</v>
      </c>
      <c r="J347" s="93">
        <v>0</v>
      </c>
      <c r="K347" s="94">
        <v>0</v>
      </c>
      <c r="L347" s="94">
        <v>0</v>
      </c>
      <c r="M347" s="129">
        <v>0</v>
      </c>
      <c r="N347" s="102">
        <f t="shared" si="10"/>
        <v>0</v>
      </c>
      <c r="O347" s="97">
        <v>0</v>
      </c>
      <c r="P347" s="92">
        <v>0</v>
      </c>
      <c r="Q347" s="98">
        <f t="shared" si="11"/>
        <v>0</v>
      </c>
      <c r="R347" s="102" t="str">
        <f>+IF(Q347+N347&lt;=0, "NO COMPRADOR", +IF(Q347&lt;=0, "SIN COMPRA "&amp;+UPPER(TEXT('DINAMICA ENERO 26'!$C$2,"mmm 'yy")), "COMPRADOR"))</f>
        <v>NO COMPRADOR</v>
      </c>
      <c r="S347" s="100"/>
      <c r="V347" s="100"/>
    </row>
    <row r="348" spans="1:22" ht="14" hidden="1">
      <c r="A348" s="88" t="s">
        <v>85</v>
      </c>
      <c r="B348" s="89" t="s">
        <v>204</v>
      </c>
      <c r="C348" s="89" t="s">
        <v>52</v>
      </c>
      <c r="D348" s="110">
        <v>100089701</v>
      </c>
      <c r="E348" s="110" t="s">
        <v>58</v>
      </c>
      <c r="F348" s="89">
        <v>100011496</v>
      </c>
      <c r="G348" s="128" t="s">
        <v>429</v>
      </c>
      <c r="H348" s="91">
        <v>0</v>
      </c>
      <c r="I348" s="92">
        <v>0</v>
      </c>
      <c r="J348" s="93">
        <v>0</v>
      </c>
      <c r="K348" s="94">
        <v>0</v>
      </c>
      <c r="L348" s="94">
        <v>0</v>
      </c>
      <c r="M348" s="129">
        <v>0</v>
      </c>
      <c r="N348" s="102">
        <f t="shared" si="10"/>
        <v>0</v>
      </c>
      <c r="O348" s="97">
        <v>0</v>
      </c>
      <c r="P348" s="92">
        <v>0</v>
      </c>
      <c r="Q348" s="98">
        <f t="shared" si="11"/>
        <v>0</v>
      </c>
      <c r="R348" s="102" t="str">
        <f>+IF(Q348+N348&lt;=0, "NO COMPRADOR", +IF(Q348&lt;=0, "SIN COMPRA "&amp;+UPPER(TEXT('DINAMICA ENERO 26'!$C$2,"mmm 'yy")), "COMPRADOR"))</f>
        <v>NO COMPRADOR</v>
      </c>
      <c r="S348" s="100"/>
      <c r="V348" s="100"/>
    </row>
    <row r="349" spans="1:22" ht="14" hidden="1">
      <c r="A349" s="88" t="s">
        <v>85</v>
      </c>
      <c r="B349" s="89" t="s">
        <v>204</v>
      </c>
      <c r="C349" s="89" t="s">
        <v>52</v>
      </c>
      <c r="D349" s="110">
        <v>100073888</v>
      </c>
      <c r="E349" s="110" t="s">
        <v>55</v>
      </c>
      <c r="F349" s="89">
        <v>100001404</v>
      </c>
      <c r="G349" s="128" t="s">
        <v>430</v>
      </c>
      <c r="H349" s="91">
        <v>0</v>
      </c>
      <c r="I349" s="92">
        <v>0</v>
      </c>
      <c r="J349" s="93">
        <v>0</v>
      </c>
      <c r="K349" s="94">
        <v>0</v>
      </c>
      <c r="L349" s="94">
        <v>0</v>
      </c>
      <c r="M349" s="129">
        <v>0</v>
      </c>
      <c r="N349" s="102">
        <f t="shared" si="10"/>
        <v>0</v>
      </c>
      <c r="O349" s="97">
        <v>0</v>
      </c>
      <c r="P349" s="92">
        <v>0</v>
      </c>
      <c r="Q349" s="98">
        <f t="shared" si="11"/>
        <v>0</v>
      </c>
      <c r="R349" s="102" t="str">
        <f>+IF(Q349+N349&lt;=0, "NO COMPRADOR", +IF(Q349&lt;=0, "SIN COMPRA "&amp;+UPPER(TEXT('DINAMICA ENERO 26'!$C$2,"mmm 'yy")), "COMPRADOR"))</f>
        <v>NO COMPRADOR</v>
      </c>
      <c r="S349" s="100"/>
      <c r="V349" s="100"/>
    </row>
    <row r="350" spans="1:22" ht="14" hidden="1">
      <c r="A350" s="88" t="s">
        <v>85</v>
      </c>
      <c r="B350" s="89" t="s">
        <v>204</v>
      </c>
      <c r="C350" s="89" t="s">
        <v>52</v>
      </c>
      <c r="D350" s="110">
        <v>100073888</v>
      </c>
      <c r="E350" s="110" t="s">
        <v>55</v>
      </c>
      <c r="F350" s="89">
        <v>100002253</v>
      </c>
      <c r="G350" s="128" t="s">
        <v>431</v>
      </c>
      <c r="H350" s="91">
        <v>0</v>
      </c>
      <c r="I350" s="92">
        <v>0</v>
      </c>
      <c r="J350" s="93">
        <v>0</v>
      </c>
      <c r="K350" s="94">
        <v>0</v>
      </c>
      <c r="L350" s="94">
        <v>0</v>
      </c>
      <c r="M350" s="129">
        <v>0</v>
      </c>
      <c r="N350" s="102">
        <f t="shared" si="10"/>
        <v>0</v>
      </c>
      <c r="O350" s="97">
        <v>0</v>
      </c>
      <c r="P350" s="92">
        <v>0</v>
      </c>
      <c r="Q350" s="98">
        <f t="shared" si="11"/>
        <v>0</v>
      </c>
      <c r="R350" s="102" t="str">
        <f>+IF(Q350+N350&lt;=0, "NO COMPRADOR", +IF(Q350&lt;=0, "SIN COMPRA "&amp;+UPPER(TEXT('DINAMICA ENERO 26'!$C$2,"mmm 'yy")), "COMPRADOR"))</f>
        <v>NO COMPRADOR</v>
      </c>
      <c r="S350" s="100"/>
      <c r="V350" s="100"/>
    </row>
    <row r="351" spans="1:22" ht="14" hidden="1">
      <c r="A351" s="88" t="s">
        <v>85</v>
      </c>
      <c r="B351" s="89" t="s">
        <v>236</v>
      </c>
      <c r="C351" s="89" t="s">
        <v>68</v>
      </c>
      <c r="D351" s="110">
        <v>100031199</v>
      </c>
      <c r="E351" s="110" t="s">
        <v>69</v>
      </c>
      <c r="F351" s="89">
        <v>100089970</v>
      </c>
      <c r="G351" s="128" t="s">
        <v>432</v>
      </c>
      <c r="H351" s="91">
        <v>0</v>
      </c>
      <c r="I351" s="92">
        <v>0</v>
      </c>
      <c r="J351" s="93">
        <v>0</v>
      </c>
      <c r="K351" s="94">
        <v>0</v>
      </c>
      <c r="L351" s="94">
        <v>0</v>
      </c>
      <c r="M351" s="129">
        <v>0</v>
      </c>
      <c r="N351" s="102">
        <f t="shared" si="10"/>
        <v>0</v>
      </c>
      <c r="O351" s="97">
        <v>0</v>
      </c>
      <c r="P351" s="92">
        <v>0</v>
      </c>
      <c r="Q351" s="98">
        <f t="shared" si="11"/>
        <v>0</v>
      </c>
      <c r="R351" s="102" t="str">
        <f>+IF(Q351+N351&lt;=0, "NO COMPRADOR", +IF(Q351&lt;=0, "SIN COMPRA "&amp;+UPPER(TEXT('DINAMICA ENERO 26'!$C$2,"mmm 'yy")), "COMPRADOR"))</f>
        <v>NO COMPRADOR</v>
      </c>
      <c r="S351" s="100"/>
      <c r="V351" s="100"/>
    </row>
    <row r="352" spans="1:22" ht="14" hidden="1">
      <c r="A352" s="88" t="s">
        <v>85</v>
      </c>
      <c r="B352" s="89" t="s">
        <v>257</v>
      </c>
      <c r="C352" s="89" t="s">
        <v>43</v>
      </c>
      <c r="D352" s="110">
        <v>100088690</v>
      </c>
      <c r="E352" s="110" t="s">
        <v>45</v>
      </c>
      <c r="F352" s="89">
        <v>100002208</v>
      </c>
      <c r="G352" s="128" t="s">
        <v>433</v>
      </c>
      <c r="H352" s="91">
        <v>0</v>
      </c>
      <c r="I352" s="92">
        <v>0</v>
      </c>
      <c r="J352" s="93">
        <v>0</v>
      </c>
      <c r="K352" s="94">
        <v>0</v>
      </c>
      <c r="L352" s="94">
        <v>0</v>
      </c>
      <c r="M352" s="129">
        <v>0</v>
      </c>
      <c r="N352" s="102">
        <f t="shared" si="10"/>
        <v>0</v>
      </c>
      <c r="O352" s="97">
        <v>0</v>
      </c>
      <c r="P352" s="92">
        <v>0</v>
      </c>
      <c r="Q352" s="98">
        <f t="shared" si="11"/>
        <v>0</v>
      </c>
      <c r="R352" s="102" t="str">
        <f>+IF(Q352+N352&lt;=0, "NO COMPRADOR", +IF(Q352&lt;=0, "SIN COMPRA "&amp;+UPPER(TEXT('DINAMICA ENERO 26'!$C$2,"mmm 'yy")), "COMPRADOR"))</f>
        <v>NO COMPRADOR</v>
      </c>
      <c r="S352" s="100"/>
      <c r="V352" s="100"/>
    </row>
    <row r="353" spans="1:22" ht="14" hidden="1">
      <c r="A353" s="88" t="s">
        <v>85</v>
      </c>
      <c r="B353" s="89" t="s">
        <v>257</v>
      </c>
      <c r="C353" s="89" t="s">
        <v>43</v>
      </c>
      <c r="D353" s="110">
        <v>100088690</v>
      </c>
      <c r="E353" s="110" t="s">
        <v>45</v>
      </c>
      <c r="F353" s="89">
        <v>100001513</v>
      </c>
      <c r="G353" s="128" t="s">
        <v>287</v>
      </c>
      <c r="H353" s="91">
        <v>0</v>
      </c>
      <c r="I353" s="92">
        <v>0</v>
      </c>
      <c r="J353" s="93">
        <v>0</v>
      </c>
      <c r="K353" s="94">
        <v>0</v>
      </c>
      <c r="L353" s="94">
        <v>0</v>
      </c>
      <c r="M353" s="129">
        <v>9.8000000000000007</v>
      </c>
      <c r="N353" s="102">
        <f t="shared" si="10"/>
        <v>3.2666666666666671</v>
      </c>
      <c r="O353" s="97">
        <v>0</v>
      </c>
      <c r="P353" s="92">
        <v>0</v>
      </c>
      <c r="Q353" s="98">
        <f t="shared" si="11"/>
        <v>0</v>
      </c>
      <c r="R353" s="102" t="str">
        <f>+IF(Q353+N353&lt;=0, "NO COMPRADOR", +IF(Q353&lt;=0, "SIN COMPRA "&amp;+UPPER(TEXT('DINAMICA ENERO 26'!$C$2,"mmm 'yy")), "COMPRADOR"))</f>
        <v>SIN COMPRA FEB '26</v>
      </c>
      <c r="S353" s="100"/>
      <c r="V353" s="100"/>
    </row>
    <row r="354" spans="1:22" ht="14" hidden="1">
      <c r="A354" s="88" t="s">
        <v>85</v>
      </c>
      <c r="B354" s="89" t="s">
        <v>257</v>
      </c>
      <c r="C354" s="89" t="s">
        <v>43</v>
      </c>
      <c r="D354" s="110">
        <v>100088690</v>
      </c>
      <c r="E354" s="110" t="s">
        <v>45</v>
      </c>
      <c r="F354" s="89">
        <v>100015740</v>
      </c>
      <c r="G354" s="128" t="s">
        <v>434</v>
      </c>
      <c r="H354" s="91">
        <v>0</v>
      </c>
      <c r="I354" s="92">
        <v>0</v>
      </c>
      <c r="J354" s="93">
        <v>0</v>
      </c>
      <c r="K354" s="94">
        <v>0</v>
      </c>
      <c r="L354" s="94">
        <v>313.60000000000008</v>
      </c>
      <c r="M354" s="129">
        <v>0</v>
      </c>
      <c r="N354" s="102">
        <f t="shared" si="10"/>
        <v>104.53333333333336</v>
      </c>
      <c r="O354" s="97">
        <v>0</v>
      </c>
      <c r="P354" s="92">
        <v>0</v>
      </c>
      <c r="Q354" s="98">
        <f t="shared" si="11"/>
        <v>0</v>
      </c>
      <c r="R354" s="102" t="str">
        <f>+IF(Q354+N354&lt;=0, "NO COMPRADOR", +IF(Q354&lt;=0, "SIN COMPRA "&amp;+UPPER(TEXT('DINAMICA ENERO 26'!$C$2,"mmm 'yy")), "COMPRADOR"))</f>
        <v>SIN COMPRA FEB '26</v>
      </c>
      <c r="S354" s="100"/>
      <c r="V354" s="100"/>
    </row>
    <row r="355" spans="1:22" ht="14" hidden="1">
      <c r="A355" s="88" t="s">
        <v>85</v>
      </c>
      <c r="B355" s="89" t="s">
        <v>257</v>
      </c>
      <c r="C355" s="89" t="s">
        <v>43</v>
      </c>
      <c r="D355" s="110">
        <v>100089856</v>
      </c>
      <c r="E355" s="110" t="s">
        <v>49</v>
      </c>
      <c r="F355" s="89">
        <v>100013280</v>
      </c>
      <c r="G355" s="128" t="s">
        <v>435</v>
      </c>
      <c r="H355" s="91">
        <v>0</v>
      </c>
      <c r="I355" s="92">
        <v>0</v>
      </c>
      <c r="J355" s="93">
        <v>0</v>
      </c>
      <c r="K355" s="94">
        <v>0</v>
      </c>
      <c r="L355" s="94">
        <v>0</v>
      </c>
      <c r="M355" s="129">
        <v>0</v>
      </c>
      <c r="N355" s="102">
        <f t="shared" si="10"/>
        <v>0</v>
      </c>
      <c r="O355" s="97">
        <v>0</v>
      </c>
      <c r="P355" s="92">
        <v>0</v>
      </c>
      <c r="Q355" s="98">
        <f t="shared" si="11"/>
        <v>0</v>
      </c>
      <c r="R355" s="102" t="str">
        <f>+IF(Q355+N355&lt;=0, "NO COMPRADOR", +IF(Q355&lt;=0, "SIN COMPRA "&amp;+UPPER(TEXT('DINAMICA ENERO 26'!$C$2,"mmm 'yy")), "COMPRADOR"))</f>
        <v>NO COMPRADOR</v>
      </c>
      <c r="S355" s="100"/>
      <c r="V355" s="100"/>
    </row>
    <row r="356" spans="1:22" ht="14" hidden="1">
      <c r="A356" s="88" t="s">
        <v>85</v>
      </c>
      <c r="B356" s="89" t="s">
        <v>257</v>
      </c>
      <c r="C356" s="89" t="s">
        <v>43</v>
      </c>
      <c r="D356" s="110">
        <v>100089856</v>
      </c>
      <c r="E356" s="110" t="s">
        <v>49</v>
      </c>
      <c r="F356" s="89">
        <v>100081920</v>
      </c>
      <c r="G356" s="128" t="s">
        <v>436</v>
      </c>
      <c r="H356" s="91">
        <v>0</v>
      </c>
      <c r="I356" s="92">
        <v>0</v>
      </c>
      <c r="J356" s="93">
        <v>0</v>
      </c>
      <c r="K356" s="94">
        <v>0</v>
      </c>
      <c r="L356" s="94">
        <v>0</v>
      </c>
      <c r="M356" s="129">
        <v>0</v>
      </c>
      <c r="N356" s="102">
        <f t="shared" si="10"/>
        <v>0</v>
      </c>
      <c r="O356" s="97">
        <v>0</v>
      </c>
      <c r="P356" s="92">
        <v>0</v>
      </c>
      <c r="Q356" s="98">
        <f t="shared" si="11"/>
        <v>0</v>
      </c>
      <c r="R356" s="102" t="str">
        <f>+IF(Q356+N356&lt;=0, "NO COMPRADOR", +IF(Q356&lt;=0, "SIN COMPRA "&amp;+UPPER(TEXT('DINAMICA ENERO 26'!$C$2,"mmm 'yy")), "COMPRADOR"))</f>
        <v>NO COMPRADOR</v>
      </c>
      <c r="S356" s="100"/>
      <c r="V356" s="100"/>
    </row>
    <row r="357" spans="1:22" ht="14" hidden="1">
      <c r="A357" s="88" t="s">
        <v>85</v>
      </c>
      <c r="B357" s="89" t="s">
        <v>257</v>
      </c>
      <c r="C357" s="89" t="s">
        <v>43</v>
      </c>
      <c r="D357" s="110">
        <v>100089856</v>
      </c>
      <c r="E357" s="110" t="s">
        <v>49</v>
      </c>
      <c r="F357" s="89">
        <v>100087806</v>
      </c>
      <c r="G357" s="128" t="s">
        <v>437</v>
      </c>
      <c r="H357" s="91">
        <v>0</v>
      </c>
      <c r="I357" s="92">
        <v>0</v>
      </c>
      <c r="J357" s="93">
        <v>0</v>
      </c>
      <c r="K357" s="94">
        <v>0</v>
      </c>
      <c r="L357" s="94">
        <v>0</v>
      </c>
      <c r="M357" s="129">
        <v>0</v>
      </c>
      <c r="N357" s="102">
        <f t="shared" si="10"/>
        <v>0</v>
      </c>
      <c r="O357" s="97">
        <v>0</v>
      </c>
      <c r="P357" s="92">
        <v>0</v>
      </c>
      <c r="Q357" s="98">
        <f t="shared" si="11"/>
        <v>0</v>
      </c>
      <c r="R357" s="102" t="str">
        <f>+IF(Q357+N357&lt;=0, "NO COMPRADOR", +IF(Q357&lt;=0, "SIN COMPRA "&amp;+UPPER(TEXT('DINAMICA ENERO 26'!$C$2,"mmm 'yy")), "COMPRADOR"))</f>
        <v>NO COMPRADOR</v>
      </c>
      <c r="S357" s="100"/>
      <c r="V357" s="100"/>
    </row>
    <row r="358" spans="1:22" ht="14" hidden="1">
      <c r="A358" s="88" t="s">
        <v>85</v>
      </c>
      <c r="B358" s="89" t="s">
        <v>257</v>
      </c>
      <c r="C358" s="89" t="s">
        <v>43</v>
      </c>
      <c r="D358" s="110">
        <v>100089856</v>
      </c>
      <c r="E358" s="110" t="s">
        <v>49</v>
      </c>
      <c r="F358" s="89">
        <v>100061574</v>
      </c>
      <c r="G358" s="128" t="s">
        <v>438</v>
      </c>
      <c r="H358" s="91">
        <v>0</v>
      </c>
      <c r="I358" s="92">
        <v>0</v>
      </c>
      <c r="J358" s="93">
        <v>0</v>
      </c>
      <c r="K358" s="94">
        <v>0</v>
      </c>
      <c r="L358" s="94">
        <v>0</v>
      </c>
      <c r="M358" s="129">
        <v>0</v>
      </c>
      <c r="N358" s="102">
        <f t="shared" si="10"/>
        <v>0</v>
      </c>
      <c r="O358" s="97">
        <v>0</v>
      </c>
      <c r="P358" s="92">
        <v>0</v>
      </c>
      <c r="Q358" s="98">
        <f t="shared" si="11"/>
        <v>0</v>
      </c>
      <c r="R358" s="102" t="str">
        <f>+IF(Q358+N358&lt;=0, "NO COMPRADOR", +IF(Q358&lt;=0, "SIN COMPRA "&amp;+UPPER(TEXT('DINAMICA ENERO 26'!$C$2,"mmm 'yy")), "COMPRADOR"))</f>
        <v>NO COMPRADOR</v>
      </c>
      <c r="S358" s="100"/>
      <c r="V358" s="100"/>
    </row>
    <row r="359" spans="1:22" ht="14" hidden="1">
      <c r="A359" s="88" t="s">
        <v>85</v>
      </c>
      <c r="B359" s="89" t="s">
        <v>257</v>
      </c>
      <c r="C359" s="89" t="s">
        <v>43</v>
      </c>
      <c r="D359" s="110">
        <v>100089856</v>
      </c>
      <c r="E359" s="110" t="s">
        <v>49</v>
      </c>
      <c r="F359" s="89">
        <v>100005860</v>
      </c>
      <c r="G359" s="128" t="s">
        <v>439</v>
      </c>
      <c r="H359" s="91">
        <v>0</v>
      </c>
      <c r="I359" s="92">
        <v>0</v>
      </c>
      <c r="J359" s="93">
        <v>0</v>
      </c>
      <c r="K359" s="94">
        <v>0</v>
      </c>
      <c r="L359" s="94">
        <v>0</v>
      </c>
      <c r="M359" s="129">
        <v>0</v>
      </c>
      <c r="N359" s="102">
        <f t="shared" si="10"/>
        <v>0</v>
      </c>
      <c r="O359" s="97">
        <v>0</v>
      </c>
      <c r="P359" s="92">
        <v>0</v>
      </c>
      <c r="Q359" s="98">
        <f t="shared" si="11"/>
        <v>0</v>
      </c>
      <c r="R359" s="102" t="str">
        <f>+IF(Q359+N359&lt;=0, "NO COMPRADOR", +IF(Q359&lt;=0, "SIN COMPRA "&amp;+UPPER(TEXT('DINAMICA ENERO 26'!$C$2,"mmm 'yy")), "COMPRADOR"))</f>
        <v>NO COMPRADOR</v>
      </c>
      <c r="S359" s="100"/>
      <c r="V359" s="100"/>
    </row>
    <row r="360" spans="1:22" ht="14" hidden="1">
      <c r="A360" s="88" t="s">
        <v>85</v>
      </c>
      <c r="B360" s="89" t="s">
        <v>257</v>
      </c>
      <c r="C360" s="89" t="s">
        <v>43</v>
      </c>
      <c r="D360" s="103">
        <v>100067806</v>
      </c>
      <c r="E360" s="110" t="s">
        <v>50</v>
      </c>
      <c r="F360" s="89">
        <v>100086144</v>
      </c>
      <c r="G360" s="128" t="s">
        <v>440</v>
      </c>
      <c r="H360" s="91">
        <v>0</v>
      </c>
      <c r="I360" s="92">
        <v>0</v>
      </c>
      <c r="J360" s="93">
        <v>0</v>
      </c>
      <c r="K360" s="94">
        <v>0</v>
      </c>
      <c r="L360" s="94">
        <v>0</v>
      </c>
      <c r="M360" s="129">
        <v>0</v>
      </c>
      <c r="N360" s="102">
        <f t="shared" si="10"/>
        <v>0</v>
      </c>
      <c r="O360" s="97">
        <v>9.8000000000000007</v>
      </c>
      <c r="P360" s="92">
        <v>0</v>
      </c>
      <c r="Q360" s="98">
        <f t="shared" si="11"/>
        <v>9.8000000000000007</v>
      </c>
      <c r="R360" s="102" t="str">
        <f>+IF(Q360+N360&lt;=0, "NO COMPRADOR", +IF(Q360&lt;=0, "SIN COMPRA "&amp;+UPPER(TEXT('DINAMICA ENERO 26'!$C$2,"mmm 'yy")), "COMPRADOR"))</f>
        <v>COMPRADOR</v>
      </c>
      <c r="S360" s="100"/>
      <c r="V360" s="100"/>
    </row>
    <row r="361" spans="1:22" ht="14" hidden="1">
      <c r="A361" s="88" t="s">
        <v>85</v>
      </c>
      <c r="B361" s="89" t="s">
        <v>257</v>
      </c>
      <c r="C361" s="89" t="s">
        <v>43</v>
      </c>
      <c r="D361" s="110">
        <v>100067806</v>
      </c>
      <c r="E361" s="110" t="s">
        <v>50</v>
      </c>
      <c r="F361" s="89">
        <v>100001431</v>
      </c>
      <c r="G361" s="128" t="s">
        <v>441</v>
      </c>
      <c r="H361" s="91">
        <v>0</v>
      </c>
      <c r="I361" s="92">
        <v>0</v>
      </c>
      <c r="J361" s="93">
        <v>0</v>
      </c>
      <c r="K361" s="94">
        <v>0</v>
      </c>
      <c r="L361" s="94">
        <v>0</v>
      </c>
      <c r="M361" s="129">
        <v>0</v>
      </c>
      <c r="N361" s="102">
        <f t="shared" si="10"/>
        <v>0</v>
      </c>
      <c r="O361" s="97">
        <v>0</v>
      </c>
      <c r="P361" s="92">
        <v>0</v>
      </c>
      <c r="Q361" s="98">
        <f t="shared" si="11"/>
        <v>0</v>
      </c>
      <c r="R361" s="102" t="str">
        <f>+IF(Q361+N361&lt;=0, "NO COMPRADOR", +IF(Q361&lt;=0, "SIN COMPRA "&amp;+UPPER(TEXT('DINAMICA ENERO 26'!$C$2,"mmm 'yy")), "COMPRADOR"))</f>
        <v>NO COMPRADOR</v>
      </c>
      <c r="S361" s="100"/>
      <c r="V361" s="100"/>
    </row>
    <row r="362" spans="1:22" ht="14" hidden="1">
      <c r="A362" s="88" t="s">
        <v>85</v>
      </c>
      <c r="B362" s="89" t="s">
        <v>315</v>
      </c>
      <c r="C362" s="89" t="s">
        <v>43</v>
      </c>
      <c r="D362" s="110">
        <v>100063546</v>
      </c>
      <c r="E362" s="110" t="s">
        <v>46</v>
      </c>
      <c r="F362" s="89">
        <v>100083281</v>
      </c>
      <c r="G362" s="128" t="s">
        <v>442</v>
      </c>
      <c r="H362" s="91">
        <v>0</v>
      </c>
      <c r="I362" s="92">
        <v>0</v>
      </c>
      <c r="J362" s="93">
        <v>0</v>
      </c>
      <c r="K362" s="94">
        <v>0</v>
      </c>
      <c r="L362" s="94">
        <v>0</v>
      </c>
      <c r="M362" s="129">
        <v>0</v>
      </c>
      <c r="N362" s="102">
        <f t="shared" si="10"/>
        <v>0</v>
      </c>
      <c r="O362" s="97">
        <v>0</v>
      </c>
      <c r="P362" s="92">
        <v>0</v>
      </c>
      <c r="Q362" s="98">
        <f t="shared" si="11"/>
        <v>0</v>
      </c>
      <c r="R362" s="102" t="str">
        <f>+IF(Q362+N362&lt;=0, "NO COMPRADOR", +IF(Q362&lt;=0, "SIN COMPRA "&amp;+UPPER(TEXT('DINAMICA ENERO 26'!$C$2,"mmm 'yy")), "COMPRADOR"))</f>
        <v>NO COMPRADOR</v>
      </c>
      <c r="S362" s="100"/>
      <c r="V362" s="100"/>
    </row>
    <row r="363" spans="1:22" ht="14" hidden="1">
      <c r="A363" s="88" t="s">
        <v>85</v>
      </c>
      <c r="B363" s="89" t="s">
        <v>351</v>
      </c>
      <c r="C363" s="89" t="s">
        <v>43</v>
      </c>
      <c r="D363" s="110">
        <v>100070275</v>
      </c>
      <c r="E363" s="110" t="s">
        <v>47</v>
      </c>
      <c r="F363" s="89">
        <v>100086676</v>
      </c>
      <c r="G363" s="128" t="s">
        <v>443</v>
      </c>
      <c r="H363" s="91">
        <v>0</v>
      </c>
      <c r="I363" s="92">
        <v>0</v>
      </c>
      <c r="J363" s="93">
        <v>0</v>
      </c>
      <c r="K363" s="94">
        <v>0</v>
      </c>
      <c r="L363" s="94">
        <v>0</v>
      </c>
      <c r="M363" s="129">
        <v>0</v>
      </c>
      <c r="N363" s="102">
        <f t="shared" si="10"/>
        <v>0</v>
      </c>
      <c r="O363" s="97">
        <v>0</v>
      </c>
      <c r="P363" s="92">
        <v>0</v>
      </c>
      <c r="Q363" s="98">
        <f t="shared" si="11"/>
        <v>0</v>
      </c>
      <c r="R363" s="102" t="str">
        <f>+IF(Q363+N363&lt;=0, "NO COMPRADOR", +IF(Q363&lt;=0, "SIN COMPRA "&amp;+UPPER(TEXT('DINAMICA ENERO 26'!$C$2,"mmm 'yy")), "COMPRADOR"))</f>
        <v>NO COMPRADOR</v>
      </c>
      <c r="S363" s="100"/>
      <c r="V363" s="100"/>
    </row>
    <row r="364" spans="1:22" ht="14" hidden="1">
      <c r="A364" s="88" t="s">
        <v>85</v>
      </c>
      <c r="B364" s="89" t="s">
        <v>351</v>
      </c>
      <c r="C364" s="89" t="s">
        <v>43</v>
      </c>
      <c r="D364" s="110">
        <v>100070275</v>
      </c>
      <c r="E364" s="110" t="s">
        <v>47</v>
      </c>
      <c r="F364" s="89">
        <v>100001521</v>
      </c>
      <c r="G364" s="128" t="s">
        <v>444</v>
      </c>
      <c r="H364" s="91">
        <v>0</v>
      </c>
      <c r="I364" s="92">
        <v>0</v>
      </c>
      <c r="J364" s="93">
        <v>0</v>
      </c>
      <c r="K364" s="94">
        <v>0</v>
      </c>
      <c r="L364" s="94">
        <v>0</v>
      </c>
      <c r="M364" s="129">
        <v>0</v>
      </c>
      <c r="N364" s="102">
        <f t="shared" si="10"/>
        <v>0</v>
      </c>
      <c r="O364" s="97">
        <v>0</v>
      </c>
      <c r="P364" s="92">
        <v>0</v>
      </c>
      <c r="Q364" s="98">
        <f t="shared" si="11"/>
        <v>0</v>
      </c>
      <c r="R364" s="102" t="str">
        <f>+IF(Q364+N364&lt;=0, "NO COMPRADOR", +IF(Q364&lt;=0, "SIN COMPRA "&amp;+UPPER(TEXT('DINAMICA ENERO 26'!$C$2,"mmm 'yy")), "COMPRADOR"))</f>
        <v>NO COMPRADOR</v>
      </c>
      <c r="S364" s="100"/>
      <c r="V364" s="100"/>
    </row>
    <row r="365" spans="1:22" ht="14" hidden="1">
      <c r="A365" s="88" t="s">
        <v>85</v>
      </c>
      <c r="B365" s="89" t="s">
        <v>351</v>
      </c>
      <c r="C365" s="89" t="s">
        <v>43</v>
      </c>
      <c r="D365" s="110">
        <v>100070276</v>
      </c>
      <c r="E365" s="110" t="s">
        <v>47</v>
      </c>
      <c r="F365" s="89">
        <v>100088142</v>
      </c>
      <c r="G365" s="128" t="s">
        <v>445</v>
      </c>
      <c r="H365" s="91">
        <v>0</v>
      </c>
      <c r="I365" s="92">
        <v>0</v>
      </c>
      <c r="J365" s="93">
        <v>0</v>
      </c>
      <c r="K365" s="94">
        <v>0</v>
      </c>
      <c r="L365" s="94">
        <v>0</v>
      </c>
      <c r="M365" s="129">
        <v>0</v>
      </c>
      <c r="N365" s="102">
        <f t="shared" si="10"/>
        <v>0</v>
      </c>
      <c r="O365" s="97">
        <v>0</v>
      </c>
      <c r="P365" s="92">
        <v>0</v>
      </c>
      <c r="Q365" s="98">
        <f t="shared" si="11"/>
        <v>0</v>
      </c>
      <c r="R365" s="102" t="str">
        <f>+IF(Q365+N365&lt;=0, "NO COMPRADOR", +IF(Q365&lt;=0, "SIN COMPRA "&amp;+UPPER(TEXT('DINAMICA ENERO 26'!$C$2,"mmm 'yy")), "COMPRADOR"))</f>
        <v>NO COMPRADOR</v>
      </c>
      <c r="S365" s="100"/>
      <c r="V365" s="100"/>
    </row>
    <row r="366" spans="1:22" ht="14" hidden="1">
      <c r="A366" s="88" t="s">
        <v>85</v>
      </c>
      <c r="B366" s="89" t="s">
        <v>351</v>
      </c>
      <c r="C366" s="89" t="s">
        <v>43</v>
      </c>
      <c r="D366" s="110">
        <v>100075073</v>
      </c>
      <c r="E366" s="110" t="s">
        <v>48</v>
      </c>
      <c r="F366" s="89">
        <v>100001336</v>
      </c>
      <c r="G366" s="128" t="s">
        <v>446</v>
      </c>
      <c r="H366" s="91">
        <v>0</v>
      </c>
      <c r="I366" s="92">
        <v>0</v>
      </c>
      <c r="J366" s="93">
        <v>0</v>
      </c>
      <c r="K366" s="94">
        <v>0</v>
      </c>
      <c r="L366" s="94">
        <v>0</v>
      </c>
      <c r="M366" s="129">
        <v>0</v>
      </c>
      <c r="N366" s="102">
        <f t="shared" si="10"/>
        <v>0</v>
      </c>
      <c r="O366" s="97">
        <v>0</v>
      </c>
      <c r="P366" s="92">
        <v>0</v>
      </c>
      <c r="Q366" s="98">
        <f t="shared" si="11"/>
        <v>0</v>
      </c>
      <c r="R366" s="102" t="str">
        <f>+IF(Q366+N366&lt;=0, "NO COMPRADOR", +IF(Q366&lt;=0, "SIN COMPRA "&amp;+UPPER(TEXT('DINAMICA ENERO 26'!$C$2,"mmm 'yy")), "COMPRADOR"))</f>
        <v>NO COMPRADOR</v>
      </c>
      <c r="S366" s="100"/>
      <c r="V366" s="100"/>
    </row>
  </sheetData>
  <autoFilter ref="A2:V366" xr:uid="{00000000-0001-0000-0200-000000000000}">
    <filterColumn colId="6">
      <filters>
        <filter val="LIBERTAD S.A."/>
      </filters>
    </filterColumn>
  </autoFilter>
  <conditionalFormatting sqref="N3:N366 Q3:Q366">
    <cfRule type="cellIs" dxfId="5" priority="1" operator="lessThanOr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ABA18-1185-4D6F-B8F1-EFFF0A8BD4F9}">
  <sheetPr>
    <tabColor theme="9"/>
  </sheetPr>
  <dimension ref="A1:Y366"/>
  <sheetViews>
    <sheetView showGridLines="0" topLeftCell="A200" zoomScale="80" zoomScaleNormal="80" workbookViewId="0">
      <selection activeCell="J12" sqref="J12"/>
    </sheetView>
  </sheetViews>
  <sheetFormatPr baseColWidth="10" defaultColWidth="10.90625" defaultRowHeight="13"/>
  <cols>
    <col min="1" max="1" width="10.90625" style="73"/>
    <col min="2" max="2" width="14" style="73" bestFit="1" customWidth="1"/>
    <col min="3" max="3" width="26.7265625" style="73" bestFit="1" customWidth="1"/>
    <col min="4" max="4" width="17.90625" style="133" customWidth="1"/>
    <col min="5" max="5" width="31.90625" style="73" bestFit="1" customWidth="1"/>
    <col min="6" max="6" width="21.90625" style="73" customWidth="1"/>
    <col min="7" max="7" width="49.453125" style="134" customWidth="1"/>
    <col min="8" max="14" width="10.36328125" style="73" customWidth="1"/>
    <col min="15" max="15" width="9.453125" style="73" customWidth="1"/>
    <col min="16" max="16" width="10.90625" style="73" customWidth="1"/>
    <col min="17" max="17" width="9.6328125" style="73" customWidth="1"/>
    <col min="18" max="18" width="15.08984375" style="73" bestFit="1" customWidth="1"/>
    <col min="19" max="22" width="10.90625" style="73" hidden="1" customWidth="1"/>
    <col min="23" max="16384" width="10.90625" style="73"/>
  </cols>
  <sheetData>
    <row r="1" spans="1:25" ht="19" thickBot="1">
      <c r="A1" s="123" t="s">
        <v>449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35">
        <v>100521455</v>
      </c>
      <c r="T1" s="135">
        <v>100521457</v>
      </c>
      <c r="U1" s="135">
        <v>100521453</v>
      </c>
      <c r="V1" s="135">
        <v>100521454</v>
      </c>
    </row>
    <row r="2" spans="1:25" s="127" customFormat="1" ht="39.5" thickBot="1">
      <c r="A2" s="74" t="s">
        <v>73</v>
      </c>
      <c r="B2" s="75" t="s">
        <v>74</v>
      </c>
      <c r="C2" s="75" t="s">
        <v>8</v>
      </c>
      <c r="D2" s="75" t="s">
        <v>75</v>
      </c>
      <c r="E2" s="75" t="s">
        <v>9</v>
      </c>
      <c r="F2" s="75" t="s">
        <v>76</v>
      </c>
      <c r="G2" s="77" t="s">
        <v>10</v>
      </c>
      <c r="H2" s="78" t="s">
        <v>77</v>
      </c>
      <c r="I2" s="81" t="s">
        <v>78</v>
      </c>
      <c r="J2" s="81" t="s">
        <v>79</v>
      </c>
      <c r="K2" s="81" t="s">
        <v>80</v>
      </c>
      <c r="L2" s="81" t="s">
        <v>81</v>
      </c>
      <c r="M2" s="81" t="s">
        <v>82</v>
      </c>
      <c r="N2" s="125" t="s">
        <v>83</v>
      </c>
      <c r="O2" s="83" t="str">
        <f>+UPPER(TEXT('DINAMICA ENERO 26'!$C$2,"mmm 'yy"))&amp;" FACT"</f>
        <v>FEB '26 FACT</v>
      </c>
      <c r="P2" s="84" t="str">
        <f>+UPPER(TEXT('DINAMICA ENERO 26'!$C$2,"mmm 'yy"))&amp;" PEND."</f>
        <v>FEB '26 PEND.</v>
      </c>
      <c r="Q2" s="85" t="str">
        <f>+UPPER(TEXT('DINAMICA ENERO 26'!$C$2,"mmm 'yy"))&amp;" TOTAL"</f>
        <v>FEB '26 TOTAL</v>
      </c>
      <c r="R2" s="126" t="s">
        <v>84</v>
      </c>
    </row>
    <row r="3" spans="1:25" s="100" customFormat="1" ht="14">
      <c r="A3" s="88" t="s">
        <v>85</v>
      </c>
      <c r="B3" s="89" t="s">
        <v>86</v>
      </c>
      <c r="C3" s="89" t="s">
        <v>60</v>
      </c>
      <c r="D3" s="89">
        <v>100077477</v>
      </c>
      <c r="E3" s="89" t="s">
        <v>65</v>
      </c>
      <c r="F3" s="89">
        <v>100086577</v>
      </c>
      <c r="G3" s="128" t="s">
        <v>87</v>
      </c>
      <c r="H3" s="136">
        <v>122.4</v>
      </c>
      <c r="I3" s="136">
        <v>20.400000000000002</v>
      </c>
      <c r="J3" s="136">
        <v>4.8</v>
      </c>
      <c r="K3" s="136">
        <v>20.400000000000002</v>
      </c>
      <c r="L3" s="136">
        <v>20.400000000000002</v>
      </c>
      <c r="M3" s="137">
        <v>0</v>
      </c>
      <c r="N3" s="96">
        <f t="shared" ref="N3:N66" si="0">+AVERAGE(K3:M3)</f>
        <v>13.600000000000001</v>
      </c>
      <c r="O3" s="130">
        <v>0</v>
      </c>
      <c r="P3" s="131">
        <v>0</v>
      </c>
      <c r="Q3" s="132">
        <f>+O3+P3</f>
        <v>0</v>
      </c>
      <c r="R3" s="96" t="str">
        <f>+IF(Q3+N3&lt;=0, "NO COMPRADOR", +IF(Q3&lt;=0, "SIN COMPRA "&amp;+UPPER(TEXT('DINAMICA ENERO 26'!$C$2,"mmm 'yy")), "COMPRADOR"))</f>
        <v>SIN COMPRA FEB '26</v>
      </c>
      <c r="T3" s="101"/>
      <c r="X3" s="101"/>
    </row>
    <row r="4" spans="1:25" s="100" customFormat="1" ht="14">
      <c r="A4" s="88" t="s">
        <v>85</v>
      </c>
      <c r="B4" s="89" t="s">
        <v>86</v>
      </c>
      <c r="C4" s="89" t="s">
        <v>60</v>
      </c>
      <c r="D4" s="89">
        <v>100077477</v>
      </c>
      <c r="E4" s="89" t="s">
        <v>65</v>
      </c>
      <c r="F4" s="89">
        <v>100065731</v>
      </c>
      <c r="G4" s="128" t="s">
        <v>88</v>
      </c>
      <c r="H4" s="94">
        <v>0</v>
      </c>
      <c r="I4" s="94">
        <v>0</v>
      </c>
      <c r="J4" s="94">
        <v>0</v>
      </c>
      <c r="K4" s="94">
        <v>0</v>
      </c>
      <c r="L4" s="94">
        <v>0</v>
      </c>
      <c r="M4" s="129">
        <v>0</v>
      </c>
      <c r="N4" s="102">
        <f t="shared" si="0"/>
        <v>0</v>
      </c>
      <c r="O4" s="97">
        <v>0</v>
      </c>
      <c r="P4" s="92">
        <v>0</v>
      </c>
      <c r="Q4" s="98">
        <f t="shared" ref="Q4:Q67" si="1">+O4+P4</f>
        <v>0</v>
      </c>
      <c r="R4" s="102" t="str">
        <f>+IF(Q4+N4&lt;=0, "NO COMPRADOR", +IF(Q4&lt;=0, "SIN COMPRA "&amp;+UPPER(TEXT('DINAMICA ENERO 26'!$C$2,"mmm 'yy")), "COMPRADOR"))</f>
        <v>NO COMPRADOR</v>
      </c>
      <c r="T4" s="101"/>
      <c r="X4" s="101"/>
    </row>
    <row r="5" spans="1:25" s="104" customFormat="1" ht="14">
      <c r="A5" s="88" t="s">
        <v>85</v>
      </c>
      <c r="B5" s="89" t="s">
        <v>86</v>
      </c>
      <c r="C5" s="89" t="s">
        <v>60</v>
      </c>
      <c r="D5" s="89">
        <v>100077477</v>
      </c>
      <c r="E5" s="89" t="s">
        <v>65</v>
      </c>
      <c r="F5" s="89">
        <v>100010095</v>
      </c>
      <c r="G5" s="128" t="s">
        <v>89</v>
      </c>
      <c r="H5" s="94">
        <v>4.8</v>
      </c>
      <c r="I5" s="94">
        <v>0</v>
      </c>
      <c r="J5" s="94">
        <v>0</v>
      </c>
      <c r="K5" s="94">
        <v>15</v>
      </c>
      <c r="L5" s="94">
        <v>0</v>
      </c>
      <c r="M5" s="129">
        <v>9.6</v>
      </c>
      <c r="N5" s="102">
        <f t="shared" si="0"/>
        <v>8.2000000000000011</v>
      </c>
      <c r="O5" s="97">
        <v>15</v>
      </c>
      <c r="P5" s="92">
        <v>0</v>
      </c>
      <c r="Q5" s="98">
        <f t="shared" si="1"/>
        <v>15</v>
      </c>
      <c r="R5" s="102" t="str">
        <f>+IF(Q5+N5&lt;=0, "NO COMPRADOR", +IF(Q5&lt;=0, "SIN COMPRA "&amp;+UPPER(TEXT('DINAMICA ENERO 26'!$C$2,"mmm 'yy")), "COMPRADOR"))</f>
        <v>COMPRADOR</v>
      </c>
      <c r="S5" s="100"/>
      <c r="T5" s="101"/>
      <c r="U5" s="100"/>
      <c r="X5" s="101"/>
      <c r="Y5" s="100"/>
    </row>
    <row r="6" spans="1:25" s="100" customFormat="1" ht="14">
      <c r="A6" s="88" t="s">
        <v>85</v>
      </c>
      <c r="B6" s="89" t="s">
        <v>86</v>
      </c>
      <c r="C6" s="89" t="s">
        <v>60</v>
      </c>
      <c r="D6" s="89">
        <v>100077477</v>
      </c>
      <c r="E6" s="89" t="s">
        <v>65</v>
      </c>
      <c r="F6" s="89">
        <v>100079173</v>
      </c>
      <c r="G6" s="128" t="s">
        <v>90</v>
      </c>
      <c r="H6" s="94">
        <v>27</v>
      </c>
      <c r="I6" s="94">
        <v>24</v>
      </c>
      <c r="J6" s="94">
        <v>48</v>
      </c>
      <c r="K6" s="94">
        <v>0</v>
      </c>
      <c r="L6" s="94">
        <v>115.20000000000002</v>
      </c>
      <c r="M6" s="129">
        <v>9.6</v>
      </c>
      <c r="N6" s="102">
        <f t="shared" si="0"/>
        <v>41.6</v>
      </c>
      <c r="O6" s="97">
        <v>0</v>
      </c>
      <c r="P6" s="92">
        <v>0</v>
      </c>
      <c r="Q6" s="98">
        <f t="shared" si="1"/>
        <v>0</v>
      </c>
      <c r="R6" s="102" t="str">
        <f>+IF(Q6+N6&lt;=0, "NO COMPRADOR", +IF(Q6&lt;=0, "SIN COMPRA "&amp;+UPPER(TEXT('DINAMICA ENERO 26'!$C$2,"mmm 'yy")), "COMPRADOR"))</f>
        <v>SIN COMPRA FEB '26</v>
      </c>
      <c r="T6" s="101"/>
      <c r="X6" s="101"/>
    </row>
    <row r="7" spans="1:25" s="100" customFormat="1" ht="14">
      <c r="A7" s="88" t="s">
        <v>85</v>
      </c>
      <c r="B7" s="89" t="s">
        <v>86</v>
      </c>
      <c r="C7" s="89" t="s">
        <v>60</v>
      </c>
      <c r="D7" s="89">
        <v>100077477</v>
      </c>
      <c r="E7" s="89" t="s">
        <v>65</v>
      </c>
      <c r="F7" s="89">
        <v>100079594</v>
      </c>
      <c r="G7" s="128" t="s">
        <v>91</v>
      </c>
      <c r="H7" s="94">
        <v>30</v>
      </c>
      <c r="I7" s="94">
        <v>0</v>
      </c>
      <c r="J7" s="94">
        <v>10.199999999999999</v>
      </c>
      <c r="K7" s="94">
        <v>5.4</v>
      </c>
      <c r="L7" s="94">
        <v>4.8</v>
      </c>
      <c r="M7" s="129">
        <v>10.199999999999999</v>
      </c>
      <c r="N7" s="102">
        <f t="shared" si="0"/>
        <v>6.8</v>
      </c>
      <c r="O7" s="97">
        <v>0</v>
      </c>
      <c r="P7" s="92">
        <v>0</v>
      </c>
      <c r="Q7" s="98">
        <f t="shared" si="1"/>
        <v>0</v>
      </c>
      <c r="R7" s="102" t="str">
        <f>+IF(Q7+N7&lt;=0, "NO COMPRADOR", +IF(Q7&lt;=0, "SIN COMPRA "&amp;+UPPER(TEXT('DINAMICA ENERO 26'!$C$2,"mmm 'yy")), "COMPRADOR"))</f>
        <v>SIN COMPRA FEB '26</v>
      </c>
      <c r="T7" s="101"/>
      <c r="X7" s="101"/>
    </row>
    <row r="8" spans="1:25" s="100" customFormat="1" ht="14">
      <c r="A8" s="88" t="s">
        <v>85</v>
      </c>
      <c r="B8" s="89" t="s">
        <v>86</v>
      </c>
      <c r="C8" s="89" t="s">
        <v>60</v>
      </c>
      <c r="D8" s="89">
        <v>100077477</v>
      </c>
      <c r="E8" s="89" t="s">
        <v>65</v>
      </c>
      <c r="F8" s="89">
        <v>100078788</v>
      </c>
      <c r="G8" s="128" t="s">
        <v>92</v>
      </c>
      <c r="H8" s="94">
        <v>0</v>
      </c>
      <c r="I8" s="94">
        <v>115.19999999999999</v>
      </c>
      <c r="J8" s="94">
        <v>0</v>
      </c>
      <c r="K8" s="94">
        <v>21.6</v>
      </c>
      <c r="L8" s="94">
        <v>33.599999999999994</v>
      </c>
      <c r="M8" s="129">
        <v>99.6</v>
      </c>
      <c r="N8" s="102">
        <f t="shared" si="0"/>
        <v>51.599999999999994</v>
      </c>
      <c r="O8" s="97">
        <v>33.6</v>
      </c>
      <c r="P8" s="92">
        <v>0</v>
      </c>
      <c r="Q8" s="98">
        <f t="shared" si="1"/>
        <v>33.6</v>
      </c>
      <c r="R8" s="102" t="str">
        <f>+IF(Q8+N8&lt;=0, "NO COMPRADOR", +IF(Q8&lt;=0, "SIN COMPRA "&amp;+UPPER(TEXT('DINAMICA ENERO 26'!$C$2,"mmm 'yy")), "COMPRADOR"))</f>
        <v>COMPRADOR</v>
      </c>
      <c r="T8" s="101"/>
      <c r="X8" s="101"/>
    </row>
    <row r="9" spans="1:25" s="100" customFormat="1" ht="14">
      <c r="A9" s="88" t="s">
        <v>85</v>
      </c>
      <c r="B9" s="89" t="s">
        <v>86</v>
      </c>
      <c r="C9" s="89" t="s">
        <v>60</v>
      </c>
      <c r="D9" s="89">
        <v>100077477</v>
      </c>
      <c r="E9" s="89" t="s">
        <v>65</v>
      </c>
      <c r="F9" s="89">
        <v>100084185</v>
      </c>
      <c r="G9" s="128" t="s">
        <v>93</v>
      </c>
      <c r="H9" s="94">
        <v>5.4</v>
      </c>
      <c r="I9" s="94">
        <v>19.8</v>
      </c>
      <c r="J9" s="94">
        <v>0</v>
      </c>
      <c r="K9" s="94">
        <v>40.800000000000004</v>
      </c>
      <c r="L9" s="94">
        <v>5.4</v>
      </c>
      <c r="M9" s="129">
        <v>10.8</v>
      </c>
      <c r="N9" s="102">
        <f t="shared" si="0"/>
        <v>19</v>
      </c>
      <c r="O9" s="97">
        <v>19.2</v>
      </c>
      <c r="P9" s="92">
        <v>0</v>
      </c>
      <c r="Q9" s="98">
        <f t="shared" si="1"/>
        <v>19.2</v>
      </c>
      <c r="R9" s="102" t="str">
        <f>+IF(Q9+N9&lt;=0, "NO COMPRADOR", +IF(Q9&lt;=0, "SIN COMPRA "&amp;+UPPER(TEXT('DINAMICA ENERO 26'!$C$2,"mmm 'yy")), "COMPRADOR"))</f>
        <v>COMPRADOR</v>
      </c>
      <c r="T9" s="101"/>
      <c r="X9" s="101"/>
    </row>
    <row r="10" spans="1:25" s="104" customFormat="1" ht="14">
      <c r="A10" s="88" t="s">
        <v>85</v>
      </c>
      <c r="B10" s="89" t="s">
        <v>86</v>
      </c>
      <c r="C10" s="89" t="s">
        <v>60</v>
      </c>
      <c r="D10" s="89">
        <v>100077477</v>
      </c>
      <c r="E10" s="89" t="s">
        <v>65</v>
      </c>
      <c r="F10" s="89">
        <v>100087922</v>
      </c>
      <c r="G10" s="128" t="s">
        <v>94</v>
      </c>
      <c r="H10" s="94">
        <v>0</v>
      </c>
      <c r="I10" s="94">
        <v>0</v>
      </c>
      <c r="J10" s="94">
        <v>0</v>
      </c>
      <c r="K10" s="94">
        <v>0</v>
      </c>
      <c r="L10" s="94">
        <v>0</v>
      </c>
      <c r="M10" s="129">
        <v>0</v>
      </c>
      <c r="N10" s="102">
        <f t="shared" si="0"/>
        <v>0</v>
      </c>
      <c r="O10" s="97">
        <v>0</v>
      </c>
      <c r="P10" s="92">
        <v>0</v>
      </c>
      <c r="Q10" s="98">
        <f t="shared" si="1"/>
        <v>0</v>
      </c>
      <c r="R10" s="102" t="str">
        <f>+IF(Q10+N10&lt;=0, "NO COMPRADOR", +IF(Q10&lt;=0, "SIN COMPRA "&amp;+UPPER(TEXT('DINAMICA ENERO 26'!$C$2,"mmm 'yy")), "COMPRADOR"))</f>
        <v>NO COMPRADOR</v>
      </c>
      <c r="S10" s="100"/>
      <c r="T10" s="101"/>
      <c r="U10" s="100"/>
      <c r="X10" s="101"/>
      <c r="Y10" s="100"/>
    </row>
    <row r="11" spans="1:25" s="100" customFormat="1" ht="14">
      <c r="A11" s="88" t="s">
        <v>85</v>
      </c>
      <c r="B11" s="89" t="s">
        <v>86</v>
      </c>
      <c r="C11" s="89" t="s">
        <v>60</v>
      </c>
      <c r="D11" s="89">
        <v>100077477</v>
      </c>
      <c r="E11" s="89" t="s">
        <v>65</v>
      </c>
      <c r="F11" s="89">
        <v>100071741</v>
      </c>
      <c r="G11" s="128" t="s">
        <v>95</v>
      </c>
      <c r="H11" s="94">
        <v>0</v>
      </c>
      <c r="I11" s="94">
        <v>5.4</v>
      </c>
      <c r="J11" s="94">
        <v>4.8</v>
      </c>
      <c r="K11" s="94">
        <v>15</v>
      </c>
      <c r="L11" s="94">
        <v>5.4</v>
      </c>
      <c r="M11" s="129">
        <v>0</v>
      </c>
      <c r="N11" s="102">
        <f t="shared" si="0"/>
        <v>6.8</v>
      </c>
      <c r="O11" s="97">
        <v>9.6</v>
      </c>
      <c r="P11" s="92">
        <v>0</v>
      </c>
      <c r="Q11" s="98">
        <f t="shared" si="1"/>
        <v>9.6</v>
      </c>
      <c r="R11" s="102" t="str">
        <f>+IF(Q11+N11&lt;=0, "NO COMPRADOR", +IF(Q11&lt;=0, "SIN COMPRA "&amp;+UPPER(TEXT('DINAMICA ENERO 26'!$C$2,"mmm 'yy")), "COMPRADOR"))</f>
        <v>COMPRADOR</v>
      </c>
      <c r="T11" s="101"/>
      <c r="X11" s="101"/>
    </row>
    <row r="12" spans="1:25" s="100" customFormat="1" ht="14">
      <c r="A12" s="88" t="s">
        <v>85</v>
      </c>
      <c r="B12" s="89" t="s">
        <v>86</v>
      </c>
      <c r="C12" s="89" t="s">
        <v>60</v>
      </c>
      <c r="D12" s="89">
        <v>100077477</v>
      </c>
      <c r="E12" s="89" t="s">
        <v>65</v>
      </c>
      <c r="F12" s="89">
        <v>100075448</v>
      </c>
      <c r="G12" s="128" t="s">
        <v>96</v>
      </c>
      <c r="H12" s="94">
        <v>51.6</v>
      </c>
      <c r="I12" s="94">
        <v>15</v>
      </c>
      <c r="J12" s="94">
        <v>15</v>
      </c>
      <c r="K12" s="94">
        <v>10.8</v>
      </c>
      <c r="L12" s="94">
        <v>0</v>
      </c>
      <c r="M12" s="129">
        <v>0</v>
      </c>
      <c r="N12" s="102">
        <f t="shared" si="0"/>
        <v>3.6</v>
      </c>
      <c r="O12" s="97">
        <v>0</v>
      </c>
      <c r="P12" s="92">
        <v>0</v>
      </c>
      <c r="Q12" s="98">
        <f t="shared" si="1"/>
        <v>0</v>
      </c>
      <c r="R12" s="102" t="str">
        <f>+IF(Q12+N12&lt;=0, "NO COMPRADOR", +IF(Q12&lt;=0, "SIN COMPRA "&amp;+UPPER(TEXT('DINAMICA ENERO 26'!$C$2,"mmm 'yy")), "COMPRADOR"))</f>
        <v>SIN COMPRA FEB '26</v>
      </c>
      <c r="T12" s="101"/>
      <c r="X12" s="101"/>
    </row>
    <row r="13" spans="1:25" s="100" customFormat="1" ht="14">
      <c r="A13" s="88" t="s">
        <v>85</v>
      </c>
      <c r="B13" s="89" t="s">
        <v>86</v>
      </c>
      <c r="C13" s="89" t="s">
        <v>60</v>
      </c>
      <c r="D13" s="89">
        <v>100077477</v>
      </c>
      <c r="E13" s="89" t="s">
        <v>65</v>
      </c>
      <c r="F13" s="89">
        <v>100089232</v>
      </c>
      <c r="G13" s="128" t="s">
        <v>97</v>
      </c>
      <c r="H13" s="94">
        <v>0</v>
      </c>
      <c r="I13" s="94">
        <v>0</v>
      </c>
      <c r="J13" s="94">
        <v>0</v>
      </c>
      <c r="K13" s="94">
        <v>0</v>
      </c>
      <c r="L13" s="94">
        <v>0</v>
      </c>
      <c r="M13" s="129">
        <v>0</v>
      </c>
      <c r="N13" s="102">
        <f t="shared" si="0"/>
        <v>0</v>
      </c>
      <c r="O13" s="97">
        <v>0</v>
      </c>
      <c r="P13" s="92">
        <v>0</v>
      </c>
      <c r="Q13" s="98">
        <f t="shared" si="1"/>
        <v>0</v>
      </c>
      <c r="R13" s="102" t="str">
        <f>+IF(Q13+N13&lt;=0, "NO COMPRADOR", +IF(Q13&lt;=0, "SIN COMPRA "&amp;+UPPER(TEXT('DINAMICA ENERO 26'!$C$2,"mmm 'yy")), "COMPRADOR"))</f>
        <v>NO COMPRADOR</v>
      </c>
      <c r="T13" s="101"/>
      <c r="X13" s="101"/>
    </row>
    <row r="14" spans="1:25" s="100" customFormat="1" ht="14">
      <c r="A14" s="88" t="s">
        <v>85</v>
      </c>
      <c r="B14" s="89" t="s">
        <v>98</v>
      </c>
      <c r="C14" s="89" t="s">
        <v>60</v>
      </c>
      <c r="D14" s="103">
        <v>100041217</v>
      </c>
      <c r="E14" s="89" t="s">
        <v>63</v>
      </c>
      <c r="F14" s="89">
        <v>100073953</v>
      </c>
      <c r="G14" s="128" t="s">
        <v>99</v>
      </c>
      <c r="H14" s="94">
        <v>0</v>
      </c>
      <c r="I14" s="94">
        <v>0</v>
      </c>
      <c r="J14" s="94">
        <v>0</v>
      </c>
      <c r="K14" s="94">
        <v>0</v>
      </c>
      <c r="L14" s="94">
        <v>0</v>
      </c>
      <c r="M14" s="129">
        <v>0</v>
      </c>
      <c r="N14" s="102">
        <f t="shared" si="0"/>
        <v>0</v>
      </c>
      <c r="O14" s="97">
        <v>0</v>
      </c>
      <c r="P14" s="92">
        <v>0</v>
      </c>
      <c r="Q14" s="98">
        <f t="shared" si="1"/>
        <v>0</v>
      </c>
      <c r="R14" s="102" t="str">
        <f>+IF(Q14+N14&lt;=0, "NO COMPRADOR", +IF(Q14&lt;=0, "SIN COMPRA "&amp;+UPPER(TEXT('DINAMICA ENERO 26'!$C$2,"mmm 'yy")), "COMPRADOR"))</f>
        <v>NO COMPRADOR</v>
      </c>
      <c r="T14" s="101"/>
      <c r="X14" s="101"/>
    </row>
    <row r="15" spans="1:25" s="100" customFormat="1" ht="14">
      <c r="A15" s="88" t="s">
        <v>85</v>
      </c>
      <c r="B15" s="89" t="s">
        <v>98</v>
      </c>
      <c r="C15" s="89" t="s">
        <v>60</v>
      </c>
      <c r="D15" s="103">
        <v>100041217</v>
      </c>
      <c r="E15" s="89" t="s">
        <v>63</v>
      </c>
      <c r="F15" s="89">
        <v>100081405</v>
      </c>
      <c r="G15" s="128" t="s">
        <v>100</v>
      </c>
      <c r="H15" s="94">
        <v>40.800000000000004</v>
      </c>
      <c r="I15" s="94">
        <v>40.800000000000004</v>
      </c>
      <c r="J15" s="94">
        <v>40.800000000000004</v>
      </c>
      <c r="K15" s="94">
        <v>0</v>
      </c>
      <c r="L15" s="94">
        <v>40.800000000000004</v>
      </c>
      <c r="M15" s="129">
        <v>9.6</v>
      </c>
      <c r="N15" s="102">
        <f t="shared" si="0"/>
        <v>16.8</v>
      </c>
      <c r="O15" s="97">
        <v>0</v>
      </c>
      <c r="P15" s="92">
        <v>0</v>
      </c>
      <c r="Q15" s="98">
        <f t="shared" si="1"/>
        <v>0</v>
      </c>
      <c r="R15" s="102" t="str">
        <f>+IF(Q15+N15&lt;=0, "NO COMPRADOR", +IF(Q15&lt;=0, "SIN COMPRA "&amp;+UPPER(TEXT('DINAMICA ENERO 26'!$C$2,"mmm 'yy")), "COMPRADOR"))</f>
        <v>SIN COMPRA FEB '26</v>
      </c>
      <c r="T15" s="101"/>
      <c r="X15" s="101"/>
    </row>
    <row r="16" spans="1:25" s="100" customFormat="1" ht="14">
      <c r="A16" s="88" t="s">
        <v>85</v>
      </c>
      <c r="B16" s="89" t="s">
        <v>98</v>
      </c>
      <c r="C16" s="89" t="s">
        <v>60</v>
      </c>
      <c r="D16" s="103">
        <v>100041217</v>
      </c>
      <c r="E16" s="89" t="s">
        <v>63</v>
      </c>
      <c r="F16" s="89">
        <v>100066079</v>
      </c>
      <c r="G16" s="128" t="s">
        <v>101</v>
      </c>
      <c r="H16" s="94">
        <v>102</v>
      </c>
      <c r="I16" s="94">
        <v>102</v>
      </c>
      <c r="J16" s="94">
        <v>54</v>
      </c>
      <c r="K16" s="94">
        <v>48</v>
      </c>
      <c r="L16" s="94">
        <v>54</v>
      </c>
      <c r="M16" s="129">
        <v>21.6</v>
      </c>
      <c r="N16" s="102">
        <f t="shared" si="0"/>
        <v>41.199999999999996</v>
      </c>
      <c r="O16" s="97">
        <v>72</v>
      </c>
      <c r="P16" s="92">
        <v>0</v>
      </c>
      <c r="Q16" s="98">
        <f t="shared" si="1"/>
        <v>72</v>
      </c>
      <c r="R16" s="102" t="str">
        <f>+IF(Q16+N16&lt;=0, "NO COMPRADOR", +IF(Q16&lt;=0, "SIN COMPRA "&amp;+UPPER(TEXT('DINAMICA ENERO 26'!$C$2,"mmm 'yy")), "COMPRADOR"))</f>
        <v>COMPRADOR</v>
      </c>
      <c r="T16" s="101"/>
      <c r="X16" s="101"/>
    </row>
    <row r="17" spans="1:25" s="100" customFormat="1" ht="14">
      <c r="A17" s="88" t="s">
        <v>85</v>
      </c>
      <c r="B17" s="89" t="s">
        <v>98</v>
      </c>
      <c r="C17" s="89" t="s">
        <v>60</v>
      </c>
      <c r="D17" s="103">
        <v>100041217</v>
      </c>
      <c r="E17" s="89" t="s">
        <v>63</v>
      </c>
      <c r="F17" s="89">
        <v>100041131</v>
      </c>
      <c r="G17" s="128" t="s">
        <v>102</v>
      </c>
      <c r="H17" s="94">
        <v>102</v>
      </c>
      <c r="I17" s="94">
        <v>102</v>
      </c>
      <c r="J17" s="94">
        <v>102</v>
      </c>
      <c r="K17" s="94">
        <v>27</v>
      </c>
      <c r="L17" s="94">
        <v>27</v>
      </c>
      <c r="M17" s="129">
        <v>108</v>
      </c>
      <c r="N17" s="102">
        <f t="shared" si="0"/>
        <v>54</v>
      </c>
      <c r="O17" s="97">
        <v>0</v>
      </c>
      <c r="P17" s="92">
        <v>0</v>
      </c>
      <c r="Q17" s="98">
        <f t="shared" si="1"/>
        <v>0</v>
      </c>
      <c r="R17" s="102" t="str">
        <f>+IF(Q17+N17&lt;=0, "NO COMPRADOR", +IF(Q17&lt;=0, "SIN COMPRA "&amp;+UPPER(TEXT('DINAMICA ENERO 26'!$C$2,"mmm 'yy")), "COMPRADOR"))</f>
        <v>SIN COMPRA FEB '26</v>
      </c>
      <c r="T17" s="101"/>
      <c r="X17" s="101"/>
    </row>
    <row r="18" spans="1:25" s="104" customFormat="1" ht="14">
      <c r="A18" s="88" t="s">
        <v>85</v>
      </c>
      <c r="B18" s="89" t="s">
        <v>98</v>
      </c>
      <c r="C18" s="89" t="s">
        <v>60</v>
      </c>
      <c r="D18" s="103">
        <v>100041217</v>
      </c>
      <c r="E18" s="89" t="s">
        <v>63</v>
      </c>
      <c r="F18" s="89">
        <v>100012634</v>
      </c>
      <c r="G18" s="128" t="s">
        <v>103</v>
      </c>
      <c r="H18" s="94">
        <v>14.399999999999999</v>
      </c>
      <c r="I18" s="94">
        <v>37.200000000000003</v>
      </c>
      <c r="J18" s="94">
        <v>0</v>
      </c>
      <c r="K18" s="94">
        <v>35.400000000000006</v>
      </c>
      <c r="L18" s="94">
        <v>0</v>
      </c>
      <c r="M18" s="129">
        <v>0</v>
      </c>
      <c r="N18" s="102">
        <f t="shared" si="0"/>
        <v>11.800000000000002</v>
      </c>
      <c r="O18" s="97">
        <v>5.4</v>
      </c>
      <c r="P18" s="92">
        <v>0</v>
      </c>
      <c r="Q18" s="98">
        <f t="shared" si="1"/>
        <v>5.4</v>
      </c>
      <c r="R18" s="102" t="str">
        <f>+IF(Q18+N18&lt;=0, "NO COMPRADOR", +IF(Q18&lt;=0, "SIN COMPRA "&amp;+UPPER(TEXT('DINAMICA ENERO 26'!$C$2,"mmm 'yy")), "COMPRADOR"))</f>
        <v>COMPRADOR</v>
      </c>
      <c r="S18" s="100"/>
      <c r="T18" s="101"/>
      <c r="U18" s="100"/>
      <c r="X18" s="101"/>
      <c r="Y18" s="100"/>
    </row>
    <row r="19" spans="1:25" s="100" customFormat="1" ht="14">
      <c r="A19" s="88" t="s">
        <v>85</v>
      </c>
      <c r="B19" s="89" t="s">
        <v>98</v>
      </c>
      <c r="C19" s="89" t="s">
        <v>60</v>
      </c>
      <c r="D19" s="103">
        <v>100041217</v>
      </c>
      <c r="E19" s="89" t="s">
        <v>63</v>
      </c>
      <c r="F19" s="89">
        <v>100049700</v>
      </c>
      <c r="G19" s="128" t="s">
        <v>104</v>
      </c>
      <c r="H19" s="94">
        <v>0</v>
      </c>
      <c r="I19" s="94">
        <v>0</v>
      </c>
      <c r="J19" s="94">
        <v>0</v>
      </c>
      <c r="K19" s="94">
        <v>0</v>
      </c>
      <c r="L19" s="94">
        <v>0</v>
      </c>
      <c r="M19" s="129">
        <v>0</v>
      </c>
      <c r="N19" s="102">
        <f t="shared" si="0"/>
        <v>0</v>
      </c>
      <c r="O19" s="97">
        <v>0</v>
      </c>
      <c r="P19" s="92">
        <v>0</v>
      </c>
      <c r="Q19" s="98">
        <f t="shared" si="1"/>
        <v>0</v>
      </c>
      <c r="R19" s="102" t="str">
        <f>+IF(Q19+N19&lt;=0, "NO COMPRADOR", +IF(Q19&lt;=0, "SIN COMPRA "&amp;+UPPER(TEXT('DINAMICA ENERO 26'!$C$2,"mmm 'yy")), "COMPRADOR"))</f>
        <v>NO COMPRADOR</v>
      </c>
      <c r="T19" s="101"/>
      <c r="X19" s="101"/>
    </row>
    <row r="20" spans="1:25" s="100" customFormat="1" ht="14">
      <c r="A20" s="88" t="s">
        <v>85</v>
      </c>
      <c r="B20" s="89" t="s">
        <v>105</v>
      </c>
      <c r="C20" s="89" t="s">
        <v>60</v>
      </c>
      <c r="D20" s="103">
        <v>100080146</v>
      </c>
      <c r="E20" s="89" t="s">
        <v>66</v>
      </c>
      <c r="F20" s="89">
        <v>100061718</v>
      </c>
      <c r="G20" s="128" t="s">
        <v>106</v>
      </c>
      <c r="H20" s="94">
        <v>91.8</v>
      </c>
      <c r="I20" s="94">
        <v>40.800000000000004</v>
      </c>
      <c r="J20" s="94">
        <v>80.400000000000006</v>
      </c>
      <c r="K20" s="94">
        <v>43.2</v>
      </c>
      <c r="L20" s="94">
        <v>4.8</v>
      </c>
      <c r="M20" s="129">
        <v>0</v>
      </c>
      <c r="N20" s="102">
        <f t="shared" si="0"/>
        <v>16</v>
      </c>
      <c r="O20" s="97">
        <v>21.6</v>
      </c>
      <c r="P20" s="92">
        <v>21.6</v>
      </c>
      <c r="Q20" s="98">
        <f t="shared" si="1"/>
        <v>43.2</v>
      </c>
      <c r="R20" s="102" t="str">
        <f>+IF(Q20+N20&lt;=0, "NO COMPRADOR", +IF(Q20&lt;=0, "SIN COMPRA "&amp;+UPPER(TEXT('DINAMICA ENERO 26'!$C$2,"mmm 'yy")), "COMPRADOR"))</f>
        <v>COMPRADOR</v>
      </c>
      <c r="T20" s="101"/>
      <c r="X20" s="101"/>
    </row>
    <row r="21" spans="1:25" s="100" customFormat="1" ht="14">
      <c r="A21" s="88" t="s">
        <v>85</v>
      </c>
      <c r="B21" s="89" t="s">
        <v>105</v>
      </c>
      <c r="C21" s="89" t="s">
        <v>60</v>
      </c>
      <c r="D21" s="103">
        <v>100080146</v>
      </c>
      <c r="E21" s="89" t="s">
        <v>66</v>
      </c>
      <c r="F21" s="89">
        <v>100067160</v>
      </c>
      <c r="G21" s="128" t="s">
        <v>107</v>
      </c>
      <c r="H21" s="94">
        <v>73.2</v>
      </c>
      <c r="I21" s="94">
        <v>102</v>
      </c>
      <c r="J21" s="94">
        <v>102</v>
      </c>
      <c r="K21" s="94">
        <v>102</v>
      </c>
      <c r="L21" s="94">
        <v>193.8</v>
      </c>
      <c r="M21" s="129">
        <v>48</v>
      </c>
      <c r="N21" s="102">
        <f t="shared" si="0"/>
        <v>114.60000000000001</v>
      </c>
      <c r="O21" s="97">
        <v>102</v>
      </c>
      <c r="P21" s="92">
        <v>0</v>
      </c>
      <c r="Q21" s="98">
        <f t="shared" si="1"/>
        <v>102</v>
      </c>
      <c r="R21" s="102" t="str">
        <f>+IF(Q21+N21&lt;=0, "NO COMPRADOR", +IF(Q21&lt;=0, "SIN COMPRA "&amp;+UPPER(TEXT('DINAMICA ENERO 26'!$C$2,"mmm 'yy")), "COMPRADOR"))</f>
        <v>COMPRADOR</v>
      </c>
      <c r="T21" s="101"/>
      <c r="X21" s="101"/>
    </row>
    <row r="22" spans="1:25" s="100" customFormat="1" ht="14">
      <c r="A22" s="88" t="s">
        <v>85</v>
      </c>
      <c r="B22" s="89" t="s">
        <v>105</v>
      </c>
      <c r="C22" s="89" t="s">
        <v>60</v>
      </c>
      <c r="D22" s="103">
        <v>100080146</v>
      </c>
      <c r="E22" s="89" t="s">
        <v>66</v>
      </c>
      <c r="F22" s="89">
        <v>100001763</v>
      </c>
      <c r="G22" s="128" t="s">
        <v>108</v>
      </c>
      <c r="H22" s="94">
        <v>40.800000000000004</v>
      </c>
      <c r="I22" s="94">
        <v>40.800000000000004</v>
      </c>
      <c r="J22" s="94">
        <v>54</v>
      </c>
      <c r="K22" s="94">
        <v>258</v>
      </c>
      <c r="L22" s="94">
        <v>40.800000000000004</v>
      </c>
      <c r="M22" s="129">
        <v>40.800000000000004</v>
      </c>
      <c r="N22" s="102">
        <f t="shared" si="0"/>
        <v>113.2</v>
      </c>
      <c r="O22" s="97">
        <v>0</v>
      </c>
      <c r="P22" s="92">
        <v>0</v>
      </c>
      <c r="Q22" s="98">
        <f t="shared" si="1"/>
        <v>0</v>
      </c>
      <c r="R22" s="102" t="str">
        <f>+IF(Q22+N22&lt;=0, "NO COMPRADOR", +IF(Q22&lt;=0, "SIN COMPRA "&amp;+UPPER(TEXT('DINAMICA ENERO 26'!$C$2,"mmm 'yy")), "COMPRADOR"))</f>
        <v>SIN COMPRA FEB '26</v>
      </c>
      <c r="T22" s="101"/>
      <c r="X22" s="101"/>
    </row>
    <row r="23" spans="1:25" s="100" customFormat="1" ht="14">
      <c r="A23" s="88" t="s">
        <v>85</v>
      </c>
      <c r="B23" s="89" t="s">
        <v>105</v>
      </c>
      <c r="C23" s="89" t="s">
        <v>60</v>
      </c>
      <c r="D23" s="103">
        <v>100080146</v>
      </c>
      <c r="E23" s="89" t="s">
        <v>66</v>
      </c>
      <c r="F23" s="89">
        <v>100025425</v>
      </c>
      <c r="G23" s="128" t="s">
        <v>109</v>
      </c>
      <c r="H23" s="94">
        <v>0</v>
      </c>
      <c r="I23" s="94">
        <v>0</v>
      </c>
      <c r="J23" s="94">
        <v>0</v>
      </c>
      <c r="K23" s="94">
        <v>0</v>
      </c>
      <c r="L23" s="94">
        <v>0</v>
      </c>
      <c r="M23" s="129">
        <v>0</v>
      </c>
      <c r="N23" s="102">
        <f t="shared" si="0"/>
        <v>0</v>
      </c>
      <c r="O23" s="97">
        <v>0</v>
      </c>
      <c r="P23" s="92">
        <v>0</v>
      </c>
      <c r="Q23" s="98">
        <f t="shared" si="1"/>
        <v>0</v>
      </c>
      <c r="R23" s="102" t="str">
        <f>+IF(Q23+N23&lt;=0, "NO COMPRADOR", +IF(Q23&lt;=0, "SIN COMPRA "&amp;+UPPER(TEXT('DINAMICA ENERO 26'!$C$2,"mmm 'yy")), "COMPRADOR"))</f>
        <v>NO COMPRADOR</v>
      </c>
      <c r="T23" s="101"/>
      <c r="X23" s="101"/>
    </row>
    <row r="24" spans="1:25" s="100" customFormat="1" ht="14">
      <c r="A24" s="88" t="s">
        <v>85</v>
      </c>
      <c r="B24" s="89" t="s">
        <v>105</v>
      </c>
      <c r="C24" s="89" t="s">
        <v>60</v>
      </c>
      <c r="D24" s="103">
        <v>100068884</v>
      </c>
      <c r="E24" s="89" t="s">
        <v>61</v>
      </c>
      <c r="F24" s="89">
        <v>100079808</v>
      </c>
      <c r="G24" s="128" t="s">
        <v>110</v>
      </c>
      <c r="H24" s="94">
        <v>88.800000000000011</v>
      </c>
      <c r="I24" s="94">
        <v>30.6</v>
      </c>
      <c r="J24" s="94">
        <v>102</v>
      </c>
      <c r="K24" s="94">
        <v>10.199999999999999</v>
      </c>
      <c r="L24" s="94">
        <v>4.8</v>
      </c>
      <c r="M24" s="129">
        <v>0</v>
      </c>
      <c r="N24" s="102">
        <f t="shared" si="0"/>
        <v>5</v>
      </c>
      <c r="O24" s="97">
        <v>0</v>
      </c>
      <c r="P24" s="92">
        <v>0</v>
      </c>
      <c r="Q24" s="98">
        <f t="shared" si="1"/>
        <v>0</v>
      </c>
      <c r="R24" s="102" t="str">
        <f>+IF(Q24+N24&lt;=0, "NO COMPRADOR", +IF(Q24&lt;=0, "SIN COMPRA "&amp;+UPPER(TEXT('DINAMICA ENERO 26'!$C$2,"mmm 'yy")), "COMPRADOR"))</f>
        <v>SIN COMPRA FEB '26</v>
      </c>
      <c r="T24" s="101"/>
      <c r="X24" s="101"/>
    </row>
    <row r="25" spans="1:25" s="104" customFormat="1" ht="14">
      <c r="A25" s="88" t="s">
        <v>85</v>
      </c>
      <c r="B25" s="89" t="s">
        <v>105</v>
      </c>
      <c r="C25" s="89" t="s">
        <v>60</v>
      </c>
      <c r="D25" s="103">
        <v>100068884</v>
      </c>
      <c r="E25" s="89" t="s">
        <v>61</v>
      </c>
      <c r="F25" s="89">
        <v>100069053</v>
      </c>
      <c r="G25" s="128" t="s">
        <v>111</v>
      </c>
      <c r="H25" s="94">
        <v>10.8</v>
      </c>
      <c r="I25" s="94">
        <v>50.4</v>
      </c>
      <c r="J25" s="94">
        <v>40.800000000000004</v>
      </c>
      <c r="K25" s="94">
        <v>4.8</v>
      </c>
      <c r="L25" s="94">
        <v>4.8</v>
      </c>
      <c r="M25" s="129">
        <v>5.4</v>
      </c>
      <c r="N25" s="102">
        <f t="shared" si="0"/>
        <v>5</v>
      </c>
      <c r="O25" s="97">
        <v>0</v>
      </c>
      <c r="P25" s="92">
        <v>0</v>
      </c>
      <c r="Q25" s="98">
        <f t="shared" si="1"/>
        <v>0</v>
      </c>
      <c r="R25" s="102" t="str">
        <f>+IF(Q25+N25&lt;=0, "NO COMPRADOR", +IF(Q25&lt;=0, "SIN COMPRA "&amp;+UPPER(TEXT('DINAMICA ENERO 26'!$C$2,"mmm 'yy")), "COMPRADOR"))</f>
        <v>SIN COMPRA FEB '26</v>
      </c>
      <c r="S25" s="100"/>
      <c r="T25" s="101"/>
      <c r="U25" s="100"/>
      <c r="X25" s="101"/>
      <c r="Y25" s="100"/>
    </row>
    <row r="26" spans="1:25" s="100" customFormat="1" ht="14">
      <c r="A26" s="88" t="s">
        <v>85</v>
      </c>
      <c r="B26" s="89" t="s">
        <v>105</v>
      </c>
      <c r="C26" s="89" t="s">
        <v>60</v>
      </c>
      <c r="D26" s="103">
        <v>100068884</v>
      </c>
      <c r="E26" s="89" t="s">
        <v>61</v>
      </c>
      <c r="F26" s="89">
        <v>100061654</v>
      </c>
      <c r="G26" s="128" t="s">
        <v>112</v>
      </c>
      <c r="H26" s="94">
        <v>160.80000000000001</v>
      </c>
      <c r="I26" s="94">
        <v>51.600000000000009</v>
      </c>
      <c r="J26" s="94">
        <v>0</v>
      </c>
      <c r="K26" s="94">
        <v>4.8</v>
      </c>
      <c r="L26" s="94">
        <v>4.8</v>
      </c>
      <c r="M26" s="129">
        <v>5.4</v>
      </c>
      <c r="N26" s="102">
        <f t="shared" si="0"/>
        <v>5</v>
      </c>
      <c r="O26" s="97">
        <v>0</v>
      </c>
      <c r="P26" s="92">
        <v>0</v>
      </c>
      <c r="Q26" s="98">
        <f t="shared" si="1"/>
        <v>0</v>
      </c>
      <c r="R26" s="102" t="str">
        <f>+IF(Q26+N26&lt;=0, "NO COMPRADOR", +IF(Q26&lt;=0, "SIN COMPRA "&amp;+UPPER(TEXT('DINAMICA ENERO 26'!$C$2,"mmm 'yy")), "COMPRADOR"))</f>
        <v>SIN COMPRA FEB '26</v>
      </c>
      <c r="T26" s="101"/>
      <c r="X26" s="101"/>
    </row>
    <row r="27" spans="1:25" s="100" customFormat="1" ht="14">
      <c r="A27" s="88" t="s">
        <v>85</v>
      </c>
      <c r="B27" s="89" t="s">
        <v>113</v>
      </c>
      <c r="C27" s="89" t="s">
        <v>60</v>
      </c>
      <c r="D27" s="103">
        <v>100088165</v>
      </c>
      <c r="E27" s="89" t="s">
        <v>62</v>
      </c>
      <c r="F27" s="89">
        <v>100000073</v>
      </c>
      <c r="G27" s="128" t="s">
        <v>114</v>
      </c>
      <c r="H27" s="94">
        <v>0</v>
      </c>
      <c r="I27" s="94">
        <v>43.2</v>
      </c>
      <c r="J27" s="94">
        <v>10.8</v>
      </c>
      <c r="K27" s="94">
        <v>60.6</v>
      </c>
      <c r="L27" s="94">
        <v>36.6</v>
      </c>
      <c r="M27" s="129">
        <v>177</v>
      </c>
      <c r="N27" s="102">
        <f t="shared" si="0"/>
        <v>91.399999999999991</v>
      </c>
      <c r="O27" s="97">
        <v>16.200000000000003</v>
      </c>
      <c r="P27" s="92">
        <v>0</v>
      </c>
      <c r="Q27" s="98">
        <f t="shared" si="1"/>
        <v>16.200000000000003</v>
      </c>
      <c r="R27" s="102" t="str">
        <f>+IF(Q27+N27&lt;=0, "NO COMPRADOR", +IF(Q27&lt;=0, "SIN COMPRA "&amp;+UPPER(TEXT('DINAMICA ENERO 26'!$C$2,"mmm 'yy")), "COMPRADOR"))</f>
        <v>COMPRADOR</v>
      </c>
      <c r="T27" s="101"/>
      <c r="X27" s="101"/>
    </row>
    <row r="28" spans="1:25" s="100" customFormat="1" ht="14">
      <c r="A28" s="88" t="s">
        <v>85</v>
      </c>
      <c r="B28" s="89" t="s">
        <v>113</v>
      </c>
      <c r="C28" s="89" t="s">
        <v>60</v>
      </c>
      <c r="D28" s="103">
        <v>100088165</v>
      </c>
      <c r="E28" s="89" t="s">
        <v>62</v>
      </c>
      <c r="F28" s="89">
        <v>100078580</v>
      </c>
      <c r="G28" s="128" t="s">
        <v>115</v>
      </c>
      <c r="H28" s="94">
        <v>0</v>
      </c>
      <c r="I28" s="94">
        <v>35.400000000000006</v>
      </c>
      <c r="J28" s="94">
        <v>0</v>
      </c>
      <c r="K28" s="94">
        <v>19.2</v>
      </c>
      <c r="L28" s="94">
        <v>16.200000000000003</v>
      </c>
      <c r="M28" s="129">
        <v>19.2</v>
      </c>
      <c r="N28" s="102">
        <f t="shared" si="0"/>
        <v>18.200000000000003</v>
      </c>
      <c r="O28" s="97">
        <v>0</v>
      </c>
      <c r="P28" s="92">
        <v>0</v>
      </c>
      <c r="Q28" s="98">
        <f t="shared" si="1"/>
        <v>0</v>
      </c>
      <c r="R28" s="102" t="str">
        <f>+IF(Q28+N28&lt;=0, "NO COMPRADOR", +IF(Q28&lt;=0, "SIN COMPRA "&amp;+UPPER(TEXT('DINAMICA ENERO 26'!$C$2,"mmm 'yy")), "COMPRADOR"))</f>
        <v>SIN COMPRA FEB '26</v>
      </c>
      <c r="T28" s="101"/>
      <c r="X28" s="101"/>
    </row>
    <row r="29" spans="1:25" s="104" customFormat="1" ht="14">
      <c r="A29" s="88" t="s">
        <v>85</v>
      </c>
      <c r="B29" s="89" t="s">
        <v>113</v>
      </c>
      <c r="C29" s="89" t="s">
        <v>60</v>
      </c>
      <c r="D29" s="103">
        <v>100088165</v>
      </c>
      <c r="E29" s="89" t="s">
        <v>62</v>
      </c>
      <c r="F29" s="89">
        <v>100080926</v>
      </c>
      <c r="G29" s="128" t="s">
        <v>116</v>
      </c>
      <c r="H29" s="94">
        <v>48</v>
      </c>
      <c r="I29" s="94">
        <v>0</v>
      </c>
      <c r="J29" s="94">
        <v>0</v>
      </c>
      <c r="K29" s="94">
        <v>102</v>
      </c>
      <c r="L29" s="94">
        <v>306</v>
      </c>
      <c r="M29" s="129">
        <v>30</v>
      </c>
      <c r="N29" s="102">
        <f t="shared" si="0"/>
        <v>146</v>
      </c>
      <c r="O29" s="97">
        <v>108</v>
      </c>
      <c r="P29" s="92">
        <v>0</v>
      </c>
      <c r="Q29" s="98">
        <f t="shared" si="1"/>
        <v>108</v>
      </c>
      <c r="R29" s="102" t="str">
        <f>+IF(Q29+N29&lt;=0, "NO COMPRADOR", +IF(Q29&lt;=0, "SIN COMPRA "&amp;+UPPER(TEXT('DINAMICA ENERO 26'!$C$2,"mmm 'yy")), "COMPRADOR"))</f>
        <v>COMPRADOR</v>
      </c>
      <c r="S29" s="100"/>
      <c r="T29" s="101"/>
      <c r="U29" s="100"/>
      <c r="X29" s="101"/>
      <c r="Y29" s="100"/>
    </row>
    <row r="30" spans="1:25" s="100" customFormat="1" ht="14">
      <c r="A30" s="88" t="s">
        <v>85</v>
      </c>
      <c r="B30" s="89" t="s">
        <v>113</v>
      </c>
      <c r="C30" s="89" t="s">
        <v>60</v>
      </c>
      <c r="D30" s="103">
        <v>100088165</v>
      </c>
      <c r="E30" s="89" t="s">
        <v>62</v>
      </c>
      <c r="F30" s="89">
        <v>100077115</v>
      </c>
      <c r="G30" s="128" t="s">
        <v>117</v>
      </c>
      <c r="H30" s="94">
        <v>0</v>
      </c>
      <c r="I30" s="94">
        <v>0</v>
      </c>
      <c r="J30" s="94">
        <v>0</v>
      </c>
      <c r="K30" s="94">
        <v>0</v>
      </c>
      <c r="L30" s="94">
        <v>0</v>
      </c>
      <c r="M30" s="129">
        <v>0</v>
      </c>
      <c r="N30" s="102">
        <f t="shared" si="0"/>
        <v>0</v>
      </c>
      <c r="O30" s="97">
        <v>0</v>
      </c>
      <c r="P30" s="92">
        <v>0</v>
      </c>
      <c r="Q30" s="98">
        <f t="shared" si="1"/>
        <v>0</v>
      </c>
      <c r="R30" s="102" t="str">
        <f>+IF(Q30+N30&lt;=0, "NO COMPRADOR", +IF(Q30&lt;=0, "SIN COMPRA "&amp;+UPPER(TEXT('DINAMICA ENERO 26'!$C$2,"mmm 'yy")), "COMPRADOR"))</f>
        <v>NO COMPRADOR</v>
      </c>
      <c r="T30" s="101"/>
      <c r="X30" s="101"/>
    </row>
    <row r="31" spans="1:25" s="100" customFormat="1" ht="14">
      <c r="A31" s="88" t="s">
        <v>85</v>
      </c>
      <c r="B31" s="89" t="s">
        <v>113</v>
      </c>
      <c r="C31" s="89" t="s">
        <v>60</v>
      </c>
      <c r="D31" s="103">
        <v>100088165</v>
      </c>
      <c r="E31" s="89" t="s">
        <v>62</v>
      </c>
      <c r="F31" s="89">
        <v>100078578</v>
      </c>
      <c r="G31" s="128" t="s">
        <v>118</v>
      </c>
      <c r="H31" s="94">
        <v>32.400000000000006</v>
      </c>
      <c r="I31" s="94">
        <v>32.400000000000006</v>
      </c>
      <c r="J31" s="94">
        <v>43.2</v>
      </c>
      <c r="K31" s="94">
        <v>32.400000000000006</v>
      </c>
      <c r="L31" s="94">
        <v>21.6</v>
      </c>
      <c r="M31" s="129">
        <v>10.8</v>
      </c>
      <c r="N31" s="102">
        <f t="shared" si="0"/>
        <v>21.600000000000005</v>
      </c>
      <c r="O31" s="97">
        <v>21.6</v>
      </c>
      <c r="P31" s="92">
        <v>10.8</v>
      </c>
      <c r="Q31" s="98">
        <f t="shared" si="1"/>
        <v>32.400000000000006</v>
      </c>
      <c r="R31" s="102" t="str">
        <f>+IF(Q31+N31&lt;=0, "NO COMPRADOR", +IF(Q31&lt;=0, "SIN COMPRA "&amp;+UPPER(TEXT('DINAMICA ENERO 26'!$C$2,"mmm 'yy")), "COMPRADOR"))</f>
        <v>COMPRADOR</v>
      </c>
      <c r="T31" s="101"/>
      <c r="X31" s="101"/>
    </row>
    <row r="32" spans="1:25" s="104" customFormat="1" ht="14">
      <c r="A32" s="88" t="s">
        <v>85</v>
      </c>
      <c r="B32" s="89" t="s">
        <v>113</v>
      </c>
      <c r="C32" s="89" t="s">
        <v>60</v>
      </c>
      <c r="D32" s="103">
        <v>100088165</v>
      </c>
      <c r="E32" s="89" t="s">
        <v>62</v>
      </c>
      <c r="F32" s="89">
        <v>100021337</v>
      </c>
      <c r="G32" s="128" t="s">
        <v>119</v>
      </c>
      <c r="H32" s="94">
        <v>10.8</v>
      </c>
      <c r="I32" s="94">
        <v>27</v>
      </c>
      <c r="J32" s="94">
        <v>45.6</v>
      </c>
      <c r="K32" s="94">
        <v>5.4</v>
      </c>
      <c r="L32" s="94">
        <v>10.8</v>
      </c>
      <c r="M32" s="129">
        <v>26.400000000000002</v>
      </c>
      <c r="N32" s="102">
        <f t="shared" si="0"/>
        <v>14.200000000000003</v>
      </c>
      <c r="O32" s="97">
        <v>40.799999999999997</v>
      </c>
      <c r="P32" s="92">
        <v>0</v>
      </c>
      <c r="Q32" s="98">
        <f t="shared" si="1"/>
        <v>40.799999999999997</v>
      </c>
      <c r="R32" s="102" t="str">
        <f>+IF(Q32+N32&lt;=0, "NO COMPRADOR", +IF(Q32&lt;=0, "SIN COMPRA "&amp;+UPPER(TEXT('DINAMICA ENERO 26'!$C$2,"mmm 'yy")), "COMPRADOR"))</f>
        <v>COMPRADOR</v>
      </c>
      <c r="S32" s="100"/>
      <c r="T32" s="101"/>
      <c r="U32" s="100"/>
      <c r="X32" s="101"/>
      <c r="Y32" s="100"/>
    </row>
    <row r="33" spans="1:25" s="104" customFormat="1" ht="14">
      <c r="A33" s="88" t="s">
        <v>85</v>
      </c>
      <c r="B33" s="89" t="s">
        <v>120</v>
      </c>
      <c r="C33" s="89" t="s">
        <v>52</v>
      </c>
      <c r="D33" s="103">
        <v>100088149</v>
      </c>
      <c r="E33" s="89" t="s">
        <v>56</v>
      </c>
      <c r="F33" s="89">
        <v>100002239</v>
      </c>
      <c r="G33" s="128" t="s">
        <v>121</v>
      </c>
      <c r="H33" s="94">
        <v>0</v>
      </c>
      <c r="I33" s="94">
        <v>0</v>
      </c>
      <c r="J33" s="94">
        <v>0</v>
      </c>
      <c r="K33" s="94">
        <v>0</v>
      </c>
      <c r="L33" s="94">
        <v>0</v>
      </c>
      <c r="M33" s="129">
        <v>0</v>
      </c>
      <c r="N33" s="102">
        <f t="shared" si="0"/>
        <v>0</v>
      </c>
      <c r="O33" s="97">
        <v>0</v>
      </c>
      <c r="P33" s="92">
        <v>0</v>
      </c>
      <c r="Q33" s="98">
        <f t="shared" si="1"/>
        <v>0</v>
      </c>
      <c r="R33" s="102" t="str">
        <f>+IF(Q33+N33&lt;=0, "NO COMPRADOR", +IF(Q33&lt;=0, "SIN COMPRA "&amp;+UPPER(TEXT('DINAMICA ENERO 26'!$C$2,"mmm 'yy")), "COMPRADOR"))</f>
        <v>NO COMPRADOR</v>
      </c>
      <c r="S33" s="100"/>
      <c r="T33" s="101"/>
      <c r="U33" s="100"/>
      <c r="X33" s="101"/>
      <c r="Y33" s="100"/>
    </row>
    <row r="34" spans="1:25" s="100" customFormat="1" ht="14">
      <c r="A34" s="88" t="s">
        <v>85</v>
      </c>
      <c r="B34" s="89" t="s">
        <v>120</v>
      </c>
      <c r="C34" s="89" t="s">
        <v>52</v>
      </c>
      <c r="D34" s="103">
        <v>100088149</v>
      </c>
      <c r="E34" s="89" t="s">
        <v>56</v>
      </c>
      <c r="F34" s="89">
        <v>100024103</v>
      </c>
      <c r="G34" s="128" t="s">
        <v>122</v>
      </c>
      <c r="H34" s="94">
        <v>0</v>
      </c>
      <c r="I34" s="94">
        <v>0</v>
      </c>
      <c r="J34" s="94">
        <v>0</v>
      </c>
      <c r="K34" s="94">
        <v>0</v>
      </c>
      <c r="L34" s="94">
        <v>0</v>
      </c>
      <c r="M34" s="129">
        <v>0</v>
      </c>
      <c r="N34" s="102">
        <f t="shared" si="0"/>
        <v>0</v>
      </c>
      <c r="O34" s="97">
        <v>0</v>
      </c>
      <c r="P34" s="92">
        <v>0</v>
      </c>
      <c r="Q34" s="98">
        <f t="shared" si="1"/>
        <v>0</v>
      </c>
      <c r="R34" s="102" t="str">
        <f>+IF(Q34+N34&lt;=0, "NO COMPRADOR", +IF(Q34&lt;=0, "SIN COMPRA "&amp;+UPPER(TEXT('DINAMICA ENERO 26'!$C$2,"mmm 'yy")), "COMPRADOR"))</f>
        <v>NO COMPRADOR</v>
      </c>
      <c r="T34" s="101"/>
      <c r="X34" s="101"/>
    </row>
    <row r="35" spans="1:25" s="100" customFormat="1" ht="14">
      <c r="A35" s="88" t="s">
        <v>85</v>
      </c>
      <c r="B35" s="89" t="s">
        <v>120</v>
      </c>
      <c r="C35" s="89" t="s">
        <v>52</v>
      </c>
      <c r="D35" s="103">
        <v>100088149</v>
      </c>
      <c r="E35" s="89" t="s">
        <v>56</v>
      </c>
      <c r="F35" s="89">
        <v>100086135</v>
      </c>
      <c r="G35" s="128" t="s">
        <v>123</v>
      </c>
      <c r="H35" s="94">
        <v>0</v>
      </c>
      <c r="I35" s="94">
        <v>0</v>
      </c>
      <c r="J35" s="94">
        <v>0</v>
      </c>
      <c r="K35" s="94">
        <v>0</v>
      </c>
      <c r="L35" s="94">
        <v>0</v>
      </c>
      <c r="M35" s="129">
        <v>0</v>
      </c>
      <c r="N35" s="102">
        <f t="shared" si="0"/>
        <v>0</v>
      </c>
      <c r="O35" s="97">
        <v>0</v>
      </c>
      <c r="P35" s="92">
        <v>0</v>
      </c>
      <c r="Q35" s="98">
        <f t="shared" si="1"/>
        <v>0</v>
      </c>
      <c r="R35" s="102" t="str">
        <f>+IF(Q35+N35&lt;=0, "NO COMPRADOR", +IF(Q35&lt;=0, "SIN COMPRA "&amp;+UPPER(TEXT('DINAMICA ENERO 26'!$C$2,"mmm 'yy")), "COMPRADOR"))</f>
        <v>NO COMPRADOR</v>
      </c>
      <c r="T35" s="101"/>
      <c r="X35" s="101"/>
    </row>
    <row r="36" spans="1:25" s="100" customFormat="1" ht="14">
      <c r="A36" s="88" t="s">
        <v>85</v>
      </c>
      <c r="B36" s="89" t="s">
        <v>120</v>
      </c>
      <c r="C36" s="89" t="s">
        <v>52</v>
      </c>
      <c r="D36" s="103">
        <v>100088149</v>
      </c>
      <c r="E36" s="89" t="s">
        <v>56</v>
      </c>
      <c r="F36" s="89">
        <v>100077830</v>
      </c>
      <c r="G36" s="128" t="s">
        <v>124</v>
      </c>
      <c r="H36" s="94">
        <v>0</v>
      </c>
      <c r="I36" s="94">
        <v>0</v>
      </c>
      <c r="J36" s="94">
        <v>0</v>
      </c>
      <c r="K36" s="94">
        <v>0</v>
      </c>
      <c r="L36" s="94">
        <v>102</v>
      </c>
      <c r="M36" s="129">
        <v>0</v>
      </c>
      <c r="N36" s="102">
        <f t="shared" si="0"/>
        <v>34</v>
      </c>
      <c r="O36" s="97">
        <v>0</v>
      </c>
      <c r="P36" s="92">
        <v>0</v>
      </c>
      <c r="Q36" s="98">
        <f t="shared" si="1"/>
        <v>0</v>
      </c>
      <c r="R36" s="102" t="str">
        <f>+IF(Q36+N36&lt;=0, "NO COMPRADOR", +IF(Q36&lt;=0, "SIN COMPRA "&amp;+UPPER(TEXT('DINAMICA ENERO 26'!$C$2,"mmm 'yy")), "COMPRADOR"))</f>
        <v>SIN COMPRA FEB '26</v>
      </c>
      <c r="T36" s="101"/>
      <c r="X36" s="101"/>
    </row>
    <row r="37" spans="1:25" s="100" customFormat="1" ht="14">
      <c r="A37" s="88" t="s">
        <v>85</v>
      </c>
      <c r="B37" s="89" t="s">
        <v>120</v>
      </c>
      <c r="C37" s="89" t="s">
        <v>52</v>
      </c>
      <c r="D37" s="103">
        <v>100088149</v>
      </c>
      <c r="E37" s="89" t="s">
        <v>56</v>
      </c>
      <c r="F37" s="89">
        <v>100066030</v>
      </c>
      <c r="G37" s="128" t="s">
        <v>125</v>
      </c>
      <c r="H37" s="94">
        <v>0</v>
      </c>
      <c r="I37" s="94">
        <v>10.8</v>
      </c>
      <c r="J37" s="94">
        <v>16.200000000000003</v>
      </c>
      <c r="K37" s="94">
        <v>14.399999999999999</v>
      </c>
      <c r="L37" s="94">
        <v>21.6</v>
      </c>
      <c r="M37" s="129">
        <v>0</v>
      </c>
      <c r="N37" s="102">
        <f t="shared" si="0"/>
        <v>12</v>
      </c>
      <c r="O37" s="97">
        <v>10.199999999999999</v>
      </c>
      <c r="P37" s="92">
        <v>5.4</v>
      </c>
      <c r="Q37" s="98">
        <f t="shared" si="1"/>
        <v>15.6</v>
      </c>
      <c r="R37" s="102" t="str">
        <f>+IF(Q37+N37&lt;=0, "NO COMPRADOR", +IF(Q37&lt;=0, "SIN COMPRA "&amp;+UPPER(TEXT('DINAMICA ENERO 26'!$C$2,"mmm 'yy")), "COMPRADOR"))</f>
        <v>COMPRADOR</v>
      </c>
      <c r="T37" s="101"/>
      <c r="X37" s="101"/>
    </row>
    <row r="38" spans="1:25" s="100" customFormat="1" ht="14">
      <c r="A38" s="88" t="s">
        <v>85</v>
      </c>
      <c r="B38" s="89" t="s">
        <v>120</v>
      </c>
      <c r="C38" s="89" t="s">
        <v>52</v>
      </c>
      <c r="D38" s="103">
        <v>100088149</v>
      </c>
      <c r="E38" s="89" t="s">
        <v>56</v>
      </c>
      <c r="F38" s="89">
        <v>100085622</v>
      </c>
      <c r="G38" s="128" t="s">
        <v>126</v>
      </c>
      <c r="H38" s="94">
        <v>9.6</v>
      </c>
      <c r="I38" s="94">
        <v>20.400000000000002</v>
      </c>
      <c r="J38" s="94">
        <v>-20.400000000000002</v>
      </c>
      <c r="K38" s="94">
        <v>0</v>
      </c>
      <c r="L38" s="94">
        <v>0</v>
      </c>
      <c r="M38" s="129">
        <v>0</v>
      </c>
      <c r="N38" s="102">
        <f t="shared" si="0"/>
        <v>0</v>
      </c>
      <c r="O38" s="97">
        <v>0</v>
      </c>
      <c r="P38" s="92">
        <v>0</v>
      </c>
      <c r="Q38" s="98">
        <f t="shared" si="1"/>
        <v>0</v>
      </c>
      <c r="R38" s="102" t="str">
        <f>+IF(Q38+N38&lt;=0, "NO COMPRADOR", +IF(Q38&lt;=0, "SIN COMPRA "&amp;+UPPER(TEXT('DINAMICA ENERO 26'!$C$2,"mmm 'yy")), "COMPRADOR"))</f>
        <v>NO COMPRADOR</v>
      </c>
      <c r="T38" s="101"/>
      <c r="X38" s="101"/>
    </row>
    <row r="39" spans="1:25" s="104" customFormat="1" ht="14">
      <c r="A39" s="88" t="s">
        <v>85</v>
      </c>
      <c r="B39" s="89" t="s">
        <v>120</v>
      </c>
      <c r="C39" s="89" t="s">
        <v>52</v>
      </c>
      <c r="D39" s="103">
        <v>100088149</v>
      </c>
      <c r="E39" s="89" t="s">
        <v>56</v>
      </c>
      <c r="F39" s="89">
        <v>100079184</v>
      </c>
      <c r="G39" s="128" t="s">
        <v>127</v>
      </c>
      <c r="H39" s="94">
        <v>0</v>
      </c>
      <c r="I39" s="94">
        <v>0</v>
      </c>
      <c r="J39" s="94">
        <v>0</v>
      </c>
      <c r="K39" s="94">
        <v>0</v>
      </c>
      <c r="L39" s="94">
        <v>0</v>
      </c>
      <c r="M39" s="129">
        <v>0</v>
      </c>
      <c r="N39" s="102">
        <f t="shared" si="0"/>
        <v>0</v>
      </c>
      <c r="O39" s="97">
        <v>0</v>
      </c>
      <c r="P39" s="92">
        <v>0</v>
      </c>
      <c r="Q39" s="98">
        <f t="shared" si="1"/>
        <v>0</v>
      </c>
      <c r="R39" s="102" t="str">
        <f>+IF(Q39+N39&lt;=0, "NO COMPRADOR", +IF(Q39&lt;=0, "SIN COMPRA "&amp;+UPPER(TEXT('DINAMICA ENERO 26'!$C$2,"mmm 'yy")), "COMPRADOR"))</f>
        <v>NO COMPRADOR</v>
      </c>
      <c r="S39" s="100"/>
      <c r="T39" s="101"/>
      <c r="U39" s="100"/>
      <c r="X39" s="101"/>
      <c r="Y39" s="100"/>
    </row>
    <row r="40" spans="1:25" s="104" customFormat="1" ht="14">
      <c r="A40" s="88" t="s">
        <v>85</v>
      </c>
      <c r="B40" s="89" t="s">
        <v>120</v>
      </c>
      <c r="C40" s="89" t="s">
        <v>52</v>
      </c>
      <c r="D40" s="103">
        <v>100088149</v>
      </c>
      <c r="E40" s="89" t="s">
        <v>56</v>
      </c>
      <c r="F40" s="89">
        <v>100071982</v>
      </c>
      <c r="G40" s="128" t="s">
        <v>128</v>
      </c>
      <c r="H40" s="94">
        <v>9.6</v>
      </c>
      <c r="I40" s="94">
        <v>25.800000000000004</v>
      </c>
      <c r="J40" s="94">
        <v>41.400000000000006</v>
      </c>
      <c r="K40" s="94">
        <v>20.399999999999999</v>
      </c>
      <c r="L40" s="94">
        <v>10.199999999999999</v>
      </c>
      <c r="M40" s="129">
        <v>10.8</v>
      </c>
      <c r="N40" s="102">
        <f t="shared" si="0"/>
        <v>13.799999999999999</v>
      </c>
      <c r="O40" s="97">
        <v>0</v>
      </c>
      <c r="P40" s="92">
        <v>0</v>
      </c>
      <c r="Q40" s="98">
        <f t="shared" si="1"/>
        <v>0</v>
      </c>
      <c r="R40" s="102" t="str">
        <f>+IF(Q40+N40&lt;=0, "NO COMPRADOR", +IF(Q40&lt;=0, "SIN COMPRA "&amp;+UPPER(TEXT('DINAMICA ENERO 26'!$C$2,"mmm 'yy")), "COMPRADOR"))</f>
        <v>SIN COMPRA FEB '26</v>
      </c>
      <c r="S40" s="100"/>
      <c r="T40" s="101"/>
      <c r="U40" s="100"/>
      <c r="X40" s="101"/>
      <c r="Y40" s="100"/>
    </row>
    <row r="41" spans="1:25" s="100" customFormat="1" ht="14">
      <c r="A41" s="88" t="s">
        <v>85</v>
      </c>
      <c r="B41" s="89" t="s">
        <v>120</v>
      </c>
      <c r="C41" s="89" t="s">
        <v>52</v>
      </c>
      <c r="D41" s="103">
        <v>100088149</v>
      </c>
      <c r="E41" s="89" t="s">
        <v>56</v>
      </c>
      <c r="F41" s="89">
        <v>100001605</v>
      </c>
      <c r="G41" s="128" t="s">
        <v>129</v>
      </c>
      <c r="H41" s="94">
        <v>122.4</v>
      </c>
      <c r="I41" s="94">
        <v>204</v>
      </c>
      <c r="J41" s="94">
        <v>102</v>
      </c>
      <c r="K41" s="94">
        <v>122.4</v>
      </c>
      <c r="L41" s="94">
        <v>0</v>
      </c>
      <c r="M41" s="129">
        <v>0</v>
      </c>
      <c r="N41" s="102">
        <f t="shared" si="0"/>
        <v>40.800000000000004</v>
      </c>
      <c r="O41" s="97">
        <v>0</v>
      </c>
      <c r="P41" s="92">
        <v>0</v>
      </c>
      <c r="Q41" s="98">
        <f t="shared" si="1"/>
        <v>0</v>
      </c>
      <c r="R41" s="102" t="str">
        <f>+IF(Q41+N41&lt;=0, "NO COMPRADOR", +IF(Q41&lt;=0, "SIN COMPRA "&amp;+UPPER(TEXT('DINAMICA ENERO 26'!$C$2,"mmm 'yy")), "COMPRADOR"))</f>
        <v>SIN COMPRA FEB '26</v>
      </c>
      <c r="T41" s="101"/>
      <c r="X41" s="101"/>
    </row>
    <row r="42" spans="1:25" s="100" customFormat="1" ht="14">
      <c r="A42" s="88" t="s">
        <v>85</v>
      </c>
      <c r="B42" s="89" t="s">
        <v>120</v>
      </c>
      <c r="C42" s="89" t="s">
        <v>52</v>
      </c>
      <c r="D42" s="103">
        <v>100088149</v>
      </c>
      <c r="E42" s="89" t="s">
        <v>56</v>
      </c>
      <c r="F42" s="89">
        <v>100082658</v>
      </c>
      <c r="G42" s="128" t="s">
        <v>130</v>
      </c>
      <c r="H42" s="94">
        <v>0</v>
      </c>
      <c r="I42" s="94">
        <v>0</v>
      </c>
      <c r="J42" s="94">
        <v>0</v>
      </c>
      <c r="K42" s="94">
        <v>0</v>
      </c>
      <c r="L42" s="94">
        <v>0</v>
      </c>
      <c r="M42" s="129">
        <v>0</v>
      </c>
      <c r="N42" s="102">
        <f t="shared" si="0"/>
        <v>0</v>
      </c>
      <c r="O42" s="97">
        <v>0</v>
      </c>
      <c r="P42" s="92">
        <v>0</v>
      </c>
      <c r="Q42" s="98">
        <f t="shared" si="1"/>
        <v>0</v>
      </c>
      <c r="R42" s="102" t="str">
        <f>+IF(Q42+N42&lt;=0, "NO COMPRADOR", +IF(Q42&lt;=0, "SIN COMPRA "&amp;+UPPER(TEXT('DINAMICA ENERO 26'!$C$2,"mmm 'yy")), "COMPRADOR"))</f>
        <v>NO COMPRADOR</v>
      </c>
      <c r="T42" s="101"/>
      <c r="X42" s="101"/>
    </row>
    <row r="43" spans="1:25" s="100" customFormat="1" ht="14">
      <c r="A43" s="88" t="s">
        <v>85</v>
      </c>
      <c r="B43" s="89" t="s">
        <v>120</v>
      </c>
      <c r="C43" s="89" t="s">
        <v>52</v>
      </c>
      <c r="D43" s="103">
        <v>100088149</v>
      </c>
      <c r="E43" s="89" t="s">
        <v>56</v>
      </c>
      <c r="F43" s="89">
        <v>100060564</v>
      </c>
      <c r="G43" s="128" t="s">
        <v>131</v>
      </c>
      <c r="H43" s="94">
        <v>0</v>
      </c>
      <c r="I43" s="94">
        <v>61.2</v>
      </c>
      <c r="J43" s="94">
        <v>27</v>
      </c>
      <c r="K43" s="94">
        <v>0</v>
      </c>
      <c r="L43" s="94">
        <v>0</v>
      </c>
      <c r="M43" s="129">
        <v>0</v>
      </c>
      <c r="N43" s="102">
        <f t="shared" si="0"/>
        <v>0</v>
      </c>
      <c r="O43" s="97">
        <v>0</v>
      </c>
      <c r="P43" s="92">
        <v>0</v>
      </c>
      <c r="Q43" s="98">
        <f t="shared" si="1"/>
        <v>0</v>
      </c>
      <c r="R43" s="102" t="str">
        <f>+IF(Q43+N43&lt;=0, "NO COMPRADOR", +IF(Q43&lt;=0, "SIN COMPRA "&amp;+UPPER(TEXT('DINAMICA ENERO 26'!$C$2,"mmm 'yy")), "COMPRADOR"))</f>
        <v>NO COMPRADOR</v>
      </c>
      <c r="T43" s="101"/>
      <c r="X43" s="101"/>
    </row>
    <row r="44" spans="1:25" s="100" customFormat="1" ht="14">
      <c r="A44" s="88" t="s">
        <v>85</v>
      </c>
      <c r="B44" s="89" t="s">
        <v>120</v>
      </c>
      <c r="C44" s="89" t="s">
        <v>52</v>
      </c>
      <c r="D44" s="103">
        <v>100088149</v>
      </c>
      <c r="E44" s="89" t="s">
        <v>56</v>
      </c>
      <c r="F44" s="89">
        <v>100001635</v>
      </c>
      <c r="G44" s="128" t="s">
        <v>132</v>
      </c>
      <c r="H44" s="94">
        <v>15</v>
      </c>
      <c r="I44" s="94">
        <v>20.400000000000002</v>
      </c>
      <c r="J44" s="94">
        <v>10.199999999999999</v>
      </c>
      <c r="K44" s="94">
        <v>10.199999999999999</v>
      </c>
      <c r="L44" s="94">
        <v>10.199999999999999</v>
      </c>
      <c r="M44" s="129">
        <v>4.8</v>
      </c>
      <c r="N44" s="102">
        <f t="shared" si="0"/>
        <v>8.4</v>
      </c>
      <c r="O44" s="97">
        <v>4.8</v>
      </c>
      <c r="P44" s="92">
        <v>0</v>
      </c>
      <c r="Q44" s="98">
        <f t="shared" si="1"/>
        <v>4.8</v>
      </c>
      <c r="R44" s="102" t="str">
        <f>+IF(Q44+N44&lt;=0, "NO COMPRADOR", +IF(Q44&lt;=0, "SIN COMPRA "&amp;+UPPER(TEXT('DINAMICA ENERO 26'!$C$2,"mmm 'yy")), "COMPRADOR"))</f>
        <v>COMPRADOR</v>
      </c>
      <c r="T44" s="101"/>
      <c r="X44" s="101"/>
    </row>
    <row r="45" spans="1:25" s="104" customFormat="1" ht="14">
      <c r="A45" s="88" t="s">
        <v>85</v>
      </c>
      <c r="B45" s="89" t="s">
        <v>120</v>
      </c>
      <c r="C45" s="89" t="s">
        <v>52</v>
      </c>
      <c r="D45" s="103">
        <v>100088149</v>
      </c>
      <c r="E45" s="89" t="s">
        <v>56</v>
      </c>
      <c r="F45" s="89">
        <v>100001862</v>
      </c>
      <c r="G45" s="128" t="s">
        <v>133</v>
      </c>
      <c r="H45" s="94">
        <v>0</v>
      </c>
      <c r="I45" s="94">
        <v>0</v>
      </c>
      <c r="J45" s="94">
        <v>0</v>
      </c>
      <c r="K45" s="94">
        <v>46.2</v>
      </c>
      <c r="L45" s="94">
        <v>45</v>
      </c>
      <c r="M45" s="129">
        <v>0</v>
      </c>
      <c r="N45" s="102">
        <f t="shared" si="0"/>
        <v>30.400000000000002</v>
      </c>
      <c r="O45" s="97">
        <v>48.6</v>
      </c>
      <c r="P45" s="92">
        <v>0</v>
      </c>
      <c r="Q45" s="98">
        <f t="shared" si="1"/>
        <v>48.6</v>
      </c>
      <c r="R45" s="102" t="str">
        <f>+IF(Q45+N45&lt;=0, "NO COMPRADOR", +IF(Q45&lt;=0, "SIN COMPRA "&amp;+UPPER(TEXT('DINAMICA ENERO 26'!$C$2,"mmm 'yy")), "COMPRADOR"))</f>
        <v>COMPRADOR</v>
      </c>
      <c r="S45" s="100"/>
      <c r="T45" s="101"/>
      <c r="U45" s="100"/>
      <c r="X45" s="101"/>
      <c r="Y45" s="100"/>
    </row>
    <row r="46" spans="1:25" s="100" customFormat="1" ht="14">
      <c r="A46" s="88" t="s">
        <v>85</v>
      </c>
      <c r="B46" s="89" t="s">
        <v>120</v>
      </c>
      <c r="C46" s="89" t="s">
        <v>52</v>
      </c>
      <c r="D46" s="103">
        <v>100088149</v>
      </c>
      <c r="E46" s="89" t="s">
        <v>56</v>
      </c>
      <c r="F46" s="89">
        <v>100010026</v>
      </c>
      <c r="G46" s="128" t="s">
        <v>134</v>
      </c>
      <c r="H46" s="94">
        <v>0</v>
      </c>
      <c r="I46" s="94">
        <v>0</v>
      </c>
      <c r="J46" s="94">
        <v>0</v>
      </c>
      <c r="K46" s="94">
        <v>0</v>
      </c>
      <c r="L46" s="94">
        <v>0</v>
      </c>
      <c r="M46" s="129">
        <v>0</v>
      </c>
      <c r="N46" s="102">
        <f t="shared" si="0"/>
        <v>0</v>
      </c>
      <c r="O46" s="97">
        <v>0</v>
      </c>
      <c r="P46" s="92">
        <v>0</v>
      </c>
      <c r="Q46" s="98">
        <f t="shared" si="1"/>
        <v>0</v>
      </c>
      <c r="R46" s="102" t="str">
        <f>+IF(Q46+N46&lt;=0, "NO COMPRADOR", +IF(Q46&lt;=0, "SIN COMPRA "&amp;+UPPER(TEXT('DINAMICA ENERO 26'!$C$2,"mmm 'yy")), "COMPRADOR"))</f>
        <v>NO COMPRADOR</v>
      </c>
      <c r="T46" s="101"/>
      <c r="X46" s="101"/>
    </row>
    <row r="47" spans="1:25" s="100" customFormat="1" ht="14">
      <c r="A47" s="88" t="s">
        <v>85</v>
      </c>
      <c r="B47" s="89" t="s">
        <v>120</v>
      </c>
      <c r="C47" s="89" t="s">
        <v>52</v>
      </c>
      <c r="D47" s="103">
        <v>100088149</v>
      </c>
      <c r="E47" s="89" t="s">
        <v>56</v>
      </c>
      <c r="F47" s="89">
        <v>100064492</v>
      </c>
      <c r="G47" s="128" t="s">
        <v>135</v>
      </c>
      <c r="H47" s="94">
        <v>0</v>
      </c>
      <c r="I47" s="94">
        <v>0</v>
      </c>
      <c r="J47" s="94">
        <v>0</v>
      </c>
      <c r="K47" s="94">
        <v>0</v>
      </c>
      <c r="L47" s="94">
        <v>0</v>
      </c>
      <c r="M47" s="129">
        <v>0</v>
      </c>
      <c r="N47" s="102">
        <f t="shared" si="0"/>
        <v>0</v>
      </c>
      <c r="O47" s="97">
        <v>0</v>
      </c>
      <c r="P47" s="92">
        <v>0</v>
      </c>
      <c r="Q47" s="98">
        <f t="shared" si="1"/>
        <v>0</v>
      </c>
      <c r="R47" s="102" t="str">
        <f>+IF(Q47+N47&lt;=0, "NO COMPRADOR", +IF(Q47&lt;=0, "SIN COMPRA "&amp;+UPPER(TEXT('DINAMICA ENERO 26'!$C$2,"mmm 'yy")), "COMPRADOR"))</f>
        <v>NO COMPRADOR</v>
      </c>
      <c r="T47" s="101"/>
      <c r="X47" s="101"/>
    </row>
    <row r="48" spans="1:25" s="100" customFormat="1" ht="14">
      <c r="A48" s="88" t="s">
        <v>85</v>
      </c>
      <c r="B48" s="89" t="s">
        <v>120</v>
      </c>
      <c r="C48" s="89" t="s">
        <v>52</v>
      </c>
      <c r="D48" s="103">
        <v>100088149</v>
      </c>
      <c r="E48" s="89" t="s">
        <v>56</v>
      </c>
      <c r="F48" s="89">
        <v>100084428</v>
      </c>
      <c r="G48" s="128" t="s">
        <v>136</v>
      </c>
      <c r="H48" s="94">
        <v>20.400000000000002</v>
      </c>
      <c r="I48" s="94">
        <v>0</v>
      </c>
      <c r="J48" s="94">
        <v>0</v>
      </c>
      <c r="K48" s="94">
        <v>0</v>
      </c>
      <c r="L48" s="94">
        <v>0</v>
      </c>
      <c r="M48" s="129">
        <v>0</v>
      </c>
      <c r="N48" s="102">
        <f t="shared" si="0"/>
        <v>0</v>
      </c>
      <c r="O48" s="97">
        <v>0</v>
      </c>
      <c r="P48" s="92">
        <v>0</v>
      </c>
      <c r="Q48" s="98">
        <f t="shared" si="1"/>
        <v>0</v>
      </c>
      <c r="R48" s="102" t="str">
        <f>+IF(Q48+N48&lt;=0, "NO COMPRADOR", +IF(Q48&lt;=0, "SIN COMPRA "&amp;+UPPER(TEXT('DINAMICA ENERO 26'!$C$2,"mmm 'yy")), "COMPRADOR"))</f>
        <v>NO COMPRADOR</v>
      </c>
      <c r="T48" s="101"/>
      <c r="X48" s="101"/>
    </row>
    <row r="49" spans="1:25" s="100" customFormat="1" ht="14">
      <c r="A49" s="88" t="s">
        <v>85</v>
      </c>
      <c r="B49" s="89" t="s">
        <v>120</v>
      </c>
      <c r="C49" s="89" t="s">
        <v>52</v>
      </c>
      <c r="D49" s="103">
        <v>100088149</v>
      </c>
      <c r="E49" s="89" t="s">
        <v>56</v>
      </c>
      <c r="F49" s="89">
        <v>100088143</v>
      </c>
      <c r="G49" s="128" t="s">
        <v>137</v>
      </c>
      <c r="H49" s="94">
        <v>10.199999999999999</v>
      </c>
      <c r="I49" s="94">
        <v>0</v>
      </c>
      <c r="J49" s="94">
        <v>0</v>
      </c>
      <c r="K49" s="94">
        <v>5.4</v>
      </c>
      <c r="L49" s="94">
        <v>0</v>
      </c>
      <c r="M49" s="129">
        <v>0</v>
      </c>
      <c r="N49" s="102">
        <f t="shared" si="0"/>
        <v>1.8</v>
      </c>
      <c r="O49" s="97">
        <v>0</v>
      </c>
      <c r="P49" s="92">
        <v>0</v>
      </c>
      <c r="Q49" s="98">
        <f t="shared" si="1"/>
        <v>0</v>
      </c>
      <c r="R49" s="102" t="str">
        <f>+IF(Q49+N49&lt;=0, "NO COMPRADOR", +IF(Q49&lt;=0, "SIN COMPRA "&amp;+UPPER(TEXT('DINAMICA ENERO 26'!$C$2,"mmm 'yy")), "COMPRADOR"))</f>
        <v>SIN COMPRA FEB '26</v>
      </c>
      <c r="T49" s="101"/>
      <c r="X49" s="101"/>
    </row>
    <row r="50" spans="1:25" s="100" customFormat="1" ht="14">
      <c r="A50" s="88" t="s">
        <v>85</v>
      </c>
      <c r="B50" s="89" t="s">
        <v>120</v>
      </c>
      <c r="C50" s="89" t="s">
        <v>52</v>
      </c>
      <c r="D50" s="103">
        <v>100088149</v>
      </c>
      <c r="E50" s="89" t="s">
        <v>56</v>
      </c>
      <c r="F50" s="89">
        <v>100069360</v>
      </c>
      <c r="G50" s="128" t="s">
        <v>138</v>
      </c>
      <c r="H50" s="94">
        <v>0</v>
      </c>
      <c r="I50" s="94">
        <v>0</v>
      </c>
      <c r="J50" s="94">
        <v>0</v>
      </c>
      <c r="K50" s="94">
        <v>0</v>
      </c>
      <c r="L50" s="94">
        <v>0</v>
      </c>
      <c r="M50" s="129">
        <v>0</v>
      </c>
      <c r="N50" s="102">
        <f t="shared" si="0"/>
        <v>0</v>
      </c>
      <c r="O50" s="97">
        <v>0</v>
      </c>
      <c r="P50" s="92">
        <v>0</v>
      </c>
      <c r="Q50" s="98">
        <f t="shared" si="1"/>
        <v>0</v>
      </c>
      <c r="R50" s="102" t="str">
        <f>+IF(Q50+N50&lt;=0, "NO COMPRADOR", +IF(Q50&lt;=0, "SIN COMPRA "&amp;+UPPER(TEXT('DINAMICA ENERO 26'!$C$2,"mmm 'yy")), "COMPRADOR"))</f>
        <v>NO COMPRADOR</v>
      </c>
      <c r="T50" s="101"/>
      <c r="X50" s="101"/>
    </row>
    <row r="51" spans="1:25" s="100" customFormat="1" ht="14">
      <c r="A51" s="88" t="s">
        <v>85</v>
      </c>
      <c r="B51" s="89" t="s">
        <v>120</v>
      </c>
      <c r="C51" s="89" t="s">
        <v>52</v>
      </c>
      <c r="D51" s="103">
        <v>100088149</v>
      </c>
      <c r="E51" s="89" t="s">
        <v>56</v>
      </c>
      <c r="F51" s="89">
        <v>100022632</v>
      </c>
      <c r="G51" s="128" t="s">
        <v>139</v>
      </c>
      <c r="H51" s="94">
        <v>9.6</v>
      </c>
      <c r="I51" s="94">
        <v>20.400000000000002</v>
      </c>
      <c r="J51" s="94">
        <v>30.6</v>
      </c>
      <c r="K51" s="94">
        <v>10.8</v>
      </c>
      <c r="L51" s="94">
        <v>5.4</v>
      </c>
      <c r="M51" s="129">
        <v>10.199999999999999</v>
      </c>
      <c r="N51" s="102">
        <f t="shared" si="0"/>
        <v>8.8000000000000007</v>
      </c>
      <c r="O51" s="97">
        <v>0</v>
      </c>
      <c r="P51" s="92">
        <v>0</v>
      </c>
      <c r="Q51" s="98">
        <f t="shared" si="1"/>
        <v>0</v>
      </c>
      <c r="R51" s="102" t="str">
        <f>+IF(Q51+N51&lt;=0, "NO COMPRADOR", +IF(Q51&lt;=0, "SIN COMPRA "&amp;+UPPER(TEXT('DINAMICA ENERO 26'!$C$2,"mmm 'yy")), "COMPRADOR"))</f>
        <v>SIN COMPRA FEB '26</v>
      </c>
      <c r="T51" s="101"/>
      <c r="X51" s="101"/>
    </row>
    <row r="52" spans="1:25" s="104" customFormat="1" ht="14">
      <c r="A52" s="88" t="s">
        <v>85</v>
      </c>
      <c r="B52" s="89" t="s">
        <v>120</v>
      </c>
      <c r="C52" s="89" t="s">
        <v>52</v>
      </c>
      <c r="D52" s="103">
        <v>100088149</v>
      </c>
      <c r="E52" s="89" t="s">
        <v>56</v>
      </c>
      <c r="F52" s="89">
        <v>100089326</v>
      </c>
      <c r="G52" s="128" t="s">
        <v>140</v>
      </c>
      <c r="H52" s="94">
        <v>-0.60000000000000053</v>
      </c>
      <c r="I52" s="94">
        <v>20.400000000000002</v>
      </c>
      <c r="J52" s="94">
        <v>20.400000000000002</v>
      </c>
      <c r="K52" s="94">
        <v>10.199999999999999</v>
      </c>
      <c r="L52" s="94">
        <v>0</v>
      </c>
      <c r="M52" s="129">
        <v>0</v>
      </c>
      <c r="N52" s="102">
        <f t="shared" si="0"/>
        <v>3.4</v>
      </c>
      <c r="O52" s="97">
        <v>0</v>
      </c>
      <c r="P52" s="92">
        <v>0</v>
      </c>
      <c r="Q52" s="98">
        <f t="shared" si="1"/>
        <v>0</v>
      </c>
      <c r="R52" s="102" t="str">
        <f>+IF(Q52+N52&lt;=0, "NO COMPRADOR", +IF(Q52&lt;=0, "SIN COMPRA "&amp;+UPPER(TEXT('DINAMICA ENERO 26'!$C$2,"mmm 'yy")), "COMPRADOR"))</f>
        <v>SIN COMPRA FEB '26</v>
      </c>
      <c r="S52" s="100"/>
      <c r="T52" s="101"/>
      <c r="U52" s="100"/>
      <c r="X52" s="101"/>
      <c r="Y52" s="100"/>
    </row>
    <row r="53" spans="1:25" s="100" customFormat="1" ht="14">
      <c r="A53" s="88" t="s">
        <v>85</v>
      </c>
      <c r="B53" s="89" t="s">
        <v>120</v>
      </c>
      <c r="C53" s="89" t="s">
        <v>52</v>
      </c>
      <c r="D53" s="103">
        <v>100088149</v>
      </c>
      <c r="E53" s="89" t="s">
        <v>56</v>
      </c>
      <c r="F53" s="89">
        <v>100001380</v>
      </c>
      <c r="G53" s="128" t="s">
        <v>141</v>
      </c>
      <c r="H53" s="94">
        <v>9.6</v>
      </c>
      <c r="I53" s="94">
        <v>57.6</v>
      </c>
      <c r="J53" s="94">
        <v>32.400000000000006</v>
      </c>
      <c r="K53" s="94">
        <v>15.600000000000001</v>
      </c>
      <c r="L53" s="94">
        <v>5.4</v>
      </c>
      <c r="M53" s="129">
        <v>37.800000000000004</v>
      </c>
      <c r="N53" s="102">
        <f t="shared" si="0"/>
        <v>19.600000000000001</v>
      </c>
      <c r="O53" s="97">
        <v>16.200000000000003</v>
      </c>
      <c r="P53" s="92">
        <v>0</v>
      </c>
      <c r="Q53" s="98">
        <f t="shared" si="1"/>
        <v>16.200000000000003</v>
      </c>
      <c r="R53" s="102" t="str">
        <f>+IF(Q53+N53&lt;=0, "NO COMPRADOR", +IF(Q53&lt;=0, "SIN COMPRA "&amp;+UPPER(TEXT('DINAMICA ENERO 26'!$C$2,"mmm 'yy")), "COMPRADOR"))</f>
        <v>COMPRADOR</v>
      </c>
      <c r="T53" s="101"/>
      <c r="X53" s="101"/>
    </row>
    <row r="54" spans="1:25" s="100" customFormat="1" ht="14">
      <c r="A54" s="88" t="s">
        <v>85</v>
      </c>
      <c r="B54" s="89" t="s">
        <v>120</v>
      </c>
      <c r="C54" s="89" t="s">
        <v>52</v>
      </c>
      <c r="D54" s="103">
        <v>100079515</v>
      </c>
      <c r="E54" s="89" t="s">
        <v>53</v>
      </c>
      <c r="F54" s="89">
        <v>100070470</v>
      </c>
      <c r="G54" s="128" t="s">
        <v>142</v>
      </c>
      <c r="H54" s="94">
        <v>54</v>
      </c>
      <c r="I54" s="94">
        <v>25.800000000000004</v>
      </c>
      <c r="J54" s="94">
        <v>20.399999999999999</v>
      </c>
      <c r="K54" s="94">
        <v>36</v>
      </c>
      <c r="L54" s="94">
        <v>30</v>
      </c>
      <c r="M54" s="129">
        <v>40.800000000000004</v>
      </c>
      <c r="N54" s="102">
        <f t="shared" si="0"/>
        <v>35.6</v>
      </c>
      <c r="O54" s="97">
        <v>0</v>
      </c>
      <c r="P54" s="92">
        <v>10.8</v>
      </c>
      <c r="Q54" s="98">
        <f t="shared" si="1"/>
        <v>10.8</v>
      </c>
      <c r="R54" s="102" t="str">
        <f>+IF(Q54+N54&lt;=0, "NO COMPRADOR", +IF(Q54&lt;=0, "SIN COMPRA "&amp;+UPPER(TEXT('DINAMICA ENERO 26'!$C$2,"mmm 'yy")), "COMPRADOR"))</f>
        <v>COMPRADOR</v>
      </c>
      <c r="T54" s="101"/>
      <c r="X54" s="101"/>
    </row>
    <row r="55" spans="1:25" s="104" customFormat="1" ht="14">
      <c r="A55" s="88" t="s">
        <v>85</v>
      </c>
      <c r="B55" s="89" t="s">
        <v>120</v>
      </c>
      <c r="C55" s="89" t="s">
        <v>52</v>
      </c>
      <c r="D55" s="103">
        <v>100079515</v>
      </c>
      <c r="E55" s="89" t="s">
        <v>53</v>
      </c>
      <c r="F55" s="89">
        <v>100082270</v>
      </c>
      <c r="G55" s="128" t="s">
        <v>143</v>
      </c>
      <c r="H55" s="94">
        <v>10.199999999999999</v>
      </c>
      <c r="I55" s="94">
        <v>10.199999999999999</v>
      </c>
      <c r="J55" s="94">
        <v>28.799999999999997</v>
      </c>
      <c r="K55" s="94">
        <v>0</v>
      </c>
      <c r="L55" s="94">
        <v>10.199999999999999</v>
      </c>
      <c r="M55" s="129">
        <v>0</v>
      </c>
      <c r="N55" s="102">
        <f t="shared" si="0"/>
        <v>3.4</v>
      </c>
      <c r="O55" s="97">
        <v>0</v>
      </c>
      <c r="P55" s="92">
        <v>0</v>
      </c>
      <c r="Q55" s="98">
        <f t="shared" si="1"/>
        <v>0</v>
      </c>
      <c r="R55" s="102" t="str">
        <f>+IF(Q55+N55&lt;=0, "NO COMPRADOR", +IF(Q55&lt;=0, "SIN COMPRA "&amp;+UPPER(TEXT('DINAMICA ENERO 26'!$C$2,"mmm 'yy")), "COMPRADOR"))</f>
        <v>SIN COMPRA FEB '26</v>
      </c>
      <c r="S55" s="100"/>
      <c r="T55" s="101"/>
      <c r="U55" s="100"/>
      <c r="X55" s="101"/>
      <c r="Y55" s="100"/>
    </row>
    <row r="56" spans="1:25" s="100" customFormat="1" ht="14">
      <c r="A56" s="88" t="s">
        <v>85</v>
      </c>
      <c r="B56" s="89" t="s">
        <v>120</v>
      </c>
      <c r="C56" s="89" t="s">
        <v>52</v>
      </c>
      <c r="D56" s="103">
        <v>100079515</v>
      </c>
      <c r="E56" s="89" t="s">
        <v>53</v>
      </c>
      <c r="F56" s="89">
        <v>100080489</v>
      </c>
      <c r="G56" s="128" t="s">
        <v>144</v>
      </c>
      <c r="H56" s="94">
        <v>54</v>
      </c>
      <c r="I56" s="94">
        <v>156</v>
      </c>
      <c r="J56" s="94">
        <v>0</v>
      </c>
      <c r="K56" s="94">
        <v>20.400000000000002</v>
      </c>
      <c r="L56" s="94">
        <v>-4.8</v>
      </c>
      <c r="M56" s="129">
        <v>0</v>
      </c>
      <c r="N56" s="102">
        <f t="shared" si="0"/>
        <v>5.2</v>
      </c>
      <c r="O56" s="97">
        <v>10.8</v>
      </c>
      <c r="P56" s="92">
        <v>0</v>
      </c>
      <c r="Q56" s="98">
        <f t="shared" si="1"/>
        <v>10.8</v>
      </c>
      <c r="R56" s="102" t="str">
        <f>+IF(Q56+N56&lt;=0, "NO COMPRADOR", +IF(Q56&lt;=0, "SIN COMPRA "&amp;+UPPER(TEXT('DINAMICA ENERO 26'!$C$2,"mmm 'yy")), "COMPRADOR"))</f>
        <v>COMPRADOR</v>
      </c>
      <c r="T56" s="101"/>
      <c r="X56" s="101"/>
    </row>
    <row r="57" spans="1:25" s="104" customFormat="1" ht="14">
      <c r="A57" s="88" t="s">
        <v>85</v>
      </c>
      <c r="B57" s="89" t="s">
        <v>120</v>
      </c>
      <c r="C57" s="89" t="s">
        <v>52</v>
      </c>
      <c r="D57" s="103">
        <v>100079515</v>
      </c>
      <c r="E57" s="89" t="s">
        <v>53</v>
      </c>
      <c r="F57" s="89">
        <v>100080370</v>
      </c>
      <c r="G57" s="128" t="s">
        <v>145</v>
      </c>
      <c r="H57" s="94">
        <v>0</v>
      </c>
      <c r="I57" s="94">
        <v>5.4</v>
      </c>
      <c r="J57" s="94">
        <v>5.4</v>
      </c>
      <c r="K57" s="94">
        <v>0</v>
      </c>
      <c r="L57" s="94">
        <v>0</v>
      </c>
      <c r="M57" s="129">
        <v>0</v>
      </c>
      <c r="N57" s="102">
        <f t="shared" si="0"/>
        <v>0</v>
      </c>
      <c r="O57" s="97">
        <v>20.399999999999999</v>
      </c>
      <c r="P57" s="92">
        <v>0</v>
      </c>
      <c r="Q57" s="98">
        <f t="shared" si="1"/>
        <v>20.399999999999999</v>
      </c>
      <c r="R57" s="102" t="str">
        <f>+IF(Q57+N57&lt;=0, "NO COMPRADOR", +IF(Q57&lt;=0, "SIN COMPRA "&amp;+UPPER(TEXT('DINAMICA ENERO 26'!$C$2,"mmm 'yy")), "COMPRADOR"))</f>
        <v>COMPRADOR</v>
      </c>
      <c r="S57" s="100"/>
      <c r="T57" s="101"/>
      <c r="U57" s="100"/>
      <c r="X57" s="101"/>
      <c r="Y57" s="100"/>
    </row>
    <row r="58" spans="1:25" s="100" customFormat="1" ht="14">
      <c r="A58" s="88" t="s">
        <v>85</v>
      </c>
      <c r="B58" s="89" t="s">
        <v>120</v>
      </c>
      <c r="C58" s="89" t="s">
        <v>52</v>
      </c>
      <c r="D58" s="103">
        <v>100079515</v>
      </c>
      <c r="E58" s="89" t="s">
        <v>53</v>
      </c>
      <c r="F58" s="89">
        <v>100083809</v>
      </c>
      <c r="G58" s="128" t="s">
        <v>146</v>
      </c>
      <c r="H58" s="94">
        <v>0</v>
      </c>
      <c r="I58" s="94">
        <v>0</v>
      </c>
      <c r="J58" s="94">
        <v>0</v>
      </c>
      <c r="K58" s="94">
        <v>0</v>
      </c>
      <c r="L58" s="94">
        <v>0</v>
      </c>
      <c r="M58" s="129">
        <v>0</v>
      </c>
      <c r="N58" s="102">
        <f t="shared" si="0"/>
        <v>0</v>
      </c>
      <c r="O58" s="97">
        <v>0</v>
      </c>
      <c r="P58" s="92">
        <v>0</v>
      </c>
      <c r="Q58" s="98">
        <f t="shared" si="1"/>
        <v>0</v>
      </c>
      <c r="R58" s="102" t="str">
        <f>+IF(Q58+N58&lt;=0, "NO COMPRADOR", +IF(Q58&lt;=0, "SIN COMPRA "&amp;+UPPER(TEXT('DINAMICA ENERO 26'!$C$2,"mmm 'yy")), "COMPRADOR"))</f>
        <v>NO COMPRADOR</v>
      </c>
      <c r="T58" s="101"/>
      <c r="X58" s="101"/>
    </row>
    <row r="59" spans="1:25" s="100" customFormat="1" ht="14">
      <c r="A59" s="88" t="s">
        <v>85</v>
      </c>
      <c r="B59" s="89" t="s">
        <v>120</v>
      </c>
      <c r="C59" s="89" t="s">
        <v>52</v>
      </c>
      <c r="D59" s="103">
        <v>100079515</v>
      </c>
      <c r="E59" s="89" t="s">
        <v>53</v>
      </c>
      <c r="F59" s="89">
        <v>100082448</v>
      </c>
      <c r="G59" s="128" t="s">
        <v>147</v>
      </c>
      <c r="H59" s="94">
        <v>0</v>
      </c>
      <c r="I59" s="94">
        <v>0</v>
      </c>
      <c r="J59" s="94">
        <v>5.4</v>
      </c>
      <c r="K59" s="94">
        <v>0</v>
      </c>
      <c r="L59" s="94">
        <v>0</v>
      </c>
      <c r="M59" s="129">
        <v>0</v>
      </c>
      <c r="N59" s="102">
        <f t="shared" si="0"/>
        <v>0</v>
      </c>
      <c r="O59" s="97">
        <v>0</v>
      </c>
      <c r="P59" s="92">
        <v>0</v>
      </c>
      <c r="Q59" s="98">
        <f t="shared" si="1"/>
        <v>0</v>
      </c>
      <c r="R59" s="102" t="str">
        <f>+IF(Q59+N59&lt;=0, "NO COMPRADOR", +IF(Q59&lt;=0, "SIN COMPRA "&amp;+UPPER(TEXT('DINAMICA ENERO 26'!$C$2,"mmm 'yy")), "COMPRADOR"))</f>
        <v>NO COMPRADOR</v>
      </c>
      <c r="T59" s="101"/>
      <c r="X59" s="101"/>
    </row>
    <row r="60" spans="1:25" s="100" customFormat="1" ht="14">
      <c r="A60" s="88" t="s">
        <v>85</v>
      </c>
      <c r="B60" s="89" t="s">
        <v>120</v>
      </c>
      <c r="C60" s="89" t="s">
        <v>52</v>
      </c>
      <c r="D60" s="103">
        <v>100079515</v>
      </c>
      <c r="E60" s="89" t="s">
        <v>53</v>
      </c>
      <c r="F60" s="89">
        <v>100079845</v>
      </c>
      <c r="G60" s="128" t="s">
        <v>148</v>
      </c>
      <c r="H60" s="94">
        <v>32.400000000000006</v>
      </c>
      <c r="I60" s="94">
        <v>27.000000000000004</v>
      </c>
      <c r="J60" s="94">
        <v>43.2</v>
      </c>
      <c r="K60" s="94">
        <v>20.400000000000002</v>
      </c>
      <c r="L60" s="94">
        <v>40.800000000000004</v>
      </c>
      <c r="M60" s="129">
        <v>25.800000000000004</v>
      </c>
      <c r="N60" s="102">
        <f t="shared" si="0"/>
        <v>29</v>
      </c>
      <c r="O60" s="97">
        <v>51.600000000000009</v>
      </c>
      <c r="P60" s="92">
        <v>0</v>
      </c>
      <c r="Q60" s="98">
        <f t="shared" si="1"/>
        <v>51.600000000000009</v>
      </c>
      <c r="R60" s="102" t="str">
        <f>+IF(Q60+N60&lt;=0, "NO COMPRADOR", +IF(Q60&lt;=0, "SIN COMPRA "&amp;+UPPER(TEXT('DINAMICA ENERO 26'!$C$2,"mmm 'yy")), "COMPRADOR"))</f>
        <v>COMPRADOR</v>
      </c>
      <c r="T60" s="101"/>
      <c r="X60" s="101"/>
    </row>
    <row r="61" spans="1:25" s="100" customFormat="1" ht="14">
      <c r="A61" s="88" t="s">
        <v>85</v>
      </c>
      <c r="B61" s="89" t="s">
        <v>120</v>
      </c>
      <c r="C61" s="89" t="s">
        <v>52</v>
      </c>
      <c r="D61" s="103">
        <v>100079515</v>
      </c>
      <c r="E61" s="89" t="s">
        <v>53</v>
      </c>
      <c r="F61" s="89">
        <v>100002289</v>
      </c>
      <c r="G61" s="128" t="s">
        <v>149</v>
      </c>
      <c r="H61" s="94">
        <v>0</v>
      </c>
      <c r="I61" s="94">
        <v>0</v>
      </c>
      <c r="J61" s="94">
        <v>5.4</v>
      </c>
      <c r="K61" s="94">
        <v>4.8</v>
      </c>
      <c r="L61" s="94">
        <v>0</v>
      </c>
      <c r="M61" s="129">
        <v>0</v>
      </c>
      <c r="N61" s="102">
        <f t="shared" si="0"/>
        <v>1.5999999999999999</v>
      </c>
      <c r="O61" s="97">
        <v>0</v>
      </c>
      <c r="P61" s="92">
        <v>0</v>
      </c>
      <c r="Q61" s="98">
        <f t="shared" si="1"/>
        <v>0</v>
      </c>
      <c r="R61" s="102" t="str">
        <f>+IF(Q61+N61&lt;=0, "NO COMPRADOR", +IF(Q61&lt;=0, "SIN COMPRA "&amp;+UPPER(TEXT('DINAMICA ENERO 26'!$C$2,"mmm 'yy")), "COMPRADOR"))</f>
        <v>SIN COMPRA FEB '26</v>
      </c>
      <c r="T61" s="101"/>
      <c r="X61" s="101"/>
    </row>
    <row r="62" spans="1:25" s="104" customFormat="1" ht="14">
      <c r="A62" s="88" t="s">
        <v>85</v>
      </c>
      <c r="B62" s="89" t="s">
        <v>120</v>
      </c>
      <c r="C62" s="89" t="s">
        <v>52</v>
      </c>
      <c r="D62" s="103">
        <v>100079515</v>
      </c>
      <c r="E62" s="89" t="s">
        <v>53</v>
      </c>
      <c r="F62" s="89">
        <v>100078959</v>
      </c>
      <c r="G62" s="128" t="s">
        <v>150</v>
      </c>
      <c r="H62" s="94">
        <v>39.6</v>
      </c>
      <c r="I62" s="94">
        <v>10.199999999999999</v>
      </c>
      <c r="J62" s="94">
        <v>5.4</v>
      </c>
      <c r="K62" s="94">
        <v>0</v>
      </c>
      <c r="L62" s="94">
        <v>4.8</v>
      </c>
      <c r="M62" s="129">
        <v>21.6</v>
      </c>
      <c r="N62" s="102">
        <f t="shared" si="0"/>
        <v>8.8000000000000007</v>
      </c>
      <c r="O62" s="97">
        <v>0</v>
      </c>
      <c r="P62" s="92">
        <v>0</v>
      </c>
      <c r="Q62" s="98">
        <f t="shared" si="1"/>
        <v>0</v>
      </c>
      <c r="R62" s="102" t="str">
        <f>+IF(Q62+N62&lt;=0, "NO COMPRADOR", +IF(Q62&lt;=0, "SIN COMPRA "&amp;+UPPER(TEXT('DINAMICA ENERO 26'!$C$2,"mmm 'yy")), "COMPRADOR"))</f>
        <v>SIN COMPRA FEB '26</v>
      </c>
      <c r="S62" s="100"/>
      <c r="T62" s="101"/>
      <c r="U62" s="100"/>
      <c r="X62" s="101"/>
      <c r="Y62" s="100"/>
    </row>
    <row r="63" spans="1:25" s="100" customFormat="1" ht="14">
      <c r="A63" s="88" t="s">
        <v>85</v>
      </c>
      <c r="B63" s="89" t="s">
        <v>120</v>
      </c>
      <c r="C63" s="89" t="s">
        <v>52</v>
      </c>
      <c r="D63" s="103">
        <v>100079515</v>
      </c>
      <c r="E63" s="89" t="s">
        <v>53</v>
      </c>
      <c r="F63" s="89">
        <v>100084977</v>
      </c>
      <c r="G63" s="128" t="s">
        <v>151</v>
      </c>
      <c r="H63" s="94">
        <v>0</v>
      </c>
      <c r="I63" s="94">
        <v>10.199999999999999</v>
      </c>
      <c r="J63" s="94">
        <v>5.4</v>
      </c>
      <c r="K63" s="94">
        <v>10.199999999999999</v>
      </c>
      <c r="L63" s="94">
        <v>0</v>
      </c>
      <c r="M63" s="129">
        <v>10.199999999999999</v>
      </c>
      <c r="N63" s="102">
        <f t="shared" si="0"/>
        <v>6.8</v>
      </c>
      <c r="O63" s="97">
        <v>0</v>
      </c>
      <c r="P63" s="92">
        <v>0</v>
      </c>
      <c r="Q63" s="98">
        <f t="shared" si="1"/>
        <v>0</v>
      </c>
      <c r="R63" s="102" t="str">
        <f>+IF(Q63+N63&lt;=0, "NO COMPRADOR", +IF(Q63&lt;=0, "SIN COMPRA "&amp;+UPPER(TEXT('DINAMICA ENERO 26'!$C$2,"mmm 'yy")), "COMPRADOR"))</f>
        <v>SIN COMPRA FEB '26</v>
      </c>
      <c r="T63" s="101"/>
      <c r="X63" s="101"/>
    </row>
    <row r="64" spans="1:25" s="100" customFormat="1" ht="14">
      <c r="A64" s="88" t="s">
        <v>85</v>
      </c>
      <c r="B64" s="89" t="s">
        <v>120</v>
      </c>
      <c r="C64" s="89" t="s">
        <v>52</v>
      </c>
      <c r="D64" s="103">
        <v>100079515</v>
      </c>
      <c r="E64" s="89" t="s">
        <v>53</v>
      </c>
      <c r="F64" s="89">
        <v>100074170</v>
      </c>
      <c r="G64" s="128" t="s">
        <v>152</v>
      </c>
      <c r="H64" s="94">
        <v>0</v>
      </c>
      <c r="I64" s="94">
        <v>27</v>
      </c>
      <c r="J64" s="94">
        <v>5.4</v>
      </c>
      <c r="K64" s="94">
        <v>39.599999999999994</v>
      </c>
      <c r="L64" s="94">
        <v>10.199999999999999</v>
      </c>
      <c r="M64" s="129">
        <v>0</v>
      </c>
      <c r="N64" s="102">
        <f t="shared" si="0"/>
        <v>16.599999999999998</v>
      </c>
      <c r="O64" s="97">
        <v>0</v>
      </c>
      <c r="P64" s="92">
        <v>0</v>
      </c>
      <c r="Q64" s="98">
        <f t="shared" si="1"/>
        <v>0</v>
      </c>
      <c r="R64" s="102" t="str">
        <f>+IF(Q64+N64&lt;=0, "NO COMPRADOR", +IF(Q64&lt;=0, "SIN COMPRA "&amp;+UPPER(TEXT('DINAMICA ENERO 26'!$C$2,"mmm 'yy")), "COMPRADOR"))</f>
        <v>SIN COMPRA FEB '26</v>
      </c>
      <c r="T64" s="101"/>
      <c r="X64" s="101"/>
    </row>
    <row r="65" spans="1:25" s="104" customFormat="1" ht="14">
      <c r="A65" s="88" t="s">
        <v>85</v>
      </c>
      <c r="B65" s="89" t="s">
        <v>120</v>
      </c>
      <c r="C65" s="89" t="s">
        <v>52</v>
      </c>
      <c r="D65" s="103">
        <v>100079515</v>
      </c>
      <c r="E65" s="89" t="s">
        <v>53</v>
      </c>
      <c r="F65" s="89">
        <v>100087942</v>
      </c>
      <c r="G65" s="128" t="s">
        <v>153</v>
      </c>
      <c r="H65" s="94">
        <v>0</v>
      </c>
      <c r="I65" s="94">
        <v>0</v>
      </c>
      <c r="J65" s="94">
        <v>5.4</v>
      </c>
      <c r="K65" s="94">
        <v>0</v>
      </c>
      <c r="L65" s="94">
        <v>10.199999999999999</v>
      </c>
      <c r="M65" s="129">
        <v>0</v>
      </c>
      <c r="N65" s="102">
        <f t="shared" si="0"/>
        <v>3.4</v>
      </c>
      <c r="O65" s="97">
        <v>0</v>
      </c>
      <c r="P65" s="92">
        <v>0</v>
      </c>
      <c r="Q65" s="98">
        <f t="shared" si="1"/>
        <v>0</v>
      </c>
      <c r="R65" s="102" t="str">
        <f>+IF(Q65+N65&lt;=0, "NO COMPRADOR", +IF(Q65&lt;=0, "SIN COMPRA "&amp;+UPPER(TEXT('DINAMICA ENERO 26'!$C$2,"mmm 'yy")), "COMPRADOR"))</f>
        <v>SIN COMPRA FEB '26</v>
      </c>
      <c r="S65" s="100"/>
      <c r="T65" s="101"/>
      <c r="U65" s="100"/>
      <c r="X65" s="101"/>
      <c r="Y65" s="100"/>
    </row>
    <row r="66" spans="1:25" s="100" customFormat="1" ht="14">
      <c r="A66" s="88" t="s">
        <v>85</v>
      </c>
      <c r="B66" s="89" t="s">
        <v>120</v>
      </c>
      <c r="C66" s="89" t="s">
        <v>52</v>
      </c>
      <c r="D66" s="103">
        <v>100079515</v>
      </c>
      <c r="E66" s="89" t="s">
        <v>53</v>
      </c>
      <c r="F66" s="89">
        <v>100068357</v>
      </c>
      <c r="G66" s="128" t="s">
        <v>154</v>
      </c>
      <c r="H66" s="94">
        <v>81</v>
      </c>
      <c r="I66" s="94">
        <v>0</v>
      </c>
      <c r="J66" s="94">
        <v>29.4</v>
      </c>
      <c r="K66" s="94">
        <v>14.399999999999999</v>
      </c>
      <c r="L66" s="94">
        <v>0</v>
      </c>
      <c r="M66" s="129">
        <v>0</v>
      </c>
      <c r="N66" s="102">
        <f t="shared" si="0"/>
        <v>4.8</v>
      </c>
      <c r="O66" s="97">
        <v>108</v>
      </c>
      <c r="P66" s="92">
        <v>0</v>
      </c>
      <c r="Q66" s="98">
        <f t="shared" si="1"/>
        <v>108</v>
      </c>
      <c r="R66" s="102" t="str">
        <f>+IF(Q66+N66&lt;=0, "NO COMPRADOR", +IF(Q66&lt;=0, "SIN COMPRA "&amp;+UPPER(TEXT('DINAMICA ENERO 26'!$C$2,"mmm 'yy")), "COMPRADOR"))</f>
        <v>COMPRADOR</v>
      </c>
      <c r="T66" s="101"/>
      <c r="X66" s="101"/>
    </row>
    <row r="67" spans="1:25" s="104" customFormat="1" ht="14">
      <c r="A67" s="88" t="s">
        <v>85</v>
      </c>
      <c r="B67" s="89" t="s">
        <v>120</v>
      </c>
      <c r="C67" s="89" t="s">
        <v>52</v>
      </c>
      <c r="D67" s="103">
        <v>100079515</v>
      </c>
      <c r="E67" s="89" t="s">
        <v>53</v>
      </c>
      <c r="F67" s="89">
        <v>100001391</v>
      </c>
      <c r="G67" s="128" t="s">
        <v>155</v>
      </c>
      <c r="H67" s="94">
        <v>0</v>
      </c>
      <c r="I67" s="94">
        <v>0</v>
      </c>
      <c r="J67" s="94">
        <v>326.40000000000009</v>
      </c>
      <c r="K67" s="94">
        <v>-43.199999999999989</v>
      </c>
      <c r="L67" s="94">
        <v>-19.2</v>
      </c>
      <c r="M67" s="129">
        <v>326.39999999999998</v>
      </c>
      <c r="N67" s="102">
        <f t="shared" ref="N67:N130" si="2">+AVERAGE(K67:M67)</f>
        <v>88</v>
      </c>
      <c r="O67" s="97">
        <v>430.8</v>
      </c>
      <c r="P67" s="92">
        <v>252.59999999999994</v>
      </c>
      <c r="Q67" s="98">
        <f t="shared" si="1"/>
        <v>683.4</v>
      </c>
      <c r="R67" s="102" t="str">
        <f>+IF(Q67+N67&lt;=0, "NO COMPRADOR", +IF(Q67&lt;=0, "SIN COMPRA "&amp;+UPPER(TEXT('DINAMICA ENERO 26'!$C$2,"mmm 'yy")), "COMPRADOR"))</f>
        <v>COMPRADOR</v>
      </c>
      <c r="S67" s="100"/>
      <c r="T67" s="101"/>
      <c r="U67" s="100"/>
      <c r="X67" s="101"/>
      <c r="Y67" s="100"/>
    </row>
    <row r="68" spans="1:25" s="100" customFormat="1" ht="14">
      <c r="A68" s="88" t="s">
        <v>85</v>
      </c>
      <c r="B68" s="89" t="s">
        <v>120</v>
      </c>
      <c r="C68" s="89" t="s">
        <v>52</v>
      </c>
      <c r="D68" s="103">
        <v>100079515</v>
      </c>
      <c r="E68" s="89" t="s">
        <v>53</v>
      </c>
      <c r="F68" s="89">
        <v>100085149</v>
      </c>
      <c r="G68" s="128" t="s">
        <v>156</v>
      </c>
      <c r="H68" s="94">
        <v>0</v>
      </c>
      <c r="I68" s="94">
        <v>0</v>
      </c>
      <c r="J68" s="94">
        <v>0</v>
      </c>
      <c r="K68" s="94">
        <v>0</v>
      </c>
      <c r="L68" s="94">
        <v>0</v>
      </c>
      <c r="M68" s="129">
        <v>15</v>
      </c>
      <c r="N68" s="102">
        <f t="shared" si="2"/>
        <v>5</v>
      </c>
      <c r="O68" s="97">
        <v>0</v>
      </c>
      <c r="P68" s="92">
        <v>0</v>
      </c>
      <c r="Q68" s="98">
        <f t="shared" ref="Q68:Q131" si="3">+O68+P68</f>
        <v>0</v>
      </c>
      <c r="R68" s="102" t="str">
        <f>+IF(Q68+N68&lt;=0, "NO COMPRADOR", +IF(Q68&lt;=0, "SIN COMPRA "&amp;+UPPER(TEXT('DINAMICA ENERO 26'!$C$2,"mmm 'yy")), "COMPRADOR"))</f>
        <v>SIN COMPRA FEB '26</v>
      </c>
      <c r="T68" s="101"/>
      <c r="X68" s="101"/>
    </row>
    <row r="69" spans="1:25" s="100" customFormat="1" ht="14">
      <c r="A69" s="88" t="s">
        <v>85</v>
      </c>
      <c r="B69" s="89" t="s">
        <v>157</v>
      </c>
      <c r="C69" s="89" t="s">
        <v>52</v>
      </c>
      <c r="D69" s="103">
        <v>100079674</v>
      </c>
      <c r="E69" s="89" t="s">
        <v>57</v>
      </c>
      <c r="F69" s="89">
        <v>100079807</v>
      </c>
      <c r="G69" s="128" t="s">
        <v>158</v>
      </c>
      <c r="H69" s="94">
        <v>10.199999999999999</v>
      </c>
      <c r="I69" s="94">
        <v>4.8</v>
      </c>
      <c r="J69" s="94">
        <v>5.4</v>
      </c>
      <c r="K69" s="94">
        <v>0</v>
      </c>
      <c r="L69" s="94">
        <v>5.4</v>
      </c>
      <c r="M69" s="129">
        <v>0</v>
      </c>
      <c r="N69" s="102">
        <f t="shared" si="2"/>
        <v>1.8</v>
      </c>
      <c r="O69" s="97">
        <v>5.4</v>
      </c>
      <c r="P69" s="92">
        <v>0</v>
      </c>
      <c r="Q69" s="98">
        <f t="shared" si="3"/>
        <v>5.4</v>
      </c>
      <c r="R69" s="102" t="str">
        <f>+IF(Q69+N69&lt;=0, "NO COMPRADOR", +IF(Q69&lt;=0, "SIN COMPRA "&amp;+UPPER(TEXT('DINAMICA ENERO 26'!$C$2,"mmm 'yy")), "COMPRADOR"))</f>
        <v>COMPRADOR</v>
      </c>
      <c r="T69" s="101"/>
      <c r="X69" s="101"/>
    </row>
    <row r="70" spans="1:25" s="100" customFormat="1" ht="14">
      <c r="A70" s="88" t="s">
        <v>85</v>
      </c>
      <c r="B70" s="89" t="s">
        <v>157</v>
      </c>
      <c r="C70" s="89" t="s">
        <v>52</v>
      </c>
      <c r="D70" s="103">
        <v>100079674</v>
      </c>
      <c r="E70" s="89" t="s">
        <v>57</v>
      </c>
      <c r="F70" s="89">
        <v>100086113</v>
      </c>
      <c r="G70" s="128" t="s">
        <v>159</v>
      </c>
      <c r="H70" s="94">
        <v>0</v>
      </c>
      <c r="I70" s="94">
        <v>0</v>
      </c>
      <c r="J70" s="94">
        <v>0</v>
      </c>
      <c r="K70" s="94">
        <v>0</v>
      </c>
      <c r="L70" s="94">
        <v>0</v>
      </c>
      <c r="M70" s="129">
        <v>0</v>
      </c>
      <c r="N70" s="102">
        <f t="shared" si="2"/>
        <v>0</v>
      </c>
      <c r="O70" s="97">
        <v>0</v>
      </c>
      <c r="P70" s="92">
        <v>0</v>
      </c>
      <c r="Q70" s="98">
        <f t="shared" si="3"/>
        <v>0</v>
      </c>
      <c r="R70" s="102" t="str">
        <f>+IF(Q70+N70&lt;=0, "NO COMPRADOR", +IF(Q70&lt;=0, "SIN COMPRA "&amp;+UPPER(TEXT('DINAMICA ENERO 26'!$C$2,"mmm 'yy")), "COMPRADOR"))</f>
        <v>NO COMPRADOR</v>
      </c>
      <c r="T70" s="101"/>
      <c r="X70" s="101"/>
    </row>
    <row r="71" spans="1:25" s="100" customFormat="1" ht="14">
      <c r="A71" s="88" t="s">
        <v>85</v>
      </c>
      <c r="B71" s="89" t="s">
        <v>157</v>
      </c>
      <c r="C71" s="89" t="s">
        <v>52</v>
      </c>
      <c r="D71" s="103">
        <v>100079674</v>
      </c>
      <c r="E71" s="89" t="s">
        <v>57</v>
      </c>
      <c r="F71" s="89">
        <v>100086648</v>
      </c>
      <c r="G71" s="128" t="s">
        <v>160</v>
      </c>
      <c r="H71" s="94">
        <v>10.8</v>
      </c>
      <c r="I71" s="94">
        <v>10.199999999999999</v>
      </c>
      <c r="J71" s="94">
        <v>0</v>
      </c>
      <c r="K71" s="94">
        <v>5.4</v>
      </c>
      <c r="L71" s="94">
        <v>10.199999999999999</v>
      </c>
      <c r="M71" s="129">
        <v>5.4</v>
      </c>
      <c r="N71" s="102">
        <f t="shared" si="2"/>
        <v>7</v>
      </c>
      <c r="O71" s="97">
        <v>0</v>
      </c>
      <c r="P71" s="92">
        <v>0</v>
      </c>
      <c r="Q71" s="98">
        <f t="shared" si="3"/>
        <v>0</v>
      </c>
      <c r="R71" s="102" t="str">
        <f>+IF(Q71+N71&lt;=0, "NO COMPRADOR", +IF(Q71&lt;=0, "SIN COMPRA "&amp;+UPPER(TEXT('DINAMICA ENERO 26'!$C$2,"mmm 'yy")), "COMPRADOR"))</f>
        <v>SIN COMPRA FEB '26</v>
      </c>
      <c r="T71" s="101"/>
      <c r="X71" s="101"/>
    </row>
    <row r="72" spans="1:25" s="100" customFormat="1" ht="14">
      <c r="A72" s="88" t="s">
        <v>85</v>
      </c>
      <c r="B72" s="89" t="s">
        <v>157</v>
      </c>
      <c r="C72" s="89" t="s">
        <v>52</v>
      </c>
      <c r="D72" s="103">
        <v>100079674</v>
      </c>
      <c r="E72" s="89" t="s">
        <v>57</v>
      </c>
      <c r="F72" s="89">
        <v>100085802</v>
      </c>
      <c r="G72" s="128" t="s">
        <v>161</v>
      </c>
      <c r="H72" s="94">
        <v>0</v>
      </c>
      <c r="I72" s="94">
        <v>10.199999999999999</v>
      </c>
      <c r="J72" s="94">
        <v>0</v>
      </c>
      <c r="K72" s="94">
        <v>4.8</v>
      </c>
      <c r="L72" s="94">
        <v>0</v>
      </c>
      <c r="M72" s="129">
        <v>0</v>
      </c>
      <c r="N72" s="102">
        <f t="shared" si="2"/>
        <v>1.5999999999999999</v>
      </c>
      <c r="O72" s="97">
        <v>0</v>
      </c>
      <c r="P72" s="92">
        <v>0</v>
      </c>
      <c r="Q72" s="98">
        <f t="shared" si="3"/>
        <v>0</v>
      </c>
      <c r="R72" s="102" t="str">
        <f>+IF(Q72+N72&lt;=0, "NO COMPRADOR", +IF(Q72&lt;=0, "SIN COMPRA "&amp;+UPPER(TEXT('DINAMICA ENERO 26'!$C$2,"mmm 'yy")), "COMPRADOR"))</f>
        <v>SIN COMPRA FEB '26</v>
      </c>
      <c r="T72" s="101"/>
      <c r="X72" s="101"/>
    </row>
    <row r="73" spans="1:25" s="100" customFormat="1" ht="14">
      <c r="A73" s="88" t="s">
        <v>85</v>
      </c>
      <c r="B73" s="89" t="s">
        <v>157</v>
      </c>
      <c r="C73" s="89" t="s">
        <v>52</v>
      </c>
      <c r="D73" s="103">
        <v>100079674</v>
      </c>
      <c r="E73" s="89" t="s">
        <v>57</v>
      </c>
      <c r="F73" s="89">
        <v>100079430</v>
      </c>
      <c r="G73" s="128" t="s">
        <v>162</v>
      </c>
      <c r="H73" s="94">
        <v>20.400000000000002</v>
      </c>
      <c r="I73" s="94">
        <v>10.199999999999999</v>
      </c>
      <c r="J73" s="94">
        <v>0</v>
      </c>
      <c r="K73" s="94">
        <v>0</v>
      </c>
      <c r="L73" s="94">
        <v>0</v>
      </c>
      <c r="M73" s="129">
        <v>0</v>
      </c>
      <c r="N73" s="102">
        <f t="shared" si="2"/>
        <v>0</v>
      </c>
      <c r="O73" s="97">
        <v>0</v>
      </c>
      <c r="P73" s="92">
        <v>0</v>
      </c>
      <c r="Q73" s="98">
        <f t="shared" si="3"/>
        <v>0</v>
      </c>
      <c r="R73" s="102" t="str">
        <f>+IF(Q73+N73&lt;=0, "NO COMPRADOR", +IF(Q73&lt;=0, "SIN COMPRA "&amp;+UPPER(TEXT('DINAMICA ENERO 26'!$C$2,"mmm 'yy")), "COMPRADOR"))</f>
        <v>NO COMPRADOR</v>
      </c>
      <c r="T73" s="101"/>
      <c r="X73" s="101"/>
    </row>
    <row r="74" spans="1:25" s="100" customFormat="1" ht="14">
      <c r="A74" s="88" t="s">
        <v>85</v>
      </c>
      <c r="B74" s="89" t="s">
        <v>157</v>
      </c>
      <c r="C74" s="89" t="s">
        <v>52</v>
      </c>
      <c r="D74" s="103">
        <v>100079674</v>
      </c>
      <c r="E74" s="89" t="s">
        <v>57</v>
      </c>
      <c r="F74" s="89">
        <v>100001212</v>
      </c>
      <c r="G74" s="128" t="s">
        <v>163</v>
      </c>
      <c r="H74" s="94">
        <v>10.199999999999999</v>
      </c>
      <c r="I74" s="94">
        <v>5.4</v>
      </c>
      <c r="J74" s="94">
        <v>0</v>
      </c>
      <c r="K74" s="94">
        <v>4.8</v>
      </c>
      <c r="L74" s="94">
        <v>5.4</v>
      </c>
      <c r="M74" s="129">
        <v>0</v>
      </c>
      <c r="N74" s="102">
        <f t="shared" si="2"/>
        <v>3.4</v>
      </c>
      <c r="O74" s="97">
        <v>5.4</v>
      </c>
      <c r="P74" s="92">
        <v>0</v>
      </c>
      <c r="Q74" s="98">
        <f t="shared" si="3"/>
        <v>5.4</v>
      </c>
      <c r="R74" s="102" t="str">
        <f>+IF(Q74+N74&lt;=0, "NO COMPRADOR", +IF(Q74&lt;=0, "SIN COMPRA "&amp;+UPPER(TEXT('DINAMICA ENERO 26'!$C$2,"mmm 'yy")), "COMPRADOR"))</f>
        <v>COMPRADOR</v>
      </c>
      <c r="T74" s="101"/>
      <c r="X74" s="101"/>
    </row>
    <row r="75" spans="1:25" s="104" customFormat="1" ht="14">
      <c r="A75" s="88" t="s">
        <v>85</v>
      </c>
      <c r="B75" s="89" t="s">
        <v>157</v>
      </c>
      <c r="C75" s="89" t="s">
        <v>52</v>
      </c>
      <c r="D75" s="103">
        <v>100079674</v>
      </c>
      <c r="E75" s="89" t="s">
        <v>57</v>
      </c>
      <c r="F75" s="89">
        <v>100001259</v>
      </c>
      <c r="G75" s="128" t="s">
        <v>164</v>
      </c>
      <c r="H75" s="94">
        <v>5.4</v>
      </c>
      <c r="I75" s="94">
        <v>9.6</v>
      </c>
      <c r="J75" s="94">
        <v>0</v>
      </c>
      <c r="K75" s="94">
        <v>0</v>
      </c>
      <c r="L75" s="94">
        <v>0</v>
      </c>
      <c r="M75" s="129">
        <v>0</v>
      </c>
      <c r="N75" s="102">
        <f t="shared" si="2"/>
        <v>0</v>
      </c>
      <c r="O75" s="97">
        <v>0</v>
      </c>
      <c r="P75" s="92">
        <v>0</v>
      </c>
      <c r="Q75" s="98">
        <f t="shared" si="3"/>
        <v>0</v>
      </c>
      <c r="R75" s="102" t="str">
        <f>+IF(Q75+N75&lt;=0, "NO COMPRADOR", +IF(Q75&lt;=0, "SIN COMPRA "&amp;+UPPER(TEXT('DINAMICA ENERO 26'!$C$2,"mmm 'yy")), "COMPRADOR"))</f>
        <v>NO COMPRADOR</v>
      </c>
      <c r="S75" s="100"/>
      <c r="T75" s="101"/>
      <c r="U75" s="100"/>
      <c r="X75" s="101"/>
      <c r="Y75" s="100"/>
    </row>
    <row r="76" spans="1:25" s="104" customFormat="1" ht="14">
      <c r="A76" s="88" t="s">
        <v>85</v>
      </c>
      <c r="B76" s="89" t="s">
        <v>157</v>
      </c>
      <c r="C76" s="89" t="s">
        <v>52</v>
      </c>
      <c r="D76" s="103">
        <v>100079674</v>
      </c>
      <c r="E76" s="89" t="s">
        <v>57</v>
      </c>
      <c r="F76" s="89">
        <v>100082864</v>
      </c>
      <c r="G76" s="128" t="s">
        <v>165</v>
      </c>
      <c r="H76" s="94">
        <v>10.199999999999999</v>
      </c>
      <c r="I76" s="94">
        <v>15</v>
      </c>
      <c r="J76" s="94">
        <v>5.4</v>
      </c>
      <c r="K76" s="94">
        <v>0</v>
      </c>
      <c r="L76" s="94">
        <v>0</v>
      </c>
      <c r="M76" s="129">
        <v>0</v>
      </c>
      <c r="N76" s="102">
        <f t="shared" si="2"/>
        <v>0</v>
      </c>
      <c r="O76" s="97">
        <v>0</v>
      </c>
      <c r="P76" s="92">
        <v>0</v>
      </c>
      <c r="Q76" s="98">
        <f t="shared" si="3"/>
        <v>0</v>
      </c>
      <c r="R76" s="102" t="str">
        <f>+IF(Q76+N76&lt;=0, "NO COMPRADOR", +IF(Q76&lt;=0, "SIN COMPRA "&amp;+UPPER(TEXT('DINAMICA ENERO 26'!$C$2,"mmm 'yy")), "COMPRADOR"))</f>
        <v>NO COMPRADOR</v>
      </c>
      <c r="S76" s="100"/>
      <c r="T76" s="101"/>
      <c r="U76" s="100"/>
      <c r="X76" s="101"/>
      <c r="Y76" s="100"/>
    </row>
    <row r="77" spans="1:25" s="104" customFormat="1" ht="14">
      <c r="A77" s="88" t="s">
        <v>85</v>
      </c>
      <c r="B77" s="89" t="s">
        <v>157</v>
      </c>
      <c r="C77" s="89" t="s">
        <v>52</v>
      </c>
      <c r="D77" s="103">
        <v>100079674</v>
      </c>
      <c r="E77" s="89" t="s">
        <v>57</v>
      </c>
      <c r="F77" s="89">
        <v>100073859</v>
      </c>
      <c r="G77" s="128" t="s">
        <v>166</v>
      </c>
      <c r="H77" s="94">
        <v>20.400000000000002</v>
      </c>
      <c r="I77" s="94">
        <v>20.400000000000002</v>
      </c>
      <c r="J77" s="94">
        <v>20.400000000000002</v>
      </c>
      <c r="K77" s="94">
        <v>20.400000000000002</v>
      </c>
      <c r="L77" s="94">
        <v>0</v>
      </c>
      <c r="M77" s="129">
        <v>0</v>
      </c>
      <c r="N77" s="102">
        <f t="shared" si="2"/>
        <v>6.8000000000000007</v>
      </c>
      <c r="O77" s="97">
        <v>0</v>
      </c>
      <c r="P77" s="92">
        <v>0</v>
      </c>
      <c r="Q77" s="98">
        <f t="shared" si="3"/>
        <v>0</v>
      </c>
      <c r="R77" s="102" t="str">
        <f>+IF(Q77+N77&lt;=0, "NO COMPRADOR", +IF(Q77&lt;=0, "SIN COMPRA "&amp;+UPPER(TEXT('DINAMICA ENERO 26'!$C$2,"mmm 'yy")), "COMPRADOR"))</f>
        <v>SIN COMPRA FEB '26</v>
      </c>
      <c r="S77" s="100"/>
      <c r="T77" s="101"/>
      <c r="U77" s="100"/>
      <c r="X77" s="101"/>
      <c r="Y77" s="100"/>
    </row>
    <row r="78" spans="1:25" s="104" customFormat="1" ht="14">
      <c r="A78" s="88" t="s">
        <v>85</v>
      </c>
      <c r="B78" s="89" t="s">
        <v>157</v>
      </c>
      <c r="C78" s="89" t="s">
        <v>52</v>
      </c>
      <c r="D78" s="103">
        <v>100079674</v>
      </c>
      <c r="E78" s="89" t="s">
        <v>57</v>
      </c>
      <c r="F78" s="89">
        <v>100001941</v>
      </c>
      <c r="G78" s="128" t="s">
        <v>167</v>
      </c>
      <c r="H78" s="94">
        <v>10.199999999999999</v>
      </c>
      <c r="I78" s="94">
        <v>5.4</v>
      </c>
      <c r="J78" s="94">
        <v>5.4</v>
      </c>
      <c r="K78" s="94">
        <v>4.8</v>
      </c>
      <c r="L78" s="94">
        <v>4.8</v>
      </c>
      <c r="M78" s="129">
        <v>10.8</v>
      </c>
      <c r="N78" s="102">
        <f t="shared" si="2"/>
        <v>6.8</v>
      </c>
      <c r="O78" s="97">
        <v>0</v>
      </c>
      <c r="P78" s="92">
        <v>0</v>
      </c>
      <c r="Q78" s="98">
        <f t="shared" si="3"/>
        <v>0</v>
      </c>
      <c r="R78" s="102" t="str">
        <f>+IF(Q78+N78&lt;=0, "NO COMPRADOR", +IF(Q78&lt;=0, "SIN COMPRA "&amp;+UPPER(TEXT('DINAMICA ENERO 26'!$C$2,"mmm 'yy")), "COMPRADOR"))</f>
        <v>SIN COMPRA FEB '26</v>
      </c>
      <c r="S78" s="100"/>
      <c r="T78" s="101"/>
      <c r="U78" s="100"/>
      <c r="X78" s="101"/>
      <c r="Y78" s="100"/>
    </row>
    <row r="79" spans="1:25" s="104" customFormat="1" ht="14">
      <c r="A79" s="88" t="s">
        <v>85</v>
      </c>
      <c r="B79" s="89" t="s">
        <v>157</v>
      </c>
      <c r="C79" s="89" t="s">
        <v>52</v>
      </c>
      <c r="D79" s="103">
        <v>100079674</v>
      </c>
      <c r="E79" s="89" t="s">
        <v>57</v>
      </c>
      <c r="F79" s="89">
        <v>100005864</v>
      </c>
      <c r="G79" s="128" t="s">
        <v>168</v>
      </c>
      <c r="H79" s="94">
        <v>5.4</v>
      </c>
      <c r="I79" s="94">
        <v>5.4</v>
      </c>
      <c r="J79" s="94">
        <v>0</v>
      </c>
      <c r="K79" s="94">
        <v>5.4</v>
      </c>
      <c r="L79" s="94">
        <v>0</v>
      </c>
      <c r="M79" s="129">
        <v>0</v>
      </c>
      <c r="N79" s="102">
        <f t="shared" si="2"/>
        <v>1.8</v>
      </c>
      <c r="O79" s="97">
        <v>0</v>
      </c>
      <c r="P79" s="92">
        <v>0</v>
      </c>
      <c r="Q79" s="98">
        <f t="shared" si="3"/>
        <v>0</v>
      </c>
      <c r="R79" s="102" t="str">
        <f>+IF(Q79+N79&lt;=0, "NO COMPRADOR", +IF(Q79&lt;=0, "SIN COMPRA "&amp;+UPPER(TEXT('DINAMICA ENERO 26'!$C$2,"mmm 'yy")), "COMPRADOR"))</f>
        <v>SIN COMPRA FEB '26</v>
      </c>
      <c r="S79" s="100"/>
      <c r="T79" s="101"/>
      <c r="U79" s="100"/>
      <c r="X79" s="101"/>
      <c r="Y79" s="100"/>
    </row>
    <row r="80" spans="1:25" s="100" customFormat="1" ht="14">
      <c r="A80" s="88" t="s">
        <v>85</v>
      </c>
      <c r="B80" s="89" t="s">
        <v>157</v>
      </c>
      <c r="C80" s="89" t="s">
        <v>52</v>
      </c>
      <c r="D80" s="103">
        <v>100079674</v>
      </c>
      <c r="E80" s="89" t="s">
        <v>57</v>
      </c>
      <c r="F80" s="89">
        <v>100009067</v>
      </c>
      <c r="G80" s="128" t="s">
        <v>169</v>
      </c>
      <c r="H80" s="94">
        <v>71.400000000000006</v>
      </c>
      <c r="I80" s="94">
        <v>45</v>
      </c>
      <c r="J80" s="94">
        <v>0</v>
      </c>
      <c r="K80" s="94">
        <v>0</v>
      </c>
      <c r="L80" s="94">
        <v>0</v>
      </c>
      <c r="M80" s="129">
        <v>28.799999999999997</v>
      </c>
      <c r="N80" s="102">
        <f t="shared" si="2"/>
        <v>9.6</v>
      </c>
      <c r="O80" s="97">
        <v>0</v>
      </c>
      <c r="P80" s="92">
        <v>0</v>
      </c>
      <c r="Q80" s="98">
        <f t="shared" si="3"/>
        <v>0</v>
      </c>
      <c r="R80" s="102" t="str">
        <f>+IF(Q80+N80&lt;=0, "NO COMPRADOR", +IF(Q80&lt;=0, "SIN COMPRA "&amp;+UPPER(TEXT('DINAMICA ENERO 26'!$C$2,"mmm 'yy")), "COMPRADOR"))</f>
        <v>SIN COMPRA FEB '26</v>
      </c>
      <c r="T80" s="101"/>
      <c r="X80" s="101"/>
    </row>
    <row r="81" spans="1:25" s="104" customFormat="1" ht="14">
      <c r="A81" s="88" t="s">
        <v>85</v>
      </c>
      <c r="B81" s="89" t="s">
        <v>157</v>
      </c>
      <c r="C81" s="89" t="s">
        <v>52</v>
      </c>
      <c r="D81" s="103">
        <v>100079674</v>
      </c>
      <c r="E81" s="89" t="s">
        <v>57</v>
      </c>
      <c r="F81" s="89">
        <v>100059556</v>
      </c>
      <c r="G81" s="128" t="s">
        <v>170</v>
      </c>
      <c r="H81" s="94">
        <v>0</v>
      </c>
      <c r="I81" s="94">
        <v>0</v>
      </c>
      <c r="J81" s="94">
        <v>0</v>
      </c>
      <c r="K81" s="94">
        <v>0</v>
      </c>
      <c r="L81" s="94">
        <v>0</v>
      </c>
      <c r="M81" s="129">
        <v>0</v>
      </c>
      <c r="N81" s="102">
        <f t="shared" si="2"/>
        <v>0</v>
      </c>
      <c r="O81" s="97">
        <v>0</v>
      </c>
      <c r="P81" s="92">
        <v>0</v>
      </c>
      <c r="Q81" s="98">
        <f t="shared" si="3"/>
        <v>0</v>
      </c>
      <c r="R81" s="102" t="str">
        <f>+IF(Q81+N81&lt;=0, "NO COMPRADOR", +IF(Q81&lt;=0, "SIN COMPRA "&amp;+UPPER(TEXT('DINAMICA ENERO 26'!$C$2,"mmm 'yy")), "COMPRADOR"))</f>
        <v>NO COMPRADOR</v>
      </c>
      <c r="S81" s="100"/>
      <c r="T81" s="101"/>
      <c r="U81" s="100"/>
      <c r="X81" s="101"/>
      <c r="Y81" s="100"/>
    </row>
    <row r="82" spans="1:25" s="104" customFormat="1" ht="14">
      <c r="A82" s="88" t="s">
        <v>85</v>
      </c>
      <c r="B82" s="89" t="s">
        <v>157</v>
      </c>
      <c r="C82" s="89" t="s">
        <v>52</v>
      </c>
      <c r="D82" s="103">
        <v>100079674</v>
      </c>
      <c r="E82" s="89" t="s">
        <v>57</v>
      </c>
      <c r="F82" s="89">
        <v>100082635</v>
      </c>
      <c r="G82" s="128" t="s">
        <v>171</v>
      </c>
      <c r="H82" s="94">
        <v>9.6</v>
      </c>
      <c r="I82" s="94">
        <v>16.200000000000003</v>
      </c>
      <c r="J82" s="94">
        <v>20.400000000000002</v>
      </c>
      <c r="K82" s="94">
        <v>0</v>
      </c>
      <c r="L82" s="94">
        <v>4.8</v>
      </c>
      <c r="M82" s="129">
        <v>5.4</v>
      </c>
      <c r="N82" s="102">
        <f t="shared" si="2"/>
        <v>3.4</v>
      </c>
      <c r="O82" s="97">
        <v>0</v>
      </c>
      <c r="P82" s="92">
        <v>5.4</v>
      </c>
      <c r="Q82" s="98">
        <f t="shared" si="3"/>
        <v>5.4</v>
      </c>
      <c r="R82" s="102" t="str">
        <f>+IF(Q82+N82&lt;=0, "NO COMPRADOR", +IF(Q82&lt;=0, "SIN COMPRA "&amp;+UPPER(TEXT('DINAMICA ENERO 26'!$C$2,"mmm 'yy")), "COMPRADOR"))</f>
        <v>COMPRADOR</v>
      </c>
      <c r="S82" s="100"/>
      <c r="T82" s="101"/>
      <c r="U82" s="100"/>
      <c r="X82" s="101"/>
      <c r="Y82" s="100"/>
    </row>
    <row r="83" spans="1:25" s="104" customFormat="1" ht="14">
      <c r="A83" s="88" t="s">
        <v>85</v>
      </c>
      <c r="B83" s="89" t="s">
        <v>157</v>
      </c>
      <c r="C83" s="89" t="s">
        <v>52</v>
      </c>
      <c r="D83" s="103">
        <v>100079674</v>
      </c>
      <c r="E83" s="89" t="s">
        <v>57</v>
      </c>
      <c r="F83" s="89">
        <v>100087436</v>
      </c>
      <c r="G83" s="128" t="s">
        <v>172</v>
      </c>
      <c r="H83" s="94">
        <v>10.199999999999999</v>
      </c>
      <c r="I83" s="94">
        <v>0</v>
      </c>
      <c r="J83" s="94">
        <v>5.4</v>
      </c>
      <c r="K83" s="94">
        <v>10.8</v>
      </c>
      <c r="L83" s="94">
        <v>5.4</v>
      </c>
      <c r="M83" s="129">
        <v>20.400000000000002</v>
      </c>
      <c r="N83" s="102">
        <f t="shared" si="2"/>
        <v>12.200000000000003</v>
      </c>
      <c r="O83" s="97">
        <v>0</v>
      </c>
      <c r="P83" s="92">
        <v>0</v>
      </c>
      <c r="Q83" s="98">
        <f t="shared" si="3"/>
        <v>0</v>
      </c>
      <c r="R83" s="102" t="str">
        <f>+IF(Q83+N83&lt;=0, "NO COMPRADOR", +IF(Q83&lt;=0, "SIN COMPRA "&amp;+UPPER(TEXT('DINAMICA ENERO 26'!$C$2,"mmm 'yy")), "COMPRADOR"))</f>
        <v>SIN COMPRA FEB '26</v>
      </c>
      <c r="S83" s="100"/>
      <c r="T83" s="101"/>
      <c r="U83" s="100"/>
      <c r="X83" s="101"/>
      <c r="Y83" s="100"/>
    </row>
    <row r="84" spans="1:25" s="100" customFormat="1" ht="14">
      <c r="A84" s="88" t="s">
        <v>85</v>
      </c>
      <c r="B84" s="89" t="s">
        <v>157</v>
      </c>
      <c r="C84" s="89" t="s">
        <v>52</v>
      </c>
      <c r="D84" s="103">
        <v>100079674</v>
      </c>
      <c r="E84" s="89" t="s">
        <v>57</v>
      </c>
      <c r="F84" s="89">
        <v>100072236</v>
      </c>
      <c r="G84" s="128" t="s">
        <v>173</v>
      </c>
      <c r="H84" s="94">
        <v>36.6</v>
      </c>
      <c r="I84" s="94">
        <v>25.800000000000004</v>
      </c>
      <c r="J84" s="94">
        <v>27.000000000000004</v>
      </c>
      <c r="K84" s="94">
        <v>20.400000000000002</v>
      </c>
      <c r="L84" s="94">
        <v>20.400000000000002</v>
      </c>
      <c r="M84" s="129">
        <v>20.400000000000002</v>
      </c>
      <c r="N84" s="102">
        <f t="shared" si="2"/>
        <v>20.400000000000002</v>
      </c>
      <c r="O84" s="97">
        <v>10.8</v>
      </c>
      <c r="P84" s="92">
        <v>0</v>
      </c>
      <c r="Q84" s="98">
        <f t="shared" si="3"/>
        <v>10.8</v>
      </c>
      <c r="R84" s="102" t="str">
        <f>+IF(Q84+N84&lt;=0, "NO COMPRADOR", +IF(Q84&lt;=0, "SIN COMPRA "&amp;+UPPER(TEXT('DINAMICA ENERO 26'!$C$2,"mmm 'yy")), "COMPRADOR"))</f>
        <v>COMPRADOR</v>
      </c>
      <c r="T84" s="101"/>
      <c r="X84" s="101"/>
    </row>
    <row r="85" spans="1:25" s="100" customFormat="1" ht="14">
      <c r="A85" s="88" t="s">
        <v>85</v>
      </c>
      <c r="B85" s="89" t="s">
        <v>157</v>
      </c>
      <c r="C85" s="89" t="s">
        <v>52</v>
      </c>
      <c r="D85" s="103">
        <v>100079674</v>
      </c>
      <c r="E85" s="89" t="s">
        <v>57</v>
      </c>
      <c r="F85" s="89">
        <v>100087960</v>
      </c>
      <c r="G85" s="128" t="s">
        <v>174</v>
      </c>
      <c r="H85" s="94">
        <v>0</v>
      </c>
      <c r="I85" s="94">
        <v>0</v>
      </c>
      <c r="J85" s="94">
        <v>0</v>
      </c>
      <c r="K85" s="94">
        <v>5.4</v>
      </c>
      <c r="L85" s="94">
        <v>0</v>
      </c>
      <c r="M85" s="129">
        <v>0</v>
      </c>
      <c r="N85" s="102">
        <f t="shared" si="2"/>
        <v>1.8</v>
      </c>
      <c r="O85" s="97">
        <v>0</v>
      </c>
      <c r="P85" s="92">
        <v>0</v>
      </c>
      <c r="Q85" s="98">
        <f t="shared" si="3"/>
        <v>0</v>
      </c>
      <c r="R85" s="102" t="str">
        <f>+IF(Q85+N85&lt;=0, "NO COMPRADOR", +IF(Q85&lt;=0, "SIN COMPRA "&amp;+UPPER(TEXT('DINAMICA ENERO 26'!$C$2,"mmm 'yy")), "COMPRADOR"))</f>
        <v>SIN COMPRA FEB '26</v>
      </c>
      <c r="T85" s="101"/>
      <c r="X85" s="101"/>
    </row>
    <row r="86" spans="1:25" s="104" customFormat="1" ht="14">
      <c r="A86" s="88" t="s">
        <v>85</v>
      </c>
      <c r="B86" s="89" t="s">
        <v>157</v>
      </c>
      <c r="C86" s="89" t="s">
        <v>52</v>
      </c>
      <c r="D86" s="103">
        <v>100079674</v>
      </c>
      <c r="E86" s="89" t="s">
        <v>57</v>
      </c>
      <c r="F86" s="89">
        <v>100080270</v>
      </c>
      <c r="G86" s="128" t="s">
        <v>175</v>
      </c>
      <c r="H86" s="94">
        <v>15</v>
      </c>
      <c r="I86" s="94">
        <v>15.600000000000001</v>
      </c>
      <c r="J86" s="94">
        <v>47.399999999999991</v>
      </c>
      <c r="K86" s="94">
        <v>40.799999999999997</v>
      </c>
      <c r="L86" s="94">
        <v>19.8</v>
      </c>
      <c r="M86" s="129">
        <v>21.000000000000004</v>
      </c>
      <c r="N86" s="102">
        <f t="shared" si="2"/>
        <v>27.2</v>
      </c>
      <c r="O86" s="97">
        <v>42.000000000000007</v>
      </c>
      <c r="P86" s="92">
        <v>0</v>
      </c>
      <c r="Q86" s="98">
        <f t="shared" si="3"/>
        <v>42.000000000000007</v>
      </c>
      <c r="R86" s="102" t="str">
        <f>+IF(Q86+N86&lt;=0, "NO COMPRADOR", +IF(Q86&lt;=0, "SIN COMPRA "&amp;+UPPER(TEXT('DINAMICA ENERO 26'!$C$2,"mmm 'yy")), "COMPRADOR"))</f>
        <v>COMPRADOR</v>
      </c>
      <c r="S86" s="100"/>
      <c r="T86" s="101"/>
      <c r="U86" s="100"/>
      <c r="X86" s="101"/>
      <c r="Y86" s="100"/>
    </row>
    <row r="87" spans="1:25" ht="14">
      <c r="A87" s="88" t="s">
        <v>85</v>
      </c>
      <c r="B87" s="89" t="s">
        <v>157</v>
      </c>
      <c r="C87" s="89" t="s">
        <v>52</v>
      </c>
      <c r="D87" s="103">
        <v>100079674</v>
      </c>
      <c r="E87" s="89" t="s">
        <v>57</v>
      </c>
      <c r="F87" s="89">
        <v>100073740</v>
      </c>
      <c r="G87" s="128" t="s">
        <v>176</v>
      </c>
      <c r="H87" s="94">
        <v>46.800000000000004</v>
      </c>
      <c r="I87" s="94">
        <v>4.8</v>
      </c>
      <c r="J87" s="94">
        <v>10.199999999999999</v>
      </c>
      <c r="K87" s="94">
        <v>9.6</v>
      </c>
      <c r="L87" s="94">
        <v>5.4</v>
      </c>
      <c r="M87" s="129">
        <v>20.400000000000002</v>
      </c>
      <c r="N87" s="102">
        <f t="shared" si="2"/>
        <v>11.800000000000002</v>
      </c>
      <c r="O87" s="97">
        <v>10.199999999999999</v>
      </c>
      <c r="P87" s="92">
        <v>0</v>
      </c>
      <c r="Q87" s="98">
        <f t="shared" si="3"/>
        <v>10.199999999999999</v>
      </c>
      <c r="R87" s="102" t="str">
        <f>+IF(Q87+N87&lt;=0, "NO COMPRADOR", +IF(Q87&lt;=0, "SIN COMPRA "&amp;+UPPER(TEXT('DINAMICA ENERO 26'!$C$2,"mmm 'yy")), "COMPRADOR"))</f>
        <v>COMPRADOR</v>
      </c>
      <c r="S87" s="100"/>
      <c r="T87" s="101"/>
      <c r="U87" s="100"/>
      <c r="X87" s="101"/>
      <c r="Y87" s="100"/>
    </row>
    <row r="88" spans="1:25" s="100" customFormat="1" ht="14">
      <c r="A88" s="88" t="s">
        <v>85</v>
      </c>
      <c r="B88" s="89" t="s">
        <v>157</v>
      </c>
      <c r="C88" s="89" t="s">
        <v>52</v>
      </c>
      <c r="D88" s="103">
        <v>100079674</v>
      </c>
      <c r="E88" s="89" t="s">
        <v>57</v>
      </c>
      <c r="F88" s="89">
        <v>100073876</v>
      </c>
      <c r="G88" s="128" t="s">
        <v>177</v>
      </c>
      <c r="H88" s="94">
        <v>20.400000000000002</v>
      </c>
      <c r="I88" s="94">
        <v>20.400000000000002</v>
      </c>
      <c r="J88" s="94">
        <v>10.199999999999999</v>
      </c>
      <c r="K88" s="94">
        <v>0</v>
      </c>
      <c r="L88" s="94">
        <v>0</v>
      </c>
      <c r="M88" s="129">
        <v>5.4</v>
      </c>
      <c r="N88" s="102">
        <f t="shared" si="2"/>
        <v>1.8</v>
      </c>
      <c r="O88" s="97">
        <v>5.4</v>
      </c>
      <c r="P88" s="92">
        <v>0</v>
      </c>
      <c r="Q88" s="98">
        <f t="shared" si="3"/>
        <v>5.4</v>
      </c>
      <c r="R88" s="102" t="str">
        <f>+IF(Q88+N88&lt;=0, "NO COMPRADOR", +IF(Q88&lt;=0, "SIN COMPRA "&amp;+UPPER(TEXT('DINAMICA ENERO 26'!$C$2,"mmm 'yy")), "COMPRADOR"))</f>
        <v>COMPRADOR</v>
      </c>
      <c r="T88" s="101"/>
      <c r="X88" s="101"/>
    </row>
    <row r="89" spans="1:25" s="100" customFormat="1" ht="14">
      <c r="A89" s="88" t="s">
        <v>85</v>
      </c>
      <c r="B89" s="89" t="s">
        <v>157</v>
      </c>
      <c r="C89" s="89" t="s">
        <v>52</v>
      </c>
      <c r="D89" s="103">
        <v>100079674</v>
      </c>
      <c r="E89" s="89" t="s">
        <v>57</v>
      </c>
      <c r="F89" s="89">
        <v>100077196</v>
      </c>
      <c r="G89" s="128" t="s">
        <v>178</v>
      </c>
      <c r="H89" s="94">
        <v>10.199999999999999</v>
      </c>
      <c r="I89" s="94">
        <v>5.4</v>
      </c>
      <c r="J89" s="94">
        <v>0</v>
      </c>
      <c r="K89" s="94">
        <v>5.4</v>
      </c>
      <c r="L89" s="94">
        <v>5.4</v>
      </c>
      <c r="M89" s="129">
        <v>4.8</v>
      </c>
      <c r="N89" s="102">
        <f t="shared" si="2"/>
        <v>5.2</v>
      </c>
      <c r="O89" s="97">
        <v>5.4</v>
      </c>
      <c r="P89" s="92">
        <v>0</v>
      </c>
      <c r="Q89" s="98">
        <f t="shared" si="3"/>
        <v>5.4</v>
      </c>
      <c r="R89" s="102" t="str">
        <f>+IF(Q89+N89&lt;=0, "NO COMPRADOR", +IF(Q89&lt;=0, "SIN COMPRA "&amp;+UPPER(TEXT('DINAMICA ENERO 26'!$C$2,"mmm 'yy")), "COMPRADOR"))</f>
        <v>COMPRADOR</v>
      </c>
      <c r="T89" s="101"/>
      <c r="X89" s="101"/>
    </row>
    <row r="90" spans="1:25" s="104" customFormat="1" ht="14">
      <c r="A90" s="88" t="s">
        <v>85</v>
      </c>
      <c r="B90" s="89" t="s">
        <v>157</v>
      </c>
      <c r="C90" s="89" t="s">
        <v>52</v>
      </c>
      <c r="D90" s="103">
        <v>100079674</v>
      </c>
      <c r="E90" s="89" t="s">
        <v>57</v>
      </c>
      <c r="F90" s="89">
        <v>100063753</v>
      </c>
      <c r="G90" s="128" t="s">
        <v>179</v>
      </c>
      <c r="H90" s="94">
        <v>25.200000000000003</v>
      </c>
      <c r="I90" s="94">
        <v>20.400000000000002</v>
      </c>
      <c r="J90" s="94">
        <v>20.400000000000002</v>
      </c>
      <c r="K90" s="94">
        <v>20.400000000000002</v>
      </c>
      <c r="L90" s="94">
        <v>20.400000000000002</v>
      </c>
      <c r="M90" s="129">
        <v>10.199999999999999</v>
      </c>
      <c r="N90" s="102">
        <f t="shared" si="2"/>
        <v>17</v>
      </c>
      <c r="O90" s="97">
        <v>5.4</v>
      </c>
      <c r="P90" s="92">
        <v>0</v>
      </c>
      <c r="Q90" s="98">
        <f t="shared" si="3"/>
        <v>5.4</v>
      </c>
      <c r="R90" s="102" t="str">
        <f>+IF(Q90+N90&lt;=0, "NO COMPRADOR", +IF(Q90&lt;=0, "SIN COMPRA "&amp;+UPPER(TEXT('DINAMICA ENERO 26'!$C$2,"mmm 'yy")), "COMPRADOR"))</f>
        <v>COMPRADOR</v>
      </c>
      <c r="S90" s="100"/>
      <c r="T90" s="101"/>
      <c r="U90" s="100"/>
      <c r="X90" s="101"/>
      <c r="Y90" s="100"/>
    </row>
    <row r="91" spans="1:25" s="100" customFormat="1" ht="14">
      <c r="A91" s="88" t="s">
        <v>85</v>
      </c>
      <c r="B91" s="89" t="s">
        <v>157</v>
      </c>
      <c r="C91" s="89" t="s">
        <v>52</v>
      </c>
      <c r="D91" s="103">
        <v>100079674</v>
      </c>
      <c r="E91" s="89" t="s">
        <v>57</v>
      </c>
      <c r="F91" s="89">
        <v>100084198</v>
      </c>
      <c r="G91" s="128" t="s">
        <v>180</v>
      </c>
      <c r="H91" s="94">
        <v>10.199999999999999</v>
      </c>
      <c r="I91" s="94">
        <v>10.199999999999999</v>
      </c>
      <c r="J91" s="94">
        <v>10.199999999999999</v>
      </c>
      <c r="K91" s="94">
        <v>0</v>
      </c>
      <c r="L91" s="94">
        <v>0</v>
      </c>
      <c r="M91" s="129">
        <v>4.8</v>
      </c>
      <c r="N91" s="102">
        <f t="shared" si="2"/>
        <v>1.5999999999999999</v>
      </c>
      <c r="O91" s="97">
        <v>-4.8</v>
      </c>
      <c r="P91" s="92">
        <v>0</v>
      </c>
      <c r="Q91" s="98">
        <f t="shared" si="3"/>
        <v>-4.8</v>
      </c>
      <c r="R91" s="102" t="str">
        <f>+IF(Q91+N91&lt;=0, "NO COMPRADOR", +IF(Q91&lt;=0, "SIN COMPRA "&amp;+UPPER(TEXT('DINAMICA ENERO 26'!$C$2,"mmm 'yy")), "COMPRADOR"))</f>
        <v>NO COMPRADOR</v>
      </c>
      <c r="T91" s="101"/>
      <c r="X91" s="101"/>
    </row>
    <row r="92" spans="1:25" s="100" customFormat="1" ht="14">
      <c r="A92" s="88" t="s">
        <v>85</v>
      </c>
      <c r="B92" s="89" t="s">
        <v>157</v>
      </c>
      <c r="C92" s="89" t="s">
        <v>52</v>
      </c>
      <c r="D92" s="103">
        <v>100079674</v>
      </c>
      <c r="E92" s="89" t="s">
        <v>57</v>
      </c>
      <c r="F92" s="89">
        <v>100084321</v>
      </c>
      <c r="G92" s="128" t="s">
        <v>181</v>
      </c>
      <c r="H92" s="94">
        <v>10.199999999999999</v>
      </c>
      <c r="I92" s="94">
        <v>20.399999999999999</v>
      </c>
      <c r="J92" s="94">
        <v>0</v>
      </c>
      <c r="K92" s="94">
        <v>10.199999999999999</v>
      </c>
      <c r="L92" s="94">
        <v>5.4</v>
      </c>
      <c r="M92" s="129">
        <v>0</v>
      </c>
      <c r="N92" s="102">
        <f t="shared" si="2"/>
        <v>5.2</v>
      </c>
      <c r="O92" s="97">
        <v>0</v>
      </c>
      <c r="P92" s="92">
        <v>0</v>
      </c>
      <c r="Q92" s="98">
        <f t="shared" si="3"/>
        <v>0</v>
      </c>
      <c r="R92" s="102" t="str">
        <f>+IF(Q92+N92&lt;=0, "NO COMPRADOR", +IF(Q92&lt;=0, "SIN COMPRA "&amp;+UPPER(TEXT('DINAMICA ENERO 26'!$C$2,"mmm 'yy")), "COMPRADOR"))</f>
        <v>SIN COMPRA FEB '26</v>
      </c>
      <c r="T92" s="101"/>
      <c r="X92" s="101"/>
    </row>
    <row r="93" spans="1:25" s="104" customFormat="1" ht="14">
      <c r="A93" s="88" t="s">
        <v>85</v>
      </c>
      <c r="B93" s="89" t="s">
        <v>157</v>
      </c>
      <c r="C93" s="89" t="s">
        <v>52</v>
      </c>
      <c r="D93" s="103">
        <v>100079674</v>
      </c>
      <c r="E93" s="89" t="s">
        <v>57</v>
      </c>
      <c r="F93" s="89">
        <v>100088056</v>
      </c>
      <c r="G93" s="128" t="s">
        <v>182</v>
      </c>
      <c r="H93" s="94">
        <v>10.199999999999999</v>
      </c>
      <c r="I93" s="94">
        <v>5.4</v>
      </c>
      <c r="J93" s="94">
        <v>10.199999999999999</v>
      </c>
      <c r="K93" s="94">
        <v>10.199999999999999</v>
      </c>
      <c r="L93" s="94">
        <v>10.199999999999999</v>
      </c>
      <c r="M93" s="129">
        <v>0</v>
      </c>
      <c r="N93" s="102">
        <f t="shared" si="2"/>
        <v>6.8</v>
      </c>
      <c r="O93" s="97">
        <v>9.6</v>
      </c>
      <c r="P93" s="92">
        <v>0</v>
      </c>
      <c r="Q93" s="98">
        <f t="shared" si="3"/>
        <v>9.6</v>
      </c>
      <c r="R93" s="102" t="str">
        <f>+IF(Q93+N93&lt;=0, "NO COMPRADOR", +IF(Q93&lt;=0, "SIN COMPRA "&amp;+UPPER(TEXT('DINAMICA ENERO 26'!$C$2,"mmm 'yy")), "COMPRADOR"))</f>
        <v>COMPRADOR</v>
      </c>
      <c r="S93" s="100"/>
      <c r="T93" s="101"/>
      <c r="U93" s="100"/>
      <c r="X93" s="101"/>
      <c r="Y93" s="100"/>
    </row>
    <row r="94" spans="1:25" s="100" customFormat="1" ht="14">
      <c r="A94" s="88" t="s">
        <v>85</v>
      </c>
      <c r="B94" s="89" t="s">
        <v>157</v>
      </c>
      <c r="C94" s="89" t="s">
        <v>52</v>
      </c>
      <c r="D94" s="103">
        <v>100079674</v>
      </c>
      <c r="E94" s="89" t="s">
        <v>57</v>
      </c>
      <c r="F94" s="89">
        <v>100089829</v>
      </c>
      <c r="G94" s="128" t="s">
        <v>183</v>
      </c>
      <c r="H94" s="94">
        <v>0</v>
      </c>
      <c r="I94" s="94">
        <v>96.6</v>
      </c>
      <c r="J94" s="94">
        <v>167.4</v>
      </c>
      <c r="K94" s="94">
        <v>41.999999999999993</v>
      </c>
      <c r="L94" s="94">
        <v>91.799999999999983</v>
      </c>
      <c r="M94" s="129">
        <v>57</v>
      </c>
      <c r="N94" s="102">
        <f t="shared" si="2"/>
        <v>63.599999999999994</v>
      </c>
      <c r="O94" s="97">
        <v>0</v>
      </c>
      <c r="P94" s="92">
        <v>61.199999999999996</v>
      </c>
      <c r="Q94" s="98">
        <f t="shared" si="3"/>
        <v>61.199999999999996</v>
      </c>
      <c r="R94" s="102" t="str">
        <f>+IF(Q94+N94&lt;=0, "NO COMPRADOR", +IF(Q94&lt;=0, "SIN COMPRA "&amp;+UPPER(TEXT('DINAMICA ENERO 26'!$C$2,"mmm 'yy")), "COMPRADOR"))</f>
        <v>COMPRADOR</v>
      </c>
      <c r="T94" s="101"/>
      <c r="X94" s="101"/>
    </row>
    <row r="95" spans="1:25" s="100" customFormat="1" ht="14">
      <c r="A95" s="88" t="s">
        <v>85</v>
      </c>
      <c r="B95" s="89" t="s">
        <v>157</v>
      </c>
      <c r="C95" s="89" t="s">
        <v>52</v>
      </c>
      <c r="D95" s="103">
        <v>100066856</v>
      </c>
      <c r="E95" s="89" t="s">
        <v>54</v>
      </c>
      <c r="F95" s="89">
        <v>100080175</v>
      </c>
      <c r="G95" s="128" t="s">
        <v>184</v>
      </c>
      <c r="H95" s="94">
        <v>10.199999999999999</v>
      </c>
      <c r="I95" s="94">
        <v>0</v>
      </c>
      <c r="J95" s="94">
        <v>0</v>
      </c>
      <c r="K95" s="94">
        <v>0</v>
      </c>
      <c r="L95" s="94">
        <v>0</v>
      </c>
      <c r="M95" s="129">
        <v>0</v>
      </c>
      <c r="N95" s="102">
        <f t="shared" si="2"/>
        <v>0</v>
      </c>
      <c r="O95" s="97">
        <v>0</v>
      </c>
      <c r="P95" s="92">
        <v>0</v>
      </c>
      <c r="Q95" s="98">
        <f t="shared" si="3"/>
        <v>0</v>
      </c>
      <c r="R95" s="102" t="str">
        <f>+IF(Q95+N95&lt;=0, "NO COMPRADOR", +IF(Q95&lt;=0, "SIN COMPRA "&amp;+UPPER(TEXT('DINAMICA ENERO 26'!$C$2,"mmm 'yy")), "COMPRADOR"))</f>
        <v>NO COMPRADOR</v>
      </c>
      <c r="T95" s="101"/>
      <c r="X95" s="101"/>
    </row>
    <row r="96" spans="1:25" s="100" customFormat="1" ht="14">
      <c r="A96" s="88" t="s">
        <v>85</v>
      </c>
      <c r="B96" s="89" t="s">
        <v>157</v>
      </c>
      <c r="C96" s="89" t="s">
        <v>52</v>
      </c>
      <c r="D96" s="103">
        <v>100066856</v>
      </c>
      <c r="E96" s="89" t="s">
        <v>54</v>
      </c>
      <c r="F96" s="89">
        <v>100086921</v>
      </c>
      <c r="G96" s="128" t="s">
        <v>185</v>
      </c>
      <c r="H96" s="94">
        <v>30</v>
      </c>
      <c r="I96" s="94">
        <v>5.4</v>
      </c>
      <c r="J96" s="94">
        <v>0</v>
      </c>
      <c r="K96" s="94">
        <v>0</v>
      </c>
      <c r="L96" s="94">
        <v>0</v>
      </c>
      <c r="M96" s="129">
        <v>0</v>
      </c>
      <c r="N96" s="102">
        <f t="shared" si="2"/>
        <v>0</v>
      </c>
      <c r="O96" s="97">
        <v>0</v>
      </c>
      <c r="P96" s="92">
        <v>0</v>
      </c>
      <c r="Q96" s="98">
        <f t="shared" si="3"/>
        <v>0</v>
      </c>
      <c r="R96" s="102" t="str">
        <f>+IF(Q96+N96&lt;=0, "NO COMPRADOR", +IF(Q96&lt;=0, "SIN COMPRA "&amp;+UPPER(TEXT('DINAMICA ENERO 26'!$C$2,"mmm 'yy")), "COMPRADOR"))</f>
        <v>NO COMPRADOR</v>
      </c>
      <c r="T96" s="101"/>
      <c r="X96" s="101"/>
    </row>
    <row r="97" spans="1:25" s="100" customFormat="1" ht="14">
      <c r="A97" s="88" t="s">
        <v>85</v>
      </c>
      <c r="B97" s="89" t="s">
        <v>157</v>
      </c>
      <c r="C97" s="89" t="s">
        <v>52</v>
      </c>
      <c r="D97" s="103">
        <v>100066856</v>
      </c>
      <c r="E97" s="89" t="s">
        <v>54</v>
      </c>
      <c r="F97" s="89">
        <v>100063903</v>
      </c>
      <c r="G97" s="128" t="s">
        <v>186</v>
      </c>
      <c r="H97" s="94">
        <v>15.600000000000001</v>
      </c>
      <c r="I97" s="94">
        <v>5.4</v>
      </c>
      <c r="J97" s="94">
        <v>-5.4</v>
      </c>
      <c r="K97" s="94">
        <v>10.199999999999999</v>
      </c>
      <c r="L97" s="94">
        <v>0</v>
      </c>
      <c r="M97" s="129">
        <v>0</v>
      </c>
      <c r="N97" s="102">
        <f t="shared" si="2"/>
        <v>3.4</v>
      </c>
      <c r="O97" s="97">
        <v>0</v>
      </c>
      <c r="P97" s="92">
        <v>0</v>
      </c>
      <c r="Q97" s="98">
        <f t="shared" si="3"/>
        <v>0</v>
      </c>
      <c r="R97" s="102" t="str">
        <f>+IF(Q97+N97&lt;=0, "NO COMPRADOR", +IF(Q97&lt;=0, "SIN COMPRA "&amp;+UPPER(TEXT('DINAMICA ENERO 26'!$C$2,"mmm 'yy")), "COMPRADOR"))</f>
        <v>SIN COMPRA FEB '26</v>
      </c>
      <c r="T97" s="101"/>
      <c r="X97" s="101"/>
    </row>
    <row r="98" spans="1:25" s="104" customFormat="1" ht="14">
      <c r="A98" s="88" t="s">
        <v>85</v>
      </c>
      <c r="B98" s="89" t="s">
        <v>157</v>
      </c>
      <c r="C98" s="89" t="s">
        <v>52</v>
      </c>
      <c r="D98" s="103">
        <v>100066856</v>
      </c>
      <c r="E98" s="89" t="s">
        <v>54</v>
      </c>
      <c r="F98" s="89">
        <v>100081047</v>
      </c>
      <c r="G98" s="128" t="s">
        <v>187</v>
      </c>
      <c r="H98" s="94">
        <v>10.199999999999999</v>
      </c>
      <c r="I98" s="94">
        <v>0</v>
      </c>
      <c r="J98" s="94">
        <v>10.8</v>
      </c>
      <c r="K98" s="94">
        <v>0</v>
      </c>
      <c r="L98" s="94">
        <v>0</v>
      </c>
      <c r="M98" s="129">
        <v>10.199999999999999</v>
      </c>
      <c r="N98" s="102">
        <f t="shared" si="2"/>
        <v>3.4</v>
      </c>
      <c r="O98" s="97">
        <v>0</v>
      </c>
      <c r="P98" s="92">
        <v>0</v>
      </c>
      <c r="Q98" s="98">
        <f t="shared" si="3"/>
        <v>0</v>
      </c>
      <c r="R98" s="102" t="str">
        <f>+IF(Q98+N98&lt;=0, "NO COMPRADOR", +IF(Q98&lt;=0, "SIN COMPRA "&amp;+UPPER(TEXT('DINAMICA ENERO 26'!$C$2,"mmm 'yy")), "COMPRADOR"))</f>
        <v>SIN COMPRA FEB '26</v>
      </c>
      <c r="S98" s="100"/>
      <c r="T98" s="101"/>
      <c r="U98" s="100"/>
      <c r="X98" s="101"/>
      <c r="Y98" s="100"/>
    </row>
    <row r="99" spans="1:25" s="100" customFormat="1" ht="14">
      <c r="A99" s="88" t="s">
        <v>85</v>
      </c>
      <c r="B99" s="89" t="s">
        <v>157</v>
      </c>
      <c r="C99" s="89" t="s">
        <v>52</v>
      </c>
      <c r="D99" s="103">
        <v>100066856</v>
      </c>
      <c r="E99" s="89" t="s">
        <v>54</v>
      </c>
      <c r="F99" s="89">
        <v>100081503</v>
      </c>
      <c r="G99" s="128" t="s">
        <v>188</v>
      </c>
      <c r="H99" s="94">
        <v>5.4</v>
      </c>
      <c r="I99" s="94">
        <v>-5.4</v>
      </c>
      <c r="J99" s="94">
        <v>0</v>
      </c>
      <c r="K99" s="94">
        <v>0</v>
      </c>
      <c r="L99" s="94">
        <v>0</v>
      </c>
      <c r="M99" s="129">
        <v>0</v>
      </c>
      <c r="N99" s="102">
        <f t="shared" si="2"/>
        <v>0</v>
      </c>
      <c r="O99" s="97">
        <v>0</v>
      </c>
      <c r="P99" s="92">
        <v>0</v>
      </c>
      <c r="Q99" s="98">
        <f t="shared" si="3"/>
        <v>0</v>
      </c>
      <c r="R99" s="102" t="str">
        <f>+IF(Q99+N99&lt;=0, "NO COMPRADOR", +IF(Q99&lt;=0, "SIN COMPRA "&amp;+UPPER(TEXT('DINAMICA ENERO 26'!$C$2,"mmm 'yy")), "COMPRADOR"))</f>
        <v>NO COMPRADOR</v>
      </c>
      <c r="T99" s="101"/>
      <c r="X99" s="101"/>
    </row>
    <row r="100" spans="1:25" s="104" customFormat="1" ht="14">
      <c r="A100" s="88" t="s">
        <v>85</v>
      </c>
      <c r="B100" s="89" t="s">
        <v>157</v>
      </c>
      <c r="C100" s="89" t="s">
        <v>52</v>
      </c>
      <c r="D100" s="103">
        <v>100066856</v>
      </c>
      <c r="E100" s="89" t="s">
        <v>54</v>
      </c>
      <c r="F100" s="89">
        <v>100087607</v>
      </c>
      <c r="G100" s="128" t="s">
        <v>189</v>
      </c>
      <c r="H100" s="94">
        <v>35.4</v>
      </c>
      <c r="I100" s="94">
        <v>195.6</v>
      </c>
      <c r="J100" s="94">
        <v>0</v>
      </c>
      <c r="K100" s="94">
        <v>63.599999999999994</v>
      </c>
      <c r="L100" s="94">
        <v>9.6</v>
      </c>
      <c r="M100" s="129">
        <v>16.200000000000003</v>
      </c>
      <c r="N100" s="102">
        <f t="shared" si="2"/>
        <v>29.799999999999997</v>
      </c>
      <c r="O100" s="97">
        <v>16.200000000000003</v>
      </c>
      <c r="P100" s="92">
        <v>0</v>
      </c>
      <c r="Q100" s="98">
        <f t="shared" si="3"/>
        <v>16.200000000000003</v>
      </c>
      <c r="R100" s="102" t="str">
        <f>+IF(Q100+N100&lt;=0, "NO COMPRADOR", +IF(Q100&lt;=0, "SIN COMPRA "&amp;+UPPER(TEXT('DINAMICA ENERO 26'!$C$2,"mmm 'yy")), "COMPRADOR"))</f>
        <v>COMPRADOR</v>
      </c>
      <c r="S100" s="100"/>
      <c r="T100" s="101"/>
      <c r="U100" s="100"/>
      <c r="X100" s="101"/>
      <c r="Y100" s="100"/>
    </row>
    <row r="101" spans="1:25" s="104" customFormat="1" ht="14">
      <c r="A101" s="88" t="s">
        <v>85</v>
      </c>
      <c r="B101" s="89" t="s">
        <v>157</v>
      </c>
      <c r="C101" s="89" t="s">
        <v>52</v>
      </c>
      <c r="D101" s="103">
        <v>100066856</v>
      </c>
      <c r="E101" s="89" t="s">
        <v>54</v>
      </c>
      <c r="F101" s="89">
        <v>100088062</v>
      </c>
      <c r="G101" s="128" t="s">
        <v>190</v>
      </c>
      <c r="H101" s="94">
        <v>82.8</v>
      </c>
      <c r="I101" s="94">
        <v>1.8000000000000043</v>
      </c>
      <c r="J101" s="94">
        <v>0</v>
      </c>
      <c r="K101" s="94">
        <v>20.400000000000002</v>
      </c>
      <c r="L101" s="94">
        <v>-10.199999999999999</v>
      </c>
      <c r="M101" s="129">
        <v>20.400000000000002</v>
      </c>
      <c r="N101" s="102">
        <f t="shared" si="2"/>
        <v>10.200000000000001</v>
      </c>
      <c r="O101" s="97">
        <v>-20.400000000000002</v>
      </c>
      <c r="P101" s="92">
        <v>0</v>
      </c>
      <c r="Q101" s="98">
        <f t="shared" si="3"/>
        <v>-20.400000000000002</v>
      </c>
      <c r="R101" s="102" t="str">
        <f>+IF(Q101+N101&lt;=0, "NO COMPRADOR", +IF(Q101&lt;=0, "SIN COMPRA "&amp;+UPPER(TEXT('DINAMICA ENERO 26'!$C$2,"mmm 'yy")), "COMPRADOR"))</f>
        <v>NO COMPRADOR</v>
      </c>
      <c r="S101" s="100"/>
      <c r="T101" s="101"/>
      <c r="U101" s="100"/>
      <c r="X101" s="101"/>
      <c r="Y101" s="100"/>
    </row>
    <row r="102" spans="1:25" s="104" customFormat="1" ht="14">
      <c r="A102" s="88" t="s">
        <v>85</v>
      </c>
      <c r="B102" s="89" t="s">
        <v>157</v>
      </c>
      <c r="C102" s="89" t="s">
        <v>52</v>
      </c>
      <c r="D102" s="103">
        <v>100066856</v>
      </c>
      <c r="E102" s="89" t="s">
        <v>54</v>
      </c>
      <c r="F102" s="89">
        <v>100087789</v>
      </c>
      <c r="G102" s="128" t="s">
        <v>191</v>
      </c>
      <c r="H102" s="94">
        <v>0</v>
      </c>
      <c r="I102" s="94">
        <v>0</v>
      </c>
      <c r="J102" s="94">
        <v>0</v>
      </c>
      <c r="K102" s="94">
        <v>0</v>
      </c>
      <c r="L102" s="94">
        <v>0</v>
      </c>
      <c r="M102" s="129">
        <v>0</v>
      </c>
      <c r="N102" s="102">
        <f t="shared" si="2"/>
        <v>0</v>
      </c>
      <c r="O102" s="97">
        <v>0</v>
      </c>
      <c r="P102" s="92">
        <v>0</v>
      </c>
      <c r="Q102" s="98">
        <f t="shared" si="3"/>
        <v>0</v>
      </c>
      <c r="R102" s="102" t="str">
        <f>+IF(Q102+N102&lt;=0, "NO COMPRADOR", +IF(Q102&lt;=0, "SIN COMPRA "&amp;+UPPER(TEXT('DINAMICA ENERO 26'!$C$2,"mmm 'yy")), "COMPRADOR"))</f>
        <v>NO COMPRADOR</v>
      </c>
      <c r="S102" s="100"/>
      <c r="T102" s="101"/>
      <c r="U102" s="100"/>
      <c r="X102" s="101"/>
      <c r="Y102" s="100"/>
    </row>
    <row r="103" spans="1:25" s="104" customFormat="1" ht="14">
      <c r="A103" s="88" t="s">
        <v>85</v>
      </c>
      <c r="B103" s="89" t="s">
        <v>157</v>
      </c>
      <c r="C103" s="89" t="s">
        <v>52</v>
      </c>
      <c r="D103" s="103">
        <v>100066856</v>
      </c>
      <c r="E103" s="89" t="s">
        <v>54</v>
      </c>
      <c r="F103" s="89">
        <v>100016352</v>
      </c>
      <c r="G103" s="128" t="s">
        <v>192</v>
      </c>
      <c r="H103" s="94">
        <v>0</v>
      </c>
      <c r="I103" s="94">
        <v>0</v>
      </c>
      <c r="J103" s="94">
        <v>0</v>
      </c>
      <c r="K103" s="94">
        <v>5.4</v>
      </c>
      <c r="L103" s="94">
        <v>0</v>
      </c>
      <c r="M103" s="129">
        <v>0</v>
      </c>
      <c r="N103" s="102">
        <f t="shared" si="2"/>
        <v>1.8</v>
      </c>
      <c r="O103" s="97">
        <v>0</v>
      </c>
      <c r="P103" s="92">
        <v>0</v>
      </c>
      <c r="Q103" s="98">
        <f t="shared" si="3"/>
        <v>0</v>
      </c>
      <c r="R103" s="102" t="str">
        <f>+IF(Q103+N103&lt;=0, "NO COMPRADOR", +IF(Q103&lt;=0, "SIN COMPRA "&amp;+UPPER(TEXT('DINAMICA ENERO 26'!$C$2,"mmm 'yy")), "COMPRADOR"))</f>
        <v>SIN COMPRA FEB '26</v>
      </c>
      <c r="S103" s="100"/>
      <c r="T103" s="101"/>
      <c r="U103" s="100"/>
      <c r="X103" s="101"/>
      <c r="Y103" s="100"/>
    </row>
    <row r="104" spans="1:25" s="100" customFormat="1" ht="14">
      <c r="A104" s="88" t="s">
        <v>85</v>
      </c>
      <c r="B104" s="89" t="s">
        <v>157</v>
      </c>
      <c r="C104" s="89" t="s">
        <v>52</v>
      </c>
      <c r="D104" s="103">
        <v>100066856</v>
      </c>
      <c r="E104" s="89" t="s">
        <v>54</v>
      </c>
      <c r="F104" s="89">
        <v>100083764</v>
      </c>
      <c r="G104" s="128" t="s">
        <v>193</v>
      </c>
      <c r="H104" s="94">
        <v>30</v>
      </c>
      <c r="I104" s="94">
        <v>20.400000000000002</v>
      </c>
      <c r="J104" s="94">
        <v>20.399999999999999</v>
      </c>
      <c r="K104" s="94">
        <v>20.400000000000002</v>
      </c>
      <c r="L104" s="94">
        <v>0</v>
      </c>
      <c r="M104" s="129">
        <v>10.199999999999999</v>
      </c>
      <c r="N104" s="102">
        <f t="shared" si="2"/>
        <v>10.200000000000001</v>
      </c>
      <c r="O104" s="97">
        <v>5.4</v>
      </c>
      <c r="P104" s="92">
        <v>0</v>
      </c>
      <c r="Q104" s="98">
        <f t="shared" si="3"/>
        <v>5.4</v>
      </c>
      <c r="R104" s="102" t="str">
        <f>+IF(Q104+N104&lt;=0, "NO COMPRADOR", +IF(Q104&lt;=0, "SIN COMPRA "&amp;+UPPER(TEXT('DINAMICA ENERO 26'!$C$2,"mmm 'yy")), "COMPRADOR"))</f>
        <v>COMPRADOR</v>
      </c>
      <c r="T104" s="101"/>
      <c r="X104" s="101"/>
    </row>
    <row r="105" spans="1:25" s="100" customFormat="1" ht="14">
      <c r="A105" s="88" t="s">
        <v>85</v>
      </c>
      <c r="B105" s="89" t="s">
        <v>157</v>
      </c>
      <c r="C105" s="89" t="s">
        <v>52</v>
      </c>
      <c r="D105" s="103">
        <v>100066856</v>
      </c>
      <c r="E105" s="89" t="s">
        <v>54</v>
      </c>
      <c r="F105" s="89">
        <v>100071616</v>
      </c>
      <c r="G105" s="128" t="s">
        <v>194</v>
      </c>
      <c r="H105" s="94">
        <v>71.400000000000006</v>
      </c>
      <c r="I105" s="94">
        <v>40.800000000000004</v>
      </c>
      <c r="J105" s="94">
        <v>88.200000000000017</v>
      </c>
      <c r="K105" s="94">
        <v>103.8</v>
      </c>
      <c r="L105" s="94">
        <v>48.6</v>
      </c>
      <c r="M105" s="129">
        <v>88.2</v>
      </c>
      <c r="N105" s="102">
        <f t="shared" si="2"/>
        <v>80.2</v>
      </c>
      <c r="O105" s="97">
        <v>37.800000000000004</v>
      </c>
      <c r="P105" s="92">
        <v>0</v>
      </c>
      <c r="Q105" s="98">
        <f t="shared" si="3"/>
        <v>37.800000000000004</v>
      </c>
      <c r="R105" s="102" t="str">
        <f>+IF(Q105+N105&lt;=0, "NO COMPRADOR", +IF(Q105&lt;=0, "SIN COMPRA "&amp;+UPPER(TEXT('DINAMICA ENERO 26'!$C$2,"mmm 'yy")), "COMPRADOR"))</f>
        <v>COMPRADOR</v>
      </c>
      <c r="T105" s="101"/>
      <c r="X105" s="101"/>
    </row>
    <row r="106" spans="1:25" s="100" customFormat="1" ht="14">
      <c r="A106" s="88" t="s">
        <v>85</v>
      </c>
      <c r="B106" s="89" t="s">
        <v>157</v>
      </c>
      <c r="C106" s="89" t="s">
        <v>52</v>
      </c>
      <c r="D106" s="103">
        <v>100066856</v>
      </c>
      <c r="E106" s="89" t="s">
        <v>54</v>
      </c>
      <c r="F106" s="89">
        <v>100011726</v>
      </c>
      <c r="G106" s="128" t="s">
        <v>195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129">
        <v>0</v>
      </c>
      <c r="N106" s="102">
        <f t="shared" si="2"/>
        <v>0</v>
      </c>
      <c r="O106" s="97">
        <v>0</v>
      </c>
      <c r="P106" s="92">
        <v>0</v>
      </c>
      <c r="Q106" s="98">
        <f t="shared" si="3"/>
        <v>0</v>
      </c>
      <c r="R106" s="102" t="str">
        <f>+IF(Q106+N106&lt;=0, "NO COMPRADOR", +IF(Q106&lt;=0, "SIN COMPRA "&amp;+UPPER(TEXT('DINAMICA ENERO 26'!$C$2,"mmm 'yy")), "COMPRADOR"))</f>
        <v>NO COMPRADOR</v>
      </c>
      <c r="T106" s="101"/>
      <c r="X106" s="101"/>
    </row>
    <row r="107" spans="1:25" s="100" customFormat="1" ht="14">
      <c r="A107" s="88" t="s">
        <v>85</v>
      </c>
      <c r="B107" s="89" t="s">
        <v>157</v>
      </c>
      <c r="C107" s="89" t="s">
        <v>52</v>
      </c>
      <c r="D107" s="103">
        <v>100066856</v>
      </c>
      <c r="E107" s="89" t="s">
        <v>54</v>
      </c>
      <c r="F107" s="89">
        <v>100077612</v>
      </c>
      <c r="G107" s="128" t="s">
        <v>196</v>
      </c>
      <c r="H107" s="94">
        <v>10.199999999999999</v>
      </c>
      <c r="I107" s="94">
        <v>0</v>
      </c>
      <c r="J107" s="94">
        <v>0</v>
      </c>
      <c r="K107" s="94">
        <v>10.199999999999999</v>
      </c>
      <c r="L107" s="94">
        <v>0</v>
      </c>
      <c r="M107" s="129">
        <v>0</v>
      </c>
      <c r="N107" s="102">
        <f t="shared" si="2"/>
        <v>3.4</v>
      </c>
      <c r="O107" s="97">
        <v>0</v>
      </c>
      <c r="P107" s="92">
        <v>0</v>
      </c>
      <c r="Q107" s="98">
        <f t="shared" si="3"/>
        <v>0</v>
      </c>
      <c r="R107" s="102" t="str">
        <f>+IF(Q107+N107&lt;=0, "NO COMPRADOR", +IF(Q107&lt;=0, "SIN COMPRA "&amp;+UPPER(TEXT('DINAMICA ENERO 26'!$C$2,"mmm 'yy")), "COMPRADOR"))</f>
        <v>SIN COMPRA FEB '26</v>
      </c>
      <c r="T107" s="101"/>
      <c r="X107" s="101"/>
    </row>
    <row r="108" spans="1:25" s="104" customFormat="1" ht="14">
      <c r="A108" s="88" t="s">
        <v>85</v>
      </c>
      <c r="B108" s="89" t="s">
        <v>157</v>
      </c>
      <c r="C108" s="89" t="s">
        <v>52</v>
      </c>
      <c r="D108" s="103">
        <v>100066856</v>
      </c>
      <c r="E108" s="89" t="s">
        <v>54</v>
      </c>
      <c r="F108" s="89">
        <v>100073860</v>
      </c>
      <c r="G108" s="128" t="s">
        <v>197</v>
      </c>
      <c r="H108" s="94">
        <v>21.000000000000004</v>
      </c>
      <c r="I108" s="94">
        <v>15.600000000000001</v>
      </c>
      <c r="J108" s="94">
        <v>9.6</v>
      </c>
      <c r="K108" s="94">
        <v>31.200000000000003</v>
      </c>
      <c r="L108" s="94">
        <v>16.200000000000003</v>
      </c>
      <c r="M108" s="129">
        <v>26.400000000000002</v>
      </c>
      <c r="N108" s="102">
        <f t="shared" si="2"/>
        <v>24.600000000000005</v>
      </c>
      <c r="O108" s="97">
        <v>57.6</v>
      </c>
      <c r="P108" s="92">
        <v>0</v>
      </c>
      <c r="Q108" s="98">
        <f t="shared" si="3"/>
        <v>57.6</v>
      </c>
      <c r="R108" s="102" t="str">
        <f>+IF(Q108+N108&lt;=0, "NO COMPRADOR", +IF(Q108&lt;=0, "SIN COMPRA "&amp;+UPPER(TEXT('DINAMICA ENERO 26'!$C$2,"mmm 'yy")), "COMPRADOR"))</f>
        <v>COMPRADOR</v>
      </c>
      <c r="S108" s="100"/>
      <c r="T108" s="101"/>
      <c r="U108" s="100"/>
      <c r="X108" s="101"/>
      <c r="Y108" s="100"/>
    </row>
    <row r="109" spans="1:25" s="100" customFormat="1" ht="14">
      <c r="A109" s="88" t="s">
        <v>85</v>
      </c>
      <c r="B109" s="89" t="s">
        <v>157</v>
      </c>
      <c r="C109" s="89" t="s">
        <v>52</v>
      </c>
      <c r="D109" s="103">
        <v>100066856</v>
      </c>
      <c r="E109" s="89" t="s">
        <v>54</v>
      </c>
      <c r="F109" s="89">
        <v>100002246</v>
      </c>
      <c r="G109" s="128" t="s">
        <v>198</v>
      </c>
      <c r="H109" s="94">
        <v>0</v>
      </c>
      <c r="I109" s="94">
        <v>0</v>
      </c>
      <c r="J109" s="94">
        <v>0</v>
      </c>
      <c r="K109" s="94">
        <v>0</v>
      </c>
      <c r="L109" s="94">
        <v>0</v>
      </c>
      <c r="M109" s="129">
        <v>0</v>
      </c>
      <c r="N109" s="102">
        <f t="shared" si="2"/>
        <v>0</v>
      </c>
      <c r="O109" s="97">
        <v>0</v>
      </c>
      <c r="P109" s="92">
        <v>0</v>
      </c>
      <c r="Q109" s="98">
        <f t="shared" si="3"/>
        <v>0</v>
      </c>
      <c r="R109" s="102" t="str">
        <f>+IF(Q109+N109&lt;=0, "NO COMPRADOR", +IF(Q109&lt;=0, "SIN COMPRA "&amp;+UPPER(TEXT('DINAMICA ENERO 26'!$C$2,"mmm 'yy")), "COMPRADOR"))</f>
        <v>NO COMPRADOR</v>
      </c>
      <c r="T109" s="101"/>
      <c r="X109" s="101"/>
    </row>
    <row r="110" spans="1:25" s="104" customFormat="1" ht="14">
      <c r="A110" s="88" t="s">
        <v>85</v>
      </c>
      <c r="B110" s="89" t="s">
        <v>157</v>
      </c>
      <c r="C110" s="89" t="s">
        <v>52</v>
      </c>
      <c r="D110" s="103">
        <v>100066856</v>
      </c>
      <c r="E110" s="89" t="s">
        <v>54</v>
      </c>
      <c r="F110" s="89">
        <v>100071232</v>
      </c>
      <c r="G110" s="128" t="s">
        <v>199</v>
      </c>
      <c r="H110" s="94">
        <v>10.199999999999999</v>
      </c>
      <c r="I110" s="94">
        <v>0</v>
      </c>
      <c r="J110" s="94">
        <v>0</v>
      </c>
      <c r="K110" s="94">
        <v>0</v>
      </c>
      <c r="L110" s="94">
        <v>0</v>
      </c>
      <c r="M110" s="129">
        <v>0</v>
      </c>
      <c r="N110" s="102">
        <f t="shared" si="2"/>
        <v>0</v>
      </c>
      <c r="O110" s="97">
        <v>0</v>
      </c>
      <c r="P110" s="92">
        <v>0</v>
      </c>
      <c r="Q110" s="98">
        <f t="shared" si="3"/>
        <v>0</v>
      </c>
      <c r="R110" s="102" t="str">
        <f>+IF(Q110+N110&lt;=0, "NO COMPRADOR", +IF(Q110&lt;=0, "SIN COMPRA "&amp;+UPPER(TEXT('DINAMICA ENERO 26'!$C$2,"mmm 'yy")), "COMPRADOR"))</f>
        <v>NO COMPRADOR</v>
      </c>
      <c r="S110" s="100"/>
      <c r="T110" s="101"/>
      <c r="U110" s="100"/>
      <c r="X110" s="101"/>
      <c r="Y110" s="100"/>
    </row>
    <row r="111" spans="1:25" s="104" customFormat="1" ht="14">
      <c r="A111" s="88" t="s">
        <v>85</v>
      </c>
      <c r="B111" s="89" t="s">
        <v>157</v>
      </c>
      <c r="C111" s="89" t="s">
        <v>52</v>
      </c>
      <c r="D111" s="103">
        <v>100066856</v>
      </c>
      <c r="E111" s="89" t="s">
        <v>54</v>
      </c>
      <c r="F111" s="89">
        <v>100076868</v>
      </c>
      <c r="G111" s="128" t="s">
        <v>200</v>
      </c>
      <c r="H111" s="94">
        <v>20.400000000000002</v>
      </c>
      <c r="I111" s="94">
        <v>0</v>
      </c>
      <c r="J111" s="94">
        <v>20.399999999999999</v>
      </c>
      <c r="K111" s="94">
        <v>20.400000000000002</v>
      </c>
      <c r="L111" s="94">
        <v>20.400000000000002</v>
      </c>
      <c r="M111" s="129">
        <v>0</v>
      </c>
      <c r="N111" s="102">
        <f t="shared" si="2"/>
        <v>13.600000000000001</v>
      </c>
      <c r="O111" s="97">
        <v>40.800000000000004</v>
      </c>
      <c r="P111" s="92">
        <v>0</v>
      </c>
      <c r="Q111" s="98">
        <f t="shared" si="3"/>
        <v>40.800000000000004</v>
      </c>
      <c r="R111" s="102" t="str">
        <f>+IF(Q111+N111&lt;=0, "NO COMPRADOR", +IF(Q111&lt;=0, "SIN COMPRA "&amp;+UPPER(TEXT('DINAMICA ENERO 26'!$C$2,"mmm 'yy")), "COMPRADOR"))</f>
        <v>COMPRADOR</v>
      </c>
      <c r="S111" s="100"/>
      <c r="T111" s="101"/>
      <c r="U111" s="100"/>
      <c r="X111" s="101"/>
      <c r="Y111" s="100"/>
    </row>
    <row r="112" spans="1:25" s="100" customFormat="1" ht="14">
      <c r="A112" s="88" t="s">
        <v>85</v>
      </c>
      <c r="B112" s="89" t="s">
        <v>157</v>
      </c>
      <c r="C112" s="89" t="s">
        <v>52</v>
      </c>
      <c r="D112" s="103">
        <v>100066856</v>
      </c>
      <c r="E112" s="89" t="s">
        <v>54</v>
      </c>
      <c r="F112" s="89">
        <v>100007082</v>
      </c>
      <c r="G112" s="128" t="s">
        <v>201</v>
      </c>
      <c r="H112" s="94">
        <v>10.199999999999999</v>
      </c>
      <c r="I112" s="94">
        <v>0</v>
      </c>
      <c r="J112" s="94">
        <v>0</v>
      </c>
      <c r="K112" s="94">
        <v>20.400000000000002</v>
      </c>
      <c r="L112" s="94">
        <v>0</v>
      </c>
      <c r="M112" s="129">
        <v>0</v>
      </c>
      <c r="N112" s="102">
        <f t="shared" si="2"/>
        <v>6.8000000000000007</v>
      </c>
      <c r="O112" s="97">
        <v>0</v>
      </c>
      <c r="P112" s="92">
        <v>0</v>
      </c>
      <c r="Q112" s="98">
        <f t="shared" si="3"/>
        <v>0</v>
      </c>
      <c r="R112" s="102" t="str">
        <f>+IF(Q112+N112&lt;=0, "NO COMPRADOR", +IF(Q112&lt;=0, "SIN COMPRA "&amp;+UPPER(TEXT('DINAMICA ENERO 26'!$C$2,"mmm 'yy")), "COMPRADOR"))</f>
        <v>SIN COMPRA FEB '26</v>
      </c>
      <c r="T112" s="101"/>
      <c r="X112" s="101"/>
    </row>
    <row r="113" spans="1:25" s="100" customFormat="1" ht="14">
      <c r="A113" s="88" t="s">
        <v>85</v>
      </c>
      <c r="B113" s="89" t="s">
        <v>157</v>
      </c>
      <c r="C113" s="89" t="s">
        <v>52</v>
      </c>
      <c r="D113" s="103">
        <v>100066856</v>
      </c>
      <c r="E113" s="89" t="s">
        <v>54</v>
      </c>
      <c r="F113" s="89">
        <v>100084941</v>
      </c>
      <c r="G113" s="128" t="s">
        <v>202</v>
      </c>
      <c r="H113" s="94">
        <v>0</v>
      </c>
      <c r="I113" s="94">
        <v>0</v>
      </c>
      <c r="J113" s="94">
        <v>0</v>
      </c>
      <c r="K113" s="94">
        <v>0</v>
      </c>
      <c r="L113" s="94">
        <v>0</v>
      </c>
      <c r="M113" s="129">
        <v>0</v>
      </c>
      <c r="N113" s="102">
        <f t="shared" si="2"/>
        <v>0</v>
      </c>
      <c r="O113" s="97">
        <v>37.800000000000004</v>
      </c>
      <c r="P113" s="92">
        <v>0</v>
      </c>
      <c r="Q113" s="98">
        <f t="shared" si="3"/>
        <v>37.800000000000004</v>
      </c>
      <c r="R113" s="102" t="str">
        <f>+IF(Q113+N113&lt;=0, "NO COMPRADOR", +IF(Q113&lt;=0, "SIN COMPRA "&amp;+UPPER(TEXT('DINAMICA ENERO 26'!$C$2,"mmm 'yy")), "COMPRADOR"))</f>
        <v>COMPRADOR</v>
      </c>
      <c r="T113" s="101"/>
      <c r="X113" s="101"/>
    </row>
    <row r="114" spans="1:25" s="100" customFormat="1" ht="14">
      <c r="A114" s="88" t="s">
        <v>85</v>
      </c>
      <c r="B114" s="89" t="s">
        <v>157</v>
      </c>
      <c r="C114" s="89" t="s">
        <v>52</v>
      </c>
      <c r="D114" s="103">
        <v>100066856</v>
      </c>
      <c r="E114" s="89" t="s">
        <v>54</v>
      </c>
      <c r="F114" s="89">
        <v>100071677</v>
      </c>
      <c r="G114" s="128" t="s">
        <v>203</v>
      </c>
      <c r="H114" s="94">
        <v>0</v>
      </c>
      <c r="I114" s="94">
        <v>20.399999999999999</v>
      </c>
      <c r="J114" s="94">
        <v>91.800000000000011</v>
      </c>
      <c r="K114" s="94">
        <v>0</v>
      </c>
      <c r="L114" s="94">
        <v>0</v>
      </c>
      <c r="M114" s="129">
        <v>0</v>
      </c>
      <c r="N114" s="102">
        <f t="shared" si="2"/>
        <v>0</v>
      </c>
      <c r="O114" s="97">
        <v>0</v>
      </c>
      <c r="P114" s="92">
        <v>0</v>
      </c>
      <c r="Q114" s="98">
        <f t="shared" si="3"/>
        <v>0</v>
      </c>
      <c r="R114" s="102" t="str">
        <f>+IF(Q114+N114&lt;=0, "NO COMPRADOR", +IF(Q114&lt;=0, "SIN COMPRA "&amp;+UPPER(TEXT('DINAMICA ENERO 26'!$C$2,"mmm 'yy")), "COMPRADOR"))</f>
        <v>NO COMPRADOR</v>
      </c>
      <c r="T114" s="101"/>
      <c r="X114" s="101"/>
    </row>
    <row r="115" spans="1:25" s="100" customFormat="1" ht="14">
      <c r="A115" s="88" t="s">
        <v>85</v>
      </c>
      <c r="B115" s="89" t="s">
        <v>204</v>
      </c>
      <c r="C115" s="89" t="s">
        <v>52</v>
      </c>
      <c r="D115" s="103">
        <v>100089701</v>
      </c>
      <c r="E115" s="89" t="s">
        <v>58</v>
      </c>
      <c r="F115" s="89">
        <v>100082346</v>
      </c>
      <c r="G115" s="128" t="s">
        <v>205</v>
      </c>
      <c r="H115" s="94">
        <v>63.599999999999994</v>
      </c>
      <c r="I115" s="94">
        <v>102</v>
      </c>
      <c r="J115" s="94">
        <v>82.800000000000011</v>
      </c>
      <c r="K115" s="94">
        <v>61.2</v>
      </c>
      <c r="L115" s="94">
        <v>149.4</v>
      </c>
      <c r="M115" s="129">
        <v>46.199999999999996</v>
      </c>
      <c r="N115" s="102">
        <f t="shared" si="2"/>
        <v>85.600000000000009</v>
      </c>
      <c r="O115" s="97">
        <v>0</v>
      </c>
      <c r="P115" s="92">
        <v>0</v>
      </c>
      <c r="Q115" s="98">
        <f t="shared" si="3"/>
        <v>0</v>
      </c>
      <c r="R115" s="102" t="str">
        <f>+IF(Q115+N115&lt;=0, "NO COMPRADOR", +IF(Q115&lt;=0, "SIN COMPRA "&amp;+UPPER(TEXT('DINAMICA ENERO 26'!$C$2,"mmm 'yy")), "COMPRADOR"))</f>
        <v>SIN COMPRA FEB '26</v>
      </c>
      <c r="T115" s="101"/>
      <c r="X115" s="101"/>
    </row>
    <row r="116" spans="1:25" s="100" customFormat="1" ht="14">
      <c r="A116" s="88" t="s">
        <v>85</v>
      </c>
      <c r="B116" s="89" t="s">
        <v>204</v>
      </c>
      <c r="C116" s="89" t="s">
        <v>52</v>
      </c>
      <c r="D116" s="103">
        <v>100089701</v>
      </c>
      <c r="E116" s="89" t="s">
        <v>58</v>
      </c>
      <c r="F116" s="89">
        <v>100009863</v>
      </c>
      <c r="G116" s="128" t="s">
        <v>206</v>
      </c>
      <c r="H116" s="94">
        <v>0</v>
      </c>
      <c r="I116" s="94">
        <v>0</v>
      </c>
      <c r="J116" s="94">
        <v>0</v>
      </c>
      <c r="K116" s="94">
        <v>0</v>
      </c>
      <c r="L116" s="94">
        <v>0</v>
      </c>
      <c r="M116" s="129">
        <v>0</v>
      </c>
      <c r="N116" s="102">
        <f t="shared" si="2"/>
        <v>0</v>
      </c>
      <c r="O116" s="97">
        <v>0</v>
      </c>
      <c r="P116" s="92">
        <v>0</v>
      </c>
      <c r="Q116" s="98">
        <f t="shared" si="3"/>
        <v>0</v>
      </c>
      <c r="R116" s="102" t="str">
        <f>+IF(Q116+N116&lt;=0, "NO COMPRADOR", +IF(Q116&lt;=0, "SIN COMPRA "&amp;+UPPER(TEXT('DINAMICA ENERO 26'!$C$2,"mmm 'yy")), "COMPRADOR"))</f>
        <v>NO COMPRADOR</v>
      </c>
      <c r="T116" s="101"/>
      <c r="X116" s="101"/>
    </row>
    <row r="117" spans="1:25" s="104" customFormat="1" ht="14">
      <c r="A117" s="88" t="s">
        <v>85</v>
      </c>
      <c r="B117" s="89" t="s">
        <v>204</v>
      </c>
      <c r="C117" s="89" t="s">
        <v>52</v>
      </c>
      <c r="D117" s="103">
        <v>100089701</v>
      </c>
      <c r="E117" s="89" t="s">
        <v>58</v>
      </c>
      <c r="F117" s="89">
        <v>100080357</v>
      </c>
      <c r="G117" s="128" t="s">
        <v>207</v>
      </c>
      <c r="H117" s="94">
        <v>36</v>
      </c>
      <c r="I117" s="94">
        <v>16.8</v>
      </c>
      <c r="J117" s="94">
        <v>10.8</v>
      </c>
      <c r="K117" s="94">
        <v>10.8</v>
      </c>
      <c r="L117" s="94">
        <v>31.200000000000003</v>
      </c>
      <c r="M117" s="129">
        <v>15.600000000000001</v>
      </c>
      <c r="N117" s="102">
        <f t="shared" si="2"/>
        <v>19.2</v>
      </c>
      <c r="O117" s="97">
        <v>10.199999999999999</v>
      </c>
      <c r="P117" s="92">
        <v>0</v>
      </c>
      <c r="Q117" s="98">
        <f t="shared" si="3"/>
        <v>10.199999999999999</v>
      </c>
      <c r="R117" s="102" t="str">
        <f>+IF(Q117+N117&lt;=0, "NO COMPRADOR", +IF(Q117&lt;=0, "SIN COMPRA "&amp;+UPPER(TEXT('DINAMICA ENERO 26'!$C$2,"mmm 'yy")), "COMPRADOR"))</f>
        <v>COMPRADOR</v>
      </c>
      <c r="S117" s="100"/>
      <c r="T117" s="101"/>
      <c r="U117" s="100"/>
      <c r="X117" s="101"/>
      <c r="Y117" s="100"/>
    </row>
    <row r="118" spans="1:25" s="100" customFormat="1" ht="14">
      <c r="A118" s="88" t="s">
        <v>85</v>
      </c>
      <c r="B118" s="89" t="s">
        <v>204</v>
      </c>
      <c r="C118" s="89" t="s">
        <v>52</v>
      </c>
      <c r="D118" s="103">
        <v>100089701</v>
      </c>
      <c r="E118" s="89" t="s">
        <v>58</v>
      </c>
      <c r="F118" s="89">
        <v>100046307</v>
      </c>
      <c r="G118" s="128" t="s">
        <v>208</v>
      </c>
      <c r="H118" s="94">
        <v>20.400000000000002</v>
      </c>
      <c r="I118" s="94">
        <v>10.8</v>
      </c>
      <c r="J118" s="94">
        <v>0</v>
      </c>
      <c r="K118" s="94">
        <v>4.8</v>
      </c>
      <c r="L118" s="94">
        <v>5.4</v>
      </c>
      <c r="M118" s="129">
        <v>10.8</v>
      </c>
      <c r="N118" s="102">
        <f t="shared" si="2"/>
        <v>7</v>
      </c>
      <c r="O118" s="97">
        <v>0</v>
      </c>
      <c r="P118" s="92">
        <v>0</v>
      </c>
      <c r="Q118" s="98">
        <f t="shared" si="3"/>
        <v>0</v>
      </c>
      <c r="R118" s="102" t="str">
        <f>+IF(Q118+N118&lt;=0, "NO COMPRADOR", +IF(Q118&lt;=0, "SIN COMPRA "&amp;+UPPER(TEXT('DINAMICA ENERO 26'!$C$2,"mmm 'yy")), "COMPRADOR"))</f>
        <v>SIN COMPRA FEB '26</v>
      </c>
      <c r="T118" s="101"/>
      <c r="X118" s="101"/>
    </row>
    <row r="119" spans="1:25" s="104" customFormat="1" ht="14">
      <c r="A119" s="88" t="s">
        <v>85</v>
      </c>
      <c r="B119" s="89" t="s">
        <v>204</v>
      </c>
      <c r="C119" s="89" t="s">
        <v>52</v>
      </c>
      <c r="D119" s="103">
        <v>100089701</v>
      </c>
      <c r="E119" s="89" t="s">
        <v>58</v>
      </c>
      <c r="F119" s="89">
        <v>100087065</v>
      </c>
      <c r="G119" s="128" t="s">
        <v>209</v>
      </c>
      <c r="H119" s="94">
        <v>0</v>
      </c>
      <c r="I119" s="94">
        <v>0</v>
      </c>
      <c r="J119" s="94">
        <v>0</v>
      </c>
      <c r="K119" s="94">
        <v>0</v>
      </c>
      <c r="L119" s="94">
        <v>0</v>
      </c>
      <c r="M119" s="129">
        <v>10.8</v>
      </c>
      <c r="N119" s="102">
        <f t="shared" si="2"/>
        <v>3.6</v>
      </c>
      <c r="O119" s="97">
        <v>0</v>
      </c>
      <c r="P119" s="92">
        <v>0</v>
      </c>
      <c r="Q119" s="98">
        <f t="shared" si="3"/>
        <v>0</v>
      </c>
      <c r="R119" s="102" t="str">
        <f>+IF(Q119+N119&lt;=0, "NO COMPRADOR", +IF(Q119&lt;=0, "SIN COMPRA "&amp;+UPPER(TEXT('DINAMICA ENERO 26'!$C$2,"mmm 'yy")), "COMPRADOR"))</f>
        <v>SIN COMPRA FEB '26</v>
      </c>
      <c r="S119" s="100"/>
      <c r="T119" s="101"/>
      <c r="U119" s="100"/>
      <c r="X119" s="101"/>
      <c r="Y119" s="100"/>
    </row>
    <row r="120" spans="1:25" s="104" customFormat="1" ht="14">
      <c r="A120" s="88" t="s">
        <v>85</v>
      </c>
      <c r="B120" s="89" t="s">
        <v>204</v>
      </c>
      <c r="C120" s="89" t="s">
        <v>52</v>
      </c>
      <c r="D120" s="103">
        <v>100089701</v>
      </c>
      <c r="E120" s="89" t="s">
        <v>58</v>
      </c>
      <c r="F120" s="89">
        <v>100087742</v>
      </c>
      <c r="G120" s="128" t="s">
        <v>210</v>
      </c>
      <c r="H120" s="94">
        <v>0</v>
      </c>
      <c r="I120" s="94">
        <v>20.400000000000002</v>
      </c>
      <c r="J120" s="94">
        <v>0</v>
      </c>
      <c r="K120" s="94">
        <v>0</v>
      </c>
      <c r="L120" s="94">
        <v>0</v>
      </c>
      <c r="M120" s="129">
        <v>10.199999999999999</v>
      </c>
      <c r="N120" s="102">
        <f t="shared" si="2"/>
        <v>3.4</v>
      </c>
      <c r="O120" s="97">
        <v>21.000000000000004</v>
      </c>
      <c r="P120" s="92">
        <v>0</v>
      </c>
      <c r="Q120" s="98">
        <f t="shared" si="3"/>
        <v>21.000000000000004</v>
      </c>
      <c r="R120" s="102" t="str">
        <f>+IF(Q120+N120&lt;=0, "NO COMPRADOR", +IF(Q120&lt;=0, "SIN COMPRA "&amp;+UPPER(TEXT('DINAMICA ENERO 26'!$C$2,"mmm 'yy")), "COMPRADOR"))</f>
        <v>COMPRADOR</v>
      </c>
      <c r="S120" s="100"/>
      <c r="T120" s="101"/>
      <c r="U120" s="100"/>
      <c r="X120" s="101"/>
      <c r="Y120" s="100"/>
    </row>
    <row r="121" spans="1:25" s="104" customFormat="1" ht="14">
      <c r="A121" s="88" t="s">
        <v>85</v>
      </c>
      <c r="B121" s="89" t="s">
        <v>204</v>
      </c>
      <c r="C121" s="89" t="s">
        <v>52</v>
      </c>
      <c r="D121" s="103">
        <v>100089701</v>
      </c>
      <c r="E121" s="89" t="s">
        <v>58</v>
      </c>
      <c r="F121" s="89">
        <v>100087748</v>
      </c>
      <c r="G121" s="128" t="s">
        <v>211</v>
      </c>
      <c r="H121" s="94">
        <v>40.800000000000004</v>
      </c>
      <c r="I121" s="94">
        <v>31.200000000000003</v>
      </c>
      <c r="J121" s="94">
        <v>0</v>
      </c>
      <c r="K121" s="94">
        <v>15.600000000000001</v>
      </c>
      <c r="L121" s="94">
        <v>0</v>
      </c>
      <c r="M121" s="129">
        <v>20.400000000000002</v>
      </c>
      <c r="N121" s="102">
        <f t="shared" si="2"/>
        <v>12</v>
      </c>
      <c r="O121" s="97">
        <v>25.2</v>
      </c>
      <c r="P121" s="92">
        <v>0</v>
      </c>
      <c r="Q121" s="98">
        <f t="shared" si="3"/>
        <v>25.2</v>
      </c>
      <c r="R121" s="102" t="str">
        <f>+IF(Q121+N121&lt;=0, "NO COMPRADOR", +IF(Q121&lt;=0, "SIN COMPRA "&amp;+UPPER(TEXT('DINAMICA ENERO 26'!$C$2,"mmm 'yy")), "COMPRADOR"))</f>
        <v>COMPRADOR</v>
      </c>
      <c r="S121" s="100"/>
      <c r="T121" s="101"/>
      <c r="U121" s="100"/>
      <c r="X121" s="101"/>
      <c r="Y121" s="100"/>
    </row>
    <row r="122" spans="1:25" s="104" customFormat="1" ht="14">
      <c r="A122" s="88" t="s">
        <v>85</v>
      </c>
      <c r="B122" s="89" t="s">
        <v>204</v>
      </c>
      <c r="C122" s="89" t="s">
        <v>52</v>
      </c>
      <c r="D122" s="103">
        <v>100089701</v>
      </c>
      <c r="E122" s="89" t="s">
        <v>58</v>
      </c>
      <c r="F122" s="89">
        <v>100022260</v>
      </c>
      <c r="G122" s="128" t="s">
        <v>212</v>
      </c>
      <c r="H122" s="94">
        <v>47.400000000000006</v>
      </c>
      <c r="I122" s="94">
        <v>28.799999999999997</v>
      </c>
      <c r="J122" s="94">
        <v>31.200000000000003</v>
      </c>
      <c r="K122" s="94">
        <v>5.4</v>
      </c>
      <c r="L122" s="94">
        <v>20.400000000000002</v>
      </c>
      <c r="M122" s="129">
        <v>34.199999999999996</v>
      </c>
      <c r="N122" s="102">
        <f t="shared" si="2"/>
        <v>20</v>
      </c>
      <c r="O122" s="97">
        <v>15.600000000000001</v>
      </c>
      <c r="P122" s="92">
        <v>0</v>
      </c>
      <c r="Q122" s="98">
        <f t="shared" si="3"/>
        <v>15.600000000000001</v>
      </c>
      <c r="R122" s="102" t="str">
        <f>+IF(Q122+N122&lt;=0, "NO COMPRADOR", +IF(Q122&lt;=0, "SIN COMPRA "&amp;+UPPER(TEXT('DINAMICA ENERO 26'!$C$2,"mmm 'yy")), "COMPRADOR"))</f>
        <v>COMPRADOR</v>
      </c>
      <c r="S122" s="100"/>
      <c r="T122" s="101"/>
      <c r="U122" s="100"/>
      <c r="X122" s="101"/>
      <c r="Y122" s="100"/>
    </row>
    <row r="123" spans="1:25" s="104" customFormat="1" ht="14">
      <c r="A123" s="88" t="s">
        <v>85</v>
      </c>
      <c r="B123" s="89" t="s">
        <v>204</v>
      </c>
      <c r="C123" s="89" t="s">
        <v>52</v>
      </c>
      <c r="D123" s="103">
        <v>100089701</v>
      </c>
      <c r="E123" s="89" t="s">
        <v>58</v>
      </c>
      <c r="F123" s="89">
        <v>100085159</v>
      </c>
      <c r="G123" s="128" t="s">
        <v>213</v>
      </c>
      <c r="H123" s="94">
        <v>0</v>
      </c>
      <c r="I123" s="94">
        <v>0</v>
      </c>
      <c r="J123" s="94">
        <v>0</v>
      </c>
      <c r="K123" s="94">
        <v>0</v>
      </c>
      <c r="L123" s="94">
        <v>0</v>
      </c>
      <c r="M123" s="129">
        <v>0</v>
      </c>
      <c r="N123" s="102">
        <f t="shared" si="2"/>
        <v>0</v>
      </c>
      <c r="O123" s="97">
        <v>0</v>
      </c>
      <c r="P123" s="92">
        <v>0</v>
      </c>
      <c r="Q123" s="98">
        <f t="shared" si="3"/>
        <v>0</v>
      </c>
      <c r="R123" s="102" t="str">
        <f>+IF(Q123+N123&lt;=0, "NO COMPRADOR", +IF(Q123&lt;=0, "SIN COMPRA "&amp;+UPPER(TEXT('DINAMICA ENERO 26'!$C$2,"mmm 'yy")), "COMPRADOR"))</f>
        <v>NO COMPRADOR</v>
      </c>
      <c r="S123" s="100"/>
      <c r="T123" s="101"/>
      <c r="U123" s="100"/>
      <c r="X123" s="101"/>
      <c r="Y123" s="100"/>
    </row>
    <row r="124" spans="1:25" s="104" customFormat="1" ht="14">
      <c r="A124" s="88" t="s">
        <v>85</v>
      </c>
      <c r="B124" s="89" t="s">
        <v>204</v>
      </c>
      <c r="C124" s="89" t="s">
        <v>52</v>
      </c>
      <c r="D124" s="103">
        <v>100089701</v>
      </c>
      <c r="E124" s="89" t="s">
        <v>58</v>
      </c>
      <c r="F124" s="89">
        <v>100087283</v>
      </c>
      <c r="G124" s="128" t="s">
        <v>214</v>
      </c>
      <c r="H124" s="94">
        <v>0</v>
      </c>
      <c r="I124" s="94">
        <v>0</v>
      </c>
      <c r="J124" s="94">
        <v>0</v>
      </c>
      <c r="K124" s="94">
        <v>0</v>
      </c>
      <c r="L124" s="94">
        <v>0</v>
      </c>
      <c r="M124" s="129">
        <v>0</v>
      </c>
      <c r="N124" s="102">
        <f t="shared" si="2"/>
        <v>0</v>
      </c>
      <c r="O124" s="97">
        <v>0</v>
      </c>
      <c r="P124" s="92">
        <v>0</v>
      </c>
      <c r="Q124" s="98">
        <f t="shared" si="3"/>
        <v>0</v>
      </c>
      <c r="R124" s="102" t="str">
        <f>+IF(Q124+N124&lt;=0, "NO COMPRADOR", +IF(Q124&lt;=0, "SIN COMPRA "&amp;+UPPER(TEXT('DINAMICA ENERO 26'!$C$2,"mmm 'yy")), "COMPRADOR"))</f>
        <v>NO COMPRADOR</v>
      </c>
      <c r="S124" s="100"/>
      <c r="T124" s="101"/>
      <c r="U124" s="100"/>
      <c r="X124" s="101"/>
      <c r="Y124" s="100"/>
    </row>
    <row r="125" spans="1:25" s="104" customFormat="1" ht="14">
      <c r="A125" s="88" t="s">
        <v>85</v>
      </c>
      <c r="B125" s="89" t="s">
        <v>204</v>
      </c>
      <c r="C125" s="89" t="s">
        <v>52</v>
      </c>
      <c r="D125" s="103">
        <v>100089701</v>
      </c>
      <c r="E125" s="89" t="s">
        <v>58</v>
      </c>
      <c r="F125" s="89">
        <v>100001601</v>
      </c>
      <c r="G125" s="128" t="s">
        <v>215</v>
      </c>
      <c r="H125" s="94">
        <v>25.800000000000004</v>
      </c>
      <c r="I125" s="94">
        <v>0</v>
      </c>
      <c r="J125" s="94">
        <v>10.199999999999999</v>
      </c>
      <c r="K125" s="94">
        <v>5.4</v>
      </c>
      <c r="L125" s="94">
        <v>20.400000000000002</v>
      </c>
      <c r="M125" s="129">
        <v>0</v>
      </c>
      <c r="N125" s="102">
        <f t="shared" si="2"/>
        <v>8.6000000000000014</v>
      </c>
      <c r="O125" s="97">
        <v>0</v>
      </c>
      <c r="P125" s="92">
        <v>0</v>
      </c>
      <c r="Q125" s="98">
        <f t="shared" si="3"/>
        <v>0</v>
      </c>
      <c r="R125" s="102" t="str">
        <f>+IF(Q125+N125&lt;=0, "NO COMPRADOR", +IF(Q125&lt;=0, "SIN COMPRA "&amp;+UPPER(TEXT('DINAMICA ENERO 26'!$C$2,"mmm 'yy")), "COMPRADOR"))</f>
        <v>SIN COMPRA FEB '26</v>
      </c>
      <c r="S125" s="100"/>
      <c r="T125" s="101"/>
      <c r="U125" s="100"/>
      <c r="X125" s="101"/>
      <c r="Y125" s="100"/>
    </row>
    <row r="126" spans="1:25" s="104" customFormat="1" ht="14">
      <c r="A126" s="88" t="s">
        <v>85</v>
      </c>
      <c r="B126" s="89" t="s">
        <v>204</v>
      </c>
      <c r="C126" s="89" t="s">
        <v>52</v>
      </c>
      <c r="D126" s="103">
        <v>100089701</v>
      </c>
      <c r="E126" s="89" t="s">
        <v>58</v>
      </c>
      <c r="F126" s="89">
        <v>100081880</v>
      </c>
      <c r="G126" s="128" t="s">
        <v>216</v>
      </c>
      <c r="H126" s="94">
        <v>32.400000000000006</v>
      </c>
      <c r="I126" s="94">
        <v>20.399999999999999</v>
      </c>
      <c r="J126" s="94">
        <v>10.8</v>
      </c>
      <c r="K126" s="94">
        <v>16.200000000000003</v>
      </c>
      <c r="L126" s="94">
        <v>32.400000000000006</v>
      </c>
      <c r="M126" s="129">
        <v>62.400000000000006</v>
      </c>
      <c r="N126" s="102">
        <f t="shared" si="2"/>
        <v>37.000000000000007</v>
      </c>
      <c r="O126" s="97">
        <v>0</v>
      </c>
      <c r="P126" s="92">
        <v>16.2</v>
      </c>
      <c r="Q126" s="98">
        <f t="shared" si="3"/>
        <v>16.2</v>
      </c>
      <c r="R126" s="102" t="str">
        <f>+IF(Q126+N126&lt;=0, "NO COMPRADOR", +IF(Q126&lt;=0, "SIN COMPRA "&amp;+UPPER(TEXT('DINAMICA ENERO 26'!$C$2,"mmm 'yy")), "COMPRADOR"))</f>
        <v>COMPRADOR</v>
      </c>
      <c r="S126" s="100"/>
      <c r="T126" s="101"/>
      <c r="U126" s="100"/>
      <c r="X126" s="101"/>
      <c r="Y126" s="100"/>
    </row>
    <row r="127" spans="1:25" s="104" customFormat="1" ht="14">
      <c r="A127" s="88" t="s">
        <v>85</v>
      </c>
      <c r="B127" s="89" t="s">
        <v>204</v>
      </c>
      <c r="C127" s="89" t="s">
        <v>52</v>
      </c>
      <c r="D127" s="103">
        <v>100089701</v>
      </c>
      <c r="E127" s="89" t="s">
        <v>58</v>
      </c>
      <c r="F127" s="89">
        <v>100083522</v>
      </c>
      <c r="G127" s="128" t="s">
        <v>217</v>
      </c>
      <c r="H127" s="94">
        <v>46.800000000000004</v>
      </c>
      <c r="I127" s="94">
        <v>31.800000000000004</v>
      </c>
      <c r="J127" s="94">
        <v>72</v>
      </c>
      <c r="K127" s="94">
        <v>57.6</v>
      </c>
      <c r="L127" s="94">
        <v>42</v>
      </c>
      <c r="M127" s="129">
        <v>40.800000000000004</v>
      </c>
      <c r="N127" s="102">
        <f t="shared" si="2"/>
        <v>46.800000000000004</v>
      </c>
      <c r="O127" s="97">
        <v>52.800000000000004</v>
      </c>
      <c r="P127" s="92">
        <v>0</v>
      </c>
      <c r="Q127" s="98">
        <f t="shared" si="3"/>
        <v>52.800000000000004</v>
      </c>
      <c r="R127" s="102" t="str">
        <f>+IF(Q127+N127&lt;=0, "NO COMPRADOR", +IF(Q127&lt;=0, "SIN COMPRA "&amp;+UPPER(TEXT('DINAMICA ENERO 26'!$C$2,"mmm 'yy")), "COMPRADOR"))</f>
        <v>COMPRADOR</v>
      </c>
      <c r="S127" s="100"/>
      <c r="T127" s="101"/>
      <c r="U127" s="100"/>
      <c r="X127" s="101"/>
      <c r="Y127" s="100"/>
    </row>
    <row r="128" spans="1:25" s="104" customFormat="1" ht="14">
      <c r="A128" s="88" t="s">
        <v>85</v>
      </c>
      <c r="B128" s="89" t="s">
        <v>204</v>
      </c>
      <c r="C128" s="89" t="s">
        <v>52</v>
      </c>
      <c r="D128" s="103">
        <v>100089701</v>
      </c>
      <c r="E128" s="89" t="s">
        <v>58</v>
      </c>
      <c r="F128" s="89">
        <v>100073281</v>
      </c>
      <c r="G128" s="128" t="s">
        <v>218</v>
      </c>
      <c r="H128" s="94">
        <v>0</v>
      </c>
      <c r="I128" s="94">
        <v>0</v>
      </c>
      <c r="J128" s="94">
        <v>0</v>
      </c>
      <c r="K128" s="94">
        <v>0</v>
      </c>
      <c r="L128" s="94">
        <v>0</v>
      </c>
      <c r="M128" s="129">
        <v>0</v>
      </c>
      <c r="N128" s="102">
        <f t="shared" si="2"/>
        <v>0</v>
      </c>
      <c r="O128" s="97">
        <v>0</v>
      </c>
      <c r="P128" s="92">
        <v>0</v>
      </c>
      <c r="Q128" s="98">
        <f t="shared" si="3"/>
        <v>0</v>
      </c>
      <c r="R128" s="102" t="str">
        <f>+IF(Q128+N128&lt;=0, "NO COMPRADOR", +IF(Q128&lt;=0, "SIN COMPRA "&amp;+UPPER(TEXT('DINAMICA ENERO 26'!$C$2,"mmm 'yy")), "COMPRADOR"))</f>
        <v>NO COMPRADOR</v>
      </c>
      <c r="S128" s="100"/>
      <c r="T128" s="101"/>
      <c r="U128" s="100"/>
      <c r="X128" s="101"/>
      <c r="Y128" s="100"/>
    </row>
    <row r="129" spans="1:25" s="104" customFormat="1" ht="14">
      <c r="A129" s="88" t="s">
        <v>85</v>
      </c>
      <c r="B129" s="89" t="s">
        <v>204</v>
      </c>
      <c r="C129" s="89" t="s">
        <v>52</v>
      </c>
      <c r="D129" s="103">
        <v>100089701</v>
      </c>
      <c r="E129" s="89" t="s">
        <v>58</v>
      </c>
      <c r="F129" s="89">
        <v>100051099</v>
      </c>
      <c r="G129" s="128" t="s">
        <v>219</v>
      </c>
      <c r="H129" s="94">
        <v>0</v>
      </c>
      <c r="I129" s="94">
        <v>0</v>
      </c>
      <c r="J129" s="94">
        <v>0</v>
      </c>
      <c r="K129" s="94">
        <v>0</v>
      </c>
      <c r="L129" s="94">
        <v>0</v>
      </c>
      <c r="M129" s="129">
        <v>0</v>
      </c>
      <c r="N129" s="102">
        <f t="shared" si="2"/>
        <v>0</v>
      </c>
      <c r="O129" s="97">
        <v>0</v>
      </c>
      <c r="P129" s="92">
        <v>0</v>
      </c>
      <c r="Q129" s="98">
        <f t="shared" si="3"/>
        <v>0</v>
      </c>
      <c r="R129" s="102" t="str">
        <f>+IF(Q129+N129&lt;=0, "NO COMPRADOR", +IF(Q129&lt;=0, "SIN COMPRA "&amp;+UPPER(TEXT('DINAMICA ENERO 26'!$C$2,"mmm 'yy")), "COMPRADOR"))</f>
        <v>NO COMPRADOR</v>
      </c>
      <c r="S129" s="100"/>
      <c r="T129" s="101"/>
      <c r="U129" s="100"/>
      <c r="X129" s="101"/>
      <c r="Y129" s="100"/>
    </row>
    <row r="130" spans="1:25" s="104" customFormat="1" ht="14">
      <c r="A130" s="88" t="s">
        <v>85</v>
      </c>
      <c r="B130" s="89" t="s">
        <v>204</v>
      </c>
      <c r="C130" s="89" t="s">
        <v>52</v>
      </c>
      <c r="D130" s="103">
        <v>100089701</v>
      </c>
      <c r="E130" s="89" t="s">
        <v>58</v>
      </c>
      <c r="F130" s="89">
        <v>100087844</v>
      </c>
      <c r="G130" s="128" t="s">
        <v>220</v>
      </c>
      <c r="H130" s="94">
        <v>111.6</v>
      </c>
      <c r="I130" s="94">
        <v>0</v>
      </c>
      <c r="J130" s="94">
        <v>20.399999999999999</v>
      </c>
      <c r="K130" s="94">
        <v>10.8</v>
      </c>
      <c r="L130" s="94">
        <v>0</v>
      </c>
      <c r="M130" s="129">
        <v>5.4</v>
      </c>
      <c r="N130" s="102">
        <f t="shared" si="2"/>
        <v>5.4000000000000012</v>
      </c>
      <c r="O130" s="97">
        <v>0</v>
      </c>
      <c r="P130" s="92">
        <v>0</v>
      </c>
      <c r="Q130" s="98">
        <f t="shared" si="3"/>
        <v>0</v>
      </c>
      <c r="R130" s="102" t="str">
        <f>+IF(Q130+N130&lt;=0, "NO COMPRADOR", +IF(Q130&lt;=0, "SIN COMPRA "&amp;+UPPER(TEXT('DINAMICA ENERO 26'!$C$2,"mmm 'yy")), "COMPRADOR"))</f>
        <v>SIN COMPRA FEB '26</v>
      </c>
      <c r="S130" s="100"/>
      <c r="T130" s="101"/>
      <c r="U130" s="100"/>
      <c r="X130" s="101"/>
      <c r="Y130" s="100"/>
    </row>
    <row r="131" spans="1:25" s="104" customFormat="1" ht="14">
      <c r="A131" s="88" t="s">
        <v>85</v>
      </c>
      <c r="B131" s="89" t="s">
        <v>204</v>
      </c>
      <c r="C131" s="89" t="s">
        <v>52</v>
      </c>
      <c r="D131" s="103">
        <v>100089701</v>
      </c>
      <c r="E131" s="89" t="s">
        <v>58</v>
      </c>
      <c r="F131" s="89">
        <v>100088156</v>
      </c>
      <c r="G131" s="128" t="s">
        <v>221</v>
      </c>
      <c r="H131" s="94">
        <v>0</v>
      </c>
      <c r="I131" s="94">
        <v>0</v>
      </c>
      <c r="J131" s="94">
        <v>34.799999999999997</v>
      </c>
      <c r="K131" s="94">
        <v>16.200000000000003</v>
      </c>
      <c r="L131" s="94">
        <v>0</v>
      </c>
      <c r="M131" s="129">
        <v>0</v>
      </c>
      <c r="N131" s="102">
        <f t="shared" ref="N131:N194" si="4">+AVERAGE(K131:M131)</f>
        <v>5.4000000000000012</v>
      </c>
      <c r="O131" s="97">
        <v>0</v>
      </c>
      <c r="P131" s="92">
        <v>0</v>
      </c>
      <c r="Q131" s="98">
        <f t="shared" si="3"/>
        <v>0</v>
      </c>
      <c r="R131" s="102" t="str">
        <f>+IF(Q131+N131&lt;=0, "NO COMPRADOR", +IF(Q131&lt;=0, "SIN COMPRA "&amp;+UPPER(TEXT('DINAMICA ENERO 26'!$C$2,"mmm 'yy")), "COMPRADOR"))</f>
        <v>SIN COMPRA FEB '26</v>
      </c>
      <c r="S131" s="100"/>
      <c r="T131" s="101"/>
      <c r="U131" s="100"/>
      <c r="X131" s="101"/>
      <c r="Y131" s="100"/>
    </row>
    <row r="132" spans="1:25" s="104" customFormat="1" ht="14">
      <c r="A132" s="88" t="s">
        <v>85</v>
      </c>
      <c r="B132" s="89" t="s">
        <v>204</v>
      </c>
      <c r="C132" s="89" t="s">
        <v>52</v>
      </c>
      <c r="D132" s="103">
        <v>100089701</v>
      </c>
      <c r="E132" s="89" t="s">
        <v>58</v>
      </c>
      <c r="F132" s="89">
        <v>100088609</v>
      </c>
      <c r="G132" s="128" t="s">
        <v>222</v>
      </c>
      <c r="H132" s="94">
        <v>10.8</v>
      </c>
      <c r="I132" s="94">
        <v>31.200000000000003</v>
      </c>
      <c r="J132" s="94">
        <v>55.800000000000004</v>
      </c>
      <c r="K132" s="94">
        <v>21.6</v>
      </c>
      <c r="L132" s="94">
        <v>20.400000000000002</v>
      </c>
      <c r="M132" s="129">
        <v>31.800000000000004</v>
      </c>
      <c r="N132" s="102">
        <f t="shared" si="4"/>
        <v>24.600000000000005</v>
      </c>
      <c r="O132" s="97">
        <v>25.800000000000004</v>
      </c>
      <c r="P132" s="92">
        <v>0</v>
      </c>
      <c r="Q132" s="98">
        <f t="shared" ref="Q132:Q195" si="5">+O132+P132</f>
        <v>25.800000000000004</v>
      </c>
      <c r="R132" s="102" t="str">
        <f>+IF(Q132+N132&lt;=0, "NO COMPRADOR", +IF(Q132&lt;=0, "SIN COMPRA "&amp;+UPPER(TEXT('DINAMICA ENERO 26'!$C$2,"mmm 'yy")), "COMPRADOR"))</f>
        <v>COMPRADOR</v>
      </c>
      <c r="S132" s="100"/>
      <c r="T132" s="101"/>
      <c r="U132" s="100"/>
      <c r="X132" s="101"/>
      <c r="Y132" s="100"/>
    </row>
    <row r="133" spans="1:25" s="104" customFormat="1" ht="14">
      <c r="A133" s="88" t="s">
        <v>85</v>
      </c>
      <c r="B133" s="89" t="s">
        <v>204</v>
      </c>
      <c r="C133" s="89" t="s">
        <v>52</v>
      </c>
      <c r="D133" s="103">
        <v>100073888</v>
      </c>
      <c r="E133" s="89" t="s">
        <v>55</v>
      </c>
      <c r="F133" s="89">
        <v>100001215</v>
      </c>
      <c r="G133" s="128" t="s">
        <v>223</v>
      </c>
      <c r="H133" s="94">
        <v>20.400000000000002</v>
      </c>
      <c r="I133" s="94">
        <v>0</v>
      </c>
      <c r="J133" s="94">
        <v>0</v>
      </c>
      <c r="K133" s="94">
        <v>0</v>
      </c>
      <c r="L133" s="94">
        <v>40.800000000000004</v>
      </c>
      <c r="M133" s="129">
        <v>9.6</v>
      </c>
      <c r="N133" s="102">
        <f t="shared" si="4"/>
        <v>16.8</v>
      </c>
      <c r="O133" s="97">
        <v>9.6</v>
      </c>
      <c r="P133" s="92">
        <v>0</v>
      </c>
      <c r="Q133" s="98">
        <f t="shared" si="5"/>
        <v>9.6</v>
      </c>
      <c r="R133" s="102" t="str">
        <f>+IF(Q133+N133&lt;=0, "NO COMPRADOR", +IF(Q133&lt;=0, "SIN COMPRA "&amp;+UPPER(TEXT('DINAMICA ENERO 26'!$C$2,"mmm 'yy")), "COMPRADOR"))</f>
        <v>COMPRADOR</v>
      </c>
      <c r="S133" s="100"/>
      <c r="T133" s="101"/>
      <c r="U133" s="100"/>
      <c r="X133" s="101"/>
      <c r="Y133" s="100"/>
    </row>
    <row r="134" spans="1:25" s="104" customFormat="1" ht="14">
      <c r="A134" s="88" t="s">
        <v>85</v>
      </c>
      <c r="B134" s="89" t="s">
        <v>204</v>
      </c>
      <c r="C134" s="89" t="s">
        <v>52</v>
      </c>
      <c r="D134" s="103">
        <v>100073888</v>
      </c>
      <c r="E134" s="89" t="s">
        <v>55</v>
      </c>
      <c r="F134" s="89">
        <v>100060702</v>
      </c>
      <c r="G134" s="128" t="s">
        <v>224</v>
      </c>
      <c r="H134" s="94">
        <v>5.4</v>
      </c>
      <c r="I134" s="94">
        <v>0</v>
      </c>
      <c r="J134" s="94">
        <v>5.4</v>
      </c>
      <c r="K134" s="94">
        <v>-5.4</v>
      </c>
      <c r="L134" s="94">
        <v>0</v>
      </c>
      <c r="M134" s="129">
        <v>0</v>
      </c>
      <c r="N134" s="102">
        <f t="shared" si="4"/>
        <v>-1.8</v>
      </c>
      <c r="O134" s="97">
        <v>0</v>
      </c>
      <c r="P134" s="92">
        <v>0</v>
      </c>
      <c r="Q134" s="98">
        <f t="shared" si="5"/>
        <v>0</v>
      </c>
      <c r="R134" s="102" t="str">
        <f>+IF(Q134+N134&lt;=0, "NO COMPRADOR", +IF(Q134&lt;=0, "SIN COMPRA "&amp;+UPPER(TEXT('DINAMICA ENERO 26'!$C$2,"mmm 'yy")), "COMPRADOR"))</f>
        <v>NO COMPRADOR</v>
      </c>
      <c r="S134" s="100"/>
      <c r="T134" s="101"/>
      <c r="U134" s="100"/>
      <c r="X134" s="101"/>
      <c r="Y134" s="100"/>
    </row>
    <row r="135" spans="1:25" s="104" customFormat="1" ht="14">
      <c r="A135" s="88" t="s">
        <v>85</v>
      </c>
      <c r="B135" s="89" t="s">
        <v>204</v>
      </c>
      <c r="C135" s="89" t="s">
        <v>52</v>
      </c>
      <c r="D135" s="103">
        <v>100073888</v>
      </c>
      <c r="E135" s="89" t="s">
        <v>55</v>
      </c>
      <c r="F135" s="89">
        <v>100086804</v>
      </c>
      <c r="G135" s="128" t="s">
        <v>225</v>
      </c>
      <c r="H135" s="94">
        <v>20.400000000000002</v>
      </c>
      <c r="I135" s="94">
        <v>51.600000000000009</v>
      </c>
      <c r="J135" s="94">
        <v>97.200000000000017</v>
      </c>
      <c r="K135" s="94">
        <v>19.2</v>
      </c>
      <c r="L135" s="94">
        <v>48.6</v>
      </c>
      <c r="M135" s="129">
        <v>5.4</v>
      </c>
      <c r="N135" s="102">
        <f t="shared" si="4"/>
        <v>24.400000000000002</v>
      </c>
      <c r="O135" s="97">
        <v>0</v>
      </c>
      <c r="P135" s="92">
        <v>0</v>
      </c>
      <c r="Q135" s="98">
        <f t="shared" si="5"/>
        <v>0</v>
      </c>
      <c r="R135" s="102" t="str">
        <f>+IF(Q135+N135&lt;=0, "NO COMPRADOR", +IF(Q135&lt;=0, "SIN COMPRA "&amp;+UPPER(TEXT('DINAMICA ENERO 26'!$C$2,"mmm 'yy")), "COMPRADOR"))</f>
        <v>SIN COMPRA FEB '26</v>
      </c>
      <c r="S135" s="100"/>
      <c r="T135" s="101"/>
      <c r="U135" s="100"/>
      <c r="X135" s="101"/>
      <c r="Y135" s="100"/>
    </row>
    <row r="136" spans="1:25" s="104" customFormat="1" ht="14">
      <c r="A136" s="88" t="s">
        <v>85</v>
      </c>
      <c r="B136" s="89" t="s">
        <v>204</v>
      </c>
      <c r="C136" s="89" t="s">
        <v>52</v>
      </c>
      <c r="D136" s="103">
        <v>100073888</v>
      </c>
      <c r="E136" s="89" t="s">
        <v>55</v>
      </c>
      <c r="F136" s="89">
        <v>100084349</v>
      </c>
      <c r="G136" s="128" t="s">
        <v>226</v>
      </c>
      <c r="H136" s="94">
        <v>128.4</v>
      </c>
      <c r="I136" s="94">
        <v>20.400000000000002</v>
      </c>
      <c r="J136" s="94">
        <v>102</v>
      </c>
      <c r="K136" s="94">
        <v>0</v>
      </c>
      <c r="L136" s="94">
        <v>20.400000000000002</v>
      </c>
      <c r="M136" s="129">
        <v>20.400000000000002</v>
      </c>
      <c r="N136" s="102">
        <f t="shared" si="4"/>
        <v>13.600000000000001</v>
      </c>
      <c r="O136" s="97">
        <v>0</v>
      </c>
      <c r="P136" s="92">
        <v>0</v>
      </c>
      <c r="Q136" s="98">
        <f t="shared" si="5"/>
        <v>0</v>
      </c>
      <c r="R136" s="102" t="str">
        <f>+IF(Q136+N136&lt;=0, "NO COMPRADOR", +IF(Q136&lt;=0, "SIN COMPRA "&amp;+UPPER(TEXT('DINAMICA ENERO 26'!$C$2,"mmm 'yy")), "COMPRADOR"))</f>
        <v>SIN COMPRA FEB '26</v>
      </c>
      <c r="S136" s="100"/>
      <c r="T136" s="101"/>
      <c r="U136" s="100"/>
      <c r="X136" s="101"/>
      <c r="Y136" s="100"/>
    </row>
    <row r="137" spans="1:25" s="100" customFormat="1" ht="14">
      <c r="A137" s="88" t="s">
        <v>85</v>
      </c>
      <c r="B137" s="89" t="s">
        <v>204</v>
      </c>
      <c r="C137" s="89" t="s">
        <v>52</v>
      </c>
      <c r="D137" s="103">
        <v>100073888</v>
      </c>
      <c r="E137" s="89" t="s">
        <v>55</v>
      </c>
      <c r="F137" s="89">
        <v>100001752</v>
      </c>
      <c r="G137" s="128" t="s">
        <v>227</v>
      </c>
      <c r="H137" s="94">
        <v>112.2</v>
      </c>
      <c r="I137" s="94">
        <v>10.199999999999999</v>
      </c>
      <c r="J137" s="94">
        <v>21.6</v>
      </c>
      <c r="K137" s="94">
        <v>43.2</v>
      </c>
      <c r="L137" s="94">
        <v>31.200000000000003</v>
      </c>
      <c r="M137" s="129">
        <v>5.4</v>
      </c>
      <c r="N137" s="102">
        <f t="shared" si="4"/>
        <v>26.600000000000005</v>
      </c>
      <c r="O137" s="97">
        <v>0</v>
      </c>
      <c r="P137" s="92">
        <v>0</v>
      </c>
      <c r="Q137" s="98">
        <f t="shared" si="5"/>
        <v>0</v>
      </c>
      <c r="R137" s="102" t="str">
        <f>+IF(Q137+N137&lt;=0, "NO COMPRADOR", +IF(Q137&lt;=0, "SIN COMPRA "&amp;+UPPER(TEXT('DINAMICA ENERO 26'!$C$2,"mmm 'yy")), "COMPRADOR"))</f>
        <v>SIN COMPRA FEB '26</v>
      </c>
      <c r="T137" s="101"/>
      <c r="X137" s="101"/>
    </row>
    <row r="138" spans="1:25" s="100" customFormat="1" ht="14">
      <c r="A138" s="88" t="s">
        <v>85</v>
      </c>
      <c r="B138" s="89" t="s">
        <v>204</v>
      </c>
      <c r="C138" s="89" t="s">
        <v>52</v>
      </c>
      <c r="D138" s="103">
        <v>100073888</v>
      </c>
      <c r="E138" s="89" t="s">
        <v>55</v>
      </c>
      <c r="F138" s="89">
        <v>100081166</v>
      </c>
      <c r="G138" s="128" t="s">
        <v>228</v>
      </c>
      <c r="H138" s="94">
        <v>-5.4</v>
      </c>
      <c r="I138" s="94">
        <v>0</v>
      </c>
      <c r="J138" s="94">
        <v>0</v>
      </c>
      <c r="K138" s="94">
        <v>0</v>
      </c>
      <c r="L138" s="94">
        <v>0</v>
      </c>
      <c r="M138" s="129">
        <v>0</v>
      </c>
      <c r="N138" s="102">
        <f t="shared" si="4"/>
        <v>0</v>
      </c>
      <c r="O138" s="97">
        <v>0</v>
      </c>
      <c r="P138" s="92">
        <v>0</v>
      </c>
      <c r="Q138" s="98">
        <f t="shared" si="5"/>
        <v>0</v>
      </c>
      <c r="R138" s="102" t="str">
        <f>+IF(Q138+N138&lt;=0, "NO COMPRADOR", +IF(Q138&lt;=0, "SIN COMPRA "&amp;+UPPER(TEXT('DINAMICA ENERO 26'!$C$2,"mmm 'yy")), "COMPRADOR"))</f>
        <v>NO COMPRADOR</v>
      </c>
      <c r="T138" s="101"/>
      <c r="X138" s="101"/>
    </row>
    <row r="139" spans="1:25" s="100" customFormat="1" ht="14">
      <c r="A139" s="88" t="s">
        <v>85</v>
      </c>
      <c r="B139" s="89" t="s">
        <v>204</v>
      </c>
      <c r="C139" s="89" t="s">
        <v>52</v>
      </c>
      <c r="D139" s="103">
        <v>100073888</v>
      </c>
      <c r="E139" s="89" t="s">
        <v>55</v>
      </c>
      <c r="F139" s="89">
        <v>100064228</v>
      </c>
      <c r="G139" s="128" t="s">
        <v>229</v>
      </c>
      <c r="H139" s="94">
        <v>20.400000000000002</v>
      </c>
      <c r="I139" s="94">
        <v>15</v>
      </c>
      <c r="J139" s="94">
        <v>9.6</v>
      </c>
      <c r="K139" s="94">
        <v>5.4</v>
      </c>
      <c r="L139" s="94">
        <v>5.4</v>
      </c>
      <c r="M139" s="129">
        <v>5.4</v>
      </c>
      <c r="N139" s="102">
        <f t="shared" si="4"/>
        <v>5.4000000000000012</v>
      </c>
      <c r="O139" s="97">
        <v>0</v>
      </c>
      <c r="P139" s="92">
        <v>0</v>
      </c>
      <c r="Q139" s="98">
        <f t="shared" si="5"/>
        <v>0</v>
      </c>
      <c r="R139" s="102" t="str">
        <f>+IF(Q139+N139&lt;=0, "NO COMPRADOR", +IF(Q139&lt;=0, "SIN COMPRA "&amp;+UPPER(TEXT('DINAMICA ENERO 26'!$C$2,"mmm 'yy")), "COMPRADOR"))</f>
        <v>SIN COMPRA FEB '26</v>
      </c>
      <c r="T139" s="101"/>
      <c r="X139" s="101"/>
    </row>
    <row r="140" spans="1:25" s="100" customFormat="1" ht="14">
      <c r="A140" s="88" t="s">
        <v>85</v>
      </c>
      <c r="B140" s="89" t="s">
        <v>204</v>
      </c>
      <c r="C140" s="89" t="s">
        <v>52</v>
      </c>
      <c r="D140" s="103">
        <v>100073888</v>
      </c>
      <c r="E140" s="89" t="s">
        <v>55</v>
      </c>
      <c r="F140" s="89">
        <v>100083588</v>
      </c>
      <c r="G140" s="128" t="s">
        <v>230</v>
      </c>
      <c r="H140" s="94">
        <v>51.6</v>
      </c>
      <c r="I140" s="94">
        <v>60.6</v>
      </c>
      <c r="J140" s="94">
        <v>65.400000000000006</v>
      </c>
      <c r="K140" s="94">
        <v>4.8</v>
      </c>
      <c r="L140" s="94">
        <v>21.000000000000004</v>
      </c>
      <c r="M140" s="129">
        <v>31.800000000000004</v>
      </c>
      <c r="N140" s="102">
        <f t="shared" si="4"/>
        <v>19.200000000000003</v>
      </c>
      <c r="O140" s="97">
        <v>40.800000000000004</v>
      </c>
      <c r="P140" s="92">
        <v>0</v>
      </c>
      <c r="Q140" s="98">
        <f t="shared" si="5"/>
        <v>40.800000000000004</v>
      </c>
      <c r="R140" s="102" t="str">
        <f>+IF(Q140+N140&lt;=0, "NO COMPRADOR", +IF(Q140&lt;=0, "SIN COMPRA "&amp;+UPPER(TEXT('DINAMICA ENERO 26'!$C$2,"mmm 'yy")), "COMPRADOR"))</f>
        <v>COMPRADOR</v>
      </c>
      <c r="T140" s="101"/>
      <c r="X140" s="101"/>
    </row>
    <row r="141" spans="1:25" s="100" customFormat="1" ht="14">
      <c r="A141" s="88" t="s">
        <v>85</v>
      </c>
      <c r="B141" s="89" t="s">
        <v>204</v>
      </c>
      <c r="C141" s="89" t="s">
        <v>52</v>
      </c>
      <c r="D141" s="103">
        <v>100073888</v>
      </c>
      <c r="E141" s="89" t="s">
        <v>55</v>
      </c>
      <c r="F141" s="89">
        <v>100010576</v>
      </c>
      <c r="G141" s="128" t="s">
        <v>231</v>
      </c>
      <c r="H141" s="94">
        <v>10.8</v>
      </c>
      <c r="I141" s="94">
        <v>0</v>
      </c>
      <c r="J141" s="94">
        <v>0</v>
      </c>
      <c r="K141" s="94">
        <v>0</v>
      </c>
      <c r="L141" s="94">
        <v>10.8</v>
      </c>
      <c r="M141" s="129">
        <v>0</v>
      </c>
      <c r="N141" s="102">
        <f t="shared" si="4"/>
        <v>3.6</v>
      </c>
      <c r="O141" s="97">
        <v>0</v>
      </c>
      <c r="P141" s="92">
        <v>0</v>
      </c>
      <c r="Q141" s="98">
        <f t="shared" si="5"/>
        <v>0</v>
      </c>
      <c r="R141" s="102" t="str">
        <f>+IF(Q141+N141&lt;=0, "NO COMPRADOR", +IF(Q141&lt;=0, "SIN COMPRA "&amp;+UPPER(TEXT('DINAMICA ENERO 26'!$C$2,"mmm 'yy")), "COMPRADOR"))</f>
        <v>SIN COMPRA FEB '26</v>
      </c>
      <c r="T141" s="101"/>
      <c r="X141" s="101"/>
    </row>
    <row r="142" spans="1:25" s="100" customFormat="1" ht="14">
      <c r="A142" s="88" t="s">
        <v>85</v>
      </c>
      <c r="B142" s="89" t="s">
        <v>204</v>
      </c>
      <c r="C142" s="89" t="s">
        <v>52</v>
      </c>
      <c r="D142" s="103">
        <v>100073888</v>
      </c>
      <c r="E142" s="89" t="s">
        <v>55</v>
      </c>
      <c r="F142" s="89">
        <v>100002203</v>
      </c>
      <c r="G142" s="128" t="s">
        <v>232</v>
      </c>
      <c r="H142" s="94">
        <v>20.400000000000002</v>
      </c>
      <c r="I142" s="94">
        <v>-40.800000000000004</v>
      </c>
      <c r="J142" s="94">
        <v>0</v>
      </c>
      <c r="K142" s="94">
        <v>0</v>
      </c>
      <c r="L142" s="94">
        <v>10.199999999999999</v>
      </c>
      <c r="M142" s="129">
        <v>0</v>
      </c>
      <c r="N142" s="102">
        <f t="shared" si="4"/>
        <v>3.4</v>
      </c>
      <c r="O142" s="97">
        <v>0</v>
      </c>
      <c r="P142" s="92">
        <v>0</v>
      </c>
      <c r="Q142" s="98">
        <f t="shared" si="5"/>
        <v>0</v>
      </c>
      <c r="R142" s="102" t="str">
        <f>+IF(Q142+N142&lt;=0, "NO COMPRADOR", +IF(Q142&lt;=0, "SIN COMPRA "&amp;+UPPER(TEXT('DINAMICA ENERO 26'!$C$2,"mmm 'yy")), "COMPRADOR"))</f>
        <v>SIN COMPRA FEB '26</v>
      </c>
      <c r="T142" s="101"/>
      <c r="X142" s="101"/>
    </row>
    <row r="143" spans="1:25" s="100" customFormat="1" ht="14">
      <c r="A143" s="88" t="s">
        <v>85</v>
      </c>
      <c r="B143" s="89" t="s">
        <v>204</v>
      </c>
      <c r="C143" s="89" t="s">
        <v>52</v>
      </c>
      <c r="D143" s="103">
        <v>100073888</v>
      </c>
      <c r="E143" s="89" t="s">
        <v>55</v>
      </c>
      <c r="F143" s="89">
        <v>100001329</v>
      </c>
      <c r="G143" s="128" t="s">
        <v>233</v>
      </c>
      <c r="H143" s="94">
        <v>9.6</v>
      </c>
      <c r="I143" s="94">
        <v>10.8</v>
      </c>
      <c r="J143" s="94">
        <v>20.400000000000002</v>
      </c>
      <c r="K143" s="94">
        <v>0.60000000000000053</v>
      </c>
      <c r="L143" s="94">
        <v>9.6</v>
      </c>
      <c r="M143" s="129">
        <v>5.4</v>
      </c>
      <c r="N143" s="102">
        <f t="shared" si="4"/>
        <v>5.2</v>
      </c>
      <c r="O143" s="97">
        <v>0</v>
      </c>
      <c r="P143" s="92">
        <v>0</v>
      </c>
      <c r="Q143" s="98">
        <f t="shared" si="5"/>
        <v>0</v>
      </c>
      <c r="R143" s="102" t="str">
        <f>+IF(Q143+N143&lt;=0, "NO COMPRADOR", +IF(Q143&lt;=0, "SIN COMPRA "&amp;+UPPER(TEXT('DINAMICA ENERO 26'!$C$2,"mmm 'yy")), "COMPRADOR"))</f>
        <v>SIN COMPRA FEB '26</v>
      </c>
      <c r="T143" s="101"/>
      <c r="X143" s="101"/>
    </row>
    <row r="144" spans="1:25" s="100" customFormat="1" ht="14">
      <c r="A144" s="88" t="s">
        <v>85</v>
      </c>
      <c r="B144" s="89" t="s">
        <v>204</v>
      </c>
      <c r="C144" s="89" t="s">
        <v>52</v>
      </c>
      <c r="D144" s="103">
        <v>100073888</v>
      </c>
      <c r="E144" s="89" t="s">
        <v>55</v>
      </c>
      <c r="F144" s="89">
        <v>100077493</v>
      </c>
      <c r="G144" s="128" t="s">
        <v>234</v>
      </c>
      <c r="H144" s="94">
        <v>108.60000000000001</v>
      </c>
      <c r="I144" s="94">
        <v>33.6</v>
      </c>
      <c r="J144" s="94">
        <v>20.399999999999999</v>
      </c>
      <c r="K144" s="94">
        <v>97.800000000000011</v>
      </c>
      <c r="L144" s="94">
        <v>5.4</v>
      </c>
      <c r="M144" s="129">
        <v>15.600000000000001</v>
      </c>
      <c r="N144" s="102">
        <f t="shared" si="4"/>
        <v>39.6</v>
      </c>
      <c r="O144" s="97">
        <v>0</v>
      </c>
      <c r="P144" s="92">
        <v>0</v>
      </c>
      <c r="Q144" s="98">
        <f t="shared" si="5"/>
        <v>0</v>
      </c>
      <c r="R144" s="102" t="str">
        <f>+IF(Q144+N144&lt;=0, "NO COMPRADOR", +IF(Q144&lt;=0, "SIN COMPRA "&amp;+UPPER(TEXT('DINAMICA ENERO 26'!$C$2,"mmm 'yy")), "COMPRADOR"))</f>
        <v>SIN COMPRA FEB '26</v>
      </c>
      <c r="T144" s="101"/>
      <c r="X144" s="101"/>
    </row>
    <row r="145" spans="1:25" s="100" customFormat="1" ht="14">
      <c r="A145" s="88" t="s">
        <v>85</v>
      </c>
      <c r="B145" s="89" t="s">
        <v>204</v>
      </c>
      <c r="C145" s="89" t="s">
        <v>52</v>
      </c>
      <c r="D145" s="103">
        <v>100073888</v>
      </c>
      <c r="E145" s="89" t="s">
        <v>55</v>
      </c>
      <c r="F145" s="89">
        <v>100084330</v>
      </c>
      <c r="G145" s="128" t="s">
        <v>235</v>
      </c>
      <c r="H145" s="94">
        <v>0</v>
      </c>
      <c r="I145" s="94">
        <v>10.8</v>
      </c>
      <c r="J145" s="94">
        <v>10.8</v>
      </c>
      <c r="K145" s="94">
        <v>0</v>
      </c>
      <c r="L145" s="94">
        <v>0</v>
      </c>
      <c r="M145" s="129">
        <v>0</v>
      </c>
      <c r="N145" s="102">
        <f t="shared" si="4"/>
        <v>0</v>
      </c>
      <c r="O145" s="97">
        <v>0</v>
      </c>
      <c r="P145" s="92">
        <v>0</v>
      </c>
      <c r="Q145" s="98">
        <f t="shared" si="5"/>
        <v>0</v>
      </c>
      <c r="R145" s="102" t="str">
        <f>+IF(Q145+N145&lt;=0, "NO COMPRADOR", +IF(Q145&lt;=0, "SIN COMPRA "&amp;+UPPER(TEXT('DINAMICA ENERO 26'!$C$2,"mmm 'yy")), "COMPRADOR"))</f>
        <v>NO COMPRADOR</v>
      </c>
      <c r="T145" s="101"/>
      <c r="X145" s="101"/>
    </row>
    <row r="146" spans="1:25" s="100" customFormat="1" ht="14">
      <c r="A146" s="88" t="s">
        <v>85</v>
      </c>
      <c r="B146" s="89" t="s">
        <v>236</v>
      </c>
      <c r="C146" s="89" t="s">
        <v>68</v>
      </c>
      <c r="D146" s="103">
        <v>100089354</v>
      </c>
      <c r="E146" s="89" t="s">
        <v>68</v>
      </c>
      <c r="F146" s="89">
        <v>100058447</v>
      </c>
      <c r="G146" s="128" t="s">
        <v>237</v>
      </c>
      <c r="H146" s="94">
        <v>0</v>
      </c>
      <c r="I146" s="94">
        <v>0</v>
      </c>
      <c r="J146" s="94">
        <v>0</v>
      </c>
      <c r="K146" s="94">
        <v>0</v>
      </c>
      <c r="L146" s="94">
        <v>0</v>
      </c>
      <c r="M146" s="129">
        <v>0</v>
      </c>
      <c r="N146" s="102">
        <f t="shared" si="4"/>
        <v>0</v>
      </c>
      <c r="O146" s="97">
        <v>0</v>
      </c>
      <c r="P146" s="92">
        <v>0</v>
      </c>
      <c r="Q146" s="98">
        <f t="shared" si="5"/>
        <v>0</v>
      </c>
      <c r="R146" s="102" t="str">
        <f>+IF(Q146+N146&lt;=0, "NO COMPRADOR", +IF(Q146&lt;=0, "SIN COMPRA "&amp;+UPPER(TEXT('DINAMICA ENERO 26'!$C$2,"mmm 'yy")), "COMPRADOR"))</f>
        <v>NO COMPRADOR</v>
      </c>
      <c r="T146" s="101"/>
      <c r="X146" s="101"/>
    </row>
    <row r="147" spans="1:25" s="100" customFormat="1" ht="14">
      <c r="A147" s="88" t="s">
        <v>85</v>
      </c>
      <c r="B147" s="89" t="s">
        <v>236</v>
      </c>
      <c r="C147" s="89" t="s">
        <v>68</v>
      </c>
      <c r="D147" s="103">
        <v>100089354</v>
      </c>
      <c r="E147" s="89" t="s">
        <v>68</v>
      </c>
      <c r="F147" s="89">
        <v>100079903</v>
      </c>
      <c r="G147" s="128" t="s">
        <v>238</v>
      </c>
      <c r="H147" s="94">
        <v>0</v>
      </c>
      <c r="I147" s="94">
        <v>0</v>
      </c>
      <c r="J147" s="94">
        <v>0</v>
      </c>
      <c r="K147" s="94">
        <v>0</v>
      </c>
      <c r="L147" s="94">
        <v>0</v>
      </c>
      <c r="M147" s="129">
        <v>0</v>
      </c>
      <c r="N147" s="102">
        <f t="shared" si="4"/>
        <v>0</v>
      </c>
      <c r="O147" s="97">
        <v>0</v>
      </c>
      <c r="P147" s="92">
        <v>0</v>
      </c>
      <c r="Q147" s="98">
        <f t="shared" si="5"/>
        <v>0</v>
      </c>
      <c r="R147" s="102" t="str">
        <f>+IF(Q147+N147&lt;=0, "NO COMPRADOR", +IF(Q147&lt;=0, "SIN COMPRA "&amp;+UPPER(TEXT('DINAMICA ENERO 26'!$C$2,"mmm 'yy")), "COMPRADOR"))</f>
        <v>NO COMPRADOR</v>
      </c>
      <c r="T147" s="101"/>
      <c r="X147" s="101"/>
    </row>
    <row r="148" spans="1:25" s="104" customFormat="1" ht="14">
      <c r="A148" s="88" t="s">
        <v>85</v>
      </c>
      <c r="B148" s="89" t="s">
        <v>236</v>
      </c>
      <c r="C148" s="89" t="s">
        <v>68</v>
      </c>
      <c r="D148" s="103">
        <v>100089354</v>
      </c>
      <c r="E148" s="89" t="s">
        <v>68</v>
      </c>
      <c r="F148" s="89">
        <v>100083681</v>
      </c>
      <c r="G148" s="128" t="s">
        <v>239</v>
      </c>
      <c r="H148" s="94">
        <v>0</v>
      </c>
      <c r="I148" s="94">
        <v>0</v>
      </c>
      <c r="J148" s="94">
        <v>0</v>
      </c>
      <c r="K148" s="94">
        <v>0</v>
      </c>
      <c r="L148" s="94">
        <v>0</v>
      </c>
      <c r="M148" s="129">
        <v>0</v>
      </c>
      <c r="N148" s="102">
        <f t="shared" si="4"/>
        <v>0</v>
      </c>
      <c r="O148" s="97">
        <v>0</v>
      </c>
      <c r="P148" s="92">
        <v>0</v>
      </c>
      <c r="Q148" s="98">
        <f t="shared" si="5"/>
        <v>0</v>
      </c>
      <c r="R148" s="102" t="str">
        <f>+IF(Q148+N148&lt;=0, "NO COMPRADOR", +IF(Q148&lt;=0, "SIN COMPRA "&amp;+UPPER(TEXT('DINAMICA ENERO 26'!$C$2,"mmm 'yy")), "COMPRADOR"))</f>
        <v>NO COMPRADOR</v>
      </c>
      <c r="S148" s="100"/>
      <c r="T148" s="101"/>
      <c r="U148" s="100"/>
      <c r="X148" s="101"/>
      <c r="Y148" s="100"/>
    </row>
    <row r="149" spans="1:25" s="100" customFormat="1" ht="14">
      <c r="A149" s="88" t="s">
        <v>85</v>
      </c>
      <c r="B149" s="89" t="s">
        <v>236</v>
      </c>
      <c r="C149" s="89" t="s">
        <v>68</v>
      </c>
      <c r="D149" s="103">
        <v>100031199</v>
      </c>
      <c r="E149" s="89" t="s">
        <v>69</v>
      </c>
      <c r="F149" s="89">
        <v>100088905</v>
      </c>
      <c r="G149" s="128" t="s">
        <v>240</v>
      </c>
      <c r="H149" s="94">
        <v>0</v>
      </c>
      <c r="I149" s="94">
        <v>0</v>
      </c>
      <c r="J149" s="94">
        <v>0</v>
      </c>
      <c r="K149" s="94">
        <v>0</v>
      </c>
      <c r="L149" s="94">
        <v>0</v>
      </c>
      <c r="M149" s="129">
        <v>0</v>
      </c>
      <c r="N149" s="102">
        <f t="shared" si="4"/>
        <v>0</v>
      </c>
      <c r="O149" s="97">
        <v>0</v>
      </c>
      <c r="P149" s="92">
        <v>0</v>
      </c>
      <c r="Q149" s="98">
        <f t="shared" si="5"/>
        <v>0</v>
      </c>
      <c r="R149" s="102" t="str">
        <f>+IF(Q149+N149&lt;=0, "NO COMPRADOR", +IF(Q149&lt;=0, "SIN COMPRA "&amp;+UPPER(TEXT('DINAMICA ENERO 26'!$C$2,"mmm 'yy")), "COMPRADOR"))</f>
        <v>NO COMPRADOR</v>
      </c>
      <c r="T149" s="101"/>
      <c r="X149" s="101"/>
    </row>
    <row r="150" spans="1:25" s="104" customFormat="1" ht="14">
      <c r="A150" s="88" t="s">
        <v>85</v>
      </c>
      <c r="B150" s="89" t="s">
        <v>236</v>
      </c>
      <c r="C150" s="89" t="s">
        <v>68</v>
      </c>
      <c r="D150" s="103">
        <v>100031199</v>
      </c>
      <c r="E150" s="89" t="s">
        <v>69</v>
      </c>
      <c r="F150" s="89">
        <v>100087340</v>
      </c>
      <c r="G150" s="128" t="s">
        <v>241</v>
      </c>
      <c r="H150" s="94">
        <v>0</v>
      </c>
      <c r="I150" s="94">
        <v>0</v>
      </c>
      <c r="J150" s="94">
        <v>0</v>
      </c>
      <c r="K150" s="94">
        <v>0</v>
      </c>
      <c r="L150" s="94">
        <v>0</v>
      </c>
      <c r="M150" s="129">
        <v>0</v>
      </c>
      <c r="N150" s="102">
        <f t="shared" si="4"/>
        <v>0</v>
      </c>
      <c r="O150" s="97">
        <v>0</v>
      </c>
      <c r="P150" s="92">
        <v>0</v>
      </c>
      <c r="Q150" s="98">
        <f t="shared" si="5"/>
        <v>0</v>
      </c>
      <c r="R150" s="102" t="str">
        <f>+IF(Q150+N150&lt;=0, "NO COMPRADOR", +IF(Q150&lt;=0, "SIN COMPRA "&amp;+UPPER(TEXT('DINAMICA ENERO 26'!$C$2,"mmm 'yy")), "COMPRADOR"))</f>
        <v>NO COMPRADOR</v>
      </c>
      <c r="S150" s="100"/>
      <c r="T150" s="101"/>
      <c r="U150" s="100"/>
      <c r="X150" s="101"/>
      <c r="Y150" s="100"/>
    </row>
    <row r="151" spans="1:25" s="100" customFormat="1" ht="14">
      <c r="A151" s="88" t="s">
        <v>85</v>
      </c>
      <c r="B151" s="89" t="s">
        <v>236</v>
      </c>
      <c r="C151" s="89" t="s">
        <v>68</v>
      </c>
      <c r="D151" s="103">
        <v>100031199</v>
      </c>
      <c r="E151" s="89" t="s">
        <v>69</v>
      </c>
      <c r="F151" s="89">
        <v>100087098</v>
      </c>
      <c r="G151" s="128" t="s">
        <v>242</v>
      </c>
      <c r="H151" s="94">
        <v>0</v>
      </c>
      <c r="I151" s="94">
        <v>0</v>
      </c>
      <c r="J151" s="94">
        <v>0</v>
      </c>
      <c r="K151" s="94">
        <v>0</v>
      </c>
      <c r="L151" s="94">
        <v>0</v>
      </c>
      <c r="M151" s="129">
        <v>0</v>
      </c>
      <c r="N151" s="102">
        <f t="shared" si="4"/>
        <v>0</v>
      </c>
      <c r="O151" s="97">
        <v>0</v>
      </c>
      <c r="P151" s="92">
        <v>0</v>
      </c>
      <c r="Q151" s="98">
        <f t="shared" si="5"/>
        <v>0</v>
      </c>
      <c r="R151" s="102" t="str">
        <f>+IF(Q151+N151&lt;=0, "NO COMPRADOR", +IF(Q151&lt;=0, "SIN COMPRA "&amp;+UPPER(TEXT('DINAMICA ENERO 26'!$C$2,"mmm 'yy")), "COMPRADOR"))</f>
        <v>NO COMPRADOR</v>
      </c>
      <c r="T151" s="101"/>
      <c r="X151" s="101"/>
    </row>
    <row r="152" spans="1:25" s="104" customFormat="1" ht="14">
      <c r="A152" s="88" t="s">
        <v>85</v>
      </c>
      <c r="B152" s="89" t="s">
        <v>236</v>
      </c>
      <c r="C152" s="89" t="s">
        <v>68</v>
      </c>
      <c r="D152" s="103">
        <v>100031199</v>
      </c>
      <c r="E152" s="89" t="s">
        <v>69</v>
      </c>
      <c r="F152" s="89">
        <v>100085167</v>
      </c>
      <c r="G152" s="128" t="s">
        <v>243</v>
      </c>
      <c r="H152" s="94">
        <v>0</v>
      </c>
      <c r="I152" s="94">
        <v>0</v>
      </c>
      <c r="J152" s="94">
        <v>0</v>
      </c>
      <c r="K152" s="94">
        <v>0</v>
      </c>
      <c r="L152" s="94">
        <v>0</v>
      </c>
      <c r="M152" s="129">
        <v>0</v>
      </c>
      <c r="N152" s="102">
        <f t="shared" si="4"/>
        <v>0</v>
      </c>
      <c r="O152" s="97">
        <v>0</v>
      </c>
      <c r="P152" s="92">
        <v>0</v>
      </c>
      <c r="Q152" s="98">
        <f t="shared" si="5"/>
        <v>0</v>
      </c>
      <c r="R152" s="102" t="str">
        <f>+IF(Q152+N152&lt;=0, "NO COMPRADOR", +IF(Q152&lt;=0, "SIN COMPRA "&amp;+UPPER(TEXT('DINAMICA ENERO 26'!$C$2,"mmm 'yy")), "COMPRADOR"))</f>
        <v>NO COMPRADOR</v>
      </c>
      <c r="S152" s="100"/>
      <c r="T152" s="101"/>
      <c r="U152" s="100"/>
      <c r="X152" s="101"/>
      <c r="Y152" s="100"/>
    </row>
    <row r="153" spans="1:25" s="104" customFormat="1" ht="14">
      <c r="A153" s="88" t="s">
        <v>85</v>
      </c>
      <c r="B153" s="89" t="s">
        <v>236</v>
      </c>
      <c r="C153" s="89" t="s">
        <v>68</v>
      </c>
      <c r="D153" s="103">
        <v>100031199</v>
      </c>
      <c r="E153" s="89" t="s">
        <v>69</v>
      </c>
      <c r="F153" s="89">
        <v>100085481</v>
      </c>
      <c r="G153" s="128" t="s">
        <v>244</v>
      </c>
      <c r="H153" s="94">
        <v>0</v>
      </c>
      <c r="I153" s="94">
        <v>0</v>
      </c>
      <c r="J153" s="94">
        <v>0</v>
      </c>
      <c r="K153" s="94">
        <v>0</v>
      </c>
      <c r="L153" s="94">
        <v>0</v>
      </c>
      <c r="M153" s="129">
        <v>0</v>
      </c>
      <c r="N153" s="102">
        <f t="shared" si="4"/>
        <v>0</v>
      </c>
      <c r="O153" s="97">
        <v>0</v>
      </c>
      <c r="P153" s="92">
        <v>0</v>
      </c>
      <c r="Q153" s="98">
        <f t="shared" si="5"/>
        <v>0</v>
      </c>
      <c r="R153" s="102" t="str">
        <f>+IF(Q153+N153&lt;=0, "NO COMPRADOR", +IF(Q153&lt;=0, "SIN COMPRA "&amp;+UPPER(TEXT('DINAMICA ENERO 26'!$C$2,"mmm 'yy")), "COMPRADOR"))</f>
        <v>NO COMPRADOR</v>
      </c>
      <c r="S153" s="100"/>
      <c r="T153" s="101"/>
      <c r="U153" s="100"/>
      <c r="X153" s="101"/>
      <c r="Y153" s="100"/>
    </row>
    <row r="154" spans="1:25" s="100" customFormat="1" ht="14">
      <c r="A154" s="88" t="s">
        <v>85</v>
      </c>
      <c r="B154" s="89" t="s">
        <v>236</v>
      </c>
      <c r="C154" s="89" t="s">
        <v>68</v>
      </c>
      <c r="D154" s="103">
        <v>100031199</v>
      </c>
      <c r="E154" s="89" t="s">
        <v>69</v>
      </c>
      <c r="F154" s="89">
        <v>100008613</v>
      </c>
      <c r="G154" s="128" t="s">
        <v>245</v>
      </c>
      <c r="H154" s="94">
        <v>0</v>
      </c>
      <c r="I154" s="94">
        <v>0</v>
      </c>
      <c r="J154" s="94">
        <v>0</v>
      </c>
      <c r="K154" s="94">
        <v>0</v>
      </c>
      <c r="L154" s="94">
        <v>0</v>
      </c>
      <c r="M154" s="129">
        <v>0</v>
      </c>
      <c r="N154" s="102">
        <f t="shared" si="4"/>
        <v>0</v>
      </c>
      <c r="O154" s="97">
        <v>0</v>
      </c>
      <c r="P154" s="92">
        <v>0</v>
      </c>
      <c r="Q154" s="98">
        <f t="shared" si="5"/>
        <v>0</v>
      </c>
      <c r="R154" s="102" t="str">
        <f>+IF(Q154+N154&lt;=0, "NO COMPRADOR", +IF(Q154&lt;=0, "SIN COMPRA "&amp;+UPPER(TEXT('DINAMICA ENERO 26'!$C$2,"mmm 'yy")), "COMPRADOR"))</f>
        <v>NO COMPRADOR</v>
      </c>
      <c r="T154" s="101"/>
      <c r="X154" s="101"/>
    </row>
    <row r="155" spans="1:25" s="100" customFormat="1" ht="14">
      <c r="A155" s="88" t="s">
        <v>85</v>
      </c>
      <c r="B155" s="89" t="s">
        <v>236</v>
      </c>
      <c r="C155" s="89" t="s">
        <v>68</v>
      </c>
      <c r="D155" s="103">
        <v>100031199</v>
      </c>
      <c r="E155" s="89" t="s">
        <v>69</v>
      </c>
      <c r="F155" s="89">
        <v>100002250</v>
      </c>
      <c r="G155" s="128" t="s">
        <v>246</v>
      </c>
      <c r="H155" s="94">
        <v>0</v>
      </c>
      <c r="I155" s="94">
        <v>20.400000000000002</v>
      </c>
      <c r="J155" s="94">
        <v>20.400000000000002</v>
      </c>
      <c r="K155" s="94">
        <v>0</v>
      </c>
      <c r="L155" s="94">
        <v>0</v>
      </c>
      <c r="M155" s="129">
        <v>0</v>
      </c>
      <c r="N155" s="102">
        <f t="shared" si="4"/>
        <v>0</v>
      </c>
      <c r="O155" s="97">
        <v>5.4</v>
      </c>
      <c r="P155" s="92">
        <v>0</v>
      </c>
      <c r="Q155" s="98">
        <f t="shared" si="5"/>
        <v>5.4</v>
      </c>
      <c r="R155" s="102" t="str">
        <f>+IF(Q155+N155&lt;=0, "NO COMPRADOR", +IF(Q155&lt;=0, "SIN COMPRA "&amp;+UPPER(TEXT('DINAMICA ENERO 26'!$C$2,"mmm 'yy")), "COMPRADOR"))</f>
        <v>COMPRADOR</v>
      </c>
      <c r="T155" s="101"/>
      <c r="X155" s="101"/>
    </row>
    <row r="156" spans="1:25" s="104" customFormat="1" ht="14">
      <c r="A156" s="88" t="s">
        <v>85</v>
      </c>
      <c r="B156" s="89" t="s">
        <v>236</v>
      </c>
      <c r="C156" s="89" t="s">
        <v>68</v>
      </c>
      <c r="D156" s="103">
        <v>100031199</v>
      </c>
      <c r="E156" s="89" t="s">
        <v>69</v>
      </c>
      <c r="F156" s="89">
        <v>100002229</v>
      </c>
      <c r="G156" s="128" t="s">
        <v>247</v>
      </c>
      <c r="H156" s="94">
        <v>0</v>
      </c>
      <c r="I156" s="94">
        <v>0</v>
      </c>
      <c r="J156" s="94">
        <v>0</v>
      </c>
      <c r="K156" s="94">
        <v>0</v>
      </c>
      <c r="L156" s="94">
        <v>0</v>
      </c>
      <c r="M156" s="129">
        <v>0</v>
      </c>
      <c r="N156" s="102">
        <f t="shared" si="4"/>
        <v>0</v>
      </c>
      <c r="O156" s="97">
        <v>0</v>
      </c>
      <c r="P156" s="92">
        <v>0</v>
      </c>
      <c r="Q156" s="98">
        <f t="shared" si="5"/>
        <v>0</v>
      </c>
      <c r="R156" s="102" t="str">
        <f>+IF(Q156+N156&lt;=0, "NO COMPRADOR", +IF(Q156&lt;=0, "SIN COMPRA "&amp;+UPPER(TEXT('DINAMICA ENERO 26'!$C$2,"mmm 'yy")), "COMPRADOR"))</f>
        <v>NO COMPRADOR</v>
      </c>
      <c r="S156" s="100"/>
      <c r="T156" s="101"/>
      <c r="U156" s="100"/>
      <c r="X156" s="101"/>
      <c r="Y156" s="100"/>
    </row>
    <row r="157" spans="1:25" s="100" customFormat="1" ht="14">
      <c r="A157" s="88" t="s">
        <v>85</v>
      </c>
      <c r="B157" s="89" t="s">
        <v>236</v>
      </c>
      <c r="C157" s="89" t="s">
        <v>68</v>
      </c>
      <c r="D157" s="103">
        <v>100031199</v>
      </c>
      <c r="E157" s="89" t="s">
        <v>69</v>
      </c>
      <c r="F157" s="89">
        <v>100022327</v>
      </c>
      <c r="G157" s="128" t="s">
        <v>248</v>
      </c>
      <c r="H157" s="94">
        <v>0</v>
      </c>
      <c r="I157" s="94">
        <v>0</v>
      </c>
      <c r="J157" s="94">
        <v>0</v>
      </c>
      <c r="K157" s="94">
        <v>0</v>
      </c>
      <c r="L157" s="94">
        <v>0</v>
      </c>
      <c r="M157" s="129">
        <v>0</v>
      </c>
      <c r="N157" s="102">
        <f t="shared" si="4"/>
        <v>0</v>
      </c>
      <c r="O157" s="97">
        <v>0</v>
      </c>
      <c r="P157" s="92">
        <v>0</v>
      </c>
      <c r="Q157" s="98">
        <f t="shared" si="5"/>
        <v>0</v>
      </c>
      <c r="R157" s="102" t="str">
        <f>+IF(Q157+N157&lt;=0, "NO COMPRADOR", +IF(Q157&lt;=0, "SIN COMPRA "&amp;+UPPER(TEXT('DINAMICA ENERO 26'!$C$2,"mmm 'yy")), "COMPRADOR"))</f>
        <v>NO COMPRADOR</v>
      </c>
      <c r="T157" s="101"/>
      <c r="X157" s="101"/>
    </row>
    <row r="158" spans="1:25" s="100" customFormat="1" ht="14">
      <c r="A158" s="88" t="s">
        <v>85</v>
      </c>
      <c r="B158" s="89" t="s">
        <v>236</v>
      </c>
      <c r="C158" s="89" t="s">
        <v>68</v>
      </c>
      <c r="D158" s="103">
        <v>100031199</v>
      </c>
      <c r="E158" s="89" t="s">
        <v>69</v>
      </c>
      <c r="F158" s="89">
        <v>100002225</v>
      </c>
      <c r="G158" s="128" t="s">
        <v>249</v>
      </c>
      <c r="H158" s="94">
        <v>0</v>
      </c>
      <c r="I158" s="94">
        <v>0</v>
      </c>
      <c r="J158" s="94">
        <v>0</v>
      </c>
      <c r="K158" s="94">
        <v>0</v>
      </c>
      <c r="L158" s="94">
        <v>0</v>
      </c>
      <c r="M158" s="129">
        <v>0</v>
      </c>
      <c r="N158" s="102">
        <f t="shared" si="4"/>
        <v>0</v>
      </c>
      <c r="O158" s="97">
        <v>0</v>
      </c>
      <c r="P158" s="92">
        <v>0</v>
      </c>
      <c r="Q158" s="98">
        <f t="shared" si="5"/>
        <v>0</v>
      </c>
      <c r="R158" s="102" t="str">
        <f>+IF(Q158+N158&lt;=0, "NO COMPRADOR", +IF(Q158&lt;=0, "SIN COMPRA "&amp;+UPPER(TEXT('DINAMICA ENERO 26'!$C$2,"mmm 'yy")), "COMPRADOR"))</f>
        <v>NO COMPRADOR</v>
      </c>
      <c r="T158" s="101"/>
      <c r="X158" s="101"/>
    </row>
    <row r="159" spans="1:25" s="100" customFormat="1" ht="14">
      <c r="A159" s="88" t="s">
        <v>85</v>
      </c>
      <c r="B159" s="89" t="s">
        <v>236</v>
      </c>
      <c r="C159" s="89" t="s">
        <v>68</v>
      </c>
      <c r="D159" s="103">
        <v>100031199</v>
      </c>
      <c r="E159" s="89" t="s">
        <v>69</v>
      </c>
      <c r="F159" s="89">
        <v>100071477</v>
      </c>
      <c r="G159" s="128" t="s">
        <v>250</v>
      </c>
      <c r="H159" s="94">
        <v>0</v>
      </c>
      <c r="I159" s="94">
        <v>0</v>
      </c>
      <c r="J159" s="94">
        <v>0</v>
      </c>
      <c r="K159" s="94">
        <v>0</v>
      </c>
      <c r="L159" s="94">
        <v>0</v>
      </c>
      <c r="M159" s="129">
        <v>0</v>
      </c>
      <c r="N159" s="102">
        <f t="shared" si="4"/>
        <v>0</v>
      </c>
      <c r="O159" s="97">
        <v>0</v>
      </c>
      <c r="P159" s="92">
        <v>0</v>
      </c>
      <c r="Q159" s="98">
        <f>+O159+P159</f>
        <v>0</v>
      </c>
      <c r="R159" s="102" t="str">
        <f>+IF(Q159+N159&lt;=0, "NO COMPRADOR", +IF(Q159&lt;=0, "SIN COMPRA "&amp;+UPPER(TEXT('DINAMICA ENERO 26'!$C$2,"mmm 'yy")), "COMPRADOR"))</f>
        <v>NO COMPRADOR</v>
      </c>
      <c r="T159" s="101"/>
      <c r="X159" s="101"/>
    </row>
    <row r="160" spans="1:25" s="100" customFormat="1" ht="14">
      <c r="A160" s="88" t="s">
        <v>85</v>
      </c>
      <c r="B160" s="89" t="s">
        <v>236</v>
      </c>
      <c r="C160" s="89" t="s">
        <v>68</v>
      </c>
      <c r="D160" s="103">
        <v>100031199</v>
      </c>
      <c r="E160" s="89" t="s">
        <v>69</v>
      </c>
      <c r="F160" s="89">
        <v>100073868</v>
      </c>
      <c r="G160" s="128" t="s">
        <v>251</v>
      </c>
      <c r="H160" s="94">
        <v>0</v>
      </c>
      <c r="I160" s="94">
        <v>0</v>
      </c>
      <c r="J160" s="94">
        <v>0</v>
      </c>
      <c r="K160" s="94">
        <v>0</v>
      </c>
      <c r="L160" s="94">
        <v>0</v>
      </c>
      <c r="M160" s="129">
        <v>0</v>
      </c>
      <c r="N160" s="102">
        <f t="shared" si="4"/>
        <v>0</v>
      </c>
      <c r="O160" s="97">
        <v>0</v>
      </c>
      <c r="P160" s="92">
        <v>0</v>
      </c>
      <c r="Q160" s="98">
        <f t="shared" si="5"/>
        <v>0</v>
      </c>
      <c r="R160" s="102" t="str">
        <f>+IF(Q160+N160&lt;=0, "NO COMPRADOR", +IF(Q160&lt;=0, "SIN COMPRA "&amp;+UPPER(TEXT('DINAMICA ENERO 26'!$C$2,"mmm 'yy")), "COMPRADOR"))</f>
        <v>NO COMPRADOR</v>
      </c>
      <c r="T160" s="101"/>
      <c r="X160" s="101"/>
    </row>
    <row r="161" spans="1:25" s="100" customFormat="1" ht="14">
      <c r="A161" s="88" t="s">
        <v>85</v>
      </c>
      <c r="B161" s="89" t="s">
        <v>236</v>
      </c>
      <c r="C161" s="89" t="s">
        <v>68</v>
      </c>
      <c r="D161" s="103">
        <v>100031199</v>
      </c>
      <c r="E161" s="89" t="s">
        <v>69</v>
      </c>
      <c r="F161" s="89">
        <v>100040021</v>
      </c>
      <c r="G161" s="128" t="s">
        <v>252</v>
      </c>
      <c r="H161" s="94">
        <v>0</v>
      </c>
      <c r="I161" s="94">
        <v>0</v>
      </c>
      <c r="J161" s="94">
        <v>0</v>
      </c>
      <c r="K161" s="94">
        <v>0</v>
      </c>
      <c r="L161" s="94">
        <v>0</v>
      </c>
      <c r="M161" s="129">
        <v>16.200000000000003</v>
      </c>
      <c r="N161" s="102">
        <f t="shared" si="4"/>
        <v>5.4000000000000012</v>
      </c>
      <c r="O161" s="97">
        <v>0</v>
      </c>
      <c r="P161" s="92">
        <v>0</v>
      </c>
      <c r="Q161" s="98">
        <f t="shared" si="5"/>
        <v>0</v>
      </c>
      <c r="R161" s="102" t="str">
        <f>+IF(Q161+N161&lt;=0, "NO COMPRADOR", +IF(Q161&lt;=0, "SIN COMPRA "&amp;+UPPER(TEXT('DINAMICA ENERO 26'!$C$2,"mmm 'yy")), "COMPRADOR"))</f>
        <v>SIN COMPRA FEB '26</v>
      </c>
      <c r="T161" s="101"/>
      <c r="X161" s="101"/>
    </row>
    <row r="162" spans="1:25" s="100" customFormat="1" ht="14">
      <c r="A162" s="88" t="s">
        <v>85</v>
      </c>
      <c r="B162" s="89" t="s">
        <v>236</v>
      </c>
      <c r="C162" s="89" t="s">
        <v>68</v>
      </c>
      <c r="D162" s="103">
        <v>100031199</v>
      </c>
      <c r="E162" s="89" t="s">
        <v>69</v>
      </c>
      <c r="F162" s="89">
        <v>100019451</v>
      </c>
      <c r="G162" s="128" t="s">
        <v>253</v>
      </c>
      <c r="H162" s="94">
        <v>57.599999999999994</v>
      </c>
      <c r="I162" s="94">
        <v>57.599999999999994</v>
      </c>
      <c r="J162" s="94">
        <v>0</v>
      </c>
      <c r="K162" s="94">
        <v>0</v>
      </c>
      <c r="L162" s="94">
        <v>48</v>
      </c>
      <c r="M162" s="129">
        <v>0</v>
      </c>
      <c r="N162" s="102">
        <f t="shared" si="4"/>
        <v>16</v>
      </c>
      <c r="O162" s="97">
        <v>0</v>
      </c>
      <c r="P162" s="92">
        <v>0</v>
      </c>
      <c r="Q162" s="98">
        <f t="shared" si="5"/>
        <v>0</v>
      </c>
      <c r="R162" s="102" t="str">
        <f>+IF(Q162+N162&lt;=0, "NO COMPRADOR", +IF(Q162&lt;=0, "SIN COMPRA "&amp;+UPPER(TEXT('DINAMICA ENERO 26'!$C$2,"mmm 'yy")), "COMPRADOR"))</f>
        <v>SIN COMPRA FEB '26</v>
      </c>
      <c r="T162" s="101"/>
      <c r="X162" s="101"/>
    </row>
    <row r="163" spans="1:25" s="100" customFormat="1" ht="14">
      <c r="A163" s="88" t="s">
        <v>85</v>
      </c>
      <c r="B163" s="89" t="s">
        <v>236</v>
      </c>
      <c r="C163" s="89" t="s">
        <v>68</v>
      </c>
      <c r="D163" s="103">
        <v>100031199</v>
      </c>
      <c r="E163" s="89" t="s">
        <v>69</v>
      </c>
      <c r="F163" s="89">
        <v>100066048</v>
      </c>
      <c r="G163" s="128" t="s">
        <v>254</v>
      </c>
      <c r="H163" s="94">
        <v>0</v>
      </c>
      <c r="I163" s="94">
        <v>0</v>
      </c>
      <c r="J163" s="94">
        <v>0</v>
      </c>
      <c r="K163" s="94">
        <v>0</v>
      </c>
      <c r="L163" s="94">
        <v>0</v>
      </c>
      <c r="M163" s="129">
        <v>0</v>
      </c>
      <c r="N163" s="102">
        <f t="shared" si="4"/>
        <v>0</v>
      </c>
      <c r="O163" s="97">
        <v>0</v>
      </c>
      <c r="P163" s="92">
        <v>0</v>
      </c>
      <c r="Q163" s="98">
        <f t="shared" si="5"/>
        <v>0</v>
      </c>
      <c r="R163" s="102" t="str">
        <f>+IF(Q163+N163&lt;=0, "NO COMPRADOR", +IF(Q163&lt;=0, "SIN COMPRA "&amp;+UPPER(TEXT('DINAMICA ENERO 26'!$C$2,"mmm 'yy")), "COMPRADOR"))</f>
        <v>NO COMPRADOR</v>
      </c>
      <c r="T163" s="101"/>
      <c r="X163" s="101"/>
    </row>
    <row r="164" spans="1:25" s="100" customFormat="1" ht="14">
      <c r="A164" s="88" t="s">
        <v>85</v>
      </c>
      <c r="B164" s="89" t="s">
        <v>236</v>
      </c>
      <c r="C164" s="89" t="s">
        <v>68</v>
      </c>
      <c r="D164" s="103">
        <v>100031199</v>
      </c>
      <c r="E164" s="89" t="s">
        <v>69</v>
      </c>
      <c r="F164" s="89">
        <v>100086078</v>
      </c>
      <c r="G164" s="128" t="s">
        <v>255</v>
      </c>
      <c r="H164" s="94">
        <v>0</v>
      </c>
      <c r="I164" s="94">
        <v>0</v>
      </c>
      <c r="J164" s="94">
        <v>0</v>
      </c>
      <c r="K164" s="94">
        <v>0</v>
      </c>
      <c r="L164" s="94">
        <v>0</v>
      </c>
      <c r="M164" s="129">
        <v>0</v>
      </c>
      <c r="N164" s="102">
        <f t="shared" si="4"/>
        <v>0</v>
      </c>
      <c r="O164" s="97">
        <v>0</v>
      </c>
      <c r="P164" s="92">
        <v>0</v>
      </c>
      <c r="Q164" s="98">
        <f t="shared" si="5"/>
        <v>0</v>
      </c>
      <c r="R164" s="102" t="str">
        <f>+IF(Q164+N164&lt;=0, "NO COMPRADOR", +IF(Q164&lt;=0, "SIN COMPRA "&amp;+UPPER(TEXT('DINAMICA ENERO 26'!$C$2,"mmm 'yy")), "COMPRADOR"))</f>
        <v>NO COMPRADOR</v>
      </c>
      <c r="T164" s="101"/>
      <c r="X164" s="101"/>
    </row>
    <row r="165" spans="1:25" s="100" customFormat="1" ht="14">
      <c r="A165" s="88" t="s">
        <v>85</v>
      </c>
      <c r="B165" s="89" t="s">
        <v>236</v>
      </c>
      <c r="C165" s="89" t="s">
        <v>68</v>
      </c>
      <c r="D165" s="103">
        <v>100031199</v>
      </c>
      <c r="E165" s="89" t="s">
        <v>69</v>
      </c>
      <c r="F165" s="89">
        <v>100089860</v>
      </c>
      <c r="G165" s="128" t="s">
        <v>256</v>
      </c>
      <c r="H165" s="94">
        <v>0</v>
      </c>
      <c r="I165" s="94">
        <v>0</v>
      </c>
      <c r="J165" s="94">
        <v>0</v>
      </c>
      <c r="K165" s="94">
        <v>0</v>
      </c>
      <c r="L165" s="94">
        <v>0</v>
      </c>
      <c r="M165" s="129">
        <v>0</v>
      </c>
      <c r="N165" s="102">
        <f t="shared" si="4"/>
        <v>0</v>
      </c>
      <c r="O165" s="97">
        <v>0</v>
      </c>
      <c r="P165" s="92">
        <v>0</v>
      </c>
      <c r="Q165" s="98">
        <f t="shared" si="5"/>
        <v>0</v>
      </c>
      <c r="R165" s="102" t="str">
        <f>+IF(Q165+N165&lt;=0, "NO COMPRADOR", +IF(Q165&lt;=0, "SIN COMPRA "&amp;+UPPER(TEXT('DINAMICA ENERO 26'!$C$2,"mmm 'yy")), "COMPRADOR"))</f>
        <v>NO COMPRADOR</v>
      </c>
      <c r="T165" s="101"/>
      <c r="X165" s="101"/>
    </row>
    <row r="166" spans="1:25" s="100" customFormat="1" ht="14">
      <c r="A166" s="88" t="s">
        <v>85</v>
      </c>
      <c r="B166" s="89" t="s">
        <v>257</v>
      </c>
      <c r="C166" s="89" t="s">
        <v>43</v>
      </c>
      <c r="D166" s="103">
        <v>100088690</v>
      </c>
      <c r="E166" s="89" t="s">
        <v>45</v>
      </c>
      <c r="F166" s="89">
        <v>100080700</v>
      </c>
      <c r="G166" s="128" t="s">
        <v>258</v>
      </c>
      <c r="H166" s="94">
        <v>5.4</v>
      </c>
      <c r="I166" s="94">
        <v>0</v>
      </c>
      <c r="J166" s="94">
        <v>5.4</v>
      </c>
      <c r="K166" s="94">
        <v>0</v>
      </c>
      <c r="L166" s="94">
        <v>5.4</v>
      </c>
      <c r="M166" s="129">
        <v>-5.4</v>
      </c>
      <c r="N166" s="102">
        <f t="shared" si="4"/>
        <v>0</v>
      </c>
      <c r="O166" s="97">
        <v>0</v>
      </c>
      <c r="P166" s="92">
        <v>0</v>
      </c>
      <c r="Q166" s="98">
        <f>+O166+P166</f>
        <v>0</v>
      </c>
      <c r="R166" s="102" t="str">
        <f>+IF(Q166+N166&lt;=0, "NO COMPRADOR", +IF(Q166&lt;=0, "SIN COMPRA "&amp;+UPPER(TEXT('DINAMICA ENERO 26'!$C$2,"mmm 'yy")), "COMPRADOR"))</f>
        <v>NO COMPRADOR</v>
      </c>
      <c r="T166" s="101"/>
      <c r="X166" s="101"/>
    </row>
    <row r="167" spans="1:25" s="104" customFormat="1" ht="14">
      <c r="A167" s="88" t="s">
        <v>85</v>
      </c>
      <c r="B167" s="89" t="s">
        <v>257</v>
      </c>
      <c r="C167" s="89" t="s">
        <v>43</v>
      </c>
      <c r="D167" s="103">
        <v>100088690</v>
      </c>
      <c r="E167" s="89" t="s">
        <v>45</v>
      </c>
      <c r="F167" s="89">
        <v>100082871</v>
      </c>
      <c r="G167" s="128" t="s">
        <v>259</v>
      </c>
      <c r="H167" s="94">
        <v>5.4</v>
      </c>
      <c r="I167" s="94">
        <v>0</v>
      </c>
      <c r="J167" s="94">
        <v>0</v>
      </c>
      <c r="K167" s="94">
        <v>0</v>
      </c>
      <c r="L167" s="94">
        <v>0</v>
      </c>
      <c r="M167" s="129">
        <v>0</v>
      </c>
      <c r="N167" s="102">
        <f t="shared" si="4"/>
        <v>0</v>
      </c>
      <c r="O167" s="97">
        <v>0</v>
      </c>
      <c r="P167" s="92">
        <v>0</v>
      </c>
      <c r="Q167" s="98">
        <f t="shared" si="5"/>
        <v>0</v>
      </c>
      <c r="R167" s="102" t="str">
        <f>+IF(Q167+N167&lt;=0, "NO COMPRADOR", +IF(Q167&lt;=0, "SIN COMPRA "&amp;+UPPER(TEXT('DINAMICA ENERO 26'!$C$2,"mmm 'yy")), "COMPRADOR"))</f>
        <v>NO COMPRADOR</v>
      </c>
      <c r="S167" s="100"/>
      <c r="T167" s="101"/>
      <c r="U167" s="100"/>
      <c r="X167" s="101"/>
      <c r="Y167" s="100"/>
    </row>
    <row r="168" spans="1:25" s="104" customFormat="1" ht="14">
      <c r="A168" s="88" t="s">
        <v>85</v>
      </c>
      <c r="B168" s="89" t="s">
        <v>257</v>
      </c>
      <c r="C168" s="89" t="s">
        <v>43</v>
      </c>
      <c r="D168" s="103">
        <v>100088690</v>
      </c>
      <c r="E168" s="89" t="s">
        <v>45</v>
      </c>
      <c r="F168" s="89">
        <v>100001500</v>
      </c>
      <c r="G168" s="128" t="s">
        <v>260</v>
      </c>
      <c r="H168" s="94">
        <v>0</v>
      </c>
      <c r="I168" s="94">
        <v>0</v>
      </c>
      <c r="J168" s="94">
        <v>0</v>
      </c>
      <c r="K168" s="94">
        <v>0</v>
      </c>
      <c r="L168" s="94">
        <v>0</v>
      </c>
      <c r="M168" s="129">
        <v>0</v>
      </c>
      <c r="N168" s="102">
        <f t="shared" si="4"/>
        <v>0</v>
      </c>
      <c r="O168" s="97">
        <v>0</v>
      </c>
      <c r="P168" s="92">
        <v>0</v>
      </c>
      <c r="Q168" s="98">
        <f t="shared" si="5"/>
        <v>0</v>
      </c>
      <c r="R168" s="102" t="str">
        <f>+IF(Q168+N168&lt;=0, "NO COMPRADOR", +IF(Q168&lt;=0, "SIN COMPRA "&amp;+UPPER(TEXT('DINAMICA ENERO 26'!$C$2,"mmm 'yy")), "COMPRADOR"))</f>
        <v>NO COMPRADOR</v>
      </c>
      <c r="S168" s="100"/>
      <c r="T168" s="101"/>
      <c r="U168" s="100"/>
      <c r="X168" s="101"/>
      <c r="Y168" s="100"/>
    </row>
    <row r="169" spans="1:25" s="104" customFormat="1" ht="14">
      <c r="A169" s="88" t="s">
        <v>85</v>
      </c>
      <c r="B169" s="89" t="s">
        <v>257</v>
      </c>
      <c r="C169" s="89" t="s">
        <v>43</v>
      </c>
      <c r="D169" s="103">
        <v>100088690</v>
      </c>
      <c r="E169" s="89" t="s">
        <v>45</v>
      </c>
      <c r="F169" s="89">
        <v>100026401</v>
      </c>
      <c r="G169" s="128" t="s">
        <v>261</v>
      </c>
      <c r="H169" s="94">
        <v>66</v>
      </c>
      <c r="I169" s="94">
        <v>71.400000000000006</v>
      </c>
      <c r="J169" s="94">
        <v>30.600000000000005</v>
      </c>
      <c r="K169" s="94">
        <v>94.199999999999989</v>
      </c>
      <c r="L169" s="94">
        <v>31.200000000000003</v>
      </c>
      <c r="M169" s="129">
        <v>69</v>
      </c>
      <c r="N169" s="102">
        <f t="shared" si="4"/>
        <v>64.8</v>
      </c>
      <c r="O169" s="97">
        <v>40.200000000000003</v>
      </c>
      <c r="P169" s="92">
        <v>0</v>
      </c>
      <c r="Q169" s="98">
        <f t="shared" si="5"/>
        <v>40.200000000000003</v>
      </c>
      <c r="R169" s="102" t="str">
        <f>+IF(Q169+N169&lt;=0, "NO COMPRADOR", +IF(Q169&lt;=0, "SIN COMPRA "&amp;+UPPER(TEXT('DINAMICA ENERO 26'!$C$2,"mmm 'yy")), "COMPRADOR"))</f>
        <v>COMPRADOR</v>
      </c>
      <c r="S169" s="100"/>
      <c r="T169" s="101"/>
      <c r="U169" s="100"/>
      <c r="X169" s="101"/>
      <c r="Y169" s="100"/>
    </row>
    <row r="170" spans="1:25" s="100" customFormat="1" ht="14">
      <c r="A170" s="88" t="s">
        <v>85</v>
      </c>
      <c r="B170" s="89" t="s">
        <v>257</v>
      </c>
      <c r="C170" s="89" t="s">
        <v>43</v>
      </c>
      <c r="D170" s="103">
        <v>100088690</v>
      </c>
      <c r="E170" s="89" t="s">
        <v>45</v>
      </c>
      <c r="F170" s="89">
        <v>100067627</v>
      </c>
      <c r="G170" s="128" t="s">
        <v>262</v>
      </c>
      <c r="H170" s="94">
        <v>167.4</v>
      </c>
      <c r="I170" s="94">
        <v>248.40000000000003</v>
      </c>
      <c r="J170" s="94">
        <v>141</v>
      </c>
      <c r="K170" s="94">
        <v>130.19999999999999</v>
      </c>
      <c r="L170" s="94">
        <v>40.800000000000004</v>
      </c>
      <c r="M170" s="129">
        <v>69.599999999999994</v>
      </c>
      <c r="N170" s="102">
        <f t="shared" si="4"/>
        <v>80.2</v>
      </c>
      <c r="O170" s="97">
        <v>132</v>
      </c>
      <c r="P170" s="92">
        <v>0</v>
      </c>
      <c r="Q170" s="98">
        <f t="shared" si="5"/>
        <v>132</v>
      </c>
      <c r="R170" s="102" t="str">
        <f>+IF(Q170+N170&lt;=0, "NO COMPRADOR", +IF(Q170&lt;=0, "SIN COMPRA "&amp;+UPPER(TEXT('DINAMICA ENERO 26'!$C$2,"mmm 'yy")), "COMPRADOR"))</f>
        <v>COMPRADOR</v>
      </c>
      <c r="T170" s="101"/>
      <c r="X170" s="101"/>
    </row>
    <row r="171" spans="1:25" s="100" customFormat="1" ht="14">
      <c r="A171" s="88" t="s">
        <v>85</v>
      </c>
      <c r="B171" s="89" t="s">
        <v>257</v>
      </c>
      <c r="C171" s="89" t="s">
        <v>43</v>
      </c>
      <c r="D171" s="103">
        <v>100088690</v>
      </c>
      <c r="E171" s="89" t="s">
        <v>45</v>
      </c>
      <c r="F171" s="89">
        <v>100072066</v>
      </c>
      <c r="G171" s="128" t="s">
        <v>263</v>
      </c>
      <c r="H171" s="94">
        <v>31.200000000000006</v>
      </c>
      <c r="I171" s="94">
        <v>0</v>
      </c>
      <c r="J171" s="94">
        <v>0</v>
      </c>
      <c r="K171" s="94">
        <v>10.199999999999999</v>
      </c>
      <c r="L171" s="94">
        <v>5.4</v>
      </c>
      <c r="M171" s="129">
        <v>15</v>
      </c>
      <c r="N171" s="102">
        <f t="shared" si="4"/>
        <v>10.200000000000001</v>
      </c>
      <c r="O171" s="97">
        <v>5.4</v>
      </c>
      <c r="P171" s="92">
        <v>0</v>
      </c>
      <c r="Q171" s="98">
        <f t="shared" si="5"/>
        <v>5.4</v>
      </c>
      <c r="R171" s="102" t="str">
        <f>+IF(Q171+N171&lt;=0, "NO COMPRADOR", +IF(Q171&lt;=0, "SIN COMPRA "&amp;+UPPER(TEXT('DINAMICA ENERO 26'!$C$2,"mmm 'yy")), "COMPRADOR"))</f>
        <v>COMPRADOR</v>
      </c>
      <c r="T171" s="101"/>
      <c r="X171" s="101"/>
    </row>
    <row r="172" spans="1:25" s="100" customFormat="1" ht="14">
      <c r="A172" s="88" t="s">
        <v>85</v>
      </c>
      <c r="B172" s="89" t="s">
        <v>257</v>
      </c>
      <c r="C172" s="89" t="s">
        <v>43</v>
      </c>
      <c r="D172" s="103">
        <v>100088690</v>
      </c>
      <c r="E172" s="89" t="s">
        <v>45</v>
      </c>
      <c r="F172" s="89">
        <v>100081814</v>
      </c>
      <c r="G172" s="128" t="s">
        <v>264</v>
      </c>
      <c r="H172" s="94">
        <v>0</v>
      </c>
      <c r="I172" s="94">
        <v>0</v>
      </c>
      <c r="J172" s="94">
        <v>0</v>
      </c>
      <c r="K172" s="94">
        <v>0</v>
      </c>
      <c r="L172" s="94">
        <v>0</v>
      </c>
      <c r="M172" s="129">
        <v>0</v>
      </c>
      <c r="N172" s="102">
        <f t="shared" si="4"/>
        <v>0</v>
      </c>
      <c r="O172" s="97">
        <v>0</v>
      </c>
      <c r="P172" s="92">
        <v>0</v>
      </c>
      <c r="Q172" s="98">
        <f t="shared" si="5"/>
        <v>0</v>
      </c>
      <c r="R172" s="102" t="str">
        <f>+IF(Q172+N172&lt;=0, "NO COMPRADOR", +IF(Q172&lt;=0, "SIN COMPRA "&amp;+UPPER(TEXT('DINAMICA ENERO 26'!$C$2,"mmm 'yy")), "COMPRADOR"))</f>
        <v>NO COMPRADOR</v>
      </c>
      <c r="T172" s="101"/>
      <c r="X172" s="101"/>
    </row>
    <row r="173" spans="1:25" s="100" customFormat="1" ht="14">
      <c r="A173" s="88" t="s">
        <v>85</v>
      </c>
      <c r="B173" s="89" t="s">
        <v>257</v>
      </c>
      <c r="C173" s="89" t="s">
        <v>43</v>
      </c>
      <c r="D173" s="103">
        <v>100088690</v>
      </c>
      <c r="E173" s="89" t="s">
        <v>45</v>
      </c>
      <c r="F173" s="89">
        <v>100072064</v>
      </c>
      <c r="G173" s="128" t="s">
        <v>265</v>
      </c>
      <c r="H173" s="94">
        <v>20.400000000000002</v>
      </c>
      <c r="I173" s="94">
        <v>0</v>
      </c>
      <c r="J173" s="94">
        <v>10.8</v>
      </c>
      <c r="K173" s="94">
        <v>0</v>
      </c>
      <c r="L173" s="94">
        <v>4.8</v>
      </c>
      <c r="M173" s="129">
        <v>0.60000000000000053</v>
      </c>
      <c r="N173" s="102">
        <f t="shared" si="4"/>
        <v>1.8</v>
      </c>
      <c r="O173" s="97">
        <v>10.199999999999999</v>
      </c>
      <c r="P173" s="92">
        <v>0</v>
      </c>
      <c r="Q173" s="98">
        <f t="shared" si="5"/>
        <v>10.199999999999999</v>
      </c>
      <c r="R173" s="102" t="str">
        <f>+IF(Q173+N173&lt;=0, "NO COMPRADOR", +IF(Q173&lt;=0, "SIN COMPRA "&amp;+UPPER(TEXT('DINAMICA ENERO 26'!$C$2,"mmm 'yy")), "COMPRADOR"))</f>
        <v>COMPRADOR</v>
      </c>
      <c r="T173" s="101"/>
      <c r="X173" s="101"/>
    </row>
    <row r="174" spans="1:25" s="100" customFormat="1" ht="14">
      <c r="A174" s="88" t="s">
        <v>85</v>
      </c>
      <c r="B174" s="89" t="s">
        <v>257</v>
      </c>
      <c r="C174" s="89" t="s">
        <v>43</v>
      </c>
      <c r="D174" s="103">
        <v>100088690</v>
      </c>
      <c r="E174" s="89" t="s">
        <v>45</v>
      </c>
      <c r="F174" s="89">
        <v>100080445</v>
      </c>
      <c r="G174" s="128" t="s">
        <v>266</v>
      </c>
      <c r="H174" s="94">
        <v>10.8</v>
      </c>
      <c r="I174" s="94">
        <v>16.200000000000003</v>
      </c>
      <c r="J174" s="94">
        <v>15.600000000000001</v>
      </c>
      <c r="K174" s="94">
        <v>10.8</v>
      </c>
      <c r="L174" s="94">
        <v>5.4</v>
      </c>
      <c r="M174" s="129">
        <v>75</v>
      </c>
      <c r="N174" s="102">
        <f t="shared" si="4"/>
        <v>30.400000000000002</v>
      </c>
      <c r="O174" s="97">
        <v>27</v>
      </c>
      <c r="P174" s="92">
        <v>0</v>
      </c>
      <c r="Q174" s="98">
        <f t="shared" si="5"/>
        <v>27</v>
      </c>
      <c r="R174" s="102" t="str">
        <f>+IF(Q174+N174&lt;=0, "NO COMPRADOR", +IF(Q174&lt;=0, "SIN COMPRA "&amp;+UPPER(TEXT('DINAMICA ENERO 26'!$C$2,"mmm 'yy")), "COMPRADOR"))</f>
        <v>COMPRADOR</v>
      </c>
      <c r="T174" s="101"/>
      <c r="X174" s="101"/>
    </row>
    <row r="175" spans="1:25" s="100" customFormat="1" ht="14">
      <c r="A175" s="88" t="s">
        <v>85</v>
      </c>
      <c r="B175" s="89" t="s">
        <v>257</v>
      </c>
      <c r="C175" s="89" t="s">
        <v>43</v>
      </c>
      <c r="D175" s="103">
        <v>100088690</v>
      </c>
      <c r="E175" s="89" t="s">
        <v>45</v>
      </c>
      <c r="F175" s="89">
        <v>100018910</v>
      </c>
      <c r="G175" s="128" t="s">
        <v>267</v>
      </c>
      <c r="H175" s="94">
        <v>20.400000000000002</v>
      </c>
      <c r="I175" s="94">
        <v>5.4</v>
      </c>
      <c r="J175" s="94">
        <v>5.4</v>
      </c>
      <c r="K175" s="94">
        <v>10.199999999999999</v>
      </c>
      <c r="L175" s="94">
        <v>15.600000000000001</v>
      </c>
      <c r="M175" s="129">
        <v>10.199999999999999</v>
      </c>
      <c r="N175" s="102">
        <f t="shared" si="4"/>
        <v>12</v>
      </c>
      <c r="O175" s="97">
        <v>10.8</v>
      </c>
      <c r="P175" s="92">
        <v>0</v>
      </c>
      <c r="Q175" s="98">
        <f t="shared" si="5"/>
        <v>10.8</v>
      </c>
      <c r="R175" s="102" t="str">
        <f>+IF(Q175+N175&lt;=0, "NO COMPRADOR", +IF(Q175&lt;=0, "SIN COMPRA "&amp;+UPPER(TEXT('DINAMICA ENERO 26'!$C$2,"mmm 'yy")), "COMPRADOR"))</f>
        <v>COMPRADOR</v>
      </c>
      <c r="T175" s="101"/>
      <c r="X175" s="101"/>
    </row>
    <row r="176" spans="1:25" s="100" customFormat="1" ht="14">
      <c r="A176" s="88" t="s">
        <v>85</v>
      </c>
      <c r="B176" s="89" t="s">
        <v>257</v>
      </c>
      <c r="C176" s="89" t="s">
        <v>43</v>
      </c>
      <c r="D176" s="103">
        <v>100088690</v>
      </c>
      <c r="E176" s="89" t="s">
        <v>45</v>
      </c>
      <c r="F176" s="89">
        <v>100072065</v>
      </c>
      <c r="G176" s="128" t="s">
        <v>268</v>
      </c>
      <c r="H176" s="94">
        <v>31.200000000000003</v>
      </c>
      <c r="I176" s="94">
        <v>0</v>
      </c>
      <c r="J176" s="94">
        <v>31.200000000000003</v>
      </c>
      <c r="K176" s="94">
        <v>21.6</v>
      </c>
      <c r="L176" s="94">
        <v>0</v>
      </c>
      <c r="M176" s="129">
        <v>35.400000000000006</v>
      </c>
      <c r="N176" s="102">
        <f t="shared" si="4"/>
        <v>19.000000000000004</v>
      </c>
      <c r="O176" s="97">
        <v>5.4</v>
      </c>
      <c r="P176" s="92">
        <v>0</v>
      </c>
      <c r="Q176" s="98">
        <f t="shared" si="5"/>
        <v>5.4</v>
      </c>
      <c r="R176" s="102" t="str">
        <f>+IF(Q176+N176&lt;=0, "NO COMPRADOR", +IF(Q176&lt;=0, "SIN COMPRA "&amp;+UPPER(TEXT('DINAMICA ENERO 26'!$C$2,"mmm 'yy")), "COMPRADOR"))</f>
        <v>COMPRADOR</v>
      </c>
      <c r="T176" s="101"/>
      <c r="X176" s="101"/>
    </row>
    <row r="177" spans="1:25" s="104" customFormat="1" ht="14">
      <c r="A177" s="88" t="s">
        <v>85</v>
      </c>
      <c r="B177" s="89" t="s">
        <v>257</v>
      </c>
      <c r="C177" s="89" t="s">
        <v>43</v>
      </c>
      <c r="D177" s="103">
        <v>100088690</v>
      </c>
      <c r="E177" s="89" t="s">
        <v>45</v>
      </c>
      <c r="F177" s="89">
        <v>100068677</v>
      </c>
      <c r="G177" s="128" t="s">
        <v>269</v>
      </c>
      <c r="H177" s="94">
        <v>0</v>
      </c>
      <c r="I177" s="94">
        <v>0</v>
      </c>
      <c r="J177" s="94">
        <v>9.6</v>
      </c>
      <c r="K177" s="94">
        <v>0</v>
      </c>
      <c r="L177" s="94">
        <v>5.4</v>
      </c>
      <c r="M177" s="129">
        <v>0</v>
      </c>
      <c r="N177" s="102">
        <f t="shared" si="4"/>
        <v>1.8</v>
      </c>
      <c r="O177" s="97">
        <v>10.8</v>
      </c>
      <c r="P177" s="92">
        <v>0</v>
      </c>
      <c r="Q177" s="98">
        <f t="shared" si="5"/>
        <v>10.8</v>
      </c>
      <c r="R177" s="102" t="str">
        <f>+IF(Q177+N177&lt;=0, "NO COMPRADOR", +IF(Q177&lt;=0, "SIN COMPRA "&amp;+UPPER(TEXT('DINAMICA ENERO 26'!$C$2,"mmm 'yy")), "COMPRADOR"))</f>
        <v>COMPRADOR</v>
      </c>
      <c r="S177" s="100"/>
      <c r="T177" s="101"/>
      <c r="U177" s="100"/>
      <c r="X177" s="101"/>
      <c r="Y177" s="100"/>
    </row>
    <row r="178" spans="1:25" s="100" customFormat="1" ht="14">
      <c r="A178" s="88" t="s">
        <v>85</v>
      </c>
      <c r="B178" s="89" t="s">
        <v>257</v>
      </c>
      <c r="C178" s="89" t="s">
        <v>43</v>
      </c>
      <c r="D178" s="103">
        <v>100088690</v>
      </c>
      <c r="E178" s="89" t="s">
        <v>45</v>
      </c>
      <c r="F178" s="89">
        <v>100017754</v>
      </c>
      <c r="G178" s="128" t="s">
        <v>270</v>
      </c>
      <c r="H178" s="94">
        <v>21.000000000000004</v>
      </c>
      <c r="I178" s="94">
        <v>25.800000000000004</v>
      </c>
      <c r="J178" s="94">
        <v>0</v>
      </c>
      <c r="K178" s="94">
        <v>10.8</v>
      </c>
      <c r="L178" s="94">
        <v>10.8</v>
      </c>
      <c r="M178" s="129">
        <v>0</v>
      </c>
      <c r="N178" s="102">
        <f t="shared" si="4"/>
        <v>7.2</v>
      </c>
      <c r="O178" s="97">
        <v>0</v>
      </c>
      <c r="P178" s="92">
        <v>0</v>
      </c>
      <c r="Q178" s="98">
        <f t="shared" si="5"/>
        <v>0</v>
      </c>
      <c r="R178" s="102" t="str">
        <f>+IF(Q178+N178&lt;=0, "NO COMPRADOR", +IF(Q178&lt;=0, "SIN COMPRA "&amp;+UPPER(TEXT('DINAMICA ENERO 26'!$C$2,"mmm 'yy")), "COMPRADOR"))</f>
        <v>SIN COMPRA FEB '26</v>
      </c>
      <c r="T178" s="101"/>
      <c r="X178" s="101"/>
    </row>
    <row r="179" spans="1:25" s="104" customFormat="1" ht="14">
      <c r="A179" s="88" t="s">
        <v>85</v>
      </c>
      <c r="B179" s="89" t="s">
        <v>257</v>
      </c>
      <c r="C179" s="89" t="s">
        <v>43</v>
      </c>
      <c r="D179" s="103">
        <v>100088690</v>
      </c>
      <c r="E179" s="89" t="s">
        <v>45</v>
      </c>
      <c r="F179" s="89">
        <v>100024126</v>
      </c>
      <c r="G179" s="128" t="s">
        <v>271</v>
      </c>
      <c r="H179" s="94">
        <v>5.4</v>
      </c>
      <c r="I179" s="94">
        <v>0</v>
      </c>
      <c r="J179" s="94">
        <v>5.4</v>
      </c>
      <c r="K179" s="94">
        <v>-5.4</v>
      </c>
      <c r="L179" s="94">
        <v>0</v>
      </c>
      <c r="M179" s="129">
        <v>0</v>
      </c>
      <c r="N179" s="102">
        <f t="shared" si="4"/>
        <v>-1.8</v>
      </c>
      <c r="O179" s="97">
        <v>0</v>
      </c>
      <c r="P179" s="92">
        <v>0</v>
      </c>
      <c r="Q179" s="98">
        <f t="shared" si="5"/>
        <v>0</v>
      </c>
      <c r="R179" s="102" t="str">
        <f>+IF(Q179+N179&lt;=0, "NO COMPRADOR", +IF(Q179&lt;=0, "SIN COMPRA "&amp;+UPPER(TEXT('DINAMICA ENERO 26'!$C$2,"mmm 'yy")), "COMPRADOR"))</f>
        <v>NO COMPRADOR</v>
      </c>
      <c r="S179" s="100"/>
      <c r="T179" s="101"/>
      <c r="U179" s="100"/>
      <c r="X179" s="101"/>
      <c r="Y179" s="100"/>
    </row>
    <row r="180" spans="1:25" s="100" customFormat="1" ht="14">
      <c r="A180" s="88" t="s">
        <v>85</v>
      </c>
      <c r="B180" s="89" t="s">
        <v>257</v>
      </c>
      <c r="C180" s="89" t="s">
        <v>43</v>
      </c>
      <c r="D180" s="103">
        <v>100088690</v>
      </c>
      <c r="E180" s="89" t="s">
        <v>45</v>
      </c>
      <c r="F180" s="89">
        <v>100071480</v>
      </c>
      <c r="G180" s="128" t="s">
        <v>272</v>
      </c>
      <c r="H180" s="94">
        <v>5.4</v>
      </c>
      <c r="I180" s="94">
        <v>0</v>
      </c>
      <c r="J180" s="94">
        <v>5.4</v>
      </c>
      <c r="K180" s="94">
        <v>5.4</v>
      </c>
      <c r="L180" s="94">
        <v>5.4</v>
      </c>
      <c r="M180" s="129">
        <v>28.799999999999997</v>
      </c>
      <c r="N180" s="102">
        <f t="shared" si="4"/>
        <v>13.199999999999998</v>
      </c>
      <c r="O180" s="97">
        <v>0</v>
      </c>
      <c r="P180" s="92">
        <v>0</v>
      </c>
      <c r="Q180" s="98">
        <f t="shared" si="5"/>
        <v>0</v>
      </c>
      <c r="R180" s="102" t="str">
        <f>+IF(Q180+N180&lt;=0, "NO COMPRADOR", +IF(Q180&lt;=0, "SIN COMPRA "&amp;+UPPER(TEXT('DINAMICA ENERO 26'!$C$2,"mmm 'yy")), "COMPRADOR"))</f>
        <v>SIN COMPRA FEB '26</v>
      </c>
      <c r="T180" s="101"/>
      <c r="X180" s="101"/>
    </row>
    <row r="181" spans="1:25" s="104" customFormat="1" ht="14">
      <c r="A181" s="88" t="s">
        <v>85</v>
      </c>
      <c r="B181" s="89" t="s">
        <v>257</v>
      </c>
      <c r="C181" s="89" t="s">
        <v>43</v>
      </c>
      <c r="D181" s="103">
        <v>100088690</v>
      </c>
      <c r="E181" s="89" t="s">
        <v>45</v>
      </c>
      <c r="F181" s="89">
        <v>100063075</v>
      </c>
      <c r="G181" s="128" t="s">
        <v>273</v>
      </c>
      <c r="H181" s="94">
        <v>0</v>
      </c>
      <c r="I181" s="94">
        <v>0</v>
      </c>
      <c r="J181" s="94">
        <v>0</v>
      </c>
      <c r="K181" s="94">
        <v>0</v>
      </c>
      <c r="L181" s="94">
        <v>0</v>
      </c>
      <c r="M181" s="129">
        <v>0</v>
      </c>
      <c r="N181" s="102">
        <f t="shared" si="4"/>
        <v>0</v>
      </c>
      <c r="O181" s="97">
        <v>0</v>
      </c>
      <c r="P181" s="92">
        <v>0</v>
      </c>
      <c r="Q181" s="98">
        <f t="shared" si="5"/>
        <v>0</v>
      </c>
      <c r="R181" s="102" t="str">
        <f>+IF(Q181+N181&lt;=0, "NO COMPRADOR", +IF(Q181&lt;=0, "SIN COMPRA "&amp;+UPPER(TEXT('DINAMICA ENERO 26'!$C$2,"mmm 'yy")), "COMPRADOR"))</f>
        <v>NO COMPRADOR</v>
      </c>
      <c r="S181" s="100"/>
      <c r="T181" s="101"/>
      <c r="U181" s="100"/>
      <c r="X181" s="101"/>
      <c r="Y181" s="100"/>
    </row>
    <row r="182" spans="1:25" s="104" customFormat="1" ht="14">
      <c r="A182" s="88" t="s">
        <v>85</v>
      </c>
      <c r="B182" s="89" t="s">
        <v>257</v>
      </c>
      <c r="C182" s="89" t="s">
        <v>43</v>
      </c>
      <c r="D182" s="103">
        <v>100088690</v>
      </c>
      <c r="E182" s="89" t="s">
        <v>45</v>
      </c>
      <c r="F182" s="89">
        <v>100072084</v>
      </c>
      <c r="G182" s="128" t="s">
        <v>274</v>
      </c>
      <c r="H182" s="94">
        <v>20.400000000000002</v>
      </c>
      <c r="I182" s="94">
        <v>9.6</v>
      </c>
      <c r="J182" s="94">
        <v>0</v>
      </c>
      <c r="K182" s="94">
        <v>10.199999999999999</v>
      </c>
      <c r="L182" s="94">
        <v>5.4</v>
      </c>
      <c r="M182" s="129">
        <v>15.600000000000001</v>
      </c>
      <c r="N182" s="102">
        <f t="shared" si="4"/>
        <v>10.4</v>
      </c>
      <c r="O182" s="97">
        <v>0</v>
      </c>
      <c r="P182" s="92">
        <v>0</v>
      </c>
      <c r="Q182" s="98">
        <f t="shared" si="5"/>
        <v>0</v>
      </c>
      <c r="R182" s="102" t="str">
        <f>+IF(Q182+N182&lt;=0, "NO COMPRADOR", +IF(Q182&lt;=0, "SIN COMPRA "&amp;+UPPER(TEXT('DINAMICA ENERO 26'!$C$2,"mmm 'yy")), "COMPRADOR"))</f>
        <v>SIN COMPRA FEB '26</v>
      </c>
      <c r="S182" s="100"/>
      <c r="T182" s="101"/>
      <c r="U182" s="100"/>
      <c r="X182" s="101"/>
      <c r="Y182" s="100"/>
    </row>
    <row r="183" spans="1:25" s="100" customFormat="1" ht="14">
      <c r="A183" s="88" t="s">
        <v>85</v>
      </c>
      <c r="B183" s="89" t="s">
        <v>257</v>
      </c>
      <c r="C183" s="89" t="s">
        <v>43</v>
      </c>
      <c r="D183" s="103">
        <v>100088690</v>
      </c>
      <c r="E183" s="89" t="s">
        <v>45</v>
      </c>
      <c r="F183" s="89">
        <v>100000283</v>
      </c>
      <c r="G183" s="128" t="s">
        <v>275</v>
      </c>
      <c r="H183" s="94">
        <v>51.600000000000009</v>
      </c>
      <c r="I183" s="94">
        <v>82.800000000000011</v>
      </c>
      <c r="J183" s="94">
        <v>62.4</v>
      </c>
      <c r="K183" s="94">
        <v>21.6</v>
      </c>
      <c r="L183" s="94">
        <v>37.799999999999997</v>
      </c>
      <c r="M183" s="129">
        <v>61.2</v>
      </c>
      <c r="N183" s="102">
        <f t="shared" si="4"/>
        <v>40.199999999999996</v>
      </c>
      <c r="O183" s="97">
        <v>15.600000000000001</v>
      </c>
      <c r="P183" s="92">
        <v>0</v>
      </c>
      <c r="Q183" s="98">
        <f t="shared" si="5"/>
        <v>15.600000000000001</v>
      </c>
      <c r="R183" s="102" t="str">
        <f>+IF(Q183+N183&lt;=0, "NO COMPRADOR", +IF(Q183&lt;=0, "SIN COMPRA "&amp;+UPPER(TEXT('DINAMICA ENERO 26'!$C$2,"mmm 'yy")), "COMPRADOR"))</f>
        <v>COMPRADOR</v>
      </c>
      <c r="T183" s="101"/>
      <c r="X183" s="101"/>
    </row>
    <row r="184" spans="1:25" s="104" customFormat="1" ht="14">
      <c r="A184" s="88" t="s">
        <v>85</v>
      </c>
      <c r="B184" s="89" t="s">
        <v>257</v>
      </c>
      <c r="C184" s="89" t="s">
        <v>43</v>
      </c>
      <c r="D184" s="103">
        <v>100088690</v>
      </c>
      <c r="E184" s="89" t="s">
        <v>45</v>
      </c>
      <c r="F184" s="89">
        <v>100001254</v>
      </c>
      <c r="G184" s="128" t="s">
        <v>276</v>
      </c>
      <c r="H184" s="94">
        <v>0</v>
      </c>
      <c r="I184" s="94">
        <v>0</v>
      </c>
      <c r="J184" s="94">
        <v>0</v>
      </c>
      <c r="K184" s="94">
        <v>0</v>
      </c>
      <c r="L184" s="94">
        <v>0</v>
      </c>
      <c r="M184" s="129">
        <v>0</v>
      </c>
      <c r="N184" s="102">
        <f t="shared" si="4"/>
        <v>0</v>
      </c>
      <c r="O184" s="97">
        <v>0</v>
      </c>
      <c r="P184" s="92">
        <v>0</v>
      </c>
      <c r="Q184" s="98">
        <f t="shared" si="5"/>
        <v>0</v>
      </c>
      <c r="R184" s="102" t="str">
        <f>+IF(Q184+N184&lt;=0, "NO COMPRADOR", +IF(Q184&lt;=0, "SIN COMPRA "&amp;+UPPER(TEXT('DINAMICA ENERO 26'!$C$2,"mmm 'yy")), "COMPRADOR"))</f>
        <v>NO COMPRADOR</v>
      </c>
      <c r="S184" s="100"/>
      <c r="T184" s="101"/>
      <c r="U184" s="100"/>
      <c r="X184" s="101"/>
      <c r="Y184" s="100"/>
    </row>
    <row r="185" spans="1:25" s="104" customFormat="1" ht="14">
      <c r="A185" s="88" t="s">
        <v>85</v>
      </c>
      <c r="B185" s="89" t="s">
        <v>257</v>
      </c>
      <c r="C185" s="89" t="s">
        <v>43</v>
      </c>
      <c r="D185" s="103">
        <v>100088690</v>
      </c>
      <c r="E185" s="89" t="s">
        <v>45</v>
      </c>
      <c r="F185" s="89">
        <v>100088794</v>
      </c>
      <c r="G185" s="128" t="s">
        <v>277</v>
      </c>
      <c r="H185" s="94">
        <v>0</v>
      </c>
      <c r="I185" s="94">
        <v>0</v>
      </c>
      <c r="J185" s="94">
        <v>0</v>
      </c>
      <c r="K185" s="94">
        <v>0</v>
      </c>
      <c r="L185" s="94">
        <v>0</v>
      </c>
      <c r="M185" s="129">
        <v>0</v>
      </c>
      <c r="N185" s="102">
        <f t="shared" si="4"/>
        <v>0</v>
      </c>
      <c r="O185" s="97">
        <v>0</v>
      </c>
      <c r="P185" s="92">
        <v>0</v>
      </c>
      <c r="Q185" s="98">
        <f t="shared" si="5"/>
        <v>0</v>
      </c>
      <c r="R185" s="102" t="str">
        <f>+IF(Q185+N185&lt;=0, "NO COMPRADOR", +IF(Q185&lt;=0, "SIN COMPRA "&amp;+UPPER(TEXT('DINAMICA ENERO 26'!$C$2,"mmm 'yy")), "COMPRADOR"))</f>
        <v>NO COMPRADOR</v>
      </c>
      <c r="S185" s="100"/>
      <c r="T185" s="101"/>
      <c r="U185" s="100"/>
      <c r="X185" s="101"/>
      <c r="Y185" s="100"/>
    </row>
    <row r="186" spans="1:25" s="100" customFormat="1" ht="14">
      <c r="A186" s="88" t="s">
        <v>85</v>
      </c>
      <c r="B186" s="89" t="s">
        <v>257</v>
      </c>
      <c r="C186" s="89" t="s">
        <v>43</v>
      </c>
      <c r="D186" s="103">
        <v>100088690</v>
      </c>
      <c r="E186" s="89" t="s">
        <v>45</v>
      </c>
      <c r="F186" s="89">
        <v>100088316</v>
      </c>
      <c r="G186" s="128" t="s">
        <v>278</v>
      </c>
      <c r="H186" s="94">
        <v>21.6</v>
      </c>
      <c r="I186" s="94">
        <v>42</v>
      </c>
      <c r="J186" s="94">
        <v>58.2</v>
      </c>
      <c r="K186" s="94">
        <v>85.2</v>
      </c>
      <c r="L186" s="94">
        <v>64.2</v>
      </c>
      <c r="M186" s="129">
        <v>15.600000000000001</v>
      </c>
      <c r="N186" s="102">
        <f t="shared" si="4"/>
        <v>55</v>
      </c>
      <c r="O186" s="97">
        <v>37.200000000000003</v>
      </c>
      <c r="P186" s="92">
        <v>0</v>
      </c>
      <c r="Q186" s="98">
        <f t="shared" si="5"/>
        <v>37.200000000000003</v>
      </c>
      <c r="R186" s="102" t="str">
        <f>+IF(Q186+N186&lt;=0, "NO COMPRADOR", +IF(Q186&lt;=0, "SIN COMPRA "&amp;+UPPER(TEXT('DINAMICA ENERO 26'!$C$2,"mmm 'yy")), "COMPRADOR"))</f>
        <v>COMPRADOR</v>
      </c>
      <c r="T186" s="101"/>
      <c r="X186" s="101"/>
    </row>
    <row r="187" spans="1:25" s="100" customFormat="1" ht="14">
      <c r="A187" s="88" t="s">
        <v>85</v>
      </c>
      <c r="B187" s="89" t="s">
        <v>257</v>
      </c>
      <c r="C187" s="89" t="s">
        <v>43</v>
      </c>
      <c r="D187" s="103">
        <v>100088690</v>
      </c>
      <c r="E187" s="89" t="s">
        <v>45</v>
      </c>
      <c r="F187" s="89">
        <v>100089468</v>
      </c>
      <c r="G187" s="128" t="s">
        <v>279</v>
      </c>
      <c r="H187" s="94">
        <v>63.6</v>
      </c>
      <c r="I187" s="94">
        <v>91.2</v>
      </c>
      <c r="J187" s="94">
        <v>43.2</v>
      </c>
      <c r="K187" s="94">
        <v>14.399999999999999</v>
      </c>
      <c r="L187" s="94">
        <v>5.4</v>
      </c>
      <c r="M187" s="129">
        <v>0</v>
      </c>
      <c r="N187" s="102">
        <f t="shared" si="4"/>
        <v>6.5999999999999988</v>
      </c>
      <c r="O187" s="97">
        <v>4.8</v>
      </c>
      <c r="P187" s="92">
        <v>0</v>
      </c>
      <c r="Q187" s="98">
        <f t="shared" si="5"/>
        <v>4.8</v>
      </c>
      <c r="R187" s="102" t="str">
        <f>+IF(Q187+N187&lt;=0, "NO COMPRADOR", +IF(Q187&lt;=0, "SIN COMPRA "&amp;+UPPER(TEXT('DINAMICA ENERO 26'!$C$2,"mmm 'yy")), "COMPRADOR"))</f>
        <v>COMPRADOR</v>
      </c>
      <c r="T187" s="101"/>
      <c r="X187" s="101"/>
    </row>
    <row r="188" spans="1:25" s="100" customFormat="1" ht="14">
      <c r="A188" s="88" t="s">
        <v>85</v>
      </c>
      <c r="B188" s="89" t="s">
        <v>257</v>
      </c>
      <c r="C188" s="89" t="s">
        <v>43</v>
      </c>
      <c r="D188" s="103">
        <v>100089856</v>
      </c>
      <c r="E188" s="89" t="s">
        <v>49</v>
      </c>
      <c r="F188" s="89">
        <v>100001543</v>
      </c>
      <c r="G188" s="128" t="s">
        <v>280</v>
      </c>
      <c r="H188" s="94">
        <v>40.800000000000004</v>
      </c>
      <c r="I188" s="94">
        <v>10.8</v>
      </c>
      <c r="J188" s="94">
        <v>4.8</v>
      </c>
      <c r="K188" s="94">
        <v>5.4</v>
      </c>
      <c r="L188" s="94">
        <v>5.4</v>
      </c>
      <c r="M188" s="129">
        <v>0</v>
      </c>
      <c r="N188" s="102">
        <f t="shared" si="4"/>
        <v>3.6</v>
      </c>
      <c r="O188" s="97">
        <v>10.199999999999999</v>
      </c>
      <c r="P188" s="92">
        <v>0</v>
      </c>
      <c r="Q188" s="98">
        <f t="shared" si="5"/>
        <v>10.199999999999999</v>
      </c>
      <c r="R188" s="102" t="str">
        <f>+IF(Q188+N188&lt;=0, "NO COMPRADOR", +IF(Q188&lt;=0, "SIN COMPRA "&amp;+UPPER(TEXT('DINAMICA ENERO 26'!$C$2,"mmm 'yy")), "COMPRADOR"))</f>
        <v>COMPRADOR</v>
      </c>
      <c r="T188" s="101"/>
      <c r="X188" s="101"/>
    </row>
    <row r="189" spans="1:25" s="104" customFormat="1" ht="14">
      <c r="A189" s="88" t="s">
        <v>85</v>
      </c>
      <c r="B189" s="89" t="s">
        <v>257</v>
      </c>
      <c r="C189" s="89" t="s">
        <v>43</v>
      </c>
      <c r="D189" s="103">
        <v>100089856</v>
      </c>
      <c r="E189" s="89" t="s">
        <v>49</v>
      </c>
      <c r="F189" s="89">
        <v>100066164</v>
      </c>
      <c r="G189" s="128" t="s">
        <v>281</v>
      </c>
      <c r="H189" s="94">
        <v>25.800000000000004</v>
      </c>
      <c r="I189" s="94">
        <v>20.400000000000002</v>
      </c>
      <c r="J189" s="94">
        <v>10.8</v>
      </c>
      <c r="K189" s="94">
        <v>48.6</v>
      </c>
      <c r="L189" s="94">
        <v>10.8</v>
      </c>
      <c r="M189" s="129">
        <v>4.8</v>
      </c>
      <c r="N189" s="102">
        <f t="shared" si="4"/>
        <v>21.400000000000002</v>
      </c>
      <c r="O189" s="97">
        <v>0</v>
      </c>
      <c r="P189" s="92">
        <v>0</v>
      </c>
      <c r="Q189" s="98">
        <f t="shared" si="5"/>
        <v>0</v>
      </c>
      <c r="R189" s="102" t="str">
        <f>+IF(Q189+N189&lt;=0, "NO COMPRADOR", +IF(Q189&lt;=0, "SIN COMPRA "&amp;+UPPER(TEXT('DINAMICA ENERO 26'!$C$2,"mmm 'yy")), "COMPRADOR"))</f>
        <v>SIN COMPRA FEB '26</v>
      </c>
      <c r="S189" s="100"/>
      <c r="T189" s="101"/>
      <c r="U189" s="100"/>
      <c r="X189" s="101"/>
      <c r="Y189" s="100"/>
    </row>
    <row r="190" spans="1:25" s="104" customFormat="1" ht="14">
      <c r="A190" s="88" t="s">
        <v>85</v>
      </c>
      <c r="B190" s="89" t="s">
        <v>257</v>
      </c>
      <c r="C190" s="89" t="s">
        <v>43</v>
      </c>
      <c r="D190" s="103">
        <v>100089856</v>
      </c>
      <c r="E190" s="89" t="s">
        <v>49</v>
      </c>
      <c r="F190" s="89">
        <v>100034611</v>
      </c>
      <c r="G190" s="128" t="s">
        <v>282</v>
      </c>
      <c r="H190" s="94">
        <v>0</v>
      </c>
      <c r="I190" s="94">
        <v>0</v>
      </c>
      <c r="J190" s="94">
        <v>0</v>
      </c>
      <c r="K190" s="94">
        <v>0</v>
      </c>
      <c r="L190" s="94">
        <v>0</v>
      </c>
      <c r="M190" s="129">
        <v>0</v>
      </c>
      <c r="N190" s="102">
        <f t="shared" si="4"/>
        <v>0</v>
      </c>
      <c r="O190" s="97">
        <v>0</v>
      </c>
      <c r="P190" s="92">
        <v>0</v>
      </c>
      <c r="Q190" s="98">
        <f t="shared" si="5"/>
        <v>0</v>
      </c>
      <c r="R190" s="102" t="str">
        <f>+IF(Q190+N190&lt;=0, "NO COMPRADOR", +IF(Q190&lt;=0, "SIN COMPRA "&amp;+UPPER(TEXT('DINAMICA ENERO 26'!$C$2,"mmm 'yy")), "COMPRADOR"))</f>
        <v>NO COMPRADOR</v>
      </c>
      <c r="S190" s="100"/>
      <c r="T190" s="101"/>
      <c r="U190" s="100"/>
      <c r="X190" s="101"/>
      <c r="Y190" s="100"/>
    </row>
    <row r="191" spans="1:25" s="104" customFormat="1" ht="14">
      <c r="A191" s="88" t="s">
        <v>85</v>
      </c>
      <c r="B191" s="89" t="s">
        <v>257</v>
      </c>
      <c r="C191" s="89" t="s">
        <v>43</v>
      </c>
      <c r="D191" s="103">
        <v>100089856</v>
      </c>
      <c r="E191" s="89" t="s">
        <v>49</v>
      </c>
      <c r="F191" s="89">
        <v>100001907</v>
      </c>
      <c r="G191" s="128" t="s">
        <v>283</v>
      </c>
      <c r="H191" s="94">
        <v>63.599999999999994</v>
      </c>
      <c r="I191" s="94">
        <v>54</v>
      </c>
      <c r="J191" s="94">
        <v>63.599999999999994</v>
      </c>
      <c r="K191" s="94">
        <v>51</v>
      </c>
      <c r="L191" s="94">
        <v>54</v>
      </c>
      <c r="M191" s="129">
        <v>27</v>
      </c>
      <c r="N191" s="102">
        <f t="shared" si="4"/>
        <v>44</v>
      </c>
      <c r="O191" s="97">
        <v>21.6</v>
      </c>
      <c r="P191" s="92">
        <v>0</v>
      </c>
      <c r="Q191" s="98">
        <f t="shared" si="5"/>
        <v>21.6</v>
      </c>
      <c r="R191" s="102" t="str">
        <f>+IF(Q191+N191&lt;=0, "NO COMPRADOR", +IF(Q191&lt;=0, "SIN COMPRA "&amp;+UPPER(TEXT('DINAMICA ENERO 26'!$C$2,"mmm 'yy")), "COMPRADOR"))</f>
        <v>COMPRADOR</v>
      </c>
      <c r="S191" s="100"/>
      <c r="T191" s="101"/>
      <c r="U191" s="100"/>
      <c r="X191" s="101"/>
      <c r="Y191" s="100"/>
    </row>
    <row r="192" spans="1:25" s="104" customFormat="1" ht="14">
      <c r="A192" s="88" t="s">
        <v>85</v>
      </c>
      <c r="B192" s="89" t="s">
        <v>257</v>
      </c>
      <c r="C192" s="89" t="s">
        <v>43</v>
      </c>
      <c r="D192" s="103">
        <v>100089856</v>
      </c>
      <c r="E192" s="89" t="s">
        <v>49</v>
      </c>
      <c r="F192" s="89">
        <v>100068177</v>
      </c>
      <c r="G192" s="128" t="s">
        <v>284</v>
      </c>
      <c r="H192" s="94">
        <v>31.200000000000003</v>
      </c>
      <c r="I192" s="94">
        <v>0</v>
      </c>
      <c r="J192" s="94">
        <v>20.400000000000002</v>
      </c>
      <c r="K192" s="94">
        <v>32.400000000000006</v>
      </c>
      <c r="L192" s="94">
        <v>4.8</v>
      </c>
      <c r="M192" s="129">
        <v>0</v>
      </c>
      <c r="N192" s="102">
        <f t="shared" si="4"/>
        <v>12.4</v>
      </c>
      <c r="O192" s="97">
        <v>32.400000000000006</v>
      </c>
      <c r="P192" s="92">
        <v>0</v>
      </c>
      <c r="Q192" s="98">
        <f t="shared" si="5"/>
        <v>32.400000000000006</v>
      </c>
      <c r="R192" s="102" t="str">
        <f>+IF(Q192+N192&lt;=0, "NO COMPRADOR", +IF(Q192&lt;=0, "SIN COMPRA "&amp;+UPPER(TEXT('DINAMICA ENERO 26'!$C$2,"mmm 'yy")), "COMPRADOR"))</f>
        <v>COMPRADOR</v>
      </c>
      <c r="S192" s="100"/>
      <c r="T192" s="101"/>
      <c r="U192" s="100"/>
      <c r="X192" s="101"/>
      <c r="Y192" s="100"/>
    </row>
    <row r="193" spans="1:25" s="100" customFormat="1" ht="14">
      <c r="A193" s="88" t="s">
        <v>85</v>
      </c>
      <c r="B193" s="89" t="s">
        <v>257</v>
      </c>
      <c r="C193" s="89" t="s">
        <v>43</v>
      </c>
      <c r="D193" s="103">
        <v>100089856</v>
      </c>
      <c r="E193" s="89" t="s">
        <v>49</v>
      </c>
      <c r="F193" s="89">
        <v>100062882</v>
      </c>
      <c r="G193" s="128" t="s">
        <v>285</v>
      </c>
      <c r="H193" s="94">
        <v>4.8</v>
      </c>
      <c r="I193" s="94">
        <v>10.199999999999999</v>
      </c>
      <c r="J193" s="94">
        <v>-0.60000000000000053</v>
      </c>
      <c r="K193" s="94">
        <v>0.60000000000000053</v>
      </c>
      <c r="L193" s="94">
        <v>0</v>
      </c>
      <c r="M193" s="129">
        <v>0</v>
      </c>
      <c r="N193" s="102">
        <f t="shared" si="4"/>
        <v>0.20000000000000018</v>
      </c>
      <c r="O193" s="97">
        <v>0</v>
      </c>
      <c r="P193" s="92">
        <v>0</v>
      </c>
      <c r="Q193" s="98">
        <f t="shared" si="5"/>
        <v>0</v>
      </c>
      <c r="R193" s="102" t="str">
        <f>+IF(Q193+N193&lt;=0, "NO COMPRADOR", +IF(Q193&lt;=0, "SIN COMPRA "&amp;+UPPER(TEXT('DINAMICA ENERO 26'!$C$2,"mmm 'yy")), "COMPRADOR"))</f>
        <v>SIN COMPRA FEB '26</v>
      </c>
      <c r="T193" s="101"/>
      <c r="X193" s="101"/>
    </row>
    <row r="194" spans="1:25" s="104" customFormat="1" ht="14">
      <c r="A194" s="88" t="s">
        <v>85</v>
      </c>
      <c r="B194" s="89" t="s">
        <v>257</v>
      </c>
      <c r="C194" s="89" t="s">
        <v>43</v>
      </c>
      <c r="D194" s="103">
        <v>100089856</v>
      </c>
      <c r="E194" s="89" t="s">
        <v>49</v>
      </c>
      <c r="F194" s="89">
        <v>100001936</v>
      </c>
      <c r="G194" s="128" t="s">
        <v>286</v>
      </c>
      <c r="H194" s="94">
        <v>0</v>
      </c>
      <c r="I194" s="94">
        <v>16.200000000000003</v>
      </c>
      <c r="J194" s="94">
        <v>10.8</v>
      </c>
      <c r="K194" s="94">
        <v>0</v>
      </c>
      <c r="L194" s="94">
        <v>0</v>
      </c>
      <c r="M194" s="129">
        <v>0</v>
      </c>
      <c r="N194" s="102">
        <f t="shared" si="4"/>
        <v>0</v>
      </c>
      <c r="O194" s="97">
        <v>0</v>
      </c>
      <c r="P194" s="92">
        <v>0</v>
      </c>
      <c r="Q194" s="98">
        <f t="shared" si="5"/>
        <v>0</v>
      </c>
      <c r="R194" s="102" t="str">
        <f>+IF(Q194+N194&lt;=0, "NO COMPRADOR", +IF(Q194&lt;=0, "SIN COMPRA "&amp;+UPPER(TEXT('DINAMICA ENERO 26'!$C$2,"mmm 'yy")), "COMPRADOR"))</f>
        <v>NO COMPRADOR</v>
      </c>
      <c r="S194" s="100"/>
      <c r="T194" s="101"/>
      <c r="U194" s="100"/>
      <c r="X194" s="101"/>
      <c r="Y194" s="100"/>
    </row>
    <row r="195" spans="1:25" s="104" customFormat="1" ht="14">
      <c r="A195" s="88" t="s">
        <v>85</v>
      </c>
      <c r="B195" s="89" t="s">
        <v>257</v>
      </c>
      <c r="C195" s="89" t="s">
        <v>43</v>
      </c>
      <c r="D195" s="103">
        <v>100089856</v>
      </c>
      <c r="E195" s="89" t="s">
        <v>49</v>
      </c>
      <c r="F195" s="89">
        <v>100001513</v>
      </c>
      <c r="G195" s="128" t="s">
        <v>287</v>
      </c>
      <c r="H195" s="94">
        <v>0</v>
      </c>
      <c r="I195" s="94">
        <v>0</v>
      </c>
      <c r="J195" s="94">
        <v>4.8</v>
      </c>
      <c r="K195" s="94">
        <v>0</v>
      </c>
      <c r="L195" s="94">
        <v>0</v>
      </c>
      <c r="M195" s="129">
        <v>0</v>
      </c>
      <c r="N195" s="102">
        <f t="shared" ref="N195:N258" si="6">+AVERAGE(K195:M195)</f>
        <v>0</v>
      </c>
      <c r="O195" s="97">
        <v>0</v>
      </c>
      <c r="P195" s="92">
        <v>0</v>
      </c>
      <c r="Q195" s="98">
        <f t="shared" si="5"/>
        <v>0</v>
      </c>
      <c r="R195" s="102" t="str">
        <f>+IF(Q195+N195&lt;=0, "NO COMPRADOR", +IF(Q195&lt;=0, "SIN COMPRA "&amp;+UPPER(TEXT('DINAMICA ENERO 26'!$C$2,"mmm 'yy")), "COMPRADOR"))</f>
        <v>NO COMPRADOR</v>
      </c>
      <c r="S195" s="100"/>
      <c r="T195" s="101"/>
      <c r="U195" s="100"/>
      <c r="X195" s="101"/>
      <c r="Y195" s="100"/>
    </row>
    <row r="196" spans="1:25" s="104" customFormat="1" ht="14">
      <c r="A196" s="88" t="s">
        <v>85</v>
      </c>
      <c r="B196" s="89" t="s">
        <v>257</v>
      </c>
      <c r="C196" s="89" t="s">
        <v>43</v>
      </c>
      <c r="D196" s="103">
        <v>100089856</v>
      </c>
      <c r="E196" s="89" t="s">
        <v>49</v>
      </c>
      <c r="F196" s="89">
        <v>100059754</v>
      </c>
      <c r="G196" s="128" t="s">
        <v>288</v>
      </c>
      <c r="H196" s="94">
        <v>0</v>
      </c>
      <c r="I196" s="94">
        <v>61.2</v>
      </c>
      <c r="J196" s="94">
        <v>15</v>
      </c>
      <c r="K196" s="94">
        <v>0</v>
      </c>
      <c r="L196" s="94">
        <v>4.8</v>
      </c>
      <c r="M196" s="129">
        <v>0</v>
      </c>
      <c r="N196" s="102">
        <f t="shared" si="6"/>
        <v>1.5999999999999999</v>
      </c>
      <c r="O196" s="97">
        <v>0</v>
      </c>
      <c r="P196" s="92">
        <v>0</v>
      </c>
      <c r="Q196" s="98">
        <f t="shared" ref="Q196:Q259" si="7">+O196+P196</f>
        <v>0</v>
      </c>
      <c r="R196" s="102" t="str">
        <f>+IF(Q196+N196&lt;=0, "NO COMPRADOR", +IF(Q196&lt;=0, "SIN COMPRA "&amp;+UPPER(TEXT('DINAMICA ENERO 26'!$C$2,"mmm 'yy")), "COMPRADOR"))</f>
        <v>SIN COMPRA FEB '26</v>
      </c>
      <c r="S196" s="100"/>
      <c r="T196" s="101"/>
      <c r="U196" s="100"/>
      <c r="X196" s="101"/>
      <c r="Y196" s="100"/>
    </row>
    <row r="197" spans="1:25" s="100" customFormat="1" ht="14">
      <c r="A197" s="88" t="s">
        <v>85</v>
      </c>
      <c r="B197" s="89" t="s">
        <v>257</v>
      </c>
      <c r="C197" s="89" t="s">
        <v>43</v>
      </c>
      <c r="D197" s="103">
        <v>100089856</v>
      </c>
      <c r="E197" s="89" t="s">
        <v>49</v>
      </c>
      <c r="F197" s="89">
        <v>100064962</v>
      </c>
      <c r="G197" s="128" t="s">
        <v>289</v>
      </c>
      <c r="H197" s="94">
        <v>16.200000000000003</v>
      </c>
      <c r="I197" s="94">
        <v>0</v>
      </c>
      <c r="J197" s="94">
        <v>31.800000000000004</v>
      </c>
      <c r="K197" s="94">
        <v>30.6</v>
      </c>
      <c r="L197" s="94">
        <v>0</v>
      </c>
      <c r="M197" s="129">
        <v>0</v>
      </c>
      <c r="N197" s="102">
        <f t="shared" si="6"/>
        <v>10.200000000000001</v>
      </c>
      <c r="O197" s="97">
        <v>15.600000000000001</v>
      </c>
      <c r="P197" s="92">
        <v>0</v>
      </c>
      <c r="Q197" s="98">
        <f t="shared" si="7"/>
        <v>15.600000000000001</v>
      </c>
      <c r="R197" s="102" t="str">
        <f>+IF(Q197+N197&lt;=0, "NO COMPRADOR", +IF(Q197&lt;=0, "SIN COMPRA "&amp;+UPPER(TEXT('DINAMICA ENERO 26'!$C$2,"mmm 'yy")), "COMPRADOR"))</f>
        <v>COMPRADOR</v>
      </c>
      <c r="T197" s="101"/>
      <c r="X197" s="101"/>
    </row>
    <row r="198" spans="1:25" s="100" customFormat="1" ht="14">
      <c r="A198" s="88" t="s">
        <v>85</v>
      </c>
      <c r="B198" s="89" t="s">
        <v>257</v>
      </c>
      <c r="C198" s="89" t="s">
        <v>43</v>
      </c>
      <c r="D198" s="103">
        <v>100067806</v>
      </c>
      <c r="E198" s="89" t="s">
        <v>50</v>
      </c>
      <c r="F198" s="89">
        <v>100001979</v>
      </c>
      <c r="G198" s="128" t="s">
        <v>290</v>
      </c>
      <c r="H198" s="94">
        <v>16.200000000000003</v>
      </c>
      <c r="I198" s="94">
        <v>10.8</v>
      </c>
      <c r="J198" s="94">
        <v>10.8</v>
      </c>
      <c r="K198" s="94">
        <v>20.400000000000002</v>
      </c>
      <c r="L198" s="94">
        <v>16.200000000000003</v>
      </c>
      <c r="M198" s="129">
        <v>10.199999999999999</v>
      </c>
      <c r="N198" s="102">
        <f t="shared" si="6"/>
        <v>15.600000000000003</v>
      </c>
      <c r="O198" s="97">
        <v>0</v>
      </c>
      <c r="P198" s="92">
        <v>0</v>
      </c>
      <c r="Q198" s="98">
        <f t="shared" si="7"/>
        <v>0</v>
      </c>
      <c r="R198" s="102" t="str">
        <f>+IF(Q198+N198&lt;=0, "NO COMPRADOR", +IF(Q198&lt;=0, "SIN COMPRA "&amp;+UPPER(TEXT('DINAMICA ENERO 26'!$C$2,"mmm 'yy")), "COMPRADOR"))</f>
        <v>SIN COMPRA FEB '26</v>
      </c>
      <c r="T198" s="101"/>
      <c r="X198" s="101"/>
    </row>
    <row r="199" spans="1:25" s="104" customFormat="1" ht="14">
      <c r="A199" s="88" t="s">
        <v>85</v>
      </c>
      <c r="B199" s="89" t="s">
        <v>257</v>
      </c>
      <c r="C199" s="89" t="s">
        <v>43</v>
      </c>
      <c r="D199" s="103">
        <v>100067806</v>
      </c>
      <c r="E199" s="89" t="s">
        <v>50</v>
      </c>
      <c r="F199" s="89">
        <v>100002252</v>
      </c>
      <c r="G199" s="128" t="s">
        <v>291</v>
      </c>
      <c r="H199" s="94">
        <v>0</v>
      </c>
      <c r="I199" s="94">
        <v>24.6</v>
      </c>
      <c r="J199" s="94">
        <v>4.8</v>
      </c>
      <c r="K199" s="94">
        <v>0</v>
      </c>
      <c r="L199" s="94">
        <v>0</v>
      </c>
      <c r="M199" s="129">
        <v>0</v>
      </c>
      <c r="N199" s="102">
        <f t="shared" si="6"/>
        <v>0</v>
      </c>
      <c r="O199" s="97">
        <v>0</v>
      </c>
      <c r="P199" s="92">
        <v>0</v>
      </c>
      <c r="Q199" s="98">
        <f t="shared" si="7"/>
        <v>0</v>
      </c>
      <c r="R199" s="102" t="str">
        <f>+IF(Q199+N199&lt;=0, "NO COMPRADOR", +IF(Q199&lt;=0, "SIN COMPRA "&amp;+UPPER(TEXT('DINAMICA ENERO 26'!$C$2,"mmm 'yy")), "COMPRADOR"))</f>
        <v>NO COMPRADOR</v>
      </c>
      <c r="S199" s="100"/>
      <c r="T199" s="101"/>
      <c r="U199" s="100"/>
      <c r="X199" s="101"/>
      <c r="Y199" s="100"/>
    </row>
    <row r="200" spans="1:25" s="100" customFormat="1" ht="14">
      <c r="A200" s="88" t="s">
        <v>85</v>
      </c>
      <c r="B200" s="89" t="s">
        <v>257</v>
      </c>
      <c r="C200" s="89" t="s">
        <v>43</v>
      </c>
      <c r="D200" s="103">
        <v>100067806</v>
      </c>
      <c r="E200" s="89" t="s">
        <v>50</v>
      </c>
      <c r="F200" s="89">
        <v>100085225</v>
      </c>
      <c r="G200" s="128" t="s">
        <v>292</v>
      </c>
      <c r="H200" s="94">
        <v>0</v>
      </c>
      <c r="I200" s="94">
        <v>0</v>
      </c>
      <c r="J200" s="94">
        <v>0</v>
      </c>
      <c r="K200" s="94">
        <v>0</v>
      </c>
      <c r="L200" s="94">
        <v>0</v>
      </c>
      <c r="M200" s="129">
        <v>0</v>
      </c>
      <c r="N200" s="102">
        <f t="shared" si="6"/>
        <v>0</v>
      </c>
      <c r="O200" s="97">
        <v>0</v>
      </c>
      <c r="P200" s="92">
        <v>0</v>
      </c>
      <c r="Q200" s="98">
        <f t="shared" si="7"/>
        <v>0</v>
      </c>
      <c r="R200" s="102" t="str">
        <f>+IF(Q200+N200&lt;=0, "NO COMPRADOR", +IF(Q200&lt;=0, "SIN COMPRA "&amp;+UPPER(TEXT('DINAMICA ENERO 26'!$C$2,"mmm 'yy")), "COMPRADOR"))</f>
        <v>NO COMPRADOR</v>
      </c>
      <c r="T200" s="101"/>
      <c r="X200" s="101"/>
    </row>
    <row r="201" spans="1:25" s="100" customFormat="1" ht="14">
      <c r="A201" s="88" t="s">
        <v>85</v>
      </c>
      <c r="B201" s="89" t="s">
        <v>257</v>
      </c>
      <c r="C201" s="89" t="s">
        <v>43</v>
      </c>
      <c r="D201" s="103">
        <v>100067806</v>
      </c>
      <c r="E201" s="89" t="s">
        <v>50</v>
      </c>
      <c r="F201" s="89">
        <v>100001891</v>
      </c>
      <c r="G201" s="128" t="s">
        <v>293</v>
      </c>
      <c r="H201" s="94">
        <v>20.400000000000002</v>
      </c>
      <c r="I201" s="94">
        <v>5.4</v>
      </c>
      <c r="J201" s="94">
        <v>21.000000000000004</v>
      </c>
      <c r="K201" s="94">
        <v>16.200000000000003</v>
      </c>
      <c r="L201" s="94">
        <v>5.4</v>
      </c>
      <c r="M201" s="129">
        <v>0</v>
      </c>
      <c r="N201" s="102">
        <f t="shared" si="6"/>
        <v>7.2</v>
      </c>
      <c r="O201" s="97">
        <v>0</v>
      </c>
      <c r="P201" s="92">
        <v>0</v>
      </c>
      <c r="Q201" s="98">
        <f t="shared" si="7"/>
        <v>0</v>
      </c>
      <c r="R201" s="102" t="str">
        <f>+IF(Q201+N201&lt;=0, "NO COMPRADOR", +IF(Q201&lt;=0, "SIN COMPRA "&amp;+UPPER(TEXT('DINAMICA ENERO 26'!$C$2,"mmm 'yy")), "COMPRADOR"))</f>
        <v>SIN COMPRA FEB '26</v>
      </c>
      <c r="T201" s="101"/>
      <c r="X201" s="101"/>
    </row>
    <row r="202" spans="1:25" s="100" customFormat="1" ht="14">
      <c r="A202" s="88" t="s">
        <v>85</v>
      </c>
      <c r="B202" s="89" t="s">
        <v>257</v>
      </c>
      <c r="C202" s="89" t="s">
        <v>43</v>
      </c>
      <c r="D202" s="103">
        <v>100067806</v>
      </c>
      <c r="E202" s="89" t="s">
        <v>50</v>
      </c>
      <c r="F202" s="89">
        <v>100001593</v>
      </c>
      <c r="G202" s="128" t="s">
        <v>294</v>
      </c>
      <c r="H202" s="94">
        <v>60.600000000000009</v>
      </c>
      <c r="I202" s="94">
        <v>0</v>
      </c>
      <c r="J202" s="94">
        <v>10.199999999999999</v>
      </c>
      <c r="K202" s="94">
        <v>4.8</v>
      </c>
      <c r="L202" s="94">
        <v>4.8</v>
      </c>
      <c r="M202" s="129">
        <v>36</v>
      </c>
      <c r="N202" s="102">
        <f t="shared" si="6"/>
        <v>15.200000000000001</v>
      </c>
      <c r="O202" s="97">
        <v>46.2</v>
      </c>
      <c r="P202" s="92">
        <v>0</v>
      </c>
      <c r="Q202" s="98">
        <f t="shared" si="7"/>
        <v>46.2</v>
      </c>
      <c r="R202" s="102" t="str">
        <f>+IF(Q202+N202&lt;=0, "NO COMPRADOR", +IF(Q202&lt;=0, "SIN COMPRA "&amp;+UPPER(TEXT('DINAMICA ENERO 26'!$C$2,"mmm 'yy")), "COMPRADOR"))</f>
        <v>COMPRADOR</v>
      </c>
      <c r="T202" s="101"/>
      <c r="X202" s="101"/>
    </row>
    <row r="203" spans="1:25" s="104" customFormat="1" ht="14">
      <c r="A203" s="88" t="s">
        <v>85</v>
      </c>
      <c r="B203" s="89" t="s">
        <v>257</v>
      </c>
      <c r="C203" s="89" t="s">
        <v>43</v>
      </c>
      <c r="D203" s="103">
        <v>100067806</v>
      </c>
      <c r="E203" s="89" t="s">
        <v>50</v>
      </c>
      <c r="F203" s="89">
        <v>100081330</v>
      </c>
      <c r="G203" s="128" t="s">
        <v>295</v>
      </c>
      <c r="H203" s="94">
        <v>0</v>
      </c>
      <c r="I203" s="94">
        <v>0</v>
      </c>
      <c r="J203" s="94">
        <v>0</v>
      </c>
      <c r="K203" s="94">
        <v>0</v>
      </c>
      <c r="L203" s="94">
        <v>0</v>
      </c>
      <c r="M203" s="129">
        <v>0</v>
      </c>
      <c r="N203" s="102">
        <f t="shared" si="6"/>
        <v>0</v>
      </c>
      <c r="O203" s="97">
        <v>0</v>
      </c>
      <c r="P203" s="92">
        <v>0</v>
      </c>
      <c r="Q203" s="98">
        <f t="shared" si="7"/>
        <v>0</v>
      </c>
      <c r="R203" s="102" t="str">
        <f>+IF(Q203+N203&lt;=0, "NO COMPRADOR", +IF(Q203&lt;=0, "SIN COMPRA "&amp;+UPPER(TEXT('DINAMICA ENERO 26'!$C$2,"mmm 'yy")), "COMPRADOR"))</f>
        <v>NO COMPRADOR</v>
      </c>
      <c r="S203" s="100"/>
      <c r="T203" s="101"/>
      <c r="U203" s="100"/>
      <c r="X203" s="101"/>
      <c r="Y203" s="100"/>
    </row>
    <row r="204" spans="1:25" s="100" customFormat="1" ht="14">
      <c r="A204" s="88" t="s">
        <v>85</v>
      </c>
      <c r="B204" s="89" t="s">
        <v>257</v>
      </c>
      <c r="C204" s="89" t="s">
        <v>43</v>
      </c>
      <c r="D204" s="103">
        <v>100067806</v>
      </c>
      <c r="E204" s="89" t="s">
        <v>50</v>
      </c>
      <c r="F204" s="89">
        <v>100079383</v>
      </c>
      <c r="G204" s="128" t="s">
        <v>296</v>
      </c>
      <c r="H204" s="94">
        <v>5.4</v>
      </c>
      <c r="I204" s="94">
        <v>0</v>
      </c>
      <c r="J204" s="94">
        <v>0</v>
      </c>
      <c r="K204" s="94">
        <v>10.199999999999999</v>
      </c>
      <c r="L204" s="94">
        <v>0</v>
      </c>
      <c r="M204" s="129">
        <v>0</v>
      </c>
      <c r="N204" s="102">
        <f t="shared" si="6"/>
        <v>3.4</v>
      </c>
      <c r="O204" s="97">
        <v>0</v>
      </c>
      <c r="P204" s="92">
        <v>0</v>
      </c>
      <c r="Q204" s="98">
        <f t="shared" si="7"/>
        <v>0</v>
      </c>
      <c r="R204" s="102" t="str">
        <f>+IF(Q204+N204&lt;=0, "NO COMPRADOR", +IF(Q204&lt;=0, "SIN COMPRA "&amp;+UPPER(TEXT('DINAMICA ENERO 26'!$C$2,"mmm 'yy")), "COMPRADOR"))</f>
        <v>SIN COMPRA FEB '26</v>
      </c>
      <c r="T204" s="101"/>
      <c r="X204" s="101"/>
    </row>
    <row r="205" spans="1:25" s="100" customFormat="1" ht="14">
      <c r="A205" s="88" t="s">
        <v>85</v>
      </c>
      <c r="B205" s="89" t="s">
        <v>257</v>
      </c>
      <c r="C205" s="89" t="s">
        <v>43</v>
      </c>
      <c r="D205" s="103">
        <v>100067806</v>
      </c>
      <c r="E205" s="89" t="s">
        <v>50</v>
      </c>
      <c r="F205" s="89">
        <v>100079030</v>
      </c>
      <c r="G205" s="128" t="s">
        <v>297</v>
      </c>
      <c r="H205" s="94">
        <v>5.4</v>
      </c>
      <c r="I205" s="94">
        <v>0</v>
      </c>
      <c r="J205" s="94">
        <v>5.4</v>
      </c>
      <c r="K205" s="94">
        <v>40.800000000000004</v>
      </c>
      <c r="L205" s="94">
        <v>5.4</v>
      </c>
      <c r="M205" s="129">
        <v>-0.60000000000000053</v>
      </c>
      <c r="N205" s="102">
        <f t="shared" si="6"/>
        <v>15.200000000000001</v>
      </c>
      <c r="O205" s="97">
        <v>0</v>
      </c>
      <c r="P205" s="92">
        <v>0</v>
      </c>
      <c r="Q205" s="98">
        <f t="shared" si="7"/>
        <v>0</v>
      </c>
      <c r="R205" s="102" t="str">
        <f>+IF(Q205+N205&lt;=0, "NO COMPRADOR", +IF(Q205&lt;=0, "SIN COMPRA "&amp;+UPPER(TEXT('DINAMICA ENERO 26'!$C$2,"mmm 'yy")), "COMPRADOR"))</f>
        <v>SIN COMPRA FEB '26</v>
      </c>
      <c r="T205" s="101"/>
      <c r="X205" s="101"/>
    </row>
    <row r="206" spans="1:25" s="100" customFormat="1" ht="14">
      <c r="A206" s="88" t="s">
        <v>85</v>
      </c>
      <c r="B206" s="89" t="s">
        <v>257</v>
      </c>
      <c r="C206" s="89" t="s">
        <v>43</v>
      </c>
      <c r="D206" s="103">
        <v>100067806</v>
      </c>
      <c r="E206" s="89" t="s">
        <v>50</v>
      </c>
      <c r="F206" s="89">
        <v>100024035</v>
      </c>
      <c r="G206" s="128" t="s">
        <v>298</v>
      </c>
      <c r="H206" s="94">
        <v>15</v>
      </c>
      <c r="I206" s="94">
        <v>21.000000000000004</v>
      </c>
      <c r="J206" s="94">
        <v>72</v>
      </c>
      <c r="K206" s="94">
        <v>21.6</v>
      </c>
      <c r="L206" s="94">
        <v>51.600000000000009</v>
      </c>
      <c r="M206" s="129">
        <v>45.6</v>
      </c>
      <c r="N206" s="102">
        <f t="shared" si="6"/>
        <v>39.6</v>
      </c>
      <c r="O206" s="97">
        <v>27.000000000000004</v>
      </c>
      <c r="P206" s="92">
        <v>0</v>
      </c>
      <c r="Q206" s="98">
        <f t="shared" si="7"/>
        <v>27.000000000000004</v>
      </c>
      <c r="R206" s="102" t="str">
        <f>+IF(Q206+N206&lt;=0, "NO COMPRADOR", +IF(Q206&lt;=0, "SIN COMPRA "&amp;+UPPER(TEXT('DINAMICA ENERO 26'!$C$2,"mmm 'yy")), "COMPRADOR"))</f>
        <v>COMPRADOR</v>
      </c>
      <c r="T206" s="101"/>
      <c r="X206" s="101"/>
    </row>
    <row r="207" spans="1:25" s="104" customFormat="1" ht="14">
      <c r="A207" s="88" t="s">
        <v>85</v>
      </c>
      <c r="B207" s="89" t="s">
        <v>257</v>
      </c>
      <c r="C207" s="89" t="s">
        <v>43</v>
      </c>
      <c r="D207" s="103">
        <v>100067806</v>
      </c>
      <c r="E207" s="89" t="s">
        <v>50</v>
      </c>
      <c r="F207" s="89">
        <v>100054056</v>
      </c>
      <c r="G207" s="128" t="s">
        <v>299</v>
      </c>
      <c r="H207" s="94">
        <v>5.4</v>
      </c>
      <c r="I207" s="94">
        <v>0</v>
      </c>
      <c r="J207" s="94">
        <v>5.4</v>
      </c>
      <c r="K207" s="94">
        <v>27.000000000000004</v>
      </c>
      <c r="L207" s="94">
        <v>24.6</v>
      </c>
      <c r="M207" s="129">
        <v>5.4</v>
      </c>
      <c r="N207" s="102">
        <f t="shared" si="6"/>
        <v>19.000000000000004</v>
      </c>
      <c r="O207" s="97">
        <v>0</v>
      </c>
      <c r="P207" s="92">
        <v>0</v>
      </c>
      <c r="Q207" s="98">
        <f t="shared" si="7"/>
        <v>0</v>
      </c>
      <c r="R207" s="102" t="str">
        <f>+IF(Q207+N207&lt;=0, "NO COMPRADOR", +IF(Q207&lt;=0, "SIN COMPRA "&amp;+UPPER(TEXT('DINAMICA ENERO 26'!$C$2,"mmm 'yy")), "COMPRADOR"))</f>
        <v>SIN COMPRA FEB '26</v>
      </c>
      <c r="S207" s="100"/>
      <c r="T207" s="101"/>
      <c r="U207" s="100"/>
      <c r="X207" s="101"/>
      <c r="Y207" s="100"/>
    </row>
    <row r="208" spans="1:25" s="100" customFormat="1" ht="14">
      <c r="A208" s="88" t="s">
        <v>85</v>
      </c>
      <c r="B208" s="89" t="s">
        <v>257</v>
      </c>
      <c r="C208" s="89" t="s">
        <v>43</v>
      </c>
      <c r="D208" s="103">
        <v>100067806</v>
      </c>
      <c r="E208" s="89" t="s">
        <v>50</v>
      </c>
      <c r="F208" s="89">
        <v>100076315</v>
      </c>
      <c r="G208" s="128" t="s">
        <v>300</v>
      </c>
      <c r="H208" s="94">
        <v>106.80000000000001</v>
      </c>
      <c r="I208" s="94">
        <v>14.399999999999999</v>
      </c>
      <c r="J208" s="94">
        <v>27.000000000000004</v>
      </c>
      <c r="K208" s="94">
        <v>32.400000000000006</v>
      </c>
      <c r="L208" s="94">
        <v>0</v>
      </c>
      <c r="M208" s="129">
        <v>15.600000000000001</v>
      </c>
      <c r="N208" s="102">
        <f t="shared" si="6"/>
        <v>16.000000000000004</v>
      </c>
      <c r="O208" s="97">
        <v>9.6</v>
      </c>
      <c r="P208" s="92">
        <v>21.6</v>
      </c>
      <c r="Q208" s="98">
        <f t="shared" si="7"/>
        <v>31.200000000000003</v>
      </c>
      <c r="R208" s="102" t="str">
        <f>+IF(Q208+N208&lt;=0, "NO COMPRADOR", +IF(Q208&lt;=0, "SIN COMPRA "&amp;+UPPER(TEXT('DINAMICA ENERO 26'!$C$2,"mmm 'yy")), "COMPRADOR"))</f>
        <v>COMPRADOR</v>
      </c>
      <c r="T208" s="101"/>
      <c r="X208" s="101"/>
    </row>
    <row r="209" spans="1:25" s="100" customFormat="1" ht="14">
      <c r="A209" s="88" t="s">
        <v>85</v>
      </c>
      <c r="B209" s="89" t="s">
        <v>257</v>
      </c>
      <c r="C209" s="89" t="s">
        <v>43</v>
      </c>
      <c r="D209" s="103">
        <v>100067806</v>
      </c>
      <c r="E209" s="89" t="s">
        <v>50</v>
      </c>
      <c r="F209" s="89">
        <v>100002218</v>
      </c>
      <c r="G209" s="128" t="s">
        <v>301</v>
      </c>
      <c r="H209" s="94">
        <v>15</v>
      </c>
      <c r="I209" s="94">
        <v>0</v>
      </c>
      <c r="J209" s="94">
        <v>0</v>
      </c>
      <c r="K209" s="94">
        <v>105</v>
      </c>
      <c r="L209" s="94">
        <v>4.8</v>
      </c>
      <c r="M209" s="129">
        <v>0</v>
      </c>
      <c r="N209" s="102">
        <f t="shared" si="6"/>
        <v>36.6</v>
      </c>
      <c r="O209" s="97">
        <v>10.8</v>
      </c>
      <c r="P209" s="92">
        <v>0</v>
      </c>
      <c r="Q209" s="98">
        <f t="shared" si="7"/>
        <v>10.8</v>
      </c>
      <c r="R209" s="102" t="str">
        <f>+IF(Q209+N209&lt;=0, "NO COMPRADOR", +IF(Q209&lt;=0, "SIN COMPRA "&amp;+UPPER(TEXT('DINAMICA ENERO 26'!$C$2,"mmm 'yy")), "COMPRADOR"))</f>
        <v>COMPRADOR</v>
      </c>
      <c r="T209" s="101"/>
      <c r="X209" s="101"/>
    </row>
    <row r="210" spans="1:25" s="100" customFormat="1" ht="14">
      <c r="A210" s="88" t="s">
        <v>85</v>
      </c>
      <c r="B210" s="89" t="s">
        <v>257</v>
      </c>
      <c r="C210" s="89" t="s">
        <v>43</v>
      </c>
      <c r="D210" s="103">
        <v>100067806</v>
      </c>
      <c r="E210" s="89" t="s">
        <v>50</v>
      </c>
      <c r="F210" s="89">
        <v>100076218</v>
      </c>
      <c r="G210" s="128" t="s">
        <v>302</v>
      </c>
      <c r="H210" s="94">
        <v>0</v>
      </c>
      <c r="I210" s="94">
        <v>15</v>
      </c>
      <c r="J210" s="94">
        <v>0</v>
      </c>
      <c r="K210" s="94">
        <v>10.199999999999999</v>
      </c>
      <c r="L210" s="94">
        <v>5.4</v>
      </c>
      <c r="M210" s="129">
        <v>-5.4</v>
      </c>
      <c r="N210" s="102">
        <f t="shared" si="6"/>
        <v>3.4</v>
      </c>
      <c r="O210" s="97">
        <v>0</v>
      </c>
      <c r="P210" s="92">
        <v>0</v>
      </c>
      <c r="Q210" s="98">
        <f t="shared" si="7"/>
        <v>0</v>
      </c>
      <c r="R210" s="102" t="str">
        <f>+IF(Q210+N210&lt;=0, "NO COMPRADOR", +IF(Q210&lt;=0, "SIN COMPRA "&amp;+UPPER(TEXT('DINAMICA ENERO 26'!$C$2,"mmm 'yy")), "COMPRADOR"))</f>
        <v>SIN COMPRA FEB '26</v>
      </c>
      <c r="T210" s="101"/>
      <c r="X210" s="101"/>
    </row>
    <row r="211" spans="1:25" s="100" customFormat="1" ht="14">
      <c r="A211" s="88" t="s">
        <v>85</v>
      </c>
      <c r="B211" s="89" t="s">
        <v>257</v>
      </c>
      <c r="C211" s="89" t="s">
        <v>43</v>
      </c>
      <c r="D211" s="103">
        <v>100067806</v>
      </c>
      <c r="E211" s="89" t="s">
        <v>50</v>
      </c>
      <c r="F211" s="89">
        <v>100071903</v>
      </c>
      <c r="G211" s="128" t="s">
        <v>303</v>
      </c>
      <c r="H211" s="94">
        <v>0</v>
      </c>
      <c r="I211" s="94">
        <v>0</v>
      </c>
      <c r="J211" s="94">
        <v>0</v>
      </c>
      <c r="K211" s="94">
        <v>0</v>
      </c>
      <c r="L211" s="94">
        <v>0</v>
      </c>
      <c r="M211" s="129">
        <v>0</v>
      </c>
      <c r="N211" s="102">
        <f t="shared" si="6"/>
        <v>0</v>
      </c>
      <c r="O211" s="97">
        <v>0</v>
      </c>
      <c r="P211" s="92">
        <v>0</v>
      </c>
      <c r="Q211" s="98">
        <f t="shared" si="7"/>
        <v>0</v>
      </c>
      <c r="R211" s="102" t="str">
        <f>+IF(Q211+N211&lt;=0, "NO COMPRADOR", +IF(Q211&lt;=0, "SIN COMPRA "&amp;+UPPER(TEXT('DINAMICA ENERO 26'!$C$2,"mmm 'yy")), "COMPRADOR"))</f>
        <v>NO COMPRADOR</v>
      </c>
      <c r="T211" s="101"/>
      <c r="X211" s="101"/>
    </row>
    <row r="212" spans="1:25" s="104" customFormat="1" ht="14">
      <c r="A212" s="88" t="s">
        <v>85</v>
      </c>
      <c r="B212" s="89" t="s">
        <v>257</v>
      </c>
      <c r="C212" s="89" t="s">
        <v>43</v>
      </c>
      <c r="D212" s="103">
        <v>100067806</v>
      </c>
      <c r="E212" s="89" t="s">
        <v>50</v>
      </c>
      <c r="F212" s="89">
        <v>100080254</v>
      </c>
      <c r="G212" s="128" t="s">
        <v>304</v>
      </c>
      <c r="H212" s="94">
        <v>0</v>
      </c>
      <c r="I212" s="94">
        <v>0</v>
      </c>
      <c r="J212" s="94">
        <v>0</v>
      </c>
      <c r="K212" s="94">
        <v>0</v>
      </c>
      <c r="L212" s="94">
        <v>0</v>
      </c>
      <c r="M212" s="129">
        <v>0</v>
      </c>
      <c r="N212" s="102">
        <f t="shared" si="6"/>
        <v>0</v>
      </c>
      <c r="O212" s="97">
        <v>0</v>
      </c>
      <c r="P212" s="92">
        <v>0</v>
      </c>
      <c r="Q212" s="98">
        <f t="shared" si="7"/>
        <v>0</v>
      </c>
      <c r="R212" s="102" t="str">
        <f>+IF(Q212+N212&lt;=0, "NO COMPRADOR", +IF(Q212&lt;=0, "SIN COMPRA "&amp;+UPPER(TEXT('DINAMICA ENERO 26'!$C$2,"mmm 'yy")), "COMPRADOR"))</f>
        <v>NO COMPRADOR</v>
      </c>
      <c r="S212" s="100"/>
      <c r="T212" s="101"/>
      <c r="U212" s="100"/>
      <c r="X212" s="101"/>
      <c r="Y212" s="100"/>
    </row>
    <row r="213" spans="1:25" s="104" customFormat="1" ht="14">
      <c r="A213" s="88" t="s">
        <v>85</v>
      </c>
      <c r="B213" s="89" t="s">
        <v>257</v>
      </c>
      <c r="C213" s="89" t="s">
        <v>43</v>
      </c>
      <c r="D213" s="103">
        <v>100067806</v>
      </c>
      <c r="E213" s="89" t="s">
        <v>50</v>
      </c>
      <c r="F213" s="89">
        <v>100080176</v>
      </c>
      <c r="G213" s="128" t="s">
        <v>305</v>
      </c>
      <c r="H213" s="94">
        <v>5.4</v>
      </c>
      <c r="I213" s="94">
        <v>10.8</v>
      </c>
      <c r="J213" s="94">
        <v>5.4</v>
      </c>
      <c r="K213" s="94">
        <v>5.4</v>
      </c>
      <c r="L213" s="94">
        <v>5.4</v>
      </c>
      <c r="M213" s="129">
        <v>4.8</v>
      </c>
      <c r="N213" s="102">
        <f t="shared" si="6"/>
        <v>5.2</v>
      </c>
      <c r="O213" s="97">
        <v>0</v>
      </c>
      <c r="P213" s="92">
        <v>0</v>
      </c>
      <c r="Q213" s="98">
        <f t="shared" si="7"/>
        <v>0</v>
      </c>
      <c r="R213" s="102" t="str">
        <f>+IF(Q213+N213&lt;=0, "NO COMPRADOR", +IF(Q213&lt;=0, "SIN COMPRA "&amp;+UPPER(TEXT('DINAMICA ENERO 26'!$C$2,"mmm 'yy")), "COMPRADOR"))</f>
        <v>SIN COMPRA FEB '26</v>
      </c>
      <c r="S213" s="100"/>
      <c r="T213" s="101"/>
      <c r="U213" s="100"/>
      <c r="X213" s="101"/>
      <c r="Y213" s="100"/>
    </row>
    <row r="214" spans="1:25" s="100" customFormat="1" ht="14">
      <c r="A214" s="88" t="s">
        <v>85</v>
      </c>
      <c r="B214" s="89" t="s">
        <v>257</v>
      </c>
      <c r="C214" s="89" t="s">
        <v>43</v>
      </c>
      <c r="D214" s="103">
        <v>100067806</v>
      </c>
      <c r="E214" s="89" t="s">
        <v>50</v>
      </c>
      <c r="F214" s="89">
        <v>100085312</v>
      </c>
      <c r="G214" s="128" t="s">
        <v>306</v>
      </c>
      <c r="H214" s="94">
        <v>5.4</v>
      </c>
      <c r="I214" s="94">
        <v>5.4</v>
      </c>
      <c r="J214" s="94">
        <v>-5.4</v>
      </c>
      <c r="K214" s="94">
        <v>0</v>
      </c>
      <c r="L214" s="94">
        <v>0</v>
      </c>
      <c r="M214" s="129">
        <v>0</v>
      </c>
      <c r="N214" s="102">
        <f t="shared" si="6"/>
        <v>0</v>
      </c>
      <c r="O214" s="97">
        <v>0</v>
      </c>
      <c r="P214" s="92">
        <v>0</v>
      </c>
      <c r="Q214" s="98">
        <f t="shared" si="7"/>
        <v>0</v>
      </c>
      <c r="R214" s="102" t="str">
        <f>+IF(Q214+N214&lt;=0, "NO COMPRADOR", +IF(Q214&lt;=0, "SIN COMPRA "&amp;+UPPER(TEXT('DINAMICA ENERO 26'!$C$2,"mmm 'yy")), "COMPRADOR"))</f>
        <v>NO COMPRADOR</v>
      </c>
      <c r="T214" s="101"/>
      <c r="X214" s="101"/>
    </row>
    <row r="215" spans="1:25" s="100" customFormat="1" ht="14">
      <c r="A215" s="88" t="s">
        <v>85</v>
      </c>
      <c r="B215" s="89" t="s">
        <v>257</v>
      </c>
      <c r="C215" s="89" t="s">
        <v>43</v>
      </c>
      <c r="D215" s="103">
        <v>100067806</v>
      </c>
      <c r="E215" s="89" t="s">
        <v>50</v>
      </c>
      <c r="F215" s="89">
        <v>100076730</v>
      </c>
      <c r="G215" s="128" t="s">
        <v>307</v>
      </c>
      <c r="H215" s="94">
        <v>0</v>
      </c>
      <c r="I215" s="94">
        <v>28.799999999999997</v>
      </c>
      <c r="J215" s="94">
        <v>5.4</v>
      </c>
      <c r="K215" s="94">
        <v>16.200000000000003</v>
      </c>
      <c r="L215" s="94">
        <v>0</v>
      </c>
      <c r="M215" s="129">
        <v>10.8</v>
      </c>
      <c r="N215" s="102">
        <f t="shared" si="6"/>
        <v>9.0000000000000018</v>
      </c>
      <c r="O215" s="97">
        <v>0</v>
      </c>
      <c r="P215" s="92">
        <v>0</v>
      </c>
      <c r="Q215" s="98">
        <f t="shared" si="7"/>
        <v>0</v>
      </c>
      <c r="R215" s="102" t="str">
        <f>+IF(Q215+N215&lt;=0, "NO COMPRADOR", +IF(Q215&lt;=0, "SIN COMPRA "&amp;+UPPER(TEXT('DINAMICA ENERO 26'!$C$2,"mmm 'yy")), "COMPRADOR"))</f>
        <v>SIN COMPRA FEB '26</v>
      </c>
      <c r="T215" s="101"/>
      <c r="X215" s="101"/>
    </row>
    <row r="216" spans="1:25" s="100" customFormat="1" ht="14">
      <c r="A216" s="88" t="s">
        <v>85</v>
      </c>
      <c r="B216" s="89" t="s">
        <v>257</v>
      </c>
      <c r="C216" s="89" t="s">
        <v>43</v>
      </c>
      <c r="D216" s="103">
        <v>100067806</v>
      </c>
      <c r="E216" s="89" t="s">
        <v>50</v>
      </c>
      <c r="F216" s="89">
        <v>100009892</v>
      </c>
      <c r="G216" s="128" t="s">
        <v>308</v>
      </c>
      <c r="H216" s="94">
        <v>16.200000000000003</v>
      </c>
      <c r="I216" s="94">
        <v>9.6</v>
      </c>
      <c r="J216" s="94">
        <v>5.4</v>
      </c>
      <c r="K216" s="94">
        <v>16.200000000000003</v>
      </c>
      <c r="L216" s="94">
        <v>5.4</v>
      </c>
      <c r="M216" s="129">
        <v>5.4</v>
      </c>
      <c r="N216" s="102">
        <f t="shared" si="6"/>
        <v>9</v>
      </c>
      <c r="O216" s="97">
        <v>0</v>
      </c>
      <c r="P216" s="92">
        <v>0</v>
      </c>
      <c r="Q216" s="98">
        <f t="shared" si="7"/>
        <v>0</v>
      </c>
      <c r="R216" s="102" t="str">
        <f>+IF(Q216+N216&lt;=0, "NO COMPRADOR", +IF(Q216&lt;=0, "SIN COMPRA "&amp;+UPPER(TEXT('DINAMICA ENERO 26'!$C$2,"mmm 'yy")), "COMPRADOR"))</f>
        <v>SIN COMPRA FEB '26</v>
      </c>
      <c r="T216" s="101"/>
      <c r="X216" s="101"/>
    </row>
    <row r="217" spans="1:25" s="104" customFormat="1" ht="14">
      <c r="A217" s="88" t="s">
        <v>85</v>
      </c>
      <c r="B217" s="89" t="s">
        <v>257</v>
      </c>
      <c r="C217" s="89" t="s">
        <v>43</v>
      </c>
      <c r="D217" s="103">
        <v>100067806</v>
      </c>
      <c r="E217" s="89" t="s">
        <v>50</v>
      </c>
      <c r="F217" s="89">
        <v>100063728</v>
      </c>
      <c r="G217" s="128" t="s">
        <v>309</v>
      </c>
      <c r="H217" s="94">
        <v>69</v>
      </c>
      <c r="I217" s="94">
        <v>184.8</v>
      </c>
      <c r="J217" s="94">
        <v>24</v>
      </c>
      <c r="K217" s="94">
        <v>242.39999999999998</v>
      </c>
      <c r="L217" s="94">
        <v>131.4</v>
      </c>
      <c r="M217" s="129">
        <v>54</v>
      </c>
      <c r="N217" s="102">
        <f t="shared" si="6"/>
        <v>142.6</v>
      </c>
      <c r="O217" s="97">
        <v>0</v>
      </c>
      <c r="P217" s="92">
        <v>0</v>
      </c>
      <c r="Q217" s="98">
        <f t="shared" si="7"/>
        <v>0</v>
      </c>
      <c r="R217" s="102" t="str">
        <f>+IF(Q217+N217&lt;=0, "NO COMPRADOR", +IF(Q217&lt;=0, "SIN COMPRA "&amp;+UPPER(TEXT('DINAMICA ENERO 26'!$C$2,"mmm 'yy")), "COMPRADOR"))</f>
        <v>SIN COMPRA FEB '26</v>
      </c>
      <c r="S217" s="100"/>
      <c r="T217" s="101"/>
      <c r="U217" s="100"/>
      <c r="X217" s="101"/>
      <c r="Y217" s="100"/>
    </row>
    <row r="218" spans="1:25" s="100" customFormat="1" ht="14">
      <c r="A218" s="88" t="s">
        <v>85</v>
      </c>
      <c r="B218" s="89" t="s">
        <v>257</v>
      </c>
      <c r="C218" s="89" t="s">
        <v>43</v>
      </c>
      <c r="D218" s="103">
        <v>100067806</v>
      </c>
      <c r="E218" s="89" t="s">
        <v>50</v>
      </c>
      <c r="F218" s="89">
        <v>100084491</v>
      </c>
      <c r="G218" s="128" t="s">
        <v>310</v>
      </c>
      <c r="H218" s="94">
        <v>0</v>
      </c>
      <c r="I218" s="94">
        <v>0</v>
      </c>
      <c r="J218" s="94">
        <v>0</v>
      </c>
      <c r="K218" s="94">
        <v>0</v>
      </c>
      <c r="L218" s="94">
        <v>0</v>
      </c>
      <c r="M218" s="129">
        <v>0</v>
      </c>
      <c r="N218" s="102">
        <f t="shared" si="6"/>
        <v>0</v>
      </c>
      <c r="O218" s="97">
        <v>0</v>
      </c>
      <c r="P218" s="92">
        <v>0</v>
      </c>
      <c r="Q218" s="98">
        <f t="shared" si="7"/>
        <v>0</v>
      </c>
      <c r="R218" s="102" t="str">
        <f>+IF(Q218+N218&lt;=0, "NO COMPRADOR", +IF(Q218&lt;=0, "SIN COMPRA "&amp;+UPPER(TEXT('DINAMICA ENERO 26'!$C$2,"mmm 'yy")), "COMPRADOR"))</f>
        <v>NO COMPRADOR</v>
      </c>
      <c r="T218" s="101"/>
      <c r="X218" s="101"/>
    </row>
    <row r="219" spans="1:25" s="100" customFormat="1" ht="14">
      <c r="A219" s="88" t="s">
        <v>85</v>
      </c>
      <c r="B219" s="89" t="s">
        <v>257</v>
      </c>
      <c r="C219" s="89" t="s">
        <v>43</v>
      </c>
      <c r="D219" s="103">
        <v>100067806</v>
      </c>
      <c r="E219" s="89" t="s">
        <v>50</v>
      </c>
      <c r="F219" s="89">
        <v>100062883</v>
      </c>
      <c r="G219" s="128" t="s">
        <v>311</v>
      </c>
      <c r="H219" s="94">
        <v>5.4</v>
      </c>
      <c r="I219" s="94">
        <v>0</v>
      </c>
      <c r="J219" s="94">
        <v>0</v>
      </c>
      <c r="K219" s="94">
        <v>10.199999999999999</v>
      </c>
      <c r="L219" s="94">
        <v>0</v>
      </c>
      <c r="M219" s="129">
        <v>0</v>
      </c>
      <c r="N219" s="102">
        <f t="shared" si="6"/>
        <v>3.4</v>
      </c>
      <c r="O219" s="97">
        <v>5.4</v>
      </c>
      <c r="P219" s="92">
        <v>0</v>
      </c>
      <c r="Q219" s="98">
        <f t="shared" si="7"/>
        <v>5.4</v>
      </c>
      <c r="R219" s="102" t="str">
        <f>+IF(Q219+N219&lt;=0, "NO COMPRADOR", +IF(Q219&lt;=0, "SIN COMPRA "&amp;+UPPER(TEXT('DINAMICA ENERO 26'!$C$2,"mmm 'yy")), "COMPRADOR"))</f>
        <v>COMPRADOR</v>
      </c>
      <c r="T219" s="101"/>
      <c r="X219" s="101"/>
    </row>
    <row r="220" spans="1:25" s="100" customFormat="1" ht="14">
      <c r="A220" s="88" t="s">
        <v>85</v>
      </c>
      <c r="B220" s="89" t="s">
        <v>257</v>
      </c>
      <c r="C220" s="89" t="s">
        <v>43</v>
      </c>
      <c r="D220" s="103">
        <v>100067806</v>
      </c>
      <c r="E220" s="89" t="s">
        <v>50</v>
      </c>
      <c r="F220" s="89">
        <v>100014014</v>
      </c>
      <c r="G220" s="128" t="s">
        <v>312</v>
      </c>
      <c r="H220" s="94">
        <v>0</v>
      </c>
      <c r="I220" s="94">
        <v>0</v>
      </c>
      <c r="J220" s="94">
        <v>0</v>
      </c>
      <c r="K220" s="94">
        <v>0</v>
      </c>
      <c r="L220" s="94">
        <v>0</v>
      </c>
      <c r="M220" s="129">
        <v>0</v>
      </c>
      <c r="N220" s="102">
        <f t="shared" si="6"/>
        <v>0</v>
      </c>
      <c r="O220" s="97">
        <v>0</v>
      </c>
      <c r="P220" s="92">
        <v>0</v>
      </c>
      <c r="Q220" s="98">
        <f t="shared" si="7"/>
        <v>0</v>
      </c>
      <c r="R220" s="102" t="str">
        <f>+IF(Q220+N220&lt;=0, "NO COMPRADOR", +IF(Q220&lt;=0, "SIN COMPRA "&amp;+UPPER(TEXT('DINAMICA ENERO 26'!$C$2,"mmm 'yy")), "COMPRADOR"))</f>
        <v>NO COMPRADOR</v>
      </c>
      <c r="T220" s="101"/>
      <c r="X220" s="101"/>
    </row>
    <row r="221" spans="1:25" s="104" customFormat="1" ht="14">
      <c r="A221" s="88" t="s">
        <v>85</v>
      </c>
      <c r="B221" s="89" t="s">
        <v>257</v>
      </c>
      <c r="C221" s="89" t="s">
        <v>43</v>
      </c>
      <c r="D221" s="103">
        <v>100067806</v>
      </c>
      <c r="E221" s="89" t="s">
        <v>50</v>
      </c>
      <c r="F221" s="89">
        <v>100088613</v>
      </c>
      <c r="G221" s="128" t="s">
        <v>313</v>
      </c>
      <c r="H221" s="94">
        <v>10.8</v>
      </c>
      <c r="I221" s="94">
        <v>0</v>
      </c>
      <c r="J221" s="94">
        <v>31.800000000000004</v>
      </c>
      <c r="K221" s="94">
        <v>27.000000000000004</v>
      </c>
      <c r="L221" s="94">
        <v>31.200000000000003</v>
      </c>
      <c r="M221" s="129">
        <v>10.8</v>
      </c>
      <c r="N221" s="102">
        <f t="shared" si="6"/>
        <v>23</v>
      </c>
      <c r="O221" s="97">
        <v>15</v>
      </c>
      <c r="P221" s="92">
        <v>0</v>
      </c>
      <c r="Q221" s="98">
        <f t="shared" si="7"/>
        <v>15</v>
      </c>
      <c r="R221" s="102" t="str">
        <f>+IF(Q221+N221&lt;=0, "NO COMPRADOR", +IF(Q221&lt;=0, "SIN COMPRA "&amp;+UPPER(TEXT('DINAMICA ENERO 26'!$C$2,"mmm 'yy")), "COMPRADOR"))</f>
        <v>COMPRADOR</v>
      </c>
      <c r="S221" s="100"/>
      <c r="T221" s="101"/>
      <c r="U221" s="100"/>
      <c r="X221" s="101"/>
      <c r="Y221" s="100"/>
    </row>
    <row r="222" spans="1:25" s="104" customFormat="1" ht="14">
      <c r="A222" s="88" t="s">
        <v>85</v>
      </c>
      <c r="B222" s="89" t="s">
        <v>257</v>
      </c>
      <c r="C222" s="89" t="s">
        <v>43</v>
      </c>
      <c r="D222" s="103">
        <v>100067806</v>
      </c>
      <c r="E222" s="89" t="s">
        <v>50</v>
      </c>
      <c r="F222" s="89">
        <v>100001513</v>
      </c>
      <c r="G222" s="128" t="s">
        <v>287</v>
      </c>
      <c r="H222" s="94">
        <v>0</v>
      </c>
      <c r="I222" s="94">
        <v>20.400000000000002</v>
      </c>
      <c r="J222" s="94">
        <v>0</v>
      </c>
      <c r="K222" s="94">
        <v>10.199999999999999</v>
      </c>
      <c r="L222" s="94">
        <v>0</v>
      </c>
      <c r="M222" s="129">
        <v>0</v>
      </c>
      <c r="N222" s="102">
        <f t="shared" si="6"/>
        <v>3.4</v>
      </c>
      <c r="O222" s="97">
        <v>0</v>
      </c>
      <c r="P222" s="92">
        <v>0</v>
      </c>
      <c r="Q222" s="98">
        <f t="shared" si="7"/>
        <v>0</v>
      </c>
      <c r="R222" s="102" t="str">
        <f>+IF(Q222+N222&lt;=0, "NO COMPRADOR", +IF(Q222&lt;=0, "SIN COMPRA "&amp;+UPPER(TEXT('DINAMICA ENERO 26'!$C$2,"mmm 'yy")), "COMPRADOR"))</f>
        <v>SIN COMPRA FEB '26</v>
      </c>
      <c r="S222" s="100"/>
      <c r="T222" s="101"/>
      <c r="U222" s="100"/>
      <c r="X222" s="101"/>
      <c r="Y222" s="100"/>
    </row>
    <row r="223" spans="1:25" s="100" customFormat="1" ht="14">
      <c r="A223" s="88" t="s">
        <v>85</v>
      </c>
      <c r="B223" s="89" t="s">
        <v>257</v>
      </c>
      <c r="C223" s="89" t="s">
        <v>43</v>
      </c>
      <c r="D223" s="103">
        <v>100067806</v>
      </c>
      <c r="E223" s="89" t="s">
        <v>50</v>
      </c>
      <c r="F223" s="89">
        <v>100001295</v>
      </c>
      <c r="G223" s="128" t="s">
        <v>314</v>
      </c>
      <c r="H223" s="94">
        <v>0</v>
      </c>
      <c r="I223" s="94">
        <v>0</v>
      </c>
      <c r="J223" s="94">
        <v>0</v>
      </c>
      <c r="K223" s="94">
        <v>0</v>
      </c>
      <c r="L223" s="94">
        <v>0</v>
      </c>
      <c r="M223" s="129">
        <v>0</v>
      </c>
      <c r="N223" s="102">
        <f t="shared" si="6"/>
        <v>0</v>
      </c>
      <c r="O223" s="97">
        <v>0</v>
      </c>
      <c r="P223" s="92">
        <v>0</v>
      </c>
      <c r="Q223" s="98">
        <f t="shared" si="7"/>
        <v>0</v>
      </c>
      <c r="R223" s="102" t="str">
        <f>+IF(Q223+N223&lt;=0, "NO COMPRADOR", +IF(Q223&lt;=0, "SIN COMPRA "&amp;+UPPER(TEXT('DINAMICA ENERO 26'!$C$2,"mmm 'yy")), "COMPRADOR"))</f>
        <v>NO COMPRADOR</v>
      </c>
      <c r="T223" s="101"/>
      <c r="X223" s="101"/>
    </row>
    <row r="224" spans="1:25" s="100" customFormat="1" ht="14">
      <c r="A224" s="88" t="s">
        <v>85</v>
      </c>
      <c r="B224" s="89" t="s">
        <v>315</v>
      </c>
      <c r="C224" s="89" t="s">
        <v>43</v>
      </c>
      <c r="D224" s="103">
        <v>100063546</v>
      </c>
      <c r="E224" s="89" t="s">
        <v>46</v>
      </c>
      <c r="F224" s="89">
        <v>100001979</v>
      </c>
      <c r="G224" s="128" t="s">
        <v>290</v>
      </c>
      <c r="H224" s="94">
        <v>0</v>
      </c>
      <c r="I224" s="94">
        <v>20.399999999999999</v>
      </c>
      <c r="J224" s="94">
        <v>-5.4</v>
      </c>
      <c r="K224" s="94">
        <v>0</v>
      </c>
      <c r="L224" s="94">
        <v>10.199999999999999</v>
      </c>
      <c r="M224" s="129">
        <v>0</v>
      </c>
      <c r="N224" s="102">
        <f t="shared" si="6"/>
        <v>3.4</v>
      </c>
      <c r="O224" s="97">
        <v>0</v>
      </c>
      <c r="P224" s="92">
        <v>0</v>
      </c>
      <c r="Q224" s="98">
        <f t="shared" si="7"/>
        <v>0</v>
      </c>
      <c r="R224" s="102" t="str">
        <f>+IF(Q224+N224&lt;=0, "NO COMPRADOR", +IF(Q224&lt;=0, "SIN COMPRA "&amp;+UPPER(TEXT('DINAMICA ENERO 26'!$C$2,"mmm 'yy")), "COMPRADOR"))</f>
        <v>SIN COMPRA FEB '26</v>
      </c>
      <c r="T224" s="101"/>
      <c r="X224" s="101"/>
    </row>
    <row r="225" spans="1:25" s="100" customFormat="1" ht="14">
      <c r="A225" s="88" t="s">
        <v>85</v>
      </c>
      <c r="B225" s="89" t="s">
        <v>315</v>
      </c>
      <c r="C225" s="89" t="s">
        <v>43</v>
      </c>
      <c r="D225" s="103">
        <v>100063546</v>
      </c>
      <c r="E225" s="89" t="s">
        <v>46</v>
      </c>
      <c r="F225" s="89">
        <v>100001709</v>
      </c>
      <c r="G225" s="128" t="s">
        <v>316</v>
      </c>
      <c r="H225" s="94">
        <v>0</v>
      </c>
      <c r="I225" s="94">
        <v>55.800000000000004</v>
      </c>
      <c r="J225" s="94">
        <v>-5.4</v>
      </c>
      <c r="K225" s="94">
        <v>4.8</v>
      </c>
      <c r="L225" s="94">
        <v>10.8</v>
      </c>
      <c r="M225" s="129">
        <v>5.4</v>
      </c>
      <c r="N225" s="102">
        <f t="shared" si="6"/>
        <v>7</v>
      </c>
      <c r="O225" s="97">
        <v>0</v>
      </c>
      <c r="P225" s="92">
        <v>54</v>
      </c>
      <c r="Q225" s="98">
        <f t="shared" si="7"/>
        <v>54</v>
      </c>
      <c r="R225" s="102" t="str">
        <f>+IF(Q225+N225&lt;=0, "NO COMPRADOR", +IF(Q225&lt;=0, "SIN COMPRA "&amp;+UPPER(TEXT('DINAMICA ENERO 26'!$C$2,"mmm 'yy")), "COMPRADOR"))</f>
        <v>COMPRADOR</v>
      </c>
      <c r="T225" s="101"/>
      <c r="X225" s="101"/>
    </row>
    <row r="226" spans="1:25" s="100" customFormat="1" ht="14">
      <c r="A226" s="88" t="s">
        <v>85</v>
      </c>
      <c r="B226" s="89" t="s">
        <v>315</v>
      </c>
      <c r="C226" s="89" t="s">
        <v>43</v>
      </c>
      <c r="D226" s="103">
        <v>100063546</v>
      </c>
      <c r="E226" s="89" t="s">
        <v>46</v>
      </c>
      <c r="F226" s="89">
        <v>100001939</v>
      </c>
      <c r="G226" s="128" t="s">
        <v>317</v>
      </c>
      <c r="H226" s="94">
        <v>55.8</v>
      </c>
      <c r="I226" s="94">
        <v>188.40000000000003</v>
      </c>
      <c r="J226" s="94">
        <v>40.800000000000004</v>
      </c>
      <c r="K226" s="94">
        <v>78.599999999999994</v>
      </c>
      <c r="L226" s="94">
        <v>90</v>
      </c>
      <c r="M226" s="129">
        <v>163.20000000000002</v>
      </c>
      <c r="N226" s="102">
        <f t="shared" si="6"/>
        <v>110.60000000000001</v>
      </c>
      <c r="O226" s="97">
        <v>69.599999999999994</v>
      </c>
      <c r="P226" s="92">
        <v>0</v>
      </c>
      <c r="Q226" s="98">
        <f t="shared" si="7"/>
        <v>69.599999999999994</v>
      </c>
      <c r="R226" s="102" t="str">
        <f>+IF(Q226+N226&lt;=0, "NO COMPRADOR", +IF(Q226&lt;=0, "SIN COMPRA "&amp;+UPPER(TEXT('DINAMICA ENERO 26'!$C$2,"mmm 'yy")), "COMPRADOR"))</f>
        <v>COMPRADOR</v>
      </c>
      <c r="T226" s="101"/>
      <c r="X226" s="101"/>
    </row>
    <row r="227" spans="1:25" s="100" customFormat="1" ht="14">
      <c r="A227" s="88" t="s">
        <v>85</v>
      </c>
      <c r="B227" s="89" t="s">
        <v>315</v>
      </c>
      <c r="C227" s="89" t="s">
        <v>43</v>
      </c>
      <c r="D227" s="103">
        <v>100063546</v>
      </c>
      <c r="E227" s="89" t="s">
        <v>46</v>
      </c>
      <c r="F227" s="89">
        <v>100065432</v>
      </c>
      <c r="G227" s="128" t="s">
        <v>318</v>
      </c>
      <c r="H227" s="94">
        <v>0</v>
      </c>
      <c r="I227" s="94">
        <v>5.4</v>
      </c>
      <c r="J227" s="94">
        <v>5.4</v>
      </c>
      <c r="K227" s="94">
        <v>4.8</v>
      </c>
      <c r="L227" s="94">
        <v>5.4</v>
      </c>
      <c r="M227" s="129">
        <v>10.199999999999999</v>
      </c>
      <c r="N227" s="102">
        <f t="shared" si="6"/>
        <v>6.8</v>
      </c>
      <c r="O227" s="97">
        <v>0</v>
      </c>
      <c r="P227" s="92">
        <v>0</v>
      </c>
      <c r="Q227" s="98">
        <f t="shared" si="7"/>
        <v>0</v>
      </c>
      <c r="R227" s="102" t="str">
        <f>+IF(Q227+N227&lt;=0, "NO COMPRADOR", +IF(Q227&lt;=0, "SIN COMPRA "&amp;+UPPER(TEXT('DINAMICA ENERO 26'!$C$2,"mmm 'yy")), "COMPRADOR"))</f>
        <v>SIN COMPRA FEB '26</v>
      </c>
      <c r="T227" s="101"/>
      <c r="X227" s="101"/>
    </row>
    <row r="228" spans="1:25" s="100" customFormat="1" ht="14">
      <c r="A228" s="88" t="s">
        <v>85</v>
      </c>
      <c r="B228" s="89" t="s">
        <v>315</v>
      </c>
      <c r="C228" s="89" t="s">
        <v>43</v>
      </c>
      <c r="D228" s="103">
        <v>100063546</v>
      </c>
      <c r="E228" s="89" t="s">
        <v>46</v>
      </c>
      <c r="F228" s="89">
        <v>100084929</v>
      </c>
      <c r="G228" s="128" t="s">
        <v>319</v>
      </c>
      <c r="H228" s="94">
        <v>0</v>
      </c>
      <c r="I228" s="94">
        <v>0</v>
      </c>
      <c r="J228" s="94">
        <v>0</v>
      </c>
      <c r="K228" s="94">
        <v>0</v>
      </c>
      <c r="L228" s="94">
        <v>0</v>
      </c>
      <c r="M228" s="129">
        <v>0</v>
      </c>
      <c r="N228" s="102">
        <f t="shared" si="6"/>
        <v>0</v>
      </c>
      <c r="O228" s="97">
        <v>0</v>
      </c>
      <c r="P228" s="92">
        <v>0</v>
      </c>
      <c r="Q228" s="98">
        <f t="shared" si="7"/>
        <v>0</v>
      </c>
      <c r="R228" s="102" t="str">
        <f>+IF(Q228+N228&lt;=0, "NO COMPRADOR", +IF(Q228&lt;=0, "SIN COMPRA "&amp;+UPPER(TEXT('DINAMICA ENERO 26'!$C$2,"mmm 'yy")), "COMPRADOR"))</f>
        <v>NO COMPRADOR</v>
      </c>
      <c r="T228" s="101"/>
      <c r="X228" s="101"/>
    </row>
    <row r="229" spans="1:25" s="104" customFormat="1" ht="14">
      <c r="A229" s="88" t="s">
        <v>85</v>
      </c>
      <c r="B229" s="89" t="s">
        <v>315</v>
      </c>
      <c r="C229" s="89" t="s">
        <v>43</v>
      </c>
      <c r="D229" s="103">
        <v>100063546</v>
      </c>
      <c r="E229" s="89" t="s">
        <v>46</v>
      </c>
      <c r="F229" s="89">
        <v>100001196</v>
      </c>
      <c r="G229" s="128" t="s">
        <v>320</v>
      </c>
      <c r="H229" s="94">
        <v>10.8</v>
      </c>
      <c r="I229" s="94">
        <v>71.400000000000006</v>
      </c>
      <c r="J229" s="94">
        <v>130.20000000000002</v>
      </c>
      <c r="K229" s="94">
        <v>75.599999999999994</v>
      </c>
      <c r="L229" s="94">
        <v>171.60000000000002</v>
      </c>
      <c r="M229" s="129">
        <v>88.8</v>
      </c>
      <c r="N229" s="102">
        <f t="shared" si="6"/>
        <v>112</v>
      </c>
      <c r="O229" s="97">
        <v>152.4</v>
      </c>
      <c r="P229" s="92">
        <v>21.6</v>
      </c>
      <c r="Q229" s="98">
        <f t="shared" si="7"/>
        <v>174</v>
      </c>
      <c r="R229" s="102" t="str">
        <f>+IF(Q229+N229&lt;=0, "NO COMPRADOR", +IF(Q229&lt;=0, "SIN COMPRA "&amp;+UPPER(TEXT('DINAMICA ENERO 26'!$C$2,"mmm 'yy")), "COMPRADOR"))</f>
        <v>COMPRADOR</v>
      </c>
      <c r="S229" s="100"/>
      <c r="T229" s="101"/>
      <c r="U229" s="100"/>
      <c r="X229" s="101"/>
      <c r="Y229" s="100"/>
    </row>
    <row r="230" spans="1:25" s="100" customFormat="1" ht="14">
      <c r="A230" s="88" t="s">
        <v>85</v>
      </c>
      <c r="B230" s="89" t="s">
        <v>315</v>
      </c>
      <c r="C230" s="89" t="s">
        <v>43</v>
      </c>
      <c r="D230" s="103">
        <v>100063546</v>
      </c>
      <c r="E230" s="89" t="s">
        <v>46</v>
      </c>
      <c r="F230" s="89">
        <v>100005901</v>
      </c>
      <c r="G230" s="128" t="s">
        <v>321</v>
      </c>
      <c r="H230" s="94">
        <v>16.200000000000003</v>
      </c>
      <c r="I230" s="94">
        <v>0</v>
      </c>
      <c r="J230" s="94">
        <v>78.599999999999994</v>
      </c>
      <c r="K230" s="94">
        <v>0</v>
      </c>
      <c r="L230" s="94">
        <v>20.400000000000002</v>
      </c>
      <c r="M230" s="129">
        <v>31.200000000000003</v>
      </c>
      <c r="N230" s="102">
        <f t="shared" si="6"/>
        <v>17.200000000000003</v>
      </c>
      <c r="O230" s="97">
        <v>0</v>
      </c>
      <c r="P230" s="92">
        <v>0</v>
      </c>
      <c r="Q230" s="98">
        <f t="shared" si="7"/>
        <v>0</v>
      </c>
      <c r="R230" s="102" t="str">
        <f>+IF(Q230+N230&lt;=0, "NO COMPRADOR", +IF(Q230&lt;=0, "SIN COMPRA "&amp;+UPPER(TEXT('DINAMICA ENERO 26'!$C$2,"mmm 'yy")), "COMPRADOR"))</f>
        <v>SIN COMPRA FEB '26</v>
      </c>
      <c r="T230" s="101"/>
      <c r="X230" s="101"/>
    </row>
    <row r="231" spans="1:25" s="100" customFormat="1" ht="14">
      <c r="A231" s="88" t="s">
        <v>85</v>
      </c>
      <c r="B231" s="89" t="s">
        <v>315</v>
      </c>
      <c r="C231" s="89" t="s">
        <v>43</v>
      </c>
      <c r="D231" s="103">
        <v>100063546</v>
      </c>
      <c r="E231" s="89" t="s">
        <v>46</v>
      </c>
      <c r="F231" s="89">
        <v>100015382</v>
      </c>
      <c r="G231" s="128" t="s">
        <v>322</v>
      </c>
      <c r="H231" s="94">
        <v>0</v>
      </c>
      <c r="I231" s="94">
        <v>0</v>
      </c>
      <c r="J231" s="94">
        <v>0</v>
      </c>
      <c r="K231" s="94">
        <v>0</v>
      </c>
      <c r="L231" s="94">
        <v>0</v>
      </c>
      <c r="M231" s="129">
        <v>0</v>
      </c>
      <c r="N231" s="102">
        <f t="shared" si="6"/>
        <v>0</v>
      </c>
      <c r="O231" s="97">
        <v>0</v>
      </c>
      <c r="P231" s="92">
        <v>0</v>
      </c>
      <c r="Q231" s="98">
        <f t="shared" si="7"/>
        <v>0</v>
      </c>
      <c r="R231" s="102" t="str">
        <f>+IF(Q231+N231&lt;=0, "NO COMPRADOR", +IF(Q231&lt;=0, "SIN COMPRA "&amp;+UPPER(TEXT('DINAMICA ENERO 26'!$C$2,"mmm 'yy")), "COMPRADOR"))</f>
        <v>NO COMPRADOR</v>
      </c>
      <c r="T231" s="101"/>
      <c r="X231" s="101"/>
    </row>
    <row r="232" spans="1:25" s="104" customFormat="1" ht="14">
      <c r="A232" s="88" t="s">
        <v>85</v>
      </c>
      <c r="B232" s="89" t="s">
        <v>315</v>
      </c>
      <c r="C232" s="89" t="s">
        <v>43</v>
      </c>
      <c r="D232" s="103">
        <v>100063546</v>
      </c>
      <c r="E232" s="89" t="s">
        <v>46</v>
      </c>
      <c r="F232" s="89">
        <v>100001715</v>
      </c>
      <c r="G232" s="128" t="s">
        <v>323</v>
      </c>
      <c r="H232" s="94">
        <v>5.4</v>
      </c>
      <c r="I232" s="94">
        <v>5.4</v>
      </c>
      <c r="J232" s="94">
        <v>0</v>
      </c>
      <c r="K232" s="94">
        <v>5.4</v>
      </c>
      <c r="L232" s="94">
        <v>5.4</v>
      </c>
      <c r="M232" s="129">
        <v>13.799999999999999</v>
      </c>
      <c r="N232" s="102">
        <f t="shared" si="6"/>
        <v>8.2000000000000011</v>
      </c>
      <c r="O232" s="97">
        <v>0</v>
      </c>
      <c r="P232" s="92">
        <v>0</v>
      </c>
      <c r="Q232" s="98">
        <f t="shared" si="7"/>
        <v>0</v>
      </c>
      <c r="R232" s="102" t="str">
        <f>+IF(Q232+N232&lt;=0, "NO COMPRADOR", +IF(Q232&lt;=0, "SIN COMPRA "&amp;+UPPER(TEXT('DINAMICA ENERO 26'!$C$2,"mmm 'yy")), "COMPRADOR"))</f>
        <v>SIN COMPRA FEB '26</v>
      </c>
      <c r="S232" s="100"/>
      <c r="T232" s="101"/>
      <c r="U232" s="100"/>
      <c r="X232" s="101"/>
      <c r="Y232" s="100"/>
    </row>
    <row r="233" spans="1:25" s="100" customFormat="1" ht="14">
      <c r="A233" s="88" t="s">
        <v>85</v>
      </c>
      <c r="B233" s="89" t="s">
        <v>315</v>
      </c>
      <c r="C233" s="89" t="s">
        <v>43</v>
      </c>
      <c r="D233" s="103">
        <v>100063546</v>
      </c>
      <c r="E233" s="89" t="s">
        <v>46</v>
      </c>
      <c r="F233" s="89">
        <v>100001825</v>
      </c>
      <c r="G233" s="128" t="s">
        <v>324</v>
      </c>
      <c r="H233" s="94">
        <v>0</v>
      </c>
      <c r="I233" s="94">
        <v>0</v>
      </c>
      <c r="J233" s="94">
        <v>5.4</v>
      </c>
      <c r="K233" s="94">
        <v>0</v>
      </c>
      <c r="L233" s="94">
        <v>0</v>
      </c>
      <c r="M233" s="129">
        <v>0</v>
      </c>
      <c r="N233" s="102">
        <f t="shared" si="6"/>
        <v>0</v>
      </c>
      <c r="O233" s="97">
        <v>0</v>
      </c>
      <c r="P233" s="92">
        <v>0</v>
      </c>
      <c r="Q233" s="98">
        <f t="shared" si="7"/>
        <v>0</v>
      </c>
      <c r="R233" s="102" t="str">
        <f>+IF(Q233+N233&lt;=0, "NO COMPRADOR", +IF(Q233&lt;=0, "SIN COMPRA "&amp;+UPPER(TEXT('DINAMICA ENERO 26'!$C$2,"mmm 'yy")), "COMPRADOR"))</f>
        <v>NO COMPRADOR</v>
      </c>
      <c r="T233" s="101"/>
      <c r="X233" s="101"/>
    </row>
    <row r="234" spans="1:25" s="100" customFormat="1" ht="14">
      <c r="A234" s="88" t="s">
        <v>85</v>
      </c>
      <c r="B234" s="89" t="s">
        <v>315</v>
      </c>
      <c r="C234" s="89" t="s">
        <v>43</v>
      </c>
      <c r="D234" s="103">
        <v>100063546</v>
      </c>
      <c r="E234" s="89" t="s">
        <v>46</v>
      </c>
      <c r="F234" s="89">
        <v>100071034</v>
      </c>
      <c r="G234" s="128" t="s">
        <v>325</v>
      </c>
      <c r="H234" s="94">
        <v>0</v>
      </c>
      <c r="I234" s="94">
        <v>0</v>
      </c>
      <c r="J234" s="94">
        <v>0</v>
      </c>
      <c r="K234" s="94">
        <v>0</v>
      </c>
      <c r="L234" s="94">
        <v>0</v>
      </c>
      <c r="M234" s="129">
        <v>0</v>
      </c>
      <c r="N234" s="102">
        <f t="shared" si="6"/>
        <v>0</v>
      </c>
      <c r="O234" s="97">
        <v>0</v>
      </c>
      <c r="P234" s="92">
        <v>0</v>
      </c>
      <c r="Q234" s="98">
        <f t="shared" si="7"/>
        <v>0</v>
      </c>
      <c r="R234" s="102" t="str">
        <f>+IF(Q234+N234&lt;=0, "NO COMPRADOR", +IF(Q234&lt;=0, "SIN COMPRA "&amp;+UPPER(TEXT('DINAMICA ENERO 26'!$C$2,"mmm 'yy")), "COMPRADOR"))</f>
        <v>NO COMPRADOR</v>
      </c>
      <c r="T234" s="101"/>
      <c r="X234" s="101"/>
    </row>
    <row r="235" spans="1:25" s="100" customFormat="1" ht="14">
      <c r="A235" s="88" t="s">
        <v>85</v>
      </c>
      <c r="B235" s="89" t="s">
        <v>315</v>
      </c>
      <c r="C235" s="89" t="s">
        <v>43</v>
      </c>
      <c r="D235" s="103">
        <v>100063546</v>
      </c>
      <c r="E235" s="89" t="s">
        <v>46</v>
      </c>
      <c r="F235" s="89">
        <v>100001510</v>
      </c>
      <c r="G235" s="128" t="s">
        <v>326</v>
      </c>
      <c r="H235" s="94">
        <v>0</v>
      </c>
      <c r="I235" s="94">
        <v>0</v>
      </c>
      <c r="J235" s="94">
        <v>10.8</v>
      </c>
      <c r="K235" s="94">
        <v>9.6</v>
      </c>
      <c r="L235" s="94">
        <v>5.4</v>
      </c>
      <c r="M235" s="129">
        <v>-5.4</v>
      </c>
      <c r="N235" s="102">
        <f t="shared" si="6"/>
        <v>3.1999999999999997</v>
      </c>
      <c r="O235" s="97">
        <v>14.399999999999999</v>
      </c>
      <c r="P235" s="92">
        <v>0</v>
      </c>
      <c r="Q235" s="98">
        <f t="shared" si="7"/>
        <v>14.399999999999999</v>
      </c>
      <c r="R235" s="102" t="str">
        <f>+IF(Q235+N235&lt;=0, "NO COMPRADOR", +IF(Q235&lt;=0, "SIN COMPRA "&amp;+UPPER(TEXT('DINAMICA ENERO 26'!$C$2,"mmm 'yy")), "COMPRADOR"))</f>
        <v>COMPRADOR</v>
      </c>
      <c r="T235" s="101"/>
      <c r="X235" s="101"/>
    </row>
    <row r="236" spans="1:25" s="104" customFormat="1" ht="14">
      <c r="A236" s="88" t="s">
        <v>85</v>
      </c>
      <c r="B236" s="89" t="s">
        <v>315</v>
      </c>
      <c r="C236" s="89" t="s">
        <v>43</v>
      </c>
      <c r="D236" s="103">
        <v>100063546</v>
      </c>
      <c r="E236" s="89" t="s">
        <v>46</v>
      </c>
      <c r="F236" s="89">
        <v>100086920</v>
      </c>
      <c r="G236" s="128" t="s">
        <v>327</v>
      </c>
      <c r="H236" s="94">
        <v>0</v>
      </c>
      <c r="I236" s="94">
        <v>0</v>
      </c>
      <c r="J236" s="94">
        <v>0</v>
      </c>
      <c r="K236" s="94">
        <v>0</v>
      </c>
      <c r="L236" s="94">
        <v>0</v>
      </c>
      <c r="M236" s="129">
        <v>0</v>
      </c>
      <c r="N236" s="102">
        <f t="shared" si="6"/>
        <v>0</v>
      </c>
      <c r="O236" s="97">
        <v>0</v>
      </c>
      <c r="P236" s="92">
        <v>0</v>
      </c>
      <c r="Q236" s="98">
        <f t="shared" si="7"/>
        <v>0</v>
      </c>
      <c r="R236" s="102" t="str">
        <f>+IF(Q236+N236&lt;=0, "NO COMPRADOR", +IF(Q236&lt;=0, "SIN COMPRA "&amp;+UPPER(TEXT('DINAMICA ENERO 26'!$C$2,"mmm 'yy")), "COMPRADOR"))</f>
        <v>NO COMPRADOR</v>
      </c>
      <c r="S236" s="100"/>
      <c r="T236" s="101"/>
      <c r="U236" s="100"/>
      <c r="X236" s="101"/>
      <c r="Y236" s="100"/>
    </row>
    <row r="237" spans="1:25" s="100" customFormat="1" ht="14">
      <c r="A237" s="88" t="s">
        <v>85</v>
      </c>
      <c r="B237" s="89" t="s">
        <v>315</v>
      </c>
      <c r="C237" s="89" t="s">
        <v>43</v>
      </c>
      <c r="D237" s="103">
        <v>100063546</v>
      </c>
      <c r="E237" s="89" t="s">
        <v>46</v>
      </c>
      <c r="F237" s="89">
        <v>100076015</v>
      </c>
      <c r="G237" s="128" t="s">
        <v>328</v>
      </c>
      <c r="H237" s="94">
        <v>15.600000000000001</v>
      </c>
      <c r="I237" s="94">
        <v>10.199999999999999</v>
      </c>
      <c r="J237" s="94">
        <v>5.3999999999999995</v>
      </c>
      <c r="K237" s="94">
        <v>25.800000000000004</v>
      </c>
      <c r="L237" s="94">
        <v>5.4</v>
      </c>
      <c r="M237" s="129">
        <v>10.199999999999999</v>
      </c>
      <c r="N237" s="102">
        <f t="shared" si="6"/>
        <v>13.800000000000002</v>
      </c>
      <c r="O237" s="97">
        <v>0</v>
      </c>
      <c r="P237" s="92">
        <v>0</v>
      </c>
      <c r="Q237" s="98">
        <f t="shared" si="7"/>
        <v>0</v>
      </c>
      <c r="R237" s="102" t="str">
        <f>+IF(Q237+N237&lt;=0, "NO COMPRADOR", +IF(Q237&lt;=0, "SIN COMPRA "&amp;+UPPER(TEXT('DINAMICA ENERO 26'!$C$2,"mmm 'yy")), "COMPRADOR"))</f>
        <v>SIN COMPRA FEB '26</v>
      </c>
      <c r="T237" s="101"/>
      <c r="X237" s="101"/>
    </row>
    <row r="238" spans="1:25" s="104" customFormat="1" ht="14">
      <c r="A238" s="88" t="s">
        <v>85</v>
      </c>
      <c r="B238" s="89" t="s">
        <v>315</v>
      </c>
      <c r="C238" s="89" t="s">
        <v>43</v>
      </c>
      <c r="D238" s="103">
        <v>100063546</v>
      </c>
      <c r="E238" s="89" t="s">
        <v>46</v>
      </c>
      <c r="F238" s="89">
        <v>100071319</v>
      </c>
      <c r="G238" s="128" t="s">
        <v>329</v>
      </c>
      <c r="H238" s="94">
        <v>25.800000000000004</v>
      </c>
      <c r="I238" s="94">
        <v>10.8</v>
      </c>
      <c r="J238" s="94">
        <v>5.4</v>
      </c>
      <c r="K238" s="94">
        <v>15.600000000000001</v>
      </c>
      <c r="L238" s="94">
        <v>5.4</v>
      </c>
      <c r="M238" s="129">
        <v>10.8</v>
      </c>
      <c r="N238" s="102">
        <f t="shared" si="6"/>
        <v>10.6</v>
      </c>
      <c r="O238" s="97">
        <v>0</v>
      </c>
      <c r="P238" s="92">
        <v>0</v>
      </c>
      <c r="Q238" s="98">
        <f t="shared" si="7"/>
        <v>0</v>
      </c>
      <c r="R238" s="102" t="str">
        <f>+IF(Q238+N238&lt;=0, "NO COMPRADOR", +IF(Q238&lt;=0, "SIN COMPRA "&amp;+UPPER(TEXT('DINAMICA ENERO 26'!$C$2,"mmm 'yy")), "COMPRADOR"))</f>
        <v>SIN COMPRA FEB '26</v>
      </c>
      <c r="S238" s="100"/>
      <c r="T238" s="101"/>
      <c r="U238" s="100"/>
      <c r="X238" s="101"/>
      <c r="Y238" s="100"/>
    </row>
    <row r="239" spans="1:25" s="100" customFormat="1" ht="14">
      <c r="A239" s="88" t="s">
        <v>85</v>
      </c>
      <c r="B239" s="89" t="s">
        <v>315</v>
      </c>
      <c r="C239" s="89" t="s">
        <v>43</v>
      </c>
      <c r="D239" s="103">
        <v>100063546</v>
      </c>
      <c r="E239" s="89" t="s">
        <v>46</v>
      </c>
      <c r="F239" s="89">
        <v>100069083</v>
      </c>
      <c r="G239" s="128" t="s">
        <v>330</v>
      </c>
      <c r="H239" s="94">
        <v>27.000000000000004</v>
      </c>
      <c r="I239" s="94">
        <v>10.8</v>
      </c>
      <c r="J239" s="94">
        <v>10.8</v>
      </c>
      <c r="K239" s="94">
        <v>16.200000000000003</v>
      </c>
      <c r="L239" s="94">
        <v>16.200000000000003</v>
      </c>
      <c r="M239" s="129">
        <v>5.4</v>
      </c>
      <c r="N239" s="102">
        <f t="shared" si="6"/>
        <v>12.600000000000001</v>
      </c>
      <c r="O239" s="97">
        <v>0</v>
      </c>
      <c r="P239" s="92">
        <v>0</v>
      </c>
      <c r="Q239" s="98">
        <f t="shared" si="7"/>
        <v>0</v>
      </c>
      <c r="R239" s="102" t="str">
        <f>+IF(Q239+N239&lt;=0, "NO COMPRADOR", +IF(Q239&lt;=0, "SIN COMPRA "&amp;+UPPER(TEXT('DINAMICA ENERO 26'!$C$2,"mmm 'yy")), "COMPRADOR"))</f>
        <v>SIN COMPRA FEB '26</v>
      </c>
      <c r="T239" s="101"/>
      <c r="X239" s="101"/>
    </row>
    <row r="240" spans="1:25" s="100" customFormat="1" ht="14">
      <c r="A240" s="88" t="s">
        <v>85</v>
      </c>
      <c r="B240" s="89" t="s">
        <v>315</v>
      </c>
      <c r="C240" s="89" t="s">
        <v>43</v>
      </c>
      <c r="D240" s="103">
        <v>100063546</v>
      </c>
      <c r="E240" s="89" t="s">
        <v>46</v>
      </c>
      <c r="F240" s="89">
        <v>100072087</v>
      </c>
      <c r="G240" s="128" t="s">
        <v>331</v>
      </c>
      <c r="H240" s="94">
        <v>20.400000000000002</v>
      </c>
      <c r="I240" s="94">
        <v>0</v>
      </c>
      <c r="J240" s="94">
        <v>10.199999999999999</v>
      </c>
      <c r="K240" s="94">
        <v>0</v>
      </c>
      <c r="L240" s="94">
        <v>5.4</v>
      </c>
      <c r="M240" s="129">
        <v>10.199999999999999</v>
      </c>
      <c r="N240" s="102">
        <f t="shared" si="6"/>
        <v>5.2</v>
      </c>
      <c r="O240" s="97">
        <v>0</v>
      </c>
      <c r="P240" s="92">
        <v>0</v>
      </c>
      <c r="Q240" s="98">
        <f t="shared" si="7"/>
        <v>0</v>
      </c>
      <c r="R240" s="102" t="str">
        <f>+IF(Q240+N240&lt;=0, "NO COMPRADOR", +IF(Q240&lt;=0, "SIN COMPRA "&amp;+UPPER(TEXT('DINAMICA ENERO 26'!$C$2,"mmm 'yy")), "COMPRADOR"))</f>
        <v>SIN COMPRA FEB '26</v>
      </c>
      <c r="T240" s="101"/>
      <c r="X240" s="101"/>
    </row>
    <row r="241" spans="1:25" s="100" customFormat="1" ht="14">
      <c r="A241" s="88" t="s">
        <v>85</v>
      </c>
      <c r="B241" s="89" t="s">
        <v>315</v>
      </c>
      <c r="C241" s="89" t="s">
        <v>43</v>
      </c>
      <c r="D241" s="103">
        <v>100063546</v>
      </c>
      <c r="E241" s="89" t="s">
        <v>46</v>
      </c>
      <c r="F241" s="89">
        <v>100078525</v>
      </c>
      <c r="G241" s="128" t="s">
        <v>332</v>
      </c>
      <c r="H241" s="94">
        <v>5.4</v>
      </c>
      <c r="I241" s="94">
        <v>0</v>
      </c>
      <c r="J241" s="94">
        <v>5.4</v>
      </c>
      <c r="K241" s="94">
        <v>0</v>
      </c>
      <c r="L241" s="94">
        <v>5.4</v>
      </c>
      <c r="M241" s="129">
        <v>0</v>
      </c>
      <c r="N241" s="102">
        <f t="shared" si="6"/>
        <v>1.8</v>
      </c>
      <c r="O241" s="97">
        <v>0</v>
      </c>
      <c r="P241" s="92">
        <v>0</v>
      </c>
      <c r="Q241" s="98">
        <f t="shared" si="7"/>
        <v>0</v>
      </c>
      <c r="R241" s="102" t="str">
        <f>+IF(Q241+N241&lt;=0, "NO COMPRADOR", +IF(Q241&lt;=0, "SIN COMPRA "&amp;+UPPER(TEXT('DINAMICA ENERO 26'!$C$2,"mmm 'yy")), "COMPRADOR"))</f>
        <v>SIN COMPRA FEB '26</v>
      </c>
      <c r="T241" s="101"/>
      <c r="X241" s="101"/>
    </row>
    <row r="242" spans="1:25" s="100" customFormat="1" ht="14">
      <c r="A242" s="88" t="s">
        <v>85</v>
      </c>
      <c r="B242" s="89" t="s">
        <v>315</v>
      </c>
      <c r="C242" s="89" t="s">
        <v>43</v>
      </c>
      <c r="D242" s="103">
        <v>100063546</v>
      </c>
      <c r="E242" s="89" t="s">
        <v>46</v>
      </c>
      <c r="F242" s="89">
        <v>100078986</v>
      </c>
      <c r="G242" s="128" t="s">
        <v>333</v>
      </c>
      <c r="H242" s="94">
        <v>5.4</v>
      </c>
      <c r="I242" s="94">
        <v>0</v>
      </c>
      <c r="J242" s="94">
        <v>5.4</v>
      </c>
      <c r="K242" s="94">
        <v>0</v>
      </c>
      <c r="L242" s="94">
        <v>0</v>
      </c>
      <c r="M242" s="129">
        <v>0</v>
      </c>
      <c r="N242" s="102">
        <f t="shared" si="6"/>
        <v>0</v>
      </c>
      <c r="O242" s="97">
        <v>0</v>
      </c>
      <c r="P242" s="92">
        <v>0</v>
      </c>
      <c r="Q242" s="98">
        <f t="shared" si="7"/>
        <v>0</v>
      </c>
      <c r="R242" s="102" t="str">
        <f>+IF(Q242+N242&lt;=0, "NO COMPRADOR", +IF(Q242&lt;=0, "SIN COMPRA "&amp;+UPPER(TEXT('DINAMICA ENERO 26'!$C$2,"mmm 'yy")), "COMPRADOR"))</f>
        <v>NO COMPRADOR</v>
      </c>
      <c r="T242" s="101"/>
      <c r="X242" s="101"/>
    </row>
    <row r="243" spans="1:25" s="104" customFormat="1" ht="14">
      <c r="A243" s="88" t="s">
        <v>85</v>
      </c>
      <c r="B243" s="89" t="s">
        <v>315</v>
      </c>
      <c r="C243" s="89" t="s">
        <v>43</v>
      </c>
      <c r="D243" s="103">
        <v>100063546</v>
      </c>
      <c r="E243" s="89" t="s">
        <v>46</v>
      </c>
      <c r="F243" s="89">
        <v>100053840</v>
      </c>
      <c r="G243" s="128" t="s">
        <v>334</v>
      </c>
      <c r="H243" s="94">
        <v>5.4</v>
      </c>
      <c r="I243" s="94">
        <v>10.8</v>
      </c>
      <c r="J243" s="94">
        <v>0</v>
      </c>
      <c r="K243" s="94">
        <v>5.4</v>
      </c>
      <c r="L243" s="94">
        <v>5.4</v>
      </c>
      <c r="M243" s="129">
        <v>4.8</v>
      </c>
      <c r="N243" s="102">
        <f t="shared" si="6"/>
        <v>5.2</v>
      </c>
      <c r="O243" s="97">
        <v>-10.199999999999999</v>
      </c>
      <c r="P243" s="92">
        <v>0</v>
      </c>
      <c r="Q243" s="98">
        <f t="shared" si="7"/>
        <v>-10.199999999999999</v>
      </c>
      <c r="R243" s="102" t="str">
        <f>+IF(Q243+N243&lt;=0, "NO COMPRADOR", +IF(Q243&lt;=0, "SIN COMPRA "&amp;+UPPER(TEXT('DINAMICA ENERO 26'!$C$2,"mmm 'yy")), "COMPRADOR"))</f>
        <v>NO COMPRADOR</v>
      </c>
      <c r="S243" s="100"/>
      <c r="T243" s="101"/>
      <c r="U243" s="100"/>
      <c r="X243" s="101"/>
      <c r="Y243" s="100"/>
    </row>
    <row r="244" spans="1:25" s="100" customFormat="1" ht="14">
      <c r="A244" s="88" t="s">
        <v>85</v>
      </c>
      <c r="B244" s="89" t="s">
        <v>315</v>
      </c>
      <c r="C244" s="89" t="s">
        <v>43</v>
      </c>
      <c r="D244" s="103">
        <v>100063546</v>
      </c>
      <c r="E244" s="89" t="s">
        <v>46</v>
      </c>
      <c r="F244" s="89">
        <v>100084699</v>
      </c>
      <c r="G244" s="128" t="s">
        <v>335</v>
      </c>
      <c r="H244" s="94">
        <v>0</v>
      </c>
      <c r="I244" s="94">
        <v>0</v>
      </c>
      <c r="J244" s="94">
        <v>0</v>
      </c>
      <c r="K244" s="94">
        <v>5.4</v>
      </c>
      <c r="L244" s="94">
        <v>0</v>
      </c>
      <c r="M244" s="129">
        <v>10.199999999999999</v>
      </c>
      <c r="N244" s="102">
        <f t="shared" si="6"/>
        <v>5.2</v>
      </c>
      <c r="O244" s="97">
        <v>0</v>
      </c>
      <c r="P244" s="92">
        <v>0</v>
      </c>
      <c r="Q244" s="98">
        <f t="shared" si="7"/>
        <v>0</v>
      </c>
      <c r="R244" s="102" t="str">
        <f>+IF(Q244+N244&lt;=0, "NO COMPRADOR", +IF(Q244&lt;=0, "SIN COMPRA "&amp;+UPPER(TEXT('DINAMICA ENERO 26'!$C$2,"mmm 'yy")), "COMPRADOR"))</f>
        <v>SIN COMPRA FEB '26</v>
      </c>
      <c r="T244" s="101"/>
      <c r="X244" s="101"/>
    </row>
    <row r="245" spans="1:25" s="104" customFormat="1" ht="14">
      <c r="A245" s="88" t="s">
        <v>85</v>
      </c>
      <c r="B245" s="89" t="s">
        <v>315</v>
      </c>
      <c r="C245" s="89" t="s">
        <v>43</v>
      </c>
      <c r="D245" s="103">
        <v>100063546</v>
      </c>
      <c r="E245" s="89" t="s">
        <v>46</v>
      </c>
      <c r="F245" s="89">
        <v>100080253</v>
      </c>
      <c r="G245" s="128" t="s">
        <v>336</v>
      </c>
      <c r="H245" s="94">
        <v>162</v>
      </c>
      <c r="I245" s="94">
        <v>64.800000000000011</v>
      </c>
      <c r="J245" s="94">
        <v>0</v>
      </c>
      <c r="K245" s="94">
        <v>0</v>
      </c>
      <c r="L245" s="94">
        <v>0</v>
      </c>
      <c r="M245" s="129">
        <v>10.199999999999999</v>
      </c>
      <c r="N245" s="102">
        <f t="shared" si="6"/>
        <v>3.4</v>
      </c>
      <c r="O245" s="97">
        <v>0</v>
      </c>
      <c r="P245" s="92">
        <v>0</v>
      </c>
      <c r="Q245" s="98">
        <f t="shared" si="7"/>
        <v>0</v>
      </c>
      <c r="R245" s="102" t="str">
        <f>+IF(Q245+N245&lt;=0, "NO COMPRADOR", +IF(Q245&lt;=0, "SIN COMPRA "&amp;+UPPER(TEXT('DINAMICA ENERO 26'!$C$2,"mmm 'yy")), "COMPRADOR"))</f>
        <v>SIN COMPRA FEB '26</v>
      </c>
      <c r="S245" s="100"/>
      <c r="T245" s="101"/>
      <c r="U245" s="100"/>
      <c r="X245" s="101"/>
      <c r="Y245" s="100"/>
    </row>
    <row r="246" spans="1:25" s="104" customFormat="1" ht="14">
      <c r="A246" s="88" t="s">
        <v>85</v>
      </c>
      <c r="B246" s="89" t="s">
        <v>315</v>
      </c>
      <c r="C246" s="89" t="s">
        <v>43</v>
      </c>
      <c r="D246" s="103">
        <v>100063546</v>
      </c>
      <c r="E246" s="89" t="s">
        <v>46</v>
      </c>
      <c r="F246" s="89">
        <v>100089146</v>
      </c>
      <c r="G246" s="128" t="s">
        <v>337</v>
      </c>
      <c r="H246" s="94">
        <v>5.4</v>
      </c>
      <c r="I246" s="94">
        <v>0</v>
      </c>
      <c r="J246" s="94">
        <v>10.199999999999999</v>
      </c>
      <c r="K246" s="94">
        <v>5.4</v>
      </c>
      <c r="L246" s="94">
        <v>0</v>
      </c>
      <c r="M246" s="129">
        <v>0</v>
      </c>
      <c r="N246" s="102">
        <f t="shared" si="6"/>
        <v>1.8</v>
      </c>
      <c r="O246" s="97">
        <v>0</v>
      </c>
      <c r="P246" s="92">
        <v>0</v>
      </c>
      <c r="Q246" s="98">
        <f t="shared" si="7"/>
        <v>0</v>
      </c>
      <c r="R246" s="102" t="str">
        <f>+IF(Q246+N246&lt;=0, "NO COMPRADOR", +IF(Q246&lt;=0, "SIN COMPRA "&amp;+UPPER(TEXT('DINAMICA ENERO 26'!$C$2,"mmm 'yy")), "COMPRADOR"))</f>
        <v>SIN COMPRA FEB '26</v>
      </c>
      <c r="S246" s="100"/>
      <c r="T246" s="101"/>
      <c r="U246" s="100"/>
      <c r="X246" s="101"/>
      <c r="Y246" s="100"/>
    </row>
    <row r="247" spans="1:25" s="100" customFormat="1" ht="14">
      <c r="A247" s="88" t="s">
        <v>85</v>
      </c>
      <c r="B247" s="89" t="s">
        <v>315</v>
      </c>
      <c r="C247" s="89" t="s">
        <v>43</v>
      </c>
      <c r="D247" s="103">
        <v>100087724</v>
      </c>
      <c r="E247" s="89" t="s">
        <v>44</v>
      </c>
      <c r="F247" s="89">
        <v>100001196</v>
      </c>
      <c r="G247" s="128" t="s">
        <v>320</v>
      </c>
      <c r="H247" s="94">
        <v>5.4</v>
      </c>
      <c r="I247" s="94">
        <v>21.000000000000004</v>
      </c>
      <c r="J247" s="94">
        <v>47.400000000000006</v>
      </c>
      <c r="K247" s="94">
        <v>72.600000000000009</v>
      </c>
      <c r="L247" s="94">
        <v>46.8</v>
      </c>
      <c r="M247" s="129">
        <v>21.6</v>
      </c>
      <c r="N247" s="102">
        <f t="shared" si="6"/>
        <v>47</v>
      </c>
      <c r="O247" s="97">
        <v>27</v>
      </c>
      <c r="P247" s="92">
        <v>16.200000000000003</v>
      </c>
      <c r="Q247" s="98">
        <f t="shared" si="7"/>
        <v>43.2</v>
      </c>
      <c r="R247" s="102" t="str">
        <f>+IF(Q247+N247&lt;=0, "NO COMPRADOR", +IF(Q247&lt;=0, "SIN COMPRA "&amp;+UPPER(TEXT('DINAMICA ENERO 26'!$C$2,"mmm 'yy")), "COMPRADOR"))</f>
        <v>COMPRADOR</v>
      </c>
      <c r="T247" s="101"/>
      <c r="X247" s="101"/>
    </row>
    <row r="248" spans="1:25" s="104" customFormat="1" ht="14">
      <c r="A248" s="88" t="s">
        <v>85</v>
      </c>
      <c r="B248" s="89" t="s">
        <v>315</v>
      </c>
      <c r="C248" s="89" t="s">
        <v>43</v>
      </c>
      <c r="D248" s="103">
        <v>100087724</v>
      </c>
      <c r="E248" s="89" t="s">
        <v>44</v>
      </c>
      <c r="F248" s="89">
        <v>100001979</v>
      </c>
      <c r="G248" s="128" t="s">
        <v>290</v>
      </c>
      <c r="H248" s="94">
        <v>21.000000000000004</v>
      </c>
      <c r="I248" s="94">
        <v>31.800000000000004</v>
      </c>
      <c r="J248" s="94">
        <v>4.8</v>
      </c>
      <c r="K248" s="94">
        <v>16.200000000000003</v>
      </c>
      <c r="L248" s="94">
        <v>16.200000000000003</v>
      </c>
      <c r="M248" s="129">
        <v>0</v>
      </c>
      <c r="N248" s="102">
        <f t="shared" si="6"/>
        <v>10.800000000000002</v>
      </c>
      <c r="O248" s="97">
        <v>26.400000000000002</v>
      </c>
      <c r="P248" s="92">
        <v>15.600000000000001</v>
      </c>
      <c r="Q248" s="98">
        <f t="shared" si="7"/>
        <v>42</v>
      </c>
      <c r="R248" s="102" t="str">
        <f>+IF(Q248+N248&lt;=0, "NO COMPRADOR", +IF(Q248&lt;=0, "SIN COMPRA "&amp;+UPPER(TEXT('DINAMICA ENERO 26'!$C$2,"mmm 'yy")), "COMPRADOR"))</f>
        <v>COMPRADOR</v>
      </c>
      <c r="S248" s="100"/>
      <c r="T248" s="101"/>
      <c r="U248" s="100"/>
      <c r="X248" s="101"/>
      <c r="Y248" s="100"/>
    </row>
    <row r="249" spans="1:25" s="100" customFormat="1" ht="14">
      <c r="A249" s="88" t="s">
        <v>85</v>
      </c>
      <c r="B249" s="89" t="s">
        <v>315</v>
      </c>
      <c r="C249" s="89" t="s">
        <v>43</v>
      </c>
      <c r="D249" s="103">
        <v>100087724</v>
      </c>
      <c r="E249" s="89" t="s">
        <v>44</v>
      </c>
      <c r="F249" s="89">
        <v>100002471</v>
      </c>
      <c r="G249" s="128" t="s">
        <v>338</v>
      </c>
      <c r="H249" s="94">
        <v>0</v>
      </c>
      <c r="I249" s="94">
        <v>0</v>
      </c>
      <c r="J249" s="94">
        <v>0</v>
      </c>
      <c r="K249" s="94">
        <v>5.4</v>
      </c>
      <c r="L249" s="94">
        <v>-5.4</v>
      </c>
      <c r="M249" s="129">
        <v>0</v>
      </c>
      <c r="N249" s="102">
        <f t="shared" si="6"/>
        <v>0</v>
      </c>
      <c r="O249" s="97">
        <v>0</v>
      </c>
      <c r="P249" s="92">
        <v>0</v>
      </c>
      <c r="Q249" s="98">
        <f t="shared" si="7"/>
        <v>0</v>
      </c>
      <c r="R249" s="102" t="str">
        <f>+IF(Q249+N249&lt;=0, "NO COMPRADOR", +IF(Q249&lt;=0, "SIN COMPRA "&amp;+UPPER(TEXT('DINAMICA ENERO 26'!$C$2,"mmm 'yy")), "COMPRADOR"))</f>
        <v>NO COMPRADOR</v>
      </c>
      <c r="T249" s="101"/>
      <c r="X249" s="101"/>
    </row>
    <row r="250" spans="1:25" s="100" customFormat="1" ht="14">
      <c r="A250" s="88" t="s">
        <v>85</v>
      </c>
      <c r="B250" s="89" t="s">
        <v>315</v>
      </c>
      <c r="C250" s="89" t="s">
        <v>43</v>
      </c>
      <c r="D250" s="103">
        <v>100087724</v>
      </c>
      <c r="E250" s="89" t="s">
        <v>44</v>
      </c>
      <c r="F250" s="89">
        <v>100005866</v>
      </c>
      <c r="G250" s="128" t="s">
        <v>339</v>
      </c>
      <c r="H250" s="94">
        <v>10.8</v>
      </c>
      <c r="I250" s="94">
        <v>0</v>
      </c>
      <c r="J250" s="94">
        <v>10.8</v>
      </c>
      <c r="K250" s="94">
        <v>20.400000000000002</v>
      </c>
      <c r="L250" s="94">
        <v>20.400000000000002</v>
      </c>
      <c r="M250" s="129">
        <v>0</v>
      </c>
      <c r="N250" s="102">
        <f t="shared" si="6"/>
        <v>13.600000000000001</v>
      </c>
      <c r="O250" s="97">
        <v>0</v>
      </c>
      <c r="P250" s="92">
        <v>0</v>
      </c>
      <c r="Q250" s="98">
        <f t="shared" si="7"/>
        <v>0</v>
      </c>
      <c r="R250" s="102" t="str">
        <f>+IF(Q250+N250&lt;=0, "NO COMPRADOR", +IF(Q250&lt;=0, "SIN COMPRA "&amp;+UPPER(TEXT('DINAMICA ENERO 26'!$C$2,"mmm 'yy")), "COMPRADOR"))</f>
        <v>SIN COMPRA FEB '26</v>
      </c>
      <c r="T250" s="101"/>
      <c r="X250" s="101"/>
    </row>
    <row r="251" spans="1:25" s="100" customFormat="1" ht="14">
      <c r="A251" s="88" t="s">
        <v>85</v>
      </c>
      <c r="B251" s="89" t="s">
        <v>315</v>
      </c>
      <c r="C251" s="89" t="s">
        <v>43</v>
      </c>
      <c r="D251" s="103">
        <v>100087724</v>
      </c>
      <c r="E251" s="89" t="s">
        <v>44</v>
      </c>
      <c r="F251" s="89">
        <v>100025209</v>
      </c>
      <c r="G251" s="128" t="s">
        <v>340</v>
      </c>
      <c r="H251" s="94">
        <v>123</v>
      </c>
      <c r="I251" s="94">
        <v>20.400000000000002</v>
      </c>
      <c r="J251" s="94">
        <v>20.400000000000002</v>
      </c>
      <c r="K251" s="94">
        <v>20.400000000000002</v>
      </c>
      <c r="L251" s="94">
        <v>20.400000000000002</v>
      </c>
      <c r="M251" s="129">
        <v>109.8</v>
      </c>
      <c r="N251" s="102">
        <f t="shared" si="6"/>
        <v>50.199999999999996</v>
      </c>
      <c r="O251" s="97">
        <v>80.400000000000006</v>
      </c>
      <c r="P251" s="92">
        <v>0</v>
      </c>
      <c r="Q251" s="98">
        <f t="shared" si="7"/>
        <v>80.400000000000006</v>
      </c>
      <c r="R251" s="102" t="str">
        <f>+IF(Q251+N251&lt;=0, "NO COMPRADOR", +IF(Q251&lt;=0, "SIN COMPRA "&amp;+UPPER(TEXT('DINAMICA ENERO 26'!$C$2,"mmm 'yy")), "COMPRADOR"))</f>
        <v>COMPRADOR</v>
      </c>
      <c r="T251" s="101"/>
      <c r="X251" s="101"/>
    </row>
    <row r="252" spans="1:25" s="100" customFormat="1" ht="14">
      <c r="A252" s="88" t="s">
        <v>85</v>
      </c>
      <c r="B252" s="89" t="s">
        <v>315</v>
      </c>
      <c r="C252" s="89" t="s">
        <v>43</v>
      </c>
      <c r="D252" s="103">
        <v>100087724</v>
      </c>
      <c r="E252" s="89" t="s">
        <v>44</v>
      </c>
      <c r="F252" s="89">
        <v>100087941</v>
      </c>
      <c r="G252" s="128" t="s">
        <v>341</v>
      </c>
      <c r="H252" s="94">
        <v>10.8</v>
      </c>
      <c r="I252" s="94">
        <v>10.8</v>
      </c>
      <c r="J252" s="94">
        <v>10.8</v>
      </c>
      <c r="K252" s="94">
        <v>5.4</v>
      </c>
      <c r="L252" s="94">
        <v>10.8</v>
      </c>
      <c r="M252" s="129">
        <v>10.8</v>
      </c>
      <c r="N252" s="102">
        <f t="shared" si="6"/>
        <v>9.0000000000000018</v>
      </c>
      <c r="O252" s="97">
        <v>0</v>
      </c>
      <c r="P252" s="92">
        <v>0</v>
      </c>
      <c r="Q252" s="98">
        <f t="shared" si="7"/>
        <v>0</v>
      </c>
      <c r="R252" s="102" t="str">
        <f>+IF(Q252+N252&lt;=0, "NO COMPRADOR", +IF(Q252&lt;=0, "SIN COMPRA "&amp;+UPPER(TEXT('DINAMICA ENERO 26'!$C$2,"mmm 'yy")), "COMPRADOR"))</f>
        <v>SIN COMPRA FEB '26</v>
      </c>
      <c r="T252" s="101"/>
      <c r="X252" s="101"/>
    </row>
    <row r="253" spans="1:25" s="104" customFormat="1" ht="14">
      <c r="A253" s="88" t="s">
        <v>85</v>
      </c>
      <c r="B253" s="89" t="s">
        <v>315</v>
      </c>
      <c r="C253" s="89" t="s">
        <v>43</v>
      </c>
      <c r="D253" s="103">
        <v>100087724</v>
      </c>
      <c r="E253" s="89" t="s">
        <v>44</v>
      </c>
      <c r="F253" s="89">
        <v>100067528</v>
      </c>
      <c r="G253" s="128" t="s">
        <v>342</v>
      </c>
      <c r="H253" s="94">
        <v>20.400000000000002</v>
      </c>
      <c r="I253" s="94">
        <v>20.400000000000002</v>
      </c>
      <c r="J253" s="94">
        <v>10.8</v>
      </c>
      <c r="K253" s="94">
        <v>5.4</v>
      </c>
      <c r="L253" s="94">
        <v>0</v>
      </c>
      <c r="M253" s="129">
        <v>10.8</v>
      </c>
      <c r="N253" s="102">
        <f t="shared" si="6"/>
        <v>5.4000000000000012</v>
      </c>
      <c r="O253" s="97">
        <v>0</v>
      </c>
      <c r="P253" s="92">
        <v>0</v>
      </c>
      <c r="Q253" s="98">
        <f t="shared" si="7"/>
        <v>0</v>
      </c>
      <c r="R253" s="102" t="str">
        <f>+IF(Q253+N253&lt;=0, "NO COMPRADOR", +IF(Q253&lt;=0, "SIN COMPRA "&amp;+UPPER(TEXT('DINAMICA ENERO 26'!$C$2,"mmm 'yy")), "COMPRADOR"))</f>
        <v>SIN COMPRA FEB '26</v>
      </c>
      <c r="S253" s="100"/>
      <c r="T253" s="101"/>
      <c r="U253" s="100"/>
      <c r="X253" s="101"/>
      <c r="Y253" s="100"/>
    </row>
    <row r="254" spans="1:25" s="104" customFormat="1" ht="14">
      <c r="A254" s="88" t="s">
        <v>85</v>
      </c>
      <c r="B254" s="89" t="s">
        <v>315</v>
      </c>
      <c r="C254" s="89" t="s">
        <v>43</v>
      </c>
      <c r="D254" s="103">
        <v>100087724</v>
      </c>
      <c r="E254" s="89" t="s">
        <v>44</v>
      </c>
      <c r="F254" s="89">
        <v>100087924</v>
      </c>
      <c r="G254" s="128" t="s">
        <v>343</v>
      </c>
      <c r="H254" s="94">
        <v>0</v>
      </c>
      <c r="I254" s="94">
        <v>20.400000000000002</v>
      </c>
      <c r="J254" s="94">
        <v>10.8</v>
      </c>
      <c r="K254" s="94">
        <v>20.400000000000002</v>
      </c>
      <c r="L254" s="94">
        <v>0</v>
      </c>
      <c r="M254" s="129">
        <v>0</v>
      </c>
      <c r="N254" s="102">
        <f t="shared" si="6"/>
        <v>6.8000000000000007</v>
      </c>
      <c r="O254" s="97">
        <v>0</v>
      </c>
      <c r="P254" s="92">
        <v>0</v>
      </c>
      <c r="Q254" s="98">
        <f t="shared" si="7"/>
        <v>0</v>
      </c>
      <c r="R254" s="102" t="str">
        <f>+IF(Q254+N254&lt;=0, "NO COMPRADOR", +IF(Q254&lt;=0, "SIN COMPRA "&amp;+UPPER(TEXT('DINAMICA ENERO 26'!$C$2,"mmm 'yy")), "COMPRADOR"))</f>
        <v>SIN COMPRA FEB '26</v>
      </c>
      <c r="S254" s="100"/>
      <c r="T254" s="101"/>
      <c r="U254" s="100"/>
      <c r="X254" s="101"/>
      <c r="Y254" s="100"/>
    </row>
    <row r="255" spans="1:25" s="104" customFormat="1" ht="14">
      <c r="A255" s="88" t="s">
        <v>85</v>
      </c>
      <c r="B255" s="89" t="s">
        <v>315</v>
      </c>
      <c r="C255" s="89" t="s">
        <v>43</v>
      </c>
      <c r="D255" s="103">
        <v>100087724</v>
      </c>
      <c r="E255" s="89" t="s">
        <v>44</v>
      </c>
      <c r="F255" s="89">
        <v>100069181</v>
      </c>
      <c r="G255" s="128" t="s">
        <v>344</v>
      </c>
      <c r="H255" s="94">
        <v>20.400000000000002</v>
      </c>
      <c r="I255" s="94">
        <v>16.200000000000003</v>
      </c>
      <c r="J255" s="94">
        <v>15</v>
      </c>
      <c r="K255" s="94">
        <v>5.4</v>
      </c>
      <c r="L255" s="94">
        <v>9.6</v>
      </c>
      <c r="M255" s="129">
        <v>4.8</v>
      </c>
      <c r="N255" s="102">
        <f t="shared" si="6"/>
        <v>6.6000000000000005</v>
      </c>
      <c r="O255" s="97">
        <v>5.4</v>
      </c>
      <c r="P255" s="92">
        <v>0</v>
      </c>
      <c r="Q255" s="98">
        <f t="shared" si="7"/>
        <v>5.4</v>
      </c>
      <c r="R255" s="102" t="str">
        <f>+IF(Q255+N255&lt;=0, "NO COMPRADOR", +IF(Q255&lt;=0, "SIN COMPRA "&amp;+UPPER(TEXT('DINAMICA ENERO 26'!$C$2,"mmm 'yy")), "COMPRADOR"))</f>
        <v>COMPRADOR</v>
      </c>
      <c r="S255" s="100"/>
      <c r="T255" s="101"/>
      <c r="U255" s="100"/>
      <c r="X255" s="101"/>
      <c r="Y255" s="100"/>
    </row>
    <row r="256" spans="1:25" s="100" customFormat="1" ht="14">
      <c r="A256" s="88" t="s">
        <v>85</v>
      </c>
      <c r="B256" s="89" t="s">
        <v>315</v>
      </c>
      <c r="C256" s="89" t="s">
        <v>43</v>
      </c>
      <c r="D256" s="103">
        <v>100087724</v>
      </c>
      <c r="E256" s="89" t="s">
        <v>44</v>
      </c>
      <c r="F256" s="89">
        <v>100070616</v>
      </c>
      <c r="G256" s="128" t="s">
        <v>345</v>
      </c>
      <c r="H256" s="94">
        <v>5.4</v>
      </c>
      <c r="I256" s="94">
        <v>5.4</v>
      </c>
      <c r="J256" s="94">
        <v>10.8</v>
      </c>
      <c r="K256" s="94">
        <v>21.6</v>
      </c>
      <c r="L256" s="94">
        <v>5.4</v>
      </c>
      <c r="M256" s="129">
        <v>10.8</v>
      </c>
      <c r="N256" s="102">
        <f t="shared" si="6"/>
        <v>12.6</v>
      </c>
      <c r="O256" s="97">
        <v>0</v>
      </c>
      <c r="P256" s="92">
        <v>0</v>
      </c>
      <c r="Q256" s="98">
        <f t="shared" si="7"/>
        <v>0</v>
      </c>
      <c r="R256" s="102" t="str">
        <f>+IF(Q256+N256&lt;=0, "NO COMPRADOR", +IF(Q256&lt;=0, "SIN COMPRA "&amp;+UPPER(TEXT('DINAMICA ENERO 26'!$C$2,"mmm 'yy")), "COMPRADOR"))</f>
        <v>SIN COMPRA FEB '26</v>
      </c>
      <c r="T256" s="101"/>
      <c r="X256" s="101"/>
    </row>
    <row r="257" spans="1:25" s="100" customFormat="1" ht="14">
      <c r="A257" s="88" t="s">
        <v>85</v>
      </c>
      <c r="B257" s="89" t="s">
        <v>315</v>
      </c>
      <c r="C257" s="89" t="s">
        <v>43</v>
      </c>
      <c r="D257" s="103">
        <v>100087724</v>
      </c>
      <c r="E257" s="89" t="s">
        <v>44</v>
      </c>
      <c r="F257" s="89">
        <v>100079876</v>
      </c>
      <c r="G257" s="128" t="s">
        <v>346</v>
      </c>
      <c r="H257" s="94">
        <v>0</v>
      </c>
      <c r="I257" s="94">
        <v>36</v>
      </c>
      <c r="J257" s="94">
        <v>26.400000000000002</v>
      </c>
      <c r="K257" s="94">
        <v>51</v>
      </c>
      <c r="L257" s="94">
        <v>0</v>
      </c>
      <c r="M257" s="129">
        <v>5.4</v>
      </c>
      <c r="N257" s="102">
        <f t="shared" si="6"/>
        <v>18.8</v>
      </c>
      <c r="O257" s="97">
        <v>0</v>
      </c>
      <c r="P257" s="92">
        <v>0</v>
      </c>
      <c r="Q257" s="98">
        <f t="shared" si="7"/>
        <v>0</v>
      </c>
      <c r="R257" s="102" t="str">
        <f>+IF(Q257+N257&lt;=0, "NO COMPRADOR", +IF(Q257&lt;=0, "SIN COMPRA "&amp;+UPPER(TEXT('DINAMICA ENERO 26'!$C$2,"mmm 'yy")), "COMPRADOR"))</f>
        <v>SIN COMPRA FEB '26</v>
      </c>
      <c r="T257" s="101"/>
      <c r="X257" s="101"/>
    </row>
    <row r="258" spans="1:25" s="104" customFormat="1" ht="14">
      <c r="A258" s="88" t="s">
        <v>85</v>
      </c>
      <c r="B258" s="89" t="s">
        <v>315</v>
      </c>
      <c r="C258" s="89" t="s">
        <v>43</v>
      </c>
      <c r="D258" s="103">
        <v>100087724</v>
      </c>
      <c r="E258" s="89" t="s">
        <v>44</v>
      </c>
      <c r="F258" s="89">
        <v>100081157</v>
      </c>
      <c r="G258" s="128" t="s">
        <v>347</v>
      </c>
      <c r="H258" s="94">
        <v>10.8</v>
      </c>
      <c r="I258" s="94">
        <v>20.400000000000002</v>
      </c>
      <c r="J258" s="94">
        <v>21.6</v>
      </c>
      <c r="K258" s="94">
        <v>10.8</v>
      </c>
      <c r="L258" s="94">
        <v>10.8</v>
      </c>
      <c r="M258" s="129">
        <v>5.4</v>
      </c>
      <c r="N258" s="102">
        <f t="shared" si="6"/>
        <v>9</v>
      </c>
      <c r="O258" s="97">
        <v>10.8</v>
      </c>
      <c r="P258" s="92">
        <v>0</v>
      </c>
      <c r="Q258" s="98">
        <f t="shared" si="7"/>
        <v>10.8</v>
      </c>
      <c r="R258" s="102" t="str">
        <f>+IF(Q258+N258&lt;=0, "NO COMPRADOR", +IF(Q258&lt;=0, "SIN COMPRA "&amp;+UPPER(TEXT('DINAMICA ENERO 26'!$C$2,"mmm 'yy")), "COMPRADOR"))</f>
        <v>COMPRADOR</v>
      </c>
      <c r="S258" s="100"/>
      <c r="T258" s="101"/>
      <c r="U258" s="100"/>
      <c r="X258" s="101"/>
      <c r="Y258" s="100"/>
    </row>
    <row r="259" spans="1:25" s="100" customFormat="1" ht="14">
      <c r="A259" s="88" t="s">
        <v>85</v>
      </c>
      <c r="B259" s="89" t="s">
        <v>315</v>
      </c>
      <c r="C259" s="89" t="s">
        <v>43</v>
      </c>
      <c r="D259" s="103">
        <v>100087724</v>
      </c>
      <c r="E259" s="89" t="s">
        <v>44</v>
      </c>
      <c r="F259" s="89">
        <v>100083001</v>
      </c>
      <c r="G259" s="128" t="s">
        <v>348</v>
      </c>
      <c r="H259" s="94">
        <v>10.199999999999999</v>
      </c>
      <c r="I259" s="94">
        <v>10.8</v>
      </c>
      <c r="J259" s="94">
        <v>20.400000000000002</v>
      </c>
      <c r="K259" s="94">
        <v>5.4</v>
      </c>
      <c r="L259" s="94">
        <v>10.8</v>
      </c>
      <c r="M259" s="129">
        <v>4.8</v>
      </c>
      <c r="N259" s="102">
        <f t="shared" ref="N259:N322" si="8">+AVERAGE(K259:M259)</f>
        <v>7.0000000000000009</v>
      </c>
      <c r="O259" s="97">
        <v>0</v>
      </c>
      <c r="P259" s="92">
        <v>0</v>
      </c>
      <c r="Q259" s="98">
        <f t="shared" si="7"/>
        <v>0</v>
      </c>
      <c r="R259" s="102" t="str">
        <f>+IF(Q259+N259&lt;=0, "NO COMPRADOR", +IF(Q259&lt;=0, "SIN COMPRA "&amp;+UPPER(TEXT('DINAMICA ENERO 26'!$C$2,"mmm 'yy")), "COMPRADOR"))</f>
        <v>SIN COMPRA FEB '26</v>
      </c>
      <c r="T259" s="101"/>
      <c r="X259" s="101"/>
    </row>
    <row r="260" spans="1:25" s="104" customFormat="1" ht="14">
      <c r="A260" s="88" t="s">
        <v>85</v>
      </c>
      <c r="B260" s="89" t="s">
        <v>315</v>
      </c>
      <c r="C260" s="89" t="s">
        <v>43</v>
      </c>
      <c r="D260" s="103">
        <v>100087724</v>
      </c>
      <c r="E260" s="89" t="s">
        <v>44</v>
      </c>
      <c r="F260" s="89">
        <v>100084045</v>
      </c>
      <c r="G260" s="128" t="s">
        <v>349</v>
      </c>
      <c r="H260" s="94">
        <v>40.800000000000004</v>
      </c>
      <c r="I260" s="94">
        <v>20.400000000000002</v>
      </c>
      <c r="J260" s="94">
        <v>20.400000000000002</v>
      </c>
      <c r="K260" s="94">
        <v>5.4</v>
      </c>
      <c r="L260" s="94">
        <v>52.8</v>
      </c>
      <c r="M260" s="129">
        <v>0</v>
      </c>
      <c r="N260" s="102">
        <f t="shared" si="8"/>
        <v>19.399999999999999</v>
      </c>
      <c r="O260" s="97">
        <v>5.4</v>
      </c>
      <c r="P260" s="92">
        <v>0</v>
      </c>
      <c r="Q260" s="98">
        <f t="shared" ref="Q260:Q323" si="9">+O260+P260</f>
        <v>5.4</v>
      </c>
      <c r="R260" s="102" t="str">
        <f>+IF(Q260+N260&lt;=0, "NO COMPRADOR", +IF(Q260&lt;=0, "SIN COMPRA "&amp;+UPPER(TEXT('DINAMICA ENERO 26'!$C$2,"mmm 'yy")), "COMPRADOR"))</f>
        <v>COMPRADOR</v>
      </c>
      <c r="S260" s="100"/>
      <c r="T260" s="101"/>
      <c r="U260" s="100"/>
      <c r="X260" s="101"/>
      <c r="Y260" s="100"/>
    </row>
    <row r="261" spans="1:25" s="100" customFormat="1" ht="14">
      <c r="A261" s="88" t="s">
        <v>85</v>
      </c>
      <c r="B261" s="89" t="s">
        <v>315</v>
      </c>
      <c r="C261" s="89" t="s">
        <v>43</v>
      </c>
      <c r="D261" s="103">
        <v>100087724</v>
      </c>
      <c r="E261" s="89" t="s">
        <v>44</v>
      </c>
      <c r="F261" s="89">
        <v>100087681</v>
      </c>
      <c r="G261" s="128" t="s">
        <v>350</v>
      </c>
      <c r="H261" s="94">
        <v>96</v>
      </c>
      <c r="I261" s="94">
        <v>31.200000000000003</v>
      </c>
      <c r="J261" s="94">
        <v>10.8</v>
      </c>
      <c r="K261" s="94">
        <v>54</v>
      </c>
      <c r="L261" s="94">
        <v>0</v>
      </c>
      <c r="M261" s="129">
        <v>59.400000000000006</v>
      </c>
      <c r="N261" s="102">
        <f t="shared" si="8"/>
        <v>37.800000000000004</v>
      </c>
      <c r="O261" s="97">
        <v>27</v>
      </c>
      <c r="P261" s="92">
        <v>0</v>
      </c>
      <c r="Q261" s="98">
        <f t="shared" si="9"/>
        <v>27</v>
      </c>
      <c r="R261" s="102" t="str">
        <f>+IF(Q261+N261&lt;=0, "NO COMPRADOR", +IF(Q261&lt;=0, "SIN COMPRA "&amp;+UPPER(TEXT('DINAMICA ENERO 26'!$C$2,"mmm 'yy")), "COMPRADOR"))</f>
        <v>COMPRADOR</v>
      </c>
      <c r="T261" s="101"/>
      <c r="X261" s="101"/>
    </row>
    <row r="262" spans="1:25" s="104" customFormat="1" ht="14">
      <c r="A262" s="88" t="s">
        <v>85</v>
      </c>
      <c r="B262" s="89" t="s">
        <v>351</v>
      </c>
      <c r="C262" s="89" t="s">
        <v>43</v>
      </c>
      <c r="D262" s="103">
        <v>100070275</v>
      </c>
      <c r="E262" s="89" t="s">
        <v>47</v>
      </c>
      <c r="F262" s="89">
        <v>100079420</v>
      </c>
      <c r="G262" s="128" t="s">
        <v>352</v>
      </c>
      <c r="H262" s="94">
        <v>31.200000000000003</v>
      </c>
      <c r="I262" s="94">
        <v>40.800000000000004</v>
      </c>
      <c r="J262" s="94">
        <v>20.399999999999999</v>
      </c>
      <c r="K262" s="94">
        <v>21.6</v>
      </c>
      <c r="L262" s="94">
        <v>0</v>
      </c>
      <c r="M262" s="129">
        <v>16.200000000000003</v>
      </c>
      <c r="N262" s="102">
        <f t="shared" si="8"/>
        <v>12.600000000000001</v>
      </c>
      <c r="O262" s="97">
        <v>0</v>
      </c>
      <c r="P262" s="92">
        <v>0</v>
      </c>
      <c r="Q262" s="98">
        <f t="shared" si="9"/>
        <v>0</v>
      </c>
      <c r="R262" s="102" t="str">
        <f>+IF(Q262+N262&lt;=0, "NO COMPRADOR", +IF(Q262&lt;=0, "SIN COMPRA "&amp;+UPPER(TEXT('DINAMICA ENERO 26'!$C$2,"mmm 'yy")), "COMPRADOR"))</f>
        <v>SIN COMPRA FEB '26</v>
      </c>
      <c r="S262" s="100"/>
      <c r="T262" s="101"/>
      <c r="U262" s="100"/>
      <c r="X262" s="101"/>
      <c r="Y262" s="100"/>
    </row>
    <row r="263" spans="1:25" s="104" customFormat="1" ht="14">
      <c r="A263" s="88" t="s">
        <v>85</v>
      </c>
      <c r="B263" s="89" t="s">
        <v>351</v>
      </c>
      <c r="C263" s="89" t="s">
        <v>43</v>
      </c>
      <c r="D263" s="103">
        <v>100070275</v>
      </c>
      <c r="E263" s="89" t="s">
        <v>47</v>
      </c>
      <c r="F263" s="89">
        <v>100078680</v>
      </c>
      <c r="G263" s="128" t="s">
        <v>353</v>
      </c>
      <c r="H263" s="94">
        <v>0</v>
      </c>
      <c r="I263" s="94">
        <v>0</v>
      </c>
      <c r="J263" s="94">
        <v>0</v>
      </c>
      <c r="K263" s="94">
        <v>0</v>
      </c>
      <c r="L263" s="94">
        <v>0</v>
      </c>
      <c r="M263" s="129">
        <v>0</v>
      </c>
      <c r="N263" s="102">
        <f t="shared" si="8"/>
        <v>0</v>
      </c>
      <c r="O263" s="97">
        <v>0</v>
      </c>
      <c r="P263" s="92">
        <v>0</v>
      </c>
      <c r="Q263" s="98">
        <f t="shared" si="9"/>
        <v>0</v>
      </c>
      <c r="R263" s="102" t="str">
        <f>+IF(Q263+N263&lt;=0, "NO COMPRADOR", +IF(Q263&lt;=0, "SIN COMPRA "&amp;+UPPER(TEXT('DINAMICA ENERO 26'!$C$2,"mmm 'yy")), "COMPRADOR"))</f>
        <v>NO COMPRADOR</v>
      </c>
      <c r="S263" s="100"/>
      <c r="T263" s="101"/>
      <c r="U263" s="100"/>
      <c r="X263" s="101"/>
      <c r="Y263" s="100"/>
    </row>
    <row r="264" spans="1:25" s="104" customFormat="1" ht="14">
      <c r="A264" s="88" t="s">
        <v>85</v>
      </c>
      <c r="B264" s="89" t="s">
        <v>351</v>
      </c>
      <c r="C264" s="89" t="s">
        <v>43</v>
      </c>
      <c r="D264" s="103">
        <v>100070275</v>
      </c>
      <c r="E264" s="89" t="s">
        <v>47</v>
      </c>
      <c r="F264" s="89">
        <v>100064271</v>
      </c>
      <c r="G264" s="128" t="s">
        <v>354</v>
      </c>
      <c r="H264" s="94">
        <v>20.400000000000002</v>
      </c>
      <c r="I264" s="94">
        <v>5.4</v>
      </c>
      <c r="J264" s="94">
        <v>20.400000000000002</v>
      </c>
      <c r="K264" s="94">
        <v>0</v>
      </c>
      <c r="L264" s="94">
        <v>0</v>
      </c>
      <c r="M264" s="129">
        <v>0</v>
      </c>
      <c r="N264" s="102">
        <f t="shared" si="8"/>
        <v>0</v>
      </c>
      <c r="O264" s="97">
        <v>15.600000000000001</v>
      </c>
      <c r="P264" s="92">
        <v>0</v>
      </c>
      <c r="Q264" s="98">
        <f t="shared" si="9"/>
        <v>15.600000000000001</v>
      </c>
      <c r="R264" s="102" t="str">
        <f>+IF(Q264+N264&lt;=0, "NO COMPRADOR", +IF(Q264&lt;=0, "SIN COMPRA "&amp;+UPPER(TEXT('DINAMICA ENERO 26'!$C$2,"mmm 'yy")), "COMPRADOR"))</f>
        <v>COMPRADOR</v>
      </c>
      <c r="S264" s="100"/>
      <c r="T264" s="101"/>
      <c r="U264" s="100"/>
      <c r="X264" s="101"/>
      <c r="Y264" s="100"/>
    </row>
    <row r="265" spans="1:25" s="104" customFormat="1" ht="14">
      <c r="A265" s="88" t="s">
        <v>85</v>
      </c>
      <c r="B265" s="89" t="s">
        <v>351</v>
      </c>
      <c r="C265" s="89" t="s">
        <v>43</v>
      </c>
      <c r="D265" s="103">
        <v>100070275</v>
      </c>
      <c r="E265" s="89" t="s">
        <v>47</v>
      </c>
      <c r="F265" s="89">
        <v>100069359</v>
      </c>
      <c r="G265" s="128" t="s">
        <v>355</v>
      </c>
      <c r="H265" s="94">
        <v>40.800000000000004</v>
      </c>
      <c r="I265" s="94">
        <v>5.4</v>
      </c>
      <c r="J265" s="94">
        <v>83.4</v>
      </c>
      <c r="K265" s="94">
        <v>27.000000000000004</v>
      </c>
      <c r="L265" s="94">
        <v>5.4</v>
      </c>
      <c r="M265" s="129">
        <v>48</v>
      </c>
      <c r="N265" s="102">
        <f t="shared" si="8"/>
        <v>26.8</v>
      </c>
      <c r="O265" s="97">
        <v>95.4</v>
      </c>
      <c r="P265" s="92">
        <v>0</v>
      </c>
      <c r="Q265" s="98">
        <f t="shared" si="9"/>
        <v>95.4</v>
      </c>
      <c r="R265" s="102" t="str">
        <f>+IF(Q265+N265&lt;=0, "NO COMPRADOR", +IF(Q265&lt;=0, "SIN COMPRA "&amp;+UPPER(TEXT('DINAMICA ENERO 26'!$C$2,"mmm 'yy")), "COMPRADOR"))</f>
        <v>COMPRADOR</v>
      </c>
      <c r="S265" s="100"/>
      <c r="T265" s="101"/>
      <c r="U265" s="100"/>
      <c r="X265" s="101"/>
      <c r="Y265" s="100"/>
    </row>
    <row r="266" spans="1:25" s="100" customFormat="1" ht="14">
      <c r="A266" s="88" t="s">
        <v>85</v>
      </c>
      <c r="B266" s="89" t="s">
        <v>351</v>
      </c>
      <c r="C266" s="89" t="s">
        <v>43</v>
      </c>
      <c r="D266" s="103">
        <v>100070275</v>
      </c>
      <c r="E266" s="89" t="s">
        <v>47</v>
      </c>
      <c r="F266" s="89">
        <v>100078132</v>
      </c>
      <c r="G266" s="128" t="s">
        <v>356</v>
      </c>
      <c r="H266" s="94">
        <v>31.200000000000003</v>
      </c>
      <c r="I266" s="94">
        <v>0</v>
      </c>
      <c r="J266" s="94">
        <v>-10.199999999999999</v>
      </c>
      <c r="K266" s="94">
        <v>5.4</v>
      </c>
      <c r="L266" s="94">
        <v>-10.199999999999999</v>
      </c>
      <c r="M266" s="129">
        <v>5.4</v>
      </c>
      <c r="N266" s="102">
        <f t="shared" si="8"/>
        <v>0.20000000000000048</v>
      </c>
      <c r="O266" s="97">
        <v>0</v>
      </c>
      <c r="P266" s="92">
        <v>0</v>
      </c>
      <c r="Q266" s="98">
        <f t="shared" si="9"/>
        <v>0</v>
      </c>
      <c r="R266" s="102" t="str">
        <f>+IF(Q266+N266&lt;=0, "NO COMPRADOR", +IF(Q266&lt;=0, "SIN COMPRA "&amp;+UPPER(TEXT('DINAMICA ENERO 26'!$C$2,"mmm 'yy")), "COMPRADOR"))</f>
        <v>SIN COMPRA FEB '26</v>
      </c>
      <c r="T266" s="101"/>
      <c r="X266" s="101"/>
    </row>
    <row r="267" spans="1:25" s="104" customFormat="1" ht="14">
      <c r="A267" s="88" t="s">
        <v>85</v>
      </c>
      <c r="B267" s="89" t="s">
        <v>351</v>
      </c>
      <c r="C267" s="89" t="s">
        <v>43</v>
      </c>
      <c r="D267" s="103">
        <v>100070275</v>
      </c>
      <c r="E267" s="89" t="s">
        <v>47</v>
      </c>
      <c r="F267" s="89">
        <v>100023921</v>
      </c>
      <c r="G267" s="128" t="s">
        <v>357</v>
      </c>
      <c r="H267" s="94">
        <v>20.400000000000002</v>
      </c>
      <c r="I267" s="94">
        <v>0</v>
      </c>
      <c r="J267" s="94">
        <v>5.4</v>
      </c>
      <c r="K267" s="94">
        <v>0</v>
      </c>
      <c r="L267" s="94">
        <v>5.4</v>
      </c>
      <c r="M267" s="129">
        <v>0</v>
      </c>
      <c r="N267" s="102">
        <f t="shared" si="8"/>
        <v>1.8</v>
      </c>
      <c r="O267" s="97">
        <v>-4.8</v>
      </c>
      <c r="P267" s="92">
        <v>0</v>
      </c>
      <c r="Q267" s="98">
        <f t="shared" si="9"/>
        <v>-4.8</v>
      </c>
      <c r="R267" s="102" t="str">
        <f>+IF(Q267+N267&lt;=0, "NO COMPRADOR", +IF(Q267&lt;=0, "SIN COMPRA "&amp;+UPPER(TEXT('DINAMICA ENERO 26'!$C$2,"mmm 'yy")), "COMPRADOR"))</f>
        <v>NO COMPRADOR</v>
      </c>
      <c r="S267" s="100"/>
      <c r="T267" s="101"/>
      <c r="U267" s="100"/>
      <c r="X267" s="101"/>
      <c r="Y267" s="100"/>
    </row>
    <row r="268" spans="1:25" ht="14">
      <c r="A268" s="88" t="s">
        <v>85</v>
      </c>
      <c r="B268" s="89" t="s">
        <v>351</v>
      </c>
      <c r="C268" s="89" t="s">
        <v>43</v>
      </c>
      <c r="D268" s="103">
        <v>100070275</v>
      </c>
      <c r="E268" s="89" t="s">
        <v>47</v>
      </c>
      <c r="F268" s="89">
        <v>100082844</v>
      </c>
      <c r="G268" s="128" t="s">
        <v>358</v>
      </c>
      <c r="H268" s="94">
        <v>35.4</v>
      </c>
      <c r="I268" s="94">
        <v>20.400000000000002</v>
      </c>
      <c r="J268" s="94">
        <v>20.400000000000002</v>
      </c>
      <c r="K268" s="94">
        <v>-20.400000000000002</v>
      </c>
      <c r="L268" s="94">
        <v>5.4</v>
      </c>
      <c r="M268" s="129">
        <v>0</v>
      </c>
      <c r="N268" s="102">
        <f t="shared" si="8"/>
        <v>-5.0000000000000009</v>
      </c>
      <c r="O268" s="97">
        <v>-10.199999999999999</v>
      </c>
      <c r="P268" s="92">
        <v>0</v>
      </c>
      <c r="Q268" s="98">
        <f t="shared" si="9"/>
        <v>-10.199999999999999</v>
      </c>
      <c r="R268" s="102" t="str">
        <f>+IF(Q268+N268&lt;=0, "NO COMPRADOR", +IF(Q268&lt;=0, "SIN COMPRA "&amp;+UPPER(TEXT('DINAMICA ENERO 26'!$C$2,"mmm 'yy")), "COMPRADOR"))</f>
        <v>NO COMPRADOR</v>
      </c>
      <c r="S268" s="100"/>
      <c r="T268" s="101"/>
      <c r="U268" s="100"/>
      <c r="X268" s="101"/>
      <c r="Y268" s="100"/>
    </row>
    <row r="269" spans="1:25" ht="14">
      <c r="A269" s="88" t="s">
        <v>85</v>
      </c>
      <c r="B269" s="89" t="s">
        <v>351</v>
      </c>
      <c r="C269" s="89" t="s">
        <v>43</v>
      </c>
      <c r="D269" s="103">
        <v>100070275</v>
      </c>
      <c r="E269" s="89" t="s">
        <v>47</v>
      </c>
      <c r="F269" s="89">
        <v>100001577</v>
      </c>
      <c r="G269" s="128" t="s">
        <v>359</v>
      </c>
      <c r="H269" s="94">
        <v>0</v>
      </c>
      <c r="I269" s="94">
        <v>54</v>
      </c>
      <c r="J269" s="94">
        <v>0</v>
      </c>
      <c r="K269" s="94">
        <v>0</v>
      </c>
      <c r="L269" s="94">
        <v>0</v>
      </c>
      <c r="M269" s="129">
        <v>0</v>
      </c>
      <c r="N269" s="102">
        <f t="shared" si="8"/>
        <v>0</v>
      </c>
      <c r="O269" s="97">
        <v>9.6</v>
      </c>
      <c r="P269" s="92">
        <v>0</v>
      </c>
      <c r="Q269" s="98">
        <f t="shared" si="9"/>
        <v>9.6</v>
      </c>
      <c r="R269" s="102" t="str">
        <f>+IF(Q269+N269&lt;=0, "NO COMPRADOR", +IF(Q269&lt;=0, "SIN COMPRA "&amp;+UPPER(TEXT('DINAMICA ENERO 26'!$C$2,"mmm 'yy")), "COMPRADOR"))</f>
        <v>COMPRADOR</v>
      </c>
      <c r="S269" s="100"/>
      <c r="T269" s="101"/>
      <c r="U269" s="100"/>
      <c r="X269" s="101"/>
      <c r="Y269" s="100"/>
    </row>
    <row r="270" spans="1:25" ht="14">
      <c r="A270" s="88" t="s">
        <v>85</v>
      </c>
      <c r="B270" s="89" t="s">
        <v>351</v>
      </c>
      <c r="C270" s="89" t="s">
        <v>43</v>
      </c>
      <c r="D270" s="103">
        <v>100070275</v>
      </c>
      <c r="E270" s="89" t="s">
        <v>47</v>
      </c>
      <c r="F270" s="89">
        <v>100078048</v>
      </c>
      <c r="G270" s="128" t="s">
        <v>360</v>
      </c>
      <c r="H270" s="94">
        <v>0</v>
      </c>
      <c r="I270" s="94">
        <v>14.399999999999999</v>
      </c>
      <c r="J270" s="94">
        <v>0</v>
      </c>
      <c r="K270" s="94">
        <v>25.800000000000004</v>
      </c>
      <c r="L270" s="94">
        <v>46.2</v>
      </c>
      <c r="M270" s="129">
        <v>-40.800000000000004</v>
      </c>
      <c r="N270" s="102">
        <f t="shared" si="8"/>
        <v>10.399999999999999</v>
      </c>
      <c r="O270" s="97">
        <v>25.2</v>
      </c>
      <c r="P270" s="92">
        <v>0</v>
      </c>
      <c r="Q270" s="98">
        <f t="shared" si="9"/>
        <v>25.2</v>
      </c>
      <c r="R270" s="102" t="str">
        <f>+IF(Q270+N270&lt;=0, "NO COMPRADOR", +IF(Q270&lt;=0, "SIN COMPRA "&amp;+UPPER(TEXT('DINAMICA ENERO 26'!$C$2,"mmm 'yy")), "COMPRADOR"))</f>
        <v>COMPRADOR</v>
      </c>
      <c r="S270" s="100"/>
      <c r="T270" s="101"/>
      <c r="U270" s="100"/>
      <c r="X270" s="101"/>
      <c r="Y270" s="100"/>
    </row>
    <row r="271" spans="1:25" s="100" customFormat="1" ht="14">
      <c r="A271" s="88" t="s">
        <v>85</v>
      </c>
      <c r="B271" s="89" t="s">
        <v>351</v>
      </c>
      <c r="C271" s="89" t="s">
        <v>43</v>
      </c>
      <c r="D271" s="103">
        <v>100070275</v>
      </c>
      <c r="E271" s="89" t="s">
        <v>47</v>
      </c>
      <c r="F271" s="89">
        <v>100001301</v>
      </c>
      <c r="G271" s="128" t="s">
        <v>361</v>
      </c>
      <c r="H271" s="94">
        <v>0</v>
      </c>
      <c r="I271" s="94">
        <v>5.4</v>
      </c>
      <c r="J271" s="94">
        <v>0</v>
      </c>
      <c r="K271" s="94">
        <v>0</v>
      </c>
      <c r="L271" s="94">
        <v>0</v>
      </c>
      <c r="M271" s="129">
        <v>0</v>
      </c>
      <c r="N271" s="102">
        <f t="shared" si="8"/>
        <v>0</v>
      </c>
      <c r="O271" s="97">
        <v>0</v>
      </c>
      <c r="P271" s="92">
        <v>0</v>
      </c>
      <c r="Q271" s="98">
        <f t="shared" si="9"/>
        <v>0</v>
      </c>
      <c r="R271" s="102" t="str">
        <f>+IF(Q271+N271&lt;=0, "NO COMPRADOR", +IF(Q271&lt;=0, "SIN COMPRA "&amp;+UPPER(TEXT('DINAMICA ENERO 26'!$C$2,"mmm 'yy")), "COMPRADOR"))</f>
        <v>NO COMPRADOR</v>
      </c>
      <c r="T271" s="101"/>
      <c r="X271" s="101"/>
    </row>
    <row r="272" spans="1:25" s="104" customFormat="1" ht="14">
      <c r="A272" s="88" t="s">
        <v>85</v>
      </c>
      <c r="B272" s="89" t="s">
        <v>351</v>
      </c>
      <c r="C272" s="89" t="s">
        <v>43</v>
      </c>
      <c r="D272" s="103">
        <v>100070275</v>
      </c>
      <c r="E272" s="89" t="s">
        <v>47</v>
      </c>
      <c r="F272" s="89">
        <v>100002071</v>
      </c>
      <c r="G272" s="128" t="s">
        <v>362</v>
      </c>
      <c r="H272" s="94">
        <v>20.400000000000002</v>
      </c>
      <c r="I272" s="94">
        <v>20.400000000000002</v>
      </c>
      <c r="J272" s="94">
        <v>20.400000000000002</v>
      </c>
      <c r="K272" s="94">
        <v>0</v>
      </c>
      <c r="L272" s="94">
        <v>10.199999999999999</v>
      </c>
      <c r="M272" s="129">
        <v>0</v>
      </c>
      <c r="N272" s="102">
        <f t="shared" si="8"/>
        <v>3.4</v>
      </c>
      <c r="O272" s="97">
        <v>20.400000000000002</v>
      </c>
      <c r="P272" s="92">
        <v>0</v>
      </c>
      <c r="Q272" s="98">
        <f t="shared" si="9"/>
        <v>20.400000000000002</v>
      </c>
      <c r="R272" s="102" t="str">
        <f>+IF(Q272+N272&lt;=0, "NO COMPRADOR", +IF(Q272&lt;=0, "SIN COMPRA "&amp;+UPPER(TEXT('DINAMICA ENERO 26'!$C$2,"mmm 'yy")), "COMPRADOR"))</f>
        <v>COMPRADOR</v>
      </c>
      <c r="S272" s="100"/>
      <c r="T272" s="101"/>
      <c r="U272" s="100"/>
      <c r="X272" s="101"/>
      <c r="Y272" s="100"/>
    </row>
    <row r="273" spans="1:25" s="100" customFormat="1" ht="14">
      <c r="A273" s="88" t="s">
        <v>85</v>
      </c>
      <c r="B273" s="89" t="s">
        <v>351</v>
      </c>
      <c r="C273" s="89" t="s">
        <v>43</v>
      </c>
      <c r="D273" s="103">
        <v>100070275</v>
      </c>
      <c r="E273" s="89" t="s">
        <v>47</v>
      </c>
      <c r="F273" s="89">
        <v>100001979</v>
      </c>
      <c r="G273" s="128" t="s">
        <v>290</v>
      </c>
      <c r="H273" s="94">
        <v>0</v>
      </c>
      <c r="I273" s="94">
        <v>10.8</v>
      </c>
      <c r="J273" s="94">
        <v>0</v>
      </c>
      <c r="K273" s="94">
        <v>16.200000000000003</v>
      </c>
      <c r="L273" s="94">
        <v>15</v>
      </c>
      <c r="M273" s="129">
        <v>10.8</v>
      </c>
      <c r="N273" s="102">
        <f t="shared" si="8"/>
        <v>14</v>
      </c>
      <c r="O273" s="97">
        <v>15</v>
      </c>
      <c r="P273" s="92">
        <v>0</v>
      </c>
      <c r="Q273" s="98">
        <f t="shared" si="9"/>
        <v>15</v>
      </c>
      <c r="R273" s="102" t="str">
        <f>+IF(Q273+N273&lt;=0, "NO COMPRADOR", +IF(Q273&lt;=0, "SIN COMPRA "&amp;+UPPER(TEXT('DINAMICA ENERO 26'!$C$2,"mmm 'yy")), "COMPRADOR"))</f>
        <v>COMPRADOR</v>
      </c>
      <c r="T273" s="101"/>
      <c r="X273" s="101"/>
    </row>
    <row r="274" spans="1:25" s="104" customFormat="1" ht="14">
      <c r="A274" s="88" t="s">
        <v>85</v>
      </c>
      <c r="B274" s="89" t="s">
        <v>351</v>
      </c>
      <c r="C274" s="89" t="s">
        <v>43</v>
      </c>
      <c r="D274" s="103">
        <v>100070275</v>
      </c>
      <c r="E274" s="89" t="s">
        <v>47</v>
      </c>
      <c r="F274" s="89">
        <v>100001679</v>
      </c>
      <c r="G274" s="128" t="s">
        <v>363</v>
      </c>
      <c r="H274" s="94">
        <v>5.4</v>
      </c>
      <c r="I274" s="94">
        <v>9.6</v>
      </c>
      <c r="J274" s="94">
        <v>45</v>
      </c>
      <c r="K274" s="94">
        <v>0</v>
      </c>
      <c r="L274" s="94">
        <v>0</v>
      </c>
      <c r="M274" s="129">
        <v>0</v>
      </c>
      <c r="N274" s="102">
        <f t="shared" si="8"/>
        <v>0</v>
      </c>
      <c r="O274" s="97">
        <v>0</v>
      </c>
      <c r="P274" s="92">
        <v>0</v>
      </c>
      <c r="Q274" s="98">
        <f t="shared" si="9"/>
        <v>0</v>
      </c>
      <c r="R274" s="102" t="str">
        <f>+IF(Q274+N274&lt;=0, "NO COMPRADOR", +IF(Q274&lt;=0, "SIN COMPRA "&amp;+UPPER(TEXT('DINAMICA ENERO 26'!$C$2,"mmm 'yy")), "COMPRADOR"))</f>
        <v>NO COMPRADOR</v>
      </c>
      <c r="S274" s="100"/>
      <c r="T274" s="101"/>
      <c r="U274" s="100"/>
      <c r="X274" s="101"/>
      <c r="Y274" s="100"/>
    </row>
    <row r="275" spans="1:25" s="100" customFormat="1" ht="14">
      <c r="A275" s="88" t="s">
        <v>85</v>
      </c>
      <c r="B275" s="89" t="s">
        <v>351</v>
      </c>
      <c r="C275" s="89" t="s">
        <v>43</v>
      </c>
      <c r="D275" s="103">
        <v>100070275</v>
      </c>
      <c r="E275" s="89" t="s">
        <v>47</v>
      </c>
      <c r="F275" s="89">
        <v>100001246</v>
      </c>
      <c r="G275" s="128" t="s">
        <v>364</v>
      </c>
      <c r="H275" s="94">
        <v>20.400000000000002</v>
      </c>
      <c r="I275" s="94">
        <v>0</v>
      </c>
      <c r="J275" s="94">
        <v>5.4</v>
      </c>
      <c r="K275" s="94">
        <v>0</v>
      </c>
      <c r="L275" s="94">
        <v>15.600000000000001</v>
      </c>
      <c r="M275" s="129">
        <v>0</v>
      </c>
      <c r="N275" s="102">
        <f t="shared" si="8"/>
        <v>5.2</v>
      </c>
      <c r="O275" s="97">
        <v>10.8</v>
      </c>
      <c r="P275" s="92">
        <v>0</v>
      </c>
      <c r="Q275" s="98">
        <f t="shared" si="9"/>
        <v>10.8</v>
      </c>
      <c r="R275" s="102" t="str">
        <f>+IF(Q275+N275&lt;=0, "NO COMPRADOR", +IF(Q275&lt;=0, "SIN COMPRA "&amp;+UPPER(TEXT('DINAMICA ENERO 26'!$C$2,"mmm 'yy")), "COMPRADOR"))</f>
        <v>COMPRADOR</v>
      </c>
      <c r="T275" s="101"/>
      <c r="X275" s="101"/>
    </row>
    <row r="276" spans="1:25" s="100" customFormat="1" ht="14">
      <c r="A276" s="88" t="s">
        <v>85</v>
      </c>
      <c r="B276" s="89" t="s">
        <v>351</v>
      </c>
      <c r="C276" s="89" t="s">
        <v>43</v>
      </c>
      <c r="D276" s="103">
        <v>100070275</v>
      </c>
      <c r="E276" s="89" t="s">
        <v>47</v>
      </c>
      <c r="F276" s="89">
        <v>100083239</v>
      </c>
      <c r="G276" s="128" t="s">
        <v>365</v>
      </c>
      <c r="H276" s="94">
        <v>20.400000000000002</v>
      </c>
      <c r="I276" s="94">
        <v>5.4</v>
      </c>
      <c r="J276" s="94">
        <v>0</v>
      </c>
      <c r="K276" s="94">
        <v>5.4</v>
      </c>
      <c r="L276" s="94">
        <v>5.4</v>
      </c>
      <c r="M276" s="129">
        <v>0</v>
      </c>
      <c r="N276" s="102">
        <f t="shared" si="8"/>
        <v>3.6</v>
      </c>
      <c r="O276" s="97">
        <v>0</v>
      </c>
      <c r="P276" s="92">
        <v>0</v>
      </c>
      <c r="Q276" s="98">
        <f t="shared" si="9"/>
        <v>0</v>
      </c>
      <c r="R276" s="102" t="str">
        <f>+IF(Q276+N276&lt;=0, "NO COMPRADOR", +IF(Q276&lt;=0, "SIN COMPRA "&amp;+UPPER(TEXT('DINAMICA ENERO 26'!$C$2,"mmm 'yy")), "COMPRADOR"))</f>
        <v>SIN COMPRA FEB '26</v>
      </c>
      <c r="T276" s="101"/>
      <c r="X276" s="101"/>
    </row>
    <row r="277" spans="1:25" s="100" customFormat="1" ht="14">
      <c r="A277" s="88" t="s">
        <v>85</v>
      </c>
      <c r="B277" s="89" t="s">
        <v>351</v>
      </c>
      <c r="C277" s="89" t="s">
        <v>43</v>
      </c>
      <c r="D277" s="103">
        <v>100070275</v>
      </c>
      <c r="E277" s="89" t="s">
        <v>47</v>
      </c>
      <c r="F277" s="89">
        <v>100066082</v>
      </c>
      <c r="G277" s="128" t="s">
        <v>366</v>
      </c>
      <c r="H277" s="94">
        <v>0</v>
      </c>
      <c r="I277" s="94">
        <v>0</v>
      </c>
      <c r="J277" s="94">
        <v>0</v>
      </c>
      <c r="K277" s="94">
        <v>0</v>
      </c>
      <c r="L277" s="94">
        <v>0</v>
      </c>
      <c r="M277" s="129">
        <v>0</v>
      </c>
      <c r="N277" s="102">
        <f t="shared" si="8"/>
        <v>0</v>
      </c>
      <c r="O277" s="97">
        <v>0</v>
      </c>
      <c r="P277" s="92">
        <v>0</v>
      </c>
      <c r="Q277" s="98">
        <f t="shared" si="9"/>
        <v>0</v>
      </c>
      <c r="R277" s="102" t="str">
        <f>+IF(Q277+N277&lt;=0, "NO COMPRADOR", +IF(Q277&lt;=0, "SIN COMPRA "&amp;+UPPER(TEXT('DINAMICA ENERO 26'!$C$2,"mmm 'yy")), "COMPRADOR"))</f>
        <v>NO COMPRADOR</v>
      </c>
      <c r="T277" s="101"/>
      <c r="X277" s="101"/>
    </row>
    <row r="278" spans="1:25" s="104" customFormat="1" ht="14">
      <c r="A278" s="88" t="s">
        <v>85</v>
      </c>
      <c r="B278" s="89" t="s">
        <v>351</v>
      </c>
      <c r="C278" s="89" t="s">
        <v>43</v>
      </c>
      <c r="D278" s="103">
        <v>100075073</v>
      </c>
      <c r="E278" s="89" t="s">
        <v>48</v>
      </c>
      <c r="F278" s="89">
        <v>100001979</v>
      </c>
      <c r="G278" s="128" t="s">
        <v>290</v>
      </c>
      <c r="H278" s="94">
        <v>0</v>
      </c>
      <c r="I278" s="94">
        <v>10.8</v>
      </c>
      <c r="J278" s="94">
        <v>4.8</v>
      </c>
      <c r="K278" s="94">
        <v>10.199999999999999</v>
      </c>
      <c r="L278" s="94">
        <v>5.4</v>
      </c>
      <c r="M278" s="129">
        <v>5.4</v>
      </c>
      <c r="N278" s="102">
        <f t="shared" si="8"/>
        <v>7</v>
      </c>
      <c r="O278" s="97">
        <v>5.4</v>
      </c>
      <c r="P278" s="92">
        <v>0</v>
      </c>
      <c r="Q278" s="98">
        <f t="shared" si="9"/>
        <v>5.4</v>
      </c>
      <c r="R278" s="102" t="str">
        <f>+IF(Q278+N278&lt;=0, "NO COMPRADOR", +IF(Q278&lt;=0, "SIN COMPRA "&amp;+UPPER(TEXT('DINAMICA ENERO 26'!$C$2,"mmm 'yy")), "COMPRADOR"))</f>
        <v>COMPRADOR</v>
      </c>
      <c r="S278" s="100"/>
      <c r="T278" s="101"/>
      <c r="U278" s="100"/>
      <c r="X278" s="101"/>
      <c r="Y278" s="100"/>
    </row>
    <row r="279" spans="1:25" s="104" customFormat="1" ht="14">
      <c r="A279" s="88" t="s">
        <v>85</v>
      </c>
      <c r="B279" s="89" t="s">
        <v>351</v>
      </c>
      <c r="C279" s="89" t="s">
        <v>43</v>
      </c>
      <c r="D279" s="103">
        <v>100075073</v>
      </c>
      <c r="E279" s="89" t="s">
        <v>48</v>
      </c>
      <c r="F279" s="89">
        <v>100014590</v>
      </c>
      <c r="G279" s="128" t="s">
        <v>367</v>
      </c>
      <c r="H279" s="94">
        <v>20.400000000000002</v>
      </c>
      <c r="I279" s="94">
        <v>20.400000000000002</v>
      </c>
      <c r="J279" s="94">
        <v>9.6</v>
      </c>
      <c r="K279" s="94">
        <v>0</v>
      </c>
      <c r="L279" s="94">
        <v>5.4</v>
      </c>
      <c r="M279" s="129">
        <v>0</v>
      </c>
      <c r="N279" s="102">
        <f t="shared" si="8"/>
        <v>1.8</v>
      </c>
      <c r="O279" s="97">
        <v>0</v>
      </c>
      <c r="P279" s="92">
        <v>0</v>
      </c>
      <c r="Q279" s="98">
        <f t="shared" si="9"/>
        <v>0</v>
      </c>
      <c r="R279" s="102" t="str">
        <f>+IF(Q279+N279&lt;=0, "NO COMPRADOR", +IF(Q279&lt;=0, "SIN COMPRA "&amp;+UPPER(TEXT('DINAMICA ENERO 26'!$C$2,"mmm 'yy")), "COMPRADOR"))</f>
        <v>SIN COMPRA FEB '26</v>
      </c>
      <c r="S279" s="100"/>
      <c r="T279" s="101"/>
      <c r="U279" s="100"/>
      <c r="X279" s="101"/>
      <c r="Y279" s="100"/>
    </row>
    <row r="280" spans="1:25" s="104" customFormat="1" ht="14">
      <c r="A280" s="88" t="s">
        <v>85</v>
      </c>
      <c r="B280" s="89" t="s">
        <v>351</v>
      </c>
      <c r="C280" s="89" t="s">
        <v>43</v>
      </c>
      <c r="D280" s="103">
        <v>100075073</v>
      </c>
      <c r="E280" s="89" t="s">
        <v>48</v>
      </c>
      <c r="F280" s="89">
        <v>100001197</v>
      </c>
      <c r="G280" s="128" t="s">
        <v>368</v>
      </c>
      <c r="H280" s="94">
        <v>30.6</v>
      </c>
      <c r="I280" s="94">
        <v>20.400000000000002</v>
      </c>
      <c r="J280" s="94">
        <v>20.400000000000002</v>
      </c>
      <c r="K280" s="94">
        <v>10.199999999999999</v>
      </c>
      <c r="L280" s="94">
        <v>10.199999999999999</v>
      </c>
      <c r="M280" s="129">
        <v>0</v>
      </c>
      <c r="N280" s="102">
        <f t="shared" si="8"/>
        <v>6.8</v>
      </c>
      <c r="O280" s="97">
        <v>-10.199999999999999</v>
      </c>
      <c r="P280" s="92">
        <v>0</v>
      </c>
      <c r="Q280" s="98">
        <f t="shared" si="9"/>
        <v>-10.199999999999999</v>
      </c>
      <c r="R280" s="102" t="str">
        <f>+IF(Q280+N280&lt;=0, "NO COMPRADOR", +IF(Q280&lt;=0, "SIN COMPRA "&amp;+UPPER(TEXT('DINAMICA ENERO 26'!$C$2,"mmm 'yy")), "COMPRADOR"))</f>
        <v>NO COMPRADOR</v>
      </c>
      <c r="S280" s="100"/>
      <c r="T280" s="101"/>
      <c r="U280" s="100"/>
      <c r="X280" s="101"/>
      <c r="Y280" s="100"/>
    </row>
    <row r="281" spans="1:25" ht="14">
      <c r="A281" s="88" t="s">
        <v>85</v>
      </c>
      <c r="B281" s="89" t="s">
        <v>351</v>
      </c>
      <c r="C281" s="89" t="s">
        <v>43</v>
      </c>
      <c r="D281" s="103">
        <v>100075073</v>
      </c>
      <c r="E281" s="89" t="s">
        <v>48</v>
      </c>
      <c r="F281" s="89">
        <v>100087851</v>
      </c>
      <c r="G281" s="128" t="s">
        <v>369</v>
      </c>
      <c r="H281" s="94">
        <v>0</v>
      </c>
      <c r="I281" s="94">
        <v>0</v>
      </c>
      <c r="J281" s="94">
        <v>0</v>
      </c>
      <c r="K281" s="94">
        <v>10.199999999999999</v>
      </c>
      <c r="L281" s="94">
        <v>5.4</v>
      </c>
      <c r="M281" s="129">
        <v>4.8</v>
      </c>
      <c r="N281" s="102">
        <f t="shared" si="8"/>
        <v>6.8</v>
      </c>
      <c r="O281" s="97">
        <v>0</v>
      </c>
      <c r="P281" s="92">
        <v>0</v>
      </c>
      <c r="Q281" s="98">
        <f t="shared" si="9"/>
        <v>0</v>
      </c>
      <c r="R281" s="102" t="str">
        <f>+IF(Q281+N281&lt;=0, "NO COMPRADOR", +IF(Q281&lt;=0, "SIN COMPRA "&amp;+UPPER(TEXT('DINAMICA ENERO 26'!$C$2,"mmm 'yy")), "COMPRADOR"))</f>
        <v>SIN COMPRA FEB '26</v>
      </c>
      <c r="S281" s="100"/>
      <c r="T281" s="101"/>
      <c r="U281" s="100"/>
      <c r="X281" s="101"/>
      <c r="Y281" s="100"/>
    </row>
    <row r="282" spans="1:25" ht="14">
      <c r="A282" s="88" t="s">
        <v>85</v>
      </c>
      <c r="B282" s="89" t="s">
        <v>351</v>
      </c>
      <c r="C282" s="89" t="s">
        <v>43</v>
      </c>
      <c r="D282" s="103">
        <v>100075073</v>
      </c>
      <c r="E282" s="89" t="s">
        <v>48</v>
      </c>
      <c r="F282" s="89">
        <v>100001807</v>
      </c>
      <c r="G282" s="128" t="s">
        <v>370</v>
      </c>
      <c r="H282" s="94">
        <v>10.199999999999999</v>
      </c>
      <c r="I282" s="94">
        <v>25.800000000000004</v>
      </c>
      <c r="J282" s="94">
        <v>20.400000000000002</v>
      </c>
      <c r="K282" s="94">
        <v>0</v>
      </c>
      <c r="L282" s="94">
        <v>0</v>
      </c>
      <c r="M282" s="129">
        <v>0</v>
      </c>
      <c r="N282" s="102">
        <f t="shared" si="8"/>
        <v>0</v>
      </c>
      <c r="O282" s="97">
        <v>0</v>
      </c>
      <c r="P282" s="92">
        <v>0</v>
      </c>
      <c r="Q282" s="98">
        <f t="shared" si="9"/>
        <v>0</v>
      </c>
      <c r="R282" s="102" t="str">
        <f>+IF(Q282+N282&lt;=0, "NO COMPRADOR", +IF(Q282&lt;=0, "SIN COMPRA "&amp;+UPPER(TEXT('DINAMICA ENERO 26'!$C$2,"mmm 'yy")), "COMPRADOR"))</f>
        <v>NO COMPRADOR</v>
      </c>
      <c r="S282" s="100"/>
      <c r="T282" s="101"/>
      <c r="U282" s="100"/>
      <c r="X282" s="101"/>
      <c r="Y282" s="100"/>
    </row>
    <row r="283" spans="1:25" ht="14">
      <c r="A283" s="88" t="s">
        <v>85</v>
      </c>
      <c r="B283" s="89" t="s">
        <v>351</v>
      </c>
      <c r="C283" s="89" t="s">
        <v>43</v>
      </c>
      <c r="D283" s="103">
        <v>100075073</v>
      </c>
      <c r="E283" s="89" t="s">
        <v>48</v>
      </c>
      <c r="F283" s="89">
        <v>100001935</v>
      </c>
      <c r="G283" s="128" t="s">
        <v>371</v>
      </c>
      <c r="H283" s="94">
        <v>4.8</v>
      </c>
      <c r="I283" s="94">
        <v>30</v>
      </c>
      <c r="J283" s="94">
        <v>20.400000000000002</v>
      </c>
      <c r="K283" s="94">
        <v>0</v>
      </c>
      <c r="L283" s="94">
        <v>-15.600000000000001</v>
      </c>
      <c r="M283" s="129">
        <v>0</v>
      </c>
      <c r="N283" s="102">
        <f t="shared" si="8"/>
        <v>-5.2</v>
      </c>
      <c r="O283" s="97">
        <v>0</v>
      </c>
      <c r="P283" s="92">
        <v>0</v>
      </c>
      <c r="Q283" s="98">
        <f t="shared" si="9"/>
        <v>0</v>
      </c>
      <c r="R283" s="102" t="str">
        <f>+IF(Q283+N283&lt;=0, "NO COMPRADOR", +IF(Q283&lt;=0, "SIN COMPRA "&amp;+UPPER(TEXT('DINAMICA ENERO 26'!$C$2,"mmm 'yy")), "COMPRADOR"))</f>
        <v>NO COMPRADOR</v>
      </c>
      <c r="S283" s="100"/>
      <c r="T283" s="101"/>
      <c r="U283" s="100"/>
      <c r="X283" s="101"/>
      <c r="Y283" s="100"/>
    </row>
    <row r="284" spans="1:25" ht="14">
      <c r="A284" s="88" t="s">
        <v>85</v>
      </c>
      <c r="B284" s="89" t="s">
        <v>351</v>
      </c>
      <c r="C284" s="89" t="s">
        <v>43</v>
      </c>
      <c r="D284" s="103">
        <v>100075073</v>
      </c>
      <c r="E284" s="89" t="s">
        <v>48</v>
      </c>
      <c r="F284" s="89">
        <v>100082353</v>
      </c>
      <c r="G284" s="128" t="s">
        <v>372</v>
      </c>
      <c r="H284" s="94">
        <v>35.400000000000006</v>
      </c>
      <c r="I284" s="94">
        <v>40.800000000000004</v>
      </c>
      <c r="J284" s="94">
        <v>0</v>
      </c>
      <c r="K284" s="94">
        <v>0</v>
      </c>
      <c r="L284" s="94">
        <v>0</v>
      </c>
      <c r="M284" s="129">
        <v>0</v>
      </c>
      <c r="N284" s="102">
        <f t="shared" si="8"/>
        <v>0</v>
      </c>
      <c r="O284" s="97">
        <v>0</v>
      </c>
      <c r="P284" s="92">
        <v>0</v>
      </c>
      <c r="Q284" s="98">
        <f t="shared" si="9"/>
        <v>0</v>
      </c>
      <c r="R284" s="102" t="str">
        <f>+IF(Q284+N284&lt;=0, "NO COMPRADOR", +IF(Q284&lt;=0, "SIN COMPRA "&amp;+UPPER(TEXT('DINAMICA ENERO 26'!$C$2,"mmm 'yy")), "COMPRADOR"))</f>
        <v>NO COMPRADOR</v>
      </c>
      <c r="S284" s="100"/>
      <c r="T284" s="101"/>
      <c r="U284" s="100"/>
      <c r="X284" s="101"/>
      <c r="Y284" s="100"/>
    </row>
    <row r="285" spans="1:25" ht="14">
      <c r="A285" s="88" t="s">
        <v>85</v>
      </c>
      <c r="B285" s="89" t="s">
        <v>351</v>
      </c>
      <c r="C285" s="89" t="s">
        <v>43</v>
      </c>
      <c r="D285" s="103">
        <v>100075073</v>
      </c>
      <c r="E285" s="89" t="s">
        <v>48</v>
      </c>
      <c r="F285" s="89">
        <v>100075136</v>
      </c>
      <c r="G285" s="128" t="s">
        <v>373</v>
      </c>
      <c r="H285" s="94">
        <v>45</v>
      </c>
      <c r="I285" s="94">
        <v>31.200000000000003</v>
      </c>
      <c r="J285" s="94">
        <v>30.6</v>
      </c>
      <c r="K285" s="94">
        <v>24</v>
      </c>
      <c r="L285" s="94">
        <v>5.4</v>
      </c>
      <c r="M285" s="129">
        <v>0</v>
      </c>
      <c r="N285" s="102">
        <f t="shared" si="8"/>
        <v>9.7999999999999989</v>
      </c>
      <c r="O285" s="97">
        <v>14.399999999999999</v>
      </c>
      <c r="P285" s="92">
        <v>0</v>
      </c>
      <c r="Q285" s="98">
        <f t="shared" si="9"/>
        <v>14.399999999999999</v>
      </c>
      <c r="R285" s="102" t="str">
        <f>+IF(Q285+N285&lt;=0, "NO COMPRADOR", +IF(Q285&lt;=0, "SIN COMPRA "&amp;+UPPER(TEXT('DINAMICA ENERO 26'!$C$2,"mmm 'yy")), "COMPRADOR"))</f>
        <v>COMPRADOR</v>
      </c>
      <c r="S285" s="100"/>
      <c r="T285" s="101"/>
      <c r="U285" s="100"/>
      <c r="X285" s="101"/>
      <c r="Y285" s="100"/>
    </row>
    <row r="286" spans="1:25" ht="14">
      <c r="A286" s="88" t="s">
        <v>85</v>
      </c>
      <c r="B286" s="89" t="s">
        <v>351</v>
      </c>
      <c r="C286" s="89" t="s">
        <v>43</v>
      </c>
      <c r="D286" s="103">
        <v>100075073</v>
      </c>
      <c r="E286" s="89" t="s">
        <v>48</v>
      </c>
      <c r="F286" s="89">
        <v>100002420</v>
      </c>
      <c r="G286" s="128" t="s">
        <v>374</v>
      </c>
      <c r="H286" s="94">
        <v>10.199999999999999</v>
      </c>
      <c r="I286" s="94">
        <v>0</v>
      </c>
      <c r="J286" s="94">
        <v>15</v>
      </c>
      <c r="K286" s="94">
        <v>0</v>
      </c>
      <c r="L286" s="94">
        <v>0</v>
      </c>
      <c r="M286" s="129">
        <v>0</v>
      </c>
      <c r="N286" s="102">
        <f t="shared" si="8"/>
        <v>0</v>
      </c>
      <c r="O286" s="97">
        <v>0</v>
      </c>
      <c r="P286" s="92">
        <v>0</v>
      </c>
      <c r="Q286" s="98">
        <f t="shared" si="9"/>
        <v>0</v>
      </c>
      <c r="R286" s="102" t="str">
        <f>+IF(Q286+N286&lt;=0, "NO COMPRADOR", +IF(Q286&lt;=0, "SIN COMPRA "&amp;+UPPER(TEXT('DINAMICA ENERO 26'!$C$2,"mmm 'yy")), "COMPRADOR"))</f>
        <v>NO COMPRADOR</v>
      </c>
      <c r="S286" s="100"/>
      <c r="T286" s="101"/>
      <c r="U286" s="100"/>
      <c r="X286" s="101"/>
      <c r="Y286" s="100"/>
    </row>
    <row r="287" spans="1:25" ht="14">
      <c r="A287" s="88" t="s">
        <v>85</v>
      </c>
      <c r="B287" s="89" t="s">
        <v>351</v>
      </c>
      <c r="C287" s="89" t="s">
        <v>43</v>
      </c>
      <c r="D287" s="103">
        <v>100075073</v>
      </c>
      <c r="E287" s="89" t="s">
        <v>48</v>
      </c>
      <c r="F287" s="89">
        <v>100064325</v>
      </c>
      <c r="G287" s="128" t="s">
        <v>375</v>
      </c>
      <c r="H287" s="94">
        <v>-10.199999999999999</v>
      </c>
      <c r="I287" s="94">
        <v>5.4</v>
      </c>
      <c r="J287" s="94">
        <v>20.400000000000002</v>
      </c>
      <c r="K287" s="94">
        <v>10.199999999999999</v>
      </c>
      <c r="L287" s="94">
        <v>0</v>
      </c>
      <c r="M287" s="129">
        <v>0</v>
      </c>
      <c r="N287" s="102">
        <f t="shared" si="8"/>
        <v>3.4</v>
      </c>
      <c r="O287" s="97">
        <v>0</v>
      </c>
      <c r="P287" s="92">
        <v>0</v>
      </c>
      <c r="Q287" s="98">
        <f t="shared" si="9"/>
        <v>0</v>
      </c>
      <c r="R287" s="102" t="str">
        <f>+IF(Q287+N287&lt;=0, "NO COMPRADOR", +IF(Q287&lt;=0, "SIN COMPRA "&amp;+UPPER(TEXT('DINAMICA ENERO 26'!$C$2,"mmm 'yy")), "COMPRADOR"))</f>
        <v>SIN COMPRA FEB '26</v>
      </c>
      <c r="S287" s="100"/>
      <c r="T287" s="101"/>
      <c r="U287" s="100"/>
      <c r="X287" s="101"/>
      <c r="Y287" s="100"/>
    </row>
    <row r="288" spans="1:25" ht="14">
      <c r="A288" s="88" t="s">
        <v>85</v>
      </c>
      <c r="B288" s="89" t="s">
        <v>351</v>
      </c>
      <c r="C288" s="89" t="s">
        <v>43</v>
      </c>
      <c r="D288" s="103">
        <v>100075073</v>
      </c>
      <c r="E288" s="89" t="s">
        <v>48</v>
      </c>
      <c r="F288" s="89">
        <v>100085596</v>
      </c>
      <c r="G288" s="128" t="s">
        <v>376</v>
      </c>
      <c r="H288" s="94">
        <v>10.199999999999999</v>
      </c>
      <c r="I288" s="94">
        <v>5.4</v>
      </c>
      <c r="J288" s="94">
        <v>0</v>
      </c>
      <c r="K288" s="94">
        <v>4.8</v>
      </c>
      <c r="L288" s="94">
        <v>-4.8</v>
      </c>
      <c r="M288" s="129">
        <v>0</v>
      </c>
      <c r="N288" s="102">
        <f t="shared" si="8"/>
        <v>0</v>
      </c>
      <c r="O288" s="97">
        <v>0</v>
      </c>
      <c r="P288" s="92">
        <v>0</v>
      </c>
      <c r="Q288" s="98">
        <f t="shared" si="9"/>
        <v>0</v>
      </c>
      <c r="R288" s="102" t="str">
        <f>+IF(Q288+N288&lt;=0, "NO COMPRADOR", +IF(Q288&lt;=0, "SIN COMPRA "&amp;+UPPER(TEXT('DINAMICA ENERO 26'!$C$2,"mmm 'yy")), "COMPRADOR"))</f>
        <v>NO COMPRADOR</v>
      </c>
      <c r="S288" s="100"/>
      <c r="T288" s="101"/>
      <c r="U288" s="100"/>
      <c r="X288" s="101"/>
      <c r="Y288" s="100"/>
    </row>
    <row r="289" spans="1:25" ht="14">
      <c r="A289" s="88" t="s">
        <v>85</v>
      </c>
      <c r="B289" s="89" t="s">
        <v>351</v>
      </c>
      <c r="C289" s="89" t="s">
        <v>43</v>
      </c>
      <c r="D289" s="103">
        <v>100075073</v>
      </c>
      <c r="E289" s="89" t="s">
        <v>48</v>
      </c>
      <c r="F289" s="89">
        <v>100001738</v>
      </c>
      <c r="G289" s="128" t="s">
        <v>377</v>
      </c>
      <c r="H289" s="94">
        <v>0</v>
      </c>
      <c r="I289" s="94">
        <v>0</v>
      </c>
      <c r="J289" s="94">
        <v>0</v>
      </c>
      <c r="K289" s="94">
        <v>0</v>
      </c>
      <c r="L289" s="94">
        <v>0</v>
      </c>
      <c r="M289" s="129">
        <v>0</v>
      </c>
      <c r="N289" s="102">
        <f t="shared" si="8"/>
        <v>0</v>
      </c>
      <c r="O289" s="97">
        <v>0</v>
      </c>
      <c r="P289" s="92">
        <v>0</v>
      </c>
      <c r="Q289" s="98">
        <f t="shared" si="9"/>
        <v>0</v>
      </c>
      <c r="R289" s="102" t="str">
        <f>+IF(Q289+N289&lt;=0, "NO COMPRADOR", +IF(Q289&lt;=0, "SIN COMPRA "&amp;+UPPER(TEXT('DINAMICA ENERO 26'!$C$2,"mmm 'yy")), "COMPRADOR"))</f>
        <v>NO COMPRADOR</v>
      </c>
      <c r="S289" s="100"/>
      <c r="T289" s="101"/>
      <c r="U289" s="100"/>
      <c r="X289" s="101"/>
      <c r="Y289" s="100"/>
    </row>
    <row r="290" spans="1:25" ht="14">
      <c r="A290" s="88" t="s">
        <v>85</v>
      </c>
      <c r="B290" s="89" t="s">
        <v>351</v>
      </c>
      <c r="C290" s="89" t="s">
        <v>43</v>
      </c>
      <c r="D290" s="103">
        <v>100075073</v>
      </c>
      <c r="E290" s="89" t="s">
        <v>48</v>
      </c>
      <c r="F290" s="89">
        <v>100088892</v>
      </c>
      <c r="G290" s="128" t="s">
        <v>378</v>
      </c>
      <c r="H290" s="94">
        <v>30.600000000000005</v>
      </c>
      <c r="I290" s="94">
        <v>10.8</v>
      </c>
      <c r="J290" s="94">
        <v>20.400000000000002</v>
      </c>
      <c r="K290" s="94">
        <v>0</v>
      </c>
      <c r="L290" s="94">
        <v>0</v>
      </c>
      <c r="M290" s="129">
        <v>0</v>
      </c>
      <c r="N290" s="102">
        <f t="shared" si="8"/>
        <v>0</v>
      </c>
      <c r="O290" s="97">
        <v>0</v>
      </c>
      <c r="P290" s="92">
        <v>0</v>
      </c>
      <c r="Q290" s="98">
        <f t="shared" si="9"/>
        <v>0</v>
      </c>
      <c r="R290" s="102" t="str">
        <f>+IF(Q290+N290&lt;=0, "NO COMPRADOR", +IF(Q290&lt;=0, "SIN COMPRA "&amp;+UPPER(TEXT('DINAMICA ENERO 26'!$C$2,"mmm 'yy")), "COMPRADOR"))</f>
        <v>NO COMPRADOR</v>
      </c>
      <c r="S290" s="100"/>
      <c r="T290" s="101"/>
      <c r="U290" s="100"/>
      <c r="X290" s="101"/>
      <c r="Y290" s="100"/>
    </row>
    <row r="291" spans="1:25" ht="14">
      <c r="A291" s="88" t="s">
        <v>379</v>
      </c>
      <c r="B291" s="89" t="s">
        <v>380</v>
      </c>
      <c r="C291" s="89" t="s">
        <v>38</v>
      </c>
      <c r="D291" s="103">
        <v>100050090</v>
      </c>
      <c r="E291" s="89" t="s">
        <v>39</v>
      </c>
      <c r="F291" s="89">
        <v>100001434</v>
      </c>
      <c r="G291" s="128" t="s">
        <v>381</v>
      </c>
      <c r="H291" s="94">
        <v>146.4</v>
      </c>
      <c r="I291" s="94">
        <v>208.20000000000002</v>
      </c>
      <c r="J291" s="94">
        <v>153.6</v>
      </c>
      <c r="K291" s="94">
        <v>50.4</v>
      </c>
      <c r="L291" s="94">
        <v>92.4</v>
      </c>
      <c r="M291" s="129">
        <v>20.399999999999999</v>
      </c>
      <c r="N291" s="102">
        <f t="shared" si="8"/>
        <v>54.400000000000006</v>
      </c>
      <c r="O291" s="97">
        <v>96.6</v>
      </c>
      <c r="P291" s="92">
        <v>0</v>
      </c>
      <c r="Q291" s="98">
        <f t="shared" si="9"/>
        <v>96.6</v>
      </c>
      <c r="R291" s="102" t="str">
        <f>+IF(Q291+N291&lt;=0, "NO COMPRADOR", +IF(Q291&lt;=0, "SIN COMPRA "&amp;+UPPER(TEXT('DINAMICA ENERO 26'!$C$2,"mmm 'yy")), "COMPRADOR"))</f>
        <v>COMPRADOR</v>
      </c>
      <c r="S291" s="100"/>
      <c r="T291" s="101"/>
      <c r="U291" s="100"/>
      <c r="X291" s="101"/>
      <c r="Y291" s="100"/>
    </row>
    <row r="292" spans="1:25" ht="14">
      <c r="A292" s="88" t="s">
        <v>379</v>
      </c>
      <c r="B292" s="89" t="s">
        <v>380</v>
      </c>
      <c r="C292" s="89" t="s">
        <v>38</v>
      </c>
      <c r="D292" s="103">
        <v>100050090</v>
      </c>
      <c r="E292" s="89" t="s">
        <v>39</v>
      </c>
      <c r="F292" s="89">
        <v>100014442</v>
      </c>
      <c r="G292" s="128" t="s">
        <v>382</v>
      </c>
      <c r="H292" s="94">
        <v>0</v>
      </c>
      <c r="I292" s="94">
        <v>0</v>
      </c>
      <c r="J292" s="94">
        <v>0</v>
      </c>
      <c r="K292" s="94">
        <v>0</v>
      </c>
      <c r="L292" s="94">
        <v>0</v>
      </c>
      <c r="M292" s="129">
        <v>0</v>
      </c>
      <c r="N292" s="102">
        <f t="shared" si="8"/>
        <v>0</v>
      </c>
      <c r="O292" s="97">
        <v>0</v>
      </c>
      <c r="P292" s="92">
        <v>0</v>
      </c>
      <c r="Q292" s="98">
        <f t="shared" si="9"/>
        <v>0</v>
      </c>
      <c r="R292" s="102" t="str">
        <f>+IF(Q292+N292&lt;=0, "NO COMPRADOR", +IF(Q292&lt;=0, "SIN COMPRA "&amp;+UPPER(TEXT('DINAMICA ENERO 26'!$C$2,"mmm 'yy")), "COMPRADOR"))</f>
        <v>NO COMPRADOR</v>
      </c>
      <c r="S292" s="100"/>
      <c r="T292" s="101"/>
      <c r="U292" s="100"/>
      <c r="X292" s="101"/>
      <c r="Y292" s="100"/>
    </row>
    <row r="293" spans="1:25" ht="14">
      <c r="A293" s="88" t="s">
        <v>379</v>
      </c>
      <c r="B293" s="89" t="s">
        <v>380</v>
      </c>
      <c r="C293" s="89" t="s">
        <v>38</v>
      </c>
      <c r="D293" s="103">
        <v>100050090</v>
      </c>
      <c r="E293" s="89" t="s">
        <v>39</v>
      </c>
      <c r="F293" s="89">
        <v>100018913</v>
      </c>
      <c r="G293" s="128" t="s">
        <v>383</v>
      </c>
      <c r="H293" s="94">
        <v>15.600000000000001</v>
      </c>
      <c r="I293" s="94">
        <v>9.6</v>
      </c>
      <c r="J293" s="94">
        <v>61.2</v>
      </c>
      <c r="K293" s="94">
        <v>0</v>
      </c>
      <c r="L293" s="94">
        <v>46.800000000000004</v>
      </c>
      <c r="M293" s="129">
        <v>-1.8000000000000043</v>
      </c>
      <c r="N293" s="102">
        <f t="shared" si="8"/>
        <v>15</v>
      </c>
      <c r="O293" s="97">
        <v>16.200000000000003</v>
      </c>
      <c r="P293" s="92">
        <v>0</v>
      </c>
      <c r="Q293" s="98">
        <f t="shared" si="9"/>
        <v>16.200000000000003</v>
      </c>
      <c r="R293" s="102" t="str">
        <f>+IF(Q293+N293&lt;=0, "NO COMPRADOR", +IF(Q293&lt;=0, "SIN COMPRA "&amp;+UPPER(TEXT('DINAMICA ENERO 26'!$C$2,"mmm 'yy")), "COMPRADOR"))</f>
        <v>COMPRADOR</v>
      </c>
      <c r="S293" s="100"/>
      <c r="T293" s="101"/>
      <c r="U293" s="100"/>
      <c r="X293" s="101"/>
      <c r="Y293" s="100"/>
    </row>
    <row r="294" spans="1:25" ht="14">
      <c r="A294" s="88" t="s">
        <v>379</v>
      </c>
      <c r="B294" s="89" t="s">
        <v>380</v>
      </c>
      <c r="C294" s="89" t="s">
        <v>38</v>
      </c>
      <c r="D294" s="103">
        <v>100050090</v>
      </c>
      <c r="E294" s="89" t="s">
        <v>39</v>
      </c>
      <c r="F294" s="89">
        <v>100015167</v>
      </c>
      <c r="G294" s="128" t="s">
        <v>384</v>
      </c>
      <c r="H294" s="94">
        <v>112.80000000000001</v>
      </c>
      <c r="I294" s="94">
        <v>40.800000000000004</v>
      </c>
      <c r="J294" s="94">
        <v>61.2</v>
      </c>
      <c r="K294" s="94">
        <v>27</v>
      </c>
      <c r="L294" s="94">
        <v>0</v>
      </c>
      <c r="M294" s="129">
        <v>0</v>
      </c>
      <c r="N294" s="102">
        <f t="shared" si="8"/>
        <v>9</v>
      </c>
      <c r="O294" s="97">
        <v>56.400000000000006</v>
      </c>
      <c r="P294" s="92">
        <v>0</v>
      </c>
      <c r="Q294" s="98">
        <f t="shared" si="9"/>
        <v>56.400000000000006</v>
      </c>
      <c r="R294" s="102" t="str">
        <f>+IF(Q294+N294&lt;=0, "NO COMPRADOR", +IF(Q294&lt;=0, "SIN COMPRA "&amp;+UPPER(TEXT('DINAMICA ENERO 26'!$C$2,"mmm 'yy")), "COMPRADOR"))</f>
        <v>COMPRADOR</v>
      </c>
      <c r="S294" s="100"/>
      <c r="T294" s="101"/>
      <c r="U294" s="100"/>
      <c r="X294" s="101"/>
      <c r="Y294" s="100"/>
    </row>
    <row r="295" spans="1:25" customFormat="1" ht="14.5">
      <c r="A295" s="88" t="s">
        <v>379</v>
      </c>
      <c r="B295" s="89" t="s">
        <v>380</v>
      </c>
      <c r="C295" s="89" t="s">
        <v>38</v>
      </c>
      <c r="D295" s="103">
        <v>100050090</v>
      </c>
      <c r="E295" s="89" t="s">
        <v>39</v>
      </c>
      <c r="F295" s="89">
        <v>100001979</v>
      </c>
      <c r="G295" s="128" t="s">
        <v>290</v>
      </c>
      <c r="H295" s="94">
        <v>15.600000000000001</v>
      </c>
      <c r="I295" s="94">
        <v>10.199999999999999</v>
      </c>
      <c r="J295" s="94">
        <v>25.800000000000004</v>
      </c>
      <c r="K295" s="94">
        <v>5.4</v>
      </c>
      <c r="L295" s="94">
        <v>36</v>
      </c>
      <c r="M295" s="129">
        <v>46.2</v>
      </c>
      <c r="N295" s="102">
        <f t="shared" si="8"/>
        <v>29.2</v>
      </c>
      <c r="O295" s="97">
        <v>37.200000000000003</v>
      </c>
      <c r="P295" s="92">
        <v>0</v>
      </c>
      <c r="Q295" s="98">
        <f t="shared" si="9"/>
        <v>37.200000000000003</v>
      </c>
      <c r="R295" s="102" t="str">
        <f>+IF(Q295+N295&lt;=0, "NO COMPRADOR", +IF(Q295&lt;=0, "SIN COMPRA "&amp;+UPPER(TEXT('DINAMICA ENERO 26'!$C$2,"mmm 'yy")), "COMPRADOR"))</f>
        <v>COMPRADOR</v>
      </c>
      <c r="S295" s="100"/>
      <c r="X295" s="101"/>
      <c r="Y295" s="100"/>
    </row>
    <row r="296" spans="1:25" customFormat="1" ht="14.5">
      <c r="A296" s="88" t="s">
        <v>379</v>
      </c>
      <c r="B296" s="89" t="s">
        <v>380</v>
      </c>
      <c r="C296" s="89" t="s">
        <v>38</v>
      </c>
      <c r="D296" s="103">
        <v>100050090</v>
      </c>
      <c r="E296" s="89" t="s">
        <v>39</v>
      </c>
      <c r="F296" s="89">
        <v>100000650</v>
      </c>
      <c r="G296" s="128" t="s">
        <v>385</v>
      </c>
      <c r="H296" s="94">
        <v>0</v>
      </c>
      <c r="I296" s="94">
        <v>39.599999999999994</v>
      </c>
      <c r="J296" s="94">
        <v>0</v>
      </c>
      <c r="K296" s="94">
        <v>0</v>
      </c>
      <c r="L296" s="94">
        <v>14.399999999999999</v>
      </c>
      <c r="M296" s="129">
        <v>0</v>
      </c>
      <c r="N296" s="102">
        <f t="shared" si="8"/>
        <v>4.8</v>
      </c>
      <c r="O296" s="97">
        <v>0</v>
      </c>
      <c r="P296" s="92">
        <v>0</v>
      </c>
      <c r="Q296" s="98">
        <f t="shared" si="9"/>
        <v>0</v>
      </c>
      <c r="R296" s="102" t="str">
        <f>+IF(Q296+N296&lt;=0, "NO COMPRADOR", +IF(Q296&lt;=0, "SIN COMPRA "&amp;+UPPER(TEXT('DINAMICA ENERO 26'!$C$2,"mmm 'yy")), "COMPRADOR"))</f>
        <v>SIN COMPRA FEB '26</v>
      </c>
      <c r="S296" s="100"/>
      <c r="X296" s="101"/>
      <c r="Y296" s="100"/>
    </row>
    <row r="297" spans="1:25" customFormat="1" ht="14.5">
      <c r="A297" s="88" t="s">
        <v>379</v>
      </c>
      <c r="B297" s="89" t="s">
        <v>380</v>
      </c>
      <c r="C297" s="89" t="s">
        <v>38</v>
      </c>
      <c r="D297" s="103">
        <v>100050090</v>
      </c>
      <c r="E297" s="89" t="s">
        <v>39</v>
      </c>
      <c r="F297" s="89">
        <v>100001938</v>
      </c>
      <c r="G297" s="128" t="s">
        <v>386</v>
      </c>
      <c r="H297" s="94">
        <v>122.99999999999999</v>
      </c>
      <c r="I297" s="94">
        <v>77.400000000000006</v>
      </c>
      <c r="J297" s="94">
        <v>76.800000000000011</v>
      </c>
      <c r="K297" s="94">
        <v>21.6</v>
      </c>
      <c r="L297" s="94">
        <v>220.2</v>
      </c>
      <c r="M297" s="129">
        <v>103.2</v>
      </c>
      <c r="N297" s="102">
        <f t="shared" si="8"/>
        <v>115</v>
      </c>
      <c r="O297" s="97">
        <v>109.19999999999999</v>
      </c>
      <c r="P297" s="92">
        <v>15.600000000000001</v>
      </c>
      <c r="Q297" s="98">
        <f t="shared" si="9"/>
        <v>124.79999999999998</v>
      </c>
      <c r="R297" s="102" t="str">
        <f>+IF(Q297+N297&lt;=0, "NO COMPRADOR", +IF(Q297&lt;=0, "SIN COMPRA "&amp;+UPPER(TEXT('DINAMICA ENERO 26'!$C$2,"mmm 'yy")), "COMPRADOR"))</f>
        <v>COMPRADOR</v>
      </c>
      <c r="S297" s="100"/>
      <c r="X297" s="101"/>
      <c r="Y297" s="100"/>
    </row>
    <row r="298" spans="1:25" customFormat="1" ht="14.5">
      <c r="A298" s="88" t="s">
        <v>379</v>
      </c>
      <c r="B298" s="89" t="s">
        <v>380</v>
      </c>
      <c r="C298" s="89" t="s">
        <v>38</v>
      </c>
      <c r="D298" s="103">
        <v>100050090</v>
      </c>
      <c r="E298" s="89" t="s">
        <v>39</v>
      </c>
      <c r="F298" s="89">
        <v>100001342</v>
      </c>
      <c r="G298" s="128" t="s">
        <v>387</v>
      </c>
      <c r="H298" s="94">
        <v>0</v>
      </c>
      <c r="I298" s="94">
        <v>5.4</v>
      </c>
      <c r="J298" s="94">
        <v>0</v>
      </c>
      <c r="K298" s="94">
        <v>0</v>
      </c>
      <c r="L298" s="94">
        <v>0</v>
      </c>
      <c r="M298" s="129">
        <v>0</v>
      </c>
      <c r="N298" s="102">
        <f t="shared" si="8"/>
        <v>0</v>
      </c>
      <c r="O298" s="97">
        <v>0</v>
      </c>
      <c r="P298" s="92">
        <v>0</v>
      </c>
      <c r="Q298" s="98">
        <f t="shared" si="9"/>
        <v>0</v>
      </c>
      <c r="R298" s="102" t="str">
        <f>+IF(Q298+N298&lt;=0, "NO COMPRADOR", +IF(Q298&lt;=0, "SIN COMPRA "&amp;+UPPER(TEXT('DINAMICA ENERO 26'!$C$2,"mmm 'yy")), "COMPRADOR"))</f>
        <v>NO COMPRADOR</v>
      </c>
      <c r="S298" s="100"/>
      <c r="X298" s="101"/>
      <c r="Y298" s="100"/>
    </row>
    <row r="299" spans="1:25" customFormat="1" ht="14.5">
      <c r="A299" s="88" t="s">
        <v>379</v>
      </c>
      <c r="B299" s="89" t="s">
        <v>380</v>
      </c>
      <c r="C299" s="89" t="s">
        <v>38</v>
      </c>
      <c r="D299" s="103">
        <v>100075114</v>
      </c>
      <c r="E299" s="89" t="s">
        <v>40</v>
      </c>
      <c r="F299" s="89">
        <v>100001342</v>
      </c>
      <c r="G299" s="128" t="s">
        <v>387</v>
      </c>
      <c r="H299" s="94">
        <v>212.4</v>
      </c>
      <c r="I299" s="94">
        <v>132.6</v>
      </c>
      <c r="J299" s="94">
        <v>76.8</v>
      </c>
      <c r="K299" s="94">
        <v>105.6</v>
      </c>
      <c r="L299" s="94">
        <v>201</v>
      </c>
      <c r="M299" s="129">
        <v>97.8</v>
      </c>
      <c r="N299" s="102">
        <f t="shared" si="8"/>
        <v>134.80000000000001</v>
      </c>
      <c r="O299" s="97">
        <v>138</v>
      </c>
      <c r="P299" s="92">
        <v>24.6</v>
      </c>
      <c r="Q299" s="98">
        <f t="shared" si="9"/>
        <v>162.6</v>
      </c>
      <c r="R299" s="102" t="str">
        <f>+IF(Q299+N299&lt;=0, "NO COMPRADOR", +IF(Q299&lt;=0, "SIN COMPRA "&amp;+UPPER(TEXT('DINAMICA ENERO 26'!$C$2,"mmm 'yy")), "COMPRADOR"))</f>
        <v>COMPRADOR</v>
      </c>
      <c r="S299" s="100"/>
      <c r="X299" s="101"/>
      <c r="Y299" s="100"/>
    </row>
    <row r="300" spans="1:25" customFormat="1" ht="14.5">
      <c r="A300" s="88" t="s">
        <v>379</v>
      </c>
      <c r="B300" s="89" t="s">
        <v>380</v>
      </c>
      <c r="C300" s="89" t="s">
        <v>38</v>
      </c>
      <c r="D300" s="103">
        <v>100075114</v>
      </c>
      <c r="E300" s="89" t="s">
        <v>40</v>
      </c>
      <c r="F300" s="89">
        <v>100001850</v>
      </c>
      <c r="G300" s="128" t="s">
        <v>388</v>
      </c>
      <c r="H300" s="94">
        <v>21.000000000000004</v>
      </c>
      <c r="I300" s="94">
        <v>5.4</v>
      </c>
      <c r="J300" s="94">
        <v>15.600000000000001</v>
      </c>
      <c r="K300" s="94">
        <v>15.600000000000001</v>
      </c>
      <c r="L300" s="94">
        <v>9.6</v>
      </c>
      <c r="M300" s="129">
        <v>15.600000000000001</v>
      </c>
      <c r="N300" s="102">
        <f t="shared" si="8"/>
        <v>13.600000000000001</v>
      </c>
      <c r="O300" s="97">
        <v>20.400000000000002</v>
      </c>
      <c r="P300" s="92">
        <v>10.8</v>
      </c>
      <c r="Q300" s="98">
        <f t="shared" si="9"/>
        <v>31.200000000000003</v>
      </c>
      <c r="R300" s="102" t="str">
        <f>+IF(Q300+N300&lt;=0, "NO COMPRADOR", +IF(Q300&lt;=0, "SIN COMPRA "&amp;+UPPER(TEXT('DINAMICA ENERO 26'!$C$2,"mmm 'yy")), "COMPRADOR"))</f>
        <v>COMPRADOR</v>
      </c>
      <c r="S300" s="100"/>
      <c r="X300" s="101"/>
      <c r="Y300" s="100"/>
    </row>
    <row r="301" spans="1:25" ht="14">
      <c r="A301" s="88" t="s">
        <v>379</v>
      </c>
      <c r="B301" s="89" t="s">
        <v>380</v>
      </c>
      <c r="C301" s="89" t="s">
        <v>38</v>
      </c>
      <c r="D301" s="103">
        <v>100075114</v>
      </c>
      <c r="E301" s="89" t="s">
        <v>40</v>
      </c>
      <c r="F301" s="89">
        <v>100002199</v>
      </c>
      <c r="G301" s="128" t="s">
        <v>389</v>
      </c>
      <c r="H301" s="94">
        <v>10.8</v>
      </c>
      <c r="I301" s="94">
        <v>20.400000000000002</v>
      </c>
      <c r="J301" s="94">
        <v>25.2</v>
      </c>
      <c r="K301" s="94">
        <v>20.400000000000002</v>
      </c>
      <c r="L301" s="94">
        <v>15.600000000000001</v>
      </c>
      <c r="M301" s="129">
        <v>25.200000000000003</v>
      </c>
      <c r="N301" s="102">
        <f t="shared" si="8"/>
        <v>20.400000000000002</v>
      </c>
      <c r="O301" s="97">
        <v>10.8</v>
      </c>
      <c r="P301" s="92">
        <v>0</v>
      </c>
      <c r="Q301" s="98">
        <f t="shared" si="9"/>
        <v>10.8</v>
      </c>
      <c r="R301" s="102" t="str">
        <f>+IF(Q301+N301&lt;=0, "NO COMPRADOR", +IF(Q301&lt;=0, "SIN COMPRA "&amp;+UPPER(TEXT('DINAMICA ENERO 26'!$C$2,"mmm 'yy")), "COMPRADOR"))</f>
        <v>COMPRADOR</v>
      </c>
      <c r="S301" s="100"/>
      <c r="X301" s="101"/>
      <c r="Y301" s="100"/>
    </row>
    <row r="302" spans="1:25" ht="14">
      <c r="A302" s="88" t="s">
        <v>379</v>
      </c>
      <c r="B302" s="89" t="s">
        <v>380</v>
      </c>
      <c r="C302" s="89" t="s">
        <v>38</v>
      </c>
      <c r="D302" s="103">
        <v>100075114</v>
      </c>
      <c r="E302" s="89" t="s">
        <v>40</v>
      </c>
      <c r="F302" s="89">
        <v>100001583</v>
      </c>
      <c r="G302" s="128" t="s">
        <v>390</v>
      </c>
      <c r="H302" s="94">
        <v>16.8</v>
      </c>
      <c r="I302" s="94">
        <v>40.200000000000003</v>
      </c>
      <c r="J302" s="94">
        <v>58.2</v>
      </c>
      <c r="K302" s="94">
        <v>88.800000000000011</v>
      </c>
      <c r="L302" s="94">
        <v>71.400000000000006</v>
      </c>
      <c r="M302" s="129">
        <v>47.400000000000006</v>
      </c>
      <c r="N302" s="102">
        <f t="shared" si="8"/>
        <v>69.2</v>
      </c>
      <c r="O302" s="97">
        <v>68.400000000000006</v>
      </c>
      <c r="P302" s="92">
        <v>0</v>
      </c>
      <c r="Q302" s="98">
        <f t="shared" si="9"/>
        <v>68.400000000000006</v>
      </c>
      <c r="R302" s="102" t="str">
        <f>+IF(Q302+N302&lt;=0, "NO COMPRADOR", +IF(Q302&lt;=0, "SIN COMPRA "&amp;+UPPER(TEXT('DINAMICA ENERO 26'!$C$2,"mmm 'yy")), "COMPRADOR"))</f>
        <v>COMPRADOR</v>
      </c>
      <c r="S302" s="100"/>
      <c r="X302" s="101"/>
      <c r="Y302" s="100"/>
    </row>
    <row r="303" spans="1:25" ht="14">
      <c r="A303" s="88" t="s">
        <v>379</v>
      </c>
      <c r="B303" s="89" t="s">
        <v>380</v>
      </c>
      <c r="C303" s="89" t="s">
        <v>38</v>
      </c>
      <c r="D303" s="103">
        <v>100075114</v>
      </c>
      <c r="E303" s="89" t="s">
        <v>40</v>
      </c>
      <c r="F303" s="89">
        <v>100001186</v>
      </c>
      <c r="G303" s="128" t="s">
        <v>391</v>
      </c>
      <c r="H303" s="94">
        <v>4.8</v>
      </c>
      <c r="I303" s="94">
        <v>0</v>
      </c>
      <c r="J303" s="94">
        <v>26.400000000000002</v>
      </c>
      <c r="K303" s="94">
        <v>26.400000000000002</v>
      </c>
      <c r="L303" s="94">
        <v>10.8</v>
      </c>
      <c r="M303" s="129">
        <v>5.4</v>
      </c>
      <c r="N303" s="102">
        <f t="shared" si="8"/>
        <v>14.200000000000001</v>
      </c>
      <c r="O303" s="97">
        <v>0</v>
      </c>
      <c r="P303" s="92">
        <v>5.4</v>
      </c>
      <c r="Q303" s="98">
        <f t="shared" si="9"/>
        <v>5.4</v>
      </c>
      <c r="R303" s="102" t="str">
        <f>+IF(Q303+N303&lt;=0, "NO COMPRADOR", +IF(Q303&lt;=0, "SIN COMPRA "&amp;+UPPER(TEXT('DINAMICA ENERO 26'!$C$2,"mmm 'yy")), "COMPRADOR"))</f>
        <v>COMPRADOR</v>
      </c>
      <c r="S303" s="100"/>
      <c r="X303" s="101"/>
      <c r="Y303" s="100"/>
    </row>
    <row r="304" spans="1:25" ht="14">
      <c r="A304" s="88" t="s">
        <v>379</v>
      </c>
      <c r="B304" s="89" t="s">
        <v>380</v>
      </c>
      <c r="C304" s="89" t="s">
        <v>38</v>
      </c>
      <c r="D304" s="103">
        <v>100075114</v>
      </c>
      <c r="E304" s="89" t="s">
        <v>40</v>
      </c>
      <c r="F304" s="89">
        <v>100001979</v>
      </c>
      <c r="G304" s="128" t="s">
        <v>290</v>
      </c>
      <c r="H304" s="94">
        <v>10.199999999999999</v>
      </c>
      <c r="I304" s="94">
        <v>0</v>
      </c>
      <c r="J304" s="94">
        <v>21.000000000000004</v>
      </c>
      <c r="K304" s="94">
        <v>6.0000000000000009</v>
      </c>
      <c r="L304" s="94">
        <v>10.199999999999999</v>
      </c>
      <c r="M304" s="129">
        <v>5.4</v>
      </c>
      <c r="N304" s="102">
        <f t="shared" si="8"/>
        <v>7.2</v>
      </c>
      <c r="O304" s="97">
        <v>15.600000000000001</v>
      </c>
      <c r="P304" s="92">
        <v>0</v>
      </c>
      <c r="Q304" s="98">
        <f t="shared" si="9"/>
        <v>15.600000000000001</v>
      </c>
      <c r="R304" s="102" t="str">
        <f>+IF(Q304+N304&lt;=0, "NO COMPRADOR", +IF(Q304&lt;=0, "SIN COMPRA "&amp;+UPPER(TEXT('DINAMICA ENERO 26'!$C$2,"mmm 'yy")), "COMPRADOR"))</f>
        <v>COMPRADOR</v>
      </c>
      <c r="S304" s="100"/>
      <c r="X304" s="101"/>
      <c r="Y304" s="100"/>
    </row>
    <row r="305" spans="1:25" ht="14">
      <c r="A305" s="88" t="s">
        <v>379</v>
      </c>
      <c r="B305" s="89" t="s">
        <v>380</v>
      </c>
      <c r="C305" s="89" t="s">
        <v>38</v>
      </c>
      <c r="D305" s="103">
        <v>100075114</v>
      </c>
      <c r="E305" s="89" t="s">
        <v>40</v>
      </c>
      <c r="F305" s="89">
        <v>100002075</v>
      </c>
      <c r="G305" s="128" t="s">
        <v>392</v>
      </c>
      <c r="H305" s="94">
        <v>93.6</v>
      </c>
      <c r="I305" s="94">
        <v>84</v>
      </c>
      <c r="J305" s="94">
        <v>108.6</v>
      </c>
      <c r="K305" s="94">
        <v>51</v>
      </c>
      <c r="L305" s="94">
        <v>40.799999999999997</v>
      </c>
      <c r="M305" s="129">
        <v>36.6</v>
      </c>
      <c r="N305" s="102">
        <f t="shared" si="8"/>
        <v>42.800000000000004</v>
      </c>
      <c r="O305" s="97">
        <v>25.2</v>
      </c>
      <c r="P305" s="92">
        <v>0</v>
      </c>
      <c r="Q305" s="98">
        <f t="shared" si="9"/>
        <v>25.2</v>
      </c>
      <c r="R305" s="102" t="str">
        <f>+IF(Q305+N305&lt;=0, "NO COMPRADOR", +IF(Q305&lt;=0, "SIN COMPRA "&amp;+UPPER(TEXT('DINAMICA ENERO 26'!$C$2,"mmm 'yy")), "COMPRADOR"))</f>
        <v>COMPRADOR</v>
      </c>
      <c r="S305" s="100"/>
      <c r="X305" s="101"/>
      <c r="Y305" s="100"/>
    </row>
    <row r="306" spans="1:25" ht="14">
      <c r="A306" s="88" t="s">
        <v>379</v>
      </c>
      <c r="B306" s="89" t="s">
        <v>380</v>
      </c>
      <c r="C306" s="89" t="s">
        <v>38</v>
      </c>
      <c r="D306" s="103">
        <v>100075114</v>
      </c>
      <c r="E306" s="89" t="s">
        <v>40</v>
      </c>
      <c r="F306" s="89">
        <v>100001434</v>
      </c>
      <c r="G306" s="128" t="s">
        <v>381</v>
      </c>
      <c r="H306" s="94">
        <v>21.000000000000004</v>
      </c>
      <c r="I306" s="94">
        <v>15</v>
      </c>
      <c r="J306" s="94">
        <v>10.199999999999999</v>
      </c>
      <c r="K306" s="94">
        <v>4.8</v>
      </c>
      <c r="L306" s="94">
        <v>20.400000000000002</v>
      </c>
      <c r="M306" s="129">
        <v>15</v>
      </c>
      <c r="N306" s="102">
        <f t="shared" si="8"/>
        <v>13.4</v>
      </c>
      <c r="O306" s="97">
        <v>20.400000000000002</v>
      </c>
      <c r="P306" s="92">
        <v>0</v>
      </c>
      <c r="Q306" s="98">
        <f t="shared" si="9"/>
        <v>20.400000000000002</v>
      </c>
      <c r="R306" s="102" t="str">
        <f>+IF(Q306+N306&lt;=0, "NO COMPRADOR", +IF(Q306&lt;=0, "SIN COMPRA "&amp;+UPPER(TEXT('DINAMICA ENERO 26'!$C$2,"mmm 'yy")), "COMPRADOR"))</f>
        <v>COMPRADOR</v>
      </c>
      <c r="S306" s="100"/>
      <c r="X306" s="101"/>
      <c r="Y306" s="100"/>
    </row>
    <row r="307" spans="1:25" ht="14">
      <c r="A307" s="88" t="s">
        <v>379</v>
      </c>
      <c r="B307" s="89" t="s">
        <v>380</v>
      </c>
      <c r="C307" s="89" t="s">
        <v>38</v>
      </c>
      <c r="D307" s="103">
        <v>100071290</v>
      </c>
      <c r="E307" s="89" t="s">
        <v>41</v>
      </c>
      <c r="F307" s="89">
        <v>100002075</v>
      </c>
      <c r="G307" s="128" t="s">
        <v>392</v>
      </c>
      <c r="H307" s="94">
        <v>25.800000000000004</v>
      </c>
      <c r="I307" s="94">
        <v>10.199999999999999</v>
      </c>
      <c r="J307" s="94">
        <v>20.400000000000002</v>
      </c>
      <c r="K307" s="94">
        <v>4.8</v>
      </c>
      <c r="L307" s="94">
        <v>-4.8</v>
      </c>
      <c r="M307" s="129">
        <v>10.8</v>
      </c>
      <c r="N307" s="102">
        <f t="shared" si="8"/>
        <v>3.6</v>
      </c>
      <c r="O307" s="97">
        <v>-9.6</v>
      </c>
      <c r="P307" s="92">
        <v>0</v>
      </c>
      <c r="Q307" s="98">
        <f t="shared" si="9"/>
        <v>-9.6</v>
      </c>
      <c r="R307" s="102" t="str">
        <f>+IF(Q307+N307&lt;=0, "NO COMPRADOR", +IF(Q307&lt;=0, "SIN COMPRA "&amp;+UPPER(TEXT('DINAMICA ENERO 26'!$C$2,"mmm 'yy")), "COMPRADOR"))</f>
        <v>NO COMPRADOR</v>
      </c>
      <c r="S307" s="100"/>
      <c r="X307" s="101"/>
      <c r="Y307" s="100"/>
    </row>
    <row r="308" spans="1:25" ht="14">
      <c r="A308" s="88" t="s">
        <v>379</v>
      </c>
      <c r="B308" s="89" t="s">
        <v>380</v>
      </c>
      <c r="C308" s="89" t="s">
        <v>38</v>
      </c>
      <c r="D308" s="103">
        <v>100071290</v>
      </c>
      <c r="E308" s="89" t="s">
        <v>41</v>
      </c>
      <c r="F308" s="89">
        <v>100001272</v>
      </c>
      <c r="G308" s="128" t="s">
        <v>393</v>
      </c>
      <c r="H308" s="94">
        <v>30</v>
      </c>
      <c r="I308" s="94">
        <v>60</v>
      </c>
      <c r="J308" s="94">
        <v>29.4</v>
      </c>
      <c r="K308" s="94">
        <v>41.4</v>
      </c>
      <c r="L308" s="94">
        <v>24</v>
      </c>
      <c r="M308" s="129">
        <v>19.8</v>
      </c>
      <c r="N308" s="102">
        <f t="shared" si="8"/>
        <v>28.400000000000002</v>
      </c>
      <c r="O308" s="97">
        <v>0</v>
      </c>
      <c r="P308" s="92">
        <v>0</v>
      </c>
      <c r="Q308" s="98">
        <f t="shared" si="9"/>
        <v>0</v>
      </c>
      <c r="R308" s="102" t="str">
        <f>+IF(Q308+N308&lt;=0, "NO COMPRADOR", +IF(Q308&lt;=0, "SIN COMPRA "&amp;+UPPER(TEXT('DINAMICA ENERO 26'!$C$2,"mmm 'yy")), "COMPRADOR"))</f>
        <v>SIN COMPRA FEB '26</v>
      </c>
      <c r="S308" s="100"/>
      <c r="X308" s="101"/>
      <c r="Y308" s="100"/>
    </row>
    <row r="309" spans="1:25" ht="14">
      <c r="A309" s="88" t="s">
        <v>379</v>
      </c>
      <c r="B309" s="89" t="s">
        <v>380</v>
      </c>
      <c r="C309" s="89" t="s">
        <v>38</v>
      </c>
      <c r="D309" s="103">
        <v>100071290</v>
      </c>
      <c r="E309" s="89" t="s">
        <v>41</v>
      </c>
      <c r="F309" s="89">
        <v>100001342</v>
      </c>
      <c r="G309" s="128" t="s">
        <v>387</v>
      </c>
      <c r="H309" s="94">
        <v>203.99999999999997</v>
      </c>
      <c r="I309" s="94">
        <v>140.4</v>
      </c>
      <c r="J309" s="94">
        <v>71.400000000000006</v>
      </c>
      <c r="K309" s="94">
        <v>79.2</v>
      </c>
      <c r="L309" s="94">
        <v>135.6</v>
      </c>
      <c r="M309" s="129">
        <v>161.39999999999998</v>
      </c>
      <c r="N309" s="102">
        <f t="shared" si="8"/>
        <v>125.39999999999999</v>
      </c>
      <c r="O309" s="97">
        <v>94.8</v>
      </c>
      <c r="P309" s="92">
        <v>96.000000000000014</v>
      </c>
      <c r="Q309" s="98">
        <f t="shared" si="9"/>
        <v>190.8</v>
      </c>
      <c r="R309" s="102" t="str">
        <f>+IF(Q309+N309&lt;=0, "NO COMPRADOR", +IF(Q309&lt;=0, "SIN COMPRA "&amp;+UPPER(TEXT('DINAMICA ENERO 26'!$C$2,"mmm 'yy")), "COMPRADOR"))</f>
        <v>COMPRADOR</v>
      </c>
      <c r="S309" s="100"/>
      <c r="X309" s="101"/>
      <c r="Y309" s="100"/>
    </row>
    <row r="310" spans="1:25" ht="14">
      <c r="A310" s="88" t="s">
        <v>379</v>
      </c>
      <c r="B310" s="89" t="s">
        <v>380</v>
      </c>
      <c r="C310" s="89" t="s">
        <v>38</v>
      </c>
      <c r="D310" s="103">
        <v>100071290</v>
      </c>
      <c r="E310" s="89" t="s">
        <v>41</v>
      </c>
      <c r="F310" s="89">
        <v>100001526</v>
      </c>
      <c r="G310" s="128" t="s">
        <v>394</v>
      </c>
      <c r="H310" s="94">
        <v>19.2</v>
      </c>
      <c r="I310" s="94">
        <v>14.399999999999999</v>
      </c>
      <c r="J310" s="94">
        <v>0</v>
      </c>
      <c r="K310" s="94">
        <v>9.6</v>
      </c>
      <c r="L310" s="94">
        <v>0</v>
      </c>
      <c r="M310" s="129">
        <v>4.8</v>
      </c>
      <c r="N310" s="102">
        <f t="shared" si="8"/>
        <v>4.8</v>
      </c>
      <c r="O310" s="97">
        <v>0</v>
      </c>
      <c r="P310" s="92">
        <v>9.6</v>
      </c>
      <c r="Q310" s="98">
        <f t="shared" si="9"/>
        <v>9.6</v>
      </c>
      <c r="R310" s="102" t="str">
        <f>+IF(Q310+N310&lt;=0, "NO COMPRADOR", +IF(Q310&lt;=0, "SIN COMPRA "&amp;+UPPER(TEXT('DINAMICA ENERO 26'!$C$2,"mmm 'yy")), "COMPRADOR"))</f>
        <v>COMPRADOR</v>
      </c>
      <c r="S310" s="100"/>
      <c r="X310" s="101"/>
      <c r="Y310" s="100"/>
    </row>
    <row r="311" spans="1:25" ht="14">
      <c r="A311" s="88" t="s">
        <v>379</v>
      </c>
      <c r="B311" s="89" t="s">
        <v>380</v>
      </c>
      <c r="C311" s="89" t="s">
        <v>38</v>
      </c>
      <c r="D311" s="103">
        <v>100071290</v>
      </c>
      <c r="E311" s="89" t="s">
        <v>41</v>
      </c>
      <c r="F311" s="89">
        <v>100001979</v>
      </c>
      <c r="G311" s="128" t="s">
        <v>290</v>
      </c>
      <c r="H311" s="94">
        <v>21.6</v>
      </c>
      <c r="I311" s="94">
        <v>61.8</v>
      </c>
      <c r="J311" s="94">
        <v>20.399999999999999</v>
      </c>
      <c r="K311" s="94">
        <v>42.000000000000007</v>
      </c>
      <c r="L311" s="94">
        <v>16.200000000000003</v>
      </c>
      <c r="M311" s="129">
        <v>36.6</v>
      </c>
      <c r="N311" s="102">
        <f t="shared" si="8"/>
        <v>31.600000000000005</v>
      </c>
      <c r="O311" s="97">
        <v>52.800000000000004</v>
      </c>
      <c r="P311" s="92">
        <v>15.600000000000001</v>
      </c>
      <c r="Q311" s="98">
        <f t="shared" si="9"/>
        <v>68.400000000000006</v>
      </c>
      <c r="R311" s="102" t="str">
        <f>+IF(Q311+N311&lt;=0, "NO COMPRADOR", +IF(Q311&lt;=0, "SIN COMPRA "&amp;+UPPER(TEXT('DINAMICA ENERO 26'!$C$2,"mmm 'yy")), "COMPRADOR"))</f>
        <v>COMPRADOR</v>
      </c>
      <c r="S311" s="100"/>
      <c r="X311" s="101"/>
      <c r="Y311" s="100"/>
    </row>
    <row r="312" spans="1:25" ht="14">
      <c r="A312" s="88" t="s">
        <v>379</v>
      </c>
      <c r="B312" s="89" t="s">
        <v>380</v>
      </c>
      <c r="C312" s="89" t="s">
        <v>38</v>
      </c>
      <c r="D312" s="103">
        <v>100071290</v>
      </c>
      <c r="E312" s="89" t="s">
        <v>41</v>
      </c>
      <c r="F312" s="89">
        <v>100063475</v>
      </c>
      <c r="G312" s="128" t="s">
        <v>395</v>
      </c>
      <c r="H312" s="94">
        <v>75.600000000000009</v>
      </c>
      <c r="I312" s="94">
        <v>61.800000000000004</v>
      </c>
      <c r="J312" s="94">
        <v>57.000000000000007</v>
      </c>
      <c r="K312" s="94">
        <v>39.599999999999994</v>
      </c>
      <c r="L312" s="94">
        <v>66.599999999999994</v>
      </c>
      <c r="M312" s="129">
        <v>31.200000000000003</v>
      </c>
      <c r="N312" s="102">
        <f t="shared" si="8"/>
        <v>45.79999999999999</v>
      </c>
      <c r="O312" s="97">
        <v>122.4</v>
      </c>
      <c r="P312" s="92">
        <v>0</v>
      </c>
      <c r="Q312" s="98">
        <f t="shared" si="9"/>
        <v>122.4</v>
      </c>
      <c r="R312" s="102" t="str">
        <f>+IF(Q312+N312&lt;=0, "NO COMPRADOR", +IF(Q312&lt;=0, "SIN COMPRA "&amp;+UPPER(TEXT('DINAMICA ENERO 26'!$C$2,"mmm 'yy")), "COMPRADOR"))</f>
        <v>COMPRADOR</v>
      </c>
      <c r="S312" s="100"/>
      <c r="X312" s="101"/>
      <c r="Y312" s="100"/>
    </row>
    <row r="313" spans="1:25" ht="14">
      <c r="A313" s="88" t="s">
        <v>379</v>
      </c>
      <c r="B313" s="89" t="s">
        <v>380</v>
      </c>
      <c r="C313" s="89" t="s">
        <v>38</v>
      </c>
      <c r="D313" s="103">
        <v>100071290</v>
      </c>
      <c r="E313" s="89" t="s">
        <v>41</v>
      </c>
      <c r="F313" s="89">
        <v>100001583</v>
      </c>
      <c r="G313" s="128" t="s">
        <v>390</v>
      </c>
      <c r="H313" s="94">
        <v>161.99999999999997</v>
      </c>
      <c r="I313" s="94">
        <v>529.20000000000005</v>
      </c>
      <c r="J313" s="94">
        <v>249.59999999999997</v>
      </c>
      <c r="K313" s="94">
        <v>679.19999999999993</v>
      </c>
      <c r="L313" s="94">
        <v>697.80000000000007</v>
      </c>
      <c r="M313" s="129">
        <v>196.79999999999995</v>
      </c>
      <c r="N313" s="102">
        <f t="shared" si="8"/>
        <v>524.6</v>
      </c>
      <c r="O313" s="97">
        <v>437.40000000000003</v>
      </c>
      <c r="P313" s="92">
        <v>0</v>
      </c>
      <c r="Q313" s="98">
        <f t="shared" si="9"/>
        <v>437.40000000000003</v>
      </c>
      <c r="R313" s="102" t="str">
        <f>+IF(Q313+N313&lt;=0, "NO COMPRADOR", +IF(Q313&lt;=0, "SIN COMPRA "&amp;+UPPER(TEXT('DINAMICA ENERO 26'!$C$2,"mmm 'yy")), "COMPRADOR"))</f>
        <v>COMPRADOR</v>
      </c>
      <c r="S313" s="100"/>
      <c r="X313" s="101"/>
      <c r="Y313" s="100"/>
    </row>
    <row r="314" spans="1:25" ht="14">
      <c r="A314" s="88" t="s">
        <v>379</v>
      </c>
      <c r="B314" s="89" t="s">
        <v>380</v>
      </c>
      <c r="C314" s="89" t="s">
        <v>38</v>
      </c>
      <c r="D314" s="103">
        <v>100071290</v>
      </c>
      <c r="E314" s="89" t="s">
        <v>41</v>
      </c>
      <c r="F314" s="89">
        <v>100002003</v>
      </c>
      <c r="G314" s="128" t="s">
        <v>396</v>
      </c>
      <c r="H314" s="94">
        <v>-8.3999999999999986</v>
      </c>
      <c r="I314" s="94">
        <v>57</v>
      </c>
      <c r="J314" s="94">
        <v>50.4</v>
      </c>
      <c r="K314" s="94">
        <v>16.200000000000003</v>
      </c>
      <c r="L314" s="94">
        <v>134.4</v>
      </c>
      <c r="M314" s="129">
        <v>24</v>
      </c>
      <c r="N314" s="102">
        <f t="shared" si="8"/>
        <v>58.20000000000001</v>
      </c>
      <c r="O314" s="97">
        <v>54.000000000000007</v>
      </c>
      <c r="P314" s="92">
        <v>0</v>
      </c>
      <c r="Q314" s="98">
        <f t="shared" si="9"/>
        <v>54.000000000000007</v>
      </c>
      <c r="R314" s="102" t="str">
        <f>+IF(Q314+N314&lt;=0, "NO COMPRADOR", +IF(Q314&lt;=0, "SIN COMPRA "&amp;+UPPER(TEXT('DINAMICA ENERO 26'!$C$2,"mmm 'yy")), "COMPRADOR"))</f>
        <v>COMPRADOR</v>
      </c>
      <c r="S314" s="100"/>
      <c r="X314" s="101"/>
      <c r="Y314" s="100"/>
    </row>
    <row r="315" spans="1:25" ht="14">
      <c r="A315" s="88" t="s">
        <v>379</v>
      </c>
      <c r="B315" s="89" t="s">
        <v>380</v>
      </c>
      <c r="C315" s="89" t="s">
        <v>38</v>
      </c>
      <c r="D315" s="103">
        <v>100071290</v>
      </c>
      <c r="E315" s="89" t="s">
        <v>41</v>
      </c>
      <c r="F315" s="89">
        <v>100002411</v>
      </c>
      <c r="G315" s="128" t="s">
        <v>397</v>
      </c>
      <c r="H315" s="94">
        <v>0</v>
      </c>
      <c r="I315" s="94">
        <v>0</v>
      </c>
      <c r="J315" s="94">
        <v>0</v>
      </c>
      <c r="K315" s="94">
        <v>0</v>
      </c>
      <c r="L315" s="94">
        <v>0</v>
      </c>
      <c r="M315" s="129">
        <v>0</v>
      </c>
      <c r="N315" s="102">
        <f t="shared" si="8"/>
        <v>0</v>
      </c>
      <c r="O315" s="97">
        <v>0</v>
      </c>
      <c r="P315" s="92">
        <v>0</v>
      </c>
      <c r="Q315" s="98">
        <f t="shared" si="9"/>
        <v>0</v>
      </c>
      <c r="R315" s="102" t="str">
        <f>+IF(Q315+N315&lt;=0, "NO COMPRADOR", +IF(Q315&lt;=0, "SIN COMPRA "&amp;+UPPER(TEXT('DINAMICA ENERO 26'!$C$2,"mmm 'yy")), "COMPRADOR"))</f>
        <v>NO COMPRADOR</v>
      </c>
      <c r="S315" s="100"/>
      <c r="X315" s="101"/>
      <c r="Y315" s="100"/>
    </row>
    <row r="316" spans="1:25" ht="14">
      <c r="A316" s="88" t="s">
        <v>379</v>
      </c>
      <c r="B316" s="89" t="s">
        <v>380</v>
      </c>
      <c r="C316" s="89" t="s">
        <v>38</v>
      </c>
      <c r="D316" s="103">
        <v>100071290</v>
      </c>
      <c r="E316" s="89" t="s">
        <v>41</v>
      </c>
      <c r="F316" s="89">
        <v>100002069</v>
      </c>
      <c r="G316" s="128" t="s">
        <v>398</v>
      </c>
      <c r="H316" s="94">
        <v>91.2</v>
      </c>
      <c r="I316" s="94">
        <v>0</v>
      </c>
      <c r="J316" s="94">
        <v>0</v>
      </c>
      <c r="K316" s="94">
        <v>96</v>
      </c>
      <c r="L316" s="94">
        <v>0</v>
      </c>
      <c r="M316" s="129">
        <v>0</v>
      </c>
      <c r="N316" s="102">
        <f t="shared" si="8"/>
        <v>32</v>
      </c>
      <c r="O316" s="97">
        <v>0</v>
      </c>
      <c r="P316" s="92">
        <v>0</v>
      </c>
      <c r="Q316" s="98">
        <f t="shared" si="9"/>
        <v>0</v>
      </c>
      <c r="R316" s="102" t="str">
        <f>+IF(Q316+N316&lt;=0, "NO COMPRADOR", +IF(Q316&lt;=0, "SIN COMPRA "&amp;+UPPER(TEXT('DINAMICA ENERO 26'!$C$2,"mmm 'yy")), "COMPRADOR"))</f>
        <v>SIN COMPRA FEB '26</v>
      </c>
      <c r="S316" s="100"/>
      <c r="X316" s="101"/>
      <c r="Y316" s="100"/>
    </row>
    <row r="317" spans="1:25" ht="14">
      <c r="A317" s="88" t="s">
        <v>379</v>
      </c>
      <c r="B317" s="89" t="s">
        <v>380</v>
      </c>
      <c r="C317" s="89" t="s">
        <v>38</v>
      </c>
      <c r="D317" s="103">
        <v>100071290</v>
      </c>
      <c r="E317" s="89" t="s">
        <v>41</v>
      </c>
      <c r="F317" s="89">
        <v>100002068</v>
      </c>
      <c r="G317" s="128" t="s">
        <v>399</v>
      </c>
      <c r="H317" s="94">
        <v>0</v>
      </c>
      <c r="I317" s="94">
        <v>0</v>
      </c>
      <c r="J317" s="94">
        <v>0</v>
      </c>
      <c r="K317" s="94">
        <v>0</v>
      </c>
      <c r="L317" s="94">
        <v>0</v>
      </c>
      <c r="M317" s="129">
        <v>0</v>
      </c>
      <c r="N317" s="102">
        <f t="shared" si="8"/>
        <v>0</v>
      </c>
      <c r="O317" s="97">
        <v>0</v>
      </c>
      <c r="P317" s="92">
        <v>0</v>
      </c>
      <c r="Q317" s="98">
        <f t="shared" si="9"/>
        <v>0</v>
      </c>
      <c r="R317" s="102" t="str">
        <f>+IF(Q317+N317&lt;=0, "NO COMPRADOR", +IF(Q317&lt;=0, "SIN COMPRA "&amp;+UPPER(TEXT('DINAMICA ENERO 26'!$C$2,"mmm 'yy")), "COMPRADOR"))</f>
        <v>NO COMPRADOR</v>
      </c>
      <c r="S317" s="100"/>
      <c r="X317" s="101"/>
      <c r="Y317" s="100"/>
    </row>
    <row r="318" spans="1:25" ht="14">
      <c r="A318" s="88" t="s">
        <v>379</v>
      </c>
      <c r="B318" s="89" t="s">
        <v>380</v>
      </c>
      <c r="C318" s="89" t="s">
        <v>38</v>
      </c>
      <c r="D318" s="103">
        <v>100071290</v>
      </c>
      <c r="E318" s="89" t="s">
        <v>41</v>
      </c>
      <c r="F318" s="89">
        <v>100008576</v>
      </c>
      <c r="G318" s="128" t="s">
        <v>400</v>
      </c>
      <c r="H318" s="94">
        <v>0</v>
      </c>
      <c r="I318" s="94">
        <v>0</v>
      </c>
      <c r="J318" s="94">
        <v>0</v>
      </c>
      <c r="K318" s="94">
        <v>0</v>
      </c>
      <c r="L318" s="94">
        <v>0</v>
      </c>
      <c r="M318" s="129">
        <v>0</v>
      </c>
      <c r="N318" s="102">
        <f t="shared" si="8"/>
        <v>0</v>
      </c>
      <c r="O318" s="97">
        <v>0</v>
      </c>
      <c r="P318" s="92">
        <v>0</v>
      </c>
      <c r="Q318" s="98">
        <f t="shared" si="9"/>
        <v>0</v>
      </c>
      <c r="R318" s="102" t="str">
        <f>+IF(Q318+N318&lt;=0, "NO COMPRADOR", +IF(Q318&lt;=0, "SIN COMPRA "&amp;+UPPER(TEXT('DINAMICA ENERO 26'!$C$2,"mmm 'yy")), "COMPRADOR"))</f>
        <v>NO COMPRADOR</v>
      </c>
      <c r="S318" s="100"/>
      <c r="X318" s="101"/>
      <c r="Y318" s="100"/>
    </row>
    <row r="319" spans="1:25" ht="14">
      <c r="A319" s="88" t="s">
        <v>379</v>
      </c>
      <c r="B319" s="89" t="s">
        <v>401</v>
      </c>
      <c r="C319" s="89" t="s">
        <v>60</v>
      </c>
      <c r="D319" s="103">
        <v>100088964</v>
      </c>
      <c r="E319" s="89" t="s">
        <v>64</v>
      </c>
      <c r="F319" s="89">
        <v>100001342</v>
      </c>
      <c r="G319" s="128" t="s">
        <v>387</v>
      </c>
      <c r="H319" s="94">
        <v>0</v>
      </c>
      <c r="I319" s="94">
        <v>4.8</v>
      </c>
      <c r="J319" s="94">
        <v>9.6</v>
      </c>
      <c r="K319" s="94">
        <v>10.8</v>
      </c>
      <c r="L319" s="94">
        <v>42.000000000000007</v>
      </c>
      <c r="M319" s="129">
        <v>-0.60000000000000231</v>
      </c>
      <c r="N319" s="102">
        <f t="shared" si="8"/>
        <v>17.400000000000002</v>
      </c>
      <c r="O319" s="97">
        <v>30.6</v>
      </c>
      <c r="P319" s="92">
        <v>10.8</v>
      </c>
      <c r="Q319" s="98">
        <f t="shared" si="9"/>
        <v>41.400000000000006</v>
      </c>
      <c r="R319" s="102" t="str">
        <f>+IF(Q319+N319&lt;=0, "NO COMPRADOR", +IF(Q319&lt;=0, "SIN COMPRA "&amp;+UPPER(TEXT('DINAMICA ENERO 26'!$C$2,"mmm 'yy")), "COMPRADOR"))</f>
        <v>COMPRADOR</v>
      </c>
      <c r="S319" s="100"/>
      <c r="X319" s="101"/>
      <c r="Y319" s="100"/>
    </row>
    <row r="320" spans="1:25" ht="14">
      <c r="A320" s="88" t="s">
        <v>379</v>
      </c>
      <c r="B320" s="89" t="s">
        <v>401</v>
      </c>
      <c r="C320" s="89" t="s">
        <v>60</v>
      </c>
      <c r="D320" s="103">
        <v>100088964</v>
      </c>
      <c r="E320" s="89" t="s">
        <v>64</v>
      </c>
      <c r="F320" s="89">
        <v>100001434</v>
      </c>
      <c r="G320" s="128" t="s">
        <v>381</v>
      </c>
      <c r="H320" s="94">
        <v>40.200000000000003</v>
      </c>
      <c r="I320" s="94">
        <v>0</v>
      </c>
      <c r="J320" s="94">
        <v>39.599999999999994</v>
      </c>
      <c r="K320" s="94">
        <v>25.200000000000003</v>
      </c>
      <c r="L320" s="94">
        <v>116.39999999999999</v>
      </c>
      <c r="M320" s="129">
        <v>105.6</v>
      </c>
      <c r="N320" s="102">
        <f t="shared" si="8"/>
        <v>82.399999999999991</v>
      </c>
      <c r="O320" s="97">
        <v>-5.4</v>
      </c>
      <c r="P320" s="92">
        <v>15.600000000000001</v>
      </c>
      <c r="Q320" s="98">
        <f t="shared" si="9"/>
        <v>10.200000000000001</v>
      </c>
      <c r="R320" s="102" t="str">
        <f>+IF(Q320+N320&lt;=0, "NO COMPRADOR", +IF(Q320&lt;=0, "SIN COMPRA "&amp;+UPPER(TEXT('DINAMICA ENERO 26'!$C$2,"mmm 'yy")), "COMPRADOR"))</f>
        <v>COMPRADOR</v>
      </c>
      <c r="S320" s="100"/>
      <c r="X320" s="101"/>
      <c r="Y320" s="100"/>
    </row>
    <row r="321" spans="1:25" ht="14">
      <c r="A321" s="88" t="s">
        <v>379</v>
      </c>
      <c r="B321" s="89" t="s">
        <v>401</v>
      </c>
      <c r="C321" s="89" t="s">
        <v>60</v>
      </c>
      <c r="D321" s="103">
        <v>100088964</v>
      </c>
      <c r="E321" s="89" t="s">
        <v>64</v>
      </c>
      <c r="F321" s="89">
        <v>100001507</v>
      </c>
      <c r="G321" s="128" t="s">
        <v>402</v>
      </c>
      <c r="H321" s="94">
        <v>0</v>
      </c>
      <c r="I321" s="94">
        <v>0</v>
      </c>
      <c r="J321" s="94">
        <v>0</v>
      </c>
      <c r="K321" s="94">
        <v>0</v>
      </c>
      <c r="L321" s="94">
        <v>0</v>
      </c>
      <c r="M321" s="129">
        <v>0</v>
      </c>
      <c r="N321" s="102">
        <f t="shared" si="8"/>
        <v>0</v>
      </c>
      <c r="O321" s="97">
        <v>0</v>
      </c>
      <c r="P321" s="92">
        <v>0</v>
      </c>
      <c r="Q321" s="98">
        <f t="shared" si="9"/>
        <v>0</v>
      </c>
      <c r="R321" s="102" t="str">
        <f>+IF(Q321+N321&lt;=0, "NO COMPRADOR", +IF(Q321&lt;=0, "SIN COMPRA "&amp;+UPPER(TEXT('DINAMICA ENERO 26'!$C$2,"mmm 'yy")), "COMPRADOR"))</f>
        <v>NO COMPRADOR</v>
      </c>
      <c r="S321" s="100"/>
      <c r="X321" s="101"/>
      <c r="Y321" s="100"/>
    </row>
    <row r="322" spans="1:25" ht="14">
      <c r="A322" s="88" t="s">
        <v>379</v>
      </c>
      <c r="B322" s="89" t="s">
        <v>401</v>
      </c>
      <c r="C322" s="89" t="s">
        <v>60</v>
      </c>
      <c r="D322" s="103">
        <v>100088964</v>
      </c>
      <c r="E322" s="89" t="s">
        <v>64</v>
      </c>
      <c r="F322" s="89">
        <v>100074147</v>
      </c>
      <c r="G322" s="128" t="s">
        <v>403</v>
      </c>
      <c r="H322" s="94">
        <v>0</v>
      </c>
      <c r="I322" s="94">
        <v>0</v>
      </c>
      <c r="J322" s="94">
        <v>0</v>
      </c>
      <c r="K322" s="94">
        <v>0</v>
      </c>
      <c r="L322" s="94">
        <v>0</v>
      </c>
      <c r="M322" s="129">
        <v>0</v>
      </c>
      <c r="N322" s="102">
        <f t="shared" si="8"/>
        <v>0</v>
      </c>
      <c r="O322" s="97">
        <v>0</v>
      </c>
      <c r="P322" s="92">
        <v>0</v>
      </c>
      <c r="Q322" s="98">
        <f t="shared" si="9"/>
        <v>0</v>
      </c>
      <c r="R322" s="102" t="str">
        <f>+IF(Q322+N322&lt;=0, "NO COMPRADOR", +IF(Q322&lt;=0, "SIN COMPRA "&amp;+UPPER(TEXT('DINAMICA ENERO 26'!$C$2,"mmm 'yy")), "COMPRADOR"))</f>
        <v>NO COMPRADOR</v>
      </c>
      <c r="S322" s="100"/>
      <c r="X322" s="101"/>
      <c r="Y322" s="100"/>
    </row>
    <row r="323" spans="1:25" ht="14">
      <c r="A323" s="88" t="s">
        <v>379</v>
      </c>
      <c r="B323" s="89" t="s">
        <v>401</v>
      </c>
      <c r="C323" s="89" t="s">
        <v>60</v>
      </c>
      <c r="D323" s="103">
        <v>100088964</v>
      </c>
      <c r="E323" s="89" t="s">
        <v>64</v>
      </c>
      <c r="F323" s="89">
        <v>100071913</v>
      </c>
      <c r="G323" s="128" t="s">
        <v>404</v>
      </c>
      <c r="H323" s="94">
        <v>0</v>
      </c>
      <c r="I323" s="94">
        <v>0</v>
      </c>
      <c r="J323" s="94">
        <v>0</v>
      </c>
      <c r="K323" s="94">
        <v>0</v>
      </c>
      <c r="L323" s="94">
        <v>0</v>
      </c>
      <c r="M323" s="129">
        <v>0</v>
      </c>
      <c r="N323" s="102">
        <f t="shared" ref="N323:N366" si="10">+AVERAGE(K323:M323)</f>
        <v>0</v>
      </c>
      <c r="O323" s="97">
        <v>0</v>
      </c>
      <c r="P323" s="92">
        <v>0</v>
      </c>
      <c r="Q323" s="98">
        <f t="shared" si="9"/>
        <v>0</v>
      </c>
      <c r="R323" s="102" t="str">
        <f>+IF(Q323+N323&lt;=0, "NO COMPRADOR", +IF(Q323&lt;=0, "SIN COMPRA "&amp;+UPPER(TEXT('DINAMICA ENERO 26'!$C$2,"mmm 'yy")), "COMPRADOR"))</f>
        <v>NO COMPRADOR</v>
      </c>
      <c r="S323" s="100"/>
      <c r="X323" s="101"/>
      <c r="Y323" s="100"/>
    </row>
    <row r="324" spans="1:25" ht="14">
      <c r="A324" s="88" t="s">
        <v>379</v>
      </c>
      <c r="B324" s="89" t="s">
        <v>405</v>
      </c>
      <c r="C324" s="89" t="s">
        <v>32</v>
      </c>
      <c r="D324" s="103">
        <v>100089882</v>
      </c>
      <c r="E324" s="89" t="s">
        <v>36</v>
      </c>
      <c r="F324" s="89">
        <v>100001979</v>
      </c>
      <c r="G324" s="128" t="s">
        <v>290</v>
      </c>
      <c r="H324" s="94">
        <v>9.6</v>
      </c>
      <c r="I324" s="94">
        <v>9.6</v>
      </c>
      <c r="J324" s="94">
        <v>15</v>
      </c>
      <c r="K324" s="94">
        <v>5.4</v>
      </c>
      <c r="L324" s="94">
        <v>9.6</v>
      </c>
      <c r="M324" s="129">
        <v>10.199999999999999</v>
      </c>
      <c r="N324" s="102">
        <f t="shared" si="10"/>
        <v>8.4</v>
      </c>
      <c r="O324" s="97">
        <v>0</v>
      </c>
      <c r="P324" s="92">
        <v>0</v>
      </c>
      <c r="Q324" s="98">
        <f t="shared" ref="Q324:Q368" si="11">+O324+P324</f>
        <v>0</v>
      </c>
      <c r="R324" s="102" t="str">
        <f>+IF(Q324+N324&lt;=0, "NO COMPRADOR", +IF(Q324&lt;=0, "SIN COMPRA "&amp;+UPPER(TEXT('DINAMICA ENERO 26'!$C$2,"mmm 'yy")), "COMPRADOR"))</f>
        <v>SIN COMPRA FEB '26</v>
      </c>
      <c r="S324" s="100"/>
      <c r="X324" s="101"/>
      <c r="Y324" s="100"/>
    </row>
    <row r="325" spans="1:25" ht="14">
      <c r="A325" s="88" t="s">
        <v>379</v>
      </c>
      <c r="B325" s="89" t="s">
        <v>405</v>
      </c>
      <c r="C325" s="89" t="s">
        <v>32</v>
      </c>
      <c r="D325" s="103">
        <v>100089882</v>
      </c>
      <c r="E325" s="89" t="s">
        <v>36</v>
      </c>
      <c r="F325" s="89">
        <v>100001914</v>
      </c>
      <c r="G325" s="128" t="s">
        <v>406</v>
      </c>
      <c r="H325" s="94">
        <v>86.399999999999991</v>
      </c>
      <c r="I325" s="94">
        <v>110.39999999999998</v>
      </c>
      <c r="J325" s="94">
        <v>72</v>
      </c>
      <c r="K325" s="94">
        <v>43.2</v>
      </c>
      <c r="L325" s="94">
        <v>120</v>
      </c>
      <c r="M325" s="129">
        <v>24</v>
      </c>
      <c r="N325" s="102">
        <f t="shared" si="10"/>
        <v>62.4</v>
      </c>
      <c r="O325" s="97">
        <v>43.2</v>
      </c>
      <c r="P325" s="92">
        <v>24</v>
      </c>
      <c r="Q325" s="98">
        <f t="shared" si="11"/>
        <v>67.2</v>
      </c>
      <c r="R325" s="102" t="str">
        <f>+IF(Q325+N325&lt;=0, "NO COMPRADOR", +IF(Q325&lt;=0, "SIN COMPRA "&amp;+UPPER(TEXT('DINAMICA ENERO 26'!$C$2,"mmm 'yy")), "COMPRADOR"))</f>
        <v>COMPRADOR</v>
      </c>
      <c r="S325" s="100"/>
      <c r="X325" s="101"/>
      <c r="Y325" s="100"/>
    </row>
    <row r="326" spans="1:25" ht="14">
      <c r="A326" s="88" t="s">
        <v>407</v>
      </c>
      <c r="B326" s="89" t="s">
        <v>407</v>
      </c>
      <c r="C326" s="89" t="s">
        <v>32</v>
      </c>
      <c r="D326" s="103">
        <v>100066387</v>
      </c>
      <c r="E326" s="89" t="s">
        <v>34</v>
      </c>
      <c r="F326" s="89">
        <v>100002258</v>
      </c>
      <c r="G326" s="128" t="s">
        <v>408</v>
      </c>
      <c r="H326" s="94">
        <v>27</v>
      </c>
      <c r="I326" s="94">
        <v>0</v>
      </c>
      <c r="J326" s="94">
        <v>81</v>
      </c>
      <c r="K326" s="94">
        <v>0</v>
      </c>
      <c r="L326" s="94">
        <v>82.800000000000011</v>
      </c>
      <c r="M326" s="129">
        <v>-16.200000000000003</v>
      </c>
      <c r="N326" s="102">
        <f t="shared" si="10"/>
        <v>22.200000000000003</v>
      </c>
      <c r="O326" s="97">
        <v>28.799999999999997</v>
      </c>
      <c r="P326" s="92">
        <v>32.4</v>
      </c>
      <c r="Q326" s="98">
        <f t="shared" si="11"/>
        <v>61.199999999999996</v>
      </c>
      <c r="R326" s="102" t="str">
        <f>+IF(Q326+N326&lt;=0, "NO COMPRADOR", +IF(Q326&lt;=0, "SIN COMPRA "&amp;+UPPER(TEXT('DINAMICA ENERO 26'!$C$2,"mmm 'yy")), "COMPRADOR"))</f>
        <v>COMPRADOR</v>
      </c>
      <c r="S326" s="100"/>
      <c r="X326" s="101"/>
      <c r="Y326" s="100"/>
    </row>
    <row r="327" spans="1:25" ht="14">
      <c r="A327" s="88" t="s">
        <v>407</v>
      </c>
      <c r="B327" s="89" t="s">
        <v>407</v>
      </c>
      <c r="C327" s="89" t="s">
        <v>32</v>
      </c>
      <c r="D327" s="103">
        <v>100087600</v>
      </c>
      <c r="E327" s="89" t="s">
        <v>33</v>
      </c>
      <c r="F327" s="89">
        <v>100002545</v>
      </c>
      <c r="G327" s="128" t="s">
        <v>409</v>
      </c>
      <c r="H327" s="94">
        <v>-4.8</v>
      </c>
      <c r="I327" s="94">
        <v>-76.8</v>
      </c>
      <c r="J327" s="94">
        <v>14.400000000000009</v>
      </c>
      <c r="K327" s="94">
        <v>43.2</v>
      </c>
      <c r="L327" s="94">
        <v>72</v>
      </c>
      <c r="M327" s="129">
        <v>71.999999999999986</v>
      </c>
      <c r="N327" s="102">
        <f t="shared" si="10"/>
        <v>62.4</v>
      </c>
      <c r="O327" s="97">
        <v>43.2</v>
      </c>
      <c r="P327" s="92">
        <v>28.799999999999997</v>
      </c>
      <c r="Q327" s="98">
        <f t="shared" si="11"/>
        <v>72</v>
      </c>
      <c r="R327" s="102" t="str">
        <f>+IF(Q327+N327&lt;=0, "NO COMPRADOR", +IF(Q327&lt;=0, "SIN COMPRA "&amp;+UPPER(TEXT('DINAMICA ENERO 26'!$C$2,"mmm 'yy")), "COMPRADOR"))</f>
        <v>COMPRADOR</v>
      </c>
      <c r="S327" s="100"/>
      <c r="X327" s="101"/>
      <c r="Y327" s="100"/>
    </row>
    <row r="328" spans="1:25" ht="14">
      <c r="A328" s="88" t="s">
        <v>407</v>
      </c>
      <c r="B328" s="89" t="s">
        <v>407</v>
      </c>
      <c r="C328" s="89" t="s">
        <v>32</v>
      </c>
      <c r="D328" s="103">
        <v>100087600</v>
      </c>
      <c r="E328" s="89" t="s">
        <v>33</v>
      </c>
      <c r="F328" s="89">
        <v>100002424</v>
      </c>
      <c r="G328" s="128" t="s">
        <v>410</v>
      </c>
      <c r="H328" s="94">
        <v>0</v>
      </c>
      <c r="I328" s="94">
        <v>0</v>
      </c>
      <c r="J328" s="94">
        <v>0</v>
      </c>
      <c r="K328" s="94">
        <v>0</v>
      </c>
      <c r="L328" s="94">
        <v>0</v>
      </c>
      <c r="M328" s="129">
        <v>0</v>
      </c>
      <c r="N328" s="102">
        <f t="shared" si="10"/>
        <v>0</v>
      </c>
      <c r="O328" s="97">
        <v>0</v>
      </c>
      <c r="P328" s="92">
        <v>0</v>
      </c>
      <c r="Q328" s="98">
        <f t="shared" si="11"/>
        <v>0</v>
      </c>
      <c r="R328" s="102" t="str">
        <f>+IF(Q328+N328&lt;=0, "NO COMPRADOR", +IF(Q328&lt;=0, "SIN COMPRA "&amp;+UPPER(TEXT('DINAMICA ENERO 26'!$C$2,"mmm 'yy")), "COMPRADOR"))</f>
        <v>NO COMPRADOR</v>
      </c>
      <c r="S328" s="100"/>
      <c r="X328" s="101"/>
      <c r="Y328" s="100"/>
    </row>
    <row r="329" spans="1:25" ht="14">
      <c r="A329" s="88" t="s">
        <v>407</v>
      </c>
      <c r="B329" s="89" t="s">
        <v>407</v>
      </c>
      <c r="C329" s="89" t="s">
        <v>32</v>
      </c>
      <c r="D329" s="103">
        <v>100087600</v>
      </c>
      <c r="E329" s="89" t="s">
        <v>33</v>
      </c>
      <c r="F329" s="89">
        <v>100002055</v>
      </c>
      <c r="G329" s="128" t="s">
        <v>411</v>
      </c>
      <c r="H329" s="94">
        <v>0</v>
      </c>
      <c r="I329" s="94">
        <v>345.6</v>
      </c>
      <c r="J329" s="94">
        <v>336</v>
      </c>
      <c r="K329" s="94">
        <v>220.79999999999995</v>
      </c>
      <c r="L329" s="94">
        <v>153.6</v>
      </c>
      <c r="M329" s="129">
        <v>182.39999999999995</v>
      </c>
      <c r="N329" s="102">
        <f t="shared" si="10"/>
        <v>185.6</v>
      </c>
      <c r="O329" s="97">
        <v>62.400000000000006</v>
      </c>
      <c r="P329" s="92">
        <v>48</v>
      </c>
      <c r="Q329" s="98">
        <f t="shared" si="11"/>
        <v>110.4</v>
      </c>
      <c r="R329" s="102" t="str">
        <f>+IF(Q329+N329&lt;=0, "NO COMPRADOR", +IF(Q329&lt;=0, "SIN COMPRA "&amp;+UPPER(TEXT('DINAMICA ENERO 26'!$C$2,"mmm 'yy")), "COMPRADOR"))</f>
        <v>COMPRADOR</v>
      </c>
      <c r="S329" s="100"/>
      <c r="X329" s="101"/>
      <c r="Y329" s="100"/>
    </row>
    <row r="330" spans="1:25" ht="14">
      <c r="A330" s="88" t="s">
        <v>407</v>
      </c>
      <c r="B330" s="89" t="s">
        <v>407</v>
      </c>
      <c r="C330" s="89" t="s">
        <v>32</v>
      </c>
      <c r="D330" s="103">
        <v>100087600</v>
      </c>
      <c r="E330" s="89" t="s">
        <v>33</v>
      </c>
      <c r="F330" s="89">
        <v>100002054</v>
      </c>
      <c r="G330" s="128" t="s">
        <v>412</v>
      </c>
      <c r="H330" s="94">
        <v>283.8</v>
      </c>
      <c r="I330" s="94">
        <v>13.799999999999999</v>
      </c>
      <c r="J330" s="94">
        <v>143.4</v>
      </c>
      <c r="K330" s="94">
        <v>161.4</v>
      </c>
      <c r="L330" s="94">
        <v>-11.400000000000004</v>
      </c>
      <c r="M330" s="129">
        <v>10.199999999999999</v>
      </c>
      <c r="N330" s="102">
        <f t="shared" si="10"/>
        <v>53.4</v>
      </c>
      <c r="O330" s="97">
        <v>45.6</v>
      </c>
      <c r="P330" s="92">
        <v>0</v>
      </c>
      <c r="Q330" s="98">
        <f t="shared" si="11"/>
        <v>45.6</v>
      </c>
      <c r="R330" s="102" t="str">
        <f>+IF(Q330+N330&lt;=0, "NO COMPRADOR", +IF(Q330&lt;=0, "SIN COMPRA "&amp;+UPPER(TEXT('DINAMICA ENERO 26'!$C$2,"mmm 'yy")), "COMPRADOR"))</f>
        <v>COMPRADOR</v>
      </c>
      <c r="S330" s="100"/>
      <c r="X330" s="101"/>
      <c r="Y330" s="100"/>
    </row>
    <row r="331" spans="1:25" ht="14">
      <c r="A331" s="88" t="s">
        <v>407</v>
      </c>
      <c r="B331" s="89" t="s">
        <v>407</v>
      </c>
      <c r="C331" s="89" t="s">
        <v>32</v>
      </c>
      <c r="D331" s="103">
        <v>100087600</v>
      </c>
      <c r="E331" s="89" t="s">
        <v>33</v>
      </c>
      <c r="F331" s="89">
        <v>100001241</v>
      </c>
      <c r="G331" s="128" t="s">
        <v>413</v>
      </c>
      <c r="H331" s="94">
        <v>271.8</v>
      </c>
      <c r="I331" s="94">
        <v>430.8</v>
      </c>
      <c r="J331" s="94">
        <v>131.39999999999998</v>
      </c>
      <c r="K331" s="94">
        <v>122.99999999999999</v>
      </c>
      <c r="L331" s="94">
        <v>205.20000000000002</v>
      </c>
      <c r="M331" s="129">
        <v>304.79999999999995</v>
      </c>
      <c r="N331" s="102">
        <f t="shared" si="10"/>
        <v>211</v>
      </c>
      <c r="O331" s="97">
        <v>46.199999999999996</v>
      </c>
      <c r="P331" s="92">
        <v>103.79999999999998</v>
      </c>
      <c r="Q331" s="98">
        <f t="shared" si="11"/>
        <v>149.99999999999997</v>
      </c>
      <c r="R331" s="102" t="str">
        <f>+IF(Q331+N331&lt;=0, "NO COMPRADOR", +IF(Q331&lt;=0, "SIN COMPRA "&amp;+UPPER(TEXT('DINAMICA ENERO 26'!$C$2,"mmm 'yy")), "COMPRADOR"))</f>
        <v>COMPRADOR</v>
      </c>
      <c r="S331" s="100"/>
      <c r="X331" s="101"/>
      <c r="Y331" s="100"/>
    </row>
    <row r="332" spans="1:25" ht="14">
      <c r="A332" s="88" t="s">
        <v>379</v>
      </c>
      <c r="B332" s="89" t="s">
        <v>405</v>
      </c>
      <c r="C332" s="89" t="s">
        <v>32</v>
      </c>
      <c r="D332" s="103">
        <v>100066387</v>
      </c>
      <c r="E332" s="89" t="s">
        <v>34</v>
      </c>
      <c r="F332" s="89">
        <v>100086833</v>
      </c>
      <c r="G332" s="128" t="s">
        <v>414</v>
      </c>
      <c r="H332" s="94">
        <v>0</v>
      </c>
      <c r="I332" s="94">
        <v>0</v>
      </c>
      <c r="J332" s="94">
        <v>0</v>
      </c>
      <c r="K332" s="94">
        <v>0</v>
      </c>
      <c r="L332" s="94">
        <v>0</v>
      </c>
      <c r="M332" s="129">
        <v>0</v>
      </c>
      <c r="N332" s="102">
        <f t="shared" si="10"/>
        <v>0</v>
      </c>
      <c r="O332" s="97">
        <v>0</v>
      </c>
      <c r="P332" s="92">
        <v>0</v>
      </c>
      <c r="Q332" s="98">
        <f t="shared" si="11"/>
        <v>0</v>
      </c>
      <c r="R332" s="102" t="str">
        <f>+IF(Q332+N332&lt;=0, "NO COMPRADOR", +IF(Q332&lt;=0, "SIN COMPRA "&amp;+UPPER(TEXT('DINAMICA ENERO 26'!$C$2,"mmm 'yy")), "COMPRADOR"))</f>
        <v>NO COMPRADOR</v>
      </c>
      <c r="S332" s="100"/>
      <c r="X332" s="101"/>
      <c r="Y332" s="100"/>
    </row>
    <row r="333" spans="1:25" ht="14">
      <c r="A333" s="88" t="s">
        <v>379</v>
      </c>
      <c r="B333" s="89" t="s">
        <v>415</v>
      </c>
      <c r="C333" s="89" t="s">
        <v>32</v>
      </c>
      <c r="D333" s="110">
        <v>100066387</v>
      </c>
      <c r="E333" s="110" t="s">
        <v>34</v>
      </c>
      <c r="F333" s="89">
        <v>100001434</v>
      </c>
      <c r="G333" s="128" t="s">
        <v>381</v>
      </c>
      <c r="H333" s="94">
        <v>504.00000000000023</v>
      </c>
      <c r="I333" s="94">
        <v>823.20000000000073</v>
      </c>
      <c r="J333" s="94">
        <v>1077.6000000000008</v>
      </c>
      <c r="K333" s="94">
        <v>744.00000000000023</v>
      </c>
      <c r="L333" s="94">
        <v>2115.5999999999995</v>
      </c>
      <c r="M333" s="129">
        <v>653.40000000000032</v>
      </c>
      <c r="N333" s="102">
        <f t="shared" si="10"/>
        <v>1171</v>
      </c>
      <c r="O333" s="97">
        <v>1111.8000000000006</v>
      </c>
      <c r="P333" s="92">
        <v>399.6</v>
      </c>
      <c r="Q333" s="98">
        <f t="shared" si="11"/>
        <v>1511.4000000000005</v>
      </c>
      <c r="R333" s="102" t="str">
        <f>+IF(Q333+N333&lt;=0, "NO COMPRADOR", +IF(Q333&lt;=0, "SIN COMPRA "&amp;+UPPER(TEXT('DINAMICA ENERO 26'!$C$2,"mmm 'yy")), "COMPRADOR"))</f>
        <v>COMPRADOR</v>
      </c>
      <c r="S333" s="100"/>
      <c r="X333" s="101"/>
      <c r="Y333" s="100"/>
    </row>
    <row r="334" spans="1:25" ht="14">
      <c r="A334" s="88" t="s">
        <v>379</v>
      </c>
      <c r="B334" s="89" t="s">
        <v>415</v>
      </c>
      <c r="C334" s="89" t="s">
        <v>32</v>
      </c>
      <c r="D334" s="110">
        <v>100089882</v>
      </c>
      <c r="E334" s="110" t="s">
        <v>36</v>
      </c>
      <c r="F334" s="89">
        <v>100002273</v>
      </c>
      <c r="G334" s="128" t="s">
        <v>416</v>
      </c>
      <c r="H334" s="94">
        <v>594</v>
      </c>
      <c r="I334" s="94">
        <v>1122</v>
      </c>
      <c r="J334" s="94">
        <v>798</v>
      </c>
      <c r="K334" s="94">
        <v>0</v>
      </c>
      <c r="L334" s="94">
        <v>864</v>
      </c>
      <c r="M334" s="129">
        <v>0</v>
      </c>
      <c r="N334" s="102">
        <f t="shared" si="10"/>
        <v>288</v>
      </c>
      <c r="O334" s="97">
        <v>594</v>
      </c>
      <c r="P334" s="92">
        <v>0</v>
      </c>
      <c r="Q334" s="98">
        <f t="shared" si="11"/>
        <v>594</v>
      </c>
      <c r="R334" s="102" t="str">
        <f>+IF(Q334+N334&lt;=0, "NO COMPRADOR", +IF(Q334&lt;=0, "SIN COMPRA "&amp;+UPPER(TEXT('DINAMICA ENERO 26'!$C$2,"mmm 'yy")), "COMPRADOR"))</f>
        <v>COMPRADOR</v>
      </c>
      <c r="S334" s="100"/>
      <c r="X334" s="101"/>
      <c r="Y334" s="100"/>
    </row>
    <row r="335" spans="1:25" ht="14">
      <c r="A335" s="88" t="s">
        <v>379</v>
      </c>
      <c r="B335" s="89" t="s">
        <v>415</v>
      </c>
      <c r="C335" s="89" t="s">
        <v>32</v>
      </c>
      <c r="D335" s="110">
        <v>100002748</v>
      </c>
      <c r="E335" s="110" t="s">
        <v>35</v>
      </c>
      <c r="F335" s="89">
        <v>100005896</v>
      </c>
      <c r="G335" s="128" t="s">
        <v>417</v>
      </c>
      <c r="H335" s="94">
        <v>321.60000000000002</v>
      </c>
      <c r="I335" s="94">
        <v>244.8</v>
      </c>
      <c r="J335" s="94">
        <v>259.2</v>
      </c>
      <c r="K335" s="94">
        <v>254.39999999999998</v>
      </c>
      <c r="L335" s="94">
        <v>556.80000000000018</v>
      </c>
      <c r="M335" s="129">
        <v>604.80000000000018</v>
      </c>
      <c r="N335" s="102">
        <f t="shared" si="10"/>
        <v>472.00000000000017</v>
      </c>
      <c r="O335" s="97">
        <v>504.00000000000006</v>
      </c>
      <c r="P335" s="92">
        <v>72</v>
      </c>
      <c r="Q335" s="98">
        <f t="shared" si="11"/>
        <v>576</v>
      </c>
      <c r="R335" s="102" t="str">
        <f>+IF(Q335+N335&lt;=0, "NO COMPRADOR", +IF(Q335&lt;=0, "SIN COMPRA "&amp;+UPPER(TEXT('DINAMICA ENERO 26'!$C$2,"mmm 'yy")), "COMPRADOR"))</f>
        <v>COMPRADOR</v>
      </c>
      <c r="S335" s="100"/>
      <c r="X335" s="101"/>
      <c r="Y335" s="100"/>
    </row>
    <row r="336" spans="1:25" ht="14">
      <c r="A336" s="88" t="s">
        <v>379</v>
      </c>
      <c r="B336" s="89" t="s">
        <v>415</v>
      </c>
      <c r="C336" s="89" t="s">
        <v>32</v>
      </c>
      <c r="D336" s="110">
        <v>100002748</v>
      </c>
      <c r="E336" s="110" t="s">
        <v>35</v>
      </c>
      <c r="F336" s="89">
        <v>100001550</v>
      </c>
      <c r="G336" s="128" t="s">
        <v>418</v>
      </c>
      <c r="H336" s="94">
        <v>0</v>
      </c>
      <c r="I336" s="94">
        <v>0</v>
      </c>
      <c r="J336" s="94">
        <v>0</v>
      </c>
      <c r="K336" s="94">
        <v>0</v>
      </c>
      <c r="L336" s="94">
        <v>0</v>
      </c>
      <c r="M336" s="129">
        <v>0</v>
      </c>
      <c r="N336" s="102">
        <f t="shared" si="10"/>
        <v>0</v>
      </c>
      <c r="O336" s="97">
        <v>0</v>
      </c>
      <c r="P336" s="92">
        <v>0</v>
      </c>
      <c r="Q336" s="98">
        <f t="shared" si="11"/>
        <v>0</v>
      </c>
      <c r="R336" s="102" t="str">
        <f>+IF(Q336+N336&lt;=0, "NO COMPRADOR", +IF(Q336&lt;=0, "SIN COMPRA "&amp;+UPPER(TEXT('DINAMICA ENERO 26'!$C$2,"mmm 'yy")), "COMPRADOR"))</f>
        <v>NO COMPRADOR</v>
      </c>
      <c r="S336" s="100"/>
      <c r="X336" s="101"/>
      <c r="Y336" s="100"/>
    </row>
    <row r="337" spans="1:25" ht="14">
      <c r="A337" s="88" t="s">
        <v>379</v>
      </c>
      <c r="B337" s="89" t="s">
        <v>415</v>
      </c>
      <c r="C337" s="89" t="s">
        <v>32</v>
      </c>
      <c r="D337" s="110">
        <v>100089882</v>
      </c>
      <c r="E337" s="110" t="s">
        <v>36</v>
      </c>
      <c r="F337" s="89">
        <v>100002492</v>
      </c>
      <c r="G337" s="128" t="s">
        <v>419</v>
      </c>
      <c r="H337" s="94">
        <v>0</v>
      </c>
      <c r="I337" s="94">
        <v>1494</v>
      </c>
      <c r="J337" s="94">
        <v>225</v>
      </c>
      <c r="K337" s="94">
        <v>65.400000000000006</v>
      </c>
      <c r="L337" s="94">
        <v>292.2</v>
      </c>
      <c r="M337" s="129">
        <v>169.20000000000002</v>
      </c>
      <c r="N337" s="102">
        <f t="shared" si="10"/>
        <v>175.60000000000002</v>
      </c>
      <c r="O337" s="97">
        <v>-141.6</v>
      </c>
      <c r="P337" s="92">
        <v>28.8</v>
      </c>
      <c r="Q337" s="98">
        <f t="shared" si="11"/>
        <v>-112.8</v>
      </c>
      <c r="R337" s="102" t="str">
        <f>+IF(Q337+N337&lt;=0, "NO COMPRADOR", +IF(Q337&lt;=0, "SIN COMPRA "&amp;+UPPER(TEXT('DINAMICA ENERO 26'!$C$2,"mmm 'yy")), "COMPRADOR"))</f>
        <v>SIN COMPRA FEB '26</v>
      </c>
      <c r="S337" s="100"/>
      <c r="X337" s="101"/>
      <c r="Y337" s="100"/>
    </row>
    <row r="338" spans="1:25" ht="14">
      <c r="A338" s="88" t="s">
        <v>379</v>
      </c>
      <c r="B338" s="89" t="s">
        <v>415</v>
      </c>
      <c r="C338" s="89" t="s">
        <v>32</v>
      </c>
      <c r="D338" s="110">
        <v>100066387</v>
      </c>
      <c r="E338" s="110" t="s">
        <v>34</v>
      </c>
      <c r="F338" s="89">
        <v>100001342</v>
      </c>
      <c r="G338" s="128" t="s">
        <v>387</v>
      </c>
      <c r="H338" s="94">
        <v>87.600000000000009</v>
      </c>
      <c r="I338" s="94">
        <v>133.19999999999999</v>
      </c>
      <c r="J338" s="94">
        <v>82.2</v>
      </c>
      <c r="K338" s="94">
        <v>91.2</v>
      </c>
      <c r="L338" s="94">
        <v>67.8</v>
      </c>
      <c r="M338" s="129">
        <v>85.8</v>
      </c>
      <c r="N338" s="102">
        <f t="shared" si="10"/>
        <v>81.600000000000009</v>
      </c>
      <c r="O338" s="97">
        <v>100.2</v>
      </c>
      <c r="P338" s="92">
        <v>58.800000000000004</v>
      </c>
      <c r="Q338" s="98">
        <f t="shared" si="11"/>
        <v>159</v>
      </c>
      <c r="R338" s="102" t="str">
        <f>+IF(Q338+N338&lt;=0, "NO COMPRADOR", +IF(Q338&lt;=0, "SIN COMPRA "&amp;+UPPER(TEXT('DINAMICA ENERO 26'!$C$2,"mmm 'yy")), "COMPRADOR"))</f>
        <v>COMPRADOR</v>
      </c>
      <c r="S338" s="100"/>
      <c r="X338" s="101"/>
      <c r="Y338" s="100"/>
    </row>
    <row r="339" spans="1:25" ht="14">
      <c r="A339" s="88" t="s">
        <v>85</v>
      </c>
      <c r="B339" s="89" t="s">
        <v>120</v>
      </c>
      <c r="C339" s="89" t="s">
        <v>52</v>
      </c>
      <c r="D339" s="110">
        <v>100088149</v>
      </c>
      <c r="E339" s="110" t="s">
        <v>56</v>
      </c>
      <c r="F339" s="89">
        <v>100089849</v>
      </c>
      <c r="G339" s="128" t="s">
        <v>420</v>
      </c>
      <c r="H339" s="94">
        <v>0</v>
      </c>
      <c r="I339" s="94">
        <v>0</v>
      </c>
      <c r="J339" s="94">
        <v>0</v>
      </c>
      <c r="K339" s="94">
        <v>0</v>
      </c>
      <c r="L339" s="94">
        <v>0</v>
      </c>
      <c r="M339" s="129">
        <v>0</v>
      </c>
      <c r="N339" s="102">
        <f t="shared" si="10"/>
        <v>0</v>
      </c>
      <c r="O339" s="97">
        <v>0</v>
      </c>
      <c r="P339" s="92">
        <v>0</v>
      </c>
      <c r="Q339" s="98">
        <f t="shared" si="11"/>
        <v>0</v>
      </c>
      <c r="R339" s="102" t="str">
        <f>+IF(Q339+N339&lt;=0, "NO COMPRADOR", +IF(Q339&lt;=0, "SIN COMPRA "&amp;+UPPER(TEXT('DINAMICA ENERO 26'!$C$2,"mmm 'yy")), "COMPRADOR"))</f>
        <v>NO COMPRADOR</v>
      </c>
      <c r="S339" s="100"/>
      <c r="X339" s="101"/>
      <c r="Y339" s="100"/>
    </row>
    <row r="340" spans="1:25" ht="14">
      <c r="A340" s="88" t="s">
        <v>85</v>
      </c>
      <c r="B340" s="89" t="s">
        <v>120</v>
      </c>
      <c r="C340" s="89" t="s">
        <v>52</v>
      </c>
      <c r="D340" s="110">
        <v>100079515</v>
      </c>
      <c r="E340" s="110" t="s">
        <v>53</v>
      </c>
      <c r="F340" s="89">
        <v>100025640</v>
      </c>
      <c r="G340" s="128" t="s">
        <v>421</v>
      </c>
      <c r="H340" s="94">
        <v>0</v>
      </c>
      <c r="I340" s="94">
        <v>0</v>
      </c>
      <c r="J340" s="94">
        <v>0</v>
      </c>
      <c r="K340" s="94">
        <v>0</v>
      </c>
      <c r="L340" s="94">
        <v>0</v>
      </c>
      <c r="M340" s="129">
        <v>0</v>
      </c>
      <c r="N340" s="102">
        <f t="shared" si="10"/>
        <v>0</v>
      </c>
      <c r="O340" s="97">
        <v>0</v>
      </c>
      <c r="P340" s="92">
        <v>0</v>
      </c>
      <c r="Q340" s="98">
        <f t="shared" si="11"/>
        <v>0</v>
      </c>
      <c r="R340" s="102" t="str">
        <f>+IF(Q340+N340&lt;=0, "NO COMPRADOR", +IF(Q340&lt;=0, "SIN COMPRA "&amp;+UPPER(TEXT('DINAMICA ENERO 26'!$C$2,"mmm 'yy")), "COMPRADOR"))</f>
        <v>NO COMPRADOR</v>
      </c>
      <c r="S340" s="100"/>
      <c r="X340" s="101"/>
      <c r="Y340" s="100"/>
    </row>
    <row r="341" spans="1:25" ht="14">
      <c r="A341" s="88" t="s">
        <v>85</v>
      </c>
      <c r="B341" s="89" t="s">
        <v>157</v>
      </c>
      <c r="C341" s="89" t="s">
        <v>52</v>
      </c>
      <c r="D341" s="110">
        <v>100079674</v>
      </c>
      <c r="E341" s="110" t="s">
        <v>57</v>
      </c>
      <c r="F341" s="89">
        <v>100080761</v>
      </c>
      <c r="G341" s="128" t="s">
        <v>422</v>
      </c>
      <c r="H341" s="94">
        <v>0</v>
      </c>
      <c r="I341" s="94">
        <v>0</v>
      </c>
      <c r="J341" s="94">
        <v>0</v>
      </c>
      <c r="K341" s="94">
        <v>0</v>
      </c>
      <c r="L341" s="94">
        <v>0</v>
      </c>
      <c r="M341" s="129">
        <v>0</v>
      </c>
      <c r="N341" s="102">
        <f t="shared" si="10"/>
        <v>0</v>
      </c>
      <c r="O341" s="97">
        <v>0</v>
      </c>
      <c r="P341" s="92">
        <v>0</v>
      </c>
      <c r="Q341" s="98">
        <f t="shared" si="11"/>
        <v>0</v>
      </c>
      <c r="R341" s="102" t="str">
        <f>+IF(Q341+N341&lt;=0, "NO COMPRADOR", +IF(Q341&lt;=0, "SIN COMPRA "&amp;+UPPER(TEXT('DINAMICA ENERO 26'!$C$2,"mmm 'yy")), "COMPRADOR"))</f>
        <v>NO COMPRADOR</v>
      </c>
      <c r="S341" s="100"/>
      <c r="X341" s="101"/>
      <c r="Y341" s="100"/>
    </row>
    <row r="342" spans="1:25" ht="14">
      <c r="A342" s="88" t="s">
        <v>85</v>
      </c>
      <c r="B342" s="89" t="s">
        <v>157</v>
      </c>
      <c r="C342" s="89" t="s">
        <v>52</v>
      </c>
      <c r="D342" s="110">
        <v>100079674</v>
      </c>
      <c r="E342" s="110" t="s">
        <v>57</v>
      </c>
      <c r="F342" s="89">
        <v>100001878</v>
      </c>
      <c r="G342" s="128" t="s">
        <v>423</v>
      </c>
      <c r="H342" s="94">
        <v>0</v>
      </c>
      <c r="I342" s="94">
        <v>0</v>
      </c>
      <c r="J342" s="94">
        <v>0</v>
      </c>
      <c r="K342" s="94">
        <v>0</v>
      </c>
      <c r="L342" s="94">
        <v>0</v>
      </c>
      <c r="M342" s="129">
        <v>0</v>
      </c>
      <c r="N342" s="102">
        <f t="shared" si="10"/>
        <v>0</v>
      </c>
      <c r="O342" s="97">
        <v>0</v>
      </c>
      <c r="P342" s="92">
        <v>0</v>
      </c>
      <c r="Q342" s="98">
        <f t="shared" si="11"/>
        <v>0</v>
      </c>
      <c r="R342" s="102" t="str">
        <f>+IF(Q342+N342&lt;=0, "NO COMPRADOR", +IF(Q342&lt;=0, "SIN COMPRA "&amp;+UPPER(TEXT('DINAMICA ENERO 26'!$C$2,"mmm 'yy")), "COMPRADOR"))</f>
        <v>NO COMPRADOR</v>
      </c>
      <c r="S342" s="100"/>
      <c r="X342" s="101"/>
      <c r="Y342" s="100"/>
    </row>
    <row r="343" spans="1:25" ht="14">
      <c r="A343" s="88" t="s">
        <v>85</v>
      </c>
      <c r="B343" s="89" t="s">
        <v>157</v>
      </c>
      <c r="C343" s="89" t="s">
        <v>52</v>
      </c>
      <c r="D343" s="110">
        <v>100079674</v>
      </c>
      <c r="E343" s="110" t="s">
        <v>57</v>
      </c>
      <c r="F343" s="89">
        <v>100085464</v>
      </c>
      <c r="G343" s="128" t="s">
        <v>424</v>
      </c>
      <c r="H343" s="94">
        <v>0</v>
      </c>
      <c r="I343" s="94">
        <v>0</v>
      </c>
      <c r="J343" s="94">
        <v>0</v>
      </c>
      <c r="K343" s="94">
        <v>0</v>
      </c>
      <c r="L343" s="94">
        <v>0</v>
      </c>
      <c r="M343" s="129">
        <v>0</v>
      </c>
      <c r="N343" s="102">
        <f t="shared" si="10"/>
        <v>0</v>
      </c>
      <c r="O343" s="97">
        <v>0</v>
      </c>
      <c r="P343" s="92">
        <v>0</v>
      </c>
      <c r="Q343" s="98">
        <f t="shared" si="11"/>
        <v>0</v>
      </c>
      <c r="R343" s="102" t="str">
        <f>+IF(Q343+N343&lt;=0, "NO COMPRADOR", +IF(Q343&lt;=0, "SIN COMPRA "&amp;+UPPER(TEXT('DINAMICA ENERO 26'!$C$2,"mmm 'yy")), "COMPRADOR"))</f>
        <v>NO COMPRADOR</v>
      </c>
      <c r="S343" s="100"/>
      <c r="X343" s="101"/>
      <c r="Y343" s="100"/>
    </row>
    <row r="344" spans="1:25" ht="14">
      <c r="A344" s="88" t="s">
        <v>85</v>
      </c>
      <c r="B344" s="89" t="s">
        <v>157</v>
      </c>
      <c r="C344" s="89" t="s">
        <v>52</v>
      </c>
      <c r="D344" s="110">
        <v>100066856</v>
      </c>
      <c r="E344" s="110" t="s">
        <v>54</v>
      </c>
      <c r="F344" s="89">
        <v>100080160</v>
      </c>
      <c r="G344" s="128" t="s">
        <v>425</v>
      </c>
      <c r="H344" s="94">
        <v>0</v>
      </c>
      <c r="I344" s="94">
        <v>0</v>
      </c>
      <c r="J344" s="94">
        <v>0</v>
      </c>
      <c r="K344" s="94">
        <v>0</v>
      </c>
      <c r="L344" s="94">
        <v>0</v>
      </c>
      <c r="M344" s="129">
        <v>0</v>
      </c>
      <c r="N344" s="102">
        <f t="shared" si="10"/>
        <v>0</v>
      </c>
      <c r="O344" s="97">
        <v>0</v>
      </c>
      <c r="P344" s="92">
        <v>0</v>
      </c>
      <c r="Q344" s="98">
        <f t="shared" si="11"/>
        <v>0</v>
      </c>
      <c r="R344" s="102" t="str">
        <f>+IF(Q344+N344&lt;=0, "NO COMPRADOR", +IF(Q344&lt;=0, "SIN COMPRA "&amp;+UPPER(TEXT('DINAMICA ENERO 26'!$C$2,"mmm 'yy")), "COMPRADOR"))</f>
        <v>NO COMPRADOR</v>
      </c>
      <c r="S344" s="100"/>
      <c r="X344" s="101"/>
      <c r="Y344" s="100"/>
    </row>
    <row r="345" spans="1:25" ht="14">
      <c r="A345" s="88" t="s">
        <v>85</v>
      </c>
      <c r="B345" s="89" t="s">
        <v>157</v>
      </c>
      <c r="C345" s="89" t="s">
        <v>52</v>
      </c>
      <c r="D345" s="110">
        <v>100066856</v>
      </c>
      <c r="E345" s="110" t="s">
        <v>54</v>
      </c>
      <c r="F345" s="89">
        <v>100077613</v>
      </c>
      <c r="G345" s="128" t="s">
        <v>426</v>
      </c>
      <c r="H345" s="94">
        <v>0</v>
      </c>
      <c r="I345" s="94">
        <v>0</v>
      </c>
      <c r="J345" s="94">
        <v>0</v>
      </c>
      <c r="K345" s="94">
        <v>0</v>
      </c>
      <c r="L345" s="94">
        <v>0</v>
      </c>
      <c r="M345" s="129">
        <v>0</v>
      </c>
      <c r="N345" s="102">
        <f t="shared" si="10"/>
        <v>0</v>
      </c>
      <c r="O345" s="97">
        <v>0</v>
      </c>
      <c r="P345" s="92">
        <v>0</v>
      </c>
      <c r="Q345" s="98">
        <f t="shared" si="11"/>
        <v>0</v>
      </c>
      <c r="R345" s="102" t="str">
        <f>+IF(Q345+N345&lt;=0, "NO COMPRADOR", +IF(Q345&lt;=0, "SIN COMPRA "&amp;+UPPER(TEXT('DINAMICA ENERO 26'!$C$2,"mmm 'yy")), "COMPRADOR"))</f>
        <v>NO COMPRADOR</v>
      </c>
      <c r="S345" s="100"/>
      <c r="X345" s="101"/>
      <c r="Y345" s="100"/>
    </row>
    <row r="346" spans="1:25" ht="14">
      <c r="A346" s="88" t="s">
        <v>85</v>
      </c>
      <c r="B346" s="89" t="s">
        <v>157</v>
      </c>
      <c r="C346" s="89" t="s">
        <v>52</v>
      </c>
      <c r="D346" s="110">
        <v>100066856</v>
      </c>
      <c r="E346" s="110" t="s">
        <v>54</v>
      </c>
      <c r="F346" s="89">
        <v>100082823</v>
      </c>
      <c r="G346" s="128" t="s">
        <v>427</v>
      </c>
      <c r="H346" s="94">
        <v>0</v>
      </c>
      <c r="I346" s="94">
        <v>0</v>
      </c>
      <c r="J346" s="94">
        <v>0</v>
      </c>
      <c r="K346" s="94">
        <v>0</v>
      </c>
      <c r="L346" s="94">
        <v>0</v>
      </c>
      <c r="M346" s="129">
        <v>0</v>
      </c>
      <c r="N346" s="102">
        <f t="shared" si="10"/>
        <v>0</v>
      </c>
      <c r="O346" s="97">
        <v>0</v>
      </c>
      <c r="P346" s="92">
        <v>0</v>
      </c>
      <c r="Q346" s="98">
        <f t="shared" si="11"/>
        <v>0</v>
      </c>
      <c r="R346" s="102" t="str">
        <f>+IF(Q346+N346&lt;=0, "NO COMPRADOR", +IF(Q346&lt;=0, "SIN COMPRA "&amp;+UPPER(TEXT('DINAMICA ENERO 26'!$C$2,"mmm 'yy")), "COMPRADOR"))</f>
        <v>NO COMPRADOR</v>
      </c>
      <c r="S346" s="100"/>
      <c r="X346" s="101"/>
      <c r="Y346" s="100"/>
    </row>
    <row r="347" spans="1:25" ht="14">
      <c r="A347" s="88" t="s">
        <v>85</v>
      </c>
      <c r="B347" s="89" t="s">
        <v>204</v>
      </c>
      <c r="C347" s="89" t="s">
        <v>52</v>
      </c>
      <c r="D347" s="110">
        <v>100089701</v>
      </c>
      <c r="E347" s="110" t="s">
        <v>58</v>
      </c>
      <c r="F347" s="89">
        <v>100079045</v>
      </c>
      <c r="G347" s="128" t="s">
        <v>428</v>
      </c>
      <c r="H347" s="94">
        <v>0</v>
      </c>
      <c r="I347" s="94">
        <v>0</v>
      </c>
      <c r="J347" s="94">
        <v>0</v>
      </c>
      <c r="K347" s="94">
        <v>0</v>
      </c>
      <c r="L347" s="94">
        <v>0</v>
      </c>
      <c r="M347" s="129">
        <v>0</v>
      </c>
      <c r="N347" s="102">
        <f t="shared" si="10"/>
        <v>0</v>
      </c>
      <c r="O347" s="97">
        <v>0</v>
      </c>
      <c r="P347" s="92">
        <v>0</v>
      </c>
      <c r="Q347" s="98">
        <f t="shared" si="11"/>
        <v>0</v>
      </c>
      <c r="R347" s="102" t="str">
        <f>+IF(Q347+N347&lt;=0, "NO COMPRADOR", +IF(Q347&lt;=0, "SIN COMPRA "&amp;+UPPER(TEXT('DINAMICA ENERO 26'!$C$2,"mmm 'yy")), "COMPRADOR"))</f>
        <v>NO COMPRADOR</v>
      </c>
      <c r="S347" s="100"/>
      <c r="X347" s="101"/>
      <c r="Y347" s="100"/>
    </row>
    <row r="348" spans="1:25" ht="14">
      <c r="A348" s="88" t="s">
        <v>85</v>
      </c>
      <c r="B348" s="89" t="s">
        <v>204</v>
      </c>
      <c r="C348" s="89" t="s">
        <v>52</v>
      </c>
      <c r="D348" s="110">
        <v>100089701</v>
      </c>
      <c r="E348" s="110" t="s">
        <v>58</v>
      </c>
      <c r="F348" s="89">
        <v>100011496</v>
      </c>
      <c r="G348" s="128" t="s">
        <v>429</v>
      </c>
      <c r="H348" s="94">
        <v>0</v>
      </c>
      <c r="I348" s="94">
        <v>0</v>
      </c>
      <c r="J348" s="94">
        <v>0</v>
      </c>
      <c r="K348" s="94">
        <v>0</v>
      </c>
      <c r="L348" s="94">
        <v>0</v>
      </c>
      <c r="M348" s="129">
        <v>0</v>
      </c>
      <c r="N348" s="102">
        <f t="shared" si="10"/>
        <v>0</v>
      </c>
      <c r="O348" s="97">
        <v>0</v>
      </c>
      <c r="P348" s="92">
        <v>0</v>
      </c>
      <c r="Q348" s="98">
        <f t="shared" si="11"/>
        <v>0</v>
      </c>
      <c r="R348" s="102" t="str">
        <f>+IF(Q348+N348&lt;=0, "NO COMPRADOR", +IF(Q348&lt;=0, "SIN COMPRA "&amp;+UPPER(TEXT('DINAMICA ENERO 26'!$C$2,"mmm 'yy")), "COMPRADOR"))</f>
        <v>NO COMPRADOR</v>
      </c>
      <c r="S348" s="100"/>
      <c r="X348" s="101"/>
      <c r="Y348" s="100"/>
    </row>
    <row r="349" spans="1:25" ht="14">
      <c r="A349" s="88" t="s">
        <v>85</v>
      </c>
      <c r="B349" s="89" t="s">
        <v>204</v>
      </c>
      <c r="C349" s="89" t="s">
        <v>52</v>
      </c>
      <c r="D349" s="110">
        <v>100073888</v>
      </c>
      <c r="E349" s="110" t="s">
        <v>55</v>
      </c>
      <c r="F349" s="89">
        <v>100001404</v>
      </c>
      <c r="G349" s="128" t="s">
        <v>430</v>
      </c>
      <c r="H349" s="94">
        <v>0</v>
      </c>
      <c r="I349" s="94">
        <v>0</v>
      </c>
      <c r="J349" s="94">
        <v>0</v>
      </c>
      <c r="K349" s="94">
        <v>0</v>
      </c>
      <c r="L349" s="94">
        <v>0</v>
      </c>
      <c r="M349" s="129">
        <v>0</v>
      </c>
      <c r="N349" s="102">
        <f t="shared" si="10"/>
        <v>0</v>
      </c>
      <c r="O349" s="97">
        <v>0</v>
      </c>
      <c r="P349" s="92">
        <v>0</v>
      </c>
      <c r="Q349" s="98">
        <f t="shared" si="11"/>
        <v>0</v>
      </c>
      <c r="R349" s="102" t="str">
        <f>+IF(Q349+N349&lt;=0, "NO COMPRADOR", +IF(Q349&lt;=0, "SIN COMPRA "&amp;+UPPER(TEXT('DINAMICA ENERO 26'!$C$2,"mmm 'yy")), "COMPRADOR"))</f>
        <v>NO COMPRADOR</v>
      </c>
      <c r="S349" s="100"/>
      <c r="X349" s="101"/>
      <c r="Y349" s="100"/>
    </row>
    <row r="350" spans="1:25" ht="14">
      <c r="A350" s="88" t="s">
        <v>85</v>
      </c>
      <c r="B350" s="89" t="s">
        <v>204</v>
      </c>
      <c r="C350" s="89" t="s">
        <v>52</v>
      </c>
      <c r="D350" s="110">
        <v>100073888</v>
      </c>
      <c r="E350" s="110" t="s">
        <v>55</v>
      </c>
      <c r="F350" s="89">
        <v>100002253</v>
      </c>
      <c r="G350" s="128" t="s">
        <v>431</v>
      </c>
      <c r="H350" s="94">
        <v>0</v>
      </c>
      <c r="I350" s="94">
        <v>0</v>
      </c>
      <c r="J350" s="94">
        <v>0</v>
      </c>
      <c r="K350" s="94">
        <v>0</v>
      </c>
      <c r="L350" s="94">
        <v>0</v>
      </c>
      <c r="M350" s="129">
        <v>0</v>
      </c>
      <c r="N350" s="102">
        <f t="shared" si="10"/>
        <v>0</v>
      </c>
      <c r="O350" s="97">
        <v>0</v>
      </c>
      <c r="P350" s="92">
        <v>0</v>
      </c>
      <c r="Q350" s="98">
        <f t="shared" si="11"/>
        <v>0</v>
      </c>
      <c r="R350" s="102" t="str">
        <f>+IF(Q350+N350&lt;=0, "NO COMPRADOR", +IF(Q350&lt;=0, "SIN COMPRA "&amp;+UPPER(TEXT('DINAMICA ENERO 26'!$C$2,"mmm 'yy")), "COMPRADOR"))</f>
        <v>NO COMPRADOR</v>
      </c>
      <c r="S350" s="100"/>
      <c r="X350" s="101"/>
      <c r="Y350" s="100"/>
    </row>
    <row r="351" spans="1:25" ht="14">
      <c r="A351" s="88" t="s">
        <v>85</v>
      </c>
      <c r="B351" s="89" t="s">
        <v>236</v>
      </c>
      <c r="C351" s="89" t="s">
        <v>68</v>
      </c>
      <c r="D351" s="110">
        <v>100031199</v>
      </c>
      <c r="E351" s="110" t="s">
        <v>69</v>
      </c>
      <c r="F351" s="89">
        <v>100089970</v>
      </c>
      <c r="G351" s="128" t="s">
        <v>432</v>
      </c>
      <c r="H351" s="94">
        <v>0</v>
      </c>
      <c r="I351" s="94">
        <v>0</v>
      </c>
      <c r="J351" s="94">
        <v>0</v>
      </c>
      <c r="K351" s="94">
        <v>0</v>
      </c>
      <c r="L351" s="94">
        <v>0</v>
      </c>
      <c r="M351" s="129">
        <v>0</v>
      </c>
      <c r="N351" s="102">
        <f t="shared" si="10"/>
        <v>0</v>
      </c>
      <c r="O351" s="97">
        <v>0</v>
      </c>
      <c r="P351" s="92">
        <v>0</v>
      </c>
      <c r="Q351" s="98">
        <f t="shared" si="11"/>
        <v>0</v>
      </c>
      <c r="R351" s="102" t="str">
        <f>+IF(Q351+N351&lt;=0, "NO COMPRADOR", +IF(Q351&lt;=0, "SIN COMPRA "&amp;+UPPER(TEXT('DINAMICA ENERO 26'!$C$2,"mmm 'yy")), "COMPRADOR"))</f>
        <v>NO COMPRADOR</v>
      </c>
      <c r="S351" s="100"/>
      <c r="X351" s="101"/>
      <c r="Y351" s="100"/>
    </row>
    <row r="352" spans="1:25" ht="14">
      <c r="A352" s="88" t="s">
        <v>85</v>
      </c>
      <c r="B352" s="89" t="s">
        <v>257</v>
      </c>
      <c r="C352" s="89" t="s">
        <v>43</v>
      </c>
      <c r="D352" s="110">
        <v>100088690</v>
      </c>
      <c r="E352" s="110" t="s">
        <v>45</v>
      </c>
      <c r="F352" s="89">
        <v>100002208</v>
      </c>
      <c r="G352" s="128" t="s">
        <v>433</v>
      </c>
      <c r="H352" s="94">
        <v>0</v>
      </c>
      <c r="I352" s="94">
        <v>0</v>
      </c>
      <c r="J352" s="94">
        <v>0</v>
      </c>
      <c r="K352" s="94">
        <v>0</v>
      </c>
      <c r="L352" s="94">
        <v>0</v>
      </c>
      <c r="M352" s="129">
        <v>0</v>
      </c>
      <c r="N352" s="102">
        <f t="shared" si="10"/>
        <v>0</v>
      </c>
      <c r="O352" s="97">
        <v>0</v>
      </c>
      <c r="P352" s="92">
        <v>0</v>
      </c>
      <c r="Q352" s="98">
        <f t="shared" si="11"/>
        <v>0</v>
      </c>
      <c r="R352" s="102" t="str">
        <f>+IF(Q352+N352&lt;=0, "NO COMPRADOR", +IF(Q352&lt;=0, "SIN COMPRA "&amp;+UPPER(TEXT('DINAMICA ENERO 26'!$C$2,"mmm 'yy")), "COMPRADOR"))</f>
        <v>NO COMPRADOR</v>
      </c>
      <c r="S352" s="100"/>
      <c r="X352" s="101"/>
      <c r="Y352" s="100"/>
    </row>
    <row r="353" spans="1:25" ht="14">
      <c r="A353" s="88" t="s">
        <v>85</v>
      </c>
      <c r="B353" s="89" t="s">
        <v>257</v>
      </c>
      <c r="C353" s="89" t="s">
        <v>43</v>
      </c>
      <c r="D353" s="110">
        <v>100088690</v>
      </c>
      <c r="E353" s="110" t="s">
        <v>45</v>
      </c>
      <c r="F353" s="89">
        <v>100001513</v>
      </c>
      <c r="G353" s="128" t="s">
        <v>287</v>
      </c>
      <c r="H353" s="94">
        <v>0</v>
      </c>
      <c r="I353" s="94">
        <v>0</v>
      </c>
      <c r="J353" s="94">
        <v>0</v>
      </c>
      <c r="K353" s="94">
        <v>0</v>
      </c>
      <c r="L353" s="94">
        <v>5.4</v>
      </c>
      <c r="M353" s="129">
        <v>0</v>
      </c>
      <c r="N353" s="102">
        <f t="shared" si="10"/>
        <v>1.8</v>
      </c>
      <c r="O353" s="97">
        <v>0</v>
      </c>
      <c r="P353" s="92">
        <v>0</v>
      </c>
      <c r="Q353" s="98">
        <f t="shared" si="11"/>
        <v>0</v>
      </c>
      <c r="R353" s="102" t="str">
        <f>+IF(Q353+N353&lt;=0, "NO COMPRADOR", +IF(Q353&lt;=0, "SIN COMPRA "&amp;+UPPER(TEXT('DINAMICA ENERO 26'!$C$2,"mmm 'yy")), "COMPRADOR"))</f>
        <v>SIN COMPRA FEB '26</v>
      </c>
      <c r="S353" s="100"/>
      <c r="X353" s="101"/>
      <c r="Y353" s="100"/>
    </row>
    <row r="354" spans="1:25" ht="14">
      <c r="A354" s="88" t="s">
        <v>85</v>
      </c>
      <c r="B354" s="89" t="s">
        <v>257</v>
      </c>
      <c r="C354" s="89" t="s">
        <v>43</v>
      </c>
      <c r="D354" s="110">
        <v>100088690</v>
      </c>
      <c r="E354" s="110" t="s">
        <v>45</v>
      </c>
      <c r="F354" s="89">
        <v>100015740</v>
      </c>
      <c r="G354" s="128" t="s">
        <v>434</v>
      </c>
      <c r="H354" s="94">
        <v>0</v>
      </c>
      <c r="I354" s="94">
        <v>0</v>
      </c>
      <c r="J354" s="94">
        <v>0</v>
      </c>
      <c r="K354" s="94">
        <v>0</v>
      </c>
      <c r="L354" s="94">
        <v>0</v>
      </c>
      <c r="M354" s="129">
        <v>0</v>
      </c>
      <c r="N354" s="102">
        <f t="shared" si="10"/>
        <v>0</v>
      </c>
      <c r="O354" s="97">
        <v>0</v>
      </c>
      <c r="P354" s="92">
        <v>0</v>
      </c>
      <c r="Q354" s="98">
        <f t="shared" si="11"/>
        <v>0</v>
      </c>
      <c r="R354" s="102" t="str">
        <f>+IF(Q354+N354&lt;=0, "NO COMPRADOR", +IF(Q354&lt;=0, "SIN COMPRA "&amp;+UPPER(TEXT('DINAMICA ENERO 26'!$C$2,"mmm 'yy")), "COMPRADOR"))</f>
        <v>NO COMPRADOR</v>
      </c>
      <c r="S354" s="100"/>
      <c r="X354" s="101"/>
      <c r="Y354" s="100"/>
    </row>
    <row r="355" spans="1:25" ht="14">
      <c r="A355" s="88" t="s">
        <v>85</v>
      </c>
      <c r="B355" s="89" t="s">
        <v>257</v>
      </c>
      <c r="C355" s="89" t="s">
        <v>43</v>
      </c>
      <c r="D355" s="110">
        <v>100089856</v>
      </c>
      <c r="E355" s="110" t="s">
        <v>49</v>
      </c>
      <c r="F355" s="89">
        <v>100013280</v>
      </c>
      <c r="G355" s="128" t="s">
        <v>435</v>
      </c>
      <c r="H355" s="94">
        <v>0</v>
      </c>
      <c r="I355" s="94">
        <v>0</v>
      </c>
      <c r="J355" s="94">
        <v>0</v>
      </c>
      <c r="K355" s="94">
        <v>0</v>
      </c>
      <c r="L355" s="94">
        <v>0</v>
      </c>
      <c r="M355" s="129">
        <v>0</v>
      </c>
      <c r="N355" s="102">
        <f t="shared" si="10"/>
        <v>0</v>
      </c>
      <c r="O355" s="97">
        <v>0</v>
      </c>
      <c r="P355" s="92">
        <v>0</v>
      </c>
      <c r="Q355" s="98">
        <f t="shared" si="11"/>
        <v>0</v>
      </c>
      <c r="R355" s="102" t="str">
        <f>+IF(Q355+N355&lt;=0, "NO COMPRADOR", +IF(Q355&lt;=0, "SIN COMPRA "&amp;+UPPER(TEXT('DINAMICA ENERO 26'!$C$2,"mmm 'yy")), "COMPRADOR"))</f>
        <v>NO COMPRADOR</v>
      </c>
      <c r="S355" s="100"/>
      <c r="X355" s="101"/>
      <c r="Y355" s="100"/>
    </row>
    <row r="356" spans="1:25" ht="14">
      <c r="A356" s="88" t="s">
        <v>85</v>
      </c>
      <c r="B356" s="89" t="s">
        <v>257</v>
      </c>
      <c r="C356" s="89" t="s">
        <v>43</v>
      </c>
      <c r="D356" s="110">
        <v>100089856</v>
      </c>
      <c r="E356" s="110" t="s">
        <v>49</v>
      </c>
      <c r="F356" s="89">
        <v>100081920</v>
      </c>
      <c r="G356" s="128" t="s">
        <v>436</v>
      </c>
      <c r="H356" s="94">
        <v>0</v>
      </c>
      <c r="I356" s="94">
        <v>0</v>
      </c>
      <c r="J356" s="94">
        <v>0</v>
      </c>
      <c r="K356" s="94">
        <v>0</v>
      </c>
      <c r="L356" s="94">
        <v>0</v>
      </c>
      <c r="M356" s="129">
        <v>0</v>
      </c>
      <c r="N356" s="102">
        <f t="shared" si="10"/>
        <v>0</v>
      </c>
      <c r="O356" s="97">
        <v>0</v>
      </c>
      <c r="P356" s="92">
        <v>0</v>
      </c>
      <c r="Q356" s="98">
        <f t="shared" si="11"/>
        <v>0</v>
      </c>
      <c r="R356" s="102" t="str">
        <f>+IF(Q356+N356&lt;=0, "NO COMPRADOR", +IF(Q356&lt;=0, "SIN COMPRA "&amp;+UPPER(TEXT('DINAMICA ENERO 26'!$C$2,"mmm 'yy")), "COMPRADOR"))</f>
        <v>NO COMPRADOR</v>
      </c>
      <c r="S356" s="100"/>
      <c r="X356" s="101"/>
      <c r="Y356" s="100"/>
    </row>
    <row r="357" spans="1:25" ht="14">
      <c r="A357" s="88" t="s">
        <v>85</v>
      </c>
      <c r="B357" s="89" t="s">
        <v>257</v>
      </c>
      <c r="C357" s="89" t="s">
        <v>43</v>
      </c>
      <c r="D357" s="110">
        <v>100089856</v>
      </c>
      <c r="E357" s="110" t="s">
        <v>49</v>
      </c>
      <c r="F357" s="89">
        <v>100087806</v>
      </c>
      <c r="G357" s="128" t="s">
        <v>437</v>
      </c>
      <c r="H357" s="94">
        <v>0</v>
      </c>
      <c r="I357" s="94">
        <v>0</v>
      </c>
      <c r="J357" s="94">
        <v>0</v>
      </c>
      <c r="K357" s="94">
        <v>0</v>
      </c>
      <c r="L357" s="94">
        <v>0</v>
      </c>
      <c r="M357" s="129">
        <v>0</v>
      </c>
      <c r="N357" s="102">
        <f t="shared" si="10"/>
        <v>0</v>
      </c>
      <c r="O357" s="97">
        <v>0</v>
      </c>
      <c r="P357" s="92">
        <v>0</v>
      </c>
      <c r="Q357" s="98">
        <f t="shared" si="11"/>
        <v>0</v>
      </c>
      <c r="R357" s="102" t="str">
        <f>+IF(Q357+N357&lt;=0, "NO COMPRADOR", +IF(Q357&lt;=0, "SIN COMPRA "&amp;+UPPER(TEXT('DINAMICA ENERO 26'!$C$2,"mmm 'yy")), "COMPRADOR"))</f>
        <v>NO COMPRADOR</v>
      </c>
      <c r="S357" s="100"/>
      <c r="X357" s="101"/>
      <c r="Y357" s="100"/>
    </row>
    <row r="358" spans="1:25" ht="14">
      <c r="A358" s="88" t="s">
        <v>85</v>
      </c>
      <c r="B358" s="89" t="s">
        <v>257</v>
      </c>
      <c r="C358" s="89" t="s">
        <v>43</v>
      </c>
      <c r="D358" s="110">
        <v>100089856</v>
      </c>
      <c r="E358" s="110" t="s">
        <v>49</v>
      </c>
      <c r="F358" s="89">
        <v>100061574</v>
      </c>
      <c r="G358" s="128" t="s">
        <v>438</v>
      </c>
      <c r="H358" s="94">
        <v>0</v>
      </c>
      <c r="I358" s="94">
        <v>0</v>
      </c>
      <c r="J358" s="94">
        <v>0</v>
      </c>
      <c r="K358" s="94">
        <v>0</v>
      </c>
      <c r="L358" s="94">
        <v>0</v>
      </c>
      <c r="M358" s="129">
        <v>0</v>
      </c>
      <c r="N358" s="102">
        <f t="shared" si="10"/>
        <v>0</v>
      </c>
      <c r="O358" s="97">
        <v>0</v>
      </c>
      <c r="P358" s="92">
        <v>0</v>
      </c>
      <c r="Q358" s="98">
        <f t="shared" si="11"/>
        <v>0</v>
      </c>
      <c r="R358" s="102" t="str">
        <f>+IF(Q358+N358&lt;=0, "NO COMPRADOR", +IF(Q358&lt;=0, "SIN COMPRA "&amp;+UPPER(TEXT('DINAMICA ENERO 26'!$C$2,"mmm 'yy")), "COMPRADOR"))</f>
        <v>NO COMPRADOR</v>
      </c>
      <c r="S358" s="100"/>
      <c r="X358" s="101"/>
      <c r="Y358" s="100"/>
    </row>
    <row r="359" spans="1:25" ht="14">
      <c r="A359" s="88" t="s">
        <v>85</v>
      </c>
      <c r="B359" s="89" t="s">
        <v>257</v>
      </c>
      <c r="C359" s="89" t="s">
        <v>43</v>
      </c>
      <c r="D359" s="110">
        <v>100089856</v>
      </c>
      <c r="E359" s="110" t="s">
        <v>49</v>
      </c>
      <c r="F359" s="89">
        <v>100005860</v>
      </c>
      <c r="G359" s="128" t="s">
        <v>439</v>
      </c>
      <c r="H359" s="94">
        <v>0</v>
      </c>
      <c r="I359" s="94">
        <v>0</v>
      </c>
      <c r="J359" s="94">
        <v>0</v>
      </c>
      <c r="K359" s="94">
        <v>0</v>
      </c>
      <c r="L359" s="94">
        <v>0</v>
      </c>
      <c r="M359" s="129">
        <v>0</v>
      </c>
      <c r="N359" s="102">
        <f t="shared" si="10"/>
        <v>0</v>
      </c>
      <c r="O359" s="97">
        <v>0</v>
      </c>
      <c r="P359" s="92">
        <v>0</v>
      </c>
      <c r="Q359" s="98">
        <f t="shared" si="11"/>
        <v>0</v>
      </c>
      <c r="R359" s="102" t="str">
        <f>+IF(Q359+N359&lt;=0, "NO COMPRADOR", +IF(Q359&lt;=0, "SIN COMPRA "&amp;+UPPER(TEXT('DINAMICA ENERO 26'!$C$2,"mmm 'yy")), "COMPRADOR"))</f>
        <v>NO COMPRADOR</v>
      </c>
      <c r="S359" s="100"/>
      <c r="X359" s="101"/>
      <c r="Y359" s="100"/>
    </row>
    <row r="360" spans="1:25" ht="14">
      <c r="A360" s="88" t="s">
        <v>85</v>
      </c>
      <c r="B360" s="89" t="s">
        <v>257</v>
      </c>
      <c r="C360" s="89" t="s">
        <v>43</v>
      </c>
      <c r="D360" s="103">
        <v>100067806</v>
      </c>
      <c r="E360" s="110" t="s">
        <v>50</v>
      </c>
      <c r="F360" s="89">
        <v>100086144</v>
      </c>
      <c r="G360" s="128" t="s">
        <v>440</v>
      </c>
      <c r="H360" s="94">
        <v>0</v>
      </c>
      <c r="I360" s="94">
        <v>0</v>
      </c>
      <c r="J360" s="94">
        <v>0</v>
      </c>
      <c r="K360" s="94">
        <v>0</v>
      </c>
      <c r="L360" s="94">
        <v>0</v>
      </c>
      <c r="M360" s="129">
        <v>0</v>
      </c>
      <c r="N360" s="102">
        <f t="shared" si="10"/>
        <v>0</v>
      </c>
      <c r="O360" s="97">
        <v>0</v>
      </c>
      <c r="P360" s="92">
        <v>0</v>
      </c>
      <c r="Q360" s="98">
        <f t="shared" si="11"/>
        <v>0</v>
      </c>
      <c r="R360" s="102" t="str">
        <f>+IF(Q360+N360&lt;=0, "NO COMPRADOR", +IF(Q360&lt;=0, "SIN COMPRA "&amp;+UPPER(TEXT('DINAMICA ENERO 26'!$C$2,"mmm 'yy")), "COMPRADOR"))</f>
        <v>NO COMPRADOR</v>
      </c>
      <c r="S360" s="100"/>
      <c r="X360" s="101"/>
      <c r="Y360" s="100"/>
    </row>
    <row r="361" spans="1:25" ht="14">
      <c r="A361" s="88" t="s">
        <v>85</v>
      </c>
      <c r="B361" s="89" t="s">
        <v>257</v>
      </c>
      <c r="C361" s="89" t="s">
        <v>43</v>
      </c>
      <c r="D361" s="110">
        <v>100067806</v>
      </c>
      <c r="E361" s="110" t="s">
        <v>50</v>
      </c>
      <c r="F361" s="89">
        <v>100001431</v>
      </c>
      <c r="G361" s="128" t="s">
        <v>441</v>
      </c>
      <c r="H361" s="94">
        <v>0</v>
      </c>
      <c r="I361" s="94">
        <v>0</v>
      </c>
      <c r="J361" s="94">
        <v>0</v>
      </c>
      <c r="K361" s="94">
        <v>0</v>
      </c>
      <c r="L361" s="94">
        <v>0</v>
      </c>
      <c r="M361" s="129">
        <v>0</v>
      </c>
      <c r="N361" s="102">
        <f t="shared" si="10"/>
        <v>0</v>
      </c>
      <c r="O361" s="97">
        <v>0</v>
      </c>
      <c r="P361" s="92">
        <v>0</v>
      </c>
      <c r="Q361" s="98">
        <f t="shared" si="11"/>
        <v>0</v>
      </c>
      <c r="R361" s="102" t="str">
        <f>+IF(Q361+N361&lt;=0, "NO COMPRADOR", +IF(Q361&lt;=0, "SIN COMPRA "&amp;+UPPER(TEXT('DINAMICA ENERO 26'!$C$2,"mmm 'yy")), "COMPRADOR"))</f>
        <v>NO COMPRADOR</v>
      </c>
      <c r="S361" s="100"/>
      <c r="X361" s="101"/>
      <c r="Y361" s="100"/>
    </row>
    <row r="362" spans="1:25" ht="14">
      <c r="A362" s="88" t="s">
        <v>85</v>
      </c>
      <c r="B362" s="89" t="s">
        <v>315</v>
      </c>
      <c r="C362" s="89" t="s">
        <v>43</v>
      </c>
      <c r="D362" s="110">
        <v>100063546</v>
      </c>
      <c r="E362" s="110" t="s">
        <v>46</v>
      </c>
      <c r="F362" s="89">
        <v>100083281</v>
      </c>
      <c r="G362" s="128" t="s">
        <v>442</v>
      </c>
      <c r="H362" s="94">
        <v>0</v>
      </c>
      <c r="I362" s="94">
        <v>0</v>
      </c>
      <c r="J362" s="94">
        <v>0</v>
      </c>
      <c r="K362" s="94">
        <v>0</v>
      </c>
      <c r="L362" s="94">
        <v>0</v>
      </c>
      <c r="M362" s="129">
        <v>0</v>
      </c>
      <c r="N362" s="102">
        <f t="shared" si="10"/>
        <v>0</v>
      </c>
      <c r="O362" s="97">
        <v>0</v>
      </c>
      <c r="P362" s="92">
        <v>0</v>
      </c>
      <c r="Q362" s="98">
        <f t="shared" si="11"/>
        <v>0</v>
      </c>
      <c r="R362" s="102" t="str">
        <f>+IF(Q362+N362&lt;=0, "NO COMPRADOR", +IF(Q362&lt;=0, "SIN COMPRA "&amp;+UPPER(TEXT('DINAMICA ENERO 26'!$C$2,"mmm 'yy")), "COMPRADOR"))</f>
        <v>NO COMPRADOR</v>
      </c>
      <c r="S362" s="100"/>
      <c r="X362" s="101"/>
      <c r="Y362" s="100"/>
    </row>
    <row r="363" spans="1:25" ht="14">
      <c r="A363" s="88" t="s">
        <v>85</v>
      </c>
      <c r="B363" s="89" t="s">
        <v>351</v>
      </c>
      <c r="C363" s="89" t="s">
        <v>43</v>
      </c>
      <c r="D363" s="110">
        <v>100070275</v>
      </c>
      <c r="E363" s="110" t="s">
        <v>47</v>
      </c>
      <c r="F363" s="89">
        <v>100086676</v>
      </c>
      <c r="G363" s="128" t="s">
        <v>443</v>
      </c>
      <c r="H363" s="94">
        <v>0</v>
      </c>
      <c r="I363" s="94">
        <v>0</v>
      </c>
      <c r="J363" s="94">
        <v>0</v>
      </c>
      <c r="K363" s="94">
        <v>0</v>
      </c>
      <c r="L363" s="94">
        <v>0</v>
      </c>
      <c r="M363" s="129">
        <v>0</v>
      </c>
      <c r="N363" s="102">
        <f t="shared" si="10"/>
        <v>0</v>
      </c>
      <c r="O363" s="97">
        <v>0</v>
      </c>
      <c r="P363" s="92">
        <v>0</v>
      </c>
      <c r="Q363" s="98">
        <f t="shared" si="11"/>
        <v>0</v>
      </c>
      <c r="R363" s="102" t="str">
        <f>+IF(Q363+N363&lt;=0, "NO COMPRADOR", +IF(Q363&lt;=0, "SIN COMPRA "&amp;+UPPER(TEXT('DINAMICA ENERO 26'!$C$2,"mmm 'yy")), "COMPRADOR"))</f>
        <v>NO COMPRADOR</v>
      </c>
      <c r="S363" s="100"/>
      <c r="X363" s="101"/>
      <c r="Y363" s="100"/>
    </row>
    <row r="364" spans="1:25" ht="14">
      <c r="A364" s="88" t="s">
        <v>85</v>
      </c>
      <c r="B364" s="89" t="s">
        <v>351</v>
      </c>
      <c r="C364" s="89" t="s">
        <v>43</v>
      </c>
      <c r="D364" s="110">
        <v>100070275</v>
      </c>
      <c r="E364" s="110" t="s">
        <v>47</v>
      </c>
      <c r="F364" s="89">
        <v>100001521</v>
      </c>
      <c r="G364" s="128" t="s">
        <v>444</v>
      </c>
      <c r="H364" s="94">
        <v>0</v>
      </c>
      <c r="I364" s="94">
        <v>0</v>
      </c>
      <c r="J364" s="94">
        <v>0</v>
      </c>
      <c r="K364" s="94">
        <v>0</v>
      </c>
      <c r="L364" s="94">
        <v>0</v>
      </c>
      <c r="M364" s="129">
        <v>0</v>
      </c>
      <c r="N364" s="102">
        <f t="shared" si="10"/>
        <v>0</v>
      </c>
      <c r="O364" s="97">
        <v>0</v>
      </c>
      <c r="P364" s="92">
        <v>0</v>
      </c>
      <c r="Q364" s="98">
        <f t="shared" si="11"/>
        <v>0</v>
      </c>
      <c r="R364" s="102" t="str">
        <f>+IF(Q364+N364&lt;=0, "NO COMPRADOR", +IF(Q364&lt;=0, "SIN COMPRA "&amp;+UPPER(TEXT('DINAMICA ENERO 26'!$C$2,"mmm 'yy")), "COMPRADOR"))</f>
        <v>NO COMPRADOR</v>
      </c>
      <c r="S364" s="100"/>
      <c r="X364" s="101"/>
      <c r="Y364" s="100"/>
    </row>
    <row r="365" spans="1:25" ht="14">
      <c r="A365" s="88" t="s">
        <v>85</v>
      </c>
      <c r="B365" s="89" t="s">
        <v>351</v>
      </c>
      <c r="C365" s="89" t="s">
        <v>43</v>
      </c>
      <c r="D365" s="110">
        <v>100070276</v>
      </c>
      <c r="E365" s="110" t="s">
        <v>47</v>
      </c>
      <c r="F365" s="89">
        <v>100088142</v>
      </c>
      <c r="G365" s="128" t="s">
        <v>445</v>
      </c>
      <c r="H365" s="94">
        <v>0</v>
      </c>
      <c r="I365" s="94">
        <v>0</v>
      </c>
      <c r="J365" s="94">
        <v>0</v>
      </c>
      <c r="K365" s="94">
        <v>0</v>
      </c>
      <c r="L365" s="94">
        <v>0</v>
      </c>
      <c r="M365" s="129">
        <v>0</v>
      </c>
      <c r="N365" s="102">
        <f t="shared" si="10"/>
        <v>0</v>
      </c>
      <c r="O365" s="97">
        <v>0</v>
      </c>
      <c r="P365" s="92">
        <v>0</v>
      </c>
      <c r="Q365" s="98">
        <f t="shared" si="11"/>
        <v>0</v>
      </c>
      <c r="R365" s="102" t="str">
        <f>+IF(Q365+N365&lt;=0, "NO COMPRADOR", +IF(Q365&lt;=0, "SIN COMPRA "&amp;+UPPER(TEXT('DINAMICA ENERO 26'!$C$2,"mmm 'yy")), "COMPRADOR"))</f>
        <v>NO COMPRADOR</v>
      </c>
      <c r="S365" s="100"/>
      <c r="X365" s="101"/>
      <c r="Y365" s="100"/>
    </row>
    <row r="366" spans="1:25" ht="14">
      <c r="A366" s="88" t="s">
        <v>85</v>
      </c>
      <c r="B366" s="89" t="s">
        <v>351</v>
      </c>
      <c r="C366" s="89" t="s">
        <v>43</v>
      </c>
      <c r="D366" s="110">
        <v>100075073</v>
      </c>
      <c r="E366" s="110" t="s">
        <v>48</v>
      </c>
      <c r="F366" s="89">
        <v>100001336</v>
      </c>
      <c r="G366" s="128" t="s">
        <v>446</v>
      </c>
      <c r="H366" s="94">
        <v>0</v>
      </c>
      <c r="I366" s="94">
        <v>0</v>
      </c>
      <c r="J366" s="94">
        <v>0</v>
      </c>
      <c r="K366" s="94">
        <v>0</v>
      </c>
      <c r="L366" s="94">
        <v>0</v>
      </c>
      <c r="M366" s="129">
        <v>0</v>
      </c>
      <c r="N366" s="102">
        <f t="shared" si="10"/>
        <v>0</v>
      </c>
      <c r="O366" s="97">
        <v>0</v>
      </c>
      <c r="P366" s="92">
        <v>0</v>
      </c>
      <c r="Q366" s="98">
        <f t="shared" si="11"/>
        <v>0</v>
      </c>
      <c r="R366" s="102" t="str">
        <f>+IF(Q366+N366&lt;=0, "NO COMPRADOR", +IF(Q366&lt;=0, "SIN COMPRA "&amp;+UPPER(TEXT('DINAMICA ENERO 26'!$C$2,"mmm 'yy")), "COMPRADOR"))</f>
        <v>NO COMPRADOR</v>
      </c>
      <c r="S366" s="100"/>
      <c r="X366" s="101"/>
      <c r="Y366" s="100"/>
    </row>
  </sheetData>
  <autoFilter ref="A2:Y366" xr:uid="{00000000-0009-0000-0000-000003000000}"/>
  <conditionalFormatting sqref="N3:N366 Q3:Q366">
    <cfRule type="cellIs" dxfId="4" priority="1" operator="lessThanOr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3DBE6-40D5-4A1E-B8E3-85FFFF9DB05B}">
  <sheetPr filterMode="1">
    <tabColor theme="8"/>
  </sheetPr>
  <dimension ref="A1:AQ366"/>
  <sheetViews>
    <sheetView showGridLines="0" topLeftCell="A201" zoomScale="70" zoomScaleNormal="70" workbookViewId="0">
      <selection activeCell="J12" sqref="J12"/>
    </sheetView>
  </sheetViews>
  <sheetFormatPr baseColWidth="10" defaultColWidth="10.90625" defaultRowHeight="14.5"/>
  <cols>
    <col min="1" max="1" width="10.90625" style="73"/>
    <col min="2" max="2" width="14" style="73" bestFit="1" customWidth="1"/>
    <col min="3" max="3" width="26.7265625" style="73" bestFit="1" customWidth="1"/>
    <col min="4" max="4" width="17.90625" style="133" customWidth="1"/>
    <col min="5" max="5" width="31.90625" style="73" bestFit="1" customWidth="1"/>
    <col min="6" max="6" width="21.90625" style="73" customWidth="1"/>
    <col min="7" max="7" width="49.453125" style="156" customWidth="1"/>
    <col min="8" max="9" width="10.453125" hidden="1" customWidth="1"/>
    <col min="10" max="16" width="10.36328125" hidden="1" customWidth="1"/>
    <col min="17" max="17" width="11.6328125" hidden="1" customWidth="1"/>
    <col min="18" max="18" width="10.36328125" hidden="1" customWidth="1"/>
    <col min="19" max="28" width="10.08984375" customWidth="1"/>
    <col min="29" max="29" width="2.453125" customWidth="1"/>
    <col min="30" max="30" width="9.453125" style="73" customWidth="1"/>
    <col min="31" max="31" width="10.90625" style="73" customWidth="1"/>
    <col min="32" max="32" width="9.6328125" style="73" customWidth="1"/>
    <col min="33" max="33" width="10.36328125" style="73" customWidth="1"/>
    <col min="34" max="36" width="9.6328125" style="73" customWidth="1"/>
    <col min="37" max="37" width="15.08984375" style="73" bestFit="1" customWidth="1"/>
    <col min="38" max="39" width="0" style="73" hidden="1" customWidth="1"/>
    <col min="40" max="42" width="10.90625" style="73"/>
    <col min="43" max="43" width="17.26953125" style="73" bestFit="1" customWidth="1"/>
    <col min="44" max="16384" width="10.90625" style="73"/>
  </cols>
  <sheetData>
    <row r="1" spans="1:42" ht="19" thickBot="1">
      <c r="A1" s="138" t="s">
        <v>450</v>
      </c>
      <c r="B1" s="138"/>
      <c r="C1" s="138"/>
      <c r="D1" s="138"/>
      <c r="E1" s="138"/>
      <c r="F1" s="138"/>
      <c r="G1" s="138"/>
      <c r="S1" s="139" t="s">
        <v>451</v>
      </c>
      <c r="T1" s="140"/>
      <c r="U1" s="139" t="s">
        <v>452</v>
      </c>
      <c r="V1" s="140"/>
      <c r="W1" s="139" t="s">
        <v>453</v>
      </c>
      <c r="X1" s="140"/>
      <c r="Y1" s="139" t="s">
        <v>454</v>
      </c>
      <c r="Z1" s="140"/>
      <c r="AA1" s="141" t="s">
        <v>455</v>
      </c>
      <c r="AB1" s="142"/>
      <c r="AD1" s="143" t="s">
        <v>456</v>
      </c>
      <c r="AE1" s="144"/>
      <c r="AF1" s="144"/>
      <c r="AG1" s="144" t="s">
        <v>457</v>
      </c>
      <c r="AH1" s="144"/>
      <c r="AI1" s="144"/>
      <c r="AJ1" s="145"/>
      <c r="AK1" s="146"/>
      <c r="AL1" s="135">
        <v>100522277</v>
      </c>
      <c r="AM1" s="135">
        <v>100522333</v>
      </c>
      <c r="AN1" s="135"/>
      <c r="AO1" s="135"/>
    </row>
    <row r="2" spans="1:42" s="127" customFormat="1" ht="39.5" thickBot="1">
      <c r="A2" s="74" t="s">
        <v>73</v>
      </c>
      <c r="B2" s="75" t="s">
        <v>74</v>
      </c>
      <c r="C2" s="75" t="s">
        <v>8</v>
      </c>
      <c r="D2" s="75" t="s">
        <v>75</v>
      </c>
      <c r="E2" s="75" t="s">
        <v>9</v>
      </c>
      <c r="F2" s="75" t="s">
        <v>76</v>
      </c>
      <c r="G2" s="77" t="s">
        <v>10</v>
      </c>
      <c r="H2"/>
      <c r="I2"/>
      <c r="J2"/>
      <c r="K2"/>
      <c r="L2"/>
      <c r="M2"/>
      <c r="N2"/>
      <c r="O2"/>
      <c r="P2"/>
      <c r="Q2"/>
      <c r="R2"/>
      <c r="S2" s="147" t="s">
        <v>456</v>
      </c>
      <c r="T2" s="148" t="s">
        <v>457</v>
      </c>
      <c r="U2" s="147" t="s">
        <v>456</v>
      </c>
      <c r="V2" s="149" t="s">
        <v>457</v>
      </c>
      <c r="W2" s="147" t="s">
        <v>456</v>
      </c>
      <c r="X2" s="149" t="s">
        <v>457</v>
      </c>
      <c r="Y2" s="147" t="s">
        <v>456</v>
      </c>
      <c r="Z2" s="149" t="s">
        <v>457</v>
      </c>
      <c r="AA2" s="147" t="s">
        <v>456</v>
      </c>
      <c r="AB2" s="149" t="s">
        <v>457</v>
      </c>
      <c r="AC2"/>
      <c r="AD2" s="83" t="str">
        <f>+UPPER(TEXT('DINAMICA ENERO 26'!$C$2,"mmm 'yy"))&amp;" FACT"</f>
        <v>FEB '26 FACT</v>
      </c>
      <c r="AE2" s="84" t="str">
        <f>+UPPER(TEXT('DINAMICA ENERO 26'!$C$2,"mmm 'yy"))&amp;" PEND."</f>
        <v>FEB '26 PEND.</v>
      </c>
      <c r="AF2" s="85" t="str">
        <f>+UPPER(TEXT('DINAMICA ENERO 26'!$C$2,"mmm 'yy"))&amp;" TOTAL"</f>
        <v>FEB '26 TOTAL</v>
      </c>
      <c r="AG2" s="83" t="str">
        <f>+UPPER(TEXT('DINAMICA ENERO 26'!$C$2,"mmm 'yy"))&amp;" FACT"</f>
        <v>FEB '26 FACT</v>
      </c>
      <c r="AH2" s="84" t="str">
        <f>+UPPER(TEXT('DINAMICA ENERO 26'!$C$2,"mmm 'yy"))&amp;" PEND."</f>
        <v>FEB '26 PEND.</v>
      </c>
      <c r="AI2" s="85" t="str">
        <f>+UPPER(TEXT('DINAMICA ENERO 26'!$C$2,"mmm 'yy"))&amp;" TOTAL"</f>
        <v>FEB '26 TOTAL</v>
      </c>
      <c r="AJ2" s="150" t="s">
        <v>458</v>
      </c>
      <c r="AK2" s="151" t="s">
        <v>84</v>
      </c>
    </row>
    <row r="3" spans="1:42" s="100" customFormat="1" hidden="1">
      <c r="A3" s="88" t="s">
        <v>85</v>
      </c>
      <c r="B3" s="89" t="s">
        <v>86</v>
      </c>
      <c r="C3" s="89" t="s">
        <v>60</v>
      </c>
      <c r="D3" s="89">
        <v>100077477</v>
      </c>
      <c r="E3" s="89" t="s">
        <v>65</v>
      </c>
      <c r="F3" s="89">
        <v>100086577</v>
      </c>
      <c r="G3" s="128" t="s">
        <v>87</v>
      </c>
      <c r="H3"/>
      <c r="I3"/>
      <c r="J3"/>
      <c r="K3"/>
      <c r="L3"/>
      <c r="M3"/>
      <c r="N3"/>
      <c r="O3"/>
      <c r="P3"/>
      <c r="Q3"/>
      <c r="R3"/>
      <c r="S3" s="152">
        <v>86.4</v>
      </c>
      <c r="T3" s="136">
        <v>86.4</v>
      </c>
      <c r="U3" s="152">
        <v>86.4</v>
      </c>
      <c r="V3" s="137">
        <v>86.4</v>
      </c>
      <c r="W3" s="152">
        <v>86.4</v>
      </c>
      <c r="X3" s="137">
        <v>86.4</v>
      </c>
      <c r="Y3" s="152">
        <v>0</v>
      </c>
      <c r="Z3" s="137">
        <v>0</v>
      </c>
      <c r="AA3" s="153">
        <f t="shared" ref="AA3:AB18" si="0">+AVERAGE(U3,W3,Y3)</f>
        <v>57.6</v>
      </c>
      <c r="AB3" s="132">
        <f t="shared" si="0"/>
        <v>57.6</v>
      </c>
      <c r="AC3"/>
      <c r="AD3" s="130">
        <v>0</v>
      </c>
      <c r="AE3" s="131">
        <v>0</v>
      </c>
      <c r="AF3" s="132">
        <f>+AD3+AE3</f>
        <v>0</v>
      </c>
      <c r="AG3" s="130">
        <v>0</v>
      </c>
      <c r="AH3" s="131">
        <v>0</v>
      </c>
      <c r="AI3" s="132">
        <f>+AG3+AH3</f>
        <v>0</v>
      </c>
      <c r="AJ3" s="154">
        <f t="shared" ref="AJ3:AJ66" si="1">+AF3+AI3</f>
        <v>0</v>
      </c>
      <c r="AK3" s="96" t="str">
        <f>+IF(AB3+AA3+AJ3&lt;=0, "NO COMPRADOR", +IF(AJ3&lt;=0, "SIN COMPRA "&amp;+UPPER(TEXT('DINAMICA ENERO 26'!$C$2,"mmm 'yy")), "COMPRADOR"))</f>
        <v>SIN COMPRA FEB '26</v>
      </c>
      <c r="AM3" s="101"/>
    </row>
    <row r="4" spans="1:42" s="100" customFormat="1" hidden="1">
      <c r="A4" s="88" t="s">
        <v>85</v>
      </c>
      <c r="B4" s="89" t="s">
        <v>86</v>
      </c>
      <c r="C4" s="89" t="s">
        <v>60</v>
      </c>
      <c r="D4" s="89">
        <v>100077477</v>
      </c>
      <c r="E4" s="89" t="s">
        <v>65</v>
      </c>
      <c r="F4" s="89">
        <v>100065731</v>
      </c>
      <c r="G4" s="128" t="s">
        <v>88</v>
      </c>
      <c r="H4"/>
      <c r="I4"/>
      <c r="J4"/>
      <c r="K4"/>
      <c r="L4"/>
      <c r="M4"/>
      <c r="N4"/>
      <c r="O4"/>
      <c r="P4"/>
      <c r="Q4"/>
      <c r="R4"/>
      <c r="S4" s="91">
        <v>0</v>
      </c>
      <c r="T4" s="94">
        <v>0</v>
      </c>
      <c r="U4" s="91">
        <v>0</v>
      </c>
      <c r="V4" s="129">
        <v>0</v>
      </c>
      <c r="W4" s="91">
        <v>0</v>
      </c>
      <c r="X4" s="129">
        <v>0</v>
      </c>
      <c r="Y4" s="91">
        <v>0</v>
      </c>
      <c r="Z4" s="129">
        <v>0</v>
      </c>
      <c r="AA4" s="155">
        <f t="shared" si="0"/>
        <v>0</v>
      </c>
      <c r="AB4" s="98">
        <f t="shared" si="0"/>
        <v>0</v>
      </c>
      <c r="AC4"/>
      <c r="AD4" s="97">
        <v>0</v>
      </c>
      <c r="AE4" s="92">
        <v>0</v>
      </c>
      <c r="AF4" s="98">
        <f t="shared" ref="AF4:AF67" si="2">+AD4+AE4</f>
        <v>0</v>
      </c>
      <c r="AG4" s="97">
        <v>0</v>
      </c>
      <c r="AH4" s="92">
        <v>0</v>
      </c>
      <c r="AI4" s="98">
        <f t="shared" ref="AI4:AI67" si="3">+AG4+AH4</f>
        <v>0</v>
      </c>
      <c r="AJ4" s="99">
        <f t="shared" si="1"/>
        <v>0</v>
      </c>
      <c r="AK4" s="102" t="str">
        <f>+IF(AB4+AA4+AJ4&lt;=0, "NO COMPRADOR", +IF(AJ4&lt;=0, "SIN COMPRA "&amp;+UPPER(TEXT('DINAMICA ENERO 26'!$C$2,"mmm 'yy")), "COMPRADOR"))</f>
        <v>NO COMPRADOR</v>
      </c>
      <c r="AM4" s="101"/>
    </row>
    <row r="5" spans="1:42" s="104" customFormat="1" hidden="1">
      <c r="A5" s="88" t="s">
        <v>85</v>
      </c>
      <c r="B5" s="89" t="s">
        <v>86</v>
      </c>
      <c r="C5" s="89" t="s">
        <v>60</v>
      </c>
      <c r="D5" s="89">
        <v>100077477</v>
      </c>
      <c r="E5" s="89" t="s">
        <v>65</v>
      </c>
      <c r="F5" s="89">
        <v>100010095</v>
      </c>
      <c r="G5" s="128" t="s">
        <v>89</v>
      </c>
      <c r="H5"/>
      <c r="I5"/>
      <c r="J5"/>
      <c r="K5"/>
      <c r="L5"/>
      <c r="M5"/>
      <c r="N5"/>
      <c r="O5"/>
      <c r="P5"/>
      <c r="Q5"/>
      <c r="R5"/>
      <c r="S5" s="91">
        <v>0</v>
      </c>
      <c r="T5" s="94">
        <v>0</v>
      </c>
      <c r="U5" s="91">
        <v>0</v>
      </c>
      <c r="V5" s="129">
        <v>0</v>
      </c>
      <c r="W5" s="91">
        <v>2.16</v>
      </c>
      <c r="X5" s="129">
        <v>2.16</v>
      </c>
      <c r="Y5" s="91">
        <v>0</v>
      </c>
      <c r="Z5" s="129">
        <v>0</v>
      </c>
      <c r="AA5" s="155">
        <f t="shared" si="0"/>
        <v>0.72000000000000008</v>
      </c>
      <c r="AB5" s="98">
        <f t="shared" si="0"/>
        <v>0.72000000000000008</v>
      </c>
      <c r="AC5"/>
      <c r="AD5" s="97">
        <v>0</v>
      </c>
      <c r="AE5" s="92">
        <v>0</v>
      </c>
      <c r="AF5" s="98">
        <f t="shared" si="2"/>
        <v>0</v>
      </c>
      <c r="AG5" s="97">
        <v>0</v>
      </c>
      <c r="AH5" s="92">
        <v>0</v>
      </c>
      <c r="AI5" s="98">
        <f t="shared" si="3"/>
        <v>0</v>
      </c>
      <c r="AJ5" s="99">
        <f t="shared" si="1"/>
        <v>0</v>
      </c>
      <c r="AK5" s="102" t="str">
        <f>+IF(AB5+AA5+AJ5&lt;=0, "NO COMPRADOR", +IF(AJ5&lt;=0, "SIN COMPRA "&amp;+UPPER(TEXT('DINAMICA ENERO 26'!$C$2,"mmm 'yy")), "COMPRADOR"))</f>
        <v>SIN COMPRA FEB '26</v>
      </c>
      <c r="AL5" s="100"/>
      <c r="AM5" s="101"/>
      <c r="AN5" s="100"/>
      <c r="AO5" s="100"/>
      <c r="AP5" s="100"/>
    </row>
    <row r="6" spans="1:42" s="100" customFormat="1" hidden="1">
      <c r="A6" s="88" t="s">
        <v>85</v>
      </c>
      <c r="B6" s="89" t="s">
        <v>86</v>
      </c>
      <c r="C6" s="89" t="s">
        <v>60</v>
      </c>
      <c r="D6" s="89">
        <v>100077477</v>
      </c>
      <c r="E6" s="89" t="s">
        <v>65</v>
      </c>
      <c r="F6" s="89">
        <v>100079173</v>
      </c>
      <c r="G6" s="128" t="s">
        <v>90</v>
      </c>
      <c r="H6"/>
      <c r="I6"/>
      <c r="J6"/>
      <c r="K6"/>
      <c r="L6"/>
      <c r="M6"/>
      <c r="N6"/>
      <c r="O6"/>
      <c r="P6"/>
      <c r="Q6"/>
      <c r="R6"/>
      <c r="S6" s="91">
        <v>43.2</v>
      </c>
      <c r="T6" s="94">
        <v>43.2</v>
      </c>
      <c r="U6" s="91">
        <v>116.64000000000001</v>
      </c>
      <c r="V6" s="129">
        <v>116.64000000000001</v>
      </c>
      <c r="W6" s="91">
        <v>99.360000000000014</v>
      </c>
      <c r="X6" s="129">
        <v>54.000000000000007</v>
      </c>
      <c r="Y6" s="91">
        <v>0</v>
      </c>
      <c r="Z6" s="129">
        <v>43.2</v>
      </c>
      <c r="AA6" s="155">
        <f t="shared" si="0"/>
        <v>72.000000000000014</v>
      </c>
      <c r="AB6" s="98">
        <f t="shared" si="0"/>
        <v>71.280000000000015</v>
      </c>
      <c r="AC6"/>
      <c r="AD6" s="97">
        <v>0</v>
      </c>
      <c r="AE6" s="92">
        <v>10.8</v>
      </c>
      <c r="AF6" s="98">
        <f t="shared" si="2"/>
        <v>10.8</v>
      </c>
      <c r="AG6" s="97">
        <v>64.800000000000011</v>
      </c>
      <c r="AH6" s="92">
        <v>0</v>
      </c>
      <c r="AI6" s="98">
        <f t="shared" si="3"/>
        <v>64.800000000000011</v>
      </c>
      <c r="AJ6" s="99">
        <f t="shared" si="1"/>
        <v>75.600000000000009</v>
      </c>
      <c r="AK6" s="102" t="str">
        <f>+IF(AB6+AA6+AJ6&lt;=0, "NO COMPRADOR", +IF(AJ6&lt;=0, "SIN COMPRA "&amp;+UPPER(TEXT('DINAMICA ENERO 26'!$C$2,"mmm 'yy")), "COMPRADOR"))</f>
        <v>COMPRADOR</v>
      </c>
      <c r="AM6" s="101"/>
    </row>
    <row r="7" spans="1:42" s="100" customFormat="1" hidden="1">
      <c r="A7" s="88" t="s">
        <v>85</v>
      </c>
      <c r="B7" s="89" t="s">
        <v>86</v>
      </c>
      <c r="C7" s="89" t="s">
        <v>60</v>
      </c>
      <c r="D7" s="89">
        <v>100077477</v>
      </c>
      <c r="E7" s="89" t="s">
        <v>65</v>
      </c>
      <c r="F7" s="89">
        <v>100079594</v>
      </c>
      <c r="G7" s="128" t="s">
        <v>91</v>
      </c>
      <c r="H7"/>
      <c r="I7"/>
      <c r="J7"/>
      <c r="K7"/>
      <c r="L7"/>
      <c r="M7"/>
      <c r="N7"/>
      <c r="O7"/>
      <c r="P7"/>
      <c r="Q7"/>
      <c r="R7"/>
      <c r="S7" s="91">
        <v>388.8</v>
      </c>
      <c r="T7" s="94">
        <v>388.8</v>
      </c>
      <c r="U7" s="91">
        <v>216</v>
      </c>
      <c r="V7" s="129">
        <v>216</v>
      </c>
      <c r="W7" s="91">
        <v>0</v>
      </c>
      <c r="X7" s="129">
        <v>0</v>
      </c>
      <c r="Y7" s="91">
        <v>0</v>
      </c>
      <c r="Z7" s="129">
        <v>0</v>
      </c>
      <c r="AA7" s="155">
        <f t="shared" si="0"/>
        <v>72</v>
      </c>
      <c r="AB7" s="98">
        <f t="shared" si="0"/>
        <v>72</v>
      </c>
      <c r="AC7"/>
      <c r="AD7" s="97">
        <v>0</v>
      </c>
      <c r="AE7" s="92">
        <v>0</v>
      </c>
      <c r="AF7" s="98">
        <f t="shared" si="2"/>
        <v>0</v>
      </c>
      <c r="AG7" s="97">
        <v>0</v>
      </c>
      <c r="AH7" s="92">
        <v>0</v>
      </c>
      <c r="AI7" s="98">
        <f t="shared" si="3"/>
        <v>0</v>
      </c>
      <c r="AJ7" s="99">
        <f t="shared" si="1"/>
        <v>0</v>
      </c>
      <c r="AK7" s="102" t="str">
        <f>+IF(AB7+AA7+AJ7&lt;=0, "NO COMPRADOR", +IF(AJ7&lt;=0, "SIN COMPRA "&amp;+UPPER(TEXT('DINAMICA ENERO 26'!$C$2,"mmm 'yy")), "COMPRADOR"))</f>
        <v>SIN COMPRA FEB '26</v>
      </c>
      <c r="AM7" s="101"/>
    </row>
    <row r="8" spans="1:42" s="100" customFormat="1" hidden="1">
      <c r="A8" s="88" t="s">
        <v>85</v>
      </c>
      <c r="B8" s="89" t="s">
        <v>86</v>
      </c>
      <c r="C8" s="89" t="s">
        <v>60</v>
      </c>
      <c r="D8" s="89">
        <v>100077477</v>
      </c>
      <c r="E8" s="89" t="s">
        <v>65</v>
      </c>
      <c r="F8" s="89">
        <v>100078788</v>
      </c>
      <c r="G8" s="128" t="s">
        <v>92</v>
      </c>
      <c r="H8"/>
      <c r="I8"/>
      <c r="J8"/>
      <c r="K8"/>
      <c r="L8"/>
      <c r="M8"/>
      <c r="N8"/>
      <c r="O8"/>
      <c r="P8"/>
      <c r="Q8"/>
      <c r="R8"/>
      <c r="S8" s="91">
        <v>108</v>
      </c>
      <c r="T8" s="94">
        <v>108</v>
      </c>
      <c r="U8" s="91">
        <v>367.20000000000005</v>
      </c>
      <c r="V8" s="129">
        <v>367.20000000000005</v>
      </c>
      <c r="W8" s="91">
        <v>302.40000000000003</v>
      </c>
      <c r="X8" s="129">
        <v>302.40000000000003</v>
      </c>
      <c r="Y8" s="91">
        <v>118.80000000000001</v>
      </c>
      <c r="Z8" s="129">
        <v>118.80000000000001</v>
      </c>
      <c r="AA8" s="155">
        <f t="shared" si="0"/>
        <v>262.8</v>
      </c>
      <c r="AB8" s="98">
        <f t="shared" si="0"/>
        <v>262.8</v>
      </c>
      <c r="AC8"/>
      <c r="AD8" s="97">
        <v>43.2</v>
      </c>
      <c r="AE8" s="92">
        <v>0</v>
      </c>
      <c r="AF8" s="98">
        <f t="shared" si="2"/>
        <v>43.2</v>
      </c>
      <c r="AG8" s="97">
        <v>86.4</v>
      </c>
      <c r="AH8" s="92">
        <v>0</v>
      </c>
      <c r="AI8" s="98">
        <f t="shared" si="3"/>
        <v>86.4</v>
      </c>
      <c r="AJ8" s="99">
        <f t="shared" si="1"/>
        <v>129.60000000000002</v>
      </c>
      <c r="AK8" s="102" t="str">
        <f>+IF(AB8+AA8+AJ8&lt;=0, "NO COMPRADOR", +IF(AJ8&lt;=0, "SIN COMPRA "&amp;+UPPER(TEXT('DINAMICA ENERO 26'!$C$2,"mmm 'yy")), "COMPRADOR"))</f>
        <v>COMPRADOR</v>
      </c>
      <c r="AM8" s="101"/>
    </row>
    <row r="9" spans="1:42" s="100" customFormat="1" hidden="1">
      <c r="A9" s="88" t="s">
        <v>85</v>
      </c>
      <c r="B9" s="89" t="s">
        <v>86</v>
      </c>
      <c r="C9" s="89" t="s">
        <v>60</v>
      </c>
      <c r="D9" s="89">
        <v>100077477</v>
      </c>
      <c r="E9" s="89" t="s">
        <v>65</v>
      </c>
      <c r="F9" s="89">
        <v>100084185</v>
      </c>
      <c r="G9" s="128" t="s">
        <v>93</v>
      </c>
      <c r="H9"/>
      <c r="I9"/>
      <c r="J9"/>
      <c r="K9"/>
      <c r="L9"/>
      <c r="M9"/>
      <c r="N9"/>
      <c r="O9"/>
      <c r="P9"/>
      <c r="Q9"/>
      <c r="R9"/>
      <c r="S9" s="91">
        <v>0</v>
      </c>
      <c r="T9" s="94">
        <v>0</v>
      </c>
      <c r="U9" s="91">
        <v>0</v>
      </c>
      <c r="V9" s="129">
        <v>0</v>
      </c>
      <c r="W9" s="91">
        <v>21.6</v>
      </c>
      <c r="X9" s="129">
        <v>21.6</v>
      </c>
      <c r="Y9" s="91">
        <v>32.400000000000006</v>
      </c>
      <c r="Z9" s="129">
        <v>32.400000000000006</v>
      </c>
      <c r="AA9" s="155">
        <f t="shared" si="0"/>
        <v>18.000000000000004</v>
      </c>
      <c r="AB9" s="98">
        <f t="shared" si="0"/>
        <v>18.000000000000004</v>
      </c>
      <c r="AC9"/>
      <c r="AD9" s="97">
        <v>10.8</v>
      </c>
      <c r="AE9" s="92">
        <v>0</v>
      </c>
      <c r="AF9" s="98">
        <f t="shared" si="2"/>
        <v>10.8</v>
      </c>
      <c r="AG9" s="97">
        <v>10.8</v>
      </c>
      <c r="AH9" s="92">
        <v>0</v>
      </c>
      <c r="AI9" s="98">
        <f t="shared" si="3"/>
        <v>10.8</v>
      </c>
      <c r="AJ9" s="99">
        <f t="shared" si="1"/>
        <v>21.6</v>
      </c>
      <c r="AK9" s="102" t="str">
        <f>+IF(AB9+AA9+AJ9&lt;=0, "NO COMPRADOR", +IF(AJ9&lt;=0, "SIN COMPRA "&amp;+UPPER(TEXT('DINAMICA ENERO 26'!$C$2,"mmm 'yy")), "COMPRADOR"))</f>
        <v>COMPRADOR</v>
      </c>
      <c r="AM9" s="101"/>
    </row>
    <row r="10" spans="1:42" s="104" customFormat="1" hidden="1">
      <c r="A10" s="88" t="s">
        <v>85</v>
      </c>
      <c r="B10" s="89" t="s">
        <v>86</v>
      </c>
      <c r="C10" s="89" t="s">
        <v>60</v>
      </c>
      <c r="D10" s="89">
        <v>100077477</v>
      </c>
      <c r="E10" s="89" t="s">
        <v>65</v>
      </c>
      <c r="F10" s="89">
        <v>100087922</v>
      </c>
      <c r="G10" s="128" t="s">
        <v>94</v>
      </c>
      <c r="H10"/>
      <c r="I10"/>
      <c r="J10"/>
      <c r="K10"/>
      <c r="L10"/>
      <c r="M10"/>
      <c r="N10"/>
      <c r="O10"/>
      <c r="P10"/>
      <c r="Q10"/>
      <c r="R10"/>
      <c r="S10" s="91">
        <v>0</v>
      </c>
      <c r="T10" s="94">
        <v>0</v>
      </c>
      <c r="U10" s="91">
        <v>0</v>
      </c>
      <c r="V10" s="129">
        <v>0</v>
      </c>
      <c r="W10" s="91">
        <v>0</v>
      </c>
      <c r="X10" s="129">
        <v>0</v>
      </c>
      <c r="Y10" s="91">
        <v>0</v>
      </c>
      <c r="Z10" s="129">
        <v>0</v>
      </c>
      <c r="AA10" s="155">
        <f t="shared" si="0"/>
        <v>0</v>
      </c>
      <c r="AB10" s="98">
        <f t="shared" si="0"/>
        <v>0</v>
      </c>
      <c r="AC10"/>
      <c r="AD10" s="97">
        <v>0</v>
      </c>
      <c r="AE10" s="92">
        <v>0</v>
      </c>
      <c r="AF10" s="98">
        <f t="shared" si="2"/>
        <v>0</v>
      </c>
      <c r="AG10" s="97">
        <v>0</v>
      </c>
      <c r="AH10" s="92">
        <v>0</v>
      </c>
      <c r="AI10" s="98">
        <f t="shared" si="3"/>
        <v>0</v>
      </c>
      <c r="AJ10" s="99">
        <f t="shared" si="1"/>
        <v>0</v>
      </c>
      <c r="AK10" s="102" t="str">
        <f>+IF(AB10+AA10+AJ10&lt;=0, "NO COMPRADOR", +IF(AJ10&lt;=0, "SIN COMPRA "&amp;+UPPER(TEXT('DINAMICA ENERO 26'!$C$2,"mmm 'yy")), "COMPRADOR"))</f>
        <v>NO COMPRADOR</v>
      </c>
      <c r="AL10" s="100"/>
      <c r="AM10" s="101"/>
      <c r="AN10" s="100"/>
      <c r="AO10" s="100"/>
      <c r="AP10" s="100"/>
    </row>
    <row r="11" spans="1:42" s="100" customFormat="1" hidden="1">
      <c r="A11" s="88" t="s">
        <v>85</v>
      </c>
      <c r="B11" s="89" t="s">
        <v>86</v>
      </c>
      <c r="C11" s="89" t="s">
        <v>60</v>
      </c>
      <c r="D11" s="89">
        <v>100077477</v>
      </c>
      <c r="E11" s="89" t="s">
        <v>65</v>
      </c>
      <c r="F11" s="89">
        <v>100071741</v>
      </c>
      <c r="G11" s="128" t="s">
        <v>95</v>
      </c>
      <c r="H11"/>
      <c r="I11"/>
      <c r="J11"/>
      <c r="K11"/>
      <c r="L11"/>
      <c r="M11"/>
      <c r="N11"/>
      <c r="O11"/>
      <c r="P11"/>
      <c r="Q11"/>
      <c r="R11"/>
      <c r="S11" s="91">
        <v>0</v>
      </c>
      <c r="T11" s="94">
        <v>0</v>
      </c>
      <c r="U11" s="91">
        <v>2.16</v>
      </c>
      <c r="V11" s="129">
        <v>2.16</v>
      </c>
      <c r="W11" s="91">
        <v>2.16</v>
      </c>
      <c r="X11" s="129">
        <v>2.16</v>
      </c>
      <c r="Y11" s="91">
        <v>0</v>
      </c>
      <c r="Z11" s="129">
        <v>2.16</v>
      </c>
      <c r="AA11" s="155">
        <f t="shared" si="0"/>
        <v>1.4400000000000002</v>
      </c>
      <c r="AB11" s="98">
        <f t="shared" si="0"/>
        <v>2.16</v>
      </c>
      <c r="AC11"/>
      <c r="AD11" s="97">
        <v>2.16</v>
      </c>
      <c r="AE11" s="92">
        <v>0</v>
      </c>
      <c r="AF11" s="98">
        <f t="shared" si="2"/>
        <v>2.16</v>
      </c>
      <c r="AG11" s="97">
        <v>4.32</v>
      </c>
      <c r="AH11" s="92">
        <v>0</v>
      </c>
      <c r="AI11" s="98">
        <f t="shared" si="3"/>
        <v>4.32</v>
      </c>
      <c r="AJ11" s="99">
        <f t="shared" si="1"/>
        <v>6.48</v>
      </c>
      <c r="AK11" s="102" t="str">
        <f>+IF(AB11+AA11+AJ11&lt;=0, "NO COMPRADOR", +IF(AJ11&lt;=0, "SIN COMPRA "&amp;+UPPER(TEXT('DINAMICA ENERO 26'!$C$2,"mmm 'yy")), "COMPRADOR"))</f>
        <v>COMPRADOR</v>
      </c>
      <c r="AM11" s="101"/>
    </row>
    <row r="12" spans="1:42" s="100" customFormat="1" hidden="1">
      <c r="A12" s="88" t="s">
        <v>85</v>
      </c>
      <c r="B12" s="89" t="s">
        <v>86</v>
      </c>
      <c r="C12" s="89" t="s">
        <v>60</v>
      </c>
      <c r="D12" s="89">
        <v>100077477</v>
      </c>
      <c r="E12" s="89" t="s">
        <v>65</v>
      </c>
      <c r="F12" s="89">
        <v>100075448</v>
      </c>
      <c r="G12" s="128" t="s">
        <v>96</v>
      </c>
      <c r="H12"/>
      <c r="I12"/>
      <c r="J12"/>
      <c r="K12"/>
      <c r="L12"/>
      <c r="M12"/>
      <c r="N12"/>
      <c r="O12"/>
      <c r="P12"/>
      <c r="Q12"/>
      <c r="R12"/>
      <c r="S12" s="91">
        <v>4.32</v>
      </c>
      <c r="T12" s="94">
        <v>4.32</v>
      </c>
      <c r="U12" s="91">
        <v>30.240000000000002</v>
      </c>
      <c r="V12" s="129">
        <v>30.240000000000002</v>
      </c>
      <c r="W12" s="91">
        <v>21.6</v>
      </c>
      <c r="X12" s="129">
        <v>21.6</v>
      </c>
      <c r="Y12" s="91">
        <v>0</v>
      </c>
      <c r="Z12" s="129">
        <v>0</v>
      </c>
      <c r="AA12" s="155">
        <f t="shared" si="0"/>
        <v>17.28</v>
      </c>
      <c r="AB12" s="98">
        <f t="shared" si="0"/>
        <v>17.28</v>
      </c>
      <c r="AC12"/>
      <c r="AD12" s="97">
        <v>0</v>
      </c>
      <c r="AE12" s="92">
        <v>0</v>
      </c>
      <c r="AF12" s="98">
        <f t="shared" si="2"/>
        <v>0</v>
      </c>
      <c r="AG12" s="97">
        <v>0</v>
      </c>
      <c r="AH12" s="92">
        <v>0</v>
      </c>
      <c r="AI12" s="98">
        <f t="shared" si="3"/>
        <v>0</v>
      </c>
      <c r="AJ12" s="99">
        <f t="shared" si="1"/>
        <v>0</v>
      </c>
      <c r="AK12" s="102" t="str">
        <f>+IF(AB12+AA12+AJ12&lt;=0, "NO COMPRADOR", +IF(AJ12&lt;=0, "SIN COMPRA "&amp;+UPPER(TEXT('DINAMICA ENERO 26'!$C$2,"mmm 'yy")), "COMPRADOR"))</f>
        <v>SIN COMPRA FEB '26</v>
      </c>
      <c r="AM12" s="101"/>
    </row>
    <row r="13" spans="1:42" s="100" customFormat="1" hidden="1">
      <c r="A13" s="88" t="s">
        <v>85</v>
      </c>
      <c r="B13" s="89" t="s">
        <v>86</v>
      </c>
      <c r="C13" s="89" t="s">
        <v>60</v>
      </c>
      <c r="D13" s="89">
        <v>100077477</v>
      </c>
      <c r="E13" s="89" t="s">
        <v>65</v>
      </c>
      <c r="F13" s="89">
        <v>100089232</v>
      </c>
      <c r="G13" s="128" t="s">
        <v>97</v>
      </c>
      <c r="H13"/>
      <c r="I13"/>
      <c r="J13"/>
      <c r="K13"/>
      <c r="L13"/>
      <c r="M13"/>
      <c r="N13"/>
      <c r="O13"/>
      <c r="P13"/>
      <c r="Q13"/>
      <c r="R13"/>
      <c r="S13" s="91">
        <v>0</v>
      </c>
      <c r="T13" s="94">
        <v>0</v>
      </c>
      <c r="U13" s="91">
        <v>0</v>
      </c>
      <c r="V13" s="129">
        <v>0</v>
      </c>
      <c r="W13" s="91">
        <v>0</v>
      </c>
      <c r="X13" s="129">
        <v>0</v>
      </c>
      <c r="Y13" s="91">
        <v>0</v>
      </c>
      <c r="Z13" s="129">
        <v>0</v>
      </c>
      <c r="AA13" s="155">
        <f t="shared" si="0"/>
        <v>0</v>
      </c>
      <c r="AB13" s="98">
        <f t="shared" si="0"/>
        <v>0</v>
      </c>
      <c r="AC13"/>
      <c r="AD13" s="97">
        <v>0</v>
      </c>
      <c r="AE13" s="92">
        <v>0</v>
      </c>
      <c r="AF13" s="98">
        <f t="shared" si="2"/>
        <v>0</v>
      </c>
      <c r="AG13" s="97">
        <v>0</v>
      </c>
      <c r="AH13" s="92">
        <v>0</v>
      </c>
      <c r="AI13" s="98">
        <f t="shared" si="3"/>
        <v>0</v>
      </c>
      <c r="AJ13" s="99">
        <f t="shared" si="1"/>
        <v>0</v>
      </c>
      <c r="AK13" s="102" t="str">
        <f>+IF(AB13+AA13+AJ13&lt;=0, "NO COMPRADOR", +IF(AJ13&lt;=0, "SIN COMPRA "&amp;+UPPER(TEXT('DINAMICA ENERO 26'!$C$2,"mmm 'yy")), "COMPRADOR"))</f>
        <v>NO COMPRADOR</v>
      </c>
      <c r="AM13" s="101"/>
    </row>
    <row r="14" spans="1:42" s="100" customFormat="1" hidden="1">
      <c r="A14" s="88" t="s">
        <v>85</v>
      </c>
      <c r="B14" s="89" t="s">
        <v>98</v>
      </c>
      <c r="C14" s="89" t="s">
        <v>60</v>
      </c>
      <c r="D14" s="103">
        <v>100041217</v>
      </c>
      <c r="E14" s="89" t="s">
        <v>63</v>
      </c>
      <c r="F14" s="89">
        <v>100073953</v>
      </c>
      <c r="G14" s="128" t="s">
        <v>99</v>
      </c>
      <c r="H14"/>
      <c r="I14"/>
      <c r="J14"/>
      <c r="K14"/>
      <c r="L14"/>
      <c r="M14"/>
      <c r="N14"/>
      <c r="O14"/>
      <c r="P14"/>
      <c r="Q14"/>
      <c r="R14"/>
      <c r="S14" s="91">
        <v>0</v>
      </c>
      <c r="T14" s="94">
        <v>0</v>
      </c>
      <c r="U14" s="91">
        <v>0</v>
      </c>
      <c r="V14" s="129">
        <v>0</v>
      </c>
      <c r="W14" s="91">
        <v>0</v>
      </c>
      <c r="X14" s="129">
        <v>0</v>
      </c>
      <c r="Y14" s="91">
        <v>0</v>
      </c>
      <c r="Z14" s="129">
        <v>0</v>
      </c>
      <c r="AA14" s="155">
        <f t="shared" si="0"/>
        <v>0</v>
      </c>
      <c r="AB14" s="98">
        <f t="shared" si="0"/>
        <v>0</v>
      </c>
      <c r="AC14"/>
      <c r="AD14" s="97">
        <v>0</v>
      </c>
      <c r="AE14" s="92">
        <v>0</v>
      </c>
      <c r="AF14" s="98">
        <f t="shared" si="2"/>
        <v>0</v>
      </c>
      <c r="AG14" s="97">
        <v>0</v>
      </c>
      <c r="AH14" s="92">
        <v>0</v>
      </c>
      <c r="AI14" s="98">
        <f t="shared" si="3"/>
        <v>0</v>
      </c>
      <c r="AJ14" s="99">
        <f t="shared" si="1"/>
        <v>0</v>
      </c>
      <c r="AK14" s="102" t="str">
        <f>+IF(AB14+AA14+AJ14&lt;=0, "NO COMPRADOR", +IF(AJ14&lt;=0, "SIN COMPRA "&amp;+UPPER(TEXT('DINAMICA ENERO 26'!$C$2,"mmm 'yy")), "COMPRADOR"))</f>
        <v>NO COMPRADOR</v>
      </c>
      <c r="AM14" s="101"/>
    </row>
    <row r="15" spans="1:42" s="100" customFormat="1" hidden="1">
      <c r="A15" s="88" t="s">
        <v>85</v>
      </c>
      <c r="B15" s="89" t="s">
        <v>98</v>
      </c>
      <c r="C15" s="89" t="s">
        <v>60</v>
      </c>
      <c r="D15" s="103">
        <v>100041217</v>
      </c>
      <c r="E15" s="89" t="s">
        <v>63</v>
      </c>
      <c r="F15" s="89">
        <v>100081405</v>
      </c>
      <c r="G15" s="128" t="s">
        <v>100</v>
      </c>
      <c r="H15"/>
      <c r="I15"/>
      <c r="J15"/>
      <c r="K15"/>
      <c r="L15"/>
      <c r="M15"/>
      <c r="N15"/>
      <c r="O15"/>
      <c r="P15"/>
      <c r="Q15"/>
      <c r="R15"/>
      <c r="S15" s="91">
        <v>181.44000000000003</v>
      </c>
      <c r="T15" s="94">
        <v>181.44000000000003</v>
      </c>
      <c r="U15" s="91">
        <v>194.4</v>
      </c>
      <c r="V15" s="129">
        <v>194.4</v>
      </c>
      <c r="W15" s="91">
        <v>205.20000000000002</v>
      </c>
      <c r="X15" s="129">
        <v>205.20000000000002</v>
      </c>
      <c r="Y15" s="91">
        <v>0</v>
      </c>
      <c r="Z15" s="129">
        <v>0</v>
      </c>
      <c r="AA15" s="155">
        <f t="shared" si="0"/>
        <v>133.20000000000002</v>
      </c>
      <c r="AB15" s="98">
        <f t="shared" si="0"/>
        <v>133.20000000000002</v>
      </c>
      <c r="AC15"/>
      <c r="AD15" s="97">
        <v>0</v>
      </c>
      <c r="AE15" s="92">
        <v>0</v>
      </c>
      <c r="AF15" s="98">
        <f t="shared" si="2"/>
        <v>0</v>
      </c>
      <c r="AG15" s="97">
        <v>0</v>
      </c>
      <c r="AH15" s="92">
        <v>0</v>
      </c>
      <c r="AI15" s="98">
        <f t="shared" si="3"/>
        <v>0</v>
      </c>
      <c r="AJ15" s="99">
        <f t="shared" si="1"/>
        <v>0</v>
      </c>
      <c r="AK15" s="102" t="str">
        <f>+IF(AB15+AA15+AJ15&lt;=0, "NO COMPRADOR", +IF(AJ15&lt;=0, "SIN COMPRA "&amp;+UPPER(TEXT('DINAMICA ENERO 26'!$C$2,"mmm 'yy")), "COMPRADOR"))</f>
        <v>SIN COMPRA FEB '26</v>
      </c>
      <c r="AM15" s="101"/>
    </row>
    <row r="16" spans="1:42" s="100" customFormat="1" hidden="1">
      <c r="A16" s="88" t="s">
        <v>85</v>
      </c>
      <c r="B16" s="89" t="s">
        <v>98</v>
      </c>
      <c r="C16" s="89" t="s">
        <v>60</v>
      </c>
      <c r="D16" s="103">
        <v>100041217</v>
      </c>
      <c r="E16" s="89" t="s">
        <v>63</v>
      </c>
      <c r="F16" s="89">
        <v>100066079</v>
      </c>
      <c r="G16" s="128" t="s">
        <v>101</v>
      </c>
      <c r="H16"/>
      <c r="I16"/>
      <c r="J16"/>
      <c r="K16"/>
      <c r="L16"/>
      <c r="M16"/>
      <c r="N16"/>
      <c r="O16"/>
      <c r="P16"/>
      <c r="Q16"/>
      <c r="R16"/>
      <c r="S16" s="91">
        <v>10.8</v>
      </c>
      <c r="T16" s="94">
        <v>21.6</v>
      </c>
      <c r="U16" s="91">
        <v>237.60000000000002</v>
      </c>
      <c r="V16" s="129">
        <v>129.60000000000002</v>
      </c>
      <c r="W16" s="91">
        <v>237.60000000000002</v>
      </c>
      <c r="X16" s="129">
        <v>172.8</v>
      </c>
      <c r="Y16" s="91">
        <v>10.8</v>
      </c>
      <c r="Z16" s="129">
        <v>10.8</v>
      </c>
      <c r="AA16" s="155">
        <f t="shared" si="0"/>
        <v>162.00000000000003</v>
      </c>
      <c r="AB16" s="98">
        <f t="shared" si="0"/>
        <v>104.40000000000002</v>
      </c>
      <c r="AC16"/>
      <c r="AD16" s="97">
        <v>64.800000000000011</v>
      </c>
      <c r="AE16" s="92">
        <v>0</v>
      </c>
      <c r="AF16" s="98">
        <f t="shared" si="2"/>
        <v>64.800000000000011</v>
      </c>
      <c r="AG16" s="97">
        <v>108.00000000000001</v>
      </c>
      <c r="AH16" s="92">
        <v>0</v>
      </c>
      <c r="AI16" s="98">
        <f t="shared" si="3"/>
        <v>108.00000000000001</v>
      </c>
      <c r="AJ16" s="99">
        <f t="shared" si="1"/>
        <v>172.8</v>
      </c>
      <c r="AK16" s="102" t="str">
        <f>+IF(AB16+AA16+AJ16&lt;=0, "NO COMPRADOR", +IF(AJ16&lt;=0, "SIN COMPRA "&amp;+UPPER(TEXT('DINAMICA ENERO 26'!$C$2,"mmm 'yy")), "COMPRADOR"))</f>
        <v>COMPRADOR</v>
      </c>
      <c r="AM16" s="101"/>
    </row>
    <row r="17" spans="1:42" s="100" customFormat="1" hidden="1">
      <c r="A17" s="88" t="s">
        <v>85</v>
      </c>
      <c r="B17" s="89" t="s">
        <v>98</v>
      </c>
      <c r="C17" s="89" t="s">
        <v>60</v>
      </c>
      <c r="D17" s="103">
        <v>100041217</v>
      </c>
      <c r="E17" s="89" t="s">
        <v>63</v>
      </c>
      <c r="F17" s="89">
        <v>100041131</v>
      </c>
      <c r="G17" s="128" t="s">
        <v>102</v>
      </c>
      <c r="H17"/>
      <c r="I17"/>
      <c r="J17"/>
      <c r="K17"/>
      <c r="L17"/>
      <c r="M17"/>
      <c r="N17"/>
      <c r="O17"/>
      <c r="P17"/>
      <c r="Q17"/>
      <c r="R17"/>
      <c r="S17" s="91">
        <v>21.6</v>
      </c>
      <c r="T17" s="94">
        <v>21.6</v>
      </c>
      <c r="U17" s="91">
        <v>54</v>
      </c>
      <c r="V17" s="129">
        <v>54</v>
      </c>
      <c r="W17" s="91">
        <v>43.2</v>
      </c>
      <c r="X17" s="129">
        <v>43.2</v>
      </c>
      <c r="Y17" s="91">
        <v>54</v>
      </c>
      <c r="Z17" s="129">
        <v>54</v>
      </c>
      <c r="AA17" s="155">
        <f t="shared" si="0"/>
        <v>50.4</v>
      </c>
      <c r="AB17" s="98">
        <f t="shared" si="0"/>
        <v>50.4</v>
      </c>
      <c r="AC17"/>
      <c r="AD17" s="97">
        <v>0</v>
      </c>
      <c r="AE17" s="92">
        <v>0</v>
      </c>
      <c r="AF17" s="98">
        <f t="shared" si="2"/>
        <v>0</v>
      </c>
      <c r="AG17" s="97">
        <v>0</v>
      </c>
      <c r="AH17" s="92">
        <v>0</v>
      </c>
      <c r="AI17" s="98">
        <f t="shared" si="3"/>
        <v>0</v>
      </c>
      <c r="AJ17" s="99">
        <f t="shared" si="1"/>
        <v>0</v>
      </c>
      <c r="AK17" s="102" t="str">
        <f>+IF(AB17+AA17+AJ17&lt;=0, "NO COMPRADOR", +IF(AJ17&lt;=0, "SIN COMPRA "&amp;+UPPER(TEXT('DINAMICA ENERO 26'!$C$2,"mmm 'yy")), "COMPRADOR"))</f>
        <v>SIN COMPRA FEB '26</v>
      </c>
      <c r="AM17" s="101"/>
    </row>
    <row r="18" spans="1:42" s="104" customFormat="1" hidden="1">
      <c r="A18" s="88" t="s">
        <v>85</v>
      </c>
      <c r="B18" s="89" t="s">
        <v>98</v>
      </c>
      <c r="C18" s="89" t="s">
        <v>60</v>
      </c>
      <c r="D18" s="103">
        <v>100041217</v>
      </c>
      <c r="E18" s="89" t="s">
        <v>63</v>
      </c>
      <c r="F18" s="89">
        <v>100012634</v>
      </c>
      <c r="G18" s="128" t="s">
        <v>103</v>
      </c>
      <c r="H18"/>
      <c r="I18"/>
      <c r="J18"/>
      <c r="K18"/>
      <c r="L18"/>
      <c r="M18"/>
      <c r="N18"/>
      <c r="O18"/>
      <c r="P18"/>
      <c r="Q18"/>
      <c r="R18"/>
      <c r="S18" s="91">
        <v>0</v>
      </c>
      <c r="T18" s="94">
        <v>0</v>
      </c>
      <c r="U18" s="91">
        <v>10.8</v>
      </c>
      <c r="V18" s="129">
        <v>10.8</v>
      </c>
      <c r="W18" s="91">
        <v>0</v>
      </c>
      <c r="X18" s="129">
        <v>0</v>
      </c>
      <c r="Y18" s="91">
        <v>0</v>
      </c>
      <c r="Z18" s="129">
        <v>0</v>
      </c>
      <c r="AA18" s="155">
        <f t="shared" si="0"/>
        <v>3.6</v>
      </c>
      <c r="AB18" s="98">
        <f t="shared" si="0"/>
        <v>3.6</v>
      </c>
      <c r="AC18"/>
      <c r="AD18" s="97">
        <v>17.28</v>
      </c>
      <c r="AE18" s="92">
        <v>0</v>
      </c>
      <c r="AF18" s="98">
        <f t="shared" si="2"/>
        <v>17.28</v>
      </c>
      <c r="AG18" s="97">
        <v>17.28</v>
      </c>
      <c r="AH18" s="92">
        <v>0</v>
      </c>
      <c r="AI18" s="98">
        <f t="shared" si="3"/>
        <v>17.28</v>
      </c>
      <c r="AJ18" s="99">
        <f t="shared" si="1"/>
        <v>34.56</v>
      </c>
      <c r="AK18" s="102" t="str">
        <f>+IF(AB18+AA18+AJ18&lt;=0, "NO COMPRADOR", +IF(AJ18&lt;=0, "SIN COMPRA "&amp;+UPPER(TEXT('DINAMICA ENERO 26'!$C$2,"mmm 'yy")), "COMPRADOR"))</f>
        <v>COMPRADOR</v>
      </c>
      <c r="AL18" s="100"/>
      <c r="AM18" s="101"/>
      <c r="AN18" s="100"/>
      <c r="AO18" s="100"/>
      <c r="AP18" s="100"/>
    </row>
    <row r="19" spans="1:42" s="100" customFormat="1" hidden="1">
      <c r="A19" s="88" t="s">
        <v>85</v>
      </c>
      <c r="B19" s="89" t="s">
        <v>98</v>
      </c>
      <c r="C19" s="89" t="s">
        <v>60</v>
      </c>
      <c r="D19" s="103">
        <v>100041217</v>
      </c>
      <c r="E19" s="89" t="s">
        <v>63</v>
      </c>
      <c r="F19" s="89">
        <v>100049700</v>
      </c>
      <c r="G19" s="128" t="s">
        <v>104</v>
      </c>
      <c r="H19"/>
      <c r="I19"/>
      <c r="J19"/>
      <c r="K19"/>
      <c r="L19"/>
      <c r="M19"/>
      <c r="N19"/>
      <c r="O19"/>
      <c r="P19"/>
      <c r="Q19"/>
      <c r="R19"/>
      <c r="S19" s="91">
        <v>0</v>
      </c>
      <c r="T19" s="94">
        <v>0</v>
      </c>
      <c r="U19" s="91">
        <v>4.32</v>
      </c>
      <c r="V19" s="129">
        <v>4.32</v>
      </c>
      <c r="W19" s="91">
        <v>10.8</v>
      </c>
      <c r="X19" s="129">
        <v>6.48</v>
      </c>
      <c r="Y19" s="91">
        <v>0</v>
      </c>
      <c r="Z19" s="129">
        <v>0</v>
      </c>
      <c r="AA19" s="155">
        <f t="shared" ref="AA19:AB82" si="4">+AVERAGE(U19,W19,Y19)</f>
        <v>5.04</v>
      </c>
      <c r="AB19" s="98">
        <f t="shared" si="4"/>
        <v>3.6</v>
      </c>
      <c r="AC19"/>
      <c r="AD19" s="97">
        <v>0</v>
      </c>
      <c r="AE19" s="92">
        <v>0</v>
      </c>
      <c r="AF19" s="98">
        <f t="shared" si="2"/>
        <v>0</v>
      </c>
      <c r="AG19" s="97">
        <v>0</v>
      </c>
      <c r="AH19" s="92">
        <v>0</v>
      </c>
      <c r="AI19" s="98">
        <f t="shared" si="3"/>
        <v>0</v>
      </c>
      <c r="AJ19" s="99">
        <f t="shared" si="1"/>
        <v>0</v>
      </c>
      <c r="AK19" s="102" t="str">
        <f>+IF(AB19+AA19+AJ19&lt;=0, "NO COMPRADOR", +IF(AJ19&lt;=0, "SIN COMPRA "&amp;+UPPER(TEXT('DINAMICA ENERO 26'!$C$2,"mmm 'yy")), "COMPRADOR"))</f>
        <v>SIN COMPRA FEB '26</v>
      </c>
      <c r="AM19" s="101"/>
    </row>
    <row r="20" spans="1:42" s="100" customFormat="1" hidden="1">
      <c r="A20" s="88" t="s">
        <v>85</v>
      </c>
      <c r="B20" s="89" t="s">
        <v>105</v>
      </c>
      <c r="C20" s="89" t="s">
        <v>60</v>
      </c>
      <c r="D20" s="103">
        <v>100080146</v>
      </c>
      <c r="E20" s="89" t="s">
        <v>66</v>
      </c>
      <c r="F20" s="89">
        <v>100061718</v>
      </c>
      <c r="G20" s="128" t="s">
        <v>106</v>
      </c>
      <c r="H20"/>
      <c r="I20"/>
      <c r="J20"/>
      <c r="K20"/>
      <c r="L20"/>
      <c r="M20"/>
      <c r="N20"/>
      <c r="O20"/>
      <c r="P20"/>
      <c r="Q20"/>
      <c r="R20"/>
      <c r="S20" s="91">
        <v>75.600000000000009</v>
      </c>
      <c r="T20" s="94">
        <v>118.80000000000001</v>
      </c>
      <c r="U20" s="91">
        <v>97.2</v>
      </c>
      <c r="V20" s="129">
        <v>97.2</v>
      </c>
      <c r="W20" s="91">
        <v>110.16000000000001</v>
      </c>
      <c r="X20" s="129">
        <v>110.16000000000001</v>
      </c>
      <c r="Y20" s="91">
        <v>4.32</v>
      </c>
      <c r="Z20" s="129">
        <v>4.32</v>
      </c>
      <c r="AA20" s="155">
        <f t="shared" si="4"/>
        <v>70.56</v>
      </c>
      <c r="AB20" s="98">
        <f t="shared" si="4"/>
        <v>70.56</v>
      </c>
      <c r="AC20"/>
      <c r="AD20" s="97">
        <v>38.880000000000003</v>
      </c>
      <c r="AE20" s="92">
        <v>0</v>
      </c>
      <c r="AF20" s="98">
        <f t="shared" si="2"/>
        <v>38.880000000000003</v>
      </c>
      <c r="AG20" s="97">
        <v>38.880000000000003</v>
      </c>
      <c r="AH20" s="92">
        <v>0</v>
      </c>
      <c r="AI20" s="98">
        <f t="shared" si="3"/>
        <v>38.880000000000003</v>
      </c>
      <c r="AJ20" s="99">
        <f t="shared" si="1"/>
        <v>77.760000000000005</v>
      </c>
      <c r="AK20" s="102" t="str">
        <f>+IF(AB20+AA20+AJ20&lt;=0, "NO COMPRADOR", +IF(AJ20&lt;=0, "SIN COMPRA "&amp;+UPPER(TEXT('DINAMICA ENERO 26'!$C$2,"mmm 'yy")), "COMPRADOR"))</f>
        <v>COMPRADOR</v>
      </c>
      <c r="AM20" s="101"/>
    </row>
    <row r="21" spans="1:42" s="100" customFormat="1" hidden="1">
      <c r="A21" s="88" t="s">
        <v>85</v>
      </c>
      <c r="B21" s="89" t="s">
        <v>105</v>
      </c>
      <c r="C21" s="89" t="s">
        <v>60</v>
      </c>
      <c r="D21" s="103">
        <v>100080146</v>
      </c>
      <c r="E21" s="89" t="s">
        <v>66</v>
      </c>
      <c r="F21" s="89">
        <v>100067160</v>
      </c>
      <c r="G21" s="128" t="s">
        <v>107</v>
      </c>
      <c r="H21"/>
      <c r="I21"/>
      <c r="J21"/>
      <c r="K21"/>
      <c r="L21"/>
      <c r="M21"/>
      <c r="N21"/>
      <c r="O21"/>
      <c r="P21"/>
      <c r="Q21"/>
      <c r="R21"/>
      <c r="S21" s="91">
        <v>43.2</v>
      </c>
      <c r="T21" s="94">
        <v>43.2</v>
      </c>
      <c r="U21" s="91">
        <v>0</v>
      </c>
      <c r="V21" s="129">
        <v>0</v>
      </c>
      <c r="W21" s="91">
        <v>21.6</v>
      </c>
      <c r="X21" s="129">
        <v>21.6</v>
      </c>
      <c r="Y21" s="91">
        <v>21.6</v>
      </c>
      <c r="Z21" s="129">
        <v>21.6</v>
      </c>
      <c r="AA21" s="155">
        <f t="shared" si="4"/>
        <v>14.4</v>
      </c>
      <c r="AB21" s="98">
        <f t="shared" si="4"/>
        <v>14.4</v>
      </c>
      <c r="AC21"/>
      <c r="AD21" s="97">
        <v>0</v>
      </c>
      <c r="AE21" s="92">
        <v>0</v>
      </c>
      <c r="AF21" s="98">
        <f t="shared" si="2"/>
        <v>0</v>
      </c>
      <c r="AG21" s="97">
        <v>0</v>
      </c>
      <c r="AH21" s="92">
        <v>0</v>
      </c>
      <c r="AI21" s="98">
        <f t="shared" si="3"/>
        <v>0</v>
      </c>
      <c r="AJ21" s="99">
        <f t="shared" si="1"/>
        <v>0</v>
      </c>
      <c r="AK21" s="102" t="str">
        <f>+IF(AB21+AA21+AJ21&lt;=0, "NO COMPRADOR", +IF(AJ21&lt;=0, "SIN COMPRA "&amp;+UPPER(TEXT('DINAMICA ENERO 26'!$C$2,"mmm 'yy")), "COMPRADOR"))</f>
        <v>SIN COMPRA FEB '26</v>
      </c>
      <c r="AM21" s="101"/>
    </row>
    <row r="22" spans="1:42" s="100" customFormat="1" hidden="1">
      <c r="A22" s="88" t="s">
        <v>85</v>
      </c>
      <c r="B22" s="89" t="s">
        <v>105</v>
      </c>
      <c r="C22" s="89" t="s">
        <v>60</v>
      </c>
      <c r="D22" s="103">
        <v>100080146</v>
      </c>
      <c r="E22" s="89" t="s">
        <v>66</v>
      </c>
      <c r="F22" s="89">
        <v>100001763</v>
      </c>
      <c r="G22" s="128" t="s">
        <v>108</v>
      </c>
      <c r="H22"/>
      <c r="I22"/>
      <c r="J22"/>
      <c r="K22"/>
      <c r="L22"/>
      <c r="M22"/>
      <c r="N22"/>
      <c r="O22"/>
      <c r="P22"/>
      <c r="Q22"/>
      <c r="R22"/>
      <c r="S22" s="91">
        <v>64.800000000000011</v>
      </c>
      <c r="T22" s="94">
        <v>43.2</v>
      </c>
      <c r="U22" s="91">
        <v>54</v>
      </c>
      <c r="V22" s="129">
        <v>54</v>
      </c>
      <c r="W22" s="91">
        <v>10.8</v>
      </c>
      <c r="X22" s="129">
        <v>10.8</v>
      </c>
      <c r="Y22" s="91">
        <v>43.2</v>
      </c>
      <c r="Z22" s="129">
        <v>43.2</v>
      </c>
      <c r="AA22" s="155">
        <f t="shared" si="4"/>
        <v>36</v>
      </c>
      <c r="AB22" s="98">
        <f t="shared" si="4"/>
        <v>36</v>
      </c>
      <c r="AC22"/>
      <c r="AD22" s="97">
        <v>0</v>
      </c>
      <c r="AE22" s="92">
        <v>0</v>
      </c>
      <c r="AF22" s="98">
        <f t="shared" si="2"/>
        <v>0</v>
      </c>
      <c r="AG22" s="97">
        <v>0</v>
      </c>
      <c r="AH22" s="92">
        <v>0</v>
      </c>
      <c r="AI22" s="98">
        <f t="shared" si="3"/>
        <v>0</v>
      </c>
      <c r="AJ22" s="99">
        <f t="shared" si="1"/>
        <v>0</v>
      </c>
      <c r="AK22" s="102" t="str">
        <f>+IF(AB22+AA22+AJ22&lt;=0, "NO COMPRADOR", +IF(AJ22&lt;=0, "SIN COMPRA "&amp;+UPPER(TEXT('DINAMICA ENERO 26'!$C$2,"mmm 'yy")), "COMPRADOR"))</f>
        <v>SIN COMPRA FEB '26</v>
      </c>
      <c r="AM22" s="101"/>
    </row>
    <row r="23" spans="1:42" s="100" customFormat="1" hidden="1">
      <c r="A23" s="88" t="s">
        <v>85</v>
      </c>
      <c r="B23" s="89" t="s">
        <v>105</v>
      </c>
      <c r="C23" s="89" t="s">
        <v>60</v>
      </c>
      <c r="D23" s="103">
        <v>100080146</v>
      </c>
      <c r="E23" s="89" t="s">
        <v>66</v>
      </c>
      <c r="F23" s="89">
        <v>100025425</v>
      </c>
      <c r="G23" s="128" t="s">
        <v>109</v>
      </c>
      <c r="H23">
        <v>0</v>
      </c>
      <c r="I23">
        <v>0</v>
      </c>
      <c r="J23">
        <v>0</v>
      </c>
      <c r="K23">
        <v>0</v>
      </c>
      <c r="L23"/>
      <c r="M23"/>
      <c r="N23"/>
      <c r="O23"/>
      <c r="P23"/>
      <c r="Q23"/>
      <c r="R23"/>
      <c r="S23" s="91">
        <v>0</v>
      </c>
      <c r="T23" s="94">
        <v>0</v>
      </c>
      <c r="U23" s="91">
        <v>0</v>
      </c>
      <c r="V23" s="129">
        <v>0</v>
      </c>
      <c r="W23" s="91">
        <v>64.800000000000011</v>
      </c>
      <c r="X23" s="129">
        <v>64.800000000000011</v>
      </c>
      <c r="Y23" s="91">
        <v>8.64</v>
      </c>
      <c r="Z23" s="129">
        <v>2.16</v>
      </c>
      <c r="AA23" s="155">
        <f t="shared" si="4"/>
        <v>24.480000000000004</v>
      </c>
      <c r="AB23" s="98">
        <f t="shared" si="4"/>
        <v>22.320000000000004</v>
      </c>
      <c r="AC23"/>
      <c r="AD23" s="97">
        <v>0</v>
      </c>
      <c r="AE23" s="92">
        <v>0</v>
      </c>
      <c r="AF23" s="98">
        <f t="shared" si="2"/>
        <v>0</v>
      </c>
      <c r="AG23" s="97">
        <v>0</v>
      </c>
      <c r="AH23" s="92">
        <v>0</v>
      </c>
      <c r="AI23" s="98">
        <f t="shared" si="3"/>
        <v>0</v>
      </c>
      <c r="AJ23" s="99">
        <f t="shared" si="1"/>
        <v>0</v>
      </c>
      <c r="AK23" s="102" t="str">
        <f>+IF(AB23+AA23+AJ23&lt;=0, "NO COMPRADOR", +IF(AJ23&lt;=0, "SIN COMPRA "&amp;+UPPER(TEXT('DINAMICA ENERO 26'!$C$2,"mmm 'yy")), "COMPRADOR"))</f>
        <v>SIN COMPRA FEB '26</v>
      </c>
      <c r="AM23" s="101"/>
    </row>
    <row r="24" spans="1:42" s="100" customFormat="1" hidden="1">
      <c r="A24" s="88" t="s">
        <v>85</v>
      </c>
      <c r="B24" s="89" t="s">
        <v>105</v>
      </c>
      <c r="C24" s="89" t="s">
        <v>60</v>
      </c>
      <c r="D24" s="103">
        <v>100068884</v>
      </c>
      <c r="E24" s="89" t="s">
        <v>61</v>
      </c>
      <c r="F24" s="89">
        <v>100079808</v>
      </c>
      <c r="G24" s="128" t="s">
        <v>110</v>
      </c>
      <c r="H24"/>
      <c r="I24"/>
      <c r="J24"/>
      <c r="K24"/>
      <c r="L24"/>
      <c r="M24"/>
      <c r="N24"/>
      <c r="O24"/>
      <c r="P24"/>
      <c r="Q24"/>
      <c r="R24"/>
      <c r="S24" s="91">
        <v>129.60000000000002</v>
      </c>
      <c r="T24" s="94">
        <v>129.60000000000002</v>
      </c>
      <c r="U24" s="91">
        <v>162</v>
      </c>
      <c r="V24" s="129">
        <v>162</v>
      </c>
      <c r="W24" s="91">
        <v>151.20000000000002</v>
      </c>
      <c r="X24" s="129">
        <v>151.20000000000002</v>
      </c>
      <c r="Y24" s="91">
        <v>0</v>
      </c>
      <c r="Z24" s="129">
        <v>0</v>
      </c>
      <c r="AA24" s="155">
        <f t="shared" si="4"/>
        <v>104.40000000000002</v>
      </c>
      <c r="AB24" s="98">
        <f t="shared" si="4"/>
        <v>104.40000000000002</v>
      </c>
      <c r="AC24"/>
      <c r="AD24" s="97">
        <v>0</v>
      </c>
      <c r="AE24" s="92">
        <v>0</v>
      </c>
      <c r="AF24" s="98">
        <f t="shared" si="2"/>
        <v>0</v>
      </c>
      <c r="AG24" s="97">
        <v>0</v>
      </c>
      <c r="AH24" s="92">
        <v>0</v>
      </c>
      <c r="AI24" s="98">
        <f t="shared" si="3"/>
        <v>0</v>
      </c>
      <c r="AJ24" s="99">
        <f t="shared" si="1"/>
        <v>0</v>
      </c>
      <c r="AK24" s="102" t="str">
        <f>+IF(AB24+AA24+AJ24&lt;=0, "NO COMPRADOR", +IF(AJ24&lt;=0, "SIN COMPRA "&amp;+UPPER(TEXT('DINAMICA ENERO 26'!$C$2,"mmm 'yy")), "COMPRADOR"))</f>
        <v>SIN COMPRA FEB '26</v>
      </c>
      <c r="AM24" s="101"/>
    </row>
    <row r="25" spans="1:42" s="104" customFormat="1" hidden="1">
      <c r="A25" s="88" t="s">
        <v>85</v>
      </c>
      <c r="B25" s="89" t="s">
        <v>105</v>
      </c>
      <c r="C25" s="89" t="s">
        <v>60</v>
      </c>
      <c r="D25" s="103">
        <v>100068884</v>
      </c>
      <c r="E25" s="89" t="s">
        <v>61</v>
      </c>
      <c r="F25" s="89">
        <v>100069053</v>
      </c>
      <c r="G25" s="128" t="s">
        <v>111</v>
      </c>
      <c r="H25"/>
      <c r="I25"/>
      <c r="J25"/>
      <c r="K25"/>
      <c r="L25"/>
      <c r="M25"/>
      <c r="N25"/>
      <c r="O25"/>
      <c r="P25"/>
      <c r="Q25"/>
      <c r="R25"/>
      <c r="S25" s="91">
        <v>51.84</v>
      </c>
      <c r="T25" s="94">
        <v>51.84</v>
      </c>
      <c r="U25" s="91">
        <v>0</v>
      </c>
      <c r="V25" s="129">
        <v>0</v>
      </c>
      <c r="W25" s="91">
        <v>0</v>
      </c>
      <c r="X25" s="129">
        <v>0</v>
      </c>
      <c r="Y25" s="91">
        <v>64.800000000000011</v>
      </c>
      <c r="Z25" s="129">
        <v>0</v>
      </c>
      <c r="AA25" s="155">
        <f t="shared" si="4"/>
        <v>21.600000000000005</v>
      </c>
      <c r="AB25" s="98">
        <f t="shared" si="4"/>
        <v>0</v>
      </c>
      <c r="AC25"/>
      <c r="AD25" s="97">
        <v>0</v>
      </c>
      <c r="AE25" s="92">
        <v>0</v>
      </c>
      <c r="AF25" s="98">
        <f t="shared" si="2"/>
        <v>0</v>
      </c>
      <c r="AG25" s="97">
        <v>0</v>
      </c>
      <c r="AH25" s="92">
        <v>0</v>
      </c>
      <c r="AI25" s="98">
        <f t="shared" si="3"/>
        <v>0</v>
      </c>
      <c r="AJ25" s="99">
        <f t="shared" si="1"/>
        <v>0</v>
      </c>
      <c r="AK25" s="102" t="str">
        <f>+IF(AB25+AA25+AJ25&lt;=0, "NO COMPRADOR", +IF(AJ25&lt;=0, "SIN COMPRA "&amp;+UPPER(TEXT('DINAMICA ENERO 26'!$C$2,"mmm 'yy")), "COMPRADOR"))</f>
        <v>SIN COMPRA FEB '26</v>
      </c>
      <c r="AL25" s="100"/>
      <c r="AM25" s="101"/>
      <c r="AN25" s="100"/>
      <c r="AO25" s="100"/>
      <c r="AP25" s="100"/>
    </row>
    <row r="26" spans="1:42" s="100" customFormat="1" hidden="1">
      <c r="A26" s="88" t="s">
        <v>85</v>
      </c>
      <c r="B26" s="89" t="s">
        <v>105</v>
      </c>
      <c r="C26" s="89" t="s">
        <v>60</v>
      </c>
      <c r="D26" s="103">
        <v>100068884</v>
      </c>
      <c r="E26" s="89" t="s">
        <v>61</v>
      </c>
      <c r="F26" s="89">
        <v>100061654</v>
      </c>
      <c r="G26" s="128" t="s">
        <v>112</v>
      </c>
      <c r="H26"/>
      <c r="I26"/>
      <c r="J26"/>
      <c r="K26"/>
      <c r="L26"/>
      <c r="M26"/>
      <c r="N26"/>
      <c r="O26"/>
      <c r="P26"/>
      <c r="Q26"/>
      <c r="R26"/>
      <c r="S26" s="91">
        <v>0</v>
      </c>
      <c r="T26" s="94">
        <v>0</v>
      </c>
      <c r="U26" s="91">
        <v>108</v>
      </c>
      <c r="V26" s="129">
        <v>108</v>
      </c>
      <c r="W26" s="91">
        <v>64.800000000000011</v>
      </c>
      <c r="X26" s="129">
        <v>64.800000000000011</v>
      </c>
      <c r="Y26" s="91">
        <v>0</v>
      </c>
      <c r="Z26" s="129">
        <v>64.800000000000011</v>
      </c>
      <c r="AA26" s="155">
        <f t="shared" si="4"/>
        <v>57.6</v>
      </c>
      <c r="AB26" s="98">
        <f t="shared" si="4"/>
        <v>79.2</v>
      </c>
      <c r="AC26"/>
      <c r="AD26" s="97">
        <v>0</v>
      </c>
      <c r="AE26" s="92">
        <v>0</v>
      </c>
      <c r="AF26" s="98">
        <f t="shared" si="2"/>
        <v>0</v>
      </c>
      <c r="AG26" s="97">
        <v>0</v>
      </c>
      <c r="AH26" s="92">
        <v>0</v>
      </c>
      <c r="AI26" s="98">
        <f t="shared" si="3"/>
        <v>0</v>
      </c>
      <c r="AJ26" s="99">
        <f t="shared" si="1"/>
        <v>0</v>
      </c>
      <c r="AK26" s="102" t="str">
        <f>+IF(AB26+AA26+AJ26&lt;=0, "NO COMPRADOR", +IF(AJ26&lt;=0, "SIN COMPRA "&amp;+UPPER(TEXT('DINAMICA ENERO 26'!$C$2,"mmm 'yy")), "COMPRADOR"))</f>
        <v>SIN COMPRA FEB '26</v>
      </c>
      <c r="AM26" s="101"/>
    </row>
    <row r="27" spans="1:42" s="100" customFormat="1" hidden="1">
      <c r="A27" s="88" t="s">
        <v>85</v>
      </c>
      <c r="B27" s="89" t="s">
        <v>113</v>
      </c>
      <c r="C27" s="89" t="s">
        <v>60</v>
      </c>
      <c r="D27" s="103">
        <v>100088165</v>
      </c>
      <c r="E27" s="89" t="s">
        <v>62</v>
      </c>
      <c r="F27" s="89">
        <v>100000073</v>
      </c>
      <c r="G27" s="128" t="s">
        <v>114</v>
      </c>
      <c r="H27"/>
      <c r="I27"/>
      <c r="J27"/>
      <c r="K27"/>
      <c r="L27"/>
      <c r="M27"/>
      <c r="N27"/>
      <c r="O27"/>
      <c r="P27"/>
      <c r="Q27"/>
      <c r="R27"/>
      <c r="S27" s="91">
        <v>30.240000000000002</v>
      </c>
      <c r="T27" s="94">
        <v>30.240000000000002</v>
      </c>
      <c r="U27" s="91">
        <v>34.56</v>
      </c>
      <c r="V27" s="129">
        <v>64.800000000000011</v>
      </c>
      <c r="W27" s="91">
        <v>2.16</v>
      </c>
      <c r="X27" s="129">
        <v>2.16</v>
      </c>
      <c r="Y27" s="91">
        <v>64.800000000000011</v>
      </c>
      <c r="Z27" s="129">
        <v>86.4</v>
      </c>
      <c r="AA27" s="155">
        <f t="shared" si="4"/>
        <v>33.840000000000003</v>
      </c>
      <c r="AB27" s="98">
        <f t="shared" si="4"/>
        <v>51.120000000000005</v>
      </c>
      <c r="AC27"/>
      <c r="AD27" s="97">
        <v>0</v>
      </c>
      <c r="AE27" s="92">
        <v>0</v>
      </c>
      <c r="AF27" s="98">
        <f t="shared" si="2"/>
        <v>0</v>
      </c>
      <c r="AG27" s="97">
        <v>0</v>
      </c>
      <c r="AH27" s="92">
        <v>0</v>
      </c>
      <c r="AI27" s="98">
        <f t="shared" si="3"/>
        <v>0</v>
      </c>
      <c r="AJ27" s="99">
        <f t="shared" si="1"/>
        <v>0</v>
      </c>
      <c r="AK27" s="102" t="str">
        <f>+IF(AB27+AA27+AJ27&lt;=0, "NO COMPRADOR", +IF(AJ27&lt;=0, "SIN COMPRA "&amp;+UPPER(TEXT('DINAMICA ENERO 26'!$C$2,"mmm 'yy")), "COMPRADOR"))</f>
        <v>SIN COMPRA FEB '26</v>
      </c>
      <c r="AM27" s="101"/>
    </row>
    <row r="28" spans="1:42" s="100" customFormat="1" hidden="1">
      <c r="A28" s="88" t="s">
        <v>85</v>
      </c>
      <c r="B28" s="89" t="s">
        <v>113</v>
      </c>
      <c r="C28" s="89" t="s">
        <v>60</v>
      </c>
      <c r="D28" s="103">
        <v>100088165</v>
      </c>
      <c r="E28" s="89" t="s">
        <v>62</v>
      </c>
      <c r="F28" s="89">
        <v>100078580</v>
      </c>
      <c r="G28" s="128" t="s">
        <v>115</v>
      </c>
      <c r="H28"/>
      <c r="I28"/>
      <c r="J28"/>
      <c r="K28"/>
      <c r="L28"/>
      <c r="M28"/>
      <c r="N28"/>
      <c r="O28"/>
      <c r="P28"/>
      <c r="Q28"/>
      <c r="R28"/>
      <c r="S28" s="91">
        <v>21.6</v>
      </c>
      <c r="T28" s="94">
        <v>21.6</v>
      </c>
      <c r="U28" s="91">
        <v>21.6</v>
      </c>
      <c r="V28" s="129">
        <v>21.6</v>
      </c>
      <c r="W28" s="91">
        <v>0</v>
      </c>
      <c r="X28" s="129">
        <v>0</v>
      </c>
      <c r="Y28" s="91">
        <v>0</v>
      </c>
      <c r="Z28" s="129">
        <v>2.16</v>
      </c>
      <c r="AA28" s="155">
        <f t="shared" si="4"/>
        <v>7.2</v>
      </c>
      <c r="AB28" s="98">
        <f t="shared" si="4"/>
        <v>7.9200000000000008</v>
      </c>
      <c r="AC28"/>
      <c r="AD28" s="97">
        <v>0</v>
      </c>
      <c r="AE28" s="92">
        <v>0</v>
      </c>
      <c r="AF28" s="98">
        <f t="shared" si="2"/>
        <v>0</v>
      </c>
      <c r="AG28" s="97">
        <v>0</v>
      </c>
      <c r="AH28" s="92">
        <v>0</v>
      </c>
      <c r="AI28" s="98">
        <f t="shared" si="3"/>
        <v>0</v>
      </c>
      <c r="AJ28" s="99">
        <f t="shared" si="1"/>
        <v>0</v>
      </c>
      <c r="AK28" s="102" t="str">
        <f>+IF(AB28+AA28+AJ28&lt;=0, "NO COMPRADOR", +IF(AJ28&lt;=0, "SIN COMPRA "&amp;+UPPER(TEXT('DINAMICA ENERO 26'!$C$2,"mmm 'yy")), "COMPRADOR"))</f>
        <v>SIN COMPRA FEB '26</v>
      </c>
      <c r="AM28" s="101"/>
    </row>
    <row r="29" spans="1:42" s="104" customFormat="1" hidden="1">
      <c r="A29" s="88" t="s">
        <v>85</v>
      </c>
      <c r="B29" s="89" t="s">
        <v>113</v>
      </c>
      <c r="C29" s="89" t="s">
        <v>60</v>
      </c>
      <c r="D29" s="103">
        <v>100088165</v>
      </c>
      <c r="E29" s="89" t="s">
        <v>62</v>
      </c>
      <c r="F29" s="89">
        <v>100080926</v>
      </c>
      <c r="G29" s="128" t="s">
        <v>116</v>
      </c>
      <c r="H29"/>
      <c r="I29"/>
      <c r="J29"/>
      <c r="K29"/>
      <c r="L29"/>
      <c r="M29"/>
      <c r="N29"/>
      <c r="O29"/>
      <c r="P29"/>
      <c r="Q29"/>
      <c r="R29"/>
      <c r="S29" s="91">
        <v>21.6</v>
      </c>
      <c r="T29" s="94">
        <v>21.6</v>
      </c>
      <c r="U29" s="91">
        <v>43.2</v>
      </c>
      <c r="V29" s="129">
        <v>43.2</v>
      </c>
      <c r="W29" s="91">
        <v>0</v>
      </c>
      <c r="X29" s="129">
        <v>0</v>
      </c>
      <c r="Y29" s="91">
        <v>86.4</v>
      </c>
      <c r="Z29" s="129">
        <v>86.4</v>
      </c>
      <c r="AA29" s="155">
        <f t="shared" si="4"/>
        <v>43.20000000000001</v>
      </c>
      <c r="AB29" s="98">
        <f t="shared" si="4"/>
        <v>43.20000000000001</v>
      </c>
      <c r="AC29"/>
      <c r="AD29" s="97">
        <v>0</v>
      </c>
      <c r="AE29" s="92">
        <v>0</v>
      </c>
      <c r="AF29" s="98">
        <f t="shared" si="2"/>
        <v>0</v>
      </c>
      <c r="AG29" s="97">
        <v>64.800000000000011</v>
      </c>
      <c r="AH29" s="92">
        <v>0</v>
      </c>
      <c r="AI29" s="98">
        <f t="shared" si="3"/>
        <v>64.800000000000011</v>
      </c>
      <c r="AJ29" s="99">
        <f t="shared" si="1"/>
        <v>64.800000000000011</v>
      </c>
      <c r="AK29" s="102" t="str">
        <f>+IF(AB29+AA29+AJ29&lt;=0, "NO COMPRADOR", +IF(AJ29&lt;=0, "SIN COMPRA "&amp;+UPPER(TEXT('DINAMICA ENERO 26'!$C$2,"mmm 'yy")), "COMPRADOR"))</f>
        <v>COMPRADOR</v>
      </c>
      <c r="AL29" s="100"/>
      <c r="AM29" s="101"/>
      <c r="AN29" s="100"/>
      <c r="AO29" s="100"/>
      <c r="AP29" s="100"/>
    </row>
    <row r="30" spans="1:42" s="100" customFormat="1" hidden="1">
      <c r="A30" s="88" t="s">
        <v>85</v>
      </c>
      <c r="B30" s="89" t="s">
        <v>113</v>
      </c>
      <c r="C30" s="89" t="s">
        <v>60</v>
      </c>
      <c r="D30" s="103">
        <v>100088165</v>
      </c>
      <c r="E30" s="89" t="s">
        <v>62</v>
      </c>
      <c r="F30" s="89">
        <v>100077115</v>
      </c>
      <c r="G30" s="128" t="s">
        <v>117</v>
      </c>
      <c r="H30"/>
      <c r="I30"/>
      <c r="J30"/>
      <c r="K30"/>
      <c r="L30"/>
      <c r="M30"/>
      <c r="N30"/>
      <c r="O30"/>
      <c r="P30"/>
      <c r="Q30"/>
      <c r="R30"/>
      <c r="S30" s="91">
        <v>0</v>
      </c>
      <c r="T30" s="94">
        <v>0</v>
      </c>
      <c r="U30" s="91">
        <v>0</v>
      </c>
      <c r="V30" s="129">
        <v>0</v>
      </c>
      <c r="W30" s="91">
        <v>0</v>
      </c>
      <c r="X30" s="129">
        <v>0</v>
      </c>
      <c r="Y30" s="91">
        <v>0</v>
      </c>
      <c r="Z30" s="129">
        <v>0</v>
      </c>
      <c r="AA30" s="155">
        <f t="shared" si="4"/>
        <v>0</v>
      </c>
      <c r="AB30" s="98">
        <f t="shared" si="4"/>
        <v>0</v>
      </c>
      <c r="AC30"/>
      <c r="AD30" s="97">
        <v>0</v>
      </c>
      <c r="AE30" s="92">
        <v>0</v>
      </c>
      <c r="AF30" s="98">
        <f t="shared" si="2"/>
        <v>0</v>
      </c>
      <c r="AG30" s="97">
        <v>0</v>
      </c>
      <c r="AH30" s="92">
        <v>0</v>
      </c>
      <c r="AI30" s="98">
        <f t="shared" si="3"/>
        <v>0</v>
      </c>
      <c r="AJ30" s="99">
        <f t="shared" si="1"/>
        <v>0</v>
      </c>
      <c r="AK30" s="102" t="str">
        <f>+IF(AB30+AA30+AJ30&lt;=0, "NO COMPRADOR", +IF(AJ30&lt;=0, "SIN COMPRA "&amp;+UPPER(TEXT('DINAMICA ENERO 26'!$C$2,"mmm 'yy")), "COMPRADOR"))</f>
        <v>NO COMPRADOR</v>
      </c>
      <c r="AM30" s="101"/>
    </row>
    <row r="31" spans="1:42" s="100" customFormat="1" hidden="1">
      <c r="A31" s="88" t="s">
        <v>85</v>
      </c>
      <c r="B31" s="89" t="s">
        <v>113</v>
      </c>
      <c r="C31" s="89" t="s">
        <v>60</v>
      </c>
      <c r="D31" s="103">
        <v>100088165</v>
      </c>
      <c r="E31" s="89" t="s">
        <v>62</v>
      </c>
      <c r="F31" s="89">
        <v>100078578</v>
      </c>
      <c r="G31" s="128" t="s">
        <v>118</v>
      </c>
      <c r="H31"/>
      <c r="I31"/>
      <c r="J31"/>
      <c r="K31"/>
      <c r="L31"/>
      <c r="M31"/>
      <c r="N31"/>
      <c r="O31"/>
      <c r="P31"/>
      <c r="Q31"/>
      <c r="R31"/>
      <c r="S31" s="91">
        <v>17.28</v>
      </c>
      <c r="T31" s="94">
        <v>17.28</v>
      </c>
      <c r="U31" s="91">
        <v>0</v>
      </c>
      <c r="V31" s="129">
        <v>10.8</v>
      </c>
      <c r="W31" s="91">
        <v>10.8</v>
      </c>
      <c r="X31" s="129">
        <v>0</v>
      </c>
      <c r="Y31" s="91">
        <v>0</v>
      </c>
      <c r="Z31" s="129">
        <v>10.8</v>
      </c>
      <c r="AA31" s="155">
        <f t="shared" si="4"/>
        <v>3.6</v>
      </c>
      <c r="AB31" s="98">
        <f t="shared" si="4"/>
        <v>7.2</v>
      </c>
      <c r="AC31"/>
      <c r="AD31" s="97">
        <v>0</v>
      </c>
      <c r="AE31" s="92">
        <v>0</v>
      </c>
      <c r="AF31" s="98">
        <f t="shared" si="2"/>
        <v>0</v>
      </c>
      <c r="AG31" s="97">
        <v>0</v>
      </c>
      <c r="AH31" s="92">
        <v>0</v>
      </c>
      <c r="AI31" s="98">
        <f t="shared" si="3"/>
        <v>0</v>
      </c>
      <c r="AJ31" s="99">
        <f t="shared" si="1"/>
        <v>0</v>
      </c>
      <c r="AK31" s="102" t="str">
        <f>+IF(AB31+AA31+AJ31&lt;=0, "NO COMPRADOR", +IF(AJ31&lt;=0, "SIN COMPRA "&amp;+UPPER(TEXT('DINAMICA ENERO 26'!$C$2,"mmm 'yy")), "COMPRADOR"))</f>
        <v>SIN COMPRA FEB '26</v>
      </c>
      <c r="AM31" s="101"/>
    </row>
    <row r="32" spans="1:42" s="104" customFormat="1" hidden="1">
      <c r="A32" s="88" t="s">
        <v>85</v>
      </c>
      <c r="B32" s="89" t="s">
        <v>113</v>
      </c>
      <c r="C32" s="89" t="s">
        <v>60</v>
      </c>
      <c r="D32" s="103">
        <v>100088165</v>
      </c>
      <c r="E32" s="89" t="s">
        <v>62</v>
      </c>
      <c r="F32" s="89">
        <v>100021337</v>
      </c>
      <c r="G32" s="128" t="s">
        <v>119</v>
      </c>
      <c r="H32"/>
      <c r="I32"/>
      <c r="J32"/>
      <c r="K32"/>
      <c r="L32"/>
      <c r="M32"/>
      <c r="N32"/>
      <c r="O32"/>
      <c r="P32"/>
      <c r="Q32"/>
      <c r="R32"/>
      <c r="S32" s="91">
        <v>32.400000000000006</v>
      </c>
      <c r="T32" s="94">
        <v>32.400000000000006</v>
      </c>
      <c r="U32" s="91">
        <v>0</v>
      </c>
      <c r="V32" s="129">
        <v>0</v>
      </c>
      <c r="W32" s="91">
        <v>2.16</v>
      </c>
      <c r="X32" s="129">
        <v>2.16</v>
      </c>
      <c r="Y32" s="91">
        <v>0</v>
      </c>
      <c r="Z32" s="129">
        <v>0</v>
      </c>
      <c r="AA32" s="155">
        <f t="shared" si="4"/>
        <v>0.72000000000000008</v>
      </c>
      <c r="AB32" s="98">
        <f t="shared" si="4"/>
        <v>0.72000000000000008</v>
      </c>
      <c r="AC32"/>
      <c r="AD32" s="97">
        <v>0</v>
      </c>
      <c r="AE32" s="92">
        <v>0</v>
      </c>
      <c r="AF32" s="98">
        <f t="shared" si="2"/>
        <v>0</v>
      </c>
      <c r="AG32" s="97">
        <v>0</v>
      </c>
      <c r="AH32" s="92">
        <v>0</v>
      </c>
      <c r="AI32" s="98">
        <f t="shared" si="3"/>
        <v>0</v>
      </c>
      <c r="AJ32" s="99">
        <f t="shared" si="1"/>
        <v>0</v>
      </c>
      <c r="AK32" s="102" t="str">
        <f>+IF(AB32+AA32+AJ32&lt;=0, "NO COMPRADOR", +IF(AJ32&lt;=0, "SIN COMPRA "&amp;+UPPER(TEXT('DINAMICA ENERO 26'!$C$2,"mmm 'yy")), "COMPRADOR"))</f>
        <v>SIN COMPRA FEB '26</v>
      </c>
      <c r="AL32" s="100"/>
      <c r="AM32" s="101"/>
      <c r="AN32" s="100"/>
      <c r="AO32" s="100"/>
      <c r="AP32" s="100"/>
    </row>
    <row r="33" spans="1:42" s="104" customFormat="1" hidden="1">
      <c r="A33" s="88" t="s">
        <v>85</v>
      </c>
      <c r="B33" s="89" t="s">
        <v>120</v>
      </c>
      <c r="C33" s="89" t="s">
        <v>52</v>
      </c>
      <c r="D33" s="103">
        <v>100088149</v>
      </c>
      <c r="E33" s="89" t="s">
        <v>56</v>
      </c>
      <c r="F33" s="89">
        <v>100002239</v>
      </c>
      <c r="G33" s="128" t="s">
        <v>121</v>
      </c>
      <c r="H33"/>
      <c r="I33"/>
      <c r="J33"/>
      <c r="K33"/>
      <c r="L33"/>
      <c r="M33"/>
      <c r="N33"/>
      <c r="O33"/>
      <c r="P33"/>
      <c r="Q33"/>
      <c r="R33"/>
      <c r="S33" s="91">
        <v>0</v>
      </c>
      <c r="T33" s="94">
        <v>0</v>
      </c>
      <c r="U33" s="91">
        <v>0</v>
      </c>
      <c r="V33" s="129">
        <v>0</v>
      </c>
      <c r="W33" s="91">
        <v>0</v>
      </c>
      <c r="X33" s="129">
        <v>0</v>
      </c>
      <c r="Y33" s="91">
        <v>0</v>
      </c>
      <c r="Z33" s="129">
        <v>0</v>
      </c>
      <c r="AA33" s="155">
        <f t="shared" si="4"/>
        <v>0</v>
      </c>
      <c r="AB33" s="98">
        <f t="shared" si="4"/>
        <v>0</v>
      </c>
      <c r="AC33"/>
      <c r="AD33" s="97">
        <v>0</v>
      </c>
      <c r="AE33" s="92">
        <v>0</v>
      </c>
      <c r="AF33" s="98">
        <f t="shared" si="2"/>
        <v>0</v>
      </c>
      <c r="AG33" s="97">
        <v>0</v>
      </c>
      <c r="AH33" s="92">
        <v>0</v>
      </c>
      <c r="AI33" s="98">
        <f t="shared" si="3"/>
        <v>0</v>
      </c>
      <c r="AJ33" s="99">
        <f t="shared" si="1"/>
        <v>0</v>
      </c>
      <c r="AK33" s="102" t="str">
        <f>+IF(AB33+AA33+AJ33&lt;=0, "NO COMPRADOR", +IF(AJ33&lt;=0, "SIN COMPRA "&amp;+UPPER(TEXT('DINAMICA ENERO 26'!$C$2,"mmm 'yy")), "COMPRADOR"))</f>
        <v>NO COMPRADOR</v>
      </c>
      <c r="AL33" s="100"/>
      <c r="AM33" s="101"/>
      <c r="AN33" s="100"/>
      <c r="AO33" s="100"/>
      <c r="AP33" s="100"/>
    </row>
    <row r="34" spans="1:42" s="100" customFormat="1" hidden="1">
      <c r="A34" s="88" t="s">
        <v>85</v>
      </c>
      <c r="B34" s="89" t="s">
        <v>120</v>
      </c>
      <c r="C34" s="89" t="s">
        <v>52</v>
      </c>
      <c r="D34" s="103">
        <v>100088149</v>
      </c>
      <c r="E34" s="89" t="s">
        <v>56</v>
      </c>
      <c r="F34" s="89">
        <v>100024103</v>
      </c>
      <c r="G34" s="128" t="s">
        <v>122</v>
      </c>
      <c r="H34"/>
      <c r="I34"/>
      <c r="J34"/>
      <c r="K34"/>
      <c r="L34"/>
      <c r="M34"/>
      <c r="N34"/>
      <c r="O34"/>
      <c r="P34"/>
      <c r="Q34"/>
      <c r="R34"/>
      <c r="S34" s="91">
        <v>0</v>
      </c>
      <c r="T34" s="94">
        <v>0</v>
      </c>
      <c r="U34" s="91">
        <v>2.16</v>
      </c>
      <c r="V34" s="129">
        <v>2.16</v>
      </c>
      <c r="W34" s="91">
        <v>0</v>
      </c>
      <c r="X34" s="129">
        <v>0</v>
      </c>
      <c r="Y34" s="91">
        <v>0</v>
      </c>
      <c r="Z34" s="129">
        <v>0</v>
      </c>
      <c r="AA34" s="155">
        <f t="shared" si="4"/>
        <v>0.72000000000000008</v>
      </c>
      <c r="AB34" s="98">
        <f t="shared" si="4"/>
        <v>0.72000000000000008</v>
      </c>
      <c r="AC34"/>
      <c r="AD34" s="97">
        <v>0</v>
      </c>
      <c r="AE34" s="92">
        <v>0</v>
      </c>
      <c r="AF34" s="98">
        <f t="shared" si="2"/>
        <v>0</v>
      </c>
      <c r="AG34" s="97">
        <v>0</v>
      </c>
      <c r="AH34" s="92">
        <v>0</v>
      </c>
      <c r="AI34" s="98">
        <f t="shared" si="3"/>
        <v>0</v>
      </c>
      <c r="AJ34" s="99">
        <f t="shared" si="1"/>
        <v>0</v>
      </c>
      <c r="AK34" s="102" t="str">
        <f>+IF(AB34+AA34+AJ34&lt;=0, "NO COMPRADOR", +IF(AJ34&lt;=0, "SIN COMPRA "&amp;+UPPER(TEXT('DINAMICA ENERO 26'!$C$2,"mmm 'yy")), "COMPRADOR"))</f>
        <v>SIN COMPRA FEB '26</v>
      </c>
      <c r="AM34" s="101"/>
    </row>
    <row r="35" spans="1:42" s="100" customFormat="1" hidden="1">
      <c r="A35" s="88" t="s">
        <v>85</v>
      </c>
      <c r="B35" s="89" t="s">
        <v>120</v>
      </c>
      <c r="C35" s="89" t="s">
        <v>52</v>
      </c>
      <c r="D35" s="103">
        <v>100088149</v>
      </c>
      <c r="E35" s="89" t="s">
        <v>56</v>
      </c>
      <c r="F35" s="89">
        <v>100086135</v>
      </c>
      <c r="G35" s="128" t="s">
        <v>123</v>
      </c>
      <c r="H35"/>
      <c r="I35"/>
      <c r="J35"/>
      <c r="K35"/>
      <c r="L35"/>
      <c r="M35"/>
      <c r="N35"/>
      <c r="O35"/>
      <c r="P35"/>
      <c r="Q35"/>
      <c r="R35"/>
      <c r="S35" s="91">
        <v>0</v>
      </c>
      <c r="T35" s="94">
        <v>0</v>
      </c>
      <c r="U35" s="91">
        <v>4.32</v>
      </c>
      <c r="V35" s="129">
        <v>4.32</v>
      </c>
      <c r="W35" s="91">
        <v>0</v>
      </c>
      <c r="X35" s="129">
        <v>0</v>
      </c>
      <c r="Y35" s="91">
        <v>6.48</v>
      </c>
      <c r="Z35" s="129">
        <v>6.48</v>
      </c>
      <c r="AA35" s="155">
        <f t="shared" si="4"/>
        <v>3.6</v>
      </c>
      <c r="AB35" s="98">
        <f t="shared" si="4"/>
        <v>3.6</v>
      </c>
      <c r="AC35"/>
      <c r="AD35" s="97">
        <v>0</v>
      </c>
      <c r="AE35" s="92">
        <v>0</v>
      </c>
      <c r="AF35" s="98">
        <f t="shared" si="2"/>
        <v>0</v>
      </c>
      <c r="AG35" s="97">
        <v>0</v>
      </c>
      <c r="AH35" s="92">
        <v>0</v>
      </c>
      <c r="AI35" s="98">
        <f t="shared" si="3"/>
        <v>0</v>
      </c>
      <c r="AJ35" s="99">
        <f t="shared" si="1"/>
        <v>0</v>
      </c>
      <c r="AK35" s="102" t="str">
        <f>+IF(AB35+AA35+AJ35&lt;=0, "NO COMPRADOR", +IF(AJ35&lt;=0, "SIN COMPRA "&amp;+UPPER(TEXT('DINAMICA ENERO 26'!$C$2,"mmm 'yy")), "COMPRADOR"))</f>
        <v>SIN COMPRA FEB '26</v>
      </c>
      <c r="AM35" s="101"/>
    </row>
    <row r="36" spans="1:42" s="100" customFormat="1" hidden="1">
      <c r="A36" s="88" t="s">
        <v>85</v>
      </c>
      <c r="B36" s="89" t="s">
        <v>120</v>
      </c>
      <c r="C36" s="89" t="s">
        <v>52</v>
      </c>
      <c r="D36" s="103">
        <v>100088149</v>
      </c>
      <c r="E36" s="89" t="s">
        <v>56</v>
      </c>
      <c r="F36" s="89">
        <v>100077830</v>
      </c>
      <c r="G36" s="128" t="s">
        <v>124</v>
      </c>
      <c r="H36"/>
      <c r="I36"/>
      <c r="J36"/>
      <c r="K36"/>
      <c r="L36"/>
      <c r="M36"/>
      <c r="N36"/>
      <c r="O36"/>
      <c r="P36"/>
      <c r="Q36"/>
      <c r="R36"/>
      <c r="S36" s="91">
        <v>4.32</v>
      </c>
      <c r="T36" s="94">
        <v>4.32</v>
      </c>
      <c r="U36" s="91">
        <v>4.32</v>
      </c>
      <c r="V36" s="129">
        <v>4.32</v>
      </c>
      <c r="W36" s="91">
        <v>10.8</v>
      </c>
      <c r="X36" s="129">
        <v>10.8</v>
      </c>
      <c r="Y36" s="91">
        <v>0</v>
      </c>
      <c r="Z36" s="129">
        <v>0</v>
      </c>
      <c r="AA36" s="155">
        <f t="shared" si="4"/>
        <v>5.04</v>
      </c>
      <c r="AB36" s="98">
        <f t="shared" si="4"/>
        <v>5.04</v>
      </c>
      <c r="AC36"/>
      <c r="AD36" s="97">
        <v>0</v>
      </c>
      <c r="AE36" s="92">
        <v>0</v>
      </c>
      <c r="AF36" s="98">
        <f t="shared" si="2"/>
        <v>0</v>
      </c>
      <c r="AG36" s="97">
        <v>0</v>
      </c>
      <c r="AH36" s="92">
        <v>0</v>
      </c>
      <c r="AI36" s="98">
        <f t="shared" si="3"/>
        <v>0</v>
      </c>
      <c r="AJ36" s="99">
        <f t="shared" si="1"/>
        <v>0</v>
      </c>
      <c r="AK36" s="102" t="str">
        <f>+IF(AB36+AA36+AJ36&lt;=0, "NO COMPRADOR", +IF(AJ36&lt;=0, "SIN COMPRA "&amp;+UPPER(TEXT('DINAMICA ENERO 26'!$C$2,"mmm 'yy")), "COMPRADOR"))</f>
        <v>SIN COMPRA FEB '26</v>
      </c>
      <c r="AM36" s="101"/>
    </row>
    <row r="37" spans="1:42" s="100" customFormat="1" hidden="1">
      <c r="A37" s="88" t="s">
        <v>85</v>
      </c>
      <c r="B37" s="89" t="s">
        <v>120</v>
      </c>
      <c r="C37" s="89" t="s">
        <v>52</v>
      </c>
      <c r="D37" s="103">
        <v>100088149</v>
      </c>
      <c r="E37" s="89" t="s">
        <v>56</v>
      </c>
      <c r="F37" s="89">
        <v>100066030</v>
      </c>
      <c r="G37" s="128" t="s">
        <v>125</v>
      </c>
      <c r="H37"/>
      <c r="I37"/>
      <c r="J37"/>
      <c r="K37"/>
      <c r="L37"/>
      <c r="M37"/>
      <c r="N37"/>
      <c r="O37"/>
      <c r="P37"/>
      <c r="Q37"/>
      <c r="R37"/>
      <c r="S37" s="91">
        <v>2.16</v>
      </c>
      <c r="T37" s="94">
        <v>2.16</v>
      </c>
      <c r="U37" s="91">
        <v>0</v>
      </c>
      <c r="V37" s="129">
        <v>0</v>
      </c>
      <c r="W37" s="91">
        <v>0</v>
      </c>
      <c r="X37" s="129">
        <v>0</v>
      </c>
      <c r="Y37" s="91">
        <v>0</v>
      </c>
      <c r="Z37" s="129">
        <v>0</v>
      </c>
      <c r="AA37" s="155">
        <f t="shared" si="4"/>
        <v>0</v>
      </c>
      <c r="AB37" s="98">
        <f t="shared" si="4"/>
        <v>0</v>
      </c>
      <c r="AC37"/>
      <c r="AD37" s="97">
        <v>0</v>
      </c>
      <c r="AE37" s="92">
        <v>0</v>
      </c>
      <c r="AF37" s="98">
        <f t="shared" si="2"/>
        <v>0</v>
      </c>
      <c r="AG37" s="97">
        <v>0</v>
      </c>
      <c r="AH37" s="92">
        <v>0</v>
      </c>
      <c r="AI37" s="98">
        <f t="shared" si="3"/>
        <v>0</v>
      </c>
      <c r="AJ37" s="99">
        <f t="shared" si="1"/>
        <v>0</v>
      </c>
      <c r="AK37" s="102" t="str">
        <f>+IF(AB37+AA37+AJ37&lt;=0, "NO COMPRADOR", +IF(AJ37&lt;=0, "SIN COMPRA "&amp;+UPPER(TEXT('DINAMICA ENERO 26'!$C$2,"mmm 'yy")), "COMPRADOR"))</f>
        <v>NO COMPRADOR</v>
      </c>
      <c r="AM37" s="101"/>
    </row>
    <row r="38" spans="1:42" s="100" customFormat="1" hidden="1">
      <c r="A38" s="88" t="s">
        <v>85</v>
      </c>
      <c r="B38" s="89" t="s">
        <v>120</v>
      </c>
      <c r="C38" s="89" t="s">
        <v>52</v>
      </c>
      <c r="D38" s="103">
        <v>100088149</v>
      </c>
      <c r="E38" s="89" t="s">
        <v>56</v>
      </c>
      <c r="F38" s="89">
        <v>100085622</v>
      </c>
      <c r="G38" s="128" t="s">
        <v>126</v>
      </c>
      <c r="H38"/>
      <c r="I38"/>
      <c r="J38"/>
      <c r="K38"/>
      <c r="L38"/>
      <c r="M38"/>
      <c r="N38"/>
      <c r="O38"/>
      <c r="P38"/>
      <c r="Q38"/>
      <c r="R38"/>
      <c r="S38" s="91">
        <v>2.16</v>
      </c>
      <c r="T38" s="94">
        <v>2.16</v>
      </c>
      <c r="U38" s="91">
        <v>4.32</v>
      </c>
      <c r="V38" s="129">
        <v>4.32</v>
      </c>
      <c r="W38" s="91">
        <v>0</v>
      </c>
      <c r="X38" s="129">
        <v>0</v>
      </c>
      <c r="Y38" s="91">
        <v>0</v>
      </c>
      <c r="Z38" s="129">
        <v>0</v>
      </c>
      <c r="AA38" s="155">
        <f t="shared" si="4"/>
        <v>1.4400000000000002</v>
      </c>
      <c r="AB38" s="98">
        <f t="shared" si="4"/>
        <v>1.4400000000000002</v>
      </c>
      <c r="AC38"/>
      <c r="AD38" s="97">
        <v>0</v>
      </c>
      <c r="AE38" s="92">
        <v>0</v>
      </c>
      <c r="AF38" s="98">
        <f t="shared" si="2"/>
        <v>0</v>
      </c>
      <c r="AG38" s="97">
        <v>0</v>
      </c>
      <c r="AH38" s="92">
        <v>0</v>
      </c>
      <c r="AI38" s="98">
        <f t="shared" si="3"/>
        <v>0</v>
      </c>
      <c r="AJ38" s="99">
        <f t="shared" si="1"/>
        <v>0</v>
      </c>
      <c r="AK38" s="102" t="str">
        <f>+IF(AB38+AA38+AJ38&lt;=0, "NO COMPRADOR", +IF(AJ38&lt;=0, "SIN COMPRA "&amp;+UPPER(TEXT('DINAMICA ENERO 26'!$C$2,"mmm 'yy")), "COMPRADOR"))</f>
        <v>SIN COMPRA FEB '26</v>
      </c>
      <c r="AM38" s="101"/>
    </row>
    <row r="39" spans="1:42" s="104" customFormat="1" hidden="1">
      <c r="A39" s="88" t="s">
        <v>85</v>
      </c>
      <c r="B39" s="89" t="s">
        <v>120</v>
      </c>
      <c r="C39" s="89" t="s">
        <v>52</v>
      </c>
      <c r="D39" s="103">
        <v>100088149</v>
      </c>
      <c r="E39" s="89" t="s">
        <v>56</v>
      </c>
      <c r="F39" s="89">
        <v>100079184</v>
      </c>
      <c r="G39" s="128" t="s">
        <v>127</v>
      </c>
      <c r="H39"/>
      <c r="I39"/>
      <c r="J39"/>
      <c r="K39"/>
      <c r="L39"/>
      <c r="M39"/>
      <c r="N39"/>
      <c r="O39"/>
      <c r="P39"/>
      <c r="Q39"/>
      <c r="R39"/>
      <c r="S39" s="91">
        <v>0</v>
      </c>
      <c r="T39" s="94">
        <v>0</v>
      </c>
      <c r="U39" s="91">
        <v>4.32</v>
      </c>
      <c r="V39" s="129">
        <v>4.32</v>
      </c>
      <c r="W39" s="91">
        <v>0</v>
      </c>
      <c r="X39" s="129">
        <v>0</v>
      </c>
      <c r="Y39" s="91">
        <v>10.8</v>
      </c>
      <c r="Z39" s="129">
        <v>10.8</v>
      </c>
      <c r="AA39" s="155">
        <f t="shared" si="4"/>
        <v>5.04</v>
      </c>
      <c r="AB39" s="98">
        <f t="shared" si="4"/>
        <v>5.04</v>
      </c>
      <c r="AC39"/>
      <c r="AD39" s="97">
        <v>0</v>
      </c>
      <c r="AE39" s="92">
        <v>0</v>
      </c>
      <c r="AF39" s="98">
        <f t="shared" si="2"/>
        <v>0</v>
      </c>
      <c r="AG39" s="97">
        <v>0</v>
      </c>
      <c r="AH39" s="92">
        <v>0</v>
      </c>
      <c r="AI39" s="98">
        <f t="shared" si="3"/>
        <v>0</v>
      </c>
      <c r="AJ39" s="99">
        <f t="shared" si="1"/>
        <v>0</v>
      </c>
      <c r="AK39" s="102" t="str">
        <f>+IF(AB39+AA39+AJ39&lt;=0, "NO COMPRADOR", +IF(AJ39&lt;=0, "SIN COMPRA "&amp;+UPPER(TEXT('DINAMICA ENERO 26'!$C$2,"mmm 'yy")), "COMPRADOR"))</f>
        <v>SIN COMPRA FEB '26</v>
      </c>
      <c r="AL39" s="100"/>
      <c r="AM39" s="101"/>
      <c r="AN39" s="100"/>
      <c r="AO39" s="100"/>
      <c r="AP39" s="100"/>
    </row>
    <row r="40" spans="1:42" s="104" customFormat="1" hidden="1">
      <c r="A40" s="88" t="s">
        <v>85</v>
      </c>
      <c r="B40" s="89" t="s">
        <v>120</v>
      </c>
      <c r="C40" s="89" t="s">
        <v>52</v>
      </c>
      <c r="D40" s="103">
        <v>100088149</v>
      </c>
      <c r="E40" s="89" t="s">
        <v>56</v>
      </c>
      <c r="F40" s="89">
        <v>100071982</v>
      </c>
      <c r="G40" s="128" t="s">
        <v>128</v>
      </c>
      <c r="H40"/>
      <c r="I40"/>
      <c r="J40"/>
      <c r="K40"/>
      <c r="L40"/>
      <c r="M40"/>
      <c r="N40"/>
      <c r="O40"/>
      <c r="P40"/>
      <c r="Q40"/>
      <c r="R40"/>
      <c r="S40" s="91">
        <v>30.240000000000002</v>
      </c>
      <c r="T40" s="94">
        <v>30.240000000000002</v>
      </c>
      <c r="U40" s="91">
        <v>4.32</v>
      </c>
      <c r="V40" s="129">
        <v>21.6</v>
      </c>
      <c r="W40" s="91">
        <v>2.16</v>
      </c>
      <c r="X40" s="129">
        <v>23.76</v>
      </c>
      <c r="Y40" s="91">
        <v>0</v>
      </c>
      <c r="Z40" s="129">
        <v>21.6</v>
      </c>
      <c r="AA40" s="155">
        <f t="shared" si="4"/>
        <v>2.16</v>
      </c>
      <c r="AB40" s="98">
        <f t="shared" si="4"/>
        <v>22.320000000000004</v>
      </c>
      <c r="AC40"/>
      <c r="AD40" s="97">
        <v>0</v>
      </c>
      <c r="AE40" s="92">
        <v>0</v>
      </c>
      <c r="AF40" s="98">
        <f t="shared" si="2"/>
        <v>0</v>
      </c>
      <c r="AG40" s="97">
        <v>21.6</v>
      </c>
      <c r="AH40" s="92">
        <v>0</v>
      </c>
      <c r="AI40" s="98">
        <f t="shared" si="3"/>
        <v>21.6</v>
      </c>
      <c r="AJ40" s="99">
        <f t="shared" si="1"/>
        <v>21.6</v>
      </c>
      <c r="AK40" s="102" t="str">
        <f>+IF(AB40+AA40+AJ40&lt;=0, "NO COMPRADOR", +IF(AJ40&lt;=0, "SIN COMPRA "&amp;+UPPER(TEXT('DINAMICA ENERO 26'!$C$2,"mmm 'yy")), "COMPRADOR"))</f>
        <v>COMPRADOR</v>
      </c>
      <c r="AL40" s="100"/>
      <c r="AM40" s="101"/>
      <c r="AN40" s="100"/>
      <c r="AO40" s="100"/>
      <c r="AP40" s="100"/>
    </row>
    <row r="41" spans="1:42" s="100" customFormat="1" hidden="1">
      <c r="A41" s="88" t="s">
        <v>85</v>
      </c>
      <c r="B41" s="89" t="s">
        <v>120</v>
      </c>
      <c r="C41" s="89" t="s">
        <v>52</v>
      </c>
      <c r="D41" s="103">
        <v>100088149</v>
      </c>
      <c r="E41" s="89" t="s">
        <v>56</v>
      </c>
      <c r="F41" s="89">
        <v>100001605</v>
      </c>
      <c r="G41" s="128" t="s">
        <v>129</v>
      </c>
      <c r="H41"/>
      <c r="I41"/>
      <c r="J41"/>
      <c r="K41"/>
      <c r="L41"/>
      <c r="M41"/>
      <c r="N41"/>
      <c r="O41"/>
      <c r="P41"/>
      <c r="Q41"/>
      <c r="R41"/>
      <c r="S41" s="91">
        <v>8.64</v>
      </c>
      <c r="T41" s="94">
        <v>8.64</v>
      </c>
      <c r="U41" s="91">
        <v>4.32</v>
      </c>
      <c r="V41" s="129">
        <v>4.32</v>
      </c>
      <c r="W41" s="91">
        <v>8.64</v>
      </c>
      <c r="X41" s="129">
        <v>8.64</v>
      </c>
      <c r="Y41" s="91">
        <v>-4.32</v>
      </c>
      <c r="Z41" s="129">
        <v>-4.32</v>
      </c>
      <c r="AA41" s="155">
        <f t="shared" si="4"/>
        <v>2.8800000000000003</v>
      </c>
      <c r="AB41" s="98">
        <f t="shared" si="4"/>
        <v>2.8800000000000003</v>
      </c>
      <c r="AC41"/>
      <c r="AD41" s="97">
        <v>19.440000000000001</v>
      </c>
      <c r="AE41" s="92">
        <v>0</v>
      </c>
      <c r="AF41" s="98">
        <f t="shared" si="2"/>
        <v>19.440000000000001</v>
      </c>
      <c r="AG41" s="97">
        <v>19.440000000000001</v>
      </c>
      <c r="AH41" s="92">
        <v>0</v>
      </c>
      <c r="AI41" s="98">
        <f t="shared" si="3"/>
        <v>19.440000000000001</v>
      </c>
      <c r="AJ41" s="99">
        <f t="shared" si="1"/>
        <v>38.880000000000003</v>
      </c>
      <c r="AK41" s="102" t="str">
        <f>+IF(AB41+AA41+AJ41&lt;=0, "NO COMPRADOR", +IF(AJ41&lt;=0, "SIN COMPRA "&amp;+UPPER(TEXT('DINAMICA ENERO 26'!$C$2,"mmm 'yy")), "COMPRADOR"))</f>
        <v>COMPRADOR</v>
      </c>
      <c r="AM41" s="101"/>
    </row>
    <row r="42" spans="1:42" s="100" customFormat="1" hidden="1">
      <c r="A42" s="88" t="s">
        <v>85</v>
      </c>
      <c r="B42" s="89" t="s">
        <v>120</v>
      </c>
      <c r="C42" s="89" t="s">
        <v>52</v>
      </c>
      <c r="D42" s="103">
        <v>100088149</v>
      </c>
      <c r="E42" s="89" t="s">
        <v>56</v>
      </c>
      <c r="F42" s="89">
        <v>100082658</v>
      </c>
      <c r="G42" s="128" t="s">
        <v>130</v>
      </c>
      <c r="H42"/>
      <c r="I42"/>
      <c r="J42"/>
      <c r="K42"/>
      <c r="L42"/>
      <c r="M42"/>
      <c r="N42"/>
      <c r="O42"/>
      <c r="P42"/>
      <c r="Q42"/>
      <c r="R42"/>
      <c r="S42" s="91">
        <v>0</v>
      </c>
      <c r="T42" s="94">
        <v>0</v>
      </c>
      <c r="U42" s="91">
        <v>0</v>
      </c>
      <c r="V42" s="129">
        <v>0</v>
      </c>
      <c r="W42" s="91">
        <v>0</v>
      </c>
      <c r="X42" s="129">
        <v>0</v>
      </c>
      <c r="Y42" s="91">
        <v>0</v>
      </c>
      <c r="Z42" s="129">
        <v>0</v>
      </c>
      <c r="AA42" s="155">
        <f t="shared" si="4"/>
        <v>0</v>
      </c>
      <c r="AB42" s="98">
        <f t="shared" si="4"/>
        <v>0</v>
      </c>
      <c r="AC42"/>
      <c r="AD42" s="97">
        <v>0</v>
      </c>
      <c r="AE42" s="92">
        <v>0</v>
      </c>
      <c r="AF42" s="98">
        <f t="shared" si="2"/>
        <v>0</v>
      </c>
      <c r="AG42" s="97">
        <v>0</v>
      </c>
      <c r="AH42" s="92">
        <v>0</v>
      </c>
      <c r="AI42" s="98">
        <f t="shared" si="3"/>
        <v>0</v>
      </c>
      <c r="AJ42" s="99">
        <f t="shared" si="1"/>
        <v>0</v>
      </c>
      <c r="AK42" s="102" t="str">
        <f>+IF(AB42+AA42+AJ42&lt;=0, "NO COMPRADOR", +IF(AJ42&lt;=0, "SIN COMPRA "&amp;+UPPER(TEXT('DINAMICA ENERO 26'!$C$2,"mmm 'yy")), "COMPRADOR"))</f>
        <v>NO COMPRADOR</v>
      </c>
      <c r="AM42" s="101"/>
    </row>
    <row r="43" spans="1:42" s="100" customFormat="1" hidden="1">
      <c r="A43" s="88" t="s">
        <v>85</v>
      </c>
      <c r="B43" s="89" t="s">
        <v>120</v>
      </c>
      <c r="C43" s="89" t="s">
        <v>52</v>
      </c>
      <c r="D43" s="103">
        <v>100088149</v>
      </c>
      <c r="E43" s="89" t="s">
        <v>56</v>
      </c>
      <c r="F43" s="89">
        <v>100060564</v>
      </c>
      <c r="G43" s="128" t="s">
        <v>131</v>
      </c>
      <c r="H43"/>
      <c r="I43"/>
      <c r="J43"/>
      <c r="K43"/>
      <c r="L43"/>
      <c r="M43"/>
      <c r="N43"/>
      <c r="O43"/>
      <c r="P43"/>
      <c r="Q43"/>
      <c r="R43"/>
      <c r="S43" s="91">
        <v>4.32</v>
      </c>
      <c r="T43" s="94">
        <v>4.32</v>
      </c>
      <c r="U43" s="91">
        <v>0</v>
      </c>
      <c r="V43" s="129">
        <v>0</v>
      </c>
      <c r="W43" s="91">
        <v>0</v>
      </c>
      <c r="X43" s="129">
        <v>0</v>
      </c>
      <c r="Y43" s="91">
        <v>0</v>
      </c>
      <c r="Z43" s="129">
        <v>0</v>
      </c>
      <c r="AA43" s="155">
        <f t="shared" si="4"/>
        <v>0</v>
      </c>
      <c r="AB43" s="98">
        <f t="shared" si="4"/>
        <v>0</v>
      </c>
      <c r="AC43"/>
      <c r="AD43" s="97">
        <v>0</v>
      </c>
      <c r="AE43" s="92">
        <v>0</v>
      </c>
      <c r="AF43" s="98">
        <f t="shared" si="2"/>
        <v>0</v>
      </c>
      <c r="AG43" s="97">
        <v>0</v>
      </c>
      <c r="AH43" s="92">
        <v>0</v>
      </c>
      <c r="AI43" s="98">
        <f t="shared" si="3"/>
        <v>0</v>
      </c>
      <c r="AJ43" s="99">
        <f t="shared" si="1"/>
        <v>0</v>
      </c>
      <c r="AK43" s="102" t="str">
        <f>+IF(AB43+AA43+AJ43&lt;=0, "NO COMPRADOR", +IF(AJ43&lt;=0, "SIN COMPRA "&amp;+UPPER(TEXT('DINAMICA ENERO 26'!$C$2,"mmm 'yy")), "COMPRADOR"))</f>
        <v>NO COMPRADOR</v>
      </c>
      <c r="AM43" s="101"/>
    </row>
    <row r="44" spans="1:42" s="100" customFormat="1" hidden="1">
      <c r="A44" s="88" t="s">
        <v>85</v>
      </c>
      <c r="B44" s="89" t="s">
        <v>120</v>
      </c>
      <c r="C44" s="89" t="s">
        <v>52</v>
      </c>
      <c r="D44" s="103">
        <v>100088149</v>
      </c>
      <c r="E44" s="89" t="s">
        <v>56</v>
      </c>
      <c r="F44" s="89">
        <v>100001635</v>
      </c>
      <c r="G44" s="128" t="s">
        <v>132</v>
      </c>
      <c r="H44"/>
      <c r="I44"/>
      <c r="J44"/>
      <c r="K44"/>
      <c r="L44"/>
      <c r="M44"/>
      <c r="N44"/>
      <c r="O44"/>
      <c r="P44"/>
      <c r="Q44"/>
      <c r="R44"/>
      <c r="S44" s="91">
        <v>8.64</v>
      </c>
      <c r="T44" s="94">
        <v>8.64</v>
      </c>
      <c r="U44" s="91">
        <v>2.16</v>
      </c>
      <c r="V44" s="129">
        <v>2.16</v>
      </c>
      <c r="W44" s="91">
        <v>4.32</v>
      </c>
      <c r="X44" s="129">
        <v>4.32</v>
      </c>
      <c r="Y44" s="91">
        <v>2.16</v>
      </c>
      <c r="Z44" s="129">
        <v>2.16</v>
      </c>
      <c r="AA44" s="155">
        <f t="shared" si="4"/>
        <v>2.8800000000000003</v>
      </c>
      <c r="AB44" s="98">
        <f t="shared" si="4"/>
        <v>2.8800000000000003</v>
      </c>
      <c r="AC44"/>
      <c r="AD44" s="97">
        <v>0</v>
      </c>
      <c r="AE44" s="92">
        <v>0</v>
      </c>
      <c r="AF44" s="98">
        <f t="shared" si="2"/>
        <v>0</v>
      </c>
      <c r="AG44" s="97">
        <v>0</v>
      </c>
      <c r="AH44" s="92">
        <v>0</v>
      </c>
      <c r="AI44" s="98">
        <f t="shared" si="3"/>
        <v>0</v>
      </c>
      <c r="AJ44" s="99">
        <f t="shared" si="1"/>
        <v>0</v>
      </c>
      <c r="AK44" s="102" t="str">
        <f>+IF(AB44+AA44+AJ44&lt;=0, "NO COMPRADOR", +IF(AJ44&lt;=0, "SIN COMPRA "&amp;+UPPER(TEXT('DINAMICA ENERO 26'!$C$2,"mmm 'yy")), "COMPRADOR"))</f>
        <v>SIN COMPRA FEB '26</v>
      </c>
      <c r="AM44" s="101"/>
    </row>
    <row r="45" spans="1:42" s="104" customFormat="1" hidden="1">
      <c r="A45" s="88" t="s">
        <v>85</v>
      </c>
      <c r="B45" s="89" t="s">
        <v>120</v>
      </c>
      <c r="C45" s="89" t="s">
        <v>52</v>
      </c>
      <c r="D45" s="103">
        <v>100088149</v>
      </c>
      <c r="E45" s="89" t="s">
        <v>56</v>
      </c>
      <c r="F45" s="89">
        <v>100001862</v>
      </c>
      <c r="G45" s="128" t="s">
        <v>133</v>
      </c>
      <c r="H45"/>
      <c r="I45"/>
      <c r="J45"/>
      <c r="K45"/>
      <c r="L45"/>
      <c r="M45"/>
      <c r="N45"/>
      <c r="O45"/>
      <c r="P45"/>
      <c r="Q45"/>
      <c r="R45"/>
      <c r="S45" s="91">
        <v>0</v>
      </c>
      <c r="T45" s="94">
        <v>0</v>
      </c>
      <c r="U45" s="91">
        <v>2.16</v>
      </c>
      <c r="V45" s="129">
        <v>2.16</v>
      </c>
      <c r="W45" s="91">
        <v>2.16</v>
      </c>
      <c r="X45" s="129">
        <v>2.16</v>
      </c>
      <c r="Y45" s="91">
        <v>0</v>
      </c>
      <c r="Z45" s="129">
        <v>0</v>
      </c>
      <c r="AA45" s="155">
        <f t="shared" si="4"/>
        <v>1.4400000000000002</v>
      </c>
      <c r="AB45" s="98">
        <f t="shared" si="4"/>
        <v>1.4400000000000002</v>
      </c>
      <c r="AC45"/>
      <c r="AD45" s="97">
        <v>0</v>
      </c>
      <c r="AE45" s="92">
        <v>0</v>
      </c>
      <c r="AF45" s="98">
        <f t="shared" si="2"/>
        <v>0</v>
      </c>
      <c r="AG45" s="97">
        <v>0</v>
      </c>
      <c r="AH45" s="92">
        <v>0</v>
      </c>
      <c r="AI45" s="98">
        <f t="shared" si="3"/>
        <v>0</v>
      </c>
      <c r="AJ45" s="99">
        <f t="shared" si="1"/>
        <v>0</v>
      </c>
      <c r="AK45" s="102" t="str">
        <f>+IF(AB45+AA45+AJ45&lt;=0, "NO COMPRADOR", +IF(AJ45&lt;=0, "SIN COMPRA "&amp;+UPPER(TEXT('DINAMICA ENERO 26'!$C$2,"mmm 'yy")), "COMPRADOR"))</f>
        <v>SIN COMPRA FEB '26</v>
      </c>
      <c r="AL45" s="100"/>
      <c r="AM45" s="101"/>
      <c r="AN45" s="100"/>
      <c r="AO45" s="100"/>
      <c r="AP45" s="100"/>
    </row>
    <row r="46" spans="1:42" s="100" customFormat="1" hidden="1">
      <c r="A46" s="88" t="s">
        <v>85</v>
      </c>
      <c r="B46" s="89" t="s">
        <v>120</v>
      </c>
      <c r="C46" s="89" t="s">
        <v>52</v>
      </c>
      <c r="D46" s="103">
        <v>100088149</v>
      </c>
      <c r="E46" s="89" t="s">
        <v>56</v>
      </c>
      <c r="F46" s="89">
        <v>100010026</v>
      </c>
      <c r="G46" s="128" t="s">
        <v>134</v>
      </c>
      <c r="H46"/>
      <c r="I46"/>
      <c r="J46"/>
      <c r="K46"/>
      <c r="L46"/>
      <c r="M46"/>
      <c r="N46"/>
      <c r="O46"/>
      <c r="P46"/>
      <c r="Q46"/>
      <c r="R46"/>
      <c r="S46" s="91">
        <v>4.32</v>
      </c>
      <c r="T46" s="94">
        <v>4.32</v>
      </c>
      <c r="U46" s="91">
        <v>0</v>
      </c>
      <c r="V46" s="129">
        <v>0</v>
      </c>
      <c r="W46" s="91">
        <v>4.32</v>
      </c>
      <c r="X46" s="129">
        <v>4.32</v>
      </c>
      <c r="Y46" s="91">
        <v>0</v>
      </c>
      <c r="Z46" s="129">
        <v>0</v>
      </c>
      <c r="AA46" s="155">
        <f t="shared" si="4"/>
        <v>1.4400000000000002</v>
      </c>
      <c r="AB46" s="98">
        <f t="shared" si="4"/>
        <v>1.4400000000000002</v>
      </c>
      <c r="AC46"/>
      <c r="AD46" s="97">
        <v>0</v>
      </c>
      <c r="AE46" s="92">
        <v>0</v>
      </c>
      <c r="AF46" s="98">
        <f t="shared" si="2"/>
        <v>0</v>
      </c>
      <c r="AG46" s="97">
        <v>0</v>
      </c>
      <c r="AH46" s="92">
        <v>0</v>
      </c>
      <c r="AI46" s="98">
        <f t="shared" si="3"/>
        <v>0</v>
      </c>
      <c r="AJ46" s="99">
        <f t="shared" si="1"/>
        <v>0</v>
      </c>
      <c r="AK46" s="102" t="str">
        <f>+IF(AB46+AA46+AJ46&lt;=0, "NO COMPRADOR", +IF(AJ46&lt;=0, "SIN COMPRA "&amp;+UPPER(TEXT('DINAMICA ENERO 26'!$C$2,"mmm 'yy")), "COMPRADOR"))</f>
        <v>SIN COMPRA FEB '26</v>
      </c>
      <c r="AM46" s="101"/>
    </row>
    <row r="47" spans="1:42" s="100" customFormat="1" hidden="1">
      <c r="A47" s="88" t="s">
        <v>85</v>
      </c>
      <c r="B47" s="89" t="s">
        <v>120</v>
      </c>
      <c r="C47" s="89" t="s">
        <v>52</v>
      </c>
      <c r="D47" s="103">
        <v>100088149</v>
      </c>
      <c r="E47" s="89" t="s">
        <v>56</v>
      </c>
      <c r="F47" s="89">
        <v>100064492</v>
      </c>
      <c r="G47" s="128" t="s">
        <v>135</v>
      </c>
      <c r="H47"/>
      <c r="I47"/>
      <c r="J47"/>
      <c r="K47"/>
      <c r="L47"/>
      <c r="M47"/>
      <c r="N47"/>
      <c r="O47"/>
      <c r="P47"/>
      <c r="Q47"/>
      <c r="R47"/>
      <c r="S47" s="91">
        <v>4.32</v>
      </c>
      <c r="T47" s="94">
        <v>4.32</v>
      </c>
      <c r="U47" s="91">
        <v>2.16</v>
      </c>
      <c r="V47" s="129">
        <v>0</v>
      </c>
      <c r="W47" s="91">
        <v>21.6</v>
      </c>
      <c r="X47" s="129">
        <v>0</v>
      </c>
      <c r="Y47" s="91">
        <v>0</v>
      </c>
      <c r="Z47" s="129">
        <v>0</v>
      </c>
      <c r="AA47" s="155">
        <f t="shared" si="4"/>
        <v>7.9200000000000008</v>
      </c>
      <c r="AB47" s="98">
        <f t="shared" si="4"/>
        <v>0</v>
      </c>
      <c r="AC47"/>
      <c r="AD47" s="97">
        <v>43.2</v>
      </c>
      <c r="AE47" s="92">
        <v>0</v>
      </c>
      <c r="AF47" s="98">
        <f t="shared" si="2"/>
        <v>43.2</v>
      </c>
      <c r="AG47" s="97">
        <v>0</v>
      </c>
      <c r="AH47" s="92">
        <v>0</v>
      </c>
      <c r="AI47" s="98">
        <f t="shared" si="3"/>
        <v>0</v>
      </c>
      <c r="AJ47" s="99">
        <f t="shared" si="1"/>
        <v>43.2</v>
      </c>
      <c r="AK47" s="102" t="str">
        <f>+IF(AB47+AA47+AJ47&lt;=0, "NO COMPRADOR", +IF(AJ47&lt;=0, "SIN COMPRA "&amp;+UPPER(TEXT('DINAMICA ENERO 26'!$C$2,"mmm 'yy")), "COMPRADOR"))</f>
        <v>COMPRADOR</v>
      </c>
      <c r="AM47" s="101"/>
    </row>
    <row r="48" spans="1:42" s="100" customFormat="1" hidden="1">
      <c r="A48" s="88" t="s">
        <v>85</v>
      </c>
      <c r="B48" s="89" t="s">
        <v>120</v>
      </c>
      <c r="C48" s="89" t="s">
        <v>52</v>
      </c>
      <c r="D48" s="103">
        <v>100088149</v>
      </c>
      <c r="E48" s="89" t="s">
        <v>56</v>
      </c>
      <c r="F48" s="89">
        <v>100084428</v>
      </c>
      <c r="G48" s="128" t="s">
        <v>136</v>
      </c>
      <c r="H48"/>
      <c r="I48"/>
      <c r="J48"/>
      <c r="K48"/>
      <c r="L48"/>
      <c r="M48"/>
      <c r="N48"/>
      <c r="O48"/>
      <c r="P48"/>
      <c r="Q48"/>
      <c r="R48"/>
      <c r="S48" s="91">
        <v>0</v>
      </c>
      <c r="T48" s="94">
        <v>0</v>
      </c>
      <c r="U48" s="91">
        <v>0</v>
      </c>
      <c r="V48" s="129">
        <v>0</v>
      </c>
      <c r="W48" s="91">
        <v>0</v>
      </c>
      <c r="X48" s="129">
        <v>0</v>
      </c>
      <c r="Y48" s="91">
        <v>0</v>
      </c>
      <c r="Z48" s="129">
        <v>0</v>
      </c>
      <c r="AA48" s="155">
        <f t="shared" si="4"/>
        <v>0</v>
      </c>
      <c r="AB48" s="98">
        <f t="shared" si="4"/>
        <v>0</v>
      </c>
      <c r="AC48"/>
      <c r="AD48" s="97">
        <v>0</v>
      </c>
      <c r="AE48" s="92">
        <v>0</v>
      </c>
      <c r="AF48" s="98">
        <f t="shared" si="2"/>
        <v>0</v>
      </c>
      <c r="AG48" s="97">
        <v>0</v>
      </c>
      <c r="AH48" s="92">
        <v>0</v>
      </c>
      <c r="AI48" s="98">
        <f t="shared" si="3"/>
        <v>0</v>
      </c>
      <c r="AJ48" s="99">
        <f t="shared" si="1"/>
        <v>0</v>
      </c>
      <c r="AK48" s="102" t="str">
        <f>+IF(AB48+AA48+AJ48&lt;=0, "NO COMPRADOR", +IF(AJ48&lt;=0, "SIN COMPRA "&amp;+UPPER(TEXT('DINAMICA ENERO 26'!$C$2,"mmm 'yy")), "COMPRADOR"))</f>
        <v>NO COMPRADOR</v>
      </c>
      <c r="AM48" s="101"/>
    </row>
    <row r="49" spans="1:42" s="100" customFormat="1" hidden="1">
      <c r="A49" s="88" t="s">
        <v>85</v>
      </c>
      <c r="B49" s="89" t="s">
        <v>120</v>
      </c>
      <c r="C49" s="89" t="s">
        <v>52</v>
      </c>
      <c r="D49" s="103">
        <v>100088149</v>
      </c>
      <c r="E49" s="89" t="s">
        <v>56</v>
      </c>
      <c r="F49" s="89">
        <v>100088143</v>
      </c>
      <c r="G49" s="128" t="s">
        <v>137</v>
      </c>
      <c r="H49"/>
      <c r="I49"/>
      <c r="J49"/>
      <c r="K49"/>
      <c r="L49"/>
      <c r="M49"/>
      <c r="N49"/>
      <c r="O49"/>
      <c r="P49"/>
      <c r="Q49"/>
      <c r="R49"/>
      <c r="S49" s="91">
        <v>0</v>
      </c>
      <c r="T49" s="94">
        <v>0</v>
      </c>
      <c r="U49" s="91">
        <v>34.56</v>
      </c>
      <c r="V49" s="129">
        <v>34.56</v>
      </c>
      <c r="W49" s="91">
        <v>0</v>
      </c>
      <c r="X49" s="129">
        <v>0</v>
      </c>
      <c r="Y49" s="91">
        <v>0</v>
      </c>
      <c r="Z49" s="129">
        <v>0</v>
      </c>
      <c r="AA49" s="155">
        <f t="shared" si="4"/>
        <v>11.520000000000001</v>
      </c>
      <c r="AB49" s="98">
        <f t="shared" si="4"/>
        <v>11.520000000000001</v>
      </c>
      <c r="AC49"/>
      <c r="AD49" s="97">
        <v>0</v>
      </c>
      <c r="AE49" s="92">
        <v>0</v>
      </c>
      <c r="AF49" s="98">
        <f t="shared" si="2"/>
        <v>0</v>
      </c>
      <c r="AG49" s="97">
        <v>0</v>
      </c>
      <c r="AH49" s="92">
        <v>0</v>
      </c>
      <c r="AI49" s="98">
        <f t="shared" si="3"/>
        <v>0</v>
      </c>
      <c r="AJ49" s="99">
        <f t="shared" si="1"/>
        <v>0</v>
      </c>
      <c r="AK49" s="102" t="str">
        <f>+IF(AB49+AA49+AJ49&lt;=0, "NO COMPRADOR", +IF(AJ49&lt;=0, "SIN COMPRA "&amp;+UPPER(TEXT('DINAMICA ENERO 26'!$C$2,"mmm 'yy")), "COMPRADOR"))</f>
        <v>SIN COMPRA FEB '26</v>
      </c>
      <c r="AM49" s="101"/>
    </row>
    <row r="50" spans="1:42" s="100" customFormat="1" hidden="1">
      <c r="A50" s="88" t="s">
        <v>85</v>
      </c>
      <c r="B50" s="89" t="s">
        <v>120</v>
      </c>
      <c r="C50" s="89" t="s">
        <v>52</v>
      </c>
      <c r="D50" s="103">
        <v>100088149</v>
      </c>
      <c r="E50" s="89" t="s">
        <v>56</v>
      </c>
      <c r="F50" s="89">
        <v>100069360</v>
      </c>
      <c r="G50" s="128" t="s">
        <v>138</v>
      </c>
      <c r="H50"/>
      <c r="I50"/>
      <c r="J50"/>
      <c r="K50"/>
      <c r="L50"/>
      <c r="M50"/>
      <c r="N50"/>
      <c r="O50"/>
      <c r="P50"/>
      <c r="Q50"/>
      <c r="R50"/>
      <c r="S50" s="91">
        <v>4.32</v>
      </c>
      <c r="T50" s="94">
        <v>4.32</v>
      </c>
      <c r="U50" s="91">
        <v>4.32</v>
      </c>
      <c r="V50" s="129">
        <v>4.32</v>
      </c>
      <c r="W50" s="91">
        <v>0</v>
      </c>
      <c r="X50" s="129">
        <v>0</v>
      </c>
      <c r="Y50" s="91">
        <v>10.8</v>
      </c>
      <c r="Z50" s="129">
        <v>10.8</v>
      </c>
      <c r="AA50" s="155">
        <f t="shared" si="4"/>
        <v>5.04</v>
      </c>
      <c r="AB50" s="98">
        <f t="shared" si="4"/>
        <v>5.04</v>
      </c>
      <c r="AC50"/>
      <c r="AD50" s="97">
        <v>0</v>
      </c>
      <c r="AE50" s="92">
        <v>0</v>
      </c>
      <c r="AF50" s="98">
        <f t="shared" si="2"/>
        <v>0</v>
      </c>
      <c r="AG50" s="97">
        <v>0</v>
      </c>
      <c r="AH50" s="92">
        <v>0</v>
      </c>
      <c r="AI50" s="98">
        <f t="shared" si="3"/>
        <v>0</v>
      </c>
      <c r="AJ50" s="99">
        <f t="shared" si="1"/>
        <v>0</v>
      </c>
      <c r="AK50" s="102" t="str">
        <f>+IF(AB50+AA50+AJ50&lt;=0, "NO COMPRADOR", +IF(AJ50&lt;=0, "SIN COMPRA "&amp;+UPPER(TEXT('DINAMICA ENERO 26'!$C$2,"mmm 'yy")), "COMPRADOR"))</f>
        <v>SIN COMPRA FEB '26</v>
      </c>
      <c r="AM50" s="101"/>
    </row>
    <row r="51" spans="1:42" s="100" customFormat="1" hidden="1">
      <c r="A51" s="88" t="s">
        <v>85</v>
      </c>
      <c r="B51" s="89" t="s">
        <v>120</v>
      </c>
      <c r="C51" s="89" t="s">
        <v>52</v>
      </c>
      <c r="D51" s="103">
        <v>100088149</v>
      </c>
      <c r="E51" s="89" t="s">
        <v>56</v>
      </c>
      <c r="F51" s="89">
        <v>100022632</v>
      </c>
      <c r="G51" s="128" t="s">
        <v>139</v>
      </c>
      <c r="H51"/>
      <c r="I51"/>
      <c r="J51"/>
      <c r="K51"/>
      <c r="L51"/>
      <c r="M51"/>
      <c r="N51"/>
      <c r="O51"/>
      <c r="P51"/>
      <c r="Q51"/>
      <c r="R51"/>
      <c r="S51" s="91">
        <v>51.84</v>
      </c>
      <c r="T51" s="94">
        <v>51.84</v>
      </c>
      <c r="U51" s="91">
        <v>86.4</v>
      </c>
      <c r="V51" s="129">
        <v>49.680000000000007</v>
      </c>
      <c r="W51" s="91">
        <v>4.32</v>
      </c>
      <c r="X51" s="129">
        <v>4.32</v>
      </c>
      <c r="Y51" s="91">
        <v>2.16</v>
      </c>
      <c r="Z51" s="129">
        <v>23.76</v>
      </c>
      <c r="AA51" s="155">
        <f t="shared" si="4"/>
        <v>30.959999999999997</v>
      </c>
      <c r="AB51" s="98">
        <f t="shared" si="4"/>
        <v>25.92</v>
      </c>
      <c r="AC51"/>
      <c r="AD51" s="97">
        <v>0</v>
      </c>
      <c r="AE51" s="92">
        <v>0</v>
      </c>
      <c r="AF51" s="98">
        <f t="shared" si="2"/>
        <v>0</v>
      </c>
      <c r="AG51" s="97">
        <v>0</v>
      </c>
      <c r="AH51" s="92">
        <v>0</v>
      </c>
      <c r="AI51" s="98">
        <f t="shared" si="3"/>
        <v>0</v>
      </c>
      <c r="AJ51" s="99">
        <f t="shared" si="1"/>
        <v>0</v>
      </c>
      <c r="AK51" s="102" t="str">
        <f>+IF(AB51+AA51+AJ51&lt;=0, "NO COMPRADOR", +IF(AJ51&lt;=0, "SIN COMPRA "&amp;+UPPER(TEXT('DINAMICA ENERO 26'!$C$2,"mmm 'yy")), "COMPRADOR"))</f>
        <v>SIN COMPRA FEB '26</v>
      </c>
      <c r="AM51" s="101"/>
    </row>
    <row r="52" spans="1:42" s="104" customFormat="1" hidden="1">
      <c r="A52" s="88" t="s">
        <v>85</v>
      </c>
      <c r="B52" s="89" t="s">
        <v>120</v>
      </c>
      <c r="C52" s="89" t="s">
        <v>52</v>
      </c>
      <c r="D52" s="103">
        <v>100088149</v>
      </c>
      <c r="E52" s="89" t="s">
        <v>56</v>
      </c>
      <c r="F52" s="89">
        <v>100089326</v>
      </c>
      <c r="G52" s="128" t="s">
        <v>140</v>
      </c>
      <c r="H52"/>
      <c r="I52"/>
      <c r="J52"/>
      <c r="K52"/>
      <c r="L52"/>
      <c r="M52"/>
      <c r="N52"/>
      <c r="O52"/>
      <c r="P52"/>
      <c r="Q52"/>
      <c r="R52"/>
      <c r="S52" s="91">
        <v>10.8</v>
      </c>
      <c r="T52" s="94">
        <v>10.8</v>
      </c>
      <c r="U52" s="91">
        <v>4.32</v>
      </c>
      <c r="V52" s="129">
        <v>19.440000000000001</v>
      </c>
      <c r="W52" s="91">
        <v>2.16</v>
      </c>
      <c r="X52" s="129">
        <v>0</v>
      </c>
      <c r="Y52" s="91">
        <v>0</v>
      </c>
      <c r="Z52" s="129">
        <v>0</v>
      </c>
      <c r="AA52" s="155">
        <f t="shared" si="4"/>
        <v>2.16</v>
      </c>
      <c r="AB52" s="98">
        <f t="shared" si="4"/>
        <v>6.48</v>
      </c>
      <c r="AC52"/>
      <c r="AD52" s="97">
        <v>0</v>
      </c>
      <c r="AE52" s="92">
        <v>0</v>
      </c>
      <c r="AF52" s="98">
        <f t="shared" si="2"/>
        <v>0</v>
      </c>
      <c r="AG52" s="97">
        <v>10.8</v>
      </c>
      <c r="AH52" s="92">
        <v>0</v>
      </c>
      <c r="AI52" s="98">
        <f t="shared" si="3"/>
        <v>10.8</v>
      </c>
      <c r="AJ52" s="99">
        <f t="shared" si="1"/>
        <v>10.8</v>
      </c>
      <c r="AK52" s="102" t="str">
        <f>+IF(AB52+AA52+AJ52&lt;=0, "NO COMPRADOR", +IF(AJ52&lt;=0, "SIN COMPRA "&amp;+UPPER(TEXT('DINAMICA ENERO 26'!$C$2,"mmm 'yy")), "COMPRADOR"))</f>
        <v>COMPRADOR</v>
      </c>
      <c r="AL52" s="100"/>
      <c r="AM52" s="101"/>
      <c r="AN52" s="100"/>
      <c r="AO52" s="100"/>
      <c r="AP52" s="100"/>
    </row>
    <row r="53" spans="1:42" s="100" customFormat="1" hidden="1">
      <c r="A53" s="88" t="s">
        <v>85</v>
      </c>
      <c r="B53" s="89" t="s">
        <v>120</v>
      </c>
      <c r="C53" s="89" t="s">
        <v>52</v>
      </c>
      <c r="D53" s="103">
        <v>100088149</v>
      </c>
      <c r="E53" s="89" t="s">
        <v>56</v>
      </c>
      <c r="F53" s="89">
        <v>100001380</v>
      </c>
      <c r="G53" s="128" t="s">
        <v>141</v>
      </c>
      <c r="H53"/>
      <c r="I53"/>
      <c r="J53"/>
      <c r="K53"/>
      <c r="L53"/>
      <c r="M53"/>
      <c r="N53"/>
      <c r="O53"/>
      <c r="P53"/>
      <c r="Q53"/>
      <c r="R53"/>
      <c r="S53" s="91">
        <v>79.92</v>
      </c>
      <c r="T53" s="94">
        <v>79.92</v>
      </c>
      <c r="U53" s="91">
        <v>12.96</v>
      </c>
      <c r="V53" s="129">
        <v>12.96</v>
      </c>
      <c r="W53" s="91">
        <v>2.16</v>
      </c>
      <c r="X53" s="129">
        <v>15.120000000000001</v>
      </c>
      <c r="Y53" s="91">
        <v>0</v>
      </c>
      <c r="Z53" s="129">
        <v>21.6</v>
      </c>
      <c r="AA53" s="155">
        <f t="shared" si="4"/>
        <v>5.04</v>
      </c>
      <c r="AB53" s="98">
        <f t="shared" si="4"/>
        <v>16.560000000000002</v>
      </c>
      <c r="AC53"/>
      <c r="AD53" s="97">
        <v>12.96</v>
      </c>
      <c r="AE53" s="92">
        <v>0</v>
      </c>
      <c r="AF53" s="98">
        <f t="shared" si="2"/>
        <v>12.96</v>
      </c>
      <c r="AG53" s="97">
        <v>12.96</v>
      </c>
      <c r="AH53" s="92">
        <v>0</v>
      </c>
      <c r="AI53" s="98">
        <f t="shared" si="3"/>
        <v>12.96</v>
      </c>
      <c r="AJ53" s="99">
        <f t="shared" si="1"/>
        <v>25.92</v>
      </c>
      <c r="AK53" s="102" t="str">
        <f>+IF(AB53+AA53+AJ53&lt;=0, "NO COMPRADOR", +IF(AJ53&lt;=0, "SIN COMPRA "&amp;+UPPER(TEXT('DINAMICA ENERO 26'!$C$2,"mmm 'yy")), "COMPRADOR"))</f>
        <v>COMPRADOR</v>
      </c>
      <c r="AM53" s="101"/>
    </row>
    <row r="54" spans="1:42" s="100" customFormat="1" hidden="1">
      <c r="A54" s="88" t="s">
        <v>85</v>
      </c>
      <c r="B54" s="89" t="s">
        <v>120</v>
      </c>
      <c r="C54" s="89" t="s">
        <v>52</v>
      </c>
      <c r="D54" s="103">
        <v>100079515</v>
      </c>
      <c r="E54" s="89" t="s">
        <v>53</v>
      </c>
      <c r="F54" s="89">
        <v>100070470</v>
      </c>
      <c r="G54" s="128" t="s">
        <v>142</v>
      </c>
      <c r="H54"/>
      <c r="I54"/>
      <c r="J54"/>
      <c r="K54"/>
      <c r="L54"/>
      <c r="M54"/>
      <c r="N54"/>
      <c r="O54"/>
      <c r="P54"/>
      <c r="Q54"/>
      <c r="R54"/>
      <c r="S54" s="91">
        <v>21.6</v>
      </c>
      <c r="T54" s="94">
        <v>43.2</v>
      </c>
      <c r="U54" s="91">
        <v>4.32</v>
      </c>
      <c r="V54" s="129">
        <v>-17.28</v>
      </c>
      <c r="W54" s="91">
        <v>-4.32</v>
      </c>
      <c r="X54" s="129">
        <v>-4.32</v>
      </c>
      <c r="Y54" s="91">
        <v>10.8</v>
      </c>
      <c r="Z54" s="129">
        <v>0</v>
      </c>
      <c r="AA54" s="155">
        <f t="shared" si="4"/>
        <v>3.6</v>
      </c>
      <c r="AB54" s="98">
        <f t="shared" si="4"/>
        <v>-7.2</v>
      </c>
      <c r="AC54"/>
      <c r="AD54" s="97">
        <v>0</v>
      </c>
      <c r="AE54" s="92">
        <v>4.32</v>
      </c>
      <c r="AF54" s="98">
        <f t="shared" si="2"/>
        <v>4.32</v>
      </c>
      <c r="AG54" s="97">
        <v>0</v>
      </c>
      <c r="AH54" s="92">
        <v>4.32</v>
      </c>
      <c r="AI54" s="98">
        <f t="shared" si="3"/>
        <v>4.32</v>
      </c>
      <c r="AJ54" s="99">
        <f t="shared" si="1"/>
        <v>8.64</v>
      </c>
      <c r="AK54" s="102" t="str">
        <f>+IF(AB54+AA54+AJ54&lt;=0, "NO COMPRADOR", +IF(AJ54&lt;=0, "SIN COMPRA "&amp;+UPPER(TEXT('DINAMICA ENERO 26'!$C$2,"mmm 'yy")), "COMPRADOR"))</f>
        <v>COMPRADOR</v>
      </c>
      <c r="AM54" s="101"/>
    </row>
    <row r="55" spans="1:42" s="104" customFormat="1" hidden="1">
      <c r="A55" s="88" t="s">
        <v>85</v>
      </c>
      <c r="B55" s="89" t="s">
        <v>120</v>
      </c>
      <c r="C55" s="89" t="s">
        <v>52</v>
      </c>
      <c r="D55" s="103">
        <v>100079515</v>
      </c>
      <c r="E55" s="89" t="s">
        <v>53</v>
      </c>
      <c r="F55" s="89">
        <v>100082270</v>
      </c>
      <c r="G55" s="128" t="s">
        <v>143</v>
      </c>
      <c r="H55"/>
      <c r="I55"/>
      <c r="J55"/>
      <c r="K55"/>
      <c r="L55"/>
      <c r="M55"/>
      <c r="N55"/>
      <c r="O55"/>
      <c r="P55"/>
      <c r="Q55"/>
      <c r="R55"/>
      <c r="S55" s="91">
        <v>2.16</v>
      </c>
      <c r="T55" s="94">
        <v>2.16</v>
      </c>
      <c r="U55" s="91">
        <v>0</v>
      </c>
      <c r="V55" s="129">
        <v>0</v>
      </c>
      <c r="W55" s="91">
        <v>2.16</v>
      </c>
      <c r="X55" s="129">
        <v>2.16</v>
      </c>
      <c r="Y55" s="91">
        <v>0</v>
      </c>
      <c r="Z55" s="129">
        <v>0</v>
      </c>
      <c r="AA55" s="155">
        <f t="shared" si="4"/>
        <v>0.72000000000000008</v>
      </c>
      <c r="AB55" s="98">
        <f t="shared" si="4"/>
        <v>0.72000000000000008</v>
      </c>
      <c r="AC55"/>
      <c r="AD55" s="97">
        <v>0</v>
      </c>
      <c r="AE55" s="92">
        <v>0</v>
      </c>
      <c r="AF55" s="98">
        <f t="shared" si="2"/>
        <v>0</v>
      </c>
      <c r="AG55" s="97">
        <v>0</v>
      </c>
      <c r="AH55" s="92">
        <v>0</v>
      </c>
      <c r="AI55" s="98">
        <f t="shared" si="3"/>
        <v>0</v>
      </c>
      <c r="AJ55" s="99">
        <f t="shared" si="1"/>
        <v>0</v>
      </c>
      <c r="AK55" s="102" t="str">
        <f>+IF(AB55+AA55+AJ55&lt;=0, "NO COMPRADOR", +IF(AJ55&lt;=0, "SIN COMPRA "&amp;+UPPER(TEXT('DINAMICA ENERO 26'!$C$2,"mmm 'yy")), "COMPRADOR"))</f>
        <v>SIN COMPRA FEB '26</v>
      </c>
      <c r="AL55" s="100"/>
      <c r="AM55" s="101"/>
      <c r="AN55" s="100"/>
      <c r="AO55" s="100"/>
      <c r="AP55" s="100"/>
    </row>
    <row r="56" spans="1:42" s="100" customFormat="1" hidden="1">
      <c r="A56" s="88" t="s">
        <v>85</v>
      </c>
      <c r="B56" s="89" t="s">
        <v>120</v>
      </c>
      <c r="C56" s="89" t="s">
        <v>52</v>
      </c>
      <c r="D56" s="103">
        <v>100079515</v>
      </c>
      <c r="E56" s="89" t="s">
        <v>53</v>
      </c>
      <c r="F56" s="89">
        <v>100080489</v>
      </c>
      <c r="G56" s="128" t="s">
        <v>144</v>
      </c>
      <c r="H56"/>
      <c r="I56"/>
      <c r="J56"/>
      <c r="K56"/>
      <c r="L56"/>
      <c r="M56"/>
      <c r="N56"/>
      <c r="O56"/>
      <c r="P56"/>
      <c r="Q56"/>
      <c r="R56"/>
      <c r="S56" s="91">
        <v>4.32</v>
      </c>
      <c r="T56" s="94">
        <v>4.32</v>
      </c>
      <c r="U56" s="91">
        <v>0</v>
      </c>
      <c r="V56" s="129">
        <v>21.6</v>
      </c>
      <c r="W56" s="91">
        <v>2.16</v>
      </c>
      <c r="X56" s="129">
        <v>2.16</v>
      </c>
      <c r="Y56" s="91">
        <v>4.32</v>
      </c>
      <c r="Z56" s="129">
        <v>0</v>
      </c>
      <c r="AA56" s="155">
        <f t="shared" si="4"/>
        <v>2.16</v>
      </c>
      <c r="AB56" s="98">
        <f t="shared" si="4"/>
        <v>7.9200000000000008</v>
      </c>
      <c r="AC56"/>
      <c r="AD56" s="97">
        <v>0</v>
      </c>
      <c r="AE56" s="92">
        <v>0</v>
      </c>
      <c r="AF56" s="98">
        <f t="shared" si="2"/>
        <v>0</v>
      </c>
      <c r="AG56" s="97">
        <v>0</v>
      </c>
      <c r="AH56" s="92">
        <v>0</v>
      </c>
      <c r="AI56" s="98">
        <f t="shared" si="3"/>
        <v>0</v>
      </c>
      <c r="AJ56" s="99">
        <f t="shared" si="1"/>
        <v>0</v>
      </c>
      <c r="AK56" s="102" t="str">
        <f>+IF(AB56+AA56+AJ56&lt;=0, "NO COMPRADOR", +IF(AJ56&lt;=0, "SIN COMPRA "&amp;+UPPER(TEXT('DINAMICA ENERO 26'!$C$2,"mmm 'yy")), "COMPRADOR"))</f>
        <v>SIN COMPRA FEB '26</v>
      </c>
      <c r="AM56" s="101"/>
    </row>
    <row r="57" spans="1:42" s="104" customFormat="1" hidden="1">
      <c r="A57" s="88" t="s">
        <v>85</v>
      </c>
      <c r="B57" s="89" t="s">
        <v>120</v>
      </c>
      <c r="C57" s="89" t="s">
        <v>52</v>
      </c>
      <c r="D57" s="103">
        <v>100079515</v>
      </c>
      <c r="E57" s="89" t="s">
        <v>53</v>
      </c>
      <c r="F57" s="89">
        <v>100080370</v>
      </c>
      <c r="G57" s="128" t="s">
        <v>145</v>
      </c>
      <c r="H57"/>
      <c r="I57"/>
      <c r="J57"/>
      <c r="K57"/>
      <c r="L57"/>
      <c r="M57"/>
      <c r="N57"/>
      <c r="O57"/>
      <c r="P57"/>
      <c r="Q57"/>
      <c r="R57"/>
      <c r="S57" s="91">
        <v>2.16</v>
      </c>
      <c r="T57" s="94">
        <v>2.16</v>
      </c>
      <c r="U57" s="91">
        <v>0</v>
      </c>
      <c r="V57" s="129">
        <v>2.16</v>
      </c>
      <c r="W57" s="91">
        <v>2.16</v>
      </c>
      <c r="X57" s="129">
        <v>2.16</v>
      </c>
      <c r="Y57" s="91">
        <v>0</v>
      </c>
      <c r="Z57" s="129">
        <v>0</v>
      </c>
      <c r="AA57" s="155">
        <f t="shared" si="4"/>
        <v>0.72000000000000008</v>
      </c>
      <c r="AB57" s="98">
        <f t="shared" si="4"/>
        <v>1.4400000000000002</v>
      </c>
      <c r="AC57"/>
      <c r="AD57" s="97">
        <v>0</v>
      </c>
      <c r="AE57" s="92">
        <v>0</v>
      </c>
      <c r="AF57" s="98">
        <f t="shared" si="2"/>
        <v>0</v>
      </c>
      <c r="AG57" s="97">
        <v>0</v>
      </c>
      <c r="AH57" s="92">
        <v>0</v>
      </c>
      <c r="AI57" s="98">
        <f t="shared" si="3"/>
        <v>0</v>
      </c>
      <c r="AJ57" s="99">
        <f t="shared" si="1"/>
        <v>0</v>
      </c>
      <c r="AK57" s="102" t="str">
        <f>+IF(AB57+AA57+AJ57&lt;=0, "NO COMPRADOR", +IF(AJ57&lt;=0, "SIN COMPRA "&amp;+UPPER(TEXT('DINAMICA ENERO 26'!$C$2,"mmm 'yy")), "COMPRADOR"))</f>
        <v>SIN COMPRA FEB '26</v>
      </c>
      <c r="AL57" s="100"/>
      <c r="AM57" s="101"/>
      <c r="AN57" s="100"/>
      <c r="AO57" s="100"/>
      <c r="AP57" s="100"/>
    </row>
    <row r="58" spans="1:42" s="100" customFormat="1" hidden="1">
      <c r="A58" s="88" t="s">
        <v>85</v>
      </c>
      <c r="B58" s="89" t="s">
        <v>120</v>
      </c>
      <c r="C58" s="89" t="s">
        <v>52</v>
      </c>
      <c r="D58" s="103">
        <v>100079515</v>
      </c>
      <c r="E58" s="89" t="s">
        <v>53</v>
      </c>
      <c r="F58" s="89">
        <v>100083809</v>
      </c>
      <c r="G58" s="128" t="s">
        <v>146</v>
      </c>
      <c r="H58"/>
      <c r="I58"/>
      <c r="J58"/>
      <c r="K58"/>
      <c r="L58"/>
      <c r="M58"/>
      <c r="N58"/>
      <c r="O58"/>
      <c r="P58"/>
      <c r="Q58"/>
      <c r="R58"/>
      <c r="S58" s="91">
        <v>0</v>
      </c>
      <c r="T58" s="94">
        <v>0</v>
      </c>
      <c r="U58" s="91">
        <v>0</v>
      </c>
      <c r="V58" s="129">
        <v>0</v>
      </c>
      <c r="W58" s="91">
        <v>0</v>
      </c>
      <c r="X58" s="129">
        <v>0</v>
      </c>
      <c r="Y58" s="91">
        <v>0</v>
      </c>
      <c r="Z58" s="129">
        <v>0</v>
      </c>
      <c r="AA58" s="155">
        <f t="shared" si="4"/>
        <v>0</v>
      </c>
      <c r="AB58" s="98">
        <f t="shared" si="4"/>
        <v>0</v>
      </c>
      <c r="AC58"/>
      <c r="AD58" s="97">
        <v>0</v>
      </c>
      <c r="AE58" s="92">
        <v>0</v>
      </c>
      <c r="AF58" s="98">
        <f t="shared" si="2"/>
        <v>0</v>
      </c>
      <c r="AG58" s="97">
        <v>0</v>
      </c>
      <c r="AH58" s="92">
        <v>0</v>
      </c>
      <c r="AI58" s="98">
        <f t="shared" si="3"/>
        <v>0</v>
      </c>
      <c r="AJ58" s="99">
        <f t="shared" si="1"/>
        <v>0</v>
      </c>
      <c r="AK58" s="102" t="str">
        <f>+IF(AB58+AA58+AJ58&lt;=0, "NO COMPRADOR", +IF(AJ58&lt;=0, "SIN COMPRA "&amp;+UPPER(TEXT('DINAMICA ENERO 26'!$C$2,"mmm 'yy")), "COMPRADOR"))</f>
        <v>NO COMPRADOR</v>
      </c>
      <c r="AM58" s="101"/>
    </row>
    <row r="59" spans="1:42" s="100" customFormat="1" hidden="1">
      <c r="A59" s="88" t="s">
        <v>85</v>
      </c>
      <c r="B59" s="89" t="s">
        <v>120</v>
      </c>
      <c r="C59" s="89" t="s">
        <v>52</v>
      </c>
      <c r="D59" s="103">
        <v>100079515</v>
      </c>
      <c r="E59" s="89" t="s">
        <v>53</v>
      </c>
      <c r="F59" s="89">
        <v>100082448</v>
      </c>
      <c r="G59" s="128" t="s">
        <v>147</v>
      </c>
      <c r="H59"/>
      <c r="I59"/>
      <c r="J59"/>
      <c r="K59"/>
      <c r="L59"/>
      <c r="M59"/>
      <c r="N59"/>
      <c r="O59"/>
      <c r="P59"/>
      <c r="Q59"/>
      <c r="R59"/>
      <c r="S59" s="91">
        <v>6.48</v>
      </c>
      <c r="T59" s="94">
        <v>6.48</v>
      </c>
      <c r="U59" s="91">
        <v>0</v>
      </c>
      <c r="V59" s="129">
        <v>0</v>
      </c>
      <c r="W59" s="91">
        <v>0</v>
      </c>
      <c r="X59" s="129">
        <v>0</v>
      </c>
      <c r="Y59" s="91">
        <v>0</v>
      </c>
      <c r="Z59" s="129">
        <v>0</v>
      </c>
      <c r="AA59" s="155">
        <f t="shared" si="4"/>
        <v>0</v>
      </c>
      <c r="AB59" s="98">
        <f t="shared" si="4"/>
        <v>0</v>
      </c>
      <c r="AC59"/>
      <c r="AD59" s="97">
        <v>0</v>
      </c>
      <c r="AE59" s="92">
        <v>0</v>
      </c>
      <c r="AF59" s="98">
        <f t="shared" si="2"/>
        <v>0</v>
      </c>
      <c r="AG59" s="97">
        <v>0</v>
      </c>
      <c r="AH59" s="92">
        <v>0</v>
      </c>
      <c r="AI59" s="98">
        <f t="shared" si="3"/>
        <v>0</v>
      </c>
      <c r="AJ59" s="99">
        <f t="shared" si="1"/>
        <v>0</v>
      </c>
      <c r="AK59" s="102" t="str">
        <f>+IF(AB59+AA59+AJ59&lt;=0, "NO COMPRADOR", +IF(AJ59&lt;=0, "SIN COMPRA "&amp;+UPPER(TEXT('DINAMICA ENERO 26'!$C$2,"mmm 'yy")), "COMPRADOR"))</f>
        <v>NO COMPRADOR</v>
      </c>
      <c r="AM59" s="101"/>
    </row>
    <row r="60" spans="1:42" s="100" customFormat="1" hidden="1">
      <c r="A60" s="88" t="s">
        <v>85</v>
      </c>
      <c r="B60" s="89" t="s">
        <v>120</v>
      </c>
      <c r="C60" s="89" t="s">
        <v>52</v>
      </c>
      <c r="D60" s="103">
        <v>100079515</v>
      </c>
      <c r="E60" s="89" t="s">
        <v>53</v>
      </c>
      <c r="F60" s="89">
        <v>100079845</v>
      </c>
      <c r="G60" s="128" t="s">
        <v>148</v>
      </c>
      <c r="H60"/>
      <c r="I60"/>
      <c r="J60"/>
      <c r="K60"/>
      <c r="L60"/>
      <c r="M60"/>
      <c r="N60"/>
      <c r="O60"/>
      <c r="P60"/>
      <c r="Q60"/>
      <c r="R60"/>
      <c r="S60" s="91">
        <v>56.160000000000004</v>
      </c>
      <c r="T60" s="94">
        <v>56.160000000000004</v>
      </c>
      <c r="U60" s="91">
        <v>12.96</v>
      </c>
      <c r="V60" s="129">
        <v>17.28</v>
      </c>
      <c r="W60" s="91">
        <v>4.32</v>
      </c>
      <c r="X60" s="129">
        <v>0</v>
      </c>
      <c r="Y60" s="91">
        <v>17.28</v>
      </c>
      <c r="Z60" s="129">
        <v>10.8</v>
      </c>
      <c r="AA60" s="155">
        <f t="shared" si="4"/>
        <v>11.520000000000001</v>
      </c>
      <c r="AB60" s="98">
        <f t="shared" si="4"/>
        <v>9.3600000000000012</v>
      </c>
      <c r="AC60"/>
      <c r="AD60" s="97">
        <v>6.48</v>
      </c>
      <c r="AE60" s="92">
        <v>0</v>
      </c>
      <c r="AF60" s="98">
        <f t="shared" si="2"/>
        <v>6.48</v>
      </c>
      <c r="AG60" s="97">
        <v>6.48</v>
      </c>
      <c r="AH60" s="92">
        <v>0</v>
      </c>
      <c r="AI60" s="98">
        <f t="shared" si="3"/>
        <v>6.48</v>
      </c>
      <c r="AJ60" s="99">
        <f t="shared" si="1"/>
        <v>12.96</v>
      </c>
      <c r="AK60" s="102" t="str">
        <f>+IF(AB60+AA60+AJ60&lt;=0, "NO COMPRADOR", +IF(AJ60&lt;=0, "SIN COMPRA "&amp;+UPPER(TEXT('DINAMICA ENERO 26'!$C$2,"mmm 'yy")), "COMPRADOR"))</f>
        <v>COMPRADOR</v>
      </c>
      <c r="AM60" s="101"/>
    </row>
    <row r="61" spans="1:42" s="100" customFormat="1" hidden="1">
      <c r="A61" s="88" t="s">
        <v>85</v>
      </c>
      <c r="B61" s="89" t="s">
        <v>120</v>
      </c>
      <c r="C61" s="89" t="s">
        <v>52</v>
      </c>
      <c r="D61" s="103">
        <v>100079515</v>
      </c>
      <c r="E61" s="89" t="s">
        <v>53</v>
      </c>
      <c r="F61" s="89">
        <v>100002289</v>
      </c>
      <c r="G61" s="128" t="s">
        <v>149</v>
      </c>
      <c r="H61"/>
      <c r="I61"/>
      <c r="J61"/>
      <c r="K61"/>
      <c r="L61"/>
      <c r="M61"/>
      <c r="N61"/>
      <c r="O61"/>
      <c r="P61"/>
      <c r="Q61"/>
      <c r="R61"/>
      <c r="S61" s="91">
        <v>2.16</v>
      </c>
      <c r="T61" s="94">
        <v>2.16</v>
      </c>
      <c r="U61" s="91">
        <v>0</v>
      </c>
      <c r="V61" s="129">
        <v>0</v>
      </c>
      <c r="W61" s="91">
        <v>0</v>
      </c>
      <c r="X61" s="129">
        <v>0</v>
      </c>
      <c r="Y61" s="91">
        <v>0</v>
      </c>
      <c r="Z61" s="129">
        <v>0</v>
      </c>
      <c r="AA61" s="155">
        <f t="shared" si="4"/>
        <v>0</v>
      </c>
      <c r="AB61" s="98">
        <f t="shared" si="4"/>
        <v>0</v>
      </c>
      <c r="AC61"/>
      <c r="AD61" s="97">
        <v>0</v>
      </c>
      <c r="AE61" s="92">
        <v>0</v>
      </c>
      <c r="AF61" s="98">
        <f t="shared" si="2"/>
        <v>0</v>
      </c>
      <c r="AG61" s="97">
        <v>0</v>
      </c>
      <c r="AH61" s="92">
        <v>0</v>
      </c>
      <c r="AI61" s="98">
        <f t="shared" si="3"/>
        <v>0</v>
      </c>
      <c r="AJ61" s="99">
        <f t="shared" si="1"/>
        <v>0</v>
      </c>
      <c r="AK61" s="102" t="str">
        <f>+IF(AB61+AA61+AJ61&lt;=0, "NO COMPRADOR", +IF(AJ61&lt;=0, "SIN COMPRA "&amp;+UPPER(TEXT('DINAMICA ENERO 26'!$C$2,"mmm 'yy")), "COMPRADOR"))</f>
        <v>NO COMPRADOR</v>
      </c>
      <c r="AM61" s="101"/>
    </row>
    <row r="62" spans="1:42" s="104" customFormat="1" hidden="1">
      <c r="A62" s="88" t="s">
        <v>85</v>
      </c>
      <c r="B62" s="89" t="s">
        <v>120</v>
      </c>
      <c r="C62" s="89" t="s">
        <v>52</v>
      </c>
      <c r="D62" s="103">
        <v>100079515</v>
      </c>
      <c r="E62" s="89" t="s">
        <v>53</v>
      </c>
      <c r="F62" s="89">
        <v>100078959</v>
      </c>
      <c r="G62" s="128" t="s">
        <v>150</v>
      </c>
      <c r="H62"/>
      <c r="I62"/>
      <c r="J62"/>
      <c r="K62"/>
      <c r="L62"/>
      <c r="M62"/>
      <c r="N62"/>
      <c r="O62"/>
      <c r="P62"/>
      <c r="Q62"/>
      <c r="R62"/>
      <c r="S62" s="91">
        <v>2.16</v>
      </c>
      <c r="T62" s="94">
        <v>2.16</v>
      </c>
      <c r="U62" s="91">
        <v>0</v>
      </c>
      <c r="V62" s="129">
        <v>0</v>
      </c>
      <c r="W62" s="91">
        <v>0</v>
      </c>
      <c r="X62" s="129">
        <v>0</v>
      </c>
      <c r="Y62" s="91">
        <v>0</v>
      </c>
      <c r="Z62" s="129">
        <v>0</v>
      </c>
      <c r="AA62" s="155">
        <f t="shared" si="4"/>
        <v>0</v>
      </c>
      <c r="AB62" s="98">
        <f t="shared" si="4"/>
        <v>0</v>
      </c>
      <c r="AC62"/>
      <c r="AD62" s="97">
        <v>0</v>
      </c>
      <c r="AE62" s="92">
        <v>0</v>
      </c>
      <c r="AF62" s="98">
        <f t="shared" si="2"/>
        <v>0</v>
      </c>
      <c r="AG62" s="97">
        <v>0</v>
      </c>
      <c r="AH62" s="92">
        <v>0</v>
      </c>
      <c r="AI62" s="98">
        <f t="shared" si="3"/>
        <v>0</v>
      </c>
      <c r="AJ62" s="99">
        <f t="shared" si="1"/>
        <v>0</v>
      </c>
      <c r="AK62" s="102" t="str">
        <f>+IF(AB62+AA62+AJ62&lt;=0, "NO COMPRADOR", +IF(AJ62&lt;=0, "SIN COMPRA "&amp;+UPPER(TEXT('DINAMICA ENERO 26'!$C$2,"mmm 'yy")), "COMPRADOR"))</f>
        <v>NO COMPRADOR</v>
      </c>
      <c r="AL62" s="100"/>
      <c r="AM62" s="101"/>
      <c r="AN62" s="100"/>
      <c r="AO62" s="100"/>
      <c r="AP62" s="100"/>
    </row>
    <row r="63" spans="1:42" s="100" customFormat="1" hidden="1">
      <c r="A63" s="88" t="s">
        <v>85</v>
      </c>
      <c r="B63" s="89" t="s">
        <v>120</v>
      </c>
      <c r="C63" s="89" t="s">
        <v>52</v>
      </c>
      <c r="D63" s="103">
        <v>100079515</v>
      </c>
      <c r="E63" s="89" t="s">
        <v>53</v>
      </c>
      <c r="F63" s="89">
        <v>100084977</v>
      </c>
      <c r="G63" s="128" t="s">
        <v>151</v>
      </c>
      <c r="H63"/>
      <c r="I63"/>
      <c r="J63"/>
      <c r="K63"/>
      <c r="L63"/>
      <c r="M63"/>
      <c r="N63"/>
      <c r="O63"/>
      <c r="P63"/>
      <c r="Q63"/>
      <c r="R63"/>
      <c r="S63" s="91">
        <v>2.16</v>
      </c>
      <c r="T63" s="94">
        <v>2.16</v>
      </c>
      <c r="U63" s="91">
        <v>0</v>
      </c>
      <c r="V63" s="129">
        <v>0</v>
      </c>
      <c r="W63" s="91">
        <v>2.16</v>
      </c>
      <c r="X63" s="129">
        <v>2.16</v>
      </c>
      <c r="Y63" s="91">
        <v>0</v>
      </c>
      <c r="Z63" s="129">
        <v>0</v>
      </c>
      <c r="AA63" s="155">
        <f t="shared" si="4"/>
        <v>0.72000000000000008</v>
      </c>
      <c r="AB63" s="98">
        <f t="shared" si="4"/>
        <v>0.72000000000000008</v>
      </c>
      <c r="AC63"/>
      <c r="AD63" s="97">
        <v>0</v>
      </c>
      <c r="AE63" s="92">
        <v>0</v>
      </c>
      <c r="AF63" s="98">
        <f t="shared" si="2"/>
        <v>0</v>
      </c>
      <c r="AG63" s="97">
        <v>0</v>
      </c>
      <c r="AH63" s="92">
        <v>0</v>
      </c>
      <c r="AI63" s="98">
        <f t="shared" si="3"/>
        <v>0</v>
      </c>
      <c r="AJ63" s="99">
        <f t="shared" si="1"/>
        <v>0</v>
      </c>
      <c r="AK63" s="102" t="str">
        <f>+IF(AB63+AA63+AJ63&lt;=0, "NO COMPRADOR", +IF(AJ63&lt;=0, "SIN COMPRA "&amp;+UPPER(TEXT('DINAMICA ENERO 26'!$C$2,"mmm 'yy")), "COMPRADOR"))</f>
        <v>SIN COMPRA FEB '26</v>
      </c>
      <c r="AM63" s="101"/>
    </row>
    <row r="64" spans="1:42" s="100" customFormat="1" hidden="1">
      <c r="A64" s="88" t="s">
        <v>85</v>
      </c>
      <c r="B64" s="89" t="s">
        <v>120</v>
      </c>
      <c r="C64" s="89" t="s">
        <v>52</v>
      </c>
      <c r="D64" s="103">
        <v>100079515</v>
      </c>
      <c r="E64" s="89" t="s">
        <v>53</v>
      </c>
      <c r="F64" s="89">
        <v>100074170</v>
      </c>
      <c r="G64" s="128" t="s">
        <v>152</v>
      </c>
      <c r="H64"/>
      <c r="I64"/>
      <c r="J64"/>
      <c r="K64"/>
      <c r="L64"/>
      <c r="M64"/>
      <c r="N64"/>
      <c r="O64"/>
      <c r="P64"/>
      <c r="Q64"/>
      <c r="R64"/>
      <c r="S64" s="91">
        <v>10.8</v>
      </c>
      <c r="T64" s="94">
        <v>10.8</v>
      </c>
      <c r="U64" s="91">
        <v>21.6</v>
      </c>
      <c r="V64" s="129">
        <v>21.6</v>
      </c>
      <c r="W64" s="91">
        <v>2.16</v>
      </c>
      <c r="X64" s="129">
        <v>2.16</v>
      </c>
      <c r="Y64" s="91">
        <v>0</v>
      </c>
      <c r="Z64" s="129">
        <v>0</v>
      </c>
      <c r="AA64" s="155">
        <f t="shared" si="4"/>
        <v>7.9200000000000008</v>
      </c>
      <c r="AB64" s="98">
        <f t="shared" si="4"/>
        <v>7.9200000000000008</v>
      </c>
      <c r="AC64"/>
      <c r="AD64" s="97">
        <v>0</v>
      </c>
      <c r="AE64" s="92">
        <v>0</v>
      </c>
      <c r="AF64" s="98">
        <f t="shared" si="2"/>
        <v>0</v>
      </c>
      <c r="AG64" s="97">
        <v>0</v>
      </c>
      <c r="AH64" s="92">
        <v>0</v>
      </c>
      <c r="AI64" s="98">
        <f t="shared" si="3"/>
        <v>0</v>
      </c>
      <c r="AJ64" s="99">
        <f t="shared" si="1"/>
        <v>0</v>
      </c>
      <c r="AK64" s="102" t="str">
        <f>+IF(AB64+AA64+AJ64&lt;=0, "NO COMPRADOR", +IF(AJ64&lt;=0, "SIN COMPRA "&amp;+UPPER(TEXT('DINAMICA ENERO 26'!$C$2,"mmm 'yy")), "COMPRADOR"))</f>
        <v>SIN COMPRA FEB '26</v>
      </c>
      <c r="AM64" s="101"/>
    </row>
    <row r="65" spans="1:42" s="104" customFormat="1" hidden="1">
      <c r="A65" s="88" t="s">
        <v>85</v>
      </c>
      <c r="B65" s="89" t="s">
        <v>120</v>
      </c>
      <c r="C65" s="89" t="s">
        <v>52</v>
      </c>
      <c r="D65" s="103">
        <v>100079515</v>
      </c>
      <c r="E65" s="89" t="s">
        <v>53</v>
      </c>
      <c r="F65" s="89">
        <v>100087942</v>
      </c>
      <c r="G65" s="128" t="s">
        <v>153</v>
      </c>
      <c r="H65"/>
      <c r="I65"/>
      <c r="J65"/>
      <c r="K65"/>
      <c r="L65"/>
      <c r="M65"/>
      <c r="N65"/>
      <c r="O65"/>
      <c r="P65"/>
      <c r="Q65"/>
      <c r="R65"/>
      <c r="S65" s="91">
        <v>2.16</v>
      </c>
      <c r="T65" s="94">
        <v>2.16</v>
      </c>
      <c r="U65" s="91">
        <v>10.8</v>
      </c>
      <c r="V65" s="129">
        <v>10.8</v>
      </c>
      <c r="W65" s="91">
        <v>0</v>
      </c>
      <c r="X65" s="129">
        <v>12.96</v>
      </c>
      <c r="Y65" s="91">
        <v>0</v>
      </c>
      <c r="Z65" s="129">
        <v>12.96</v>
      </c>
      <c r="AA65" s="155">
        <f t="shared" si="4"/>
        <v>3.6</v>
      </c>
      <c r="AB65" s="98">
        <f t="shared" si="4"/>
        <v>12.24</v>
      </c>
      <c r="AC65"/>
      <c r="AD65" s="97">
        <v>0</v>
      </c>
      <c r="AE65" s="92">
        <v>0</v>
      </c>
      <c r="AF65" s="98">
        <f t="shared" si="2"/>
        <v>0</v>
      </c>
      <c r="AG65" s="97">
        <v>0</v>
      </c>
      <c r="AH65" s="92">
        <v>0</v>
      </c>
      <c r="AI65" s="98">
        <f t="shared" si="3"/>
        <v>0</v>
      </c>
      <c r="AJ65" s="99">
        <f t="shared" si="1"/>
        <v>0</v>
      </c>
      <c r="AK65" s="102" t="str">
        <f>+IF(AB65+AA65+AJ65&lt;=0, "NO COMPRADOR", +IF(AJ65&lt;=0, "SIN COMPRA "&amp;+UPPER(TEXT('DINAMICA ENERO 26'!$C$2,"mmm 'yy")), "COMPRADOR"))</f>
        <v>SIN COMPRA FEB '26</v>
      </c>
      <c r="AL65" s="100"/>
      <c r="AM65" s="101"/>
      <c r="AN65" s="100"/>
      <c r="AO65" s="100"/>
      <c r="AP65" s="100"/>
    </row>
    <row r="66" spans="1:42" s="100" customFormat="1" hidden="1">
      <c r="A66" s="88" t="s">
        <v>85</v>
      </c>
      <c r="B66" s="89" t="s">
        <v>120</v>
      </c>
      <c r="C66" s="89" t="s">
        <v>52</v>
      </c>
      <c r="D66" s="103">
        <v>100079515</v>
      </c>
      <c r="E66" s="89" t="s">
        <v>53</v>
      </c>
      <c r="F66" s="89">
        <v>100068357</v>
      </c>
      <c r="G66" s="128" t="s">
        <v>154</v>
      </c>
      <c r="H66"/>
      <c r="I66"/>
      <c r="J66"/>
      <c r="K66"/>
      <c r="L66"/>
      <c r="M66"/>
      <c r="N66"/>
      <c r="O66"/>
      <c r="P66"/>
      <c r="Q66"/>
      <c r="R66"/>
      <c r="S66" s="91">
        <v>25.92</v>
      </c>
      <c r="T66" s="94">
        <v>25.92</v>
      </c>
      <c r="U66" s="91">
        <v>0</v>
      </c>
      <c r="V66" s="129">
        <v>0</v>
      </c>
      <c r="W66" s="91">
        <v>0</v>
      </c>
      <c r="X66" s="129">
        <v>0</v>
      </c>
      <c r="Y66" s="91">
        <v>0</v>
      </c>
      <c r="Z66" s="129">
        <v>0</v>
      </c>
      <c r="AA66" s="155">
        <f t="shared" si="4"/>
        <v>0</v>
      </c>
      <c r="AB66" s="98">
        <f t="shared" si="4"/>
        <v>0</v>
      </c>
      <c r="AC66"/>
      <c r="AD66" s="97">
        <v>0</v>
      </c>
      <c r="AE66" s="92">
        <v>0</v>
      </c>
      <c r="AF66" s="98">
        <f t="shared" si="2"/>
        <v>0</v>
      </c>
      <c r="AG66" s="97">
        <v>0</v>
      </c>
      <c r="AH66" s="92">
        <v>0</v>
      </c>
      <c r="AI66" s="98">
        <f t="shared" si="3"/>
        <v>0</v>
      </c>
      <c r="AJ66" s="99">
        <f t="shared" si="1"/>
        <v>0</v>
      </c>
      <c r="AK66" s="102" t="str">
        <f>+IF(AB66+AA66+AJ66&lt;=0, "NO COMPRADOR", +IF(AJ66&lt;=0, "SIN COMPRA "&amp;+UPPER(TEXT('DINAMICA ENERO 26'!$C$2,"mmm 'yy")), "COMPRADOR"))</f>
        <v>NO COMPRADOR</v>
      </c>
      <c r="AM66" s="101"/>
    </row>
    <row r="67" spans="1:42" s="104" customFormat="1" hidden="1">
      <c r="A67" s="88" t="s">
        <v>85</v>
      </c>
      <c r="B67" s="89" t="s">
        <v>120</v>
      </c>
      <c r="C67" s="89" t="s">
        <v>52</v>
      </c>
      <c r="D67" s="103">
        <v>100079515</v>
      </c>
      <c r="E67" s="89" t="s">
        <v>53</v>
      </c>
      <c r="F67" s="89">
        <v>100001391</v>
      </c>
      <c r="G67" s="128" t="s">
        <v>155</v>
      </c>
      <c r="H67"/>
      <c r="I67"/>
      <c r="J67"/>
      <c r="K67"/>
      <c r="L67"/>
      <c r="M67"/>
      <c r="N67"/>
      <c r="O67"/>
      <c r="P67"/>
      <c r="Q67"/>
      <c r="R67"/>
      <c r="S67" s="91">
        <v>0</v>
      </c>
      <c r="T67" s="94">
        <v>0</v>
      </c>
      <c r="U67" s="91">
        <v>116.64000000000001</v>
      </c>
      <c r="V67" s="129">
        <v>116.64000000000001</v>
      </c>
      <c r="W67" s="91">
        <v>0</v>
      </c>
      <c r="X67" s="129">
        <v>0</v>
      </c>
      <c r="Y67" s="91">
        <v>0</v>
      </c>
      <c r="Z67" s="129">
        <v>86.4</v>
      </c>
      <c r="AA67" s="155">
        <f t="shared" si="4"/>
        <v>38.880000000000003</v>
      </c>
      <c r="AB67" s="98">
        <f t="shared" si="4"/>
        <v>67.680000000000007</v>
      </c>
      <c r="AC67"/>
      <c r="AD67" s="97">
        <v>108</v>
      </c>
      <c r="AE67" s="92">
        <v>0</v>
      </c>
      <c r="AF67" s="98">
        <f t="shared" si="2"/>
        <v>108</v>
      </c>
      <c r="AG67" s="97">
        <v>32.400000000000006</v>
      </c>
      <c r="AH67" s="92">
        <v>0</v>
      </c>
      <c r="AI67" s="98">
        <f t="shared" si="3"/>
        <v>32.400000000000006</v>
      </c>
      <c r="AJ67" s="99">
        <f t="shared" ref="AJ67:AJ130" si="5">+AF67+AI67</f>
        <v>140.4</v>
      </c>
      <c r="AK67" s="102" t="str">
        <f>+IF(AB67+AA67+AJ67&lt;=0, "NO COMPRADOR", +IF(AJ67&lt;=0, "SIN COMPRA "&amp;+UPPER(TEXT('DINAMICA ENERO 26'!$C$2,"mmm 'yy")), "COMPRADOR"))</f>
        <v>COMPRADOR</v>
      </c>
      <c r="AL67" s="100"/>
      <c r="AM67" s="101"/>
      <c r="AN67" s="100"/>
      <c r="AO67" s="100"/>
      <c r="AP67" s="100"/>
    </row>
    <row r="68" spans="1:42" s="100" customFormat="1" hidden="1">
      <c r="A68" s="88" t="s">
        <v>85</v>
      </c>
      <c r="B68" s="89" t="s">
        <v>120</v>
      </c>
      <c r="C68" s="89" t="s">
        <v>52</v>
      </c>
      <c r="D68" s="103">
        <v>100079515</v>
      </c>
      <c r="E68" s="89" t="s">
        <v>53</v>
      </c>
      <c r="F68" s="89">
        <v>100085149</v>
      </c>
      <c r="G68" s="128" t="s">
        <v>156</v>
      </c>
      <c r="H68"/>
      <c r="I68"/>
      <c r="J68"/>
      <c r="K68"/>
      <c r="L68"/>
      <c r="M68"/>
      <c r="N68"/>
      <c r="O68"/>
      <c r="P68"/>
      <c r="Q68"/>
      <c r="R68"/>
      <c r="S68" s="91">
        <v>0</v>
      </c>
      <c r="T68" s="94">
        <v>0</v>
      </c>
      <c r="U68" s="91">
        <v>0</v>
      </c>
      <c r="V68" s="129">
        <v>0</v>
      </c>
      <c r="W68" s="91">
        <v>0</v>
      </c>
      <c r="X68" s="129">
        <v>0</v>
      </c>
      <c r="Y68" s="91">
        <v>0</v>
      </c>
      <c r="Z68" s="129">
        <v>2.16</v>
      </c>
      <c r="AA68" s="155">
        <f t="shared" si="4"/>
        <v>0</v>
      </c>
      <c r="AB68" s="98">
        <f t="shared" si="4"/>
        <v>0.72000000000000008</v>
      </c>
      <c r="AC68"/>
      <c r="AD68" s="97">
        <v>32.400000000000006</v>
      </c>
      <c r="AE68" s="92">
        <v>0</v>
      </c>
      <c r="AF68" s="98">
        <f t="shared" ref="AF68:AF131" si="6">+AD68+AE68</f>
        <v>32.400000000000006</v>
      </c>
      <c r="AG68" s="97">
        <v>32.400000000000006</v>
      </c>
      <c r="AH68" s="92">
        <v>0</v>
      </c>
      <c r="AI68" s="98">
        <f t="shared" ref="AI68:AI131" si="7">+AG68+AH68</f>
        <v>32.400000000000006</v>
      </c>
      <c r="AJ68" s="99">
        <f t="shared" si="5"/>
        <v>64.800000000000011</v>
      </c>
      <c r="AK68" s="102" t="str">
        <f>+IF(AB68+AA68+AJ68&lt;=0, "NO COMPRADOR", +IF(AJ68&lt;=0, "SIN COMPRA "&amp;+UPPER(TEXT('DINAMICA ENERO 26'!$C$2,"mmm 'yy")), "COMPRADOR"))</f>
        <v>COMPRADOR</v>
      </c>
      <c r="AM68" s="101"/>
    </row>
    <row r="69" spans="1:42" s="100" customFormat="1" hidden="1">
      <c r="A69" s="88" t="s">
        <v>85</v>
      </c>
      <c r="B69" s="89" t="s">
        <v>157</v>
      </c>
      <c r="C69" s="89" t="s">
        <v>52</v>
      </c>
      <c r="D69" s="103">
        <v>100079674</v>
      </c>
      <c r="E69" s="89" t="s">
        <v>57</v>
      </c>
      <c r="F69" s="89">
        <v>100079807</v>
      </c>
      <c r="G69" s="128" t="s">
        <v>158</v>
      </c>
      <c r="H69"/>
      <c r="I69"/>
      <c r="J69"/>
      <c r="K69"/>
      <c r="L69"/>
      <c r="M69"/>
      <c r="N69"/>
      <c r="O69"/>
      <c r="P69"/>
      <c r="Q69"/>
      <c r="R69"/>
      <c r="S69" s="91">
        <v>2.16</v>
      </c>
      <c r="T69" s="94">
        <v>2.16</v>
      </c>
      <c r="U69" s="91">
        <v>2.16</v>
      </c>
      <c r="V69" s="129">
        <v>2.16</v>
      </c>
      <c r="W69" s="91">
        <v>2.16</v>
      </c>
      <c r="X69" s="129">
        <v>2.16</v>
      </c>
      <c r="Y69" s="91">
        <v>2.16</v>
      </c>
      <c r="Z69" s="129">
        <v>2.16</v>
      </c>
      <c r="AA69" s="155">
        <f t="shared" si="4"/>
        <v>2.16</v>
      </c>
      <c r="AB69" s="98">
        <f t="shared" si="4"/>
        <v>2.16</v>
      </c>
      <c r="AC69"/>
      <c r="AD69" s="97">
        <v>0</v>
      </c>
      <c r="AE69" s="92">
        <v>0</v>
      </c>
      <c r="AF69" s="98">
        <f t="shared" si="6"/>
        <v>0</v>
      </c>
      <c r="AG69" s="97">
        <v>0</v>
      </c>
      <c r="AH69" s="92">
        <v>0</v>
      </c>
      <c r="AI69" s="98">
        <f t="shared" si="7"/>
        <v>0</v>
      </c>
      <c r="AJ69" s="99">
        <f t="shared" si="5"/>
        <v>0</v>
      </c>
      <c r="AK69" s="102" t="str">
        <f>+IF(AB69+AA69+AJ69&lt;=0, "NO COMPRADOR", +IF(AJ69&lt;=0, "SIN COMPRA "&amp;+UPPER(TEXT('DINAMICA ENERO 26'!$C$2,"mmm 'yy")), "COMPRADOR"))</f>
        <v>SIN COMPRA FEB '26</v>
      </c>
      <c r="AM69" s="101"/>
    </row>
    <row r="70" spans="1:42" s="100" customFormat="1" hidden="1">
      <c r="A70" s="88" t="s">
        <v>85</v>
      </c>
      <c r="B70" s="89" t="s">
        <v>157</v>
      </c>
      <c r="C70" s="89" t="s">
        <v>52</v>
      </c>
      <c r="D70" s="103">
        <v>100079674</v>
      </c>
      <c r="E70" s="89" t="s">
        <v>57</v>
      </c>
      <c r="F70" s="89">
        <v>100086113</v>
      </c>
      <c r="G70" s="128" t="s">
        <v>159</v>
      </c>
      <c r="H70"/>
      <c r="I70"/>
      <c r="J70"/>
      <c r="K70"/>
      <c r="L70"/>
      <c r="M70"/>
      <c r="N70"/>
      <c r="O70"/>
      <c r="P70"/>
      <c r="Q70"/>
      <c r="R70"/>
      <c r="S70" s="91">
        <v>0</v>
      </c>
      <c r="T70" s="94">
        <v>0</v>
      </c>
      <c r="U70" s="91">
        <v>0</v>
      </c>
      <c r="V70" s="129">
        <v>0</v>
      </c>
      <c r="W70" s="91">
        <v>0</v>
      </c>
      <c r="X70" s="129">
        <v>0</v>
      </c>
      <c r="Y70" s="91">
        <v>0</v>
      </c>
      <c r="Z70" s="129">
        <v>0</v>
      </c>
      <c r="AA70" s="155">
        <f t="shared" si="4"/>
        <v>0</v>
      </c>
      <c r="AB70" s="98">
        <f t="shared" si="4"/>
        <v>0</v>
      </c>
      <c r="AC70"/>
      <c r="AD70" s="97">
        <v>0</v>
      </c>
      <c r="AE70" s="92">
        <v>0</v>
      </c>
      <c r="AF70" s="98">
        <f t="shared" si="6"/>
        <v>0</v>
      </c>
      <c r="AG70" s="97">
        <v>0</v>
      </c>
      <c r="AH70" s="92">
        <v>0</v>
      </c>
      <c r="AI70" s="98">
        <f t="shared" si="7"/>
        <v>0</v>
      </c>
      <c r="AJ70" s="99">
        <f t="shared" si="5"/>
        <v>0</v>
      </c>
      <c r="AK70" s="102" t="str">
        <f>+IF(AB70+AA70+AJ70&lt;=0, "NO COMPRADOR", +IF(AJ70&lt;=0, "SIN COMPRA "&amp;+UPPER(TEXT('DINAMICA ENERO 26'!$C$2,"mmm 'yy")), "COMPRADOR"))</f>
        <v>NO COMPRADOR</v>
      </c>
      <c r="AM70" s="101"/>
    </row>
    <row r="71" spans="1:42" s="100" customFormat="1" hidden="1">
      <c r="A71" s="88" t="s">
        <v>85</v>
      </c>
      <c r="B71" s="89" t="s">
        <v>157</v>
      </c>
      <c r="C71" s="89" t="s">
        <v>52</v>
      </c>
      <c r="D71" s="103">
        <v>100079674</v>
      </c>
      <c r="E71" s="89" t="s">
        <v>57</v>
      </c>
      <c r="F71" s="89">
        <v>100086648</v>
      </c>
      <c r="G71" s="128" t="s">
        <v>160</v>
      </c>
      <c r="H71"/>
      <c r="I71"/>
      <c r="J71"/>
      <c r="K71"/>
      <c r="L71"/>
      <c r="M71"/>
      <c r="N71"/>
      <c r="O71"/>
      <c r="P71"/>
      <c r="Q71"/>
      <c r="R71"/>
      <c r="S71" s="91">
        <v>4.32</v>
      </c>
      <c r="T71" s="94">
        <v>4.32</v>
      </c>
      <c r="U71" s="91">
        <v>2.16</v>
      </c>
      <c r="V71" s="129">
        <v>2.16</v>
      </c>
      <c r="W71" s="91">
        <v>6.48</v>
      </c>
      <c r="X71" s="129">
        <v>8.64</v>
      </c>
      <c r="Y71" s="91">
        <v>2.16</v>
      </c>
      <c r="Z71" s="129">
        <v>2.16</v>
      </c>
      <c r="AA71" s="155">
        <f t="shared" si="4"/>
        <v>3.6</v>
      </c>
      <c r="AB71" s="98">
        <f t="shared" si="4"/>
        <v>4.32</v>
      </c>
      <c r="AC71"/>
      <c r="AD71" s="97">
        <v>0</v>
      </c>
      <c r="AE71" s="92">
        <v>0</v>
      </c>
      <c r="AF71" s="98">
        <f t="shared" si="6"/>
        <v>0</v>
      </c>
      <c r="AG71" s="97">
        <v>0</v>
      </c>
      <c r="AH71" s="92">
        <v>0</v>
      </c>
      <c r="AI71" s="98">
        <f t="shared" si="7"/>
        <v>0</v>
      </c>
      <c r="AJ71" s="99">
        <f t="shared" si="5"/>
        <v>0</v>
      </c>
      <c r="AK71" s="102" t="str">
        <f>+IF(AB71+AA71+AJ71&lt;=0, "NO COMPRADOR", +IF(AJ71&lt;=0, "SIN COMPRA "&amp;+UPPER(TEXT('DINAMICA ENERO 26'!$C$2,"mmm 'yy")), "COMPRADOR"))</f>
        <v>SIN COMPRA FEB '26</v>
      </c>
      <c r="AM71" s="101"/>
    </row>
    <row r="72" spans="1:42" s="100" customFormat="1" hidden="1">
      <c r="A72" s="88" t="s">
        <v>85</v>
      </c>
      <c r="B72" s="89" t="s">
        <v>157</v>
      </c>
      <c r="C72" s="89" t="s">
        <v>52</v>
      </c>
      <c r="D72" s="103">
        <v>100079674</v>
      </c>
      <c r="E72" s="89" t="s">
        <v>57</v>
      </c>
      <c r="F72" s="89">
        <v>100085802</v>
      </c>
      <c r="G72" s="128" t="s">
        <v>161</v>
      </c>
      <c r="H72"/>
      <c r="I72"/>
      <c r="J72"/>
      <c r="K72"/>
      <c r="L72"/>
      <c r="M72"/>
      <c r="N72"/>
      <c r="O72"/>
      <c r="P72"/>
      <c r="Q72"/>
      <c r="R72"/>
      <c r="S72" s="91">
        <v>0</v>
      </c>
      <c r="T72" s="94">
        <v>0</v>
      </c>
      <c r="U72" s="91">
        <v>10.8</v>
      </c>
      <c r="V72" s="129">
        <v>10.8</v>
      </c>
      <c r="W72" s="91">
        <v>0</v>
      </c>
      <c r="X72" s="129">
        <v>0</v>
      </c>
      <c r="Y72" s="91">
        <v>0</v>
      </c>
      <c r="Z72" s="129">
        <v>0</v>
      </c>
      <c r="AA72" s="155">
        <f t="shared" si="4"/>
        <v>3.6</v>
      </c>
      <c r="AB72" s="98">
        <f t="shared" si="4"/>
        <v>3.6</v>
      </c>
      <c r="AC72"/>
      <c r="AD72" s="97">
        <v>0</v>
      </c>
      <c r="AE72" s="92">
        <v>0</v>
      </c>
      <c r="AF72" s="98">
        <f t="shared" si="6"/>
        <v>0</v>
      </c>
      <c r="AG72" s="97">
        <v>0</v>
      </c>
      <c r="AH72" s="92">
        <v>0</v>
      </c>
      <c r="AI72" s="98">
        <f t="shared" si="7"/>
        <v>0</v>
      </c>
      <c r="AJ72" s="99">
        <f t="shared" si="5"/>
        <v>0</v>
      </c>
      <c r="AK72" s="102" t="str">
        <f>+IF(AB72+AA72+AJ72&lt;=0, "NO COMPRADOR", +IF(AJ72&lt;=0, "SIN COMPRA "&amp;+UPPER(TEXT('DINAMICA ENERO 26'!$C$2,"mmm 'yy")), "COMPRADOR"))</f>
        <v>SIN COMPRA FEB '26</v>
      </c>
      <c r="AM72" s="101"/>
    </row>
    <row r="73" spans="1:42" s="100" customFormat="1" hidden="1">
      <c r="A73" s="88" t="s">
        <v>85</v>
      </c>
      <c r="B73" s="89" t="s">
        <v>157</v>
      </c>
      <c r="C73" s="89" t="s">
        <v>52</v>
      </c>
      <c r="D73" s="103">
        <v>100079674</v>
      </c>
      <c r="E73" s="89" t="s">
        <v>57</v>
      </c>
      <c r="F73" s="89">
        <v>100079430</v>
      </c>
      <c r="G73" s="128" t="s">
        <v>162</v>
      </c>
      <c r="H73"/>
      <c r="I73"/>
      <c r="J73"/>
      <c r="K73"/>
      <c r="L73"/>
      <c r="M73"/>
      <c r="N73"/>
      <c r="O73"/>
      <c r="P73"/>
      <c r="Q73"/>
      <c r="R73"/>
      <c r="S73" s="91">
        <v>2.16</v>
      </c>
      <c r="T73" s="94">
        <v>2.16</v>
      </c>
      <c r="U73" s="91">
        <v>0</v>
      </c>
      <c r="V73" s="129">
        <v>0</v>
      </c>
      <c r="W73" s="91">
        <v>0</v>
      </c>
      <c r="X73" s="129">
        <v>0</v>
      </c>
      <c r="Y73" s="91">
        <v>0</v>
      </c>
      <c r="Z73" s="129">
        <v>0</v>
      </c>
      <c r="AA73" s="155">
        <f t="shared" si="4"/>
        <v>0</v>
      </c>
      <c r="AB73" s="98">
        <f t="shared" si="4"/>
        <v>0</v>
      </c>
      <c r="AC73"/>
      <c r="AD73" s="97">
        <v>0</v>
      </c>
      <c r="AE73" s="92">
        <v>0</v>
      </c>
      <c r="AF73" s="98">
        <f t="shared" si="6"/>
        <v>0</v>
      </c>
      <c r="AG73" s="97">
        <v>0</v>
      </c>
      <c r="AH73" s="92">
        <v>0</v>
      </c>
      <c r="AI73" s="98">
        <f t="shared" si="7"/>
        <v>0</v>
      </c>
      <c r="AJ73" s="99">
        <f t="shared" si="5"/>
        <v>0</v>
      </c>
      <c r="AK73" s="102" t="str">
        <f>+IF(AB73+AA73+AJ73&lt;=0, "NO COMPRADOR", +IF(AJ73&lt;=0, "SIN COMPRA "&amp;+UPPER(TEXT('DINAMICA ENERO 26'!$C$2,"mmm 'yy")), "COMPRADOR"))</f>
        <v>NO COMPRADOR</v>
      </c>
      <c r="AM73" s="101"/>
    </row>
    <row r="74" spans="1:42" s="100" customFormat="1" hidden="1">
      <c r="A74" s="88" t="s">
        <v>85</v>
      </c>
      <c r="B74" s="89" t="s">
        <v>157</v>
      </c>
      <c r="C74" s="89" t="s">
        <v>52</v>
      </c>
      <c r="D74" s="103">
        <v>100079674</v>
      </c>
      <c r="E74" s="89" t="s">
        <v>57</v>
      </c>
      <c r="F74" s="89">
        <v>100001212</v>
      </c>
      <c r="G74" s="128" t="s">
        <v>163</v>
      </c>
      <c r="H74"/>
      <c r="I74"/>
      <c r="J74"/>
      <c r="K74"/>
      <c r="L74"/>
      <c r="M74"/>
      <c r="N74"/>
      <c r="O74"/>
      <c r="P74"/>
      <c r="Q74"/>
      <c r="R74"/>
      <c r="S74" s="91">
        <v>0</v>
      </c>
      <c r="T74" s="94">
        <v>0</v>
      </c>
      <c r="U74" s="91">
        <v>2.16</v>
      </c>
      <c r="V74" s="129">
        <v>2.16</v>
      </c>
      <c r="W74" s="91">
        <v>2.16</v>
      </c>
      <c r="X74" s="129">
        <v>2.16</v>
      </c>
      <c r="Y74" s="91">
        <v>0</v>
      </c>
      <c r="Z74" s="129">
        <v>0</v>
      </c>
      <c r="AA74" s="155">
        <f t="shared" si="4"/>
        <v>1.4400000000000002</v>
      </c>
      <c r="AB74" s="98">
        <f t="shared" si="4"/>
        <v>1.4400000000000002</v>
      </c>
      <c r="AC74"/>
      <c r="AD74" s="97">
        <v>2.16</v>
      </c>
      <c r="AE74" s="92">
        <v>0</v>
      </c>
      <c r="AF74" s="98">
        <f t="shared" si="6"/>
        <v>2.16</v>
      </c>
      <c r="AG74" s="97">
        <v>2.16</v>
      </c>
      <c r="AH74" s="92">
        <v>0</v>
      </c>
      <c r="AI74" s="98">
        <f t="shared" si="7"/>
        <v>2.16</v>
      </c>
      <c r="AJ74" s="99">
        <f t="shared" si="5"/>
        <v>4.32</v>
      </c>
      <c r="AK74" s="102" t="str">
        <f>+IF(AB74+AA74+AJ74&lt;=0, "NO COMPRADOR", +IF(AJ74&lt;=0, "SIN COMPRA "&amp;+UPPER(TEXT('DINAMICA ENERO 26'!$C$2,"mmm 'yy")), "COMPRADOR"))</f>
        <v>COMPRADOR</v>
      </c>
      <c r="AM74" s="101"/>
    </row>
    <row r="75" spans="1:42" s="104" customFormat="1" hidden="1">
      <c r="A75" s="88" t="s">
        <v>85</v>
      </c>
      <c r="B75" s="89" t="s">
        <v>157</v>
      </c>
      <c r="C75" s="89" t="s">
        <v>52</v>
      </c>
      <c r="D75" s="103">
        <v>100079674</v>
      </c>
      <c r="E75" s="89" t="s">
        <v>57</v>
      </c>
      <c r="F75" s="89">
        <v>100001259</v>
      </c>
      <c r="G75" s="128" t="s">
        <v>164</v>
      </c>
      <c r="H75"/>
      <c r="I75"/>
      <c r="J75"/>
      <c r="K75"/>
      <c r="L75"/>
      <c r="M75"/>
      <c r="N75"/>
      <c r="O75"/>
      <c r="P75"/>
      <c r="Q75"/>
      <c r="R75"/>
      <c r="S75" s="91">
        <v>0</v>
      </c>
      <c r="T75" s="94">
        <v>0</v>
      </c>
      <c r="U75" s="91">
        <v>4.32</v>
      </c>
      <c r="V75" s="129">
        <v>4.32</v>
      </c>
      <c r="W75" s="91">
        <v>19.440000000000001</v>
      </c>
      <c r="X75" s="129">
        <v>21.6</v>
      </c>
      <c r="Y75" s="91">
        <v>0</v>
      </c>
      <c r="Z75" s="129">
        <v>0</v>
      </c>
      <c r="AA75" s="155">
        <f t="shared" si="4"/>
        <v>7.9200000000000008</v>
      </c>
      <c r="AB75" s="98">
        <f t="shared" si="4"/>
        <v>8.64</v>
      </c>
      <c r="AC75"/>
      <c r="AD75" s="97">
        <v>0</v>
      </c>
      <c r="AE75" s="92">
        <v>0</v>
      </c>
      <c r="AF75" s="98">
        <f t="shared" si="6"/>
        <v>0</v>
      </c>
      <c r="AG75" s="97">
        <v>0</v>
      </c>
      <c r="AH75" s="92">
        <v>0</v>
      </c>
      <c r="AI75" s="98">
        <f t="shared" si="7"/>
        <v>0</v>
      </c>
      <c r="AJ75" s="99">
        <f t="shared" si="5"/>
        <v>0</v>
      </c>
      <c r="AK75" s="102" t="str">
        <f>+IF(AB75+AA75+AJ75&lt;=0, "NO COMPRADOR", +IF(AJ75&lt;=0, "SIN COMPRA "&amp;+UPPER(TEXT('DINAMICA ENERO 26'!$C$2,"mmm 'yy")), "COMPRADOR"))</f>
        <v>SIN COMPRA FEB '26</v>
      </c>
      <c r="AL75" s="100"/>
      <c r="AM75" s="101"/>
      <c r="AN75" s="100"/>
      <c r="AO75" s="100"/>
      <c r="AP75" s="100"/>
    </row>
    <row r="76" spans="1:42" s="104" customFormat="1" hidden="1">
      <c r="A76" s="88" t="s">
        <v>85</v>
      </c>
      <c r="B76" s="89" t="s">
        <v>157</v>
      </c>
      <c r="C76" s="89" t="s">
        <v>52</v>
      </c>
      <c r="D76" s="103">
        <v>100079674</v>
      </c>
      <c r="E76" s="89" t="s">
        <v>57</v>
      </c>
      <c r="F76" s="89">
        <v>100082864</v>
      </c>
      <c r="G76" s="128" t="s">
        <v>165</v>
      </c>
      <c r="H76"/>
      <c r="I76"/>
      <c r="J76"/>
      <c r="K76"/>
      <c r="L76"/>
      <c r="M76"/>
      <c r="N76"/>
      <c r="O76"/>
      <c r="P76"/>
      <c r="Q76"/>
      <c r="R76"/>
      <c r="S76" s="91">
        <v>0</v>
      </c>
      <c r="T76" s="94">
        <v>0</v>
      </c>
      <c r="U76" s="91">
        <v>0</v>
      </c>
      <c r="V76" s="129">
        <v>0</v>
      </c>
      <c r="W76" s="91">
        <v>0</v>
      </c>
      <c r="X76" s="129">
        <v>0</v>
      </c>
      <c r="Y76" s="91">
        <v>0</v>
      </c>
      <c r="Z76" s="129">
        <v>0</v>
      </c>
      <c r="AA76" s="155">
        <f t="shared" si="4"/>
        <v>0</v>
      </c>
      <c r="AB76" s="98">
        <f t="shared" si="4"/>
        <v>0</v>
      </c>
      <c r="AC76"/>
      <c r="AD76" s="97">
        <v>0</v>
      </c>
      <c r="AE76" s="92">
        <v>0</v>
      </c>
      <c r="AF76" s="98">
        <f t="shared" si="6"/>
        <v>0</v>
      </c>
      <c r="AG76" s="97">
        <v>0</v>
      </c>
      <c r="AH76" s="92">
        <v>0</v>
      </c>
      <c r="AI76" s="98">
        <f t="shared" si="7"/>
        <v>0</v>
      </c>
      <c r="AJ76" s="99">
        <f t="shared" si="5"/>
        <v>0</v>
      </c>
      <c r="AK76" s="102" t="str">
        <f>+IF(AB76+AA76+AJ76&lt;=0, "NO COMPRADOR", +IF(AJ76&lt;=0, "SIN COMPRA "&amp;+UPPER(TEXT('DINAMICA ENERO 26'!$C$2,"mmm 'yy")), "COMPRADOR"))</f>
        <v>NO COMPRADOR</v>
      </c>
      <c r="AL76" s="100"/>
      <c r="AM76" s="101"/>
      <c r="AN76" s="100"/>
      <c r="AO76" s="100"/>
      <c r="AP76" s="100"/>
    </row>
    <row r="77" spans="1:42" s="104" customFormat="1" hidden="1">
      <c r="A77" s="88" t="s">
        <v>85</v>
      </c>
      <c r="B77" s="89" t="s">
        <v>157</v>
      </c>
      <c r="C77" s="89" t="s">
        <v>52</v>
      </c>
      <c r="D77" s="103">
        <v>100079674</v>
      </c>
      <c r="E77" s="89" t="s">
        <v>57</v>
      </c>
      <c r="F77" s="89">
        <v>100073859</v>
      </c>
      <c r="G77" s="128" t="s">
        <v>166</v>
      </c>
      <c r="H77"/>
      <c r="I77"/>
      <c r="J77"/>
      <c r="K77"/>
      <c r="L77"/>
      <c r="M77"/>
      <c r="N77"/>
      <c r="O77"/>
      <c r="P77"/>
      <c r="Q77"/>
      <c r="R77"/>
      <c r="S77" s="91">
        <v>86.4</v>
      </c>
      <c r="T77" s="94">
        <v>43.2</v>
      </c>
      <c r="U77" s="91">
        <v>2.16</v>
      </c>
      <c r="V77" s="129">
        <v>2.16</v>
      </c>
      <c r="W77" s="91">
        <v>129.60000000000002</v>
      </c>
      <c r="X77" s="129">
        <v>129.60000000000002</v>
      </c>
      <c r="Y77" s="91">
        <v>43.2</v>
      </c>
      <c r="Z77" s="129">
        <v>43.2</v>
      </c>
      <c r="AA77" s="155">
        <f t="shared" si="4"/>
        <v>58.320000000000014</v>
      </c>
      <c r="AB77" s="98">
        <f t="shared" si="4"/>
        <v>58.320000000000014</v>
      </c>
      <c r="AC77"/>
      <c r="AD77" s="97">
        <v>43.2</v>
      </c>
      <c r="AE77" s="92">
        <v>0</v>
      </c>
      <c r="AF77" s="98">
        <f t="shared" si="6"/>
        <v>43.2</v>
      </c>
      <c r="AG77" s="97">
        <v>43.2</v>
      </c>
      <c r="AH77" s="92">
        <v>0</v>
      </c>
      <c r="AI77" s="98">
        <f t="shared" si="7"/>
        <v>43.2</v>
      </c>
      <c r="AJ77" s="99">
        <f t="shared" si="5"/>
        <v>86.4</v>
      </c>
      <c r="AK77" s="102" t="str">
        <f>+IF(AB77+AA77+AJ77&lt;=0, "NO COMPRADOR", +IF(AJ77&lt;=0, "SIN COMPRA "&amp;+UPPER(TEXT('DINAMICA ENERO 26'!$C$2,"mmm 'yy")), "COMPRADOR"))</f>
        <v>COMPRADOR</v>
      </c>
      <c r="AL77" s="100"/>
      <c r="AM77" s="101"/>
      <c r="AN77" s="100"/>
      <c r="AO77" s="100"/>
      <c r="AP77" s="100"/>
    </row>
    <row r="78" spans="1:42" s="104" customFormat="1" hidden="1">
      <c r="A78" s="88" t="s">
        <v>85</v>
      </c>
      <c r="B78" s="89" t="s">
        <v>157</v>
      </c>
      <c r="C78" s="89" t="s">
        <v>52</v>
      </c>
      <c r="D78" s="103">
        <v>100079674</v>
      </c>
      <c r="E78" s="89" t="s">
        <v>57</v>
      </c>
      <c r="F78" s="89">
        <v>100001941</v>
      </c>
      <c r="G78" s="128" t="s">
        <v>167</v>
      </c>
      <c r="H78"/>
      <c r="I78"/>
      <c r="J78"/>
      <c r="K78"/>
      <c r="L78"/>
      <c r="M78"/>
      <c r="N78"/>
      <c r="O78"/>
      <c r="P78"/>
      <c r="Q78"/>
      <c r="R78"/>
      <c r="S78" s="91">
        <v>4.32</v>
      </c>
      <c r="T78" s="94">
        <v>4.32</v>
      </c>
      <c r="U78" s="91">
        <v>0</v>
      </c>
      <c r="V78" s="129">
        <v>0</v>
      </c>
      <c r="W78" s="91">
        <v>6.48</v>
      </c>
      <c r="X78" s="129">
        <v>6.48</v>
      </c>
      <c r="Y78" s="91">
        <v>0</v>
      </c>
      <c r="Z78" s="129">
        <v>0</v>
      </c>
      <c r="AA78" s="155">
        <f t="shared" si="4"/>
        <v>2.16</v>
      </c>
      <c r="AB78" s="98">
        <f t="shared" si="4"/>
        <v>2.16</v>
      </c>
      <c r="AC78"/>
      <c r="AD78" s="97">
        <v>0</v>
      </c>
      <c r="AE78" s="92">
        <v>0</v>
      </c>
      <c r="AF78" s="98">
        <f t="shared" si="6"/>
        <v>0</v>
      </c>
      <c r="AG78" s="97">
        <v>0</v>
      </c>
      <c r="AH78" s="92">
        <v>0</v>
      </c>
      <c r="AI78" s="98">
        <f t="shared" si="7"/>
        <v>0</v>
      </c>
      <c r="AJ78" s="99">
        <f t="shared" si="5"/>
        <v>0</v>
      </c>
      <c r="AK78" s="102" t="str">
        <f>+IF(AB78+AA78+AJ78&lt;=0, "NO COMPRADOR", +IF(AJ78&lt;=0, "SIN COMPRA "&amp;+UPPER(TEXT('DINAMICA ENERO 26'!$C$2,"mmm 'yy")), "COMPRADOR"))</f>
        <v>SIN COMPRA FEB '26</v>
      </c>
      <c r="AL78" s="100"/>
      <c r="AM78" s="101"/>
      <c r="AN78" s="100"/>
      <c r="AO78" s="100"/>
      <c r="AP78" s="100"/>
    </row>
    <row r="79" spans="1:42" s="104" customFormat="1" hidden="1">
      <c r="A79" s="88" t="s">
        <v>85</v>
      </c>
      <c r="B79" s="89" t="s">
        <v>157</v>
      </c>
      <c r="C79" s="89" t="s">
        <v>52</v>
      </c>
      <c r="D79" s="103">
        <v>100079674</v>
      </c>
      <c r="E79" s="89" t="s">
        <v>57</v>
      </c>
      <c r="F79" s="89">
        <v>100005864</v>
      </c>
      <c r="G79" s="128" t="s">
        <v>168</v>
      </c>
      <c r="H79"/>
      <c r="I79"/>
      <c r="J79"/>
      <c r="K79"/>
      <c r="L79"/>
      <c r="M79"/>
      <c r="N79"/>
      <c r="O79"/>
      <c r="P79"/>
      <c r="Q79"/>
      <c r="R79"/>
      <c r="S79" s="91">
        <v>0</v>
      </c>
      <c r="T79" s="94">
        <v>0</v>
      </c>
      <c r="U79" s="91">
        <v>2.16</v>
      </c>
      <c r="V79" s="129">
        <v>2.16</v>
      </c>
      <c r="W79" s="91">
        <v>10.8</v>
      </c>
      <c r="X79" s="129">
        <v>10.8</v>
      </c>
      <c r="Y79" s="91">
        <v>0</v>
      </c>
      <c r="Z79" s="129">
        <v>0</v>
      </c>
      <c r="AA79" s="155">
        <f t="shared" si="4"/>
        <v>4.32</v>
      </c>
      <c r="AB79" s="98">
        <f t="shared" si="4"/>
        <v>4.32</v>
      </c>
      <c r="AC79"/>
      <c r="AD79" s="97">
        <v>0</v>
      </c>
      <c r="AE79" s="92">
        <v>0</v>
      </c>
      <c r="AF79" s="98">
        <f t="shared" si="6"/>
        <v>0</v>
      </c>
      <c r="AG79" s="97">
        <v>0</v>
      </c>
      <c r="AH79" s="92">
        <v>0</v>
      </c>
      <c r="AI79" s="98">
        <f t="shared" si="7"/>
        <v>0</v>
      </c>
      <c r="AJ79" s="99">
        <f t="shared" si="5"/>
        <v>0</v>
      </c>
      <c r="AK79" s="102" t="str">
        <f>+IF(AB79+AA79+AJ79&lt;=0, "NO COMPRADOR", +IF(AJ79&lt;=0, "SIN COMPRA "&amp;+UPPER(TEXT('DINAMICA ENERO 26'!$C$2,"mmm 'yy")), "COMPRADOR"))</f>
        <v>SIN COMPRA FEB '26</v>
      </c>
      <c r="AL79" s="100"/>
      <c r="AM79" s="101"/>
      <c r="AN79" s="100"/>
      <c r="AO79" s="100"/>
      <c r="AP79" s="100"/>
    </row>
    <row r="80" spans="1:42" s="100" customFormat="1" hidden="1">
      <c r="A80" s="88" t="s">
        <v>85</v>
      </c>
      <c r="B80" s="89" t="s">
        <v>157</v>
      </c>
      <c r="C80" s="89" t="s">
        <v>52</v>
      </c>
      <c r="D80" s="103">
        <v>100079674</v>
      </c>
      <c r="E80" s="89" t="s">
        <v>57</v>
      </c>
      <c r="F80" s="89">
        <v>100009067</v>
      </c>
      <c r="G80" s="128" t="s">
        <v>169</v>
      </c>
      <c r="H80"/>
      <c r="I80"/>
      <c r="J80"/>
      <c r="K80"/>
      <c r="L80"/>
      <c r="M80"/>
      <c r="N80"/>
      <c r="O80"/>
      <c r="P80"/>
      <c r="Q80"/>
      <c r="R80"/>
      <c r="S80" s="91">
        <v>0</v>
      </c>
      <c r="T80" s="94">
        <v>0</v>
      </c>
      <c r="U80" s="91">
        <v>2.16</v>
      </c>
      <c r="V80" s="129">
        <v>2.16</v>
      </c>
      <c r="W80" s="91">
        <v>0</v>
      </c>
      <c r="X80" s="129">
        <v>0</v>
      </c>
      <c r="Y80" s="91">
        <v>23.76</v>
      </c>
      <c r="Z80" s="129">
        <v>23.76</v>
      </c>
      <c r="AA80" s="155">
        <f t="shared" si="4"/>
        <v>8.64</v>
      </c>
      <c r="AB80" s="98">
        <f t="shared" si="4"/>
        <v>8.64</v>
      </c>
      <c r="AC80"/>
      <c r="AD80" s="97">
        <v>0</v>
      </c>
      <c r="AE80" s="92">
        <v>0</v>
      </c>
      <c r="AF80" s="98">
        <f t="shared" si="6"/>
        <v>0</v>
      </c>
      <c r="AG80" s="97">
        <v>0</v>
      </c>
      <c r="AH80" s="92">
        <v>0</v>
      </c>
      <c r="AI80" s="98">
        <f t="shared" si="7"/>
        <v>0</v>
      </c>
      <c r="AJ80" s="99">
        <f t="shared" si="5"/>
        <v>0</v>
      </c>
      <c r="AK80" s="102" t="str">
        <f>+IF(AB80+AA80+AJ80&lt;=0, "NO COMPRADOR", +IF(AJ80&lt;=0, "SIN COMPRA "&amp;+UPPER(TEXT('DINAMICA ENERO 26'!$C$2,"mmm 'yy")), "COMPRADOR"))</f>
        <v>SIN COMPRA FEB '26</v>
      </c>
      <c r="AM80" s="101"/>
    </row>
    <row r="81" spans="1:42" s="104" customFormat="1" hidden="1">
      <c r="A81" s="88" t="s">
        <v>85</v>
      </c>
      <c r="B81" s="89" t="s">
        <v>157</v>
      </c>
      <c r="C81" s="89" t="s">
        <v>52</v>
      </c>
      <c r="D81" s="103">
        <v>100079674</v>
      </c>
      <c r="E81" s="89" t="s">
        <v>57</v>
      </c>
      <c r="F81" s="89">
        <v>100059556</v>
      </c>
      <c r="G81" s="128" t="s">
        <v>170</v>
      </c>
      <c r="H81"/>
      <c r="I81"/>
      <c r="J81"/>
      <c r="K81"/>
      <c r="L81"/>
      <c r="M81"/>
      <c r="N81"/>
      <c r="O81"/>
      <c r="P81"/>
      <c r="Q81"/>
      <c r="R81"/>
      <c r="S81" s="91">
        <v>0</v>
      </c>
      <c r="T81" s="94">
        <v>0</v>
      </c>
      <c r="U81" s="91">
        <v>6.48</v>
      </c>
      <c r="V81" s="129">
        <v>6.48</v>
      </c>
      <c r="W81" s="91">
        <v>0</v>
      </c>
      <c r="X81" s="129">
        <v>0</v>
      </c>
      <c r="Y81" s="91">
        <v>0</v>
      </c>
      <c r="Z81" s="129">
        <v>0</v>
      </c>
      <c r="AA81" s="155">
        <f t="shared" si="4"/>
        <v>2.16</v>
      </c>
      <c r="AB81" s="98">
        <f t="shared" si="4"/>
        <v>2.16</v>
      </c>
      <c r="AC81"/>
      <c r="AD81" s="97">
        <v>4.32</v>
      </c>
      <c r="AE81" s="92">
        <v>0</v>
      </c>
      <c r="AF81" s="98">
        <f t="shared" si="6"/>
        <v>4.32</v>
      </c>
      <c r="AG81" s="97">
        <v>4.32</v>
      </c>
      <c r="AH81" s="92">
        <v>0</v>
      </c>
      <c r="AI81" s="98">
        <f t="shared" si="7"/>
        <v>4.32</v>
      </c>
      <c r="AJ81" s="99">
        <f t="shared" si="5"/>
        <v>8.64</v>
      </c>
      <c r="AK81" s="102" t="str">
        <f>+IF(AB81+AA81+AJ81&lt;=0, "NO COMPRADOR", +IF(AJ81&lt;=0, "SIN COMPRA "&amp;+UPPER(TEXT('DINAMICA ENERO 26'!$C$2,"mmm 'yy")), "COMPRADOR"))</f>
        <v>COMPRADOR</v>
      </c>
      <c r="AL81" s="100"/>
      <c r="AM81" s="101"/>
      <c r="AN81" s="100"/>
      <c r="AO81" s="100"/>
      <c r="AP81" s="100"/>
    </row>
    <row r="82" spans="1:42" s="104" customFormat="1" hidden="1">
      <c r="A82" s="88" t="s">
        <v>85</v>
      </c>
      <c r="B82" s="89" t="s">
        <v>157</v>
      </c>
      <c r="C82" s="89" t="s">
        <v>52</v>
      </c>
      <c r="D82" s="103">
        <v>100079674</v>
      </c>
      <c r="E82" s="89" t="s">
        <v>57</v>
      </c>
      <c r="F82" s="89">
        <v>100082635</v>
      </c>
      <c r="G82" s="128" t="s">
        <v>171</v>
      </c>
      <c r="H82"/>
      <c r="I82"/>
      <c r="J82"/>
      <c r="K82"/>
      <c r="L82"/>
      <c r="M82"/>
      <c r="N82"/>
      <c r="O82"/>
      <c r="P82"/>
      <c r="Q82"/>
      <c r="R82"/>
      <c r="S82" s="91">
        <v>2.16</v>
      </c>
      <c r="T82" s="94">
        <v>2.16</v>
      </c>
      <c r="U82" s="91">
        <v>0</v>
      </c>
      <c r="V82" s="129">
        <v>0</v>
      </c>
      <c r="W82" s="91">
        <v>2.16</v>
      </c>
      <c r="X82" s="129">
        <v>2.16</v>
      </c>
      <c r="Y82" s="91">
        <v>2.16</v>
      </c>
      <c r="Z82" s="129">
        <v>2.16</v>
      </c>
      <c r="AA82" s="155">
        <f t="shared" si="4"/>
        <v>1.4400000000000002</v>
      </c>
      <c r="AB82" s="98">
        <f t="shared" si="4"/>
        <v>1.4400000000000002</v>
      </c>
      <c r="AC82"/>
      <c r="AD82" s="97">
        <v>0</v>
      </c>
      <c r="AE82" s="92">
        <v>2.16</v>
      </c>
      <c r="AF82" s="98">
        <f t="shared" si="6"/>
        <v>2.16</v>
      </c>
      <c r="AG82" s="97">
        <v>0</v>
      </c>
      <c r="AH82" s="92">
        <v>2.16</v>
      </c>
      <c r="AI82" s="98">
        <f t="shared" si="7"/>
        <v>2.16</v>
      </c>
      <c r="AJ82" s="99">
        <f t="shared" si="5"/>
        <v>4.32</v>
      </c>
      <c r="AK82" s="102" t="str">
        <f>+IF(AB82+AA82+AJ82&lt;=0, "NO COMPRADOR", +IF(AJ82&lt;=0, "SIN COMPRA "&amp;+UPPER(TEXT('DINAMICA ENERO 26'!$C$2,"mmm 'yy")), "COMPRADOR"))</f>
        <v>COMPRADOR</v>
      </c>
      <c r="AL82" s="100"/>
      <c r="AM82" s="101"/>
      <c r="AN82" s="100"/>
      <c r="AO82" s="100"/>
      <c r="AP82" s="100"/>
    </row>
    <row r="83" spans="1:42" s="104" customFormat="1" hidden="1">
      <c r="A83" s="88" t="s">
        <v>85</v>
      </c>
      <c r="B83" s="89" t="s">
        <v>157</v>
      </c>
      <c r="C83" s="89" t="s">
        <v>52</v>
      </c>
      <c r="D83" s="103">
        <v>100079674</v>
      </c>
      <c r="E83" s="89" t="s">
        <v>57</v>
      </c>
      <c r="F83" s="89">
        <v>100087436</v>
      </c>
      <c r="G83" s="128" t="s">
        <v>172</v>
      </c>
      <c r="H83"/>
      <c r="I83"/>
      <c r="J83"/>
      <c r="K83"/>
      <c r="L83"/>
      <c r="M83"/>
      <c r="N83"/>
      <c r="O83"/>
      <c r="P83"/>
      <c r="Q83"/>
      <c r="R83"/>
      <c r="S83" s="91">
        <v>64.800000000000011</v>
      </c>
      <c r="T83" s="94">
        <v>64.800000000000011</v>
      </c>
      <c r="U83" s="91">
        <v>2.16</v>
      </c>
      <c r="V83" s="129">
        <v>2.16</v>
      </c>
      <c r="W83" s="91">
        <v>2.16</v>
      </c>
      <c r="X83" s="129">
        <v>2.16</v>
      </c>
      <c r="Y83" s="91">
        <v>2.16</v>
      </c>
      <c r="Z83" s="129">
        <v>2.16</v>
      </c>
      <c r="AA83" s="155">
        <f t="shared" ref="AA83:AB146" si="8">+AVERAGE(U83,W83,Y83)</f>
        <v>2.16</v>
      </c>
      <c r="AB83" s="98">
        <f t="shared" si="8"/>
        <v>2.16</v>
      </c>
      <c r="AC83"/>
      <c r="AD83" s="97">
        <v>0</v>
      </c>
      <c r="AE83" s="92">
        <v>0</v>
      </c>
      <c r="AF83" s="98">
        <f t="shared" si="6"/>
        <v>0</v>
      </c>
      <c r="AG83" s="97">
        <v>0</v>
      </c>
      <c r="AH83" s="92">
        <v>0</v>
      </c>
      <c r="AI83" s="98">
        <f t="shared" si="7"/>
        <v>0</v>
      </c>
      <c r="AJ83" s="99">
        <f t="shared" si="5"/>
        <v>0</v>
      </c>
      <c r="AK83" s="102" t="str">
        <f>+IF(AB83+AA83+AJ83&lt;=0, "NO COMPRADOR", +IF(AJ83&lt;=0, "SIN COMPRA "&amp;+UPPER(TEXT('DINAMICA ENERO 26'!$C$2,"mmm 'yy")), "COMPRADOR"))</f>
        <v>SIN COMPRA FEB '26</v>
      </c>
      <c r="AL83" s="100"/>
      <c r="AM83" s="101"/>
      <c r="AN83" s="100"/>
      <c r="AO83" s="100"/>
      <c r="AP83" s="100"/>
    </row>
    <row r="84" spans="1:42" s="100" customFormat="1" hidden="1">
      <c r="A84" s="88" t="s">
        <v>85</v>
      </c>
      <c r="B84" s="89" t="s">
        <v>157</v>
      </c>
      <c r="C84" s="89" t="s">
        <v>52</v>
      </c>
      <c r="D84" s="103">
        <v>100079674</v>
      </c>
      <c r="E84" s="89" t="s">
        <v>57</v>
      </c>
      <c r="F84" s="89">
        <v>100072236</v>
      </c>
      <c r="G84" s="128" t="s">
        <v>173</v>
      </c>
      <c r="H84"/>
      <c r="I84"/>
      <c r="J84"/>
      <c r="K84"/>
      <c r="L84"/>
      <c r="M84"/>
      <c r="N84"/>
      <c r="O84"/>
      <c r="P84"/>
      <c r="Q84"/>
      <c r="R84"/>
      <c r="S84" s="91">
        <v>56.160000000000004</v>
      </c>
      <c r="T84" s="94">
        <v>32.400000000000006</v>
      </c>
      <c r="U84" s="91">
        <v>23.76</v>
      </c>
      <c r="V84" s="129">
        <v>12.96</v>
      </c>
      <c r="W84" s="91">
        <v>2.16</v>
      </c>
      <c r="X84" s="129">
        <v>4.32</v>
      </c>
      <c r="Y84" s="91">
        <v>12.96</v>
      </c>
      <c r="Z84" s="129">
        <v>2.16</v>
      </c>
      <c r="AA84" s="155">
        <f t="shared" si="8"/>
        <v>12.96</v>
      </c>
      <c r="AB84" s="98">
        <f t="shared" si="8"/>
        <v>6.48</v>
      </c>
      <c r="AC84"/>
      <c r="AD84" s="97">
        <v>12.96</v>
      </c>
      <c r="AE84" s="92">
        <v>0</v>
      </c>
      <c r="AF84" s="98">
        <f t="shared" si="6"/>
        <v>12.96</v>
      </c>
      <c r="AG84" s="97">
        <v>0</v>
      </c>
      <c r="AH84" s="92">
        <v>0</v>
      </c>
      <c r="AI84" s="98">
        <f t="shared" si="7"/>
        <v>0</v>
      </c>
      <c r="AJ84" s="99">
        <f t="shared" si="5"/>
        <v>12.96</v>
      </c>
      <c r="AK84" s="102" t="str">
        <f>+IF(AB84+AA84+AJ84&lt;=0, "NO COMPRADOR", +IF(AJ84&lt;=0, "SIN COMPRA "&amp;+UPPER(TEXT('DINAMICA ENERO 26'!$C$2,"mmm 'yy")), "COMPRADOR"))</f>
        <v>COMPRADOR</v>
      </c>
      <c r="AM84" s="101"/>
    </row>
    <row r="85" spans="1:42" s="100" customFormat="1" hidden="1">
      <c r="A85" s="88" t="s">
        <v>85</v>
      </c>
      <c r="B85" s="89" t="s">
        <v>157</v>
      </c>
      <c r="C85" s="89" t="s">
        <v>52</v>
      </c>
      <c r="D85" s="103">
        <v>100079674</v>
      </c>
      <c r="E85" s="89" t="s">
        <v>57</v>
      </c>
      <c r="F85" s="89">
        <v>100087960</v>
      </c>
      <c r="G85" s="128" t="s">
        <v>174</v>
      </c>
      <c r="H85"/>
      <c r="I85"/>
      <c r="J85"/>
      <c r="K85"/>
      <c r="L85"/>
      <c r="M85"/>
      <c r="N85"/>
      <c r="O85"/>
      <c r="P85"/>
      <c r="Q85"/>
      <c r="R85"/>
      <c r="S85" s="91">
        <v>0</v>
      </c>
      <c r="T85" s="94">
        <v>0</v>
      </c>
      <c r="U85" s="91">
        <v>2.16</v>
      </c>
      <c r="V85" s="129">
        <v>2.16</v>
      </c>
      <c r="W85" s="91">
        <v>0</v>
      </c>
      <c r="X85" s="129">
        <v>0</v>
      </c>
      <c r="Y85" s="91">
        <v>0</v>
      </c>
      <c r="Z85" s="129">
        <v>0</v>
      </c>
      <c r="AA85" s="155">
        <f t="shared" si="8"/>
        <v>0.72000000000000008</v>
      </c>
      <c r="AB85" s="98">
        <f t="shared" si="8"/>
        <v>0.72000000000000008</v>
      </c>
      <c r="AC85"/>
      <c r="AD85" s="97">
        <v>0</v>
      </c>
      <c r="AE85" s="92">
        <v>0</v>
      </c>
      <c r="AF85" s="98">
        <f t="shared" si="6"/>
        <v>0</v>
      </c>
      <c r="AG85" s="97">
        <v>0</v>
      </c>
      <c r="AH85" s="92">
        <v>0</v>
      </c>
      <c r="AI85" s="98">
        <f t="shared" si="7"/>
        <v>0</v>
      </c>
      <c r="AJ85" s="99">
        <f t="shared" si="5"/>
        <v>0</v>
      </c>
      <c r="AK85" s="102" t="str">
        <f>+IF(AB85+AA85+AJ85&lt;=0, "NO COMPRADOR", +IF(AJ85&lt;=0, "SIN COMPRA "&amp;+UPPER(TEXT('DINAMICA ENERO 26'!$C$2,"mmm 'yy")), "COMPRADOR"))</f>
        <v>SIN COMPRA FEB '26</v>
      </c>
      <c r="AM85" s="101"/>
    </row>
    <row r="86" spans="1:42" s="104" customFormat="1" hidden="1">
      <c r="A86" s="88" t="s">
        <v>85</v>
      </c>
      <c r="B86" s="89" t="s">
        <v>157</v>
      </c>
      <c r="C86" s="89" t="s">
        <v>52</v>
      </c>
      <c r="D86" s="103">
        <v>100079674</v>
      </c>
      <c r="E86" s="89" t="s">
        <v>57</v>
      </c>
      <c r="F86" s="89">
        <v>100080270</v>
      </c>
      <c r="G86" s="128" t="s">
        <v>175</v>
      </c>
      <c r="H86"/>
      <c r="I86"/>
      <c r="J86"/>
      <c r="K86"/>
      <c r="L86"/>
      <c r="M86"/>
      <c r="N86"/>
      <c r="O86"/>
      <c r="P86"/>
      <c r="Q86"/>
      <c r="R86"/>
      <c r="S86" s="91">
        <v>2.16</v>
      </c>
      <c r="T86" s="94">
        <v>2.16</v>
      </c>
      <c r="U86" s="91">
        <v>8.64</v>
      </c>
      <c r="V86" s="129">
        <v>8.64</v>
      </c>
      <c r="W86" s="91">
        <v>2.16</v>
      </c>
      <c r="X86" s="129">
        <v>2.16</v>
      </c>
      <c r="Y86" s="91">
        <v>2.16</v>
      </c>
      <c r="Z86" s="129">
        <v>2.16</v>
      </c>
      <c r="AA86" s="155">
        <f t="shared" si="8"/>
        <v>4.32</v>
      </c>
      <c r="AB86" s="98">
        <f t="shared" si="8"/>
        <v>4.32</v>
      </c>
      <c r="AC86"/>
      <c r="AD86" s="97">
        <v>2.16</v>
      </c>
      <c r="AE86" s="92">
        <v>0</v>
      </c>
      <c r="AF86" s="98">
        <f t="shared" si="6"/>
        <v>2.16</v>
      </c>
      <c r="AG86" s="97">
        <v>2.16</v>
      </c>
      <c r="AH86" s="92">
        <v>0</v>
      </c>
      <c r="AI86" s="98">
        <f t="shared" si="7"/>
        <v>2.16</v>
      </c>
      <c r="AJ86" s="99">
        <f t="shared" si="5"/>
        <v>4.32</v>
      </c>
      <c r="AK86" s="102" t="str">
        <f>+IF(AB86+AA86+AJ86&lt;=0, "NO COMPRADOR", +IF(AJ86&lt;=0, "SIN COMPRA "&amp;+UPPER(TEXT('DINAMICA ENERO 26'!$C$2,"mmm 'yy")), "COMPRADOR"))</f>
        <v>COMPRADOR</v>
      </c>
      <c r="AL86" s="100"/>
      <c r="AM86" s="101"/>
      <c r="AN86" s="100"/>
      <c r="AO86" s="100"/>
      <c r="AP86" s="100"/>
    </row>
    <row r="87" spans="1:42" hidden="1">
      <c r="A87" s="88" t="s">
        <v>85</v>
      </c>
      <c r="B87" s="89" t="s">
        <v>157</v>
      </c>
      <c r="C87" s="89" t="s">
        <v>52</v>
      </c>
      <c r="D87" s="103">
        <v>100079674</v>
      </c>
      <c r="E87" s="89" t="s">
        <v>57</v>
      </c>
      <c r="F87" s="89">
        <v>100073740</v>
      </c>
      <c r="G87" s="128" t="s">
        <v>176</v>
      </c>
      <c r="S87" s="91">
        <v>6.48</v>
      </c>
      <c r="T87" s="94">
        <v>4.32</v>
      </c>
      <c r="U87" s="91">
        <v>15.120000000000001</v>
      </c>
      <c r="V87" s="129">
        <v>15.120000000000001</v>
      </c>
      <c r="W87" s="91">
        <v>21.6</v>
      </c>
      <c r="X87" s="129">
        <v>15.120000000000001</v>
      </c>
      <c r="Y87" s="91">
        <v>0</v>
      </c>
      <c r="Z87" s="129">
        <v>0</v>
      </c>
      <c r="AA87" s="155">
        <f t="shared" si="8"/>
        <v>12.24</v>
      </c>
      <c r="AB87" s="98">
        <f t="shared" si="8"/>
        <v>10.08</v>
      </c>
      <c r="AD87" s="97">
        <v>10.8</v>
      </c>
      <c r="AE87" s="92">
        <v>0</v>
      </c>
      <c r="AF87" s="98">
        <f t="shared" si="6"/>
        <v>10.8</v>
      </c>
      <c r="AG87" s="97">
        <v>10.8</v>
      </c>
      <c r="AH87" s="92">
        <v>0</v>
      </c>
      <c r="AI87" s="98">
        <f t="shared" si="7"/>
        <v>10.8</v>
      </c>
      <c r="AJ87" s="99">
        <f t="shared" si="5"/>
        <v>21.6</v>
      </c>
      <c r="AK87" s="102" t="str">
        <f>+IF(AB87+AA87+AJ87&lt;=0, "NO COMPRADOR", +IF(AJ87&lt;=0, "SIN COMPRA "&amp;+UPPER(TEXT('DINAMICA ENERO 26'!$C$2,"mmm 'yy")), "COMPRADOR"))</f>
        <v>COMPRADOR</v>
      </c>
      <c r="AL87" s="100"/>
      <c r="AM87" s="101"/>
      <c r="AN87" s="100"/>
      <c r="AO87" s="100"/>
      <c r="AP87" s="100"/>
    </row>
    <row r="88" spans="1:42" s="100" customFormat="1" hidden="1">
      <c r="A88" s="88" t="s">
        <v>85</v>
      </c>
      <c r="B88" s="89" t="s">
        <v>157</v>
      </c>
      <c r="C88" s="89" t="s">
        <v>52</v>
      </c>
      <c r="D88" s="103">
        <v>100079674</v>
      </c>
      <c r="E88" s="89" t="s">
        <v>57</v>
      </c>
      <c r="F88" s="89">
        <v>100073876</v>
      </c>
      <c r="G88" s="128" t="s">
        <v>177</v>
      </c>
      <c r="H88"/>
      <c r="I88"/>
      <c r="J88"/>
      <c r="K88"/>
      <c r="L88"/>
      <c r="M88"/>
      <c r="N88"/>
      <c r="O88"/>
      <c r="P88"/>
      <c r="Q88"/>
      <c r="R88"/>
      <c r="S88" s="91">
        <v>2.16</v>
      </c>
      <c r="T88" s="94">
        <v>2.16</v>
      </c>
      <c r="U88" s="91">
        <v>2.16</v>
      </c>
      <c r="V88" s="129">
        <v>2.16</v>
      </c>
      <c r="W88" s="91">
        <v>0</v>
      </c>
      <c r="X88" s="129">
        <v>0</v>
      </c>
      <c r="Y88" s="91">
        <v>2.16</v>
      </c>
      <c r="Z88" s="129">
        <v>2.16</v>
      </c>
      <c r="AA88" s="155">
        <f t="shared" si="8"/>
        <v>1.4400000000000002</v>
      </c>
      <c r="AB88" s="98">
        <f t="shared" si="8"/>
        <v>1.4400000000000002</v>
      </c>
      <c r="AC88"/>
      <c r="AD88" s="97">
        <v>2.16</v>
      </c>
      <c r="AE88" s="92">
        <v>0</v>
      </c>
      <c r="AF88" s="98">
        <f t="shared" si="6"/>
        <v>2.16</v>
      </c>
      <c r="AG88" s="97">
        <v>2.16</v>
      </c>
      <c r="AH88" s="92">
        <v>0</v>
      </c>
      <c r="AI88" s="98">
        <f t="shared" si="7"/>
        <v>2.16</v>
      </c>
      <c r="AJ88" s="99">
        <f t="shared" si="5"/>
        <v>4.32</v>
      </c>
      <c r="AK88" s="102" t="str">
        <f>+IF(AB88+AA88+AJ88&lt;=0, "NO COMPRADOR", +IF(AJ88&lt;=0, "SIN COMPRA "&amp;+UPPER(TEXT('DINAMICA ENERO 26'!$C$2,"mmm 'yy")), "COMPRADOR"))</f>
        <v>COMPRADOR</v>
      </c>
      <c r="AM88" s="101"/>
    </row>
    <row r="89" spans="1:42" s="100" customFormat="1" hidden="1">
      <c r="A89" s="88" t="s">
        <v>85</v>
      </c>
      <c r="B89" s="89" t="s">
        <v>157</v>
      </c>
      <c r="C89" s="89" t="s">
        <v>52</v>
      </c>
      <c r="D89" s="103">
        <v>100079674</v>
      </c>
      <c r="E89" s="89" t="s">
        <v>57</v>
      </c>
      <c r="F89" s="89">
        <v>100077196</v>
      </c>
      <c r="G89" s="128" t="s">
        <v>178</v>
      </c>
      <c r="H89"/>
      <c r="I89"/>
      <c r="J89"/>
      <c r="K89"/>
      <c r="L89"/>
      <c r="M89"/>
      <c r="N89"/>
      <c r="O89"/>
      <c r="P89"/>
      <c r="Q89"/>
      <c r="R89"/>
      <c r="S89" s="91">
        <v>0</v>
      </c>
      <c r="T89" s="94">
        <v>0</v>
      </c>
      <c r="U89" s="91">
        <v>12.96</v>
      </c>
      <c r="V89" s="129">
        <v>12.96</v>
      </c>
      <c r="W89" s="91">
        <v>0</v>
      </c>
      <c r="X89" s="129">
        <v>0</v>
      </c>
      <c r="Y89" s="91">
        <v>2.16</v>
      </c>
      <c r="Z89" s="129">
        <v>2.16</v>
      </c>
      <c r="AA89" s="155">
        <f t="shared" si="8"/>
        <v>5.04</v>
      </c>
      <c r="AB89" s="98">
        <f t="shared" si="8"/>
        <v>5.04</v>
      </c>
      <c r="AC89"/>
      <c r="AD89" s="97">
        <v>0</v>
      </c>
      <c r="AE89" s="92">
        <v>0</v>
      </c>
      <c r="AF89" s="98">
        <f t="shared" si="6"/>
        <v>0</v>
      </c>
      <c r="AG89" s="97">
        <v>0</v>
      </c>
      <c r="AH89" s="92">
        <v>0</v>
      </c>
      <c r="AI89" s="98">
        <f t="shared" si="7"/>
        <v>0</v>
      </c>
      <c r="AJ89" s="99">
        <f t="shared" si="5"/>
        <v>0</v>
      </c>
      <c r="AK89" s="102" t="str">
        <f>+IF(AB89+AA89+AJ89&lt;=0, "NO COMPRADOR", +IF(AJ89&lt;=0, "SIN COMPRA "&amp;+UPPER(TEXT('DINAMICA ENERO 26'!$C$2,"mmm 'yy")), "COMPRADOR"))</f>
        <v>SIN COMPRA FEB '26</v>
      </c>
      <c r="AM89" s="101"/>
    </row>
    <row r="90" spans="1:42" s="104" customFormat="1" hidden="1">
      <c r="A90" s="88" t="s">
        <v>85</v>
      </c>
      <c r="B90" s="89" t="s">
        <v>157</v>
      </c>
      <c r="C90" s="89" t="s">
        <v>52</v>
      </c>
      <c r="D90" s="103">
        <v>100079674</v>
      </c>
      <c r="E90" s="89" t="s">
        <v>57</v>
      </c>
      <c r="F90" s="89">
        <v>100063753</v>
      </c>
      <c r="G90" s="128" t="s">
        <v>179</v>
      </c>
      <c r="H90"/>
      <c r="I90"/>
      <c r="J90"/>
      <c r="K90"/>
      <c r="L90"/>
      <c r="M90"/>
      <c r="N90"/>
      <c r="O90"/>
      <c r="P90"/>
      <c r="Q90"/>
      <c r="R90"/>
      <c r="S90" s="91">
        <v>71.280000000000015</v>
      </c>
      <c r="T90" s="94">
        <v>43.2</v>
      </c>
      <c r="U90" s="91">
        <v>43.2</v>
      </c>
      <c r="V90" s="129">
        <v>43.2</v>
      </c>
      <c r="W90" s="91">
        <v>4.32</v>
      </c>
      <c r="X90" s="129">
        <v>4.32</v>
      </c>
      <c r="Y90" s="91">
        <v>2.16</v>
      </c>
      <c r="Z90" s="129">
        <v>2.16</v>
      </c>
      <c r="AA90" s="155">
        <f t="shared" si="8"/>
        <v>16.560000000000002</v>
      </c>
      <c r="AB90" s="98">
        <f t="shared" si="8"/>
        <v>16.560000000000002</v>
      </c>
      <c r="AC90"/>
      <c r="AD90" s="97">
        <v>21.6</v>
      </c>
      <c r="AE90" s="92">
        <v>0</v>
      </c>
      <c r="AF90" s="98">
        <f t="shared" si="6"/>
        <v>21.6</v>
      </c>
      <c r="AG90" s="97">
        <v>2.16</v>
      </c>
      <c r="AH90" s="92">
        <v>0</v>
      </c>
      <c r="AI90" s="98">
        <f t="shared" si="7"/>
        <v>2.16</v>
      </c>
      <c r="AJ90" s="99">
        <f t="shared" si="5"/>
        <v>23.76</v>
      </c>
      <c r="AK90" s="102" t="str">
        <f>+IF(AB90+AA90+AJ90&lt;=0, "NO COMPRADOR", +IF(AJ90&lt;=0, "SIN COMPRA "&amp;+UPPER(TEXT('DINAMICA ENERO 26'!$C$2,"mmm 'yy")), "COMPRADOR"))</f>
        <v>COMPRADOR</v>
      </c>
      <c r="AL90" s="100"/>
      <c r="AM90" s="101"/>
      <c r="AN90" s="100"/>
      <c r="AO90" s="100"/>
      <c r="AP90" s="100"/>
    </row>
    <row r="91" spans="1:42" s="100" customFormat="1" hidden="1">
      <c r="A91" s="88" t="s">
        <v>85</v>
      </c>
      <c r="B91" s="89" t="s">
        <v>157</v>
      </c>
      <c r="C91" s="89" t="s">
        <v>52</v>
      </c>
      <c r="D91" s="103">
        <v>100079674</v>
      </c>
      <c r="E91" s="89" t="s">
        <v>57</v>
      </c>
      <c r="F91" s="89">
        <v>100084198</v>
      </c>
      <c r="G91" s="128" t="s">
        <v>180</v>
      </c>
      <c r="H91"/>
      <c r="I91"/>
      <c r="J91"/>
      <c r="K91"/>
      <c r="L91"/>
      <c r="M91"/>
      <c r="N91"/>
      <c r="O91"/>
      <c r="P91"/>
      <c r="Q91"/>
      <c r="R91"/>
      <c r="S91" s="91">
        <v>2.16</v>
      </c>
      <c r="T91" s="94">
        <v>2.16</v>
      </c>
      <c r="U91" s="91">
        <v>0</v>
      </c>
      <c r="V91" s="129">
        <v>0</v>
      </c>
      <c r="W91" s="91">
        <v>2.16</v>
      </c>
      <c r="X91" s="129">
        <v>2.16</v>
      </c>
      <c r="Y91" s="91">
        <v>2.16</v>
      </c>
      <c r="Z91" s="129">
        <v>2.16</v>
      </c>
      <c r="AA91" s="155">
        <f t="shared" si="8"/>
        <v>1.4400000000000002</v>
      </c>
      <c r="AB91" s="98">
        <f t="shared" si="8"/>
        <v>1.4400000000000002</v>
      </c>
      <c r="AC91"/>
      <c r="AD91" s="97">
        <v>-2.16</v>
      </c>
      <c r="AE91" s="92">
        <v>0</v>
      </c>
      <c r="AF91" s="98">
        <f t="shared" si="6"/>
        <v>-2.16</v>
      </c>
      <c r="AG91" s="97">
        <v>0</v>
      </c>
      <c r="AH91" s="92">
        <v>0</v>
      </c>
      <c r="AI91" s="98">
        <f t="shared" si="7"/>
        <v>0</v>
      </c>
      <c r="AJ91" s="99">
        <f t="shared" si="5"/>
        <v>-2.16</v>
      </c>
      <c r="AK91" s="102" t="str">
        <f>+IF(AB91+AA91+AJ91&lt;=0, "NO COMPRADOR", +IF(AJ91&lt;=0, "SIN COMPRA "&amp;+UPPER(TEXT('DINAMICA ENERO 26'!$C$2,"mmm 'yy")), "COMPRADOR"))</f>
        <v>SIN COMPRA FEB '26</v>
      </c>
      <c r="AM91" s="101"/>
    </row>
    <row r="92" spans="1:42" s="100" customFormat="1" hidden="1">
      <c r="A92" s="88" t="s">
        <v>85</v>
      </c>
      <c r="B92" s="89" t="s">
        <v>157</v>
      </c>
      <c r="C92" s="89" t="s">
        <v>52</v>
      </c>
      <c r="D92" s="103">
        <v>100079674</v>
      </c>
      <c r="E92" s="89" t="s">
        <v>57</v>
      </c>
      <c r="F92" s="89">
        <v>100084321</v>
      </c>
      <c r="G92" s="128" t="s">
        <v>181</v>
      </c>
      <c r="H92"/>
      <c r="I92"/>
      <c r="J92"/>
      <c r="K92"/>
      <c r="L92"/>
      <c r="M92"/>
      <c r="N92"/>
      <c r="O92"/>
      <c r="P92"/>
      <c r="Q92"/>
      <c r="R92"/>
      <c r="S92" s="91">
        <v>0</v>
      </c>
      <c r="T92" s="94">
        <v>0</v>
      </c>
      <c r="U92" s="91">
        <v>2.16</v>
      </c>
      <c r="V92" s="129">
        <v>2.16</v>
      </c>
      <c r="W92" s="91">
        <v>2.16</v>
      </c>
      <c r="X92" s="129">
        <v>2.16</v>
      </c>
      <c r="Y92" s="91">
        <v>17.28</v>
      </c>
      <c r="Z92" s="129">
        <v>17.28</v>
      </c>
      <c r="AA92" s="155">
        <f t="shared" si="8"/>
        <v>7.2</v>
      </c>
      <c r="AB92" s="98">
        <f t="shared" si="8"/>
        <v>7.2</v>
      </c>
      <c r="AC92"/>
      <c r="AD92" s="97">
        <v>0</v>
      </c>
      <c r="AE92" s="92">
        <v>0</v>
      </c>
      <c r="AF92" s="98">
        <f t="shared" si="6"/>
        <v>0</v>
      </c>
      <c r="AG92" s="97">
        <v>0</v>
      </c>
      <c r="AH92" s="92">
        <v>0</v>
      </c>
      <c r="AI92" s="98">
        <f t="shared" si="7"/>
        <v>0</v>
      </c>
      <c r="AJ92" s="99">
        <f t="shared" si="5"/>
        <v>0</v>
      </c>
      <c r="AK92" s="102" t="str">
        <f>+IF(AB92+AA92+AJ92&lt;=0, "NO COMPRADOR", +IF(AJ92&lt;=0, "SIN COMPRA "&amp;+UPPER(TEXT('DINAMICA ENERO 26'!$C$2,"mmm 'yy")), "COMPRADOR"))</f>
        <v>SIN COMPRA FEB '26</v>
      </c>
      <c r="AM92" s="101"/>
    </row>
    <row r="93" spans="1:42" s="104" customFormat="1" hidden="1">
      <c r="A93" s="88" t="s">
        <v>85</v>
      </c>
      <c r="B93" s="89" t="s">
        <v>157</v>
      </c>
      <c r="C93" s="89" t="s">
        <v>52</v>
      </c>
      <c r="D93" s="103">
        <v>100079674</v>
      </c>
      <c r="E93" s="89" t="s">
        <v>57</v>
      </c>
      <c r="F93" s="89">
        <v>100088056</v>
      </c>
      <c r="G93" s="128" t="s">
        <v>182</v>
      </c>
      <c r="H93"/>
      <c r="I93"/>
      <c r="J93"/>
      <c r="K93"/>
      <c r="L93"/>
      <c r="M93"/>
      <c r="N93"/>
      <c r="O93"/>
      <c r="P93"/>
      <c r="Q93"/>
      <c r="R93"/>
      <c r="S93" s="91">
        <v>2.16</v>
      </c>
      <c r="T93" s="94">
        <v>2.16</v>
      </c>
      <c r="U93" s="91">
        <v>2.16</v>
      </c>
      <c r="V93" s="129">
        <v>2.16</v>
      </c>
      <c r="W93" s="91">
        <v>2.16</v>
      </c>
      <c r="X93" s="129">
        <v>2.16</v>
      </c>
      <c r="Y93" s="91">
        <v>2.16</v>
      </c>
      <c r="Z93" s="129">
        <v>2.16</v>
      </c>
      <c r="AA93" s="155">
        <f t="shared" si="8"/>
        <v>2.16</v>
      </c>
      <c r="AB93" s="98">
        <f t="shared" si="8"/>
        <v>2.16</v>
      </c>
      <c r="AC93"/>
      <c r="AD93" s="97">
        <v>2.16</v>
      </c>
      <c r="AE93" s="92">
        <v>0</v>
      </c>
      <c r="AF93" s="98">
        <f t="shared" si="6"/>
        <v>2.16</v>
      </c>
      <c r="AG93" s="97">
        <v>2.16</v>
      </c>
      <c r="AH93" s="92">
        <v>0</v>
      </c>
      <c r="AI93" s="98">
        <f t="shared" si="7"/>
        <v>2.16</v>
      </c>
      <c r="AJ93" s="99">
        <f t="shared" si="5"/>
        <v>4.32</v>
      </c>
      <c r="AK93" s="102" t="str">
        <f>+IF(AB93+AA93+AJ93&lt;=0, "NO COMPRADOR", +IF(AJ93&lt;=0, "SIN COMPRA "&amp;+UPPER(TEXT('DINAMICA ENERO 26'!$C$2,"mmm 'yy")), "COMPRADOR"))</f>
        <v>COMPRADOR</v>
      </c>
      <c r="AL93" s="100"/>
      <c r="AM93" s="101"/>
      <c r="AN93" s="100"/>
      <c r="AO93" s="100"/>
      <c r="AP93" s="100"/>
    </row>
    <row r="94" spans="1:42" s="100" customFormat="1" hidden="1">
      <c r="A94" s="88" t="s">
        <v>85</v>
      </c>
      <c r="B94" s="89" t="s">
        <v>157</v>
      </c>
      <c r="C94" s="89" t="s">
        <v>52</v>
      </c>
      <c r="D94" s="103">
        <v>100079674</v>
      </c>
      <c r="E94" s="89" t="s">
        <v>57</v>
      </c>
      <c r="F94" s="89">
        <v>100089829</v>
      </c>
      <c r="G94" s="128" t="s">
        <v>183</v>
      </c>
      <c r="H94"/>
      <c r="I94"/>
      <c r="J94"/>
      <c r="K94"/>
      <c r="L94"/>
      <c r="M94"/>
      <c r="N94"/>
      <c r="O94"/>
      <c r="P94"/>
      <c r="Q94"/>
      <c r="R94"/>
      <c r="S94" s="91">
        <v>32.400000000000006</v>
      </c>
      <c r="T94" s="94">
        <v>32.400000000000006</v>
      </c>
      <c r="U94" s="91">
        <v>32.400000000000006</v>
      </c>
      <c r="V94" s="129">
        <v>34.56</v>
      </c>
      <c r="W94" s="91">
        <v>8.64</v>
      </c>
      <c r="X94" s="129">
        <v>8.64</v>
      </c>
      <c r="Y94" s="91">
        <v>86.4</v>
      </c>
      <c r="Z94" s="129">
        <v>2.16</v>
      </c>
      <c r="AA94" s="155">
        <f t="shared" si="8"/>
        <v>42.480000000000004</v>
      </c>
      <c r="AB94" s="98">
        <f t="shared" si="8"/>
        <v>15.12</v>
      </c>
      <c r="AC94"/>
      <c r="AD94" s="97">
        <v>0</v>
      </c>
      <c r="AE94" s="92">
        <v>0</v>
      </c>
      <c r="AF94" s="98">
        <f t="shared" si="6"/>
        <v>0</v>
      </c>
      <c r="AG94" s="97">
        <v>10.8</v>
      </c>
      <c r="AH94" s="92">
        <v>0</v>
      </c>
      <c r="AI94" s="98">
        <f t="shared" si="7"/>
        <v>10.8</v>
      </c>
      <c r="AJ94" s="99">
        <f t="shared" si="5"/>
        <v>10.8</v>
      </c>
      <c r="AK94" s="102" t="str">
        <f>+IF(AB94+AA94+AJ94&lt;=0, "NO COMPRADOR", +IF(AJ94&lt;=0, "SIN COMPRA "&amp;+UPPER(TEXT('DINAMICA ENERO 26'!$C$2,"mmm 'yy")), "COMPRADOR"))</f>
        <v>COMPRADOR</v>
      </c>
      <c r="AM94" s="101"/>
    </row>
    <row r="95" spans="1:42" s="100" customFormat="1" hidden="1">
      <c r="A95" s="88" t="s">
        <v>85</v>
      </c>
      <c r="B95" s="89" t="s">
        <v>157</v>
      </c>
      <c r="C95" s="89" t="s">
        <v>52</v>
      </c>
      <c r="D95" s="103">
        <v>100066856</v>
      </c>
      <c r="E95" s="89" t="s">
        <v>54</v>
      </c>
      <c r="F95" s="89">
        <v>100080175</v>
      </c>
      <c r="G95" s="128" t="s">
        <v>184</v>
      </c>
      <c r="H95"/>
      <c r="I95"/>
      <c r="J95"/>
      <c r="K95"/>
      <c r="L95"/>
      <c r="M95"/>
      <c r="N95"/>
      <c r="O95"/>
      <c r="P95"/>
      <c r="Q95"/>
      <c r="R95"/>
      <c r="S95" s="91">
        <v>10.8</v>
      </c>
      <c r="T95" s="94">
        <v>10.8</v>
      </c>
      <c r="U95" s="91">
        <v>0</v>
      </c>
      <c r="V95" s="129">
        <v>0</v>
      </c>
      <c r="W95" s="91">
        <v>0</v>
      </c>
      <c r="X95" s="129">
        <v>0</v>
      </c>
      <c r="Y95" s="91">
        <v>0</v>
      </c>
      <c r="Z95" s="129">
        <v>0</v>
      </c>
      <c r="AA95" s="155">
        <f t="shared" si="8"/>
        <v>0</v>
      </c>
      <c r="AB95" s="98">
        <f t="shared" si="8"/>
        <v>0</v>
      </c>
      <c r="AC95"/>
      <c r="AD95" s="97">
        <v>0</v>
      </c>
      <c r="AE95" s="92">
        <v>0</v>
      </c>
      <c r="AF95" s="98">
        <f t="shared" si="6"/>
        <v>0</v>
      </c>
      <c r="AG95" s="97">
        <v>0</v>
      </c>
      <c r="AH95" s="92">
        <v>0</v>
      </c>
      <c r="AI95" s="98">
        <f t="shared" si="7"/>
        <v>0</v>
      </c>
      <c r="AJ95" s="99">
        <f t="shared" si="5"/>
        <v>0</v>
      </c>
      <c r="AK95" s="102" t="str">
        <f>+IF(AB95+AA95+AJ95&lt;=0, "NO COMPRADOR", +IF(AJ95&lt;=0, "SIN COMPRA "&amp;+UPPER(TEXT('DINAMICA ENERO 26'!$C$2,"mmm 'yy")), "COMPRADOR"))</f>
        <v>NO COMPRADOR</v>
      </c>
      <c r="AM95" s="101"/>
    </row>
    <row r="96" spans="1:42" s="100" customFormat="1" hidden="1">
      <c r="A96" s="88" t="s">
        <v>85</v>
      </c>
      <c r="B96" s="89" t="s">
        <v>157</v>
      </c>
      <c r="C96" s="89" t="s">
        <v>52</v>
      </c>
      <c r="D96" s="103">
        <v>100066856</v>
      </c>
      <c r="E96" s="89" t="s">
        <v>54</v>
      </c>
      <c r="F96" s="89">
        <v>100086921</v>
      </c>
      <c r="G96" s="128" t="s">
        <v>185</v>
      </c>
      <c r="H96"/>
      <c r="I96"/>
      <c r="J96"/>
      <c r="K96"/>
      <c r="L96"/>
      <c r="M96"/>
      <c r="N96"/>
      <c r="O96"/>
      <c r="P96"/>
      <c r="Q96"/>
      <c r="R96"/>
      <c r="S96" s="91">
        <v>10.8</v>
      </c>
      <c r="T96" s="94">
        <v>10.8</v>
      </c>
      <c r="U96" s="91">
        <v>8.64</v>
      </c>
      <c r="V96" s="129">
        <v>0</v>
      </c>
      <c r="W96" s="91">
        <v>0</v>
      </c>
      <c r="X96" s="129">
        <v>0</v>
      </c>
      <c r="Y96" s="91">
        <v>0</v>
      </c>
      <c r="Z96" s="129">
        <v>0</v>
      </c>
      <c r="AA96" s="155">
        <f t="shared" si="8"/>
        <v>2.8800000000000003</v>
      </c>
      <c r="AB96" s="98">
        <f t="shared" si="8"/>
        <v>0</v>
      </c>
      <c r="AC96"/>
      <c r="AD96" s="97">
        <v>0</v>
      </c>
      <c r="AE96" s="92">
        <v>0</v>
      </c>
      <c r="AF96" s="98">
        <f t="shared" si="6"/>
        <v>0</v>
      </c>
      <c r="AG96" s="97">
        <v>0</v>
      </c>
      <c r="AH96" s="92">
        <v>0</v>
      </c>
      <c r="AI96" s="98">
        <f t="shared" si="7"/>
        <v>0</v>
      </c>
      <c r="AJ96" s="99">
        <f t="shared" si="5"/>
        <v>0</v>
      </c>
      <c r="AK96" s="102" t="str">
        <f>+IF(AB96+AA96+AJ96&lt;=0, "NO COMPRADOR", +IF(AJ96&lt;=0, "SIN COMPRA "&amp;+UPPER(TEXT('DINAMICA ENERO 26'!$C$2,"mmm 'yy")), "COMPRADOR"))</f>
        <v>SIN COMPRA FEB '26</v>
      </c>
      <c r="AM96" s="101"/>
    </row>
    <row r="97" spans="1:43" s="100" customFormat="1" hidden="1">
      <c r="A97" s="88" t="s">
        <v>85</v>
      </c>
      <c r="B97" s="89" t="s">
        <v>157</v>
      </c>
      <c r="C97" s="89" t="s">
        <v>52</v>
      </c>
      <c r="D97" s="103">
        <v>100066856</v>
      </c>
      <c r="E97" s="89" t="s">
        <v>54</v>
      </c>
      <c r="F97" s="89">
        <v>100063903</v>
      </c>
      <c r="G97" s="128" t="s">
        <v>186</v>
      </c>
      <c r="H97"/>
      <c r="I97"/>
      <c r="J97"/>
      <c r="K97"/>
      <c r="L97"/>
      <c r="M97"/>
      <c r="N97"/>
      <c r="O97"/>
      <c r="P97"/>
      <c r="Q97"/>
      <c r="R97"/>
      <c r="S97" s="91">
        <v>0</v>
      </c>
      <c r="T97" s="94">
        <v>0</v>
      </c>
      <c r="U97" s="91">
        <v>4.32</v>
      </c>
      <c r="V97" s="129">
        <v>4.32</v>
      </c>
      <c r="W97" s="91">
        <v>-4.32</v>
      </c>
      <c r="X97" s="129">
        <v>-4.32</v>
      </c>
      <c r="Y97" s="91">
        <v>0</v>
      </c>
      <c r="Z97" s="129">
        <v>0</v>
      </c>
      <c r="AA97" s="155">
        <f t="shared" si="8"/>
        <v>0</v>
      </c>
      <c r="AB97" s="98">
        <f t="shared" si="8"/>
        <v>0</v>
      </c>
      <c r="AC97"/>
      <c r="AD97" s="97">
        <v>0</v>
      </c>
      <c r="AE97" s="92">
        <v>0</v>
      </c>
      <c r="AF97" s="98">
        <f t="shared" si="6"/>
        <v>0</v>
      </c>
      <c r="AG97" s="97">
        <v>0</v>
      </c>
      <c r="AH97" s="92">
        <v>0</v>
      </c>
      <c r="AI97" s="98">
        <f t="shared" si="7"/>
        <v>0</v>
      </c>
      <c r="AJ97" s="99">
        <f t="shared" si="5"/>
        <v>0</v>
      </c>
      <c r="AK97" s="102" t="str">
        <f>+IF(AB97+AA97+AJ97&lt;=0, "NO COMPRADOR", +IF(AJ97&lt;=0, "SIN COMPRA "&amp;+UPPER(TEXT('DINAMICA ENERO 26'!$C$2,"mmm 'yy")), "COMPRADOR"))</f>
        <v>NO COMPRADOR</v>
      </c>
      <c r="AM97" s="101"/>
    </row>
    <row r="98" spans="1:43" s="104" customFormat="1" hidden="1">
      <c r="A98" s="88" t="s">
        <v>85</v>
      </c>
      <c r="B98" s="89" t="s">
        <v>157</v>
      </c>
      <c r="C98" s="89" t="s">
        <v>52</v>
      </c>
      <c r="D98" s="103">
        <v>100066856</v>
      </c>
      <c r="E98" s="89" t="s">
        <v>54</v>
      </c>
      <c r="F98" s="89">
        <v>100081047</v>
      </c>
      <c r="G98" s="128" t="s">
        <v>187</v>
      </c>
      <c r="H98"/>
      <c r="I98"/>
      <c r="J98"/>
      <c r="K98"/>
      <c r="L98"/>
      <c r="M98"/>
      <c r="N98"/>
      <c r="O98"/>
      <c r="P98"/>
      <c r="Q98"/>
      <c r="R98"/>
      <c r="S98" s="91">
        <v>21.6</v>
      </c>
      <c r="T98" s="94">
        <v>21.6</v>
      </c>
      <c r="U98" s="91">
        <v>-10.8</v>
      </c>
      <c r="V98" s="129">
        <v>0</v>
      </c>
      <c r="W98" s="91">
        <v>32.400000000000006</v>
      </c>
      <c r="X98" s="129">
        <v>32.400000000000006</v>
      </c>
      <c r="Y98" s="91">
        <v>0</v>
      </c>
      <c r="Z98" s="129">
        <v>0</v>
      </c>
      <c r="AA98" s="155">
        <f t="shared" si="8"/>
        <v>7.200000000000002</v>
      </c>
      <c r="AB98" s="98">
        <f t="shared" si="8"/>
        <v>10.800000000000002</v>
      </c>
      <c r="AC98"/>
      <c r="AD98" s="97">
        <v>32.400000000000006</v>
      </c>
      <c r="AE98" s="92">
        <v>0</v>
      </c>
      <c r="AF98" s="98">
        <f t="shared" si="6"/>
        <v>32.400000000000006</v>
      </c>
      <c r="AG98" s="97">
        <v>10.8</v>
      </c>
      <c r="AH98" s="92">
        <v>0</v>
      </c>
      <c r="AI98" s="98">
        <f t="shared" si="7"/>
        <v>10.8</v>
      </c>
      <c r="AJ98" s="99">
        <f t="shared" si="5"/>
        <v>43.2</v>
      </c>
      <c r="AK98" s="102" t="str">
        <f>+IF(AB98+AA98+AJ98&lt;=0, "NO COMPRADOR", +IF(AJ98&lt;=0, "SIN COMPRA "&amp;+UPPER(TEXT('DINAMICA ENERO 26'!$C$2,"mmm 'yy")), "COMPRADOR"))</f>
        <v>COMPRADOR</v>
      </c>
      <c r="AL98" s="100"/>
      <c r="AM98" s="101"/>
      <c r="AN98" s="100"/>
      <c r="AO98" s="100"/>
      <c r="AP98" s="100"/>
    </row>
    <row r="99" spans="1:43" s="100" customFormat="1" hidden="1">
      <c r="A99" s="88" t="s">
        <v>85</v>
      </c>
      <c r="B99" s="89" t="s">
        <v>157</v>
      </c>
      <c r="C99" s="89" t="s">
        <v>52</v>
      </c>
      <c r="D99" s="103">
        <v>100066856</v>
      </c>
      <c r="E99" s="89" t="s">
        <v>54</v>
      </c>
      <c r="F99" s="89">
        <v>100081503</v>
      </c>
      <c r="G99" s="128" t="s">
        <v>188</v>
      </c>
      <c r="H99"/>
      <c r="I99"/>
      <c r="J99"/>
      <c r="K99"/>
      <c r="L99"/>
      <c r="M99"/>
      <c r="N99"/>
      <c r="O99"/>
      <c r="P99"/>
      <c r="Q99"/>
      <c r="R99"/>
      <c r="S99" s="91">
        <v>0</v>
      </c>
      <c r="T99" s="94">
        <v>0</v>
      </c>
      <c r="U99" s="91">
        <v>0</v>
      </c>
      <c r="V99" s="129">
        <v>0</v>
      </c>
      <c r="W99" s="91">
        <v>0</v>
      </c>
      <c r="X99" s="129">
        <v>0</v>
      </c>
      <c r="Y99" s="91">
        <v>0</v>
      </c>
      <c r="Z99" s="129">
        <v>0</v>
      </c>
      <c r="AA99" s="155">
        <f t="shared" si="8"/>
        <v>0</v>
      </c>
      <c r="AB99" s="98">
        <f t="shared" si="8"/>
        <v>0</v>
      </c>
      <c r="AC99"/>
      <c r="AD99" s="97">
        <v>0</v>
      </c>
      <c r="AE99" s="92">
        <v>0</v>
      </c>
      <c r="AF99" s="98">
        <f t="shared" si="6"/>
        <v>0</v>
      </c>
      <c r="AG99" s="97">
        <v>0</v>
      </c>
      <c r="AH99" s="92">
        <v>0</v>
      </c>
      <c r="AI99" s="98">
        <f t="shared" si="7"/>
        <v>0</v>
      </c>
      <c r="AJ99" s="99">
        <f t="shared" si="5"/>
        <v>0</v>
      </c>
      <c r="AK99" s="102" t="str">
        <f>+IF(AB99+AA99+AJ99&lt;=0, "NO COMPRADOR", +IF(AJ99&lt;=0, "SIN COMPRA "&amp;+UPPER(TEXT('DINAMICA ENERO 26'!$C$2,"mmm 'yy")), "COMPRADOR"))</f>
        <v>NO COMPRADOR</v>
      </c>
      <c r="AM99" s="101"/>
    </row>
    <row r="100" spans="1:43" s="104" customFormat="1" hidden="1">
      <c r="A100" s="88" t="s">
        <v>85</v>
      </c>
      <c r="B100" s="89" t="s">
        <v>157</v>
      </c>
      <c r="C100" s="89" t="s">
        <v>52</v>
      </c>
      <c r="D100" s="103">
        <v>100066856</v>
      </c>
      <c r="E100" s="89" t="s">
        <v>54</v>
      </c>
      <c r="F100" s="89">
        <v>100087607</v>
      </c>
      <c r="G100" s="128" t="s">
        <v>189</v>
      </c>
      <c r="H100"/>
      <c r="I100"/>
      <c r="J100"/>
      <c r="K100"/>
      <c r="L100"/>
      <c r="M100"/>
      <c r="N100"/>
      <c r="O100"/>
      <c r="P100"/>
      <c r="Q100"/>
      <c r="R100"/>
      <c r="S100" s="91">
        <v>0</v>
      </c>
      <c r="T100" s="94">
        <v>0</v>
      </c>
      <c r="U100" s="91">
        <v>56.160000000000004</v>
      </c>
      <c r="V100" s="129">
        <v>45.36</v>
      </c>
      <c r="W100" s="91">
        <v>0</v>
      </c>
      <c r="X100" s="129">
        <v>0</v>
      </c>
      <c r="Y100" s="91">
        <v>0</v>
      </c>
      <c r="Z100" s="129">
        <v>0</v>
      </c>
      <c r="AA100" s="155">
        <f t="shared" si="8"/>
        <v>18.720000000000002</v>
      </c>
      <c r="AB100" s="98">
        <f t="shared" si="8"/>
        <v>15.12</v>
      </c>
      <c r="AC100"/>
      <c r="AD100" s="97">
        <v>0</v>
      </c>
      <c r="AE100" s="92">
        <v>0</v>
      </c>
      <c r="AF100" s="98">
        <f t="shared" si="6"/>
        <v>0</v>
      </c>
      <c r="AG100" s="97">
        <v>0</v>
      </c>
      <c r="AH100" s="92">
        <v>0</v>
      </c>
      <c r="AI100" s="98">
        <f t="shared" si="7"/>
        <v>0</v>
      </c>
      <c r="AJ100" s="99">
        <f t="shared" si="5"/>
        <v>0</v>
      </c>
      <c r="AK100" s="102" t="str">
        <f>+IF(AB100+AA100+AJ100&lt;=0, "NO COMPRADOR", +IF(AJ100&lt;=0, "SIN COMPRA "&amp;+UPPER(TEXT('DINAMICA ENERO 26'!$C$2,"mmm 'yy")), "COMPRADOR"))</f>
        <v>SIN COMPRA FEB '26</v>
      </c>
      <c r="AL100" s="100"/>
      <c r="AM100" s="101"/>
      <c r="AN100" s="100"/>
      <c r="AO100" s="100"/>
      <c r="AP100" s="100"/>
    </row>
    <row r="101" spans="1:43" s="104" customFormat="1" hidden="1">
      <c r="A101" s="88" t="s">
        <v>85</v>
      </c>
      <c r="B101" s="89" t="s">
        <v>157</v>
      </c>
      <c r="C101" s="89" t="s">
        <v>52</v>
      </c>
      <c r="D101" s="103">
        <v>100066856</v>
      </c>
      <c r="E101" s="89" t="s">
        <v>54</v>
      </c>
      <c r="F101" s="89">
        <v>100088062</v>
      </c>
      <c r="G101" s="128" t="s">
        <v>190</v>
      </c>
      <c r="H101"/>
      <c r="I101"/>
      <c r="J101"/>
      <c r="K101"/>
      <c r="L101"/>
      <c r="M101"/>
      <c r="N101"/>
      <c r="O101"/>
      <c r="P101"/>
      <c r="Q101"/>
      <c r="R101"/>
      <c r="S101" s="91">
        <v>0</v>
      </c>
      <c r="T101" s="94">
        <v>0</v>
      </c>
      <c r="U101" s="91">
        <v>6.48</v>
      </c>
      <c r="V101" s="129">
        <v>6.48</v>
      </c>
      <c r="W101" s="91">
        <v>0</v>
      </c>
      <c r="X101" s="129">
        <v>0</v>
      </c>
      <c r="Y101" s="91">
        <v>0</v>
      </c>
      <c r="Z101" s="129">
        <v>2.16</v>
      </c>
      <c r="AA101" s="155">
        <f t="shared" si="8"/>
        <v>2.16</v>
      </c>
      <c r="AB101" s="98">
        <f t="shared" si="8"/>
        <v>2.8800000000000003</v>
      </c>
      <c r="AC101"/>
      <c r="AD101" s="97">
        <v>0</v>
      </c>
      <c r="AE101" s="92">
        <v>0</v>
      </c>
      <c r="AF101" s="98">
        <f t="shared" si="6"/>
        <v>0</v>
      </c>
      <c r="AG101" s="97">
        <v>-2.16</v>
      </c>
      <c r="AH101" s="92">
        <v>0</v>
      </c>
      <c r="AI101" s="98">
        <f t="shared" si="7"/>
        <v>-2.16</v>
      </c>
      <c r="AJ101" s="99">
        <f t="shared" si="5"/>
        <v>-2.16</v>
      </c>
      <c r="AK101" s="102" t="str">
        <f>+IF(AB101+AA101+AJ101&lt;=0, "NO COMPRADOR", +IF(AJ101&lt;=0, "SIN COMPRA "&amp;+UPPER(TEXT('DINAMICA ENERO 26'!$C$2,"mmm 'yy")), "COMPRADOR"))</f>
        <v>SIN COMPRA FEB '26</v>
      </c>
      <c r="AL101" s="100"/>
      <c r="AM101" s="101"/>
      <c r="AN101" s="100"/>
      <c r="AO101" s="100"/>
      <c r="AP101" s="100"/>
    </row>
    <row r="102" spans="1:43" s="104" customFormat="1" hidden="1">
      <c r="A102" s="88" t="s">
        <v>85</v>
      </c>
      <c r="B102" s="89" t="s">
        <v>157</v>
      </c>
      <c r="C102" s="89" t="s">
        <v>52</v>
      </c>
      <c r="D102" s="103">
        <v>100066856</v>
      </c>
      <c r="E102" s="89" t="s">
        <v>54</v>
      </c>
      <c r="F102" s="89">
        <v>100087789</v>
      </c>
      <c r="G102" s="128" t="s">
        <v>191</v>
      </c>
      <c r="H102"/>
      <c r="I102"/>
      <c r="J102"/>
      <c r="K102"/>
      <c r="L102"/>
      <c r="M102"/>
      <c r="N102"/>
      <c r="O102"/>
      <c r="P102"/>
      <c r="Q102"/>
      <c r="R102"/>
      <c r="S102" s="91">
        <v>54</v>
      </c>
      <c r="T102" s="94">
        <v>54</v>
      </c>
      <c r="U102" s="91">
        <v>108</v>
      </c>
      <c r="V102" s="129">
        <v>54.000000000000007</v>
      </c>
      <c r="W102" s="91">
        <v>0</v>
      </c>
      <c r="X102" s="129">
        <v>21.6</v>
      </c>
      <c r="Y102" s="91">
        <v>21.6</v>
      </c>
      <c r="Z102" s="129">
        <v>21.6</v>
      </c>
      <c r="AA102" s="155">
        <f t="shared" si="8"/>
        <v>43.199999999999996</v>
      </c>
      <c r="AB102" s="98">
        <f t="shared" si="8"/>
        <v>32.400000000000006</v>
      </c>
      <c r="AC102"/>
      <c r="AD102" s="97">
        <v>21.6</v>
      </c>
      <c r="AE102" s="92">
        <v>0</v>
      </c>
      <c r="AF102" s="98">
        <f t="shared" si="6"/>
        <v>21.6</v>
      </c>
      <c r="AG102" s="97">
        <v>21.6</v>
      </c>
      <c r="AH102" s="92">
        <v>0</v>
      </c>
      <c r="AI102" s="98">
        <f t="shared" si="7"/>
        <v>21.6</v>
      </c>
      <c r="AJ102" s="99">
        <f t="shared" si="5"/>
        <v>43.2</v>
      </c>
      <c r="AK102" s="102" t="str">
        <f>+IF(AB102+AA102+AJ102&lt;=0, "NO COMPRADOR", +IF(AJ102&lt;=0, "SIN COMPRA "&amp;+UPPER(TEXT('DINAMICA ENERO 26'!$C$2,"mmm 'yy")), "COMPRADOR"))</f>
        <v>COMPRADOR</v>
      </c>
      <c r="AL102" s="100"/>
      <c r="AM102" s="101"/>
      <c r="AN102" s="100"/>
      <c r="AO102" s="100"/>
      <c r="AP102" s="100"/>
    </row>
    <row r="103" spans="1:43" s="104" customFormat="1" hidden="1">
      <c r="A103" s="88" t="s">
        <v>85</v>
      </c>
      <c r="B103" s="89" t="s">
        <v>157</v>
      </c>
      <c r="C103" s="89" t="s">
        <v>52</v>
      </c>
      <c r="D103" s="103">
        <v>100066856</v>
      </c>
      <c r="E103" s="89" t="s">
        <v>54</v>
      </c>
      <c r="F103" s="89">
        <v>100016352</v>
      </c>
      <c r="G103" s="128" t="s">
        <v>192</v>
      </c>
      <c r="H103"/>
      <c r="I103"/>
      <c r="J103"/>
      <c r="K103"/>
      <c r="L103"/>
      <c r="M103"/>
      <c r="N103"/>
      <c r="O103"/>
      <c r="P103"/>
      <c r="Q103"/>
      <c r="R103"/>
      <c r="S103" s="91">
        <v>0</v>
      </c>
      <c r="T103" s="94">
        <v>0</v>
      </c>
      <c r="U103" s="91">
        <v>2.16</v>
      </c>
      <c r="V103" s="129">
        <v>2.16</v>
      </c>
      <c r="W103" s="91">
        <v>0</v>
      </c>
      <c r="X103" s="129">
        <v>0</v>
      </c>
      <c r="Y103" s="91">
        <v>0</v>
      </c>
      <c r="Z103" s="129">
        <v>0</v>
      </c>
      <c r="AA103" s="155">
        <f t="shared" si="8"/>
        <v>0.72000000000000008</v>
      </c>
      <c r="AB103" s="98">
        <f t="shared" si="8"/>
        <v>0.72000000000000008</v>
      </c>
      <c r="AC103"/>
      <c r="AD103" s="97">
        <v>0</v>
      </c>
      <c r="AE103" s="92">
        <v>0</v>
      </c>
      <c r="AF103" s="98">
        <f t="shared" si="6"/>
        <v>0</v>
      </c>
      <c r="AG103" s="97">
        <v>0</v>
      </c>
      <c r="AH103" s="92">
        <v>0</v>
      </c>
      <c r="AI103" s="98">
        <f t="shared" si="7"/>
        <v>0</v>
      </c>
      <c r="AJ103" s="99">
        <f t="shared" si="5"/>
        <v>0</v>
      </c>
      <c r="AK103" s="102" t="str">
        <f>+IF(AB103+AA103+AJ103&lt;=0, "NO COMPRADOR", +IF(AJ103&lt;=0, "SIN COMPRA "&amp;+UPPER(TEXT('DINAMICA ENERO 26'!$C$2,"mmm 'yy")), "COMPRADOR"))</f>
        <v>SIN COMPRA FEB '26</v>
      </c>
      <c r="AL103" s="100"/>
      <c r="AM103" s="101"/>
      <c r="AN103" s="100"/>
      <c r="AO103" s="100"/>
      <c r="AP103" s="100"/>
    </row>
    <row r="104" spans="1:43" s="100" customFormat="1" hidden="1">
      <c r="A104" s="88" t="s">
        <v>85</v>
      </c>
      <c r="B104" s="89" t="s">
        <v>157</v>
      </c>
      <c r="C104" s="89" t="s">
        <v>52</v>
      </c>
      <c r="D104" s="103">
        <v>100066856</v>
      </c>
      <c r="E104" s="89" t="s">
        <v>54</v>
      </c>
      <c r="F104" s="89">
        <v>100083764</v>
      </c>
      <c r="G104" s="128" t="s">
        <v>193</v>
      </c>
      <c r="H104"/>
      <c r="I104"/>
      <c r="J104"/>
      <c r="K104"/>
      <c r="L104"/>
      <c r="M104"/>
      <c r="N104"/>
      <c r="O104"/>
      <c r="P104"/>
      <c r="Q104"/>
      <c r="R104"/>
      <c r="S104" s="91">
        <v>0</v>
      </c>
      <c r="T104" s="94">
        <v>0</v>
      </c>
      <c r="U104" s="91">
        <v>4.32</v>
      </c>
      <c r="V104" s="129">
        <v>4.32</v>
      </c>
      <c r="W104" s="91">
        <v>-2.16</v>
      </c>
      <c r="X104" s="129">
        <v>-2.16</v>
      </c>
      <c r="Y104" s="91">
        <v>0</v>
      </c>
      <c r="Z104" s="129">
        <v>2.16</v>
      </c>
      <c r="AA104" s="155">
        <f t="shared" si="8"/>
        <v>0.72000000000000008</v>
      </c>
      <c r="AB104" s="98">
        <f t="shared" si="8"/>
        <v>1.4400000000000002</v>
      </c>
      <c r="AC104"/>
      <c r="AD104" s="97">
        <v>0</v>
      </c>
      <c r="AE104" s="92">
        <v>0</v>
      </c>
      <c r="AF104" s="98">
        <f t="shared" si="6"/>
        <v>0</v>
      </c>
      <c r="AG104" s="97">
        <v>0</v>
      </c>
      <c r="AH104" s="92">
        <v>0</v>
      </c>
      <c r="AI104" s="98">
        <f t="shared" si="7"/>
        <v>0</v>
      </c>
      <c r="AJ104" s="99">
        <f t="shared" si="5"/>
        <v>0</v>
      </c>
      <c r="AK104" s="102" t="str">
        <f>+IF(AB104+AA104+AJ104&lt;=0, "NO COMPRADOR", +IF(AJ104&lt;=0, "SIN COMPRA "&amp;+UPPER(TEXT('DINAMICA ENERO 26'!$C$2,"mmm 'yy")), "COMPRADOR"))</f>
        <v>SIN COMPRA FEB '26</v>
      </c>
      <c r="AM104" s="101"/>
    </row>
    <row r="105" spans="1:43" s="100" customFormat="1" hidden="1">
      <c r="A105" s="88" t="s">
        <v>85</v>
      </c>
      <c r="B105" s="89" t="s">
        <v>157</v>
      </c>
      <c r="C105" s="89" t="s">
        <v>52</v>
      </c>
      <c r="D105" s="103">
        <v>100066856</v>
      </c>
      <c r="E105" s="89" t="s">
        <v>54</v>
      </c>
      <c r="F105" s="89">
        <v>100071616</v>
      </c>
      <c r="G105" s="128" t="s">
        <v>194</v>
      </c>
      <c r="H105"/>
      <c r="I105"/>
      <c r="J105"/>
      <c r="K105"/>
      <c r="L105"/>
      <c r="M105"/>
      <c r="N105"/>
      <c r="O105"/>
      <c r="P105"/>
      <c r="Q105"/>
      <c r="R105"/>
      <c r="S105" s="91">
        <v>10.8</v>
      </c>
      <c r="T105" s="94">
        <v>10.8</v>
      </c>
      <c r="U105" s="91">
        <v>6.48</v>
      </c>
      <c r="V105" s="129">
        <v>8.64</v>
      </c>
      <c r="W105" s="91">
        <v>0</v>
      </c>
      <c r="X105" s="129">
        <v>0</v>
      </c>
      <c r="Y105" s="91">
        <v>21.6</v>
      </c>
      <c r="Z105" s="129">
        <v>43.2</v>
      </c>
      <c r="AA105" s="155">
        <f t="shared" si="8"/>
        <v>9.3600000000000012</v>
      </c>
      <c r="AB105" s="98">
        <f t="shared" si="8"/>
        <v>17.28</v>
      </c>
      <c r="AC105"/>
      <c r="AD105" s="97">
        <v>0</v>
      </c>
      <c r="AE105" s="92">
        <v>0</v>
      </c>
      <c r="AF105" s="98">
        <f t="shared" si="6"/>
        <v>0</v>
      </c>
      <c r="AG105" s="97">
        <v>21.6</v>
      </c>
      <c r="AH105" s="92">
        <v>0</v>
      </c>
      <c r="AI105" s="98">
        <f t="shared" si="7"/>
        <v>21.6</v>
      </c>
      <c r="AJ105" s="99">
        <f t="shared" si="5"/>
        <v>21.6</v>
      </c>
      <c r="AK105" s="102" t="str">
        <f>+IF(AB105+AA105+AJ105&lt;=0, "NO COMPRADOR", +IF(AJ105&lt;=0, "SIN COMPRA "&amp;+UPPER(TEXT('DINAMICA ENERO 26'!$C$2,"mmm 'yy")), "COMPRADOR"))</f>
        <v>COMPRADOR</v>
      </c>
      <c r="AM105" s="101"/>
    </row>
    <row r="106" spans="1:43" s="100" customFormat="1" hidden="1">
      <c r="A106" s="88" t="s">
        <v>85</v>
      </c>
      <c r="B106" s="89" t="s">
        <v>157</v>
      </c>
      <c r="C106" s="89" t="s">
        <v>52</v>
      </c>
      <c r="D106" s="103">
        <v>100066856</v>
      </c>
      <c r="E106" s="89" t="s">
        <v>54</v>
      </c>
      <c r="F106" s="89">
        <v>100011726</v>
      </c>
      <c r="G106" s="128" t="s">
        <v>195</v>
      </c>
      <c r="H106"/>
      <c r="I106"/>
      <c r="J106"/>
      <c r="K106"/>
      <c r="L106"/>
      <c r="M106"/>
      <c r="N106"/>
      <c r="O106"/>
      <c r="P106"/>
      <c r="Q106"/>
      <c r="R106"/>
      <c r="S106" s="91">
        <v>0</v>
      </c>
      <c r="T106" s="94">
        <v>0</v>
      </c>
      <c r="U106" s="91">
        <v>4.32</v>
      </c>
      <c r="V106" s="129">
        <v>4.32</v>
      </c>
      <c r="W106" s="91">
        <v>2.16</v>
      </c>
      <c r="X106" s="129">
        <v>2.16</v>
      </c>
      <c r="Y106" s="91">
        <v>0</v>
      </c>
      <c r="Z106" s="129">
        <v>0</v>
      </c>
      <c r="AA106" s="155">
        <f t="shared" si="8"/>
        <v>2.16</v>
      </c>
      <c r="AB106" s="98">
        <f t="shared" si="8"/>
        <v>2.16</v>
      </c>
      <c r="AC106"/>
      <c r="AD106" s="97">
        <v>0</v>
      </c>
      <c r="AE106" s="92">
        <v>0</v>
      </c>
      <c r="AF106" s="98">
        <f t="shared" si="6"/>
        <v>0</v>
      </c>
      <c r="AG106" s="97">
        <v>0</v>
      </c>
      <c r="AH106" s="92">
        <v>0</v>
      </c>
      <c r="AI106" s="98">
        <f t="shared" si="7"/>
        <v>0</v>
      </c>
      <c r="AJ106" s="99">
        <f t="shared" si="5"/>
        <v>0</v>
      </c>
      <c r="AK106" s="102" t="str">
        <f>+IF(AB106+AA106+AJ106&lt;=0, "NO COMPRADOR", +IF(AJ106&lt;=0, "SIN COMPRA "&amp;+UPPER(TEXT('DINAMICA ENERO 26'!$C$2,"mmm 'yy")), "COMPRADOR"))</f>
        <v>SIN COMPRA FEB '26</v>
      </c>
      <c r="AM106" s="101"/>
      <c r="AQ106" s="100" t="e">
        <f>+VLOOKUP(AO106,Veggies!X:Y,2,FALSE)</f>
        <v>#N/A</v>
      </c>
    </row>
    <row r="107" spans="1:43" s="100" customFormat="1" hidden="1">
      <c r="A107" s="88" t="s">
        <v>85</v>
      </c>
      <c r="B107" s="89" t="s">
        <v>157</v>
      </c>
      <c r="C107" s="89" t="s">
        <v>52</v>
      </c>
      <c r="D107" s="103">
        <v>100066856</v>
      </c>
      <c r="E107" s="89" t="s">
        <v>54</v>
      </c>
      <c r="F107" s="89">
        <v>100077612</v>
      </c>
      <c r="G107" s="128" t="s">
        <v>196</v>
      </c>
      <c r="H107"/>
      <c r="I107"/>
      <c r="J107"/>
      <c r="K107"/>
      <c r="L107"/>
      <c r="M107"/>
      <c r="N107"/>
      <c r="O107"/>
      <c r="P107"/>
      <c r="Q107"/>
      <c r="R107"/>
      <c r="S107" s="91">
        <v>10.8</v>
      </c>
      <c r="T107" s="94">
        <v>10.8</v>
      </c>
      <c r="U107" s="91">
        <v>2.16</v>
      </c>
      <c r="V107" s="129">
        <v>2.16</v>
      </c>
      <c r="W107" s="91">
        <v>0</v>
      </c>
      <c r="X107" s="129">
        <v>0</v>
      </c>
      <c r="Y107" s="91">
        <v>0</v>
      </c>
      <c r="Z107" s="129">
        <v>0</v>
      </c>
      <c r="AA107" s="155">
        <f t="shared" si="8"/>
        <v>0.72000000000000008</v>
      </c>
      <c r="AB107" s="98">
        <f t="shared" si="8"/>
        <v>0.72000000000000008</v>
      </c>
      <c r="AC107"/>
      <c r="AD107" s="97">
        <v>0</v>
      </c>
      <c r="AE107" s="92">
        <v>0</v>
      </c>
      <c r="AF107" s="98">
        <f t="shared" si="6"/>
        <v>0</v>
      </c>
      <c r="AG107" s="97">
        <v>0</v>
      </c>
      <c r="AH107" s="92">
        <v>0</v>
      </c>
      <c r="AI107" s="98">
        <f t="shared" si="7"/>
        <v>0</v>
      </c>
      <c r="AJ107" s="99">
        <f t="shared" si="5"/>
        <v>0</v>
      </c>
      <c r="AK107" s="102" t="str">
        <f>+IF(AB107+AA107+AJ107&lt;=0, "NO COMPRADOR", +IF(AJ107&lt;=0, "SIN COMPRA "&amp;+UPPER(TEXT('DINAMICA ENERO 26'!$C$2,"mmm 'yy")), "COMPRADOR"))</f>
        <v>SIN COMPRA FEB '26</v>
      </c>
      <c r="AM107" s="101"/>
      <c r="AQ107" s="100" t="e">
        <f>+VLOOKUP(AO107,Veggies!X:Y,2,FALSE)</f>
        <v>#N/A</v>
      </c>
    </row>
    <row r="108" spans="1:43" s="104" customFormat="1" hidden="1">
      <c r="A108" s="88" t="s">
        <v>85</v>
      </c>
      <c r="B108" s="89" t="s">
        <v>157</v>
      </c>
      <c r="C108" s="89" t="s">
        <v>52</v>
      </c>
      <c r="D108" s="103">
        <v>100066856</v>
      </c>
      <c r="E108" s="89" t="s">
        <v>54</v>
      </c>
      <c r="F108" s="89">
        <v>100073860</v>
      </c>
      <c r="G108" s="128" t="s">
        <v>197</v>
      </c>
      <c r="H108"/>
      <c r="I108"/>
      <c r="J108"/>
      <c r="K108"/>
      <c r="L108"/>
      <c r="M108"/>
      <c r="N108"/>
      <c r="O108"/>
      <c r="P108"/>
      <c r="Q108"/>
      <c r="R108"/>
      <c r="S108" s="91">
        <v>10.8</v>
      </c>
      <c r="T108" s="94">
        <v>10.8</v>
      </c>
      <c r="U108" s="91">
        <v>15.120000000000001</v>
      </c>
      <c r="V108" s="129">
        <v>4.32</v>
      </c>
      <c r="W108" s="91">
        <v>0</v>
      </c>
      <c r="X108" s="129">
        <v>10.8</v>
      </c>
      <c r="Y108" s="91">
        <v>38.880000000000003</v>
      </c>
      <c r="Z108" s="129">
        <v>10.8</v>
      </c>
      <c r="AA108" s="155">
        <f t="shared" si="8"/>
        <v>18</v>
      </c>
      <c r="AB108" s="98">
        <f t="shared" si="8"/>
        <v>8.64</v>
      </c>
      <c r="AC108"/>
      <c r="AD108" s="97">
        <v>0</v>
      </c>
      <c r="AE108" s="92">
        <v>0</v>
      </c>
      <c r="AF108" s="98">
        <f t="shared" si="6"/>
        <v>0</v>
      </c>
      <c r="AG108" s="97">
        <v>0</v>
      </c>
      <c r="AH108" s="92">
        <v>0</v>
      </c>
      <c r="AI108" s="98">
        <f t="shared" si="7"/>
        <v>0</v>
      </c>
      <c r="AJ108" s="99">
        <f t="shared" si="5"/>
        <v>0</v>
      </c>
      <c r="AK108" s="102" t="str">
        <f>+IF(AB108+AA108+AJ108&lt;=0, "NO COMPRADOR", +IF(AJ108&lt;=0, "SIN COMPRA "&amp;+UPPER(TEXT('DINAMICA ENERO 26'!$C$2,"mmm 'yy")), "COMPRADOR"))</f>
        <v>SIN COMPRA FEB '26</v>
      </c>
      <c r="AL108" s="100"/>
      <c r="AM108" s="101"/>
      <c r="AN108" s="100"/>
      <c r="AO108" s="100"/>
      <c r="AP108" s="100"/>
      <c r="AQ108" s="100" t="e">
        <f>+VLOOKUP(AO108,Veggies!X:Y,2,FALSE)</f>
        <v>#N/A</v>
      </c>
    </row>
    <row r="109" spans="1:43" s="100" customFormat="1" hidden="1">
      <c r="A109" s="88" t="s">
        <v>85</v>
      </c>
      <c r="B109" s="89" t="s">
        <v>157</v>
      </c>
      <c r="C109" s="89" t="s">
        <v>52</v>
      </c>
      <c r="D109" s="103">
        <v>100066856</v>
      </c>
      <c r="E109" s="89" t="s">
        <v>54</v>
      </c>
      <c r="F109" s="89">
        <v>100002246</v>
      </c>
      <c r="G109" s="128" t="s">
        <v>198</v>
      </c>
      <c r="H109"/>
      <c r="I109"/>
      <c r="J109"/>
      <c r="K109"/>
      <c r="L109"/>
      <c r="M109"/>
      <c r="N109"/>
      <c r="O109"/>
      <c r="P109"/>
      <c r="Q109"/>
      <c r="R109"/>
      <c r="S109" s="91">
        <v>0</v>
      </c>
      <c r="T109" s="94">
        <v>0</v>
      </c>
      <c r="U109" s="91">
        <v>4.32</v>
      </c>
      <c r="V109" s="129">
        <v>4.32</v>
      </c>
      <c r="W109" s="91">
        <v>0</v>
      </c>
      <c r="X109" s="129">
        <v>0</v>
      </c>
      <c r="Y109" s="91">
        <v>0</v>
      </c>
      <c r="Z109" s="129">
        <v>0</v>
      </c>
      <c r="AA109" s="155">
        <f t="shared" si="8"/>
        <v>1.4400000000000002</v>
      </c>
      <c r="AB109" s="98">
        <f t="shared" si="8"/>
        <v>1.4400000000000002</v>
      </c>
      <c r="AC109"/>
      <c r="AD109" s="97">
        <v>0</v>
      </c>
      <c r="AE109" s="92">
        <v>0</v>
      </c>
      <c r="AF109" s="98">
        <f t="shared" si="6"/>
        <v>0</v>
      </c>
      <c r="AG109" s="97">
        <v>0</v>
      </c>
      <c r="AH109" s="92">
        <v>0</v>
      </c>
      <c r="AI109" s="98">
        <f t="shared" si="7"/>
        <v>0</v>
      </c>
      <c r="AJ109" s="99">
        <f t="shared" si="5"/>
        <v>0</v>
      </c>
      <c r="AK109" s="102" t="str">
        <f>+IF(AB109+AA109+AJ109&lt;=0, "NO COMPRADOR", +IF(AJ109&lt;=0, "SIN COMPRA "&amp;+UPPER(TEXT('DINAMICA ENERO 26'!$C$2,"mmm 'yy")), "COMPRADOR"))</f>
        <v>SIN COMPRA FEB '26</v>
      </c>
      <c r="AM109" s="101"/>
      <c r="AQ109" s="100" t="e">
        <f>+VLOOKUP(AO109,Veggies!X:Y,2,FALSE)</f>
        <v>#N/A</v>
      </c>
    </row>
    <row r="110" spans="1:43" s="104" customFormat="1" hidden="1">
      <c r="A110" s="88" t="s">
        <v>85</v>
      </c>
      <c r="B110" s="89" t="s">
        <v>157</v>
      </c>
      <c r="C110" s="89" t="s">
        <v>52</v>
      </c>
      <c r="D110" s="103">
        <v>100066856</v>
      </c>
      <c r="E110" s="89" t="s">
        <v>54</v>
      </c>
      <c r="F110" s="89">
        <v>100071232</v>
      </c>
      <c r="G110" s="128" t="s">
        <v>199</v>
      </c>
      <c r="H110"/>
      <c r="I110"/>
      <c r="J110"/>
      <c r="K110"/>
      <c r="L110"/>
      <c r="M110"/>
      <c r="N110"/>
      <c r="O110"/>
      <c r="P110"/>
      <c r="Q110"/>
      <c r="R110"/>
      <c r="S110" s="91">
        <v>0</v>
      </c>
      <c r="T110" s="94">
        <v>0</v>
      </c>
      <c r="U110" s="91">
        <v>0</v>
      </c>
      <c r="V110" s="129">
        <v>0</v>
      </c>
      <c r="W110" s="91">
        <v>0</v>
      </c>
      <c r="X110" s="129">
        <v>0</v>
      </c>
      <c r="Y110" s="91">
        <v>0</v>
      </c>
      <c r="Z110" s="129">
        <v>0</v>
      </c>
      <c r="AA110" s="155">
        <f t="shared" si="8"/>
        <v>0</v>
      </c>
      <c r="AB110" s="98">
        <f t="shared" si="8"/>
        <v>0</v>
      </c>
      <c r="AC110"/>
      <c r="AD110" s="97">
        <v>0</v>
      </c>
      <c r="AE110" s="92">
        <v>0</v>
      </c>
      <c r="AF110" s="98">
        <f t="shared" si="6"/>
        <v>0</v>
      </c>
      <c r="AG110" s="97">
        <v>0</v>
      </c>
      <c r="AH110" s="92">
        <v>0</v>
      </c>
      <c r="AI110" s="98">
        <f t="shared" si="7"/>
        <v>0</v>
      </c>
      <c r="AJ110" s="99">
        <f t="shared" si="5"/>
        <v>0</v>
      </c>
      <c r="AK110" s="102" t="str">
        <f>+IF(AB110+AA110+AJ110&lt;=0, "NO COMPRADOR", +IF(AJ110&lt;=0, "SIN COMPRA "&amp;+UPPER(TEXT('DINAMICA ENERO 26'!$C$2,"mmm 'yy")), "COMPRADOR"))</f>
        <v>NO COMPRADOR</v>
      </c>
      <c r="AL110" s="100"/>
      <c r="AM110" s="101"/>
      <c r="AN110" s="100"/>
      <c r="AO110" s="100"/>
      <c r="AP110" s="100"/>
      <c r="AQ110" s="100" t="e">
        <f>+VLOOKUP(AO110,Veggies!X:Y,2,FALSE)</f>
        <v>#N/A</v>
      </c>
    </row>
    <row r="111" spans="1:43" s="104" customFormat="1" hidden="1">
      <c r="A111" s="88" t="s">
        <v>85</v>
      </c>
      <c r="B111" s="89" t="s">
        <v>157</v>
      </c>
      <c r="C111" s="89" t="s">
        <v>52</v>
      </c>
      <c r="D111" s="103">
        <v>100066856</v>
      </c>
      <c r="E111" s="89" t="s">
        <v>54</v>
      </c>
      <c r="F111" s="89">
        <v>100076868</v>
      </c>
      <c r="G111" s="128" t="s">
        <v>200</v>
      </c>
      <c r="H111"/>
      <c r="I111"/>
      <c r="J111"/>
      <c r="K111"/>
      <c r="L111"/>
      <c r="M111"/>
      <c r="N111"/>
      <c r="O111"/>
      <c r="P111"/>
      <c r="Q111"/>
      <c r="R111"/>
      <c r="S111" s="91">
        <v>0</v>
      </c>
      <c r="T111" s="94">
        <v>0</v>
      </c>
      <c r="U111" s="91">
        <v>6.48</v>
      </c>
      <c r="V111" s="129">
        <v>6.48</v>
      </c>
      <c r="W111" s="91">
        <v>0</v>
      </c>
      <c r="X111" s="129">
        <v>0</v>
      </c>
      <c r="Y111" s="91">
        <v>0</v>
      </c>
      <c r="Z111" s="129">
        <v>2.16</v>
      </c>
      <c r="AA111" s="155">
        <f t="shared" si="8"/>
        <v>2.16</v>
      </c>
      <c r="AB111" s="98">
        <f t="shared" si="8"/>
        <v>2.8800000000000003</v>
      </c>
      <c r="AC111"/>
      <c r="AD111" s="97">
        <v>0</v>
      </c>
      <c r="AE111" s="92">
        <v>0</v>
      </c>
      <c r="AF111" s="98">
        <f t="shared" si="6"/>
        <v>0</v>
      </c>
      <c r="AG111" s="97">
        <v>0</v>
      </c>
      <c r="AH111" s="92">
        <v>0</v>
      </c>
      <c r="AI111" s="98">
        <f t="shared" si="7"/>
        <v>0</v>
      </c>
      <c r="AJ111" s="99">
        <f t="shared" si="5"/>
        <v>0</v>
      </c>
      <c r="AK111" s="102" t="str">
        <f>+IF(AB111+AA111+AJ111&lt;=0, "NO COMPRADOR", +IF(AJ111&lt;=0, "SIN COMPRA "&amp;+UPPER(TEXT('DINAMICA ENERO 26'!$C$2,"mmm 'yy")), "COMPRADOR"))</f>
        <v>SIN COMPRA FEB '26</v>
      </c>
      <c r="AL111" s="100"/>
      <c r="AM111" s="101"/>
      <c r="AN111" s="100"/>
      <c r="AO111" s="100"/>
      <c r="AP111" s="100"/>
      <c r="AQ111" s="100" t="e">
        <f>+VLOOKUP(AO111,Veggies!X:Y,2,FALSE)</f>
        <v>#N/A</v>
      </c>
    </row>
    <row r="112" spans="1:43" s="100" customFormat="1" hidden="1">
      <c r="A112" s="88" t="s">
        <v>85</v>
      </c>
      <c r="B112" s="89" t="s">
        <v>157</v>
      </c>
      <c r="C112" s="89" t="s">
        <v>52</v>
      </c>
      <c r="D112" s="103">
        <v>100066856</v>
      </c>
      <c r="E112" s="89" t="s">
        <v>54</v>
      </c>
      <c r="F112" s="89">
        <v>100007082</v>
      </c>
      <c r="G112" s="128" t="s">
        <v>201</v>
      </c>
      <c r="H112"/>
      <c r="I112"/>
      <c r="J112"/>
      <c r="K112"/>
      <c r="L112"/>
      <c r="M112"/>
      <c r="N112"/>
      <c r="O112"/>
      <c r="P112"/>
      <c r="Q112"/>
      <c r="R112"/>
      <c r="S112" s="91">
        <v>0</v>
      </c>
      <c r="T112" s="94">
        <v>0</v>
      </c>
      <c r="U112" s="91">
        <v>2.16</v>
      </c>
      <c r="V112" s="129">
        <v>2.16</v>
      </c>
      <c r="W112" s="91">
        <v>0</v>
      </c>
      <c r="X112" s="129">
        <v>0</v>
      </c>
      <c r="Y112" s="91">
        <v>0</v>
      </c>
      <c r="Z112" s="129">
        <v>0</v>
      </c>
      <c r="AA112" s="155">
        <f t="shared" si="8"/>
        <v>0.72000000000000008</v>
      </c>
      <c r="AB112" s="98">
        <f t="shared" si="8"/>
        <v>0.72000000000000008</v>
      </c>
      <c r="AC112"/>
      <c r="AD112" s="97">
        <v>0</v>
      </c>
      <c r="AE112" s="92">
        <v>0</v>
      </c>
      <c r="AF112" s="98">
        <f t="shared" si="6"/>
        <v>0</v>
      </c>
      <c r="AG112" s="97">
        <v>0</v>
      </c>
      <c r="AH112" s="92">
        <v>0</v>
      </c>
      <c r="AI112" s="98">
        <f t="shared" si="7"/>
        <v>0</v>
      </c>
      <c r="AJ112" s="99">
        <f t="shared" si="5"/>
        <v>0</v>
      </c>
      <c r="AK112" s="102" t="str">
        <f>+IF(AB112+AA112+AJ112&lt;=0, "NO COMPRADOR", +IF(AJ112&lt;=0, "SIN COMPRA "&amp;+UPPER(TEXT('DINAMICA ENERO 26'!$C$2,"mmm 'yy")), "COMPRADOR"))</f>
        <v>SIN COMPRA FEB '26</v>
      </c>
      <c r="AM112" s="101"/>
      <c r="AQ112" s="100" t="e">
        <f>+VLOOKUP(AO112,Veggies!X:Y,2,FALSE)</f>
        <v>#N/A</v>
      </c>
    </row>
    <row r="113" spans="1:43" s="100" customFormat="1" hidden="1">
      <c r="A113" s="88" t="s">
        <v>85</v>
      </c>
      <c r="B113" s="89" t="s">
        <v>157</v>
      </c>
      <c r="C113" s="89" t="s">
        <v>52</v>
      </c>
      <c r="D113" s="103">
        <v>100066856</v>
      </c>
      <c r="E113" s="89" t="s">
        <v>54</v>
      </c>
      <c r="F113" s="89">
        <v>100084941</v>
      </c>
      <c r="G113" s="128" t="s">
        <v>202</v>
      </c>
      <c r="H113"/>
      <c r="I113"/>
      <c r="J113"/>
      <c r="K113"/>
      <c r="L113"/>
      <c r="M113"/>
      <c r="N113"/>
      <c r="O113"/>
      <c r="P113"/>
      <c r="Q113"/>
      <c r="R113"/>
      <c r="S113" s="91">
        <v>0</v>
      </c>
      <c r="T113" s="94">
        <v>0</v>
      </c>
      <c r="U113" s="91">
        <v>0</v>
      </c>
      <c r="V113" s="129">
        <v>0</v>
      </c>
      <c r="W113" s="91">
        <v>0</v>
      </c>
      <c r="X113" s="129">
        <v>0</v>
      </c>
      <c r="Y113" s="91">
        <v>0</v>
      </c>
      <c r="Z113" s="129">
        <v>0</v>
      </c>
      <c r="AA113" s="155">
        <f t="shared" si="8"/>
        <v>0</v>
      </c>
      <c r="AB113" s="98">
        <f t="shared" si="8"/>
        <v>0</v>
      </c>
      <c r="AC113"/>
      <c r="AD113" s="97">
        <v>0</v>
      </c>
      <c r="AE113" s="92">
        <v>0</v>
      </c>
      <c r="AF113" s="98">
        <f t="shared" si="6"/>
        <v>0</v>
      </c>
      <c r="AG113" s="97">
        <v>0</v>
      </c>
      <c r="AH113" s="92">
        <v>0</v>
      </c>
      <c r="AI113" s="98">
        <f t="shared" si="7"/>
        <v>0</v>
      </c>
      <c r="AJ113" s="99">
        <f t="shared" si="5"/>
        <v>0</v>
      </c>
      <c r="AK113" s="102" t="str">
        <f>+IF(AB113+AA113+AJ113&lt;=0, "NO COMPRADOR", +IF(AJ113&lt;=0, "SIN COMPRA "&amp;+UPPER(TEXT('DINAMICA ENERO 26'!$C$2,"mmm 'yy")), "COMPRADOR"))</f>
        <v>NO COMPRADOR</v>
      </c>
      <c r="AM113" s="101"/>
      <c r="AQ113" s="100" t="e">
        <f>+VLOOKUP(AO113,Veggies!X:Y,2,FALSE)</f>
        <v>#N/A</v>
      </c>
    </row>
    <row r="114" spans="1:43" s="100" customFormat="1" hidden="1">
      <c r="A114" s="88" t="s">
        <v>85</v>
      </c>
      <c r="B114" s="89" t="s">
        <v>157</v>
      </c>
      <c r="C114" s="89" t="s">
        <v>52</v>
      </c>
      <c r="D114" s="103">
        <v>100066856</v>
      </c>
      <c r="E114" s="89" t="s">
        <v>54</v>
      </c>
      <c r="F114" s="89">
        <v>100071677</v>
      </c>
      <c r="G114" s="128" t="s">
        <v>203</v>
      </c>
      <c r="H114"/>
      <c r="I114"/>
      <c r="J114"/>
      <c r="K114"/>
      <c r="L114"/>
      <c r="M114"/>
      <c r="N114"/>
      <c r="O114"/>
      <c r="P114"/>
      <c r="Q114"/>
      <c r="R114"/>
      <c r="S114" s="91">
        <v>0</v>
      </c>
      <c r="T114" s="94">
        <v>0</v>
      </c>
      <c r="U114" s="91">
        <v>2.16</v>
      </c>
      <c r="V114" s="129">
        <v>2.16</v>
      </c>
      <c r="W114" s="91">
        <v>0</v>
      </c>
      <c r="X114" s="129">
        <v>0</v>
      </c>
      <c r="Y114" s="91">
        <v>6.48</v>
      </c>
      <c r="Z114" s="129">
        <v>6.48</v>
      </c>
      <c r="AA114" s="155">
        <f t="shared" si="8"/>
        <v>2.8800000000000003</v>
      </c>
      <c r="AB114" s="98">
        <f t="shared" si="8"/>
        <v>2.8800000000000003</v>
      </c>
      <c r="AC114"/>
      <c r="AD114" s="97">
        <v>0</v>
      </c>
      <c r="AE114" s="92">
        <v>0</v>
      </c>
      <c r="AF114" s="98">
        <f t="shared" si="6"/>
        <v>0</v>
      </c>
      <c r="AG114" s="97">
        <v>0</v>
      </c>
      <c r="AH114" s="92">
        <v>0</v>
      </c>
      <c r="AI114" s="98">
        <f t="shared" si="7"/>
        <v>0</v>
      </c>
      <c r="AJ114" s="99">
        <f t="shared" si="5"/>
        <v>0</v>
      </c>
      <c r="AK114" s="102" t="str">
        <f>+IF(AB114+AA114+AJ114&lt;=0, "NO COMPRADOR", +IF(AJ114&lt;=0, "SIN COMPRA "&amp;+UPPER(TEXT('DINAMICA ENERO 26'!$C$2,"mmm 'yy")), "COMPRADOR"))</f>
        <v>SIN COMPRA FEB '26</v>
      </c>
      <c r="AM114" s="101"/>
      <c r="AQ114" s="100" t="e">
        <f>+VLOOKUP(AO114,Veggies!X:Y,2,FALSE)</f>
        <v>#N/A</v>
      </c>
    </row>
    <row r="115" spans="1:43" s="100" customFormat="1" hidden="1">
      <c r="A115" s="88" t="s">
        <v>85</v>
      </c>
      <c r="B115" s="89" t="s">
        <v>204</v>
      </c>
      <c r="C115" s="89" t="s">
        <v>52</v>
      </c>
      <c r="D115" s="103">
        <v>100089701</v>
      </c>
      <c r="E115" s="89" t="s">
        <v>58</v>
      </c>
      <c r="F115" s="89">
        <v>100082346</v>
      </c>
      <c r="G115" s="128" t="s">
        <v>205</v>
      </c>
      <c r="H115"/>
      <c r="I115"/>
      <c r="J115"/>
      <c r="K115"/>
      <c r="L115"/>
      <c r="M115"/>
      <c r="N115"/>
      <c r="O115"/>
      <c r="P115"/>
      <c r="Q115"/>
      <c r="R115"/>
      <c r="S115" s="91">
        <v>129.60000000000002</v>
      </c>
      <c r="T115" s="94">
        <v>129.60000000000002</v>
      </c>
      <c r="U115" s="91">
        <v>64.800000000000011</v>
      </c>
      <c r="V115" s="129">
        <v>64.800000000000011</v>
      </c>
      <c r="W115" s="91">
        <v>43.2</v>
      </c>
      <c r="X115" s="129">
        <v>43.2</v>
      </c>
      <c r="Y115" s="91">
        <v>32.400000000000006</v>
      </c>
      <c r="Z115" s="129">
        <v>32.400000000000006</v>
      </c>
      <c r="AA115" s="155">
        <f t="shared" si="8"/>
        <v>46.800000000000011</v>
      </c>
      <c r="AB115" s="98">
        <f t="shared" si="8"/>
        <v>46.800000000000011</v>
      </c>
      <c r="AC115"/>
      <c r="AD115" s="97">
        <v>0</v>
      </c>
      <c r="AE115" s="92">
        <v>0</v>
      </c>
      <c r="AF115" s="98">
        <f t="shared" si="6"/>
        <v>0</v>
      </c>
      <c r="AG115" s="97">
        <v>0</v>
      </c>
      <c r="AH115" s="92">
        <v>0</v>
      </c>
      <c r="AI115" s="98">
        <f t="shared" si="7"/>
        <v>0</v>
      </c>
      <c r="AJ115" s="99">
        <f t="shared" si="5"/>
        <v>0</v>
      </c>
      <c r="AK115" s="102" t="str">
        <f>+IF(AB115+AA115+AJ115&lt;=0, "NO COMPRADOR", +IF(AJ115&lt;=0, "SIN COMPRA "&amp;+UPPER(TEXT('DINAMICA ENERO 26'!$C$2,"mmm 'yy")), "COMPRADOR"))</f>
        <v>SIN COMPRA FEB '26</v>
      </c>
      <c r="AM115" s="101"/>
    </row>
    <row r="116" spans="1:43" s="100" customFormat="1" hidden="1">
      <c r="A116" s="88" t="s">
        <v>85</v>
      </c>
      <c r="B116" s="89" t="s">
        <v>204</v>
      </c>
      <c r="C116" s="89" t="s">
        <v>52</v>
      </c>
      <c r="D116" s="103">
        <v>100089701</v>
      </c>
      <c r="E116" s="89" t="s">
        <v>58</v>
      </c>
      <c r="F116" s="89">
        <v>100009863</v>
      </c>
      <c r="G116" s="128" t="s">
        <v>206</v>
      </c>
      <c r="H116"/>
      <c r="I116"/>
      <c r="J116"/>
      <c r="K116"/>
      <c r="L116"/>
      <c r="M116"/>
      <c r="N116"/>
      <c r="O116"/>
      <c r="P116"/>
      <c r="Q116"/>
      <c r="R116"/>
      <c r="S116" s="91">
        <v>0</v>
      </c>
      <c r="T116" s="94">
        <v>0</v>
      </c>
      <c r="U116" s="91">
        <v>2.16</v>
      </c>
      <c r="V116" s="129">
        <v>2.16</v>
      </c>
      <c r="W116" s="91">
        <v>0</v>
      </c>
      <c r="X116" s="129">
        <v>0</v>
      </c>
      <c r="Y116" s="91">
        <v>0</v>
      </c>
      <c r="Z116" s="129">
        <v>0</v>
      </c>
      <c r="AA116" s="155">
        <f t="shared" si="8"/>
        <v>0.72000000000000008</v>
      </c>
      <c r="AB116" s="98">
        <f t="shared" si="8"/>
        <v>0.72000000000000008</v>
      </c>
      <c r="AC116"/>
      <c r="AD116" s="97">
        <v>0</v>
      </c>
      <c r="AE116" s="92">
        <v>0</v>
      </c>
      <c r="AF116" s="98">
        <f t="shared" si="6"/>
        <v>0</v>
      </c>
      <c r="AG116" s="97">
        <v>0</v>
      </c>
      <c r="AH116" s="92">
        <v>0</v>
      </c>
      <c r="AI116" s="98">
        <f t="shared" si="7"/>
        <v>0</v>
      </c>
      <c r="AJ116" s="99">
        <f t="shared" si="5"/>
        <v>0</v>
      </c>
      <c r="AK116" s="102" t="str">
        <f>+IF(AB116+AA116+AJ116&lt;=0, "NO COMPRADOR", +IF(AJ116&lt;=0, "SIN COMPRA "&amp;+UPPER(TEXT('DINAMICA ENERO 26'!$C$2,"mmm 'yy")), "COMPRADOR"))</f>
        <v>SIN COMPRA FEB '26</v>
      </c>
      <c r="AM116" s="101"/>
    </row>
    <row r="117" spans="1:43" s="104" customFormat="1" hidden="1">
      <c r="A117" s="88" t="s">
        <v>85</v>
      </c>
      <c r="B117" s="89" t="s">
        <v>204</v>
      </c>
      <c r="C117" s="89" t="s">
        <v>52</v>
      </c>
      <c r="D117" s="103">
        <v>100089701</v>
      </c>
      <c r="E117" s="89" t="s">
        <v>58</v>
      </c>
      <c r="F117" s="89">
        <v>100080357</v>
      </c>
      <c r="G117" s="128" t="s">
        <v>207</v>
      </c>
      <c r="H117"/>
      <c r="I117"/>
      <c r="J117"/>
      <c r="K117"/>
      <c r="L117"/>
      <c r="M117"/>
      <c r="N117"/>
      <c r="O117"/>
      <c r="P117"/>
      <c r="Q117"/>
      <c r="R117"/>
      <c r="S117" s="91">
        <v>23.76</v>
      </c>
      <c r="T117" s="94">
        <v>19.440000000000001</v>
      </c>
      <c r="U117" s="91">
        <v>10.8</v>
      </c>
      <c r="V117" s="129">
        <v>12.96</v>
      </c>
      <c r="W117" s="91">
        <v>6.48</v>
      </c>
      <c r="X117" s="129">
        <v>4.32</v>
      </c>
      <c r="Y117" s="91">
        <v>0</v>
      </c>
      <c r="Z117" s="129">
        <v>0</v>
      </c>
      <c r="AA117" s="155">
        <f t="shared" si="8"/>
        <v>5.7600000000000007</v>
      </c>
      <c r="AB117" s="98">
        <f t="shared" si="8"/>
        <v>5.7600000000000007</v>
      </c>
      <c r="AC117"/>
      <c r="AD117" s="97">
        <v>0</v>
      </c>
      <c r="AE117" s="92">
        <v>0</v>
      </c>
      <c r="AF117" s="98">
        <f t="shared" si="6"/>
        <v>0</v>
      </c>
      <c r="AG117" s="97">
        <v>2.16</v>
      </c>
      <c r="AH117" s="92">
        <v>0</v>
      </c>
      <c r="AI117" s="98">
        <f t="shared" si="7"/>
        <v>2.16</v>
      </c>
      <c r="AJ117" s="99">
        <f t="shared" si="5"/>
        <v>2.16</v>
      </c>
      <c r="AK117" s="102" t="str">
        <f>+IF(AB117+AA117+AJ117&lt;=0, "NO COMPRADOR", +IF(AJ117&lt;=0, "SIN COMPRA "&amp;+UPPER(TEXT('DINAMICA ENERO 26'!$C$2,"mmm 'yy")), "COMPRADOR"))</f>
        <v>COMPRADOR</v>
      </c>
      <c r="AL117" s="100"/>
      <c r="AM117" s="101"/>
      <c r="AN117" s="100"/>
      <c r="AO117" s="100"/>
      <c r="AP117" s="100"/>
    </row>
    <row r="118" spans="1:43" s="100" customFormat="1" hidden="1">
      <c r="A118" s="88" t="s">
        <v>85</v>
      </c>
      <c r="B118" s="89" t="s">
        <v>204</v>
      </c>
      <c r="C118" s="89" t="s">
        <v>52</v>
      </c>
      <c r="D118" s="103">
        <v>100089701</v>
      </c>
      <c r="E118" s="89" t="s">
        <v>58</v>
      </c>
      <c r="F118" s="89">
        <v>100046307</v>
      </c>
      <c r="G118" s="128" t="s">
        <v>208</v>
      </c>
      <c r="H118"/>
      <c r="I118"/>
      <c r="J118"/>
      <c r="K118"/>
      <c r="L118"/>
      <c r="M118"/>
      <c r="N118"/>
      <c r="O118"/>
      <c r="P118"/>
      <c r="Q118"/>
      <c r="R118"/>
      <c r="S118" s="91">
        <v>43.2</v>
      </c>
      <c r="T118" s="94">
        <v>43.2</v>
      </c>
      <c r="U118" s="91">
        <v>2.16</v>
      </c>
      <c r="V118" s="129">
        <v>2.16</v>
      </c>
      <c r="W118" s="91">
        <v>0</v>
      </c>
      <c r="X118" s="129">
        <v>4.32</v>
      </c>
      <c r="Y118" s="91">
        <v>10.8</v>
      </c>
      <c r="Z118" s="129">
        <v>10.8</v>
      </c>
      <c r="AA118" s="155">
        <f t="shared" si="8"/>
        <v>4.32</v>
      </c>
      <c r="AB118" s="98">
        <f t="shared" si="8"/>
        <v>5.7600000000000007</v>
      </c>
      <c r="AC118"/>
      <c r="AD118" s="97">
        <v>21.6</v>
      </c>
      <c r="AE118" s="92">
        <v>0</v>
      </c>
      <c r="AF118" s="98">
        <f t="shared" si="6"/>
        <v>21.6</v>
      </c>
      <c r="AG118" s="97">
        <v>30.240000000000002</v>
      </c>
      <c r="AH118" s="92">
        <v>0</v>
      </c>
      <c r="AI118" s="98">
        <f t="shared" si="7"/>
        <v>30.240000000000002</v>
      </c>
      <c r="AJ118" s="99">
        <f t="shared" si="5"/>
        <v>51.84</v>
      </c>
      <c r="AK118" s="102" t="str">
        <f>+IF(AB118+AA118+AJ118&lt;=0, "NO COMPRADOR", +IF(AJ118&lt;=0, "SIN COMPRA "&amp;+UPPER(TEXT('DINAMICA ENERO 26'!$C$2,"mmm 'yy")), "COMPRADOR"))</f>
        <v>COMPRADOR</v>
      </c>
      <c r="AM118" s="101"/>
    </row>
    <row r="119" spans="1:43" s="104" customFormat="1" hidden="1">
      <c r="A119" s="88" t="s">
        <v>85</v>
      </c>
      <c r="B119" s="89" t="s">
        <v>204</v>
      </c>
      <c r="C119" s="89" t="s">
        <v>52</v>
      </c>
      <c r="D119" s="103">
        <v>100089701</v>
      </c>
      <c r="E119" s="89" t="s">
        <v>58</v>
      </c>
      <c r="F119" s="89">
        <v>100087065</v>
      </c>
      <c r="G119" s="128" t="s">
        <v>209</v>
      </c>
      <c r="H119"/>
      <c r="I119"/>
      <c r="J119"/>
      <c r="K119"/>
      <c r="L119"/>
      <c r="M119"/>
      <c r="N119"/>
      <c r="O119"/>
      <c r="P119"/>
      <c r="Q119"/>
      <c r="R119"/>
      <c r="S119" s="91">
        <v>2.16</v>
      </c>
      <c r="T119" s="94">
        <v>0</v>
      </c>
      <c r="U119" s="91">
        <v>38.880000000000003</v>
      </c>
      <c r="V119" s="129">
        <v>0</v>
      </c>
      <c r="W119" s="91">
        <v>2.16</v>
      </c>
      <c r="X119" s="129">
        <v>0</v>
      </c>
      <c r="Y119" s="91">
        <v>0</v>
      </c>
      <c r="Z119" s="129">
        <v>0</v>
      </c>
      <c r="AA119" s="155">
        <f t="shared" si="8"/>
        <v>13.680000000000001</v>
      </c>
      <c r="AB119" s="98">
        <f t="shared" si="8"/>
        <v>0</v>
      </c>
      <c r="AC119"/>
      <c r="AD119" s="97">
        <v>0</v>
      </c>
      <c r="AE119" s="92">
        <v>0</v>
      </c>
      <c r="AF119" s="98">
        <f t="shared" si="6"/>
        <v>0</v>
      </c>
      <c r="AG119" s="97">
        <v>0</v>
      </c>
      <c r="AH119" s="92">
        <v>0</v>
      </c>
      <c r="AI119" s="98">
        <f t="shared" si="7"/>
        <v>0</v>
      </c>
      <c r="AJ119" s="99">
        <f t="shared" si="5"/>
        <v>0</v>
      </c>
      <c r="AK119" s="102" t="str">
        <f>+IF(AB119+AA119+AJ119&lt;=0, "NO COMPRADOR", +IF(AJ119&lt;=0, "SIN COMPRA "&amp;+UPPER(TEXT('DINAMICA ENERO 26'!$C$2,"mmm 'yy")), "COMPRADOR"))</f>
        <v>SIN COMPRA FEB '26</v>
      </c>
      <c r="AL119" s="100"/>
      <c r="AM119" s="101"/>
      <c r="AN119" s="100"/>
      <c r="AO119" s="100"/>
      <c r="AP119" s="100"/>
    </row>
    <row r="120" spans="1:43" s="104" customFormat="1" hidden="1">
      <c r="A120" s="88" t="s">
        <v>85</v>
      </c>
      <c r="B120" s="89" t="s">
        <v>204</v>
      </c>
      <c r="C120" s="89" t="s">
        <v>52</v>
      </c>
      <c r="D120" s="103">
        <v>100089701</v>
      </c>
      <c r="E120" s="89" t="s">
        <v>58</v>
      </c>
      <c r="F120" s="89">
        <v>100087742</v>
      </c>
      <c r="G120" s="128" t="s">
        <v>210</v>
      </c>
      <c r="H120"/>
      <c r="I120"/>
      <c r="J120"/>
      <c r="K120"/>
      <c r="L120"/>
      <c r="M120"/>
      <c r="N120"/>
      <c r="O120"/>
      <c r="P120"/>
      <c r="Q120"/>
      <c r="R120"/>
      <c r="S120" s="91">
        <v>0</v>
      </c>
      <c r="T120" s="94">
        <v>0</v>
      </c>
      <c r="U120" s="91">
        <v>0</v>
      </c>
      <c r="V120" s="129">
        <v>0</v>
      </c>
      <c r="W120" s="91">
        <v>0</v>
      </c>
      <c r="X120" s="129">
        <v>0</v>
      </c>
      <c r="Y120" s="91">
        <v>0</v>
      </c>
      <c r="Z120" s="129">
        <v>0</v>
      </c>
      <c r="AA120" s="155">
        <f t="shared" si="8"/>
        <v>0</v>
      </c>
      <c r="AB120" s="98">
        <f t="shared" si="8"/>
        <v>0</v>
      </c>
      <c r="AC120"/>
      <c r="AD120" s="97">
        <v>0</v>
      </c>
      <c r="AE120" s="92">
        <v>0</v>
      </c>
      <c r="AF120" s="98">
        <f t="shared" si="6"/>
        <v>0</v>
      </c>
      <c r="AG120" s="97">
        <v>0</v>
      </c>
      <c r="AH120" s="92">
        <v>0</v>
      </c>
      <c r="AI120" s="98">
        <f t="shared" si="7"/>
        <v>0</v>
      </c>
      <c r="AJ120" s="99">
        <f t="shared" si="5"/>
        <v>0</v>
      </c>
      <c r="AK120" s="102" t="str">
        <f>+IF(AB120+AA120+AJ120&lt;=0, "NO COMPRADOR", +IF(AJ120&lt;=0, "SIN COMPRA "&amp;+UPPER(TEXT('DINAMICA ENERO 26'!$C$2,"mmm 'yy")), "COMPRADOR"))</f>
        <v>NO COMPRADOR</v>
      </c>
      <c r="AL120" s="100"/>
      <c r="AM120" s="101"/>
      <c r="AN120" s="100"/>
      <c r="AO120" s="100"/>
      <c r="AP120" s="100"/>
    </row>
    <row r="121" spans="1:43" s="104" customFormat="1" hidden="1">
      <c r="A121" s="88" t="s">
        <v>85</v>
      </c>
      <c r="B121" s="89" t="s">
        <v>204</v>
      </c>
      <c r="C121" s="89" t="s">
        <v>52</v>
      </c>
      <c r="D121" s="103">
        <v>100089701</v>
      </c>
      <c r="E121" s="89" t="s">
        <v>58</v>
      </c>
      <c r="F121" s="89">
        <v>100087748</v>
      </c>
      <c r="G121" s="128" t="s">
        <v>211</v>
      </c>
      <c r="H121"/>
      <c r="I121"/>
      <c r="J121"/>
      <c r="K121"/>
      <c r="L121"/>
      <c r="M121"/>
      <c r="N121"/>
      <c r="O121"/>
      <c r="P121"/>
      <c r="Q121"/>
      <c r="R121"/>
      <c r="S121" s="91">
        <v>0</v>
      </c>
      <c r="T121" s="94">
        <v>0</v>
      </c>
      <c r="U121" s="91">
        <v>0</v>
      </c>
      <c r="V121" s="129">
        <v>0</v>
      </c>
      <c r="W121" s="91">
        <v>0</v>
      </c>
      <c r="X121" s="129">
        <v>0</v>
      </c>
      <c r="Y121" s="91">
        <v>0</v>
      </c>
      <c r="Z121" s="129">
        <v>0</v>
      </c>
      <c r="AA121" s="155">
        <f t="shared" si="8"/>
        <v>0</v>
      </c>
      <c r="AB121" s="98">
        <f t="shared" si="8"/>
        <v>0</v>
      </c>
      <c r="AC121"/>
      <c r="AD121" s="97">
        <v>0</v>
      </c>
      <c r="AE121" s="92">
        <v>0</v>
      </c>
      <c r="AF121" s="98">
        <f t="shared" si="6"/>
        <v>0</v>
      </c>
      <c r="AG121" s="97">
        <v>0</v>
      </c>
      <c r="AH121" s="92">
        <v>0</v>
      </c>
      <c r="AI121" s="98">
        <f t="shared" si="7"/>
        <v>0</v>
      </c>
      <c r="AJ121" s="99">
        <f t="shared" si="5"/>
        <v>0</v>
      </c>
      <c r="AK121" s="102" t="str">
        <f>+IF(AB121+AA121+AJ121&lt;=0, "NO COMPRADOR", +IF(AJ121&lt;=0, "SIN COMPRA "&amp;+UPPER(TEXT('DINAMICA ENERO 26'!$C$2,"mmm 'yy")), "COMPRADOR"))</f>
        <v>NO COMPRADOR</v>
      </c>
      <c r="AL121" s="100"/>
      <c r="AM121" s="101"/>
      <c r="AN121" s="100"/>
      <c r="AO121" s="100"/>
      <c r="AP121" s="100"/>
    </row>
    <row r="122" spans="1:43" s="104" customFormat="1" hidden="1">
      <c r="A122" s="88" t="s">
        <v>85</v>
      </c>
      <c r="B122" s="89" t="s">
        <v>204</v>
      </c>
      <c r="C122" s="89" t="s">
        <v>52</v>
      </c>
      <c r="D122" s="103">
        <v>100089701</v>
      </c>
      <c r="E122" s="89" t="s">
        <v>58</v>
      </c>
      <c r="F122" s="89">
        <v>100022260</v>
      </c>
      <c r="G122" s="128" t="s">
        <v>212</v>
      </c>
      <c r="H122"/>
      <c r="I122"/>
      <c r="J122"/>
      <c r="K122"/>
      <c r="L122"/>
      <c r="M122"/>
      <c r="N122"/>
      <c r="O122"/>
      <c r="P122"/>
      <c r="Q122"/>
      <c r="R122"/>
      <c r="S122" s="91">
        <v>2.16</v>
      </c>
      <c r="T122" s="94">
        <v>0</v>
      </c>
      <c r="U122" s="91">
        <v>2.16</v>
      </c>
      <c r="V122" s="129">
        <v>2.16</v>
      </c>
      <c r="W122" s="91">
        <v>2.16</v>
      </c>
      <c r="X122" s="129">
        <v>2.16</v>
      </c>
      <c r="Y122" s="91">
        <v>0</v>
      </c>
      <c r="Z122" s="129">
        <v>0</v>
      </c>
      <c r="AA122" s="155">
        <f t="shared" si="8"/>
        <v>1.4400000000000002</v>
      </c>
      <c r="AB122" s="98">
        <f t="shared" si="8"/>
        <v>1.4400000000000002</v>
      </c>
      <c r="AC122"/>
      <c r="AD122" s="97">
        <v>0</v>
      </c>
      <c r="AE122" s="92">
        <v>0</v>
      </c>
      <c r="AF122" s="98">
        <f t="shared" si="6"/>
        <v>0</v>
      </c>
      <c r="AG122" s="97">
        <v>0</v>
      </c>
      <c r="AH122" s="92">
        <v>0</v>
      </c>
      <c r="AI122" s="98">
        <f t="shared" si="7"/>
        <v>0</v>
      </c>
      <c r="AJ122" s="99">
        <f t="shared" si="5"/>
        <v>0</v>
      </c>
      <c r="AK122" s="102" t="str">
        <f>+IF(AB122+AA122+AJ122&lt;=0, "NO COMPRADOR", +IF(AJ122&lt;=0, "SIN COMPRA "&amp;+UPPER(TEXT('DINAMICA ENERO 26'!$C$2,"mmm 'yy")), "COMPRADOR"))</f>
        <v>SIN COMPRA FEB '26</v>
      </c>
      <c r="AL122" s="100"/>
      <c r="AM122" s="101"/>
      <c r="AN122" s="100"/>
      <c r="AO122" s="100"/>
      <c r="AP122" s="100"/>
    </row>
    <row r="123" spans="1:43" s="104" customFormat="1" hidden="1">
      <c r="A123" s="88" t="s">
        <v>85</v>
      </c>
      <c r="B123" s="89" t="s">
        <v>204</v>
      </c>
      <c r="C123" s="89" t="s">
        <v>52</v>
      </c>
      <c r="D123" s="103">
        <v>100089701</v>
      </c>
      <c r="E123" s="89" t="s">
        <v>58</v>
      </c>
      <c r="F123" s="89">
        <v>100085159</v>
      </c>
      <c r="G123" s="128" t="s">
        <v>213</v>
      </c>
      <c r="H123"/>
      <c r="I123"/>
      <c r="J123"/>
      <c r="K123"/>
      <c r="L123"/>
      <c r="M123"/>
      <c r="N123"/>
      <c r="O123"/>
      <c r="P123"/>
      <c r="Q123"/>
      <c r="R123"/>
      <c r="S123" s="91">
        <v>0</v>
      </c>
      <c r="T123" s="94">
        <v>0</v>
      </c>
      <c r="U123" s="91">
        <v>2.16</v>
      </c>
      <c r="V123" s="129">
        <v>0</v>
      </c>
      <c r="W123" s="91">
        <v>0</v>
      </c>
      <c r="X123" s="129">
        <v>0</v>
      </c>
      <c r="Y123" s="91">
        <v>0</v>
      </c>
      <c r="Z123" s="129">
        <v>0</v>
      </c>
      <c r="AA123" s="155">
        <f t="shared" si="8"/>
        <v>0.72000000000000008</v>
      </c>
      <c r="AB123" s="98">
        <f t="shared" si="8"/>
        <v>0</v>
      </c>
      <c r="AC123"/>
      <c r="AD123" s="97">
        <v>0</v>
      </c>
      <c r="AE123" s="92">
        <v>0</v>
      </c>
      <c r="AF123" s="98">
        <f t="shared" si="6"/>
        <v>0</v>
      </c>
      <c r="AG123" s="97">
        <v>0</v>
      </c>
      <c r="AH123" s="92">
        <v>0</v>
      </c>
      <c r="AI123" s="98">
        <f t="shared" si="7"/>
        <v>0</v>
      </c>
      <c r="AJ123" s="99">
        <f t="shared" si="5"/>
        <v>0</v>
      </c>
      <c r="AK123" s="102" t="str">
        <f>+IF(AB123+AA123+AJ123&lt;=0, "NO COMPRADOR", +IF(AJ123&lt;=0, "SIN COMPRA "&amp;+UPPER(TEXT('DINAMICA ENERO 26'!$C$2,"mmm 'yy")), "COMPRADOR"))</f>
        <v>SIN COMPRA FEB '26</v>
      </c>
      <c r="AL123" s="100"/>
      <c r="AM123" s="101"/>
      <c r="AN123" s="100"/>
      <c r="AO123" s="100"/>
      <c r="AP123" s="100"/>
    </row>
    <row r="124" spans="1:43" s="104" customFormat="1" hidden="1">
      <c r="A124" s="88" t="s">
        <v>85</v>
      </c>
      <c r="B124" s="89" t="s">
        <v>204</v>
      </c>
      <c r="C124" s="89" t="s">
        <v>52</v>
      </c>
      <c r="D124" s="103">
        <v>100089701</v>
      </c>
      <c r="E124" s="89" t="s">
        <v>58</v>
      </c>
      <c r="F124" s="89">
        <v>100087283</v>
      </c>
      <c r="G124" s="128" t="s">
        <v>214</v>
      </c>
      <c r="H124"/>
      <c r="I124"/>
      <c r="J124"/>
      <c r="K124"/>
      <c r="L124"/>
      <c r="M124"/>
      <c r="N124"/>
      <c r="O124"/>
      <c r="P124"/>
      <c r="Q124"/>
      <c r="R124"/>
      <c r="S124" s="91">
        <v>0</v>
      </c>
      <c r="T124" s="94">
        <v>0</v>
      </c>
      <c r="U124" s="91">
        <v>0</v>
      </c>
      <c r="V124" s="129">
        <v>0</v>
      </c>
      <c r="W124" s="91">
        <v>0</v>
      </c>
      <c r="X124" s="129">
        <v>0</v>
      </c>
      <c r="Y124" s="91">
        <v>0</v>
      </c>
      <c r="Z124" s="129">
        <v>0</v>
      </c>
      <c r="AA124" s="155">
        <f t="shared" si="8"/>
        <v>0</v>
      </c>
      <c r="AB124" s="98">
        <f t="shared" si="8"/>
        <v>0</v>
      </c>
      <c r="AC124"/>
      <c r="AD124" s="97">
        <v>0</v>
      </c>
      <c r="AE124" s="92">
        <v>0</v>
      </c>
      <c r="AF124" s="98">
        <f t="shared" si="6"/>
        <v>0</v>
      </c>
      <c r="AG124" s="97">
        <v>0</v>
      </c>
      <c r="AH124" s="92">
        <v>0</v>
      </c>
      <c r="AI124" s="98">
        <f t="shared" si="7"/>
        <v>0</v>
      </c>
      <c r="AJ124" s="99">
        <f t="shared" si="5"/>
        <v>0</v>
      </c>
      <c r="AK124" s="102" t="str">
        <f>+IF(AB124+AA124+AJ124&lt;=0, "NO COMPRADOR", +IF(AJ124&lt;=0, "SIN COMPRA "&amp;+UPPER(TEXT('DINAMICA ENERO 26'!$C$2,"mmm 'yy")), "COMPRADOR"))</f>
        <v>NO COMPRADOR</v>
      </c>
      <c r="AL124" s="100"/>
      <c r="AM124" s="101"/>
      <c r="AN124" s="100"/>
      <c r="AO124" s="100"/>
      <c r="AP124" s="100"/>
    </row>
    <row r="125" spans="1:43" s="104" customFormat="1" hidden="1">
      <c r="A125" s="88" t="s">
        <v>85</v>
      </c>
      <c r="B125" s="89" t="s">
        <v>204</v>
      </c>
      <c r="C125" s="89" t="s">
        <v>52</v>
      </c>
      <c r="D125" s="103">
        <v>100089701</v>
      </c>
      <c r="E125" s="89" t="s">
        <v>58</v>
      </c>
      <c r="F125" s="89">
        <v>100001601</v>
      </c>
      <c r="G125" s="128" t="s">
        <v>215</v>
      </c>
      <c r="H125"/>
      <c r="I125"/>
      <c r="J125"/>
      <c r="K125"/>
      <c r="L125"/>
      <c r="M125"/>
      <c r="N125"/>
      <c r="O125"/>
      <c r="P125"/>
      <c r="Q125"/>
      <c r="R125"/>
      <c r="S125" s="91">
        <v>0</v>
      </c>
      <c r="T125" s="94">
        <v>0</v>
      </c>
      <c r="U125" s="91">
        <v>0</v>
      </c>
      <c r="V125" s="129">
        <v>0</v>
      </c>
      <c r="W125" s="91">
        <v>0</v>
      </c>
      <c r="X125" s="129">
        <v>0</v>
      </c>
      <c r="Y125" s="91">
        <v>0</v>
      </c>
      <c r="Z125" s="129">
        <v>0</v>
      </c>
      <c r="AA125" s="155">
        <f t="shared" si="8"/>
        <v>0</v>
      </c>
      <c r="AB125" s="98">
        <f t="shared" si="8"/>
        <v>0</v>
      </c>
      <c r="AC125"/>
      <c r="AD125" s="97">
        <v>0</v>
      </c>
      <c r="AE125" s="92">
        <v>0</v>
      </c>
      <c r="AF125" s="98">
        <f t="shared" si="6"/>
        <v>0</v>
      </c>
      <c r="AG125" s="97">
        <v>0</v>
      </c>
      <c r="AH125" s="92">
        <v>0</v>
      </c>
      <c r="AI125" s="98">
        <f t="shared" si="7"/>
        <v>0</v>
      </c>
      <c r="AJ125" s="99">
        <f t="shared" si="5"/>
        <v>0</v>
      </c>
      <c r="AK125" s="102" t="str">
        <f>+IF(AB125+AA125+AJ125&lt;=0, "NO COMPRADOR", +IF(AJ125&lt;=0, "SIN COMPRA "&amp;+UPPER(TEXT('DINAMICA ENERO 26'!$C$2,"mmm 'yy")), "COMPRADOR"))</f>
        <v>NO COMPRADOR</v>
      </c>
      <c r="AL125" s="100"/>
      <c r="AM125" s="101"/>
      <c r="AN125" s="100"/>
      <c r="AO125" s="100"/>
      <c r="AP125" s="100"/>
    </row>
    <row r="126" spans="1:43" s="104" customFormat="1" hidden="1">
      <c r="A126" s="88" t="s">
        <v>85</v>
      </c>
      <c r="B126" s="89" t="s">
        <v>204</v>
      </c>
      <c r="C126" s="89" t="s">
        <v>52</v>
      </c>
      <c r="D126" s="103">
        <v>100089701</v>
      </c>
      <c r="E126" s="89" t="s">
        <v>58</v>
      </c>
      <c r="F126" s="89">
        <v>100081880</v>
      </c>
      <c r="G126" s="128" t="s">
        <v>216</v>
      </c>
      <c r="H126"/>
      <c r="I126"/>
      <c r="J126"/>
      <c r="K126"/>
      <c r="L126"/>
      <c r="M126"/>
      <c r="N126"/>
      <c r="O126"/>
      <c r="P126"/>
      <c r="Q126"/>
      <c r="R126"/>
      <c r="S126" s="91">
        <v>0</v>
      </c>
      <c r="T126" s="94">
        <v>0</v>
      </c>
      <c r="U126" s="91">
        <v>2.16</v>
      </c>
      <c r="V126" s="129">
        <v>0</v>
      </c>
      <c r="W126" s="91">
        <v>2.16</v>
      </c>
      <c r="X126" s="129">
        <v>2.16</v>
      </c>
      <c r="Y126" s="91">
        <v>0</v>
      </c>
      <c r="Z126" s="129">
        <v>0</v>
      </c>
      <c r="AA126" s="155">
        <f t="shared" si="8"/>
        <v>1.4400000000000002</v>
      </c>
      <c r="AB126" s="98">
        <f t="shared" si="8"/>
        <v>0.72000000000000008</v>
      </c>
      <c r="AC126"/>
      <c r="AD126" s="97">
        <v>0</v>
      </c>
      <c r="AE126" s="92">
        <v>0</v>
      </c>
      <c r="AF126" s="98">
        <f t="shared" si="6"/>
        <v>0</v>
      </c>
      <c r="AG126" s="97">
        <v>0</v>
      </c>
      <c r="AH126" s="92">
        <v>0</v>
      </c>
      <c r="AI126" s="98">
        <f t="shared" si="7"/>
        <v>0</v>
      </c>
      <c r="AJ126" s="99">
        <f t="shared" si="5"/>
        <v>0</v>
      </c>
      <c r="AK126" s="102" t="str">
        <f>+IF(AB126+AA126+AJ126&lt;=0, "NO COMPRADOR", +IF(AJ126&lt;=0, "SIN COMPRA "&amp;+UPPER(TEXT('DINAMICA ENERO 26'!$C$2,"mmm 'yy")), "COMPRADOR"))</f>
        <v>SIN COMPRA FEB '26</v>
      </c>
      <c r="AL126" s="100"/>
      <c r="AM126" s="101"/>
      <c r="AN126" s="100"/>
      <c r="AO126" s="100"/>
      <c r="AP126" s="100"/>
    </row>
    <row r="127" spans="1:43" s="104" customFormat="1" hidden="1">
      <c r="A127" s="88" t="s">
        <v>85</v>
      </c>
      <c r="B127" s="89" t="s">
        <v>204</v>
      </c>
      <c r="C127" s="89" t="s">
        <v>52</v>
      </c>
      <c r="D127" s="103">
        <v>100089701</v>
      </c>
      <c r="E127" s="89" t="s">
        <v>58</v>
      </c>
      <c r="F127" s="89">
        <v>100083522</v>
      </c>
      <c r="G127" s="128" t="s">
        <v>217</v>
      </c>
      <c r="H127"/>
      <c r="I127"/>
      <c r="J127"/>
      <c r="K127"/>
      <c r="L127"/>
      <c r="M127"/>
      <c r="N127"/>
      <c r="O127"/>
      <c r="P127"/>
      <c r="Q127"/>
      <c r="R127"/>
      <c r="S127" s="91">
        <v>66.960000000000008</v>
      </c>
      <c r="T127" s="94">
        <v>56.160000000000004</v>
      </c>
      <c r="U127" s="91">
        <v>2.16</v>
      </c>
      <c r="V127" s="129">
        <v>2.16</v>
      </c>
      <c r="W127" s="91">
        <v>12.96</v>
      </c>
      <c r="X127" s="129">
        <v>2.16</v>
      </c>
      <c r="Y127" s="91">
        <v>10.8</v>
      </c>
      <c r="Z127" s="129">
        <v>0</v>
      </c>
      <c r="AA127" s="155">
        <f t="shared" si="8"/>
        <v>8.64</v>
      </c>
      <c r="AB127" s="98">
        <f t="shared" si="8"/>
        <v>1.4400000000000002</v>
      </c>
      <c r="AC127"/>
      <c r="AD127" s="97">
        <v>0</v>
      </c>
      <c r="AE127" s="92">
        <v>0</v>
      </c>
      <c r="AF127" s="98">
        <f t="shared" si="6"/>
        <v>0</v>
      </c>
      <c r="AG127" s="97">
        <v>0</v>
      </c>
      <c r="AH127" s="92">
        <v>0</v>
      </c>
      <c r="AI127" s="98">
        <f t="shared" si="7"/>
        <v>0</v>
      </c>
      <c r="AJ127" s="99">
        <f t="shared" si="5"/>
        <v>0</v>
      </c>
      <c r="AK127" s="102" t="str">
        <f>+IF(AB127+AA127+AJ127&lt;=0, "NO COMPRADOR", +IF(AJ127&lt;=0, "SIN COMPRA "&amp;+UPPER(TEXT('DINAMICA ENERO 26'!$C$2,"mmm 'yy")), "COMPRADOR"))</f>
        <v>SIN COMPRA FEB '26</v>
      </c>
      <c r="AL127" s="100"/>
      <c r="AM127" s="101"/>
      <c r="AN127" s="100"/>
      <c r="AO127" s="100"/>
      <c r="AP127" s="100"/>
      <c r="AQ127" s="100" t="e">
        <f>+VLOOKUP(AO127,Veggies!X:Y,2,FALSE)</f>
        <v>#N/A</v>
      </c>
    </row>
    <row r="128" spans="1:43" s="104" customFormat="1" hidden="1">
      <c r="A128" s="88" t="s">
        <v>85</v>
      </c>
      <c r="B128" s="89" t="s">
        <v>204</v>
      </c>
      <c r="C128" s="89" t="s">
        <v>52</v>
      </c>
      <c r="D128" s="103">
        <v>100089701</v>
      </c>
      <c r="E128" s="89" t="s">
        <v>58</v>
      </c>
      <c r="F128" s="89">
        <v>100073281</v>
      </c>
      <c r="G128" s="128" t="s">
        <v>218</v>
      </c>
      <c r="H128"/>
      <c r="I128"/>
      <c r="J128"/>
      <c r="K128"/>
      <c r="L128"/>
      <c r="M128"/>
      <c r="N128"/>
      <c r="O128"/>
      <c r="P128"/>
      <c r="Q128"/>
      <c r="R128"/>
      <c r="S128" s="91">
        <v>0</v>
      </c>
      <c r="T128" s="94">
        <v>0</v>
      </c>
      <c r="U128" s="91">
        <v>43.2</v>
      </c>
      <c r="V128" s="129">
        <v>47.52</v>
      </c>
      <c r="W128" s="91">
        <v>2.16</v>
      </c>
      <c r="X128" s="129">
        <v>2.16</v>
      </c>
      <c r="Y128" s="91">
        <v>0</v>
      </c>
      <c r="Z128" s="129">
        <v>0</v>
      </c>
      <c r="AA128" s="155">
        <f t="shared" si="8"/>
        <v>15.12</v>
      </c>
      <c r="AB128" s="98">
        <f t="shared" si="8"/>
        <v>16.560000000000002</v>
      </c>
      <c r="AC128"/>
      <c r="AD128" s="97">
        <v>0</v>
      </c>
      <c r="AE128" s="92">
        <v>0</v>
      </c>
      <c r="AF128" s="98">
        <f t="shared" si="6"/>
        <v>0</v>
      </c>
      <c r="AG128" s="97">
        <v>0</v>
      </c>
      <c r="AH128" s="92">
        <v>0</v>
      </c>
      <c r="AI128" s="98">
        <f t="shared" si="7"/>
        <v>0</v>
      </c>
      <c r="AJ128" s="99">
        <f t="shared" si="5"/>
        <v>0</v>
      </c>
      <c r="AK128" s="102" t="str">
        <f>+IF(AB128+AA128+AJ128&lt;=0, "NO COMPRADOR", +IF(AJ128&lt;=0, "SIN COMPRA "&amp;+UPPER(TEXT('DINAMICA ENERO 26'!$C$2,"mmm 'yy")), "COMPRADOR"))</f>
        <v>SIN COMPRA FEB '26</v>
      </c>
      <c r="AL128" s="100"/>
      <c r="AM128" s="101"/>
      <c r="AN128" s="100"/>
      <c r="AO128" s="100"/>
      <c r="AP128" s="100"/>
    </row>
    <row r="129" spans="1:42" s="104" customFormat="1" hidden="1">
      <c r="A129" s="88" t="s">
        <v>85</v>
      </c>
      <c r="B129" s="89" t="s">
        <v>204</v>
      </c>
      <c r="C129" s="89" t="s">
        <v>52</v>
      </c>
      <c r="D129" s="103">
        <v>100089701</v>
      </c>
      <c r="E129" s="89" t="s">
        <v>58</v>
      </c>
      <c r="F129" s="89">
        <v>100051099</v>
      </c>
      <c r="G129" s="128" t="s">
        <v>219</v>
      </c>
      <c r="H129"/>
      <c r="I129"/>
      <c r="J129"/>
      <c r="K129"/>
      <c r="L129"/>
      <c r="M129"/>
      <c r="N129"/>
      <c r="O129"/>
      <c r="P129"/>
      <c r="Q129"/>
      <c r="R129"/>
      <c r="S129" s="91">
        <v>0</v>
      </c>
      <c r="T129" s="94">
        <v>0</v>
      </c>
      <c r="U129" s="91">
        <v>0</v>
      </c>
      <c r="V129" s="129">
        <v>0</v>
      </c>
      <c r="W129" s="91">
        <v>0</v>
      </c>
      <c r="X129" s="129">
        <v>0</v>
      </c>
      <c r="Y129" s="91">
        <v>0</v>
      </c>
      <c r="Z129" s="129">
        <v>0</v>
      </c>
      <c r="AA129" s="155">
        <f t="shared" si="8"/>
        <v>0</v>
      </c>
      <c r="AB129" s="98">
        <f t="shared" si="8"/>
        <v>0</v>
      </c>
      <c r="AC129"/>
      <c r="AD129" s="97">
        <v>0</v>
      </c>
      <c r="AE129" s="92">
        <v>0</v>
      </c>
      <c r="AF129" s="98">
        <f t="shared" si="6"/>
        <v>0</v>
      </c>
      <c r="AG129" s="97">
        <v>0</v>
      </c>
      <c r="AH129" s="92">
        <v>0</v>
      </c>
      <c r="AI129" s="98">
        <f t="shared" si="7"/>
        <v>0</v>
      </c>
      <c r="AJ129" s="99">
        <f t="shared" si="5"/>
        <v>0</v>
      </c>
      <c r="AK129" s="102" t="str">
        <f>+IF(AB129+AA129+AJ129&lt;=0, "NO COMPRADOR", +IF(AJ129&lt;=0, "SIN COMPRA "&amp;+UPPER(TEXT('DINAMICA ENERO 26'!$C$2,"mmm 'yy")), "COMPRADOR"))</f>
        <v>NO COMPRADOR</v>
      </c>
      <c r="AL129" s="100"/>
      <c r="AM129" s="101"/>
      <c r="AN129" s="100"/>
      <c r="AO129" s="100"/>
      <c r="AP129" s="100"/>
    </row>
    <row r="130" spans="1:42" s="104" customFormat="1" hidden="1">
      <c r="A130" s="88" t="s">
        <v>85</v>
      </c>
      <c r="B130" s="89" t="s">
        <v>204</v>
      </c>
      <c r="C130" s="89" t="s">
        <v>52</v>
      </c>
      <c r="D130" s="103">
        <v>100089701</v>
      </c>
      <c r="E130" s="89" t="s">
        <v>58</v>
      </c>
      <c r="F130" s="89">
        <v>100087844</v>
      </c>
      <c r="G130" s="128" t="s">
        <v>220</v>
      </c>
      <c r="H130"/>
      <c r="I130"/>
      <c r="J130"/>
      <c r="K130"/>
      <c r="L130"/>
      <c r="M130"/>
      <c r="N130"/>
      <c r="O130"/>
      <c r="P130"/>
      <c r="Q130"/>
      <c r="R130"/>
      <c r="S130" s="91">
        <v>0</v>
      </c>
      <c r="T130" s="94">
        <v>21.6</v>
      </c>
      <c r="U130" s="91">
        <v>10.8</v>
      </c>
      <c r="V130" s="129">
        <v>0</v>
      </c>
      <c r="W130" s="91">
        <v>0</v>
      </c>
      <c r="X130" s="129">
        <v>0</v>
      </c>
      <c r="Y130" s="91">
        <v>2.16</v>
      </c>
      <c r="Z130" s="129">
        <v>2.16</v>
      </c>
      <c r="AA130" s="155">
        <f t="shared" si="8"/>
        <v>4.32</v>
      </c>
      <c r="AB130" s="98">
        <f t="shared" si="8"/>
        <v>0.72000000000000008</v>
      </c>
      <c r="AC130"/>
      <c r="AD130" s="97">
        <v>0</v>
      </c>
      <c r="AE130" s="92">
        <v>0</v>
      </c>
      <c r="AF130" s="98">
        <f t="shared" si="6"/>
        <v>0</v>
      </c>
      <c r="AG130" s="97">
        <v>0</v>
      </c>
      <c r="AH130" s="92">
        <v>0</v>
      </c>
      <c r="AI130" s="98">
        <f t="shared" si="7"/>
        <v>0</v>
      </c>
      <c r="AJ130" s="99">
        <f t="shared" si="5"/>
        <v>0</v>
      </c>
      <c r="AK130" s="102" t="str">
        <f>+IF(AB130+AA130+AJ130&lt;=0, "NO COMPRADOR", +IF(AJ130&lt;=0, "SIN COMPRA "&amp;+UPPER(TEXT('DINAMICA ENERO 26'!$C$2,"mmm 'yy")), "COMPRADOR"))</f>
        <v>SIN COMPRA FEB '26</v>
      </c>
      <c r="AL130" s="100"/>
      <c r="AM130" s="101"/>
      <c r="AN130" s="100"/>
      <c r="AO130" s="100"/>
      <c r="AP130" s="100"/>
    </row>
    <row r="131" spans="1:42" s="104" customFormat="1" hidden="1">
      <c r="A131" s="88" t="s">
        <v>85</v>
      </c>
      <c r="B131" s="89" t="s">
        <v>204</v>
      </c>
      <c r="C131" s="89" t="s">
        <v>52</v>
      </c>
      <c r="D131" s="103">
        <v>100089701</v>
      </c>
      <c r="E131" s="89" t="s">
        <v>58</v>
      </c>
      <c r="F131" s="89">
        <v>100088156</v>
      </c>
      <c r="G131" s="128" t="s">
        <v>221</v>
      </c>
      <c r="H131"/>
      <c r="I131"/>
      <c r="J131"/>
      <c r="K131"/>
      <c r="L131"/>
      <c r="M131"/>
      <c r="N131"/>
      <c r="O131"/>
      <c r="P131"/>
      <c r="Q131"/>
      <c r="R131"/>
      <c r="S131" s="91">
        <v>4.32</v>
      </c>
      <c r="T131" s="94">
        <v>4.32</v>
      </c>
      <c r="U131" s="91">
        <v>6.48</v>
      </c>
      <c r="V131" s="129">
        <v>6.48</v>
      </c>
      <c r="W131" s="91">
        <v>0</v>
      </c>
      <c r="X131" s="129">
        <v>0</v>
      </c>
      <c r="Y131" s="91">
        <v>0</v>
      </c>
      <c r="Z131" s="129">
        <v>0</v>
      </c>
      <c r="AA131" s="155">
        <f t="shared" si="8"/>
        <v>2.16</v>
      </c>
      <c r="AB131" s="98">
        <f t="shared" si="8"/>
        <v>2.16</v>
      </c>
      <c r="AC131"/>
      <c r="AD131" s="97">
        <v>0</v>
      </c>
      <c r="AE131" s="92">
        <v>0</v>
      </c>
      <c r="AF131" s="98">
        <f t="shared" si="6"/>
        <v>0</v>
      </c>
      <c r="AG131" s="97">
        <v>0</v>
      </c>
      <c r="AH131" s="92">
        <v>0</v>
      </c>
      <c r="AI131" s="98">
        <f t="shared" si="7"/>
        <v>0</v>
      </c>
      <c r="AJ131" s="99">
        <f t="shared" ref="AJ131:AJ194" si="9">+AF131+AI131</f>
        <v>0</v>
      </c>
      <c r="AK131" s="102" t="str">
        <f>+IF(AB131+AA131+AJ131&lt;=0, "NO COMPRADOR", +IF(AJ131&lt;=0, "SIN COMPRA "&amp;+UPPER(TEXT('DINAMICA ENERO 26'!$C$2,"mmm 'yy")), "COMPRADOR"))</f>
        <v>SIN COMPRA FEB '26</v>
      </c>
      <c r="AL131" s="100"/>
      <c r="AM131" s="101"/>
      <c r="AN131" s="100"/>
      <c r="AO131" s="100"/>
      <c r="AP131" s="100"/>
    </row>
    <row r="132" spans="1:42" s="104" customFormat="1" hidden="1">
      <c r="A132" s="88" t="s">
        <v>85</v>
      </c>
      <c r="B132" s="89" t="s">
        <v>204</v>
      </c>
      <c r="C132" s="89" t="s">
        <v>52</v>
      </c>
      <c r="D132" s="103">
        <v>100089701</v>
      </c>
      <c r="E132" s="89" t="s">
        <v>58</v>
      </c>
      <c r="F132" s="89">
        <v>100088609</v>
      </c>
      <c r="G132" s="128" t="s">
        <v>222</v>
      </c>
      <c r="H132"/>
      <c r="I132"/>
      <c r="J132"/>
      <c r="K132"/>
      <c r="L132"/>
      <c r="M132"/>
      <c r="N132"/>
      <c r="O132"/>
      <c r="P132"/>
      <c r="Q132"/>
      <c r="R132"/>
      <c r="S132" s="91">
        <v>6.48</v>
      </c>
      <c r="T132" s="94">
        <v>6.48</v>
      </c>
      <c r="U132" s="91">
        <v>10.8</v>
      </c>
      <c r="V132" s="129">
        <v>10.8</v>
      </c>
      <c r="W132" s="91">
        <v>0</v>
      </c>
      <c r="X132" s="129">
        <v>2.16</v>
      </c>
      <c r="Y132" s="91">
        <v>0</v>
      </c>
      <c r="Z132" s="129">
        <v>0</v>
      </c>
      <c r="AA132" s="155">
        <f t="shared" si="8"/>
        <v>3.6</v>
      </c>
      <c r="AB132" s="98">
        <f t="shared" si="8"/>
        <v>4.32</v>
      </c>
      <c r="AC132"/>
      <c r="AD132" s="97">
        <v>0</v>
      </c>
      <c r="AE132" s="92">
        <v>0</v>
      </c>
      <c r="AF132" s="98">
        <f t="shared" ref="AF132:AF195" si="10">+AD132+AE132</f>
        <v>0</v>
      </c>
      <c r="AG132" s="97">
        <v>0</v>
      </c>
      <c r="AH132" s="92">
        <v>0</v>
      </c>
      <c r="AI132" s="98">
        <f t="shared" ref="AI132:AI177" si="11">+AG132+AH132</f>
        <v>0</v>
      </c>
      <c r="AJ132" s="99">
        <f t="shared" si="9"/>
        <v>0</v>
      </c>
      <c r="AK132" s="102" t="str">
        <f>+IF(AB132+AA132+AJ132&lt;=0, "NO COMPRADOR", +IF(AJ132&lt;=0, "SIN COMPRA "&amp;+UPPER(TEXT('DINAMICA ENERO 26'!$C$2,"mmm 'yy")), "COMPRADOR"))</f>
        <v>SIN COMPRA FEB '26</v>
      </c>
      <c r="AL132" s="100"/>
      <c r="AM132" s="101"/>
      <c r="AN132" s="100"/>
      <c r="AO132" s="100"/>
      <c r="AP132" s="100"/>
    </row>
    <row r="133" spans="1:42" s="104" customFormat="1" hidden="1">
      <c r="A133" s="88" t="s">
        <v>85</v>
      </c>
      <c r="B133" s="89" t="s">
        <v>204</v>
      </c>
      <c r="C133" s="89" t="s">
        <v>52</v>
      </c>
      <c r="D133" s="103">
        <v>100073888</v>
      </c>
      <c r="E133" s="89" t="s">
        <v>55</v>
      </c>
      <c r="F133" s="89">
        <v>100001215</v>
      </c>
      <c r="G133" s="128" t="s">
        <v>223</v>
      </c>
      <c r="H133"/>
      <c r="I133"/>
      <c r="J133"/>
      <c r="K133"/>
      <c r="L133"/>
      <c r="M133"/>
      <c r="N133"/>
      <c r="O133"/>
      <c r="P133"/>
      <c r="Q133"/>
      <c r="R133"/>
      <c r="S133" s="91">
        <v>0</v>
      </c>
      <c r="T133" s="94">
        <v>0</v>
      </c>
      <c r="U133" s="91">
        <v>0</v>
      </c>
      <c r="V133" s="129">
        <v>0</v>
      </c>
      <c r="W133" s="91">
        <v>0</v>
      </c>
      <c r="X133" s="129">
        <v>0</v>
      </c>
      <c r="Y133" s="91">
        <v>0</v>
      </c>
      <c r="Z133" s="129">
        <v>0</v>
      </c>
      <c r="AA133" s="155">
        <f t="shared" si="8"/>
        <v>0</v>
      </c>
      <c r="AB133" s="98">
        <f t="shared" si="8"/>
        <v>0</v>
      </c>
      <c r="AC133"/>
      <c r="AD133" s="97">
        <v>0</v>
      </c>
      <c r="AE133" s="92">
        <v>0</v>
      </c>
      <c r="AF133" s="98">
        <f t="shared" si="10"/>
        <v>0</v>
      </c>
      <c r="AG133" s="97">
        <v>0</v>
      </c>
      <c r="AH133" s="92">
        <v>0</v>
      </c>
      <c r="AI133" s="98">
        <f t="shared" si="11"/>
        <v>0</v>
      </c>
      <c r="AJ133" s="99">
        <f t="shared" si="9"/>
        <v>0</v>
      </c>
      <c r="AK133" s="102" t="str">
        <f>+IF(AB133+AA133+AJ133&lt;=0, "NO COMPRADOR", +IF(AJ133&lt;=0, "SIN COMPRA "&amp;+UPPER(TEXT('DINAMICA ENERO 26'!$C$2,"mmm 'yy")), "COMPRADOR"))</f>
        <v>NO COMPRADOR</v>
      </c>
      <c r="AL133" s="100"/>
      <c r="AM133" s="101"/>
      <c r="AN133" s="100"/>
      <c r="AO133" s="100"/>
      <c r="AP133" s="100"/>
    </row>
    <row r="134" spans="1:42" s="104" customFormat="1" hidden="1">
      <c r="A134" s="88" t="s">
        <v>85</v>
      </c>
      <c r="B134" s="89" t="s">
        <v>204</v>
      </c>
      <c r="C134" s="89" t="s">
        <v>52</v>
      </c>
      <c r="D134" s="103">
        <v>100073888</v>
      </c>
      <c r="E134" s="89" t="s">
        <v>55</v>
      </c>
      <c r="F134" s="89">
        <v>100060702</v>
      </c>
      <c r="G134" s="128" t="s">
        <v>224</v>
      </c>
      <c r="H134"/>
      <c r="I134"/>
      <c r="J134"/>
      <c r="K134"/>
      <c r="L134"/>
      <c r="M134"/>
      <c r="N134"/>
      <c r="O134"/>
      <c r="P134"/>
      <c r="Q134"/>
      <c r="R134"/>
      <c r="S134" s="91">
        <v>0</v>
      </c>
      <c r="T134" s="94">
        <v>0</v>
      </c>
      <c r="U134" s="91">
        <v>0</v>
      </c>
      <c r="V134" s="129">
        <v>0</v>
      </c>
      <c r="W134" s="91">
        <v>15.120000000000001</v>
      </c>
      <c r="X134" s="129">
        <v>4.32</v>
      </c>
      <c r="Y134" s="91">
        <v>15.120000000000001</v>
      </c>
      <c r="Z134" s="129">
        <v>15.120000000000001</v>
      </c>
      <c r="AA134" s="155">
        <f t="shared" si="8"/>
        <v>10.08</v>
      </c>
      <c r="AB134" s="98">
        <f t="shared" si="8"/>
        <v>6.48</v>
      </c>
      <c r="AC134"/>
      <c r="AD134" s="97">
        <v>0</v>
      </c>
      <c r="AE134" s="92">
        <v>0</v>
      </c>
      <c r="AF134" s="98">
        <f t="shared" si="10"/>
        <v>0</v>
      </c>
      <c r="AG134" s="97">
        <v>0</v>
      </c>
      <c r="AH134" s="92">
        <v>0</v>
      </c>
      <c r="AI134" s="98">
        <f t="shared" si="11"/>
        <v>0</v>
      </c>
      <c r="AJ134" s="99">
        <f t="shared" si="9"/>
        <v>0</v>
      </c>
      <c r="AK134" s="102" t="str">
        <f>+IF(AB134+AA134+AJ134&lt;=0, "NO COMPRADOR", +IF(AJ134&lt;=0, "SIN COMPRA "&amp;+UPPER(TEXT('DINAMICA ENERO 26'!$C$2,"mmm 'yy")), "COMPRADOR"))</f>
        <v>SIN COMPRA FEB '26</v>
      </c>
      <c r="AL134" s="100"/>
      <c r="AM134" s="101"/>
      <c r="AN134" s="100"/>
      <c r="AO134" s="100"/>
      <c r="AP134" s="100"/>
    </row>
    <row r="135" spans="1:42" s="104" customFormat="1" hidden="1">
      <c r="A135" s="88" t="s">
        <v>85</v>
      </c>
      <c r="B135" s="89" t="s">
        <v>204</v>
      </c>
      <c r="C135" s="89" t="s">
        <v>52</v>
      </c>
      <c r="D135" s="103">
        <v>100073888</v>
      </c>
      <c r="E135" s="89" t="s">
        <v>55</v>
      </c>
      <c r="F135" s="89">
        <v>100086804</v>
      </c>
      <c r="G135" s="128" t="s">
        <v>225</v>
      </c>
      <c r="H135"/>
      <c r="I135"/>
      <c r="J135"/>
      <c r="K135"/>
      <c r="L135"/>
      <c r="M135"/>
      <c r="N135"/>
      <c r="O135"/>
      <c r="P135"/>
      <c r="Q135"/>
      <c r="R135"/>
      <c r="S135" s="91">
        <v>4.32</v>
      </c>
      <c r="T135" s="94">
        <v>4.32</v>
      </c>
      <c r="U135" s="91">
        <v>21.6</v>
      </c>
      <c r="V135" s="129">
        <v>10.8</v>
      </c>
      <c r="W135" s="91">
        <v>2.16</v>
      </c>
      <c r="X135" s="129">
        <v>2.16</v>
      </c>
      <c r="Y135" s="91">
        <v>4.32</v>
      </c>
      <c r="Z135" s="129">
        <v>4.32</v>
      </c>
      <c r="AA135" s="155">
        <f t="shared" si="8"/>
        <v>9.3600000000000012</v>
      </c>
      <c r="AB135" s="98">
        <f t="shared" si="8"/>
        <v>5.7600000000000007</v>
      </c>
      <c r="AC135"/>
      <c r="AD135" s="97">
        <v>0</v>
      </c>
      <c r="AE135" s="92">
        <v>0</v>
      </c>
      <c r="AF135" s="98">
        <f t="shared" si="10"/>
        <v>0</v>
      </c>
      <c r="AG135" s="97">
        <v>4.32</v>
      </c>
      <c r="AH135" s="92">
        <v>0</v>
      </c>
      <c r="AI135" s="98">
        <f t="shared" si="11"/>
        <v>4.32</v>
      </c>
      <c r="AJ135" s="99">
        <f t="shared" si="9"/>
        <v>4.32</v>
      </c>
      <c r="AK135" s="102" t="str">
        <f>+IF(AB135+AA135+AJ135&lt;=0, "NO COMPRADOR", +IF(AJ135&lt;=0, "SIN COMPRA "&amp;+UPPER(TEXT('DINAMICA ENERO 26'!$C$2,"mmm 'yy")), "COMPRADOR"))</f>
        <v>COMPRADOR</v>
      </c>
      <c r="AL135" s="100"/>
      <c r="AM135" s="101"/>
      <c r="AN135" s="100"/>
      <c r="AO135" s="100"/>
      <c r="AP135" s="100"/>
    </row>
    <row r="136" spans="1:42" s="104" customFormat="1" hidden="1">
      <c r="A136" s="88" t="s">
        <v>85</v>
      </c>
      <c r="B136" s="89" t="s">
        <v>204</v>
      </c>
      <c r="C136" s="89" t="s">
        <v>52</v>
      </c>
      <c r="D136" s="103">
        <v>100073888</v>
      </c>
      <c r="E136" s="89" t="s">
        <v>55</v>
      </c>
      <c r="F136" s="89">
        <v>100084349</v>
      </c>
      <c r="G136" s="128" t="s">
        <v>226</v>
      </c>
      <c r="H136"/>
      <c r="I136"/>
      <c r="J136"/>
      <c r="K136"/>
      <c r="L136"/>
      <c r="M136"/>
      <c r="N136"/>
      <c r="O136"/>
      <c r="P136"/>
      <c r="Q136"/>
      <c r="R136"/>
      <c r="S136" s="91">
        <v>64.800000000000011</v>
      </c>
      <c r="T136" s="94">
        <v>64.800000000000011</v>
      </c>
      <c r="U136" s="91">
        <v>0</v>
      </c>
      <c r="V136" s="129">
        <v>43.2</v>
      </c>
      <c r="W136" s="91">
        <v>4.32</v>
      </c>
      <c r="X136" s="129">
        <v>4.32</v>
      </c>
      <c r="Y136" s="91">
        <v>10.8</v>
      </c>
      <c r="Z136" s="129">
        <v>10.8</v>
      </c>
      <c r="AA136" s="155">
        <f t="shared" si="8"/>
        <v>5.04</v>
      </c>
      <c r="AB136" s="98">
        <f t="shared" si="8"/>
        <v>19.440000000000001</v>
      </c>
      <c r="AC136"/>
      <c r="AD136" s="97">
        <v>0</v>
      </c>
      <c r="AE136" s="92">
        <v>0</v>
      </c>
      <c r="AF136" s="98">
        <f t="shared" si="10"/>
        <v>0</v>
      </c>
      <c r="AG136" s="97">
        <v>0</v>
      </c>
      <c r="AH136" s="92">
        <v>0</v>
      </c>
      <c r="AI136" s="98">
        <f t="shared" si="11"/>
        <v>0</v>
      </c>
      <c r="AJ136" s="99">
        <f t="shared" si="9"/>
        <v>0</v>
      </c>
      <c r="AK136" s="102" t="str">
        <f>+IF(AB136+AA136+AJ136&lt;=0, "NO COMPRADOR", +IF(AJ136&lt;=0, "SIN COMPRA "&amp;+UPPER(TEXT('DINAMICA ENERO 26'!$C$2,"mmm 'yy")), "COMPRADOR"))</f>
        <v>SIN COMPRA FEB '26</v>
      </c>
      <c r="AL136" s="100"/>
      <c r="AM136" s="101"/>
      <c r="AN136" s="100"/>
      <c r="AO136" s="100"/>
      <c r="AP136" s="100"/>
    </row>
    <row r="137" spans="1:42" s="100" customFormat="1" hidden="1">
      <c r="A137" s="88" t="s">
        <v>85</v>
      </c>
      <c r="B137" s="89" t="s">
        <v>204</v>
      </c>
      <c r="C137" s="89" t="s">
        <v>52</v>
      </c>
      <c r="D137" s="103">
        <v>100073888</v>
      </c>
      <c r="E137" s="89" t="s">
        <v>55</v>
      </c>
      <c r="F137" s="89">
        <v>100001752</v>
      </c>
      <c r="G137" s="128" t="s">
        <v>227</v>
      </c>
      <c r="H137"/>
      <c r="I137"/>
      <c r="J137"/>
      <c r="K137"/>
      <c r="L137"/>
      <c r="M137"/>
      <c r="N137"/>
      <c r="O137"/>
      <c r="P137"/>
      <c r="Q137"/>
      <c r="R137"/>
      <c r="S137" s="91">
        <v>4.32</v>
      </c>
      <c r="T137" s="94">
        <v>4.32</v>
      </c>
      <c r="U137" s="91">
        <v>2.16</v>
      </c>
      <c r="V137" s="129">
        <v>2.16</v>
      </c>
      <c r="W137" s="91">
        <v>6.48</v>
      </c>
      <c r="X137" s="129">
        <v>6.48</v>
      </c>
      <c r="Y137" s="91">
        <v>4.32</v>
      </c>
      <c r="Z137" s="129">
        <v>4.32</v>
      </c>
      <c r="AA137" s="155">
        <f t="shared" si="8"/>
        <v>4.32</v>
      </c>
      <c r="AB137" s="98">
        <f t="shared" si="8"/>
        <v>4.32</v>
      </c>
      <c r="AC137"/>
      <c r="AD137" s="97">
        <v>0</v>
      </c>
      <c r="AE137" s="92">
        <v>0</v>
      </c>
      <c r="AF137" s="98">
        <f t="shared" si="10"/>
        <v>0</v>
      </c>
      <c r="AG137" s="97">
        <v>0</v>
      </c>
      <c r="AH137" s="92">
        <v>0</v>
      </c>
      <c r="AI137" s="98">
        <f t="shared" si="11"/>
        <v>0</v>
      </c>
      <c r="AJ137" s="99">
        <f t="shared" si="9"/>
        <v>0</v>
      </c>
      <c r="AK137" s="102" t="str">
        <f>+IF(AB137+AA137+AJ137&lt;=0, "NO COMPRADOR", +IF(AJ137&lt;=0, "SIN COMPRA "&amp;+UPPER(TEXT('DINAMICA ENERO 26'!$C$2,"mmm 'yy")), "COMPRADOR"))</f>
        <v>SIN COMPRA FEB '26</v>
      </c>
      <c r="AM137" s="101"/>
    </row>
    <row r="138" spans="1:42" s="100" customFormat="1" hidden="1">
      <c r="A138" s="88" t="s">
        <v>85</v>
      </c>
      <c r="B138" s="89" t="s">
        <v>204</v>
      </c>
      <c r="C138" s="89" t="s">
        <v>52</v>
      </c>
      <c r="D138" s="103">
        <v>100073888</v>
      </c>
      <c r="E138" s="89" t="s">
        <v>55</v>
      </c>
      <c r="F138" s="89">
        <v>100081166</v>
      </c>
      <c r="G138" s="128" t="s">
        <v>228</v>
      </c>
      <c r="H138"/>
      <c r="I138"/>
      <c r="J138"/>
      <c r="K138"/>
      <c r="L138"/>
      <c r="M138"/>
      <c r="N138"/>
      <c r="O138"/>
      <c r="P138"/>
      <c r="Q138"/>
      <c r="R138"/>
      <c r="S138" s="91">
        <v>0</v>
      </c>
      <c r="T138" s="94">
        <v>0</v>
      </c>
      <c r="U138" s="91">
        <v>0</v>
      </c>
      <c r="V138" s="129">
        <v>0</v>
      </c>
      <c r="W138" s="91">
        <v>0</v>
      </c>
      <c r="X138" s="129">
        <v>0</v>
      </c>
      <c r="Y138" s="91">
        <v>0</v>
      </c>
      <c r="Z138" s="129">
        <v>0</v>
      </c>
      <c r="AA138" s="155">
        <f t="shared" si="8"/>
        <v>0</v>
      </c>
      <c r="AB138" s="98">
        <f t="shared" si="8"/>
        <v>0</v>
      </c>
      <c r="AC138"/>
      <c r="AD138" s="97">
        <v>0</v>
      </c>
      <c r="AE138" s="92">
        <v>0</v>
      </c>
      <c r="AF138" s="98">
        <f t="shared" si="10"/>
        <v>0</v>
      </c>
      <c r="AG138" s="97">
        <v>0</v>
      </c>
      <c r="AH138" s="92">
        <v>0</v>
      </c>
      <c r="AI138" s="98">
        <f t="shared" si="11"/>
        <v>0</v>
      </c>
      <c r="AJ138" s="99">
        <f t="shared" si="9"/>
        <v>0</v>
      </c>
      <c r="AK138" s="102" t="str">
        <f>+IF(AB138+AA138+AJ138&lt;=0, "NO COMPRADOR", +IF(AJ138&lt;=0, "SIN COMPRA "&amp;+UPPER(TEXT('DINAMICA ENERO 26'!$C$2,"mmm 'yy")), "COMPRADOR"))</f>
        <v>NO COMPRADOR</v>
      </c>
      <c r="AM138" s="101"/>
    </row>
    <row r="139" spans="1:42" s="100" customFormat="1" hidden="1">
      <c r="A139" s="88" t="s">
        <v>85</v>
      </c>
      <c r="B139" s="89" t="s">
        <v>204</v>
      </c>
      <c r="C139" s="89" t="s">
        <v>52</v>
      </c>
      <c r="D139" s="103">
        <v>100073888</v>
      </c>
      <c r="E139" s="89" t="s">
        <v>55</v>
      </c>
      <c r="F139" s="89">
        <v>100064228</v>
      </c>
      <c r="G139" s="128" t="s">
        <v>229</v>
      </c>
      <c r="H139"/>
      <c r="I139"/>
      <c r="J139"/>
      <c r="K139"/>
      <c r="L139"/>
      <c r="M139"/>
      <c r="N139"/>
      <c r="O139"/>
      <c r="P139"/>
      <c r="Q139"/>
      <c r="R139"/>
      <c r="S139" s="91">
        <v>4.32</v>
      </c>
      <c r="T139" s="94">
        <v>4.32</v>
      </c>
      <c r="U139" s="91">
        <v>2.16</v>
      </c>
      <c r="V139" s="129">
        <v>2.16</v>
      </c>
      <c r="W139" s="91">
        <v>2.16</v>
      </c>
      <c r="X139" s="129">
        <v>2.16</v>
      </c>
      <c r="Y139" s="91">
        <v>2.16</v>
      </c>
      <c r="Z139" s="129">
        <v>2.16</v>
      </c>
      <c r="AA139" s="155">
        <f t="shared" si="8"/>
        <v>2.16</v>
      </c>
      <c r="AB139" s="98">
        <f t="shared" si="8"/>
        <v>2.16</v>
      </c>
      <c r="AC139"/>
      <c r="AD139" s="97">
        <v>0</v>
      </c>
      <c r="AE139" s="92">
        <v>0</v>
      </c>
      <c r="AF139" s="98">
        <f t="shared" si="10"/>
        <v>0</v>
      </c>
      <c r="AG139" s="97">
        <v>0</v>
      </c>
      <c r="AH139" s="92">
        <v>0</v>
      </c>
      <c r="AI139" s="98">
        <f t="shared" si="11"/>
        <v>0</v>
      </c>
      <c r="AJ139" s="99">
        <f t="shared" si="9"/>
        <v>0</v>
      </c>
      <c r="AK139" s="102" t="str">
        <f>+IF(AB139+AA139+AJ139&lt;=0, "NO COMPRADOR", +IF(AJ139&lt;=0, "SIN COMPRA "&amp;+UPPER(TEXT('DINAMICA ENERO 26'!$C$2,"mmm 'yy")), "COMPRADOR"))</f>
        <v>SIN COMPRA FEB '26</v>
      </c>
      <c r="AM139" s="101"/>
    </row>
    <row r="140" spans="1:42" s="100" customFormat="1" hidden="1">
      <c r="A140" s="88" t="s">
        <v>85</v>
      </c>
      <c r="B140" s="89" t="s">
        <v>204</v>
      </c>
      <c r="C140" s="89" t="s">
        <v>52</v>
      </c>
      <c r="D140" s="103">
        <v>100073888</v>
      </c>
      <c r="E140" s="89" t="s">
        <v>55</v>
      </c>
      <c r="F140" s="89">
        <v>100083588</v>
      </c>
      <c r="G140" s="128" t="s">
        <v>230</v>
      </c>
      <c r="H140"/>
      <c r="I140"/>
      <c r="J140"/>
      <c r="K140"/>
      <c r="L140"/>
      <c r="M140"/>
      <c r="N140"/>
      <c r="O140"/>
      <c r="P140"/>
      <c r="Q140"/>
      <c r="R140"/>
      <c r="S140" s="91">
        <v>8.64</v>
      </c>
      <c r="T140" s="94">
        <v>8.64</v>
      </c>
      <c r="U140" s="91">
        <v>4.32</v>
      </c>
      <c r="V140" s="129">
        <v>4.32</v>
      </c>
      <c r="W140" s="91">
        <v>6.48</v>
      </c>
      <c r="X140" s="129">
        <v>6.48</v>
      </c>
      <c r="Y140" s="91">
        <v>4.32</v>
      </c>
      <c r="Z140" s="129">
        <v>4.32</v>
      </c>
      <c r="AA140" s="155">
        <f t="shared" si="8"/>
        <v>5.04</v>
      </c>
      <c r="AB140" s="98">
        <f t="shared" si="8"/>
        <v>5.04</v>
      </c>
      <c r="AC140"/>
      <c r="AD140" s="97">
        <v>0</v>
      </c>
      <c r="AE140" s="92">
        <v>0</v>
      </c>
      <c r="AF140" s="98">
        <f t="shared" si="10"/>
        <v>0</v>
      </c>
      <c r="AG140" s="97">
        <v>0</v>
      </c>
      <c r="AH140" s="92">
        <v>0</v>
      </c>
      <c r="AI140" s="98">
        <f t="shared" si="11"/>
        <v>0</v>
      </c>
      <c r="AJ140" s="99">
        <f t="shared" si="9"/>
        <v>0</v>
      </c>
      <c r="AK140" s="102" t="str">
        <f>+IF(AB140+AA140+AJ140&lt;=0, "NO COMPRADOR", +IF(AJ140&lt;=0, "SIN COMPRA "&amp;+UPPER(TEXT('DINAMICA ENERO 26'!$C$2,"mmm 'yy")), "COMPRADOR"))</f>
        <v>SIN COMPRA FEB '26</v>
      </c>
      <c r="AM140" s="101"/>
    </row>
    <row r="141" spans="1:42" s="100" customFormat="1" hidden="1">
      <c r="A141" s="88" t="s">
        <v>85</v>
      </c>
      <c r="B141" s="89" t="s">
        <v>204</v>
      </c>
      <c r="C141" s="89" t="s">
        <v>52</v>
      </c>
      <c r="D141" s="103">
        <v>100073888</v>
      </c>
      <c r="E141" s="89" t="s">
        <v>55</v>
      </c>
      <c r="F141" s="89">
        <v>100010576</v>
      </c>
      <c r="G141" s="128" t="s">
        <v>231</v>
      </c>
      <c r="H141"/>
      <c r="I141"/>
      <c r="J141"/>
      <c r="K141"/>
      <c r="L141"/>
      <c r="M141"/>
      <c r="N141"/>
      <c r="O141"/>
      <c r="P141"/>
      <c r="Q141"/>
      <c r="R141"/>
      <c r="S141" s="91">
        <v>0</v>
      </c>
      <c r="T141" s="94">
        <v>0</v>
      </c>
      <c r="U141" s="91">
        <v>0</v>
      </c>
      <c r="V141" s="129">
        <v>0</v>
      </c>
      <c r="W141" s="91">
        <v>0</v>
      </c>
      <c r="X141" s="129">
        <v>0</v>
      </c>
      <c r="Y141" s="91">
        <v>0</v>
      </c>
      <c r="Z141" s="129">
        <v>0</v>
      </c>
      <c r="AA141" s="155">
        <f t="shared" si="8"/>
        <v>0</v>
      </c>
      <c r="AB141" s="98">
        <f t="shared" si="8"/>
        <v>0</v>
      </c>
      <c r="AC141"/>
      <c r="AD141" s="97">
        <v>0</v>
      </c>
      <c r="AE141" s="92">
        <v>0</v>
      </c>
      <c r="AF141" s="98">
        <f t="shared" si="10"/>
        <v>0</v>
      </c>
      <c r="AG141" s="97">
        <v>0</v>
      </c>
      <c r="AH141" s="92">
        <v>0</v>
      </c>
      <c r="AI141" s="98">
        <f t="shared" si="11"/>
        <v>0</v>
      </c>
      <c r="AJ141" s="99">
        <f t="shared" si="9"/>
        <v>0</v>
      </c>
      <c r="AK141" s="102" t="str">
        <f>+IF(AB141+AA141+AJ141&lt;=0, "NO COMPRADOR", +IF(AJ141&lt;=0, "SIN COMPRA "&amp;+UPPER(TEXT('DINAMICA ENERO 26'!$C$2,"mmm 'yy")), "COMPRADOR"))</f>
        <v>NO COMPRADOR</v>
      </c>
      <c r="AM141" s="101"/>
    </row>
    <row r="142" spans="1:42" s="100" customFormat="1" hidden="1">
      <c r="A142" s="88" t="s">
        <v>85</v>
      </c>
      <c r="B142" s="89" t="s">
        <v>204</v>
      </c>
      <c r="C142" s="89" t="s">
        <v>52</v>
      </c>
      <c r="D142" s="103">
        <v>100073888</v>
      </c>
      <c r="E142" s="89" t="s">
        <v>55</v>
      </c>
      <c r="F142" s="89">
        <v>100002203</v>
      </c>
      <c r="G142" s="128" t="s">
        <v>232</v>
      </c>
      <c r="H142"/>
      <c r="I142"/>
      <c r="J142"/>
      <c r="K142"/>
      <c r="L142"/>
      <c r="M142"/>
      <c r="N142"/>
      <c r="O142"/>
      <c r="P142"/>
      <c r="Q142"/>
      <c r="R142"/>
      <c r="S142" s="91">
        <v>0</v>
      </c>
      <c r="T142" s="94">
        <v>0</v>
      </c>
      <c r="U142" s="91">
        <v>0</v>
      </c>
      <c r="V142" s="129">
        <v>0</v>
      </c>
      <c r="W142" s="91">
        <v>2.16</v>
      </c>
      <c r="X142" s="129">
        <v>2.16</v>
      </c>
      <c r="Y142" s="91">
        <v>0</v>
      </c>
      <c r="Z142" s="129">
        <v>0</v>
      </c>
      <c r="AA142" s="155">
        <f t="shared" si="8"/>
        <v>0.72000000000000008</v>
      </c>
      <c r="AB142" s="98">
        <f t="shared" si="8"/>
        <v>0.72000000000000008</v>
      </c>
      <c r="AC142"/>
      <c r="AD142" s="97">
        <v>0</v>
      </c>
      <c r="AE142" s="92">
        <v>0</v>
      </c>
      <c r="AF142" s="98">
        <f t="shared" si="10"/>
        <v>0</v>
      </c>
      <c r="AG142" s="97">
        <v>0</v>
      </c>
      <c r="AH142" s="92">
        <v>0</v>
      </c>
      <c r="AI142" s="98">
        <f t="shared" si="11"/>
        <v>0</v>
      </c>
      <c r="AJ142" s="99">
        <f t="shared" si="9"/>
        <v>0</v>
      </c>
      <c r="AK142" s="102" t="str">
        <f>+IF(AB142+AA142+AJ142&lt;=0, "NO COMPRADOR", +IF(AJ142&lt;=0, "SIN COMPRA "&amp;+UPPER(TEXT('DINAMICA ENERO 26'!$C$2,"mmm 'yy")), "COMPRADOR"))</f>
        <v>SIN COMPRA FEB '26</v>
      </c>
      <c r="AM142" s="101"/>
    </row>
    <row r="143" spans="1:42" s="100" customFormat="1" hidden="1">
      <c r="A143" s="88" t="s">
        <v>85</v>
      </c>
      <c r="B143" s="89" t="s">
        <v>204</v>
      </c>
      <c r="C143" s="89" t="s">
        <v>52</v>
      </c>
      <c r="D143" s="103">
        <v>100073888</v>
      </c>
      <c r="E143" s="89" t="s">
        <v>55</v>
      </c>
      <c r="F143" s="89">
        <v>100001329</v>
      </c>
      <c r="G143" s="128" t="s">
        <v>233</v>
      </c>
      <c r="H143"/>
      <c r="I143"/>
      <c r="J143"/>
      <c r="K143"/>
      <c r="L143"/>
      <c r="M143"/>
      <c r="N143"/>
      <c r="O143"/>
      <c r="P143"/>
      <c r="Q143"/>
      <c r="R143"/>
      <c r="S143" s="91">
        <v>0</v>
      </c>
      <c r="T143" s="94">
        <v>0</v>
      </c>
      <c r="U143" s="91">
        <v>0</v>
      </c>
      <c r="V143" s="129">
        <v>0</v>
      </c>
      <c r="W143" s="91">
        <v>0</v>
      </c>
      <c r="X143" s="129">
        <v>0</v>
      </c>
      <c r="Y143" s="91">
        <v>0</v>
      </c>
      <c r="Z143" s="129">
        <v>0</v>
      </c>
      <c r="AA143" s="155">
        <f t="shared" si="8"/>
        <v>0</v>
      </c>
      <c r="AB143" s="98">
        <f t="shared" si="8"/>
        <v>0</v>
      </c>
      <c r="AC143"/>
      <c r="AD143" s="97">
        <v>0</v>
      </c>
      <c r="AE143" s="92">
        <v>0</v>
      </c>
      <c r="AF143" s="98">
        <f t="shared" si="10"/>
        <v>0</v>
      </c>
      <c r="AG143" s="97">
        <v>0</v>
      </c>
      <c r="AH143" s="92">
        <v>0</v>
      </c>
      <c r="AI143" s="98">
        <f t="shared" si="11"/>
        <v>0</v>
      </c>
      <c r="AJ143" s="99">
        <f t="shared" si="9"/>
        <v>0</v>
      </c>
      <c r="AK143" s="102" t="str">
        <f>+IF(AB143+AA143+AJ143&lt;=0, "NO COMPRADOR", +IF(AJ143&lt;=0, "SIN COMPRA "&amp;+UPPER(TEXT('DINAMICA ENERO 26'!$C$2,"mmm 'yy")), "COMPRADOR"))</f>
        <v>NO COMPRADOR</v>
      </c>
      <c r="AM143" s="101"/>
    </row>
    <row r="144" spans="1:42" s="100" customFormat="1" hidden="1">
      <c r="A144" s="88" t="s">
        <v>85</v>
      </c>
      <c r="B144" s="89" t="s">
        <v>204</v>
      </c>
      <c r="C144" s="89" t="s">
        <v>52</v>
      </c>
      <c r="D144" s="103">
        <v>100073888</v>
      </c>
      <c r="E144" s="89" t="s">
        <v>55</v>
      </c>
      <c r="F144" s="89">
        <v>100077493</v>
      </c>
      <c r="G144" s="128" t="s">
        <v>234</v>
      </c>
      <c r="H144"/>
      <c r="I144"/>
      <c r="J144"/>
      <c r="K144"/>
      <c r="L144"/>
      <c r="M144"/>
      <c r="N144"/>
      <c r="O144"/>
      <c r="P144"/>
      <c r="Q144"/>
      <c r="R144"/>
      <c r="S144" s="91">
        <v>0</v>
      </c>
      <c r="T144" s="94">
        <v>0</v>
      </c>
      <c r="U144" s="91">
        <v>0</v>
      </c>
      <c r="V144" s="129">
        <v>0</v>
      </c>
      <c r="W144" s="91">
        <v>0</v>
      </c>
      <c r="X144" s="129">
        <v>0</v>
      </c>
      <c r="Y144" s="91">
        <v>0</v>
      </c>
      <c r="Z144" s="129">
        <v>0</v>
      </c>
      <c r="AA144" s="155">
        <f t="shared" si="8"/>
        <v>0</v>
      </c>
      <c r="AB144" s="98">
        <f t="shared" si="8"/>
        <v>0</v>
      </c>
      <c r="AC144"/>
      <c r="AD144" s="97">
        <v>0</v>
      </c>
      <c r="AE144" s="92">
        <v>0</v>
      </c>
      <c r="AF144" s="98">
        <f t="shared" si="10"/>
        <v>0</v>
      </c>
      <c r="AG144" s="97">
        <v>0</v>
      </c>
      <c r="AH144" s="92">
        <v>0</v>
      </c>
      <c r="AI144" s="98">
        <f t="shared" si="11"/>
        <v>0</v>
      </c>
      <c r="AJ144" s="99">
        <f t="shared" si="9"/>
        <v>0</v>
      </c>
      <c r="AK144" s="102" t="str">
        <f>+IF(AB144+AA144+AJ144&lt;=0, "NO COMPRADOR", +IF(AJ144&lt;=0, "SIN COMPRA "&amp;+UPPER(TEXT('DINAMICA ENERO 26'!$C$2,"mmm 'yy")), "COMPRADOR"))</f>
        <v>NO COMPRADOR</v>
      </c>
      <c r="AM144" s="101"/>
    </row>
    <row r="145" spans="1:43" s="100" customFormat="1" hidden="1">
      <c r="A145" s="88" t="s">
        <v>85</v>
      </c>
      <c r="B145" s="89" t="s">
        <v>204</v>
      </c>
      <c r="C145" s="89" t="s">
        <v>52</v>
      </c>
      <c r="D145" s="103">
        <v>100073888</v>
      </c>
      <c r="E145" s="89" t="s">
        <v>55</v>
      </c>
      <c r="F145" s="89">
        <v>100084330</v>
      </c>
      <c r="G145" s="128" t="s">
        <v>235</v>
      </c>
      <c r="H145"/>
      <c r="I145"/>
      <c r="J145"/>
      <c r="K145"/>
      <c r="L145"/>
      <c r="M145"/>
      <c r="N145"/>
      <c r="O145"/>
      <c r="P145"/>
      <c r="Q145"/>
      <c r="R145"/>
      <c r="S145" s="91">
        <v>0</v>
      </c>
      <c r="T145" s="94">
        <v>0</v>
      </c>
      <c r="U145" s="91">
        <v>10.8</v>
      </c>
      <c r="V145" s="129">
        <v>10.8</v>
      </c>
      <c r="W145" s="91">
        <v>0</v>
      </c>
      <c r="X145" s="129">
        <v>0</v>
      </c>
      <c r="Y145" s="91">
        <v>0</v>
      </c>
      <c r="Z145" s="129">
        <v>0</v>
      </c>
      <c r="AA145" s="155">
        <f t="shared" si="8"/>
        <v>3.6</v>
      </c>
      <c r="AB145" s="98">
        <f t="shared" si="8"/>
        <v>3.6</v>
      </c>
      <c r="AC145"/>
      <c r="AD145" s="97">
        <v>0</v>
      </c>
      <c r="AE145" s="92">
        <v>0</v>
      </c>
      <c r="AF145" s="98">
        <f t="shared" si="10"/>
        <v>0</v>
      </c>
      <c r="AG145" s="97">
        <v>0</v>
      </c>
      <c r="AH145" s="92">
        <v>0</v>
      </c>
      <c r="AI145" s="98">
        <f t="shared" si="11"/>
        <v>0</v>
      </c>
      <c r="AJ145" s="99">
        <f t="shared" si="9"/>
        <v>0</v>
      </c>
      <c r="AK145" s="102" t="str">
        <f>+IF(AB145+AA145+AJ145&lt;=0, "NO COMPRADOR", +IF(AJ145&lt;=0, "SIN COMPRA "&amp;+UPPER(TEXT('DINAMICA ENERO 26'!$C$2,"mmm 'yy")), "COMPRADOR"))</f>
        <v>SIN COMPRA FEB '26</v>
      </c>
      <c r="AM145" s="101"/>
    </row>
    <row r="146" spans="1:43" s="100" customFormat="1" hidden="1">
      <c r="A146" s="88" t="s">
        <v>85</v>
      </c>
      <c r="B146" s="89" t="s">
        <v>236</v>
      </c>
      <c r="C146" s="89" t="s">
        <v>68</v>
      </c>
      <c r="D146" s="103">
        <v>100089354</v>
      </c>
      <c r="E146" s="89" t="s">
        <v>68</v>
      </c>
      <c r="F146" s="89">
        <v>100058447</v>
      </c>
      <c r="G146" s="128" t="s">
        <v>237</v>
      </c>
      <c r="H146"/>
      <c r="I146"/>
      <c r="J146"/>
      <c r="K146"/>
      <c r="L146"/>
      <c r="M146"/>
      <c r="N146"/>
      <c r="O146"/>
      <c r="P146"/>
      <c r="Q146"/>
      <c r="R146"/>
      <c r="S146" s="91">
        <v>0</v>
      </c>
      <c r="T146" s="94">
        <v>0</v>
      </c>
      <c r="U146" s="91">
        <v>0</v>
      </c>
      <c r="V146" s="129">
        <v>0</v>
      </c>
      <c r="W146" s="91">
        <v>0</v>
      </c>
      <c r="X146" s="129">
        <v>0</v>
      </c>
      <c r="Y146" s="91">
        <v>0</v>
      </c>
      <c r="Z146" s="129">
        <v>0</v>
      </c>
      <c r="AA146" s="155">
        <f t="shared" si="8"/>
        <v>0</v>
      </c>
      <c r="AB146" s="98">
        <f t="shared" si="8"/>
        <v>0</v>
      </c>
      <c r="AC146"/>
      <c r="AD146" s="97">
        <v>0</v>
      </c>
      <c r="AE146" s="92">
        <v>0</v>
      </c>
      <c r="AF146" s="98">
        <f t="shared" si="10"/>
        <v>0</v>
      </c>
      <c r="AG146" s="97">
        <v>0</v>
      </c>
      <c r="AH146" s="92">
        <v>0</v>
      </c>
      <c r="AI146" s="98">
        <f t="shared" si="11"/>
        <v>0</v>
      </c>
      <c r="AJ146" s="99">
        <f t="shared" si="9"/>
        <v>0</v>
      </c>
      <c r="AK146" s="102" t="str">
        <f>+IF(AB146+AA146+AJ146&lt;=0, "NO COMPRADOR", +IF(AJ146&lt;=0, "SIN COMPRA "&amp;+UPPER(TEXT('DINAMICA ENERO 26'!$C$2,"mmm 'yy")), "COMPRADOR"))</f>
        <v>NO COMPRADOR</v>
      </c>
      <c r="AM146" s="101"/>
    </row>
    <row r="147" spans="1:43" s="100" customFormat="1" hidden="1">
      <c r="A147" s="88" t="s">
        <v>85</v>
      </c>
      <c r="B147" s="89" t="s">
        <v>236</v>
      </c>
      <c r="C147" s="89" t="s">
        <v>68</v>
      </c>
      <c r="D147" s="103">
        <v>100089354</v>
      </c>
      <c r="E147" s="89" t="s">
        <v>68</v>
      </c>
      <c r="F147" s="89">
        <v>100079903</v>
      </c>
      <c r="G147" s="128" t="s">
        <v>238</v>
      </c>
      <c r="H147"/>
      <c r="I147"/>
      <c r="J147"/>
      <c r="K147"/>
      <c r="L147"/>
      <c r="M147"/>
      <c r="N147"/>
      <c r="O147"/>
      <c r="P147"/>
      <c r="Q147"/>
      <c r="R147"/>
      <c r="S147" s="91">
        <v>0</v>
      </c>
      <c r="T147" s="94">
        <v>0</v>
      </c>
      <c r="U147" s="91">
        <v>0</v>
      </c>
      <c r="V147" s="129">
        <v>0</v>
      </c>
      <c r="W147" s="91">
        <v>0</v>
      </c>
      <c r="X147" s="129">
        <v>0</v>
      </c>
      <c r="Y147" s="91">
        <v>0</v>
      </c>
      <c r="Z147" s="129">
        <v>0</v>
      </c>
      <c r="AA147" s="155">
        <f t="shared" ref="AA147:AB210" si="12">+AVERAGE(U147,W147,Y147)</f>
        <v>0</v>
      </c>
      <c r="AB147" s="98">
        <f t="shared" si="12"/>
        <v>0</v>
      </c>
      <c r="AC147"/>
      <c r="AD147" s="97">
        <v>0</v>
      </c>
      <c r="AE147" s="92">
        <v>0</v>
      </c>
      <c r="AF147" s="98">
        <f t="shared" si="10"/>
        <v>0</v>
      </c>
      <c r="AG147" s="97">
        <v>0</v>
      </c>
      <c r="AH147" s="92">
        <v>0</v>
      </c>
      <c r="AI147" s="98">
        <f t="shared" si="11"/>
        <v>0</v>
      </c>
      <c r="AJ147" s="99">
        <f t="shared" si="9"/>
        <v>0</v>
      </c>
      <c r="AK147" s="102" t="str">
        <f>+IF(AB147+AA147+AJ147&lt;=0, "NO COMPRADOR", +IF(AJ147&lt;=0, "SIN COMPRA "&amp;+UPPER(TEXT('DINAMICA ENERO 26'!$C$2,"mmm 'yy")), "COMPRADOR"))</f>
        <v>NO COMPRADOR</v>
      </c>
      <c r="AM147" s="101"/>
    </row>
    <row r="148" spans="1:43" s="104" customFormat="1" hidden="1">
      <c r="A148" s="88" t="s">
        <v>85</v>
      </c>
      <c r="B148" s="89" t="s">
        <v>236</v>
      </c>
      <c r="C148" s="89" t="s">
        <v>68</v>
      </c>
      <c r="D148" s="103">
        <v>100089354</v>
      </c>
      <c r="E148" s="89" t="s">
        <v>68</v>
      </c>
      <c r="F148" s="89">
        <v>100083681</v>
      </c>
      <c r="G148" s="128" t="s">
        <v>239</v>
      </c>
      <c r="H148"/>
      <c r="I148"/>
      <c r="J148"/>
      <c r="K148"/>
      <c r="L148"/>
      <c r="M148"/>
      <c r="N148"/>
      <c r="O148"/>
      <c r="P148"/>
      <c r="Q148"/>
      <c r="R148"/>
      <c r="S148" s="91">
        <v>0</v>
      </c>
      <c r="T148" s="94">
        <v>0</v>
      </c>
      <c r="U148" s="91">
        <v>0</v>
      </c>
      <c r="V148" s="129">
        <v>0</v>
      </c>
      <c r="W148" s="91">
        <v>0</v>
      </c>
      <c r="X148" s="129">
        <v>0</v>
      </c>
      <c r="Y148" s="91">
        <v>0</v>
      </c>
      <c r="Z148" s="129">
        <v>0</v>
      </c>
      <c r="AA148" s="155">
        <f t="shared" si="12"/>
        <v>0</v>
      </c>
      <c r="AB148" s="98">
        <f t="shared" si="12"/>
        <v>0</v>
      </c>
      <c r="AC148"/>
      <c r="AD148" s="97">
        <v>0</v>
      </c>
      <c r="AE148" s="92">
        <v>0</v>
      </c>
      <c r="AF148" s="98">
        <f t="shared" si="10"/>
        <v>0</v>
      </c>
      <c r="AG148" s="97">
        <v>0</v>
      </c>
      <c r="AH148" s="92">
        <v>0</v>
      </c>
      <c r="AI148" s="98">
        <f t="shared" si="11"/>
        <v>0</v>
      </c>
      <c r="AJ148" s="99">
        <f t="shared" si="9"/>
        <v>0</v>
      </c>
      <c r="AK148" s="102" t="str">
        <f>+IF(AB148+AA148+AJ148&lt;=0, "NO COMPRADOR", +IF(AJ148&lt;=0, "SIN COMPRA "&amp;+UPPER(TEXT('DINAMICA ENERO 26'!$C$2,"mmm 'yy")), "COMPRADOR"))</f>
        <v>NO COMPRADOR</v>
      </c>
      <c r="AL148" s="100"/>
      <c r="AM148" s="101"/>
      <c r="AN148" s="100"/>
      <c r="AO148" s="100"/>
      <c r="AP148" s="100"/>
    </row>
    <row r="149" spans="1:43" s="100" customFormat="1" hidden="1">
      <c r="A149" s="88" t="s">
        <v>85</v>
      </c>
      <c r="B149" s="89" t="s">
        <v>236</v>
      </c>
      <c r="C149" s="89" t="s">
        <v>68</v>
      </c>
      <c r="D149" s="103">
        <v>100031199</v>
      </c>
      <c r="E149" s="89" t="s">
        <v>69</v>
      </c>
      <c r="F149" s="89">
        <v>100088905</v>
      </c>
      <c r="G149" s="128" t="s">
        <v>240</v>
      </c>
      <c r="H149"/>
      <c r="I149"/>
      <c r="J149"/>
      <c r="K149"/>
      <c r="L149"/>
      <c r="M149"/>
      <c r="N149"/>
      <c r="O149"/>
      <c r="P149"/>
      <c r="Q149"/>
      <c r="R149"/>
      <c r="S149" s="91">
        <v>0</v>
      </c>
      <c r="T149" s="94">
        <v>0</v>
      </c>
      <c r="U149" s="91">
        <v>0</v>
      </c>
      <c r="V149" s="129">
        <v>0</v>
      </c>
      <c r="W149" s="91">
        <v>0</v>
      </c>
      <c r="X149" s="129">
        <v>0</v>
      </c>
      <c r="Y149" s="91">
        <v>0</v>
      </c>
      <c r="Z149" s="129">
        <v>0</v>
      </c>
      <c r="AA149" s="155">
        <f t="shared" si="12"/>
        <v>0</v>
      </c>
      <c r="AB149" s="98">
        <f t="shared" si="12"/>
        <v>0</v>
      </c>
      <c r="AC149"/>
      <c r="AD149" s="97">
        <v>0</v>
      </c>
      <c r="AE149" s="92">
        <v>0</v>
      </c>
      <c r="AF149" s="98">
        <f t="shared" si="10"/>
        <v>0</v>
      </c>
      <c r="AG149" s="97">
        <v>0</v>
      </c>
      <c r="AH149" s="92">
        <v>0</v>
      </c>
      <c r="AI149" s="98">
        <f t="shared" si="11"/>
        <v>0</v>
      </c>
      <c r="AJ149" s="99">
        <f t="shared" si="9"/>
        <v>0</v>
      </c>
      <c r="AK149" s="102" t="str">
        <f>+IF(AB149+AA149+AJ149&lt;=0, "NO COMPRADOR", +IF(AJ149&lt;=0, "SIN COMPRA "&amp;+UPPER(TEXT('DINAMICA ENERO 26'!$C$2,"mmm 'yy")), "COMPRADOR"))</f>
        <v>NO COMPRADOR</v>
      </c>
      <c r="AM149" s="101"/>
    </row>
    <row r="150" spans="1:43" s="104" customFormat="1" hidden="1">
      <c r="A150" s="88" t="s">
        <v>85</v>
      </c>
      <c r="B150" s="89" t="s">
        <v>236</v>
      </c>
      <c r="C150" s="89" t="s">
        <v>68</v>
      </c>
      <c r="D150" s="103">
        <v>100031199</v>
      </c>
      <c r="E150" s="89" t="s">
        <v>69</v>
      </c>
      <c r="F150" s="89">
        <v>100087340</v>
      </c>
      <c r="G150" s="128" t="s">
        <v>241</v>
      </c>
      <c r="H150"/>
      <c r="I150"/>
      <c r="J150"/>
      <c r="K150"/>
      <c r="L150"/>
      <c r="M150"/>
      <c r="N150"/>
      <c r="O150"/>
      <c r="P150"/>
      <c r="Q150"/>
      <c r="R150"/>
      <c r="S150" s="91">
        <v>0</v>
      </c>
      <c r="T150" s="94">
        <v>0</v>
      </c>
      <c r="U150" s="91">
        <v>0</v>
      </c>
      <c r="V150" s="129">
        <v>0</v>
      </c>
      <c r="W150" s="91">
        <v>0</v>
      </c>
      <c r="X150" s="129">
        <v>0</v>
      </c>
      <c r="Y150" s="91">
        <v>0</v>
      </c>
      <c r="Z150" s="129">
        <v>0</v>
      </c>
      <c r="AA150" s="155">
        <f t="shared" si="12"/>
        <v>0</v>
      </c>
      <c r="AB150" s="98">
        <f t="shared" si="12"/>
        <v>0</v>
      </c>
      <c r="AC150"/>
      <c r="AD150" s="97">
        <v>0</v>
      </c>
      <c r="AE150" s="92">
        <v>0</v>
      </c>
      <c r="AF150" s="98">
        <f t="shared" si="10"/>
        <v>0</v>
      </c>
      <c r="AG150" s="97">
        <v>0</v>
      </c>
      <c r="AH150" s="92">
        <v>0</v>
      </c>
      <c r="AI150" s="98">
        <f t="shared" si="11"/>
        <v>0</v>
      </c>
      <c r="AJ150" s="99">
        <f t="shared" si="9"/>
        <v>0</v>
      </c>
      <c r="AK150" s="102" t="str">
        <f>+IF(AB150+AA150+AJ150&lt;=0, "NO COMPRADOR", +IF(AJ150&lt;=0, "SIN COMPRA "&amp;+UPPER(TEXT('DINAMICA ENERO 26'!$C$2,"mmm 'yy")), "COMPRADOR"))</f>
        <v>NO COMPRADOR</v>
      </c>
      <c r="AL150" s="100"/>
      <c r="AM150" s="101"/>
      <c r="AN150" s="100"/>
      <c r="AO150" s="100"/>
      <c r="AP150" s="100"/>
    </row>
    <row r="151" spans="1:43" s="100" customFormat="1" hidden="1">
      <c r="A151" s="88" t="s">
        <v>85</v>
      </c>
      <c r="B151" s="89" t="s">
        <v>236</v>
      </c>
      <c r="C151" s="89" t="s">
        <v>68</v>
      </c>
      <c r="D151" s="103">
        <v>100031199</v>
      </c>
      <c r="E151" s="89" t="s">
        <v>69</v>
      </c>
      <c r="F151" s="89">
        <v>100087098</v>
      </c>
      <c r="G151" s="128" t="s">
        <v>242</v>
      </c>
      <c r="H151"/>
      <c r="I151"/>
      <c r="J151"/>
      <c r="K151"/>
      <c r="L151"/>
      <c r="M151"/>
      <c r="N151"/>
      <c r="O151"/>
      <c r="P151"/>
      <c r="Q151"/>
      <c r="R151"/>
      <c r="S151" s="91">
        <v>0</v>
      </c>
      <c r="T151" s="94">
        <v>0</v>
      </c>
      <c r="U151" s="91">
        <v>0</v>
      </c>
      <c r="V151" s="129">
        <v>0</v>
      </c>
      <c r="W151" s="91">
        <v>0</v>
      </c>
      <c r="X151" s="129">
        <v>0</v>
      </c>
      <c r="Y151" s="91">
        <v>0</v>
      </c>
      <c r="Z151" s="129">
        <v>0</v>
      </c>
      <c r="AA151" s="155">
        <f t="shared" si="12"/>
        <v>0</v>
      </c>
      <c r="AB151" s="98">
        <f t="shared" si="12"/>
        <v>0</v>
      </c>
      <c r="AC151"/>
      <c r="AD151" s="97">
        <v>0</v>
      </c>
      <c r="AE151" s="92">
        <v>0</v>
      </c>
      <c r="AF151" s="98">
        <f t="shared" si="10"/>
        <v>0</v>
      </c>
      <c r="AG151" s="97">
        <v>0</v>
      </c>
      <c r="AH151" s="92">
        <v>0</v>
      </c>
      <c r="AI151" s="98">
        <f t="shared" si="11"/>
        <v>0</v>
      </c>
      <c r="AJ151" s="99">
        <f t="shared" si="9"/>
        <v>0</v>
      </c>
      <c r="AK151" s="102" t="str">
        <f>+IF(AB151+AA151+AJ151&lt;=0, "NO COMPRADOR", +IF(AJ151&lt;=0, "SIN COMPRA "&amp;+UPPER(TEXT('DINAMICA ENERO 26'!$C$2,"mmm 'yy")), "COMPRADOR"))</f>
        <v>NO COMPRADOR</v>
      </c>
      <c r="AM151" s="101"/>
    </row>
    <row r="152" spans="1:43" s="104" customFormat="1" hidden="1">
      <c r="A152" s="88" t="s">
        <v>85</v>
      </c>
      <c r="B152" s="89" t="s">
        <v>236</v>
      </c>
      <c r="C152" s="89" t="s">
        <v>68</v>
      </c>
      <c r="D152" s="103">
        <v>100031199</v>
      </c>
      <c r="E152" s="89" t="s">
        <v>69</v>
      </c>
      <c r="F152" s="89">
        <v>100085167</v>
      </c>
      <c r="G152" s="128" t="s">
        <v>243</v>
      </c>
      <c r="H152"/>
      <c r="I152"/>
      <c r="J152"/>
      <c r="K152"/>
      <c r="L152"/>
      <c r="M152"/>
      <c r="N152"/>
      <c r="O152"/>
      <c r="P152"/>
      <c r="Q152"/>
      <c r="R152"/>
      <c r="S152" s="91">
        <v>0</v>
      </c>
      <c r="T152" s="94">
        <v>0</v>
      </c>
      <c r="U152" s="91">
        <v>0</v>
      </c>
      <c r="V152" s="129">
        <v>0</v>
      </c>
      <c r="W152" s="91">
        <v>0</v>
      </c>
      <c r="X152" s="129">
        <v>0</v>
      </c>
      <c r="Y152" s="91">
        <v>0</v>
      </c>
      <c r="Z152" s="129">
        <v>0</v>
      </c>
      <c r="AA152" s="155">
        <f t="shared" si="12"/>
        <v>0</v>
      </c>
      <c r="AB152" s="98">
        <f t="shared" si="12"/>
        <v>0</v>
      </c>
      <c r="AC152"/>
      <c r="AD152" s="97">
        <v>0</v>
      </c>
      <c r="AE152" s="92">
        <v>0</v>
      </c>
      <c r="AF152" s="98">
        <f t="shared" si="10"/>
        <v>0</v>
      </c>
      <c r="AG152" s="97">
        <v>0</v>
      </c>
      <c r="AH152" s="92">
        <v>0</v>
      </c>
      <c r="AI152" s="98">
        <f t="shared" si="11"/>
        <v>0</v>
      </c>
      <c r="AJ152" s="99">
        <f t="shared" si="9"/>
        <v>0</v>
      </c>
      <c r="AK152" s="102" t="str">
        <f>+IF(AB152+AA152+AJ152&lt;=0, "NO COMPRADOR", +IF(AJ152&lt;=0, "SIN COMPRA "&amp;+UPPER(TEXT('DINAMICA ENERO 26'!$C$2,"mmm 'yy")), "COMPRADOR"))</f>
        <v>NO COMPRADOR</v>
      </c>
      <c r="AL152" s="100"/>
      <c r="AM152" s="101"/>
      <c r="AN152" s="100"/>
      <c r="AO152" s="100"/>
      <c r="AP152" s="100"/>
    </row>
    <row r="153" spans="1:43" s="104" customFormat="1" hidden="1">
      <c r="A153" s="88" t="s">
        <v>85</v>
      </c>
      <c r="B153" s="89" t="s">
        <v>236</v>
      </c>
      <c r="C153" s="89" t="s">
        <v>68</v>
      </c>
      <c r="D153" s="103">
        <v>100031199</v>
      </c>
      <c r="E153" s="89" t="s">
        <v>69</v>
      </c>
      <c r="F153" s="89">
        <v>100085481</v>
      </c>
      <c r="G153" s="128" t="s">
        <v>244</v>
      </c>
      <c r="H153"/>
      <c r="I153"/>
      <c r="J153"/>
      <c r="K153"/>
      <c r="L153"/>
      <c r="M153"/>
      <c r="N153"/>
      <c r="O153"/>
      <c r="P153"/>
      <c r="Q153"/>
      <c r="R153"/>
      <c r="S153" s="91">
        <v>0</v>
      </c>
      <c r="T153" s="94">
        <v>0</v>
      </c>
      <c r="U153" s="91">
        <v>0</v>
      </c>
      <c r="V153" s="129">
        <v>0</v>
      </c>
      <c r="W153" s="91">
        <v>0</v>
      </c>
      <c r="X153" s="129">
        <v>0</v>
      </c>
      <c r="Y153" s="91">
        <v>0</v>
      </c>
      <c r="Z153" s="129">
        <v>0</v>
      </c>
      <c r="AA153" s="155">
        <f t="shared" si="12"/>
        <v>0</v>
      </c>
      <c r="AB153" s="98">
        <f t="shared" si="12"/>
        <v>0</v>
      </c>
      <c r="AC153"/>
      <c r="AD153" s="97">
        <v>0</v>
      </c>
      <c r="AE153" s="92">
        <v>0</v>
      </c>
      <c r="AF153" s="98">
        <f t="shared" si="10"/>
        <v>0</v>
      </c>
      <c r="AG153" s="97">
        <v>0</v>
      </c>
      <c r="AH153" s="92">
        <v>0</v>
      </c>
      <c r="AI153" s="98">
        <f t="shared" si="11"/>
        <v>0</v>
      </c>
      <c r="AJ153" s="99">
        <f t="shared" si="9"/>
        <v>0</v>
      </c>
      <c r="AK153" s="102" t="str">
        <f>+IF(AB153+AA153+AJ153&lt;=0, "NO COMPRADOR", +IF(AJ153&lt;=0, "SIN COMPRA "&amp;+UPPER(TEXT('DINAMICA ENERO 26'!$C$2,"mmm 'yy")), "COMPRADOR"))</f>
        <v>NO COMPRADOR</v>
      </c>
      <c r="AL153" s="100"/>
      <c r="AM153" s="101"/>
      <c r="AN153" s="100"/>
      <c r="AO153" s="100"/>
      <c r="AP153" s="100"/>
    </row>
    <row r="154" spans="1:43" s="100" customFormat="1" hidden="1">
      <c r="A154" s="88" t="s">
        <v>85</v>
      </c>
      <c r="B154" s="89" t="s">
        <v>236</v>
      </c>
      <c r="C154" s="89" t="s">
        <v>68</v>
      </c>
      <c r="D154" s="103">
        <v>100031199</v>
      </c>
      <c r="E154" s="89" t="s">
        <v>69</v>
      </c>
      <c r="F154" s="89">
        <v>100008613</v>
      </c>
      <c r="G154" s="128" t="s">
        <v>245</v>
      </c>
      <c r="H154"/>
      <c r="I154"/>
      <c r="J154"/>
      <c r="K154"/>
      <c r="L154"/>
      <c r="M154"/>
      <c r="N154"/>
      <c r="O154"/>
      <c r="P154"/>
      <c r="Q154"/>
      <c r="R154"/>
      <c r="S154" s="91">
        <v>0</v>
      </c>
      <c r="T154" s="94">
        <v>0</v>
      </c>
      <c r="U154" s="91">
        <v>0</v>
      </c>
      <c r="V154" s="129">
        <v>0</v>
      </c>
      <c r="W154" s="91">
        <v>0</v>
      </c>
      <c r="X154" s="129">
        <v>0</v>
      </c>
      <c r="Y154" s="91">
        <v>0</v>
      </c>
      <c r="Z154" s="129">
        <v>0</v>
      </c>
      <c r="AA154" s="155">
        <f t="shared" si="12"/>
        <v>0</v>
      </c>
      <c r="AB154" s="98">
        <f t="shared" si="12"/>
        <v>0</v>
      </c>
      <c r="AC154"/>
      <c r="AD154" s="97">
        <v>0</v>
      </c>
      <c r="AE154" s="92">
        <v>0</v>
      </c>
      <c r="AF154" s="98">
        <f t="shared" si="10"/>
        <v>0</v>
      </c>
      <c r="AG154" s="97">
        <v>0</v>
      </c>
      <c r="AH154" s="92">
        <v>0</v>
      </c>
      <c r="AI154" s="98">
        <f t="shared" si="11"/>
        <v>0</v>
      </c>
      <c r="AJ154" s="99">
        <f t="shared" si="9"/>
        <v>0</v>
      </c>
      <c r="AK154" s="102" t="str">
        <f>+IF(AB154+AA154+AJ154&lt;=0, "NO COMPRADOR", +IF(AJ154&lt;=0, "SIN COMPRA "&amp;+UPPER(TEXT('DINAMICA ENERO 26'!$C$2,"mmm 'yy")), "COMPRADOR"))</f>
        <v>NO COMPRADOR</v>
      </c>
      <c r="AM154" s="101"/>
    </row>
    <row r="155" spans="1:43" s="100" customFormat="1" hidden="1">
      <c r="A155" s="88" t="s">
        <v>85</v>
      </c>
      <c r="B155" s="89" t="s">
        <v>236</v>
      </c>
      <c r="C155" s="89" t="s">
        <v>68</v>
      </c>
      <c r="D155" s="103">
        <v>100031199</v>
      </c>
      <c r="E155" s="89" t="s">
        <v>69</v>
      </c>
      <c r="F155" s="89">
        <v>100002250</v>
      </c>
      <c r="G155" s="128" t="s">
        <v>246</v>
      </c>
      <c r="H155"/>
      <c r="I155"/>
      <c r="J155"/>
      <c r="K155"/>
      <c r="L155"/>
      <c r="M155"/>
      <c r="N155"/>
      <c r="O155"/>
      <c r="P155"/>
      <c r="Q155"/>
      <c r="R155"/>
      <c r="S155" s="91">
        <v>0</v>
      </c>
      <c r="T155" s="94">
        <v>0</v>
      </c>
      <c r="U155" s="91">
        <v>0</v>
      </c>
      <c r="V155" s="129">
        <v>0</v>
      </c>
      <c r="W155" s="91">
        <v>0</v>
      </c>
      <c r="X155" s="129">
        <v>0</v>
      </c>
      <c r="Y155" s="91">
        <v>0</v>
      </c>
      <c r="Z155" s="129">
        <v>0</v>
      </c>
      <c r="AA155" s="155">
        <f t="shared" si="12"/>
        <v>0</v>
      </c>
      <c r="AB155" s="98">
        <f t="shared" si="12"/>
        <v>0</v>
      </c>
      <c r="AC155"/>
      <c r="AD155" s="97">
        <v>0</v>
      </c>
      <c r="AE155" s="92">
        <v>0</v>
      </c>
      <c r="AF155" s="98">
        <f t="shared" si="10"/>
        <v>0</v>
      </c>
      <c r="AG155" s="97">
        <v>0</v>
      </c>
      <c r="AH155" s="92">
        <v>0</v>
      </c>
      <c r="AI155" s="98">
        <f t="shared" si="11"/>
        <v>0</v>
      </c>
      <c r="AJ155" s="99">
        <f t="shared" si="9"/>
        <v>0</v>
      </c>
      <c r="AK155" s="102" t="str">
        <f>+IF(AB155+AA155+AJ155&lt;=0, "NO COMPRADOR", +IF(AJ155&lt;=0, "SIN COMPRA "&amp;+UPPER(TEXT('DINAMICA ENERO 26'!$C$2,"mmm 'yy")), "COMPRADOR"))</f>
        <v>NO COMPRADOR</v>
      </c>
      <c r="AM155" s="101"/>
    </row>
    <row r="156" spans="1:43" s="104" customFormat="1" hidden="1">
      <c r="A156" s="88" t="s">
        <v>85</v>
      </c>
      <c r="B156" s="89" t="s">
        <v>236</v>
      </c>
      <c r="C156" s="89" t="s">
        <v>68</v>
      </c>
      <c r="D156" s="103">
        <v>100031199</v>
      </c>
      <c r="E156" s="89" t="s">
        <v>69</v>
      </c>
      <c r="F156" s="89">
        <v>100002229</v>
      </c>
      <c r="G156" s="128" t="s">
        <v>247</v>
      </c>
      <c r="H156"/>
      <c r="I156"/>
      <c r="J156"/>
      <c r="K156"/>
      <c r="L156"/>
      <c r="M156"/>
      <c r="N156"/>
      <c r="O156"/>
      <c r="P156"/>
      <c r="Q156"/>
      <c r="R156"/>
      <c r="S156" s="91">
        <v>0</v>
      </c>
      <c r="T156" s="94">
        <v>0</v>
      </c>
      <c r="U156" s="91">
        <v>0</v>
      </c>
      <c r="V156" s="129">
        <v>0</v>
      </c>
      <c r="W156" s="91">
        <v>0</v>
      </c>
      <c r="X156" s="129">
        <v>0</v>
      </c>
      <c r="Y156" s="91">
        <v>0</v>
      </c>
      <c r="Z156" s="129">
        <v>0</v>
      </c>
      <c r="AA156" s="155">
        <f t="shared" si="12"/>
        <v>0</v>
      </c>
      <c r="AB156" s="98">
        <f t="shared" si="12"/>
        <v>0</v>
      </c>
      <c r="AC156"/>
      <c r="AD156" s="97">
        <v>0</v>
      </c>
      <c r="AE156" s="92">
        <v>0</v>
      </c>
      <c r="AF156" s="98">
        <f t="shared" si="10"/>
        <v>0</v>
      </c>
      <c r="AG156" s="97">
        <v>0</v>
      </c>
      <c r="AH156" s="92">
        <v>0</v>
      </c>
      <c r="AI156" s="98">
        <f t="shared" si="11"/>
        <v>0</v>
      </c>
      <c r="AJ156" s="99">
        <f t="shared" si="9"/>
        <v>0</v>
      </c>
      <c r="AK156" s="102" t="str">
        <f>+IF(AB156+AA156+AJ156&lt;=0, "NO COMPRADOR", +IF(AJ156&lt;=0, "SIN COMPRA "&amp;+UPPER(TEXT('DINAMICA ENERO 26'!$C$2,"mmm 'yy")), "COMPRADOR"))</f>
        <v>NO COMPRADOR</v>
      </c>
      <c r="AL156" s="100"/>
      <c r="AM156" s="101"/>
      <c r="AN156" s="100"/>
      <c r="AO156" s="100"/>
      <c r="AP156" s="100"/>
    </row>
    <row r="157" spans="1:43" s="100" customFormat="1" hidden="1">
      <c r="A157" s="88" t="s">
        <v>85</v>
      </c>
      <c r="B157" s="89" t="s">
        <v>236</v>
      </c>
      <c r="C157" s="89" t="s">
        <v>68</v>
      </c>
      <c r="D157" s="103">
        <v>100031199</v>
      </c>
      <c r="E157" s="89" t="s">
        <v>69</v>
      </c>
      <c r="F157" s="89">
        <v>100022327</v>
      </c>
      <c r="G157" s="128" t="s">
        <v>248</v>
      </c>
      <c r="H157"/>
      <c r="I157"/>
      <c r="J157"/>
      <c r="K157"/>
      <c r="L157"/>
      <c r="M157"/>
      <c r="N157"/>
      <c r="O157"/>
      <c r="P157"/>
      <c r="Q157"/>
      <c r="R157"/>
      <c r="S157" s="91">
        <v>0</v>
      </c>
      <c r="T157" s="94">
        <v>0</v>
      </c>
      <c r="U157" s="91">
        <v>0</v>
      </c>
      <c r="V157" s="129">
        <v>0</v>
      </c>
      <c r="W157" s="91">
        <v>0</v>
      </c>
      <c r="X157" s="129">
        <v>0</v>
      </c>
      <c r="Y157" s="91">
        <v>0</v>
      </c>
      <c r="Z157" s="129">
        <v>0</v>
      </c>
      <c r="AA157" s="155">
        <f t="shared" si="12"/>
        <v>0</v>
      </c>
      <c r="AB157" s="98">
        <f t="shared" si="12"/>
        <v>0</v>
      </c>
      <c r="AC157"/>
      <c r="AD157" s="97">
        <v>0</v>
      </c>
      <c r="AE157" s="92">
        <v>0</v>
      </c>
      <c r="AF157" s="98">
        <f t="shared" si="10"/>
        <v>0</v>
      </c>
      <c r="AG157" s="97">
        <v>0</v>
      </c>
      <c r="AH157" s="92">
        <v>0</v>
      </c>
      <c r="AI157" s="98">
        <f t="shared" si="11"/>
        <v>0</v>
      </c>
      <c r="AJ157" s="99">
        <f t="shared" si="9"/>
        <v>0</v>
      </c>
      <c r="AK157" s="102" t="str">
        <f>+IF(AB157+AA157+AJ157&lt;=0, "NO COMPRADOR", +IF(AJ157&lt;=0, "SIN COMPRA "&amp;+UPPER(TEXT('DINAMICA ENERO 26'!$C$2,"mmm 'yy")), "COMPRADOR"))</f>
        <v>NO COMPRADOR</v>
      </c>
      <c r="AM157" s="101"/>
    </row>
    <row r="158" spans="1:43" s="100" customFormat="1" hidden="1">
      <c r="A158" s="88" t="s">
        <v>85</v>
      </c>
      <c r="B158" s="89" t="s">
        <v>236</v>
      </c>
      <c r="C158" s="89" t="s">
        <v>68</v>
      </c>
      <c r="D158" s="103">
        <v>100031199</v>
      </c>
      <c r="E158" s="89" t="s">
        <v>69</v>
      </c>
      <c r="F158" s="89">
        <v>100002225</v>
      </c>
      <c r="G158" s="128" t="s">
        <v>249</v>
      </c>
      <c r="H158"/>
      <c r="I158"/>
      <c r="J158"/>
      <c r="K158"/>
      <c r="L158"/>
      <c r="M158"/>
      <c r="N158"/>
      <c r="O158"/>
      <c r="P158"/>
      <c r="Q158"/>
      <c r="R158"/>
      <c r="S158" s="91">
        <v>0</v>
      </c>
      <c r="T158" s="94">
        <v>0</v>
      </c>
      <c r="U158" s="91">
        <v>0</v>
      </c>
      <c r="V158" s="129">
        <v>0</v>
      </c>
      <c r="W158" s="91">
        <v>0</v>
      </c>
      <c r="X158" s="129">
        <v>0</v>
      </c>
      <c r="Y158" s="91">
        <v>0</v>
      </c>
      <c r="Z158" s="129">
        <v>0</v>
      </c>
      <c r="AA158" s="155">
        <f t="shared" si="12"/>
        <v>0</v>
      </c>
      <c r="AB158" s="98">
        <f t="shared" si="12"/>
        <v>0</v>
      </c>
      <c r="AC158"/>
      <c r="AD158" s="97">
        <v>0</v>
      </c>
      <c r="AE158" s="92">
        <v>0</v>
      </c>
      <c r="AF158" s="98">
        <f t="shared" si="10"/>
        <v>0</v>
      </c>
      <c r="AG158" s="97">
        <v>0</v>
      </c>
      <c r="AH158" s="92">
        <v>0</v>
      </c>
      <c r="AI158" s="98">
        <f t="shared" si="11"/>
        <v>0</v>
      </c>
      <c r="AJ158" s="99">
        <f t="shared" si="9"/>
        <v>0</v>
      </c>
      <c r="AK158" s="102" t="str">
        <f>+IF(AB158+AA158+AJ158&lt;=0, "NO COMPRADOR", +IF(AJ158&lt;=0, "SIN COMPRA "&amp;+UPPER(TEXT('DINAMICA ENERO 26'!$C$2,"mmm 'yy")), "COMPRADOR"))</f>
        <v>NO COMPRADOR</v>
      </c>
      <c r="AM158" s="101"/>
    </row>
    <row r="159" spans="1:43" s="100" customFormat="1" hidden="1">
      <c r="A159" s="88" t="s">
        <v>85</v>
      </c>
      <c r="B159" s="89" t="s">
        <v>236</v>
      </c>
      <c r="C159" s="89" t="s">
        <v>68</v>
      </c>
      <c r="D159" s="103">
        <v>100031199</v>
      </c>
      <c r="E159" s="89" t="s">
        <v>69</v>
      </c>
      <c r="F159" s="89">
        <v>100071477</v>
      </c>
      <c r="G159" s="128" t="s">
        <v>250</v>
      </c>
      <c r="H159"/>
      <c r="I159"/>
      <c r="J159"/>
      <c r="K159"/>
      <c r="L159"/>
      <c r="M159"/>
      <c r="N159"/>
      <c r="O159"/>
      <c r="P159"/>
      <c r="Q159"/>
      <c r="R159"/>
      <c r="S159" s="91">
        <v>0</v>
      </c>
      <c r="T159" s="94">
        <v>0</v>
      </c>
      <c r="U159" s="91">
        <v>0</v>
      </c>
      <c r="V159" s="129">
        <v>0</v>
      </c>
      <c r="W159" s="91">
        <v>0</v>
      </c>
      <c r="X159" s="129">
        <v>0</v>
      </c>
      <c r="Y159" s="91">
        <v>0</v>
      </c>
      <c r="Z159" s="129">
        <v>0</v>
      </c>
      <c r="AA159" s="155">
        <f t="shared" si="12"/>
        <v>0</v>
      </c>
      <c r="AB159" s="98">
        <f t="shared" si="12"/>
        <v>0</v>
      </c>
      <c r="AC159"/>
      <c r="AD159" s="97">
        <v>0</v>
      </c>
      <c r="AE159" s="92">
        <v>0</v>
      </c>
      <c r="AF159" s="98">
        <f>+AD159+AE159</f>
        <v>0</v>
      </c>
      <c r="AG159" s="97">
        <v>0</v>
      </c>
      <c r="AH159" s="92">
        <v>0</v>
      </c>
      <c r="AI159" s="98">
        <f>+AG159+AH159</f>
        <v>0</v>
      </c>
      <c r="AJ159" s="99">
        <f t="shared" si="9"/>
        <v>0</v>
      </c>
      <c r="AK159" s="102" t="str">
        <f>+IF(AB159+AA159+AJ159&lt;=0, "NO COMPRADOR", +IF(AJ159&lt;=0, "SIN COMPRA "&amp;+UPPER(TEXT('DINAMICA ENERO 26'!$C$2,"mmm 'yy")), "COMPRADOR"))</f>
        <v>NO COMPRADOR</v>
      </c>
      <c r="AM159" s="101"/>
    </row>
    <row r="160" spans="1:43" s="100" customFormat="1" hidden="1">
      <c r="A160" s="88" t="s">
        <v>85</v>
      </c>
      <c r="B160" s="89" t="s">
        <v>236</v>
      </c>
      <c r="C160" s="89" t="s">
        <v>68</v>
      </c>
      <c r="D160" s="103">
        <v>100031199</v>
      </c>
      <c r="E160" s="89" t="s">
        <v>69</v>
      </c>
      <c r="F160" s="89">
        <v>100073868</v>
      </c>
      <c r="G160" s="128" t="s">
        <v>251</v>
      </c>
      <c r="H160"/>
      <c r="I160"/>
      <c r="J160"/>
      <c r="K160"/>
      <c r="L160"/>
      <c r="M160"/>
      <c r="N160"/>
      <c r="O160"/>
      <c r="P160"/>
      <c r="Q160"/>
      <c r="R160"/>
      <c r="S160" s="91">
        <v>0</v>
      </c>
      <c r="T160" s="94">
        <v>0</v>
      </c>
      <c r="U160" s="91">
        <v>0</v>
      </c>
      <c r="V160" s="129">
        <v>0</v>
      </c>
      <c r="W160" s="91">
        <v>0</v>
      </c>
      <c r="X160" s="129">
        <v>0</v>
      </c>
      <c r="Y160" s="91">
        <v>0</v>
      </c>
      <c r="Z160" s="129">
        <v>0</v>
      </c>
      <c r="AA160" s="155">
        <f t="shared" si="12"/>
        <v>0</v>
      </c>
      <c r="AB160" s="98">
        <f t="shared" si="12"/>
        <v>0</v>
      </c>
      <c r="AC160"/>
      <c r="AD160" s="97">
        <v>0</v>
      </c>
      <c r="AE160" s="92">
        <v>0</v>
      </c>
      <c r="AF160" s="98">
        <f t="shared" si="10"/>
        <v>0</v>
      </c>
      <c r="AG160" s="97">
        <v>0</v>
      </c>
      <c r="AH160" s="92">
        <v>0</v>
      </c>
      <c r="AI160" s="98">
        <f t="shared" ref="AI160:AI165" si="13">+AG160+AH160</f>
        <v>0</v>
      </c>
      <c r="AJ160" s="99">
        <f t="shared" si="9"/>
        <v>0</v>
      </c>
      <c r="AK160" s="102" t="str">
        <f>+IF(AB160+AA160+AJ160&lt;=0, "NO COMPRADOR", +IF(AJ160&lt;=0, "SIN COMPRA "&amp;+UPPER(TEXT('DINAMICA ENERO 26'!$C$2,"mmm 'yy")), "COMPRADOR"))</f>
        <v>NO COMPRADOR</v>
      </c>
      <c r="AM160" s="101"/>
      <c r="AQ160" s="100" t="e">
        <f>+VLOOKUP(AO160,Veggies!X:Y,2,FALSE)</f>
        <v>#N/A</v>
      </c>
    </row>
    <row r="161" spans="1:43" s="100" customFormat="1" hidden="1">
      <c r="A161" s="88" t="s">
        <v>85</v>
      </c>
      <c r="B161" s="89" t="s">
        <v>236</v>
      </c>
      <c r="C161" s="89" t="s">
        <v>68</v>
      </c>
      <c r="D161" s="103">
        <v>100031199</v>
      </c>
      <c r="E161" s="89" t="s">
        <v>69</v>
      </c>
      <c r="F161" s="89">
        <v>100040021</v>
      </c>
      <c r="G161" s="128" t="s">
        <v>252</v>
      </c>
      <c r="H161"/>
      <c r="I161"/>
      <c r="J161"/>
      <c r="K161"/>
      <c r="L161"/>
      <c r="M161"/>
      <c r="N161"/>
      <c r="O161"/>
      <c r="P161"/>
      <c r="Q161"/>
      <c r="R161"/>
      <c r="S161" s="91">
        <v>0</v>
      </c>
      <c r="T161" s="94">
        <v>0</v>
      </c>
      <c r="U161" s="91">
        <v>0</v>
      </c>
      <c r="V161" s="129">
        <v>0</v>
      </c>
      <c r="W161" s="91">
        <v>0</v>
      </c>
      <c r="X161" s="129">
        <v>0</v>
      </c>
      <c r="Y161" s="91">
        <v>0</v>
      </c>
      <c r="Z161" s="129">
        <v>0</v>
      </c>
      <c r="AA161" s="155">
        <f t="shared" si="12"/>
        <v>0</v>
      </c>
      <c r="AB161" s="98">
        <f t="shared" si="12"/>
        <v>0</v>
      </c>
      <c r="AC161"/>
      <c r="AD161" s="97">
        <v>0</v>
      </c>
      <c r="AE161" s="92">
        <v>0</v>
      </c>
      <c r="AF161" s="98">
        <f t="shared" si="10"/>
        <v>0</v>
      </c>
      <c r="AG161" s="97">
        <v>0</v>
      </c>
      <c r="AH161" s="92">
        <v>0</v>
      </c>
      <c r="AI161" s="98">
        <f t="shared" si="13"/>
        <v>0</v>
      </c>
      <c r="AJ161" s="99">
        <f t="shared" si="9"/>
        <v>0</v>
      </c>
      <c r="AK161" s="102" t="str">
        <f>+IF(AB161+AA161+AJ161&lt;=0, "NO COMPRADOR", +IF(AJ161&lt;=0, "SIN COMPRA "&amp;+UPPER(TEXT('DINAMICA ENERO 26'!$C$2,"mmm 'yy")), "COMPRADOR"))</f>
        <v>NO COMPRADOR</v>
      </c>
      <c r="AM161" s="101"/>
      <c r="AQ161" s="100" t="e">
        <f>+VLOOKUP(AO161,Veggies!X:Y,2,FALSE)</f>
        <v>#N/A</v>
      </c>
    </row>
    <row r="162" spans="1:43" s="100" customFormat="1" hidden="1">
      <c r="A162" s="88" t="s">
        <v>85</v>
      </c>
      <c r="B162" s="89" t="s">
        <v>236</v>
      </c>
      <c r="C162" s="89" t="s">
        <v>68</v>
      </c>
      <c r="D162" s="103">
        <v>100031199</v>
      </c>
      <c r="E162" s="89" t="s">
        <v>69</v>
      </c>
      <c r="F162" s="89">
        <v>100019451</v>
      </c>
      <c r="G162" s="128" t="s">
        <v>253</v>
      </c>
      <c r="H162"/>
      <c r="I162"/>
      <c r="J162"/>
      <c r="K162"/>
      <c r="L162"/>
      <c r="M162"/>
      <c r="N162"/>
      <c r="O162"/>
      <c r="P162"/>
      <c r="Q162"/>
      <c r="R162"/>
      <c r="S162" s="91">
        <v>0</v>
      </c>
      <c r="T162" s="94">
        <v>0</v>
      </c>
      <c r="U162" s="91">
        <v>0</v>
      </c>
      <c r="V162" s="129">
        <v>0</v>
      </c>
      <c r="W162" s="91">
        <v>0</v>
      </c>
      <c r="X162" s="129">
        <v>0</v>
      </c>
      <c r="Y162" s="91">
        <v>0</v>
      </c>
      <c r="Z162" s="129">
        <v>0</v>
      </c>
      <c r="AA162" s="155">
        <f t="shared" si="12"/>
        <v>0</v>
      </c>
      <c r="AB162" s="98">
        <f t="shared" si="12"/>
        <v>0</v>
      </c>
      <c r="AC162"/>
      <c r="AD162" s="97">
        <v>0</v>
      </c>
      <c r="AE162" s="92">
        <v>0</v>
      </c>
      <c r="AF162" s="98">
        <f t="shared" si="10"/>
        <v>0</v>
      </c>
      <c r="AG162" s="97">
        <v>0</v>
      </c>
      <c r="AH162" s="92">
        <v>0</v>
      </c>
      <c r="AI162" s="98">
        <f t="shared" si="13"/>
        <v>0</v>
      </c>
      <c r="AJ162" s="99">
        <f t="shared" si="9"/>
        <v>0</v>
      </c>
      <c r="AK162" s="102" t="str">
        <f>+IF(AB162+AA162+AJ162&lt;=0, "NO COMPRADOR", +IF(AJ162&lt;=0, "SIN COMPRA "&amp;+UPPER(TEXT('DINAMICA ENERO 26'!$C$2,"mmm 'yy")), "COMPRADOR"))</f>
        <v>NO COMPRADOR</v>
      </c>
      <c r="AM162" s="101"/>
      <c r="AQ162" s="100" t="e">
        <f>+VLOOKUP(AO162,Veggies!X:Y,2,FALSE)</f>
        <v>#N/A</v>
      </c>
    </row>
    <row r="163" spans="1:43" s="100" customFormat="1" hidden="1">
      <c r="A163" s="88" t="s">
        <v>85</v>
      </c>
      <c r="B163" s="89" t="s">
        <v>236</v>
      </c>
      <c r="C163" s="89" t="s">
        <v>68</v>
      </c>
      <c r="D163" s="103">
        <v>100031199</v>
      </c>
      <c r="E163" s="89" t="s">
        <v>69</v>
      </c>
      <c r="F163" s="89">
        <v>100066048</v>
      </c>
      <c r="G163" s="128" t="s">
        <v>254</v>
      </c>
      <c r="H163"/>
      <c r="I163"/>
      <c r="J163"/>
      <c r="K163"/>
      <c r="L163"/>
      <c r="M163"/>
      <c r="N163"/>
      <c r="O163"/>
      <c r="P163"/>
      <c r="Q163"/>
      <c r="R163"/>
      <c r="S163" s="91">
        <v>0</v>
      </c>
      <c r="T163" s="94">
        <v>0</v>
      </c>
      <c r="U163" s="91">
        <v>0</v>
      </c>
      <c r="V163" s="129">
        <v>0</v>
      </c>
      <c r="W163" s="91">
        <v>0</v>
      </c>
      <c r="X163" s="129">
        <v>0</v>
      </c>
      <c r="Y163" s="91">
        <v>0</v>
      </c>
      <c r="Z163" s="129">
        <v>0</v>
      </c>
      <c r="AA163" s="155">
        <f t="shared" si="12"/>
        <v>0</v>
      </c>
      <c r="AB163" s="98">
        <f t="shared" si="12"/>
        <v>0</v>
      </c>
      <c r="AC163"/>
      <c r="AD163" s="97">
        <v>0</v>
      </c>
      <c r="AE163" s="92">
        <v>0</v>
      </c>
      <c r="AF163" s="98">
        <f t="shared" si="10"/>
        <v>0</v>
      </c>
      <c r="AG163" s="97">
        <v>0</v>
      </c>
      <c r="AH163" s="92">
        <v>0</v>
      </c>
      <c r="AI163" s="98">
        <f t="shared" si="13"/>
        <v>0</v>
      </c>
      <c r="AJ163" s="99">
        <f t="shared" si="9"/>
        <v>0</v>
      </c>
      <c r="AK163" s="102" t="str">
        <f>+IF(AB163+AA163+AJ163&lt;=0, "NO COMPRADOR", +IF(AJ163&lt;=0, "SIN COMPRA "&amp;+UPPER(TEXT('DINAMICA ENERO 26'!$C$2,"mmm 'yy")), "COMPRADOR"))</f>
        <v>NO COMPRADOR</v>
      </c>
      <c r="AM163" s="101"/>
      <c r="AQ163" s="100" t="e">
        <f>+VLOOKUP(AO163,Veggies!X:Y,2,FALSE)</f>
        <v>#N/A</v>
      </c>
    </row>
    <row r="164" spans="1:43" s="100" customFormat="1" hidden="1">
      <c r="A164" s="88" t="s">
        <v>85</v>
      </c>
      <c r="B164" s="89" t="s">
        <v>236</v>
      </c>
      <c r="C164" s="89" t="s">
        <v>68</v>
      </c>
      <c r="D164" s="103">
        <v>100031199</v>
      </c>
      <c r="E164" s="89" t="s">
        <v>69</v>
      </c>
      <c r="F164" s="89">
        <v>100086078</v>
      </c>
      <c r="G164" s="128" t="s">
        <v>255</v>
      </c>
      <c r="H164"/>
      <c r="I164"/>
      <c r="J164"/>
      <c r="K164"/>
      <c r="L164"/>
      <c r="M164"/>
      <c r="N164"/>
      <c r="O164"/>
      <c r="P164"/>
      <c r="Q164"/>
      <c r="R164"/>
      <c r="S164" s="91">
        <v>0</v>
      </c>
      <c r="T164" s="94">
        <v>0</v>
      </c>
      <c r="U164" s="91">
        <v>0</v>
      </c>
      <c r="V164" s="129">
        <v>0</v>
      </c>
      <c r="W164" s="91">
        <v>0</v>
      </c>
      <c r="X164" s="129">
        <v>0</v>
      </c>
      <c r="Y164" s="91">
        <v>0</v>
      </c>
      <c r="Z164" s="129">
        <v>0</v>
      </c>
      <c r="AA164" s="155">
        <f t="shared" si="12"/>
        <v>0</v>
      </c>
      <c r="AB164" s="98">
        <f t="shared" si="12"/>
        <v>0</v>
      </c>
      <c r="AC164"/>
      <c r="AD164" s="97">
        <v>0</v>
      </c>
      <c r="AE164" s="92">
        <v>0</v>
      </c>
      <c r="AF164" s="98">
        <f t="shared" si="10"/>
        <v>0</v>
      </c>
      <c r="AG164" s="97">
        <v>0</v>
      </c>
      <c r="AH164" s="92">
        <v>0</v>
      </c>
      <c r="AI164" s="98">
        <f t="shared" si="13"/>
        <v>0</v>
      </c>
      <c r="AJ164" s="99">
        <f t="shared" si="9"/>
        <v>0</v>
      </c>
      <c r="AK164" s="102" t="str">
        <f>+IF(AB164+AA164+AJ164&lt;=0, "NO COMPRADOR", +IF(AJ164&lt;=0, "SIN COMPRA "&amp;+UPPER(TEXT('DINAMICA ENERO 26'!$C$2,"mmm 'yy")), "COMPRADOR"))</f>
        <v>NO COMPRADOR</v>
      </c>
      <c r="AM164" s="101"/>
    </row>
    <row r="165" spans="1:43" s="100" customFormat="1" hidden="1">
      <c r="A165" s="88" t="s">
        <v>85</v>
      </c>
      <c r="B165" s="89" t="s">
        <v>236</v>
      </c>
      <c r="C165" s="89" t="s">
        <v>68</v>
      </c>
      <c r="D165" s="103">
        <v>100031199</v>
      </c>
      <c r="E165" s="89" t="s">
        <v>69</v>
      </c>
      <c r="F165" s="89">
        <v>100089860</v>
      </c>
      <c r="G165" s="128" t="s">
        <v>256</v>
      </c>
      <c r="H165"/>
      <c r="I165"/>
      <c r="J165"/>
      <c r="K165"/>
      <c r="L165"/>
      <c r="M165"/>
      <c r="N165"/>
      <c r="O165"/>
      <c r="P165"/>
      <c r="Q165"/>
      <c r="R165"/>
      <c r="S165" s="91">
        <v>0</v>
      </c>
      <c r="T165" s="94">
        <v>0</v>
      </c>
      <c r="U165" s="91">
        <v>0</v>
      </c>
      <c r="V165" s="129">
        <v>0</v>
      </c>
      <c r="W165" s="91">
        <v>0</v>
      </c>
      <c r="X165" s="129">
        <v>0</v>
      </c>
      <c r="Y165" s="91">
        <v>0</v>
      </c>
      <c r="Z165" s="129">
        <v>0</v>
      </c>
      <c r="AA165" s="155">
        <f t="shared" si="12"/>
        <v>0</v>
      </c>
      <c r="AB165" s="98">
        <f t="shared" si="12"/>
        <v>0</v>
      </c>
      <c r="AC165"/>
      <c r="AD165" s="97">
        <v>0</v>
      </c>
      <c r="AE165" s="92">
        <v>0</v>
      </c>
      <c r="AF165" s="98">
        <f t="shared" si="10"/>
        <v>0</v>
      </c>
      <c r="AG165" s="97">
        <v>0</v>
      </c>
      <c r="AH165" s="92">
        <v>0</v>
      </c>
      <c r="AI165" s="98">
        <f t="shared" si="13"/>
        <v>0</v>
      </c>
      <c r="AJ165" s="99">
        <f t="shared" si="9"/>
        <v>0</v>
      </c>
      <c r="AK165" s="102" t="str">
        <f>+IF(AB165+AA165+AJ165&lt;=0, "NO COMPRADOR", +IF(AJ165&lt;=0, "SIN COMPRA "&amp;+UPPER(TEXT('DINAMICA ENERO 26'!$C$2,"mmm 'yy")), "COMPRADOR"))</f>
        <v>NO COMPRADOR</v>
      </c>
      <c r="AM165" s="101"/>
      <c r="AQ165" s="100" t="e">
        <f>+VLOOKUP(AO165,Veggies!X:Y,2,FALSE)</f>
        <v>#N/A</v>
      </c>
    </row>
    <row r="166" spans="1:43" s="100" customFormat="1" hidden="1">
      <c r="A166" s="88" t="s">
        <v>85</v>
      </c>
      <c r="B166" s="89" t="s">
        <v>257</v>
      </c>
      <c r="C166" s="89" t="s">
        <v>43</v>
      </c>
      <c r="D166" s="103">
        <v>100088690</v>
      </c>
      <c r="E166" s="89" t="s">
        <v>45</v>
      </c>
      <c r="F166" s="89">
        <v>100080700</v>
      </c>
      <c r="G166" s="128" t="s">
        <v>258</v>
      </c>
      <c r="H166"/>
      <c r="I166"/>
      <c r="J166"/>
      <c r="K166"/>
      <c r="L166"/>
      <c r="M166"/>
      <c r="N166"/>
      <c r="O166"/>
      <c r="P166"/>
      <c r="Q166"/>
      <c r="R166"/>
      <c r="S166" s="91">
        <v>2.16</v>
      </c>
      <c r="T166" s="94">
        <v>2.16</v>
      </c>
      <c r="U166" s="91">
        <v>0</v>
      </c>
      <c r="V166" s="129">
        <v>0</v>
      </c>
      <c r="W166" s="91">
        <v>2.16</v>
      </c>
      <c r="X166" s="129">
        <v>2.16</v>
      </c>
      <c r="Y166" s="91">
        <v>-2.16</v>
      </c>
      <c r="Z166" s="129">
        <v>-2.16</v>
      </c>
      <c r="AA166" s="155">
        <f t="shared" si="12"/>
        <v>0</v>
      </c>
      <c r="AB166" s="98">
        <f t="shared" si="12"/>
        <v>0</v>
      </c>
      <c r="AC166"/>
      <c r="AD166" s="97">
        <v>0</v>
      </c>
      <c r="AE166" s="92">
        <v>0</v>
      </c>
      <c r="AF166" s="98">
        <f>+AD166+AE166</f>
        <v>0</v>
      </c>
      <c r="AG166" s="97">
        <v>0</v>
      </c>
      <c r="AH166" s="92">
        <v>0</v>
      </c>
      <c r="AI166" s="98">
        <f>+AG166+AH166</f>
        <v>0</v>
      </c>
      <c r="AJ166" s="99">
        <f t="shared" si="9"/>
        <v>0</v>
      </c>
      <c r="AK166" s="102" t="str">
        <f>+IF(AB166+AA166+AJ166&lt;=0, "NO COMPRADOR", +IF(AJ166&lt;=0, "SIN COMPRA "&amp;+UPPER(TEXT('DINAMICA ENERO 26'!$C$2,"mmm 'yy")), "COMPRADOR"))</f>
        <v>NO COMPRADOR</v>
      </c>
      <c r="AM166" s="101"/>
    </row>
    <row r="167" spans="1:43" s="104" customFormat="1" hidden="1">
      <c r="A167" s="88" t="s">
        <v>85</v>
      </c>
      <c r="B167" s="89" t="s">
        <v>257</v>
      </c>
      <c r="C167" s="89" t="s">
        <v>43</v>
      </c>
      <c r="D167" s="103">
        <v>100088690</v>
      </c>
      <c r="E167" s="89" t="s">
        <v>45</v>
      </c>
      <c r="F167" s="89">
        <v>100082871</v>
      </c>
      <c r="G167" s="128" t="s">
        <v>259</v>
      </c>
      <c r="H167"/>
      <c r="I167"/>
      <c r="J167"/>
      <c r="K167"/>
      <c r="L167"/>
      <c r="M167"/>
      <c r="N167"/>
      <c r="O167"/>
      <c r="P167"/>
      <c r="Q167"/>
      <c r="R167"/>
      <c r="S167" s="91">
        <v>2.16</v>
      </c>
      <c r="T167" s="94">
        <v>2.16</v>
      </c>
      <c r="U167" s="91">
        <v>0</v>
      </c>
      <c r="V167" s="129">
        <v>0</v>
      </c>
      <c r="W167" s="91">
        <v>2.16</v>
      </c>
      <c r="X167" s="129">
        <v>2.16</v>
      </c>
      <c r="Y167" s="91">
        <v>0</v>
      </c>
      <c r="Z167" s="129">
        <v>0</v>
      </c>
      <c r="AA167" s="155">
        <f t="shared" si="12"/>
        <v>0.72000000000000008</v>
      </c>
      <c r="AB167" s="98">
        <f t="shared" si="12"/>
        <v>0.72000000000000008</v>
      </c>
      <c r="AC167"/>
      <c r="AD167" s="97">
        <v>0</v>
      </c>
      <c r="AE167" s="92">
        <v>0</v>
      </c>
      <c r="AF167" s="98">
        <f t="shared" si="10"/>
        <v>0</v>
      </c>
      <c r="AG167" s="97">
        <v>0</v>
      </c>
      <c r="AH167" s="92">
        <v>0</v>
      </c>
      <c r="AI167" s="98">
        <f t="shared" ref="AI167:AI230" si="14">+AG167+AH167</f>
        <v>0</v>
      </c>
      <c r="AJ167" s="99">
        <f t="shared" si="9"/>
        <v>0</v>
      </c>
      <c r="AK167" s="102" t="str">
        <f>+IF(AB167+AA167+AJ167&lt;=0, "NO COMPRADOR", +IF(AJ167&lt;=0, "SIN COMPRA "&amp;+UPPER(TEXT('DINAMICA ENERO 26'!$C$2,"mmm 'yy")), "COMPRADOR"))</f>
        <v>SIN COMPRA FEB '26</v>
      </c>
      <c r="AL167" s="100"/>
      <c r="AM167" s="101"/>
      <c r="AN167" s="100"/>
      <c r="AO167" s="100"/>
      <c r="AP167" s="100"/>
    </row>
    <row r="168" spans="1:43" s="104" customFormat="1" hidden="1">
      <c r="A168" s="88" t="s">
        <v>85</v>
      </c>
      <c r="B168" s="89" t="s">
        <v>257</v>
      </c>
      <c r="C168" s="89" t="s">
        <v>43</v>
      </c>
      <c r="D168" s="103">
        <v>100088690</v>
      </c>
      <c r="E168" s="89" t="s">
        <v>45</v>
      </c>
      <c r="F168" s="89">
        <v>100001500</v>
      </c>
      <c r="G168" s="128" t="s">
        <v>260</v>
      </c>
      <c r="H168"/>
      <c r="I168"/>
      <c r="J168"/>
      <c r="K168"/>
      <c r="L168"/>
      <c r="M168"/>
      <c r="N168"/>
      <c r="O168"/>
      <c r="P168"/>
      <c r="Q168"/>
      <c r="R168"/>
      <c r="S168" s="91">
        <v>0</v>
      </c>
      <c r="T168" s="94">
        <v>0</v>
      </c>
      <c r="U168" s="91">
        <v>0</v>
      </c>
      <c r="V168" s="129">
        <v>0</v>
      </c>
      <c r="W168" s="91">
        <v>0</v>
      </c>
      <c r="X168" s="129">
        <v>0</v>
      </c>
      <c r="Y168" s="91">
        <v>0</v>
      </c>
      <c r="Z168" s="129">
        <v>0</v>
      </c>
      <c r="AA168" s="155">
        <f t="shared" si="12"/>
        <v>0</v>
      </c>
      <c r="AB168" s="98">
        <f t="shared" si="12"/>
        <v>0</v>
      </c>
      <c r="AC168"/>
      <c r="AD168" s="97">
        <v>0</v>
      </c>
      <c r="AE168" s="92">
        <v>0</v>
      </c>
      <c r="AF168" s="98">
        <f t="shared" si="10"/>
        <v>0</v>
      </c>
      <c r="AG168" s="97">
        <v>0</v>
      </c>
      <c r="AH168" s="92">
        <v>0</v>
      </c>
      <c r="AI168" s="98">
        <f t="shared" si="14"/>
        <v>0</v>
      </c>
      <c r="AJ168" s="99">
        <f t="shared" si="9"/>
        <v>0</v>
      </c>
      <c r="AK168" s="102" t="str">
        <f>+IF(AB168+AA168+AJ168&lt;=0, "NO COMPRADOR", +IF(AJ168&lt;=0, "SIN COMPRA "&amp;+UPPER(TEXT('DINAMICA ENERO 26'!$C$2,"mmm 'yy")), "COMPRADOR"))</f>
        <v>NO COMPRADOR</v>
      </c>
      <c r="AL168" s="100"/>
      <c r="AM168" s="101"/>
      <c r="AN168" s="100"/>
      <c r="AO168" s="100"/>
      <c r="AP168" s="100"/>
    </row>
    <row r="169" spans="1:43" s="104" customFormat="1" hidden="1">
      <c r="A169" s="88" t="s">
        <v>85</v>
      </c>
      <c r="B169" s="89" t="s">
        <v>257</v>
      </c>
      <c r="C169" s="89" t="s">
        <v>43</v>
      </c>
      <c r="D169" s="103">
        <v>100088690</v>
      </c>
      <c r="E169" s="89" t="s">
        <v>45</v>
      </c>
      <c r="F169" s="89">
        <v>100026401</v>
      </c>
      <c r="G169" s="128" t="s">
        <v>261</v>
      </c>
      <c r="H169"/>
      <c r="I169"/>
      <c r="J169"/>
      <c r="K169"/>
      <c r="L169"/>
      <c r="M169"/>
      <c r="N169"/>
      <c r="O169"/>
      <c r="P169"/>
      <c r="Q169"/>
      <c r="R169"/>
      <c r="S169" s="91">
        <v>10.8</v>
      </c>
      <c r="T169" s="94">
        <v>10.8</v>
      </c>
      <c r="U169" s="91">
        <v>8.64</v>
      </c>
      <c r="V169" s="129">
        <v>6.48</v>
      </c>
      <c r="W169" s="91">
        <v>28.080000000000002</v>
      </c>
      <c r="X169" s="129">
        <v>23.76</v>
      </c>
      <c r="Y169" s="91">
        <v>12.96</v>
      </c>
      <c r="Z169" s="129">
        <v>12.96</v>
      </c>
      <c r="AA169" s="155">
        <f t="shared" si="12"/>
        <v>16.559999999999999</v>
      </c>
      <c r="AB169" s="98">
        <f t="shared" si="12"/>
        <v>14.4</v>
      </c>
      <c r="AC169"/>
      <c r="AD169" s="97">
        <v>12.96</v>
      </c>
      <c r="AE169" s="92">
        <v>0</v>
      </c>
      <c r="AF169" s="98">
        <f t="shared" si="10"/>
        <v>12.96</v>
      </c>
      <c r="AG169" s="97">
        <v>6.48</v>
      </c>
      <c r="AH169" s="92">
        <v>0</v>
      </c>
      <c r="AI169" s="98">
        <f t="shared" si="14"/>
        <v>6.48</v>
      </c>
      <c r="AJ169" s="99">
        <f t="shared" si="9"/>
        <v>19.440000000000001</v>
      </c>
      <c r="AK169" s="102" t="str">
        <f>+IF(AB169+AA169+AJ169&lt;=0, "NO COMPRADOR", +IF(AJ169&lt;=0, "SIN COMPRA "&amp;+UPPER(TEXT('DINAMICA ENERO 26'!$C$2,"mmm 'yy")), "COMPRADOR"))</f>
        <v>COMPRADOR</v>
      </c>
      <c r="AL169" s="100"/>
      <c r="AM169" s="101"/>
      <c r="AN169" s="100"/>
      <c r="AO169" s="100"/>
      <c r="AP169" s="100"/>
    </row>
    <row r="170" spans="1:43" s="100" customFormat="1" hidden="1">
      <c r="A170" s="88" t="s">
        <v>85</v>
      </c>
      <c r="B170" s="89" t="s">
        <v>257</v>
      </c>
      <c r="C170" s="89" t="s">
        <v>43</v>
      </c>
      <c r="D170" s="103">
        <v>100088690</v>
      </c>
      <c r="E170" s="89" t="s">
        <v>45</v>
      </c>
      <c r="F170" s="89">
        <v>100067627</v>
      </c>
      <c r="G170" s="128" t="s">
        <v>262</v>
      </c>
      <c r="H170"/>
      <c r="I170"/>
      <c r="J170"/>
      <c r="K170"/>
      <c r="L170"/>
      <c r="M170"/>
      <c r="N170"/>
      <c r="O170"/>
      <c r="P170"/>
      <c r="Q170"/>
      <c r="R170"/>
      <c r="S170" s="91">
        <v>10.8</v>
      </c>
      <c r="T170" s="94">
        <v>10.8</v>
      </c>
      <c r="U170" s="91">
        <v>0</v>
      </c>
      <c r="V170" s="129">
        <v>0</v>
      </c>
      <c r="W170" s="91">
        <v>32.400000000000006</v>
      </c>
      <c r="X170" s="129">
        <v>25.92</v>
      </c>
      <c r="Y170" s="91">
        <v>64.800000000000011</v>
      </c>
      <c r="Z170" s="129">
        <v>38.880000000000003</v>
      </c>
      <c r="AA170" s="155">
        <f t="shared" si="12"/>
        <v>32.400000000000006</v>
      </c>
      <c r="AB170" s="98">
        <f t="shared" si="12"/>
        <v>21.600000000000005</v>
      </c>
      <c r="AC170"/>
      <c r="AD170" s="97">
        <v>129.60000000000002</v>
      </c>
      <c r="AE170" s="92">
        <v>0</v>
      </c>
      <c r="AF170" s="98">
        <f t="shared" si="10"/>
        <v>129.60000000000002</v>
      </c>
      <c r="AG170" s="97">
        <v>64.800000000000011</v>
      </c>
      <c r="AH170" s="92">
        <v>0</v>
      </c>
      <c r="AI170" s="98">
        <f t="shared" si="14"/>
        <v>64.800000000000011</v>
      </c>
      <c r="AJ170" s="99">
        <f t="shared" si="9"/>
        <v>194.40000000000003</v>
      </c>
      <c r="AK170" s="102" t="str">
        <f>+IF(AB170+AA170+AJ170&lt;=0, "NO COMPRADOR", +IF(AJ170&lt;=0, "SIN COMPRA "&amp;+UPPER(TEXT('DINAMICA ENERO 26'!$C$2,"mmm 'yy")), "COMPRADOR"))</f>
        <v>COMPRADOR</v>
      </c>
      <c r="AM170" s="101"/>
    </row>
    <row r="171" spans="1:43" s="100" customFormat="1" hidden="1">
      <c r="A171" s="88" t="s">
        <v>85</v>
      </c>
      <c r="B171" s="89" t="s">
        <v>257</v>
      </c>
      <c r="C171" s="89" t="s">
        <v>43</v>
      </c>
      <c r="D171" s="103">
        <v>100088690</v>
      </c>
      <c r="E171" s="89" t="s">
        <v>45</v>
      </c>
      <c r="F171" s="89">
        <v>100072066</v>
      </c>
      <c r="G171" s="128" t="s">
        <v>263</v>
      </c>
      <c r="H171"/>
      <c r="I171"/>
      <c r="J171"/>
      <c r="K171"/>
      <c r="L171"/>
      <c r="M171"/>
      <c r="N171"/>
      <c r="O171"/>
      <c r="P171"/>
      <c r="Q171"/>
      <c r="R171"/>
      <c r="S171" s="91">
        <v>10.8</v>
      </c>
      <c r="T171" s="94">
        <v>10.8</v>
      </c>
      <c r="U171" s="91">
        <v>6.48</v>
      </c>
      <c r="V171" s="129">
        <v>6.48</v>
      </c>
      <c r="W171" s="91">
        <v>0</v>
      </c>
      <c r="X171" s="129">
        <v>8.64</v>
      </c>
      <c r="Y171" s="91">
        <v>10.8</v>
      </c>
      <c r="Z171" s="129">
        <v>10.8</v>
      </c>
      <c r="AA171" s="155">
        <f t="shared" si="12"/>
        <v>5.7600000000000007</v>
      </c>
      <c r="AB171" s="98">
        <f t="shared" si="12"/>
        <v>8.64</v>
      </c>
      <c r="AC171"/>
      <c r="AD171" s="97">
        <v>10.8</v>
      </c>
      <c r="AE171" s="92">
        <v>0</v>
      </c>
      <c r="AF171" s="98">
        <f t="shared" si="10"/>
        <v>10.8</v>
      </c>
      <c r="AG171" s="97">
        <v>0</v>
      </c>
      <c r="AH171" s="92">
        <v>0</v>
      </c>
      <c r="AI171" s="98">
        <f t="shared" si="14"/>
        <v>0</v>
      </c>
      <c r="AJ171" s="99">
        <f t="shared" si="9"/>
        <v>10.8</v>
      </c>
      <c r="AK171" s="102" t="str">
        <f>+IF(AB171+AA171+AJ171&lt;=0, "NO COMPRADOR", +IF(AJ171&lt;=0, "SIN COMPRA "&amp;+UPPER(TEXT('DINAMICA ENERO 26'!$C$2,"mmm 'yy")), "COMPRADOR"))</f>
        <v>COMPRADOR</v>
      </c>
      <c r="AM171" s="101"/>
    </row>
    <row r="172" spans="1:43" s="100" customFormat="1" hidden="1">
      <c r="A172" s="88" t="s">
        <v>85</v>
      </c>
      <c r="B172" s="89" t="s">
        <v>257</v>
      </c>
      <c r="C172" s="89" t="s">
        <v>43</v>
      </c>
      <c r="D172" s="103">
        <v>100088690</v>
      </c>
      <c r="E172" s="89" t="s">
        <v>45</v>
      </c>
      <c r="F172" s="89">
        <v>100081814</v>
      </c>
      <c r="G172" s="128" t="s">
        <v>264</v>
      </c>
      <c r="H172"/>
      <c r="I172"/>
      <c r="J172"/>
      <c r="K172"/>
      <c r="L172"/>
      <c r="M172"/>
      <c r="N172"/>
      <c r="O172"/>
      <c r="P172"/>
      <c r="Q172"/>
      <c r="R172"/>
      <c r="S172" s="91">
        <v>0</v>
      </c>
      <c r="T172" s="94">
        <v>0</v>
      </c>
      <c r="U172" s="91">
        <v>0</v>
      </c>
      <c r="V172" s="129">
        <v>0</v>
      </c>
      <c r="W172" s="91">
        <v>0</v>
      </c>
      <c r="X172" s="129">
        <v>0</v>
      </c>
      <c r="Y172" s="91">
        <v>0</v>
      </c>
      <c r="Z172" s="129">
        <v>0</v>
      </c>
      <c r="AA172" s="155">
        <f t="shared" si="12"/>
        <v>0</v>
      </c>
      <c r="AB172" s="98">
        <f t="shared" si="12"/>
        <v>0</v>
      </c>
      <c r="AC172"/>
      <c r="AD172" s="97">
        <v>0</v>
      </c>
      <c r="AE172" s="92">
        <v>0</v>
      </c>
      <c r="AF172" s="98">
        <f t="shared" si="10"/>
        <v>0</v>
      </c>
      <c r="AG172" s="97">
        <v>0</v>
      </c>
      <c r="AH172" s="92">
        <v>0</v>
      </c>
      <c r="AI172" s="98">
        <f t="shared" si="14"/>
        <v>0</v>
      </c>
      <c r="AJ172" s="99">
        <f t="shared" si="9"/>
        <v>0</v>
      </c>
      <c r="AK172" s="102" t="str">
        <f>+IF(AB172+AA172+AJ172&lt;=0, "NO COMPRADOR", +IF(AJ172&lt;=0, "SIN COMPRA "&amp;+UPPER(TEXT('DINAMICA ENERO 26'!$C$2,"mmm 'yy")), "COMPRADOR"))</f>
        <v>NO COMPRADOR</v>
      </c>
      <c r="AM172" s="101"/>
    </row>
    <row r="173" spans="1:43" s="100" customFormat="1" hidden="1">
      <c r="A173" s="88" t="s">
        <v>85</v>
      </c>
      <c r="B173" s="89" t="s">
        <v>257</v>
      </c>
      <c r="C173" s="89" t="s">
        <v>43</v>
      </c>
      <c r="D173" s="103">
        <v>100088690</v>
      </c>
      <c r="E173" s="89" t="s">
        <v>45</v>
      </c>
      <c r="F173" s="89">
        <v>100072064</v>
      </c>
      <c r="G173" s="128" t="s">
        <v>265</v>
      </c>
      <c r="H173"/>
      <c r="I173"/>
      <c r="J173"/>
      <c r="K173"/>
      <c r="L173"/>
      <c r="M173"/>
      <c r="N173"/>
      <c r="O173"/>
      <c r="P173"/>
      <c r="Q173"/>
      <c r="R173"/>
      <c r="S173" s="91">
        <v>19.440000000000001</v>
      </c>
      <c r="T173" s="94">
        <v>19.440000000000001</v>
      </c>
      <c r="U173" s="91">
        <v>10.8</v>
      </c>
      <c r="V173" s="129">
        <v>10.8</v>
      </c>
      <c r="W173" s="91">
        <v>0</v>
      </c>
      <c r="X173" s="129">
        <v>0</v>
      </c>
      <c r="Y173" s="91">
        <v>2.16</v>
      </c>
      <c r="Z173" s="129">
        <v>2.16</v>
      </c>
      <c r="AA173" s="155">
        <f t="shared" si="12"/>
        <v>4.32</v>
      </c>
      <c r="AB173" s="98">
        <f t="shared" si="12"/>
        <v>4.32</v>
      </c>
      <c r="AC173"/>
      <c r="AD173" s="97">
        <v>2.16</v>
      </c>
      <c r="AE173" s="92">
        <v>0</v>
      </c>
      <c r="AF173" s="98">
        <f t="shared" si="10"/>
        <v>2.16</v>
      </c>
      <c r="AG173" s="97">
        <v>6.48</v>
      </c>
      <c r="AH173" s="92">
        <v>0</v>
      </c>
      <c r="AI173" s="98">
        <f t="shared" si="14"/>
        <v>6.48</v>
      </c>
      <c r="AJ173" s="99">
        <f t="shared" si="9"/>
        <v>8.64</v>
      </c>
      <c r="AK173" s="102" t="str">
        <f>+IF(AB173+AA173+AJ173&lt;=0, "NO COMPRADOR", +IF(AJ173&lt;=0, "SIN COMPRA "&amp;+UPPER(TEXT('DINAMICA ENERO 26'!$C$2,"mmm 'yy")), "COMPRADOR"))</f>
        <v>COMPRADOR</v>
      </c>
      <c r="AM173" s="101"/>
    </row>
    <row r="174" spans="1:43" s="100" customFormat="1" hidden="1">
      <c r="A174" s="88" t="s">
        <v>85</v>
      </c>
      <c r="B174" s="89" t="s">
        <v>257</v>
      </c>
      <c r="C174" s="89" t="s">
        <v>43</v>
      </c>
      <c r="D174" s="103">
        <v>100088690</v>
      </c>
      <c r="E174" s="89" t="s">
        <v>45</v>
      </c>
      <c r="F174" s="89">
        <v>100080445</v>
      </c>
      <c r="G174" s="128" t="s">
        <v>266</v>
      </c>
      <c r="H174"/>
      <c r="I174"/>
      <c r="J174"/>
      <c r="K174"/>
      <c r="L174"/>
      <c r="M174"/>
      <c r="N174"/>
      <c r="O174"/>
      <c r="P174"/>
      <c r="Q174"/>
      <c r="R174"/>
      <c r="S174" s="91">
        <v>64.800000000000011</v>
      </c>
      <c r="T174" s="94">
        <v>64.800000000000011</v>
      </c>
      <c r="U174" s="91">
        <v>8.64</v>
      </c>
      <c r="V174" s="129">
        <v>64.8</v>
      </c>
      <c r="W174" s="91">
        <v>0</v>
      </c>
      <c r="X174" s="129">
        <v>0</v>
      </c>
      <c r="Y174" s="91">
        <v>8.64</v>
      </c>
      <c r="Z174" s="129">
        <v>0</v>
      </c>
      <c r="AA174" s="155">
        <f t="shared" si="12"/>
        <v>5.7600000000000007</v>
      </c>
      <c r="AB174" s="98">
        <f t="shared" si="12"/>
        <v>21.599999999999998</v>
      </c>
      <c r="AC174"/>
      <c r="AD174" s="97">
        <v>8.64</v>
      </c>
      <c r="AE174" s="92">
        <v>0</v>
      </c>
      <c r="AF174" s="98">
        <f t="shared" si="10"/>
        <v>8.64</v>
      </c>
      <c r="AG174" s="97">
        <v>0</v>
      </c>
      <c r="AH174" s="92">
        <v>0</v>
      </c>
      <c r="AI174" s="98">
        <f t="shared" si="14"/>
        <v>0</v>
      </c>
      <c r="AJ174" s="99">
        <f t="shared" si="9"/>
        <v>8.64</v>
      </c>
      <c r="AK174" s="102" t="str">
        <f>+IF(AB174+AA174+AJ174&lt;=0, "NO COMPRADOR", +IF(AJ174&lt;=0, "SIN COMPRA "&amp;+UPPER(TEXT('DINAMICA ENERO 26'!$C$2,"mmm 'yy")), "COMPRADOR"))</f>
        <v>COMPRADOR</v>
      </c>
      <c r="AM174" s="101"/>
    </row>
    <row r="175" spans="1:43" s="100" customFormat="1" hidden="1">
      <c r="A175" s="88" t="s">
        <v>85</v>
      </c>
      <c r="B175" s="89" t="s">
        <v>257</v>
      </c>
      <c r="C175" s="89" t="s">
        <v>43</v>
      </c>
      <c r="D175" s="103">
        <v>100088690</v>
      </c>
      <c r="E175" s="89" t="s">
        <v>45</v>
      </c>
      <c r="F175" s="89">
        <v>100018910</v>
      </c>
      <c r="G175" s="128" t="s">
        <v>267</v>
      </c>
      <c r="H175"/>
      <c r="I175"/>
      <c r="J175"/>
      <c r="K175"/>
      <c r="L175"/>
      <c r="M175"/>
      <c r="N175"/>
      <c r="O175"/>
      <c r="P175"/>
      <c r="Q175"/>
      <c r="R175"/>
      <c r="S175" s="91">
        <v>6.48</v>
      </c>
      <c r="T175" s="94">
        <v>6.48</v>
      </c>
      <c r="U175" s="91">
        <v>0</v>
      </c>
      <c r="V175" s="129">
        <v>4.32</v>
      </c>
      <c r="W175" s="91">
        <v>2.16</v>
      </c>
      <c r="X175" s="129">
        <v>2.16</v>
      </c>
      <c r="Y175" s="91">
        <v>0</v>
      </c>
      <c r="Z175" s="129">
        <v>0</v>
      </c>
      <c r="AA175" s="155">
        <f t="shared" si="12"/>
        <v>0.72000000000000008</v>
      </c>
      <c r="AB175" s="98">
        <f t="shared" si="12"/>
        <v>2.16</v>
      </c>
      <c r="AC175"/>
      <c r="AD175" s="97">
        <v>0</v>
      </c>
      <c r="AE175" s="92">
        <v>0</v>
      </c>
      <c r="AF175" s="98">
        <f t="shared" si="10"/>
        <v>0</v>
      </c>
      <c r="AG175" s="97">
        <v>0</v>
      </c>
      <c r="AH175" s="92">
        <v>0</v>
      </c>
      <c r="AI175" s="98">
        <f t="shared" si="14"/>
        <v>0</v>
      </c>
      <c r="AJ175" s="99">
        <f t="shared" si="9"/>
        <v>0</v>
      </c>
      <c r="AK175" s="102" t="str">
        <f>+IF(AB175+AA175+AJ175&lt;=0, "NO COMPRADOR", +IF(AJ175&lt;=0, "SIN COMPRA "&amp;+UPPER(TEXT('DINAMICA ENERO 26'!$C$2,"mmm 'yy")), "COMPRADOR"))</f>
        <v>SIN COMPRA FEB '26</v>
      </c>
      <c r="AM175" s="101"/>
    </row>
    <row r="176" spans="1:43" s="100" customFormat="1" hidden="1">
      <c r="A176" s="88" t="s">
        <v>85</v>
      </c>
      <c r="B176" s="89" t="s">
        <v>257</v>
      </c>
      <c r="C176" s="89" t="s">
        <v>43</v>
      </c>
      <c r="D176" s="103">
        <v>100088690</v>
      </c>
      <c r="E176" s="89" t="s">
        <v>45</v>
      </c>
      <c r="F176" s="89">
        <v>100072065</v>
      </c>
      <c r="G176" s="128" t="s">
        <v>268</v>
      </c>
      <c r="H176"/>
      <c r="I176"/>
      <c r="J176"/>
      <c r="K176"/>
      <c r="L176"/>
      <c r="M176"/>
      <c r="N176"/>
      <c r="O176"/>
      <c r="P176"/>
      <c r="Q176"/>
      <c r="R176"/>
      <c r="S176" s="91">
        <v>75.600000000000009</v>
      </c>
      <c r="T176" s="94">
        <v>75.600000000000009</v>
      </c>
      <c r="U176" s="91">
        <v>2.16</v>
      </c>
      <c r="V176" s="129">
        <v>2.16</v>
      </c>
      <c r="W176" s="91">
        <v>21.6</v>
      </c>
      <c r="X176" s="129">
        <v>21.6</v>
      </c>
      <c r="Y176" s="91">
        <v>2.16</v>
      </c>
      <c r="Z176" s="129">
        <v>0</v>
      </c>
      <c r="AA176" s="155">
        <f t="shared" si="12"/>
        <v>8.64</v>
      </c>
      <c r="AB176" s="98">
        <f t="shared" si="12"/>
        <v>7.9200000000000008</v>
      </c>
      <c r="AC176"/>
      <c r="AD176" s="97">
        <v>21.6</v>
      </c>
      <c r="AE176" s="92">
        <v>0</v>
      </c>
      <c r="AF176" s="98">
        <f t="shared" si="10"/>
        <v>21.6</v>
      </c>
      <c r="AG176" s="97">
        <v>21.6</v>
      </c>
      <c r="AH176" s="92">
        <v>0</v>
      </c>
      <c r="AI176" s="98">
        <f t="shared" si="14"/>
        <v>21.6</v>
      </c>
      <c r="AJ176" s="99">
        <f t="shared" si="9"/>
        <v>43.2</v>
      </c>
      <c r="AK176" s="102" t="str">
        <f>+IF(AB176+AA176+AJ176&lt;=0, "NO COMPRADOR", +IF(AJ176&lt;=0, "SIN COMPRA "&amp;+UPPER(TEXT('DINAMICA ENERO 26'!$C$2,"mmm 'yy")), "COMPRADOR"))</f>
        <v>COMPRADOR</v>
      </c>
      <c r="AM176" s="101"/>
    </row>
    <row r="177" spans="1:43" s="104" customFormat="1" hidden="1">
      <c r="A177" s="88" t="s">
        <v>85</v>
      </c>
      <c r="B177" s="89" t="s">
        <v>257</v>
      </c>
      <c r="C177" s="89" t="s">
        <v>43</v>
      </c>
      <c r="D177" s="103">
        <v>100088690</v>
      </c>
      <c r="E177" s="89" t="s">
        <v>45</v>
      </c>
      <c r="F177" s="89">
        <v>100068677</v>
      </c>
      <c r="G177" s="128" t="s">
        <v>269</v>
      </c>
      <c r="H177"/>
      <c r="I177"/>
      <c r="J177"/>
      <c r="K177"/>
      <c r="L177"/>
      <c r="M177"/>
      <c r="N177"/>
      <c r="O177"/>
      <c r="P177"/>
      <c r="Q177"/>
      <c r="R177"/>
      <c r="S177" s="91">
        <v>0</v>
      </c>
      <c r="T177" s="94">
        <v>0</v>
      </c>
      <c r="U177" s="91">
        <v>0</v>
      </c>
      <c r="V177" s="129">
        <v>0</v>
      </c>
      <c r="W177" s="91">
        <v>0</v>
      </c>
      <c r="X177" s="129">
        <v>0</v>
      </c>
      <c r="Y177" s="91">
        <v>0</v>
      </c>
      <c r="Z177" s="129">
        <v>0</v>
      </c>
      <c r="AA177" s="155">
        <f t="shared" si="12"/>
        <v>0</v>
      </c>
      <c r="AB177" s="98">
        <f t="shared" si="12"/>
        <v>0</v>
      </c>
      <c r="AC177"/>
      <c r="AD177" s="97">
        <v>0</v>
      </c>
      <c r="AE177" s="92">
        <v>0</v>
      </c>
      <c r="AF177" s="98">
        <f t="shared" si="10"/>
        <v>0</v>
      </c>
      <c r="AG177" s="97">
        <v>0</v>
      </c>
      <c r="AH177" s="92">
        <v>0</v>
      </c>
      <c r="AI177" s="98">
        <f t="shared" si="14"/>
        <v>0</v>
      </c>
      <c r="AJ177" s="99">
        <f t="shared" si="9"/>
        <v>0</v>
      </c>
      <c r="AK177" s="102" t="str">
        <f>+IF(AB177+AA177+AJ177&lt;=0, "NO COMPRADOR", +IF(AJ177&lt;=0, "SIN COMPRA "&amp;+UPPER(TEXT('DINAMICA ENERO 26'!$C$2,"mmm 'yy")), "COMPRADOR"))</f>
        <v>NO COMPRADOR</v>
      </c>
      <c r="AL177" s="100"/>
      <c r="AM177" s="101"/>
      <c r="AN177" s="100"/>
      <c r="AO177" s="100"/>
      <c r="AP177" s="100"/>
    </row>
    <row r="178" spans="1:43" s="100" customFormat="1" hidden="1">
      <c r="A178" s="88" t="s">
        <v>85</v>
      </c>
      <c r="B178" s="89" t="s">
        <v>257</v>
      </c>
      <c r="C178" s="89" t="s">
        <v>43</v>
      </c>
      <c r="D178" s="103">
        <v>100088690</v>
      </c>
      <c r="E178" s="89" t="s">
        <v>45</v>
      </c>
      <c r="F178" s="89">
        <v>100017754</v>
      </c>
      <c r="G178" s="128" t="s">
        <v>270</v>
      </c>
      <c r="H178"/>
      <c r="I178"/>
      <c r="J178"/>
      <c r="K178"/>
      <c r="L178"/>
      <c r="M178"/>
      <c r="N178"/>
      <c r="O178"/>
      <c r="P178"/>
      <c r="Q178"/>
      <c r="R178"/>
      <c r="S178" s="91">
        <v>0</v>
      </c>
      <c r="T178" s="94">
        <v>0</v>
      </c>
      <c r="U178" s="91">
        <v>0</v>
      </c>
      <c r="V178" s="129">
        <v>0</v>
      </c>
      <c r="W178" s="91">
        <v>0</v>
      </c>
      <c r="X178" s="129">
        <v>0</v>
      </c>
      <c r="Y178" s="91">
        <v>0</v>
      </c>
      <c r="Z178" s="129">
        <v>0</v>
      </c>
      <c r="AA178" s="155">
        <f t="shared" si="12"/>
        <v>0</v>
      </c>
      <c r="AB178" s="98">
        <f t="shared" si="12"/>
        <v>0</v>
      </c>
      <c r="AC178"/>
      <c r="AD178" s="97">
        <v>0</v>
      </c>
      <c r="AE178" s="92">
        <v>0</v>
      </c>
      <c r="AF178" s="98">
        <f t="shared" si="10"/>
        <v>0</v>
      </c>
      <c r="AG178" s="97">
        <v>0</v>
      </c>
      <c r="AH178" s="92">
        <v>0</v>
      </c>
      <c r="AI178" s="98">
        <f t="shared" si="14"/>
        <v>0</v>
      </c>
      <c r="AJ178" s="99">
        <f t="shared" si="9"/>
        <v>0</v>
      </c>
      <c r="AK178" s="102" t="str">
        <f>+IF(AB178+AA178+AJ178&lt;=0, "NO COMPRADOR", +IF(AJ178&lt;=0, "SIN COMPRA "&amp;+UPPER(TEXT('DINAMICA ENERO 26'!$C$2,"mmm 'yy")), "COMPRADOR"))</f>
        <v>NO COMPRADOR</v>
      </c>
      <c r="AM178" s="101"/>
    </row>
    <row r="179" spans="1:43" s="104" customFormat="1" hidden="1">
      <c r="A179" s="88" t="s">
        <v>85</v>
      </c>
      <c r="B179" s="89" t="s">
        <v>257</v>
      </c>
      <c r="C179" s="89" t="s">
        <v>43</v>
      </c>
      <c r="D179" s="103">
        <v>100088690</v>
      </c>
      <c r="E179" s="89" t="s">
        <v>45</v>
      </c>
      <c r="F179" s="89">
        <v>100024126</v>
      </c>
      <c r="G179" s="128" t="s">
        <v>271</v>
      </c>
      <c r="H179"/>
      <c r="I179"/>
      <c r="J179"/>
      <c r="K179"/>
      <c r="L179"/>
      <c r="M179"/>
      <c r="N179"/>
      <c r="O179"/>
      <c r="P179"/>
      <c r="Q179"/>
      <c r="R179"/>
      <c r="S179" s="91">
        <v>0</v>
      </c>
      <c r="T179" s="94">
        <v>0</v>
      </c>
      <c r="U179" s="91">
        <v>2.16</v>
      </c>
      <c r="V179" s="129">
        <v>2.16</v>
      </c>
      <c r="W179" s="91">
        <v>0</v>
      </c>
      <c r="X179" s="129">
        <v>0</v>
      </c>
      <c r="Y179" s="91">
        <v>2.16</v>
      </c>
      <c r="Z179" s="129">
        <v>0</v>
      </c>
      <c r="AA179" s="155">
        <f t="shared" si="12"/>
        <v>1.4400000000000002</v>
      </c>
      <c r="AB179" s="98">
        <f t="shared" si="12"/>
        <v>0.72000000000000008</v>
      </c>
      <c r="AC179"/>
      <c r="AD179" s="97">
        <v>0</v>
      </c>
      <c r="AE179" s="92">
        <v>0</v>
      </c>
      <c r="AF179" s="98">
        <f t="shared" si="10"/>
        <v>0</v>
      </c>
      <c r="AG179" s="97">
        <v>0</v>
      </c>
      <c r="AH179" s="92">
        <v>0</v>
      </c>
      <c r="AI179" s="98">
        <f t="shared" si="14"/>
        <v>0</v>
      </c>
      <c r="AJ179" s="99">
        <f t="shared" si="9"/>
        <v>0</v>
      </c>
      <c r="AK179" s="102" t="str">
        <f>+IF(AB179+AA179+AJ179&lt;=0, "NO COMPRADOR", +IF(AJ179&lt;=0, "SIN COMPRA "&amp;+UPPER(TEXT('DINAMICA ENERO 26'!$C$2,"mmm 'yy")), "COMPRADOR"))</f>
        <v>SIN COMPRA FEB '26</v>
      </c>
      <c r="AL179" s="100"/>
      <c r="AM179" s="101"/>
      <c r="AN179" s="100"/>
      <c r="AO179" s="100"/>
      <c r="AP179" s="100"/>
    </row>
    <row r="180" spans="1:43" s="100" customFormat="1" hidden="1">
      <c r="A180" s="88" t="s">
        <v>85</v>
      </c>
      <c r="B180" s="89" t="s">
        <v>257</v>
      </c>
      <c r="C180" s="89" t="s">
        <v>43</v>
      </c>
      <c r="D180" s="103">
        <v>100088690</v>
      </c>
      <c r="E180" s="89" t="s">
        <v>45</v>
      </c>
      <c r="F180" s="89">
        <v>100071480</v>
      </c>
      <c r="G180" s="128" t="s">
        <v>272</v>
      </c>
      <c r="H180"/>
      <c r="I180"/>
      <c r="J180"/>
      <c r="K180"/>
      <c r="L180"/>
      <c r="M180"/>
      <c r="N180"/>
      <c r="O180"/>
      <c r="P180"/>
      <c r="Q180"/>
      <c r="R180"/>
      <c r="S180" s="91">
        <v>0</v>
      </c>
      <c r="T180" s="94">
        <v>0</v>
      </c>
      <c r="U180" s="91">
        <v>2.16</v>
      </c>
      <c r="V180" s="129">
        <v>2.16</v>
      </c>
      <c r="W180" s="91">
        <v>2.16</v>
      </c>
      <c r="X180" s="129">
        <v>2.16</v>
      </c>
      <c r="Y180" s="91">
        <v>0</v>
      </c>
      <c r="Z180" s="129">
        <v>0</v>
      </c>
      <c r="AA180" s="155">
        <f t="shared" si="12"/>
        <v>1.4400000000000002</v>
      </c>
      <c r="AB180" s="98">
        <f t="shared" si="12"/>
        <v>1.4400000000000002</v>
      </c>
      <c r="AC180"/>
      <c r="AD180" s="97">
        <v>0</v>
      </c>
      <c r="AE180" s="92">
        <v>0</v>
      </c>
      <c r="AF180" s="98">
        <f t="shared" si="10"/>
        <v>0</v>
      </c>
      <c r="AG180" s="97">
        <v>0</v>
      </c>
      <c r="AH180" s="92">
        <v>0</v>
      </c>
      <c r="AI180" s="98">
        <f t="shared" si="14"/>
        <v>0</v>
      </c>
      <c r="AJ180" s="99">
        <f t="shared" si="9"/>
        <v>0</v>
      </c>
      <c r="AK180" s="102" t="str">
        <f>+IF(AB180+AA180+AJ180&lt;=0, "NO COMPRADOR", +IF(AJ180&lt;=0, "SIN COMPRA "&amp;+UPPER(TEXT('DINAMICA ENERO 26'!$C$2,"mmm 'yy")), "COMPRADOR"))</f>
        <v>SIN COMPRA FEB '26</v>
      </c>
      <c r="AM180" s="101"/>
    </row>
    <row r="181" spans="1:43" s="104" customFormat="1" hidden="1">
      <c r="A181" s="88" t="s">
        <v>85</v>
      </c>
      <c r="B181" s="89" t="s">
        <v>257</v>
      </c>
      <c r="C181" s="89" t="s">
        <v>43</v>
      </c>
      <c r="D181" s="103">
        <v>100088690</v>
      </c>
      <c r="E181" s="89" t="s">
        <v>45</v>
      </c>
      <c r="F181" s="89">
        <v>100063075</v>
      </c>
      <c r="G181" s="128" t="s">
        <v>273</v>
      </c>
      <c r="H181"/>
      <c r="I181"/>
      <c r="J181"/>
      <c r="K181"/>
      <c r="L181"/>
      <c r="M181"/>
      <c r="N181"/>
      <c r="O181"/>
      <c r="P181"/>
      <c r="Q181"/>
      <c r="R181"/>
      <c r="S181" s="91">
        <v>0</v>
      </c>
      <c r="T181" s="94">
        <v>0</v>
      </c>
      <c r="U181" s="91">
        <v>0</v>
      </c>
      <c r="V181" s="129">
        <v>0</v>
      </c>
      <c r="W181" s="91">
        <v>0</v>
      </c>
      <c r="X181" s="129">
        <v>0</v>
      </c>
      <c r="Y181" s="91">
        <v>0</v>
      </c>
      <c r="Z181" s="129">
        <v>0</v>
      </c>
      <c r="AA181" s="155">
        <f t="shared" si="12"/>
        <v>0</v>
      </c>
      <c r="AB181" s="98">
        <f t="shared" si="12"/>
        <v>0</v>
      </c>
      <c r="AC181"/>
      <c r="AD181" s="97">
        <v>0</v>
      </c>
      <c r="AE181" s="92">
        <v>0</v>
      </c>
      <c r="AF181" s="98">
        <f t="shared" si="10"/>
        <v>0</v>
      </c>
      <c r="AG181" s="97">
        <v>0</v>
      </c>
      <c r="AH181" s="92">
        <v>0</v>
      </c>
      <c r="AI181" s="98">
        <f t="shared" si="14"/>
        <v>0</v>
      </c>
      <c r="AJ181" s="99">
        <f t="shared" si="9"/>
        <v>0</v>
      </c>
      <c r="AK181" s="102" t="str">
        <f>+IF(AB181+AA181+AJ181&lt;=0, "NO COMPRADOR", +IF(AJ181&lt;=0, "SIN COMPRA "&amp;+UPPER(TEXT('DINAMICA ENERO 26'!$C$2,"mmm 'yy")), "COMPRADOR"))</f>
        <v>NO COMPRADOR</v>
      </c>
      <c r="AL181" s="100"/>
      <c r="AM181" s="101"/>
      <c r="AN181" s="100"/>
      <c r="AO181" s="100"/>
      <c r="AP181" s="100"/>
    </row>
    <row r="182" spans="1:43" s="104" customFormat="1" hidden="1">
      <c r="A182" s="88" t="s">
        <v>85</v>
      </c>
      <c r="B182" s="89" t="s">
        <v>257</v>
      </c>
      <c r="C182" s="89" t="s">
        <v>43</v>
      </c>
      <c r="D182" s="103">
        <v>100088690</v>
      </c>
      <c r="E182" s="89" t="s">
        <v>45</v>
      </c>
      <c r="F182" s="89">
        <v>100072084</v>
      </c>
      <c r="G182" s="128" t="s">
        <v>274</v>
      </c>
      <c r="H182"/>
      <c r="I182"/>
      <c r="J182"/>
      <c r="K182"/>
      <c r="L182"/>
      <c r="M182"/>
      <c r="N182"/>
      <c r="O182"/>
      <c r="P182"/>
      <c r="Q182"/>
      <c r="R182"/>
      <c r="S182" s="91">
        <v>32.400000000000006</v>
      </c>
      <c r="T182" s="94">
        <v>32.400000000000006</v>
      </c>
      <c r="U182" s="91">
        <v>6.48</v>
      </c>
      <c r="V182" s="129">
        <v>6.48</v>
      </c>
      <c r="W182" s="91">
        <v>2.16</v>
      </c>
      <c r="X182" s="129">
        <v>8.64</v>
      </c>
      <c r="Y182" s="91">
        <v>4.32</v>
      </c>
      <c r="Z182" s="129">
        <v>0</v>
      </c>
      <c r="AA182" s="155">
        <f t="shared" si="12"/>
        <v>4.32</v>
      </c>
      <c r="AB182" s="98">
        <f t="shared" si="12"/>
        <v>5.04</v>
      </c>
      <c r="AC182"/>
      <c r="AD182" s="97">
        <v>10.8</v>
      </c>
      <c r="AE182" s="92">
        <v>0</v>
      </c>
      <c r="AF182" s="98">
        <f t="shared" si="10"/>
        <v>10.8</v>
      </c>
      <c r="AG182" s="97">
        <v>4.32</v>
      </c>
      <c r="AH182" s="92">
        <v>0</v>
      </c>
      <c r="AI182" s="98">
        <f t="shared" si="14"/>
        <v>4.32</v>
      </c>
      <c r="AJ182" s="99">
        <f t="shared" si="9"/>
        <v>15.120000000000001</v>
      </c>
      <c r="AK182" s="102" t="str">
        <f>+IF(AB182+AA182+AJ182&lt;=0, "NO COMPRADOR", +IF(AJ182&lt;=0, "SIN COMPRA "&amp;+UPPER(TEXT('DINAMICA ENERO 26'!$C$2,"mmm 'yy")), "COMPRADOR"))</f>
        <v>COMPRADOR</v>
      </c>
      <c r="AL182" s="100"/>
      <c r="AM182" s="101"/>
      <c r="AN182" s="100"/>
      <c r="AO182" s="100"/>
      <c r="AP182" s="100"/>
      <c r="AQ182" s="100" t="e">
        <f>+VLOOKUP(AO182,Veggies!X:Y,2,FALSE)</f>
        <v>#N/A</v>
      </c>
    </row>
    <row r="183" spans="1:43" s="100" customFormat="1" hidden="1">
      <c r="A183" s="88" t="s">
        <v>85</v>
      </c>
      <c r="B183" s="89" t="s">
        <v>257</v>
      </c>
      <c r="C183" s="89" t="s">
        <v>43</v>
      </c>
      <c r="D183" s="103">
        <v>100088690</v>
      </c>
      <c r="E183" s="89" t="s">
        <v>45</v>
      </c>
      <c r="F183" s="89">
        <v>100000283</v>
      </c>
      <c r="G183" s="128" t="s">
        <v>275</v>
      </c>
      <c r="H183"/>
      <c r="I183"/>
      <c r="J183"/>
      <c r="K183"/>
      <c r="L183"/>
      <c r="M183"/>
      <c r="N183"/>
      <c r="O183"/>
      <c r="P183"/>
      <c r="Q183"/>
      <c r="R183"/>
      <c r="S183" s="91">
        <v>15.120000000000001</v>
      </c>
      <c r="T183" s="94">
        <v>10.8</v>
      </c>
      <c r="U183" s="91">
        <v>2.16</v>
      </c>
      <c r="V183" s="129">
        <v>2.16</v>
      </c>
      <c r="W183" s="91">
        <v>4.32</v>
      </c>
      <c r="X183" s="129">
        <v>2.16</v>
      </c>
      <c r="Y183" s="91">
        <v>10.8</v>
      </c>
      <c r="Z183" s="129">
        <v>6.48</v>
      </c>
      <c r="AA183" s="155">
        <f t="shared" si="12"/>
        <v>5.7600000000000007</v>
      </c>
      <c r="AB183" s="98">
        <f t="shared" si="12"/>
        <v>3.6</v>
      </c>
      <c r="AC183"/>
      <c r="AD183" s="97">
        <v>0</v>
      </c>
      <c r="AE183" s="92">
        <v>0</v>
      </c>
      <c r="AF183" s="98">
        <f t="shared" si="10"/>
        <v>0</v>
      </c>
      <c r="AG183" s="97">
        <v>0</v>
      </c>
      <c r="AH183" s="92">
        <v>0</v>
      </c>
      <c r="AI183" s="98">
        <f t="shared" si="14"/>
        <v>0</v>
      </c>
      <c r="AJ183" s="99">
        <f t="shared" si="9"/>
        <v>0</v>
      </c>
      <c r="AK183" s="102" t="str">
        <f>+IF(AB183+AA183+AJ183&lt;=0, "NO COMPRADOR", +IF(AJ183&lt;=0, "SIN COMPRA "&amp;+UPPER(TEXT('DINAMICA ENERO 26'!$C$2,"mmm 'yy")), "COMPRADOR"))</f>
        <v>SIN COMPRA FEB '26</v>
      </c>
      <c r="AM183" s="101"/>
    </row>
    <row r="184" spans="1:43" s="104" customFormat="1" hidden="1">
      <c r="A184" s="88" t="s">
        <v>85</v>
      </c>
      <c r="B184" s="89" t="s">
        <v>257</v>
      </c>
      <c r="C184" s="89" t="s">
        <v>43</v>
      </c>
      <c r="D184" s="103">
        <v>100088690</v>
      </c>
      <c r="E184" s="89" t="s">
        <v>45</v>
      </c>
      <c r="F184" s="89">
        <v>100001254</v>
      </c>
      <c r="G184" s="128" t="s">
        <v>276</v>
      </c>
      <c r="H184"/>
      <c r="I184"/>
      <c r="J184"/>
      <c r="K184"/>
      <c r="L184"/>
      <c r="M184"/>
      <c r="N184"/>
      <c r="O184"/>
      <c r="P184"/>
      <c r="Q184"/>
      <c r="R184"/>
      <c r="S184" s="91">
        <v>0</v>
      </c>
      <c r="T184" s="94">
        <v>0</v>
      </c>
      <c r="U184" s="91">
        <v>0</v>
      </c>
      <c r="V184" s="129">
        <v>0</v>
      </c>
      <c r="W184" s="91">
        <v>0</v>
      </c>
      <c r="X184" s="129">
        <v>0</v>
      </c>
      <c r="Y184" s="91">
        <v>0</v>
      </c>
      <c r="Z184" s="129">
        <v>0</v>
      </c>
      <c r="AA184" s="155">
        <f t="shared" si="12"/>
        <v>0</v>
      </c>
      <c r="AB184" s="98">
        <f t="shared" si="12"/>
        <v>0</v>
      </c>
      <c r="AC184"/>
      <c r="AD184" s="97">
        <v>0</v>
      </c>
      <c r="AE184" s="92">
        <v>0</v>
      </c>
      <c r="AF184" s="98">
        <f t="shared" si="10"/>
        <v>0</v>
      </c>
      <c r="AG184" s="97">
        <v>0</v>
      </c>
      <c r="AH184" s="92">
        <v>0</v>
      </c>
      <c r="AI184" s="98">
        <f t="shared" si="14"/>
        <v>0</v>
      </c>
      <c r="AJ184" s="99">
        <f t="shared" si="9"/>
        <v>0</v>
      </c>
      <c r="AK184" s="102" t="str">
        <f>+IF(AB184+AA184+AJ184&lt;=0, "NO COMPRADOR", +IF(AJ184&lt;=0, "SIN COMPRA "&amp;+UPPER(TEXT('DINAMICA ENERO 26'!$C$2,"mmm 'yy")), "COMPRADOR"))</f>
        <v>NO COMPRADOR</v>
      </c>
      <c r="AL184" s="100"/>
      <c r="AM184" s="101"/>
      <c r="AN184" s="100"/>
      <c r="AO184" s="100"/>
      <c r="AP184" s="100"/>
    </row>
    <row r="185" spans="1:43" s="104" customFormat="1" hidden="1">
      <c r="A185" s="88" t="s">
        <v>85</v>
      </c>
      <c r="B185" s="89" t="s">
        <v>257</v>
      </c>
      <c r="C185" s="89" t="s">
        <v>43</v>
      </c>
      <c r="D185" s="103">
        <v>100088690</v>
      </c>
      <c r="E185" s="89" t="s">
        <v>45</v>
      </c>
      <c r="F185" s="89">
        <v>100088794</v>
      </c>
      <c r="G185" s="128" t="s">
        <v>277</v>
      </c>
      <c r="H185"/>
      <c r="I185"/>
      <c r="J185"/>
      <c r="K185"/>
      <c r="L185"/>
      <c r="M185"/>
      <c r="N185"/>
      <c r="O185"/>
      <c r="P185"/>
      <c r="Q185"/>
      <c r="R185"/>
      <c r="S185" s="91">
        <v>4.32</v>
      </c>
      <c r="T185" s="94">
        <v>4.32</v>
      </c>
      <c r="U185" s="91">
        <v>2.16</v>
      </c>
      <c r="V185" s="129">
        <v>6.48</v>
      </c>
      <c r="W185" s="91">
        <v>4.32</v>
      </c>
      <c r="X185" s="129">
        <v>6.48</v>
      </c>
      <c r="Y185" s="91">
        <v>0</v>
      </c>
      <c r="Z185" s="129">
        <v>0</v>
      </c>
      <c r="AA185" s="155">
        <f t="shared" si="12"/>
        <v>2.16</v>
      </c>
      <c r="AB185" s="98">
        <f t="shared" si="12"/>
        <v>4.32</v>
      </c>
      <c r="AC185"/>
      <c r="AD185" s="97">
        <v>0</v>
      </c>
      <c r="AE185" s="92">
        <v>0</v>
      </c>
      <c r="AF185" s="98">
        <f t="shared" si="10"/>
        <v>0</v>
      </c>
      <c r="AG185" s="97">
        <v>0</v>
      </c>
      <c r="AH185" s="92">
        <v>0</v>
      </c>
      <c r="AI185" s="98">
        <f t="shared" si="14"/>
        <v>0</v>
      </c>
      <c r="AJ185" s="99">
        <f t="shared" si="9"/>
        <v>0</v>
      </c>
      <c r="AK185" s="102" t="str">
        <f>+IF(AB185+AA185+AJ185&lt;=0, "NO COMPRADOR", +IF(AJ185&lt;=0, "SIN COMPRA "&amp;+UPPER(TEXT('DINAMICA ENERO 26'!$C$2,"mmm 'yy")), "COMPRADOR"))</f>
        <v>SIN COMPRA FEB '26</v>
      </c>
      <c r="AL185" s="100"/>
      <c r="AM185" s="101"/>
      <c r="AN185" s="100"/>
      <c r="AO185" s="100"/>
      <c r="AP185" s="100"/>
    </row>
    <row r="186" spans="1:43" s="100" customFormat="1" hidden="1">
      <c r="A186" s="88" t="s">
        <v>85</v>
      </c>
      <c r="B186" s="89" t="s">
        <v>257</v>
      </c>
      <c r="C186" s="89" t="s">
        <v>43</v>
      </c>
      <c r="D186" s="103">
        <v>100088690</v>
      </c>
      <c r="E186" s="89" t="s">
        <v>45</v>
      </c>
      <c r="F186" s="89">
        <v>100088316</v>
      </c>
      <c r="G186" s="128" t="s">
        <v>278</v>
      </c>
      <c r="H186"/>
      <c r="I186"/>
      <c r="J186"/>
      <c r="K186"/>
      <c r="L186"/>
      <c r="M186"/>
      <c r="N186"/>
      <c r="O186"/>
      <c r="P186"/>
      <c r="Q186"/>
      <c r="R186"/>
      <c r="S186" s="91">
        <v>4.32</v>
      </c>
      <c r="T186" s="94">
        <v>4.32</v>
      </c>
      <c r="U186" s="91">
        <v>4.32</v>
      </c>
      <c r="V186" s="129">
        <v>6.48</v>
      </c>
      <c r="W186" s="91">
        <v>4.32</v>
      </c>
      <c r="X186" s="129">
        <v>4.32</v>
      </c>
      <c r="Y186" s="91">
        <v>4.32</v>
      </c>
      <c r="Z186" s="129">
        <v>0</v>
      </c>
      <c r="AA186" s="155">
        <f t="shared" si="12"/>
        <v>4.32</v>
      </c>
      <c r="AB186" s="98">
        <f t="shared" si="12"/>
        <v>3.6</v>
      </c>
      <c r="AC186"/>
      <c r="AD186" s="97">
        <v>0</v>
      </c>
      <c r="AE186" s="92">
        <v>0</v>
      </c>
      <c r="AF186" s="98">
        <f t="shared" si="10"/>
        <v>0</v>
      </c>
      <c r="AG186" s="97">
        <v>0</v>
      </c>
      <c r="AH186" s="92">
        <v>0</v>
      </c>
      <c r="AI186" s="98">
        <f t="shared" si="14"/>
        <v>0</v>
      </c>
      <c r="AJ186" s="99">
        <f t="shared" si="9"/>
        <v>0</v>
      </c>
      <c r="AK186" s="102" t="str">
        <f>+IF(AB186+AA186+AJ186&lt;=0, "NO COMPRADOR", +IF(AJ186&lt;=0, "SIN COMPRA "&amp;+UPPER(TEXT('DINAMICA ENERO 26'!$C$2,"mmm 'yy")), "COMPRADOR"))</f>
        <v>SIN COMPRA FEB '26</v>
      </c>
      <c r="AM186" s="101"/>
    </row>
    <row r="187" spans="1:43" s="100" customFormat="1" hidden="1">
      <c r="A187" s="88" t="s">
        <v>85</v>
      </c>
      <c r="B187" s="89" t="s">
        <v>257</v>
      </c>
      <c r="C187" s="89" t="s">
        <v>43</v>
      </c>
      <c r="D187" s="103">
        <v>100088690</v>
      </c>
      <c r="E187" s="89" t="s">
        <v>45</v>
      </c>
      <c r="F187" s="89">
        <v>100089468</v>
      </c>
      <c r="G187" s="128" t="s">
        <v>279</v>
      </c>
      <c r="H187"/>
      <c r="I187"/>
      <c r="J187"/>
      <c r="K187"/>
      <c r="L187"/>
      <c r="M187"/>
      <c r="N187"/>
      <c r="O187"/>
      <c r="P187"/>
      <c r="Q187"/>
      <c r="R187"/>
      <c r="S187" s="91">
        <v>0</v>
      </c>
      <c r="T187" s="94">
        <v>0</v>
      </c>
      <c r="U187" s="91">
        <v>0</v>
      </c>
      <c r="V187" s="129">
        <v>0</v>
      </c>
      <c r="W187" s="91">
        <v>0</v>
      </c>
      <c r="X187" s="129">
        <v>0</v>
      </c>
      <c r="Y187" s="91">
        <v>0</v>
      </c>
      <c r="Z187" s="129">
        <v>0</v>
      </c>
      <c r="AA187" s="155">
        <f t="shared" si="12"/>
        <v>0</v>
      </c>
      <c r="AB187" s="98">
        <f t="shared" si="12"/>
        <v>0</v>
      </c>
      <c r="AC187"/>
      <c r="AD187" s="97">
        <v>0</v>
      </c>
      <c r="AE187" s="92">
        <v>0</v>
      </c>
      <c r="AF187" s="98">
        <f t="shared" si="10"/>
        <v>0</v>
      </c>
      <c r="AG187" s="97">
        <v>0</v>
      </c>
      <c r="AH187" s="92">
        <v>0</v>
      </c>
      <c r="AI187" s="98">
        <f t="shared" si="14"/>
        <v>0</v>
      </c>
      <c r="AJ187" s="99">
        <f t="shared" si="9"/>
        <v>0</v>
      </c>
      <c r="AK187" s="102" t="str">
        <f>+IF(AB187+AA187+AJ187&lt;=0, "NO COMPRADOR", +IF(AJ187&lt;=0, "SIN COMPRA "&amp;+UPPER(TEXT('DINAMICA ENERO 26'!$C$2,"mmm 'yy")), "COMPRADOR"))</f>
        <v>NO COMPRADOR</v>
      </c>
      <c r="AM187" s="101"/>
    </row>
    <row r="188" spans="1:43" s="100" customFormat="1" hidden="1">
      <c r="A188" s="88" t="s">
        <v>85</v>
      </c>
      <c r="B188" s="89" t="s">
        <v>257</v>
      </c>
      <c r="C188" s="89" t="s">
        <v>43</v>
      </c>
      <c r="D188" s="103">
        <v>100089856</v>
      </c>
      <c r="E188" s="89" t="s">
        <v>49</v>
      </c>
      <c r="F188" s="89">
        <v>100001543</v>
      </c>
      <c r="G188" s="128" t="s">
        <v>280</v>
      </c>
      <c r="H188"/>
      <c r="I188"/>
      <c r="J188"/>
      <c r="K188"/>
      <c r="L188"/>
      <c r="M188"/>
      <c r="N188"/>
      <c r="O188"/>
      <c r="P188"/>
      <c r="Q188"/>
      <c r="R188"/>
      <c r="S188" s="91">
        <v>2.16</v>
      </c>
      <c r="T188" s="94">
        <v>2.16</v>
      </c>
      <c r="U188" s="91">
        <v>0</v>
      </c>
      <c r="V188" s="129">
        <v>0</v>
      </c>
      <c r="W188" s="91">
        <v>2.16</v>
      </c>
      <c r="X188" s="129">
        <v>2.16</v>
      </c>
      <c r="Y188" s="91">
        <v>0</v>
      </c>
      <c r="Z188" s="129">
        <v>0</v>
      </c>
      <c r="AA188" s="155">
        <f t="shared" si="12"/>
        <v>0.72000000000000008</v>
      </c>
      <c r="AB188" s="98">
        <f t="shared" si="12"/>
        <v>0.72000000000000008</v>
      </c>
      <c r="AC188"/>
      <c r="AD188" s="97">
        <v>0</v>
      </c>
      <c r="AE188" s="92">
        <v>0</v>
      </c>
      <c r="AF188" s="98">
        <f t="shared" si="10"/>
        <v>0</v>
      </c>
      <c r="AG188" s="97">
        <v>0</v>
      </c>
      <c r="AH188" s="92">
        <v>0</v>
      </c>
      <c r="AI188" s="98">
        <f t="shared" si="14"/>
        <v>0</v>
      </c>
      <c r="AJ188" s="99">
        <f t="shared" si="9"/>
        <v>0</v>
      </c>
      <c r="AK188" s="102" t="str">
        <f>+IF(AB188+AA188+AJ188&lt;=0, "NO COMPRADOR", +IF(AJ188&lt;=0, "SIN COMPRA "&amp;+UPPER(TEXT('DINAMICA ENERO 26'!$C$2,"mmm 'yy")), "COMPRADOR"))</f>
        <v>SIN COMPRA FEB '26</v>
      </c>
      <c r="AM188" s="101"/>
    </row>
    <row r="189" spans="1:43" s="104" customFormat="1" hidden="1">
      <c r="A189" s="88" t="s">
        <v>85</v>
      </c>
      <c r="B189" s="89" t="s">
        <v>257</v>
      </c>
      <c r="C189" s="89" t="s">
        <v>43</v>
      </c>
      <c r="D189" s="103">
        <v>100089856</v>
      </c>
      <c r="E189" s="89" t="s">
        <v>49</v>
      </c>
      <c r="F189" s="89">
        <v>100066164</v>
      </c>
      <c r="G189" s="128" t="s">
        <v>281</v>
      </c>
      <c r="H189"/>
      <c r="I189"/>
      <c r="J189"/>
      <c r="K189"/>
      <c r="L189"/>
      <c r="M189"/>
      <c r="N189"/>
      <c r="O189"/>
      <c r="P189"/>
      <c r="Q189"/>
      <c r="R189"/>
      <c r="S189" s="91">
        <v>19.440000000000001</v>
      </c>
      <c r="T189" s="94">
        <v>19.440000000000001</v>
      </c>
      <c r="U189" s="91">
        <v>10.8</v>
      </c>
      <c r="V189" s="129">
        <v>10.8</v>
      </c>
      <c r="W189" s="91">
        <v>4.32</v>
      </c>
      <c r="X189" s="129">
        <v>4.32</v>
      </c>
      <c r="Y189" s="91">
        <v>10.8</v>
      </c>
      <c r="Z189" s="129">
        <v>10.8</v>
      </c>
      <c r="AA189" s="155">
        <f t="shared" si="12"/>
        <v>8.64</v>
      </c>
      <c r="AB189" s="98">
        <f t="shared" si="12"/>
        <v>8.64</v>
      </c>
      <c r="AC189"/>
      <c r="AD189" s="97">
        <v>0</v>
      </c>
      <c r="AE189" s="92">
        <v>0</v>
      </c>
      <c r="AF189" s="98">
        <f t="shared" si="10"/>
        <v>0</v>
      </c>
      <c r="AG189" s="97">
        <v>0</v>
      </c>
      <c r="AH189" s="92">
        <v>0</v>
      </c>
      <c r="AI189" s="98">
        <f t="shared" si="14"/>
        <v>0</v>
      </c>
      <c r="AJ189" s="99">
        <f t="shared" si="9"/>
        <v>0</v>
      </c>
      <c r="AK189" s="102" t="str">
        <f>+IF(AB189+AA189+AJ189&lt;=0, "NO COMPRADOR", +IF(AJ189&lt;=0, "SIN COMPRA "&amp;+UPPER(TEXT('DINAMICA ENERO 26'!$C$2,"mmm 'yy")), "COMPRADOR"))</f>
        <v>SIN COMPRA FEB '26</v>
      </c>
      <c r="AL189" s="100"/>
      <c r="AM189" s="101"/>
      <c r="AN189" s="100"/>
      <c r="AO189" s="100"/>
      <c r="AP189" s="100"/>
    </row>
    <row r="190" spans="1:43" s="104" customFormat="1" hidden="1">
      <c r="A190" s="88" t="s">
        <v>85</v>
      </c>
      <c r="B190" s="89" t="s">
        <v>257</v>
      </c>
      <c r="C190" s="89" t="s">
        <v>43</v>
      </c>
      <c r="D190" s="103">
        <v>100089856</v>
      </c>
      <c r="E190" s="89" t="s">
        <v>49</v>
      </c>
      <c r="F190" s="89">
        <v>100034611</v>
      </c>
      <c r="G190" s="128" t="s">
        <v>282</v>
      </c>
      <c r="H190"/>
      <c r="I190"/>
      <c r="J190"/>
      <c r="K190"/>
      <c r="L190"/>
      <c r="M190"/>
      <c r="N190"/>
      <c r="O190"/>
      <c r="P190"/>
      <c r="Q190"/>
      <c r="R190"/>
      <c r="S190" s="91">
        <v>0</v>
      </c>
      <c r="T190" s="94">
        <v>0</v>
      </c>
      <c r="U190" s="91">
        <v>0</v>
      </c>
      <c r="V190" s="129">
        <v>0</v>
      </c>
      <c r="W190" s="91">
        <v>0</v>
      </c>
      <c r="X190" s="129">
        <v>0</v>
      </c>
      <c r="Y190" s="91">
        <v>0</v>
      </c>
      <c r="Z190" s="129">
        <v>0</v>
      </c>
      <c r="AA190" s="155">
        <f t="shared" si="12"/>
        <v>0</v>
      </c>
      <c r="AB190" s="98">
        <f t="shared" si="12"/>
        <v>0</v>
      </c>
      <c r="AC190"/>
      <c r="AD190" s="97">
        <v>0</v>
      </c>
      <c r="AE190" s="92">
        <v>0</v>
      </c>
      <c r="AF190" s="98">
        <f t="shared" si="10"/>
        <v>0</v>
      </c>
      <c r="AG190" s="97">
        <v>0</v>
      </c>
      <c r="AH190" s="92">
        <v>0</v>
      </c>
      <c r="AI190" s="98">
        <f t="shared" si="14"/>
        <v>0</v>
      </c>
      <c r="AJ190" s="99">
        <f t="shared" si="9"/>
        <v>0</v>
      </c>
      <c r="AK190" s="102" t="str">
        <f>+IF(AB190+AA190+AJ190&lt;=0, "NO COMPRADOR", +IF(AJ190&lt;=0, "SIN COMPRA "&amp;+UPPER(TEXT('DINAMICA ENERO 26'!$C$2,"mmm 'yy")), "COMPRADOR"))</f>
        <v>NO COMPRADOR</v>
      </c>
      <c r="AL190" s="100"/>
      <c r="AM190" s="101"/>
      <c r="AN190" s="100"/>
      <c r="AO190" s="100"/>
      <c r="AP190" s="100"/>
    </row>
    <row r="191" spans="1:43" s="104" customFormat="1" hidden="1">
      <c r="A191" s="88" t="s">
        <v>85</v>
      </c>
      <c r="B191" s="89" t="s">
        <v>257</v>
      </c>
      <c r="C191" s="89" t="s">
        <v>43</v>
      </c>
      <c r="D191" s="103">
        <v>100089856</v>
      </c>
      <c r="E191" s="89" t="s">
        <v>49</v>
      </c>
      <c r="F191" s="89">
        <v>100001907</v>
      </c>
      <c r="G191" s="128" t="s">
        <v>283</v>
      </c>
      <c r="H191"/>
      <c r="I191"/>
      <c r="J191"/>
      <c r="K191"/>
      <c r="L191"/>
      <c r="M191"/>
      <c r="N191"/>
      <c r="O191"/>
      <c r="P191"/>
      <c r="Q191"/>
      <c r="R191"/>
      <c r="S191" s="91">
        <v>21.6</v>
      </c>
      <c r="T191" s="94">
        <v>21.6</v>
      </c>
      <c r="U191" s="91">
        <v>116.64000000000001</v>
      </c>
      <c r="V191" s="129">
        <v>86.4</v>
      </c>
      <c r="W191" s="91">
        <v>21.6</v>
      </c>
      <c r="X191" s="129">
        <v>21.6</v>
      </c>
      <c r="Y191" s="91">
        <v>0</v>
      </c>
      <c r="Z191" s="129">
        <v>0</v>
      </c>
      <c r="AA191" s="155">
        <f t="shared" si="12"/>
        <v>46.080000000000005</v>
      </c>
      <c r="AB191" s="98">
        <f t="shared" si="12"/>
        <v>36</v>
      </c>
      <c r="AC191"/>
      <c r="AD191" s="97">
        <v>2.16</v>
      </c>
      <c r="AE191" s="92">
        <v>0</v>
      </c>
      <c r="AF191" s="98">
        <f t="shared" si="10"/>
        <v>2.16</v>
      </c>
      <c r="AG191" s="97">
        <v>2.16</v>
      </c>
      <c r="AH191" s="92">
        <v>0</v>
      </c>
      <c r="AI191" s="98">
        <f t="shared" si="14"/>
        <v>2.16</v>
      </c>
      <c r="AJ191" s="99">
        <f t="shared" si="9"/>
        <v>4.32</v>
      </c>
      <c r="AK191" s="102" t="str">
        <f>+IF(AB191+AA191+AJ191&lt;=0, "NO COMPRADOR", +IF(AJ191&lt;=0, "SIN COMPRA "&amp;+UPPER(TEXT('DINAMICA ENERO 26'!$C$2,"mmm 'yy")), "COMPRADOR"))</f>
        <v>COMPRADOR</v>
      </c>
      <c r="AL191" s="100"/>
      <c r="AM191" s="101"/>
      <c r="AN191" s="100"/>
      <c r="AO191" s="100"/>
      <c r="AP191" s="100"/>
    </row>
    <row r="192" spans="1:43" s="104" customFormat="1" hidden="1">
      <c r="A192" s="88" t="s">
        <v>85</v>
      </c>
      <c r="B192" s="89" t="s">
        <v>257</v>
      </c>
      <c r="C192" s="89" t="s">
        <v>43</v>
      </c>
      <c r="D192" s="103">
        <v>100089856</v>
      </c>
      <c r="E192" s="89" t="s">
        <v>49</v>
      </c>
      <c r="F192" s="89">
        <v>100068177</v>
      </c>
      <c r="G192" s="128" t="s">
        <v>284</v>
      </c>
      <c r="H192"/>
      <c r="I192"/>
      <c r="J192"/>
      <c r="K192"/>
      <c r="L192"/>
      <c r="M192"/>
      <c r="N192"/>
      <c r="O192"/>
      <c r="P192"/>
      <c r="Q192"/>
      <c r="R192"/>
      <c r="S192" s="91">
        <v>4.32</v>
      </c>
      <c r="T192" s="94">
        <v>4.32</v>
      </c>
      <c r="U192" s="91">
        <v>2.16</v>
      </c>
      <c r="V192" s="129">
        <v>2.16</v>
      </c>
      <c r="W192" s="91">
        <v>2.16</v>
      </c>
      <c r="X192" s="129">
        <v>2.16</v>
      </c>
      <c r="Y192" s="91">
        <v>2.16</v>
      </c>
      <c r="Z192" s="129">
        <v>2.16</v>
      </c>
      <c r="AA192" s="155">
        <f t="shared" si="12"/>
        <v>2.16</v>
      </c>
      <c r="AB192" s="98">
        <f t="shared" si="12"/>
        <v>2.16</v>
      </c>
      <c r="AC192"/>
      <c r="AD192" s="97">
        <v>0</v>
      </c>
      <c r="AE192" s="92">
        <v>0</v>
      </c>
      <c r="AF192" s="98">
        <f t="shared" si="10"/>
        <v>0</v>
      </c>
      <c r="AG192" s="97">
        <v>0</v>
      </c>
      <c r="AH192" s="92">
        <v>0</v>
      </c>
      <c r="AI192" s="98">
        <f t="shared" si="14"/>
        <v>0</v>
      </c>
      <c r="AJ192" s="99">
        <f t="shared" si="9"/>
        <v>0</v>
      </c>
      <c r="AK192" s="102" t="str">
        <f>+IF(AB192+AA192+AJ192&lt;=0, "NO COMPRADOR", +IF(AJ192&lt;=0, "SIN COMPRA "&amp;+UPPER(TEXT('DINAMICA ENERO 26'!$C$2,"mmm 'yy")), "COMPRADOR"))</f>
        <v>SIN COMPRA FEB '26</v>
      </c>
      <c r="AL192" s="100"/>
      <c r="AM192" s="101"/>
      <c r="AN192" s="100"/>
      <c r="AO192" s="100"/>
      <c r="AP192" s="100"/>
    </row>
    <row r="193" spans="1:42" s="100" customFormat="1" hidden="1">
      <c r="A193" s="88" t="s">
        <v>85</v>
      </c>
      <c r="B193" s="89" t="s">
        <v>257</v>
      </c>
      <c r="C193" s="89" t="s">
        <v>43</v>
      </c>
      <c r="D193" s="103">
        <v>100089856</v>
      </c>
      <c r="E193" s="89" t="s">
        <v>49</v>
      </c>
      <c r="F193" s="89">
        <v>100062882</v>
      </c>
      <c r="G193" s="128" t="s">
        <v>285</v>
      </c>
      <c r="H193"/>
      <c r="I193"/>
      <c r="J193"/>
      <c r="K193"/>
      <c r="L193"/>
      <c r="M193"/>
      <c r="N193"/>
      <c r="O193"/>
      <c r="P193"/>
      <c r="Q193"/>
      <c r="R193"/>
      <c r="S193" s="91">
        <v>2.16</v>
      </c>
      <c r="T193" s="94">
        <v>2.16</v>
      </c>
      <c r="U193" s="91">
        <v>-2.16</v>
      </c>
      <c r="V193" s="129">
        <v>-2.16</v>
      </c>
      <c r="W193" s="91">
        <v>0</v>
      </c>
      <c r="X193" s="129">
        <v>0</v>
      </c>
      <c r="Y193" s="91">
        <v>0</v>
      </c>
      <c r="Z193" s="129">
        <v>0</v>
      </c>
      <c r="AA193" s="155">
        <f t="shared" si="12"/>
        <v>-0.72000000000000008</v>
      </c>
      <c r="AB193" s="98">
        <f t="shared" si="12"/>
        <v>-0.72000000000000008</v>
      </c>
      <c r="AC193"/>
      <c r="AD193" s="97">
        <v>0</v>
      </c>
      <c r="AE193" s="92">
        <v>0</v>
      </c>
      <c r="AF193" s="98">
        <f t="shared" si="10"/>
        <v>0</v>
      </c>
      <c r="AG193" s="97">
        <v>0</v>
      </c>
      <c r="AH193" s="92">
        <v>0</v>
      </c>
      <c r="AI193" s="98">
        <f t="shared" si="14"/>
        <v>0</v>
      </c>
      <c r="AJ193" s="99">
        <f t="shared" si="9"/>
        <v>0</v>
      </c>
      <c r="AK193" s="102" t="str">
        <f>+IF(AB193+AA193+AJ193&lt;=0, "NO COMPRADOR", +IF(AJ193&lt;=0, "SIN COMPRA "&amp;+UPPER(TEXT('DINAMICA ENERO 26'!$C$2,"mmm 'yy")), "COMPRADOR"))</f>
        <v>NO COMPRADOR</v>
      </c>
      <c r="AM193" s="101"/>
    </row>
    <row r="194" spans="1:42" s="104" customFormat="1" hidden="1">
      <c r="A194" s="88" t="s">
        <v>85</v>
      </c>
      <c r="B194" s="89" t="s">
        <v>257</v>
      </c>
      <c r="C194" s="89" t="s">
        <v>43</v>
      </c>
      <c r="D194" s="103">
        <v>100089856</v>
      </c>
      <c r="E194" s="89" t="s">
        <v>49</v>
      </c>
      <c r="F194" s="89">
        <v>100001936</v>
      </c>
      <c r="G194" s="128" t="s">
        <v>286</v>
      </c>
      <c r="H194"/>
      <c r="I194"/>
      <c r="J194"/>
      <c r="K194"/>
      <c r="L194"/>
      <c r="M194"/>
      <c r="N194"/>
      <c r="O194"/>
      <c r="P194"/>
      <c r="Q194"/>
      <c r="R194"/>
      <c r="S194" s="91">
        <v>2.16</v>
      </c>
      <c r="T194" s="94">
        <v>2.16</v>
      </c>
      <c r="U194" s="91">
        <v>2.16</v>
      </c>
      <c r="V194" s="129">
        <v>2.16</v>
      </c>
      <c r="W194" s="91">
        <v>0</v>
      </c>
      <c r="X194" s="129">
        <v>0</v>
      </c>
      <c r="Y194" s="91">
        <v>2.16</v>
      </c>
      <c r="Z194" s="129">
        <v>0</v>
      </c>
      <c r="AA194" s="155">
        <f t="shared" si="12"/>
        <v>1.4400000000000002</v>
      </c>
      <c r="AB194" s="98">
        <f t="shared" si="12"/>
        <v>0.72000000000000008</v>
      </c>
      <c r="AC194"/>
      <c r="AD194" s="97">
        <v>0</v>
      </c>
      <c r="AE194" s="92">
        <v>0</v>
      </c>
      <c r="AF194" s="98">
        <f t="shared" si="10"/>
        <v>0</v>
      </c>
      <c r="AG194" s="97">
        <v>0</v>
      </c>
      <c r="AH194" s="92">
        <v>0</v>
      </c>
      <c r="AI194" s="98">
        <f t="shared" si="14"/>
        <v>0</v>
      </c>
      <c r="AJ194" s="99">
        <f t="shared" si="9"/>
        <v>0</v>
      </c>
      <c r="AK194" s="102" t="str">
        <f>+IF(AB194+AA194+AJ194&lt;=0, "NO COMPRADOR", +IF(AJ194&lt;=0, "SIN COMPRA "&amp;+UPPER(TEXT('DINAMICA ENERO 26'!$C$2,"mmm 'yy")), "COMPRADOR"))</f>
        <v>SIN COMPRA FEB '26</v>
      </c>
      <c r="AL194" s="100"/>
      <c r="AM194" s="101"/>
      <c r="AN194" s="100"/>
      <c r="AO194" s="100"/>
      <c r="AP194" s="100"/>
    </row>
    <row r="195" spans="1:42" s="104" customFormat="1" hidden="1">
      <c r="A195" s="88" t="s">
        <v>85</v>
      </c>
      <c r="B195" s="89" t="s">
        <v>257</v>
      </c>
      <c r="C195" s="89" t="s">
        <v>43</v>
      </c>
      <c r="D195" s="103">
        <v>100089856</v>
      </c>
      <c r="E195" s="89" t="s">
        <v>49</v>
      </c>
      <c r="F195" s="89">
        <v>100001513</v>
      </c>
      <c r="G195" s="128" t="s">
        <v>287</v>
      </c>
      <c r="H195"/>
      <c r="I195"/>
      <c r="J195"/>
      <c r="K195"/>
      <c r="L195"/>
      <c r="M195"/>
      <c r="N195"/>
      <c r="O195"/>
      <c r="P195"/>
      <c r="Q195"/>
      <c r="R195"/>
      <c r="S195" s="91">
        <v>0</v>
      </c>
      <c r="T195" s="94">
        <v>0</v>
      </c>
      <c r="U195" s="91">
        <v>0</v>
      </c>
      <c r="V195" s="129">
        <v>0</v>
      </c>
      <c r="W195" s="91">
        <v>0</v>
      </c>
      <c r="X195" s="129">
        <v>0</v>
      </c>
      <c r="Y195" s="91">
        <v>0</v>
      </c>
      <c r="Z195" s="129">
        <v>0</v>
      </c>
      <c r="AA195" s="155">
        <f t="shared" si="12"/>
        <v>0</v>
      </c>
      <c r="AB195" s="98">
        <f t="shared" si="12"/>
        <v>0</v>
      </c>
      <c r="AC195"/>
      <c r="AD195" s="97">
        <v>0</v>
      </c>
      <c r="AE195" s="92">
        <v>0</v>
      </c>
      <c r="AF195" s="98">
        <f t="shared" si="10"/>
        <v>0</v>
      </c>
      <c r="AG195" s="97">
        <v>0</v>
      </c>
      <c r="AH195" s="92">
        <v>0</v>
      </c>
      <c r="AI195" s="98">
        <f t="shared" si="14"/>
        <v>0</v>
      </c>
      <c r="AJ195" s="99">
        <f t="shared" ref="AJ195:AJ258" si="15">+AF195+AI195</f>
        <v>0</v>
      </c>
      <c r="AK195" s="102" t="str">
        <f>+IF(AB195+AA195+AJ195&lt;=0, "NO COMPRADOR", +IF(AJ195&lt;=0, "SIN COMPRA "&amp;+UPPER(TEXT('DINAMICA ENERO 26'!$C$2,"mmm 'yy")), "COMPRADOR"))</f>
        <v>NO COMPRADOR</v>
      </c>
      <c r="AL195" s="100"/>
      <c r="AM195" s="101"/>
      <c r="AN195" s="100"/>
      <c r="AO195" s="100"/>
      <c r="AP195" s="100"/>
    </row>
    <row r="196" spans="1:42" s="104" customFormat="1" hidden="1">
      <c r="A196" s="88" t="s">
        <v>85</v>
      </c>
      <c r="B196" s="89" t="s">
        <v>257</v>
      </c>
      <c r="C196" s="89" t="s">
        <v>43</v>
      </c>
      <c r="D196" s="103">
        <v>100089856</v>
      </c>
      <c r="E196" s="89" t="s">
        <v>49</v>
      </c>
      <c r="F196" s="89">
        <v>100059754</v>
      </c>
      <c r="G196" s="128" t="s">
        <v>288</v>
      </c>
      <c r="H196"/>
      <c r="I196"/>
      <c r="J196"/>
      <c r="K196"/>
      <c r="L196"/>
      <c r="M196"/>
      <c r="N196"/>
      <c r="O196"/>
      <c r="P196"/>
      <c r="Q196"/>
      <c r="R196"/>
      <c r="S196" s="91">
        <v>6.48</v>
      </c>
      <c r="T196" s="94">
        <v>6.48</v>
      </c>
      <c r="U196" s="91">
        <v>4.32</v>
      </c>
      <c r="V196" s="129">
        <v>0</v>
      </c>
      <c r="W196" s="91">
        <v>2.16</v>
      </c>
      <c r="X196" s="129">
        <v>2.16</v>
      </c>
      <c r="Y196" s="91">
        <v>0</v>
      </c>
      <c r="Z196" s="129">
        <v>0</v>
      </c>
      <c r="AA196" s="155">
        <f t="shared" si="12"/>
        <v>2.16</v>
      </c>
      <c r="AB196" s="98">
        <f t="shared" si="12"/>
        <v>0.72000000000000008</v>
      </c>
      <c r="AC196"/>
      <c r="AD196" s="97">
        <v>0</v>
      </c>
      <c r="AE196" s="92">
        <v>0</v>
      </c>
      <c r="AF196" s="98">
        <f t="shared" ref="AF196:AF259" si="16">+AD196+AE196</f>
        <v>0</v>
      </c>
      <c r="AG196" s="97">
        <v>0</v>
      </c>
      <c r="AH196" s="92">
        <v>0</v>
      </c>
      <c r="AI196" s="98">
        <f t="shared" si="14"/>
        <v>0</v>
      </c>
      <c r="AJ196" s="99">
        <f t="shared" si="15"/>
        <v>0</v>
      </c>
      <c r="AK196" s="102" t="str">
        <f>+IF(AB196+AA196+AJ196&lt;=0, "NO COMPRADOR", +IF(AJ196&lt;=0, "SIN COMPRA "&amp;+UPPER(TEXT('DINAMICA ENERO 26'!$C$2,"mmm 'yy")), "COMPRADOR"))</f>
        <v>SIN COMPRA FEB '26</v>
      </c>
      <c r="AL196" s="100"/>
      <c r="AM196" s="101"/>
      <c r="AN196" s="100"/>
      <c r="AO196" s="100"/>
      <c r="AP196" s="100"/>
    </row>
    <row r="197" spans="1:42" s="100" customFormat="1" hidden="1">
      <c r="A197" s="88" t="s">
        <v>85</v>
      </c>
      <c r="B197" s="89" t="s">
        <v>257</v>
      </c>
      <c r="C197" s="89" t="s">
        <v>43</v>
      </c>
      <c r="D197" s="103">
        <v>100089856</v>
      </c>
      <c r="E197" s="89" t="s">
        <v>49</v>
      </c>
      <c r="F197" s="89">
        <v>100064962</v>
      </c>
      <c r="G197" s="128" t="s">
        <v>289</v>
      </c>
      <c r="H197"/>
      <c r="I197"/>
      <c r="J197"/>
      <c r="K197"/>
      <c r="L197"/>
      <c r="M197"/>
      <c r="N197"/>
      <c r="O197"/>
      <c r="P197"/>
      <c r="Q197"/>
      <c r="R197"/>
      <c r="S197" s="91">
        <v>4.32</v>
      </c>
      <c r="T197" s="94">
        <v>4.32</v>
      </c>
      <c r="U197" s="91">
        <v>0</v>
      </c>
      <c r="V197" s="129">
        <v>0</v>
      </c>
      <c r="W197" s="91">
        <v>0</v>
      </c>
      <c r="X197" s="129">
        <v>0</v>
      </c>
      <c r="Y197" s="91">
        <v>0</v>
      </c>
      <c r="Z197" s="129">
        <v>0</v>
      </c>
      <c r="AA197" s="155">
        <f t="shared" si="12"/>
        <v>0</v>
      </c>
      <c r="AB197" s="98">
        <f t="shared" si="12"/>
        <v>0</v>
      </c>
      <c r="AC197"/>
      <c r="AD197" s="97">
        <v>0</v>
      </c>
      <c r="AE197" s="92">
        <v>0</v>
      </c>
      <c r="AF197" s="98">
        <f t="shared" si="16"/>
        <v>0</v>
      </c>
      <c r="AG197" s="97">
        <v>0</v>
      </c>
      <c r="AH197" s="92">
        <v>0</v>
      </c>
      <c r="AI197" s="98">
        <f t="shared" si="14"/>
        <v>0</v>
      </c>
      <c r="AJ197" s="99">
        <f t="shared" si="15"/>
        <v>0</v>
      </c>
      <c r="AK197" s="102" t="str">
        <f>+IF(AB197+AA197+AJ197&lt;=0, "NO COMPRADOR", +IF(AJ197&lt;=0, "SIN COMPRA "&amp;+UPPER(TEXT('DINAMICA ENERO 26'!$C$2,"mmm 'yy")), "COMPRADOR"))</f>
        <v>NO COMPRADOR</v>
      </c>
      <c r="AM197" s="101"/>
    </row>
    <row r="198" spans="1:42" s="100" customFormat="1">
      <c r="A198" s="88" t="s">
        <v>85</v>
      </c>
      <c r="B198" s="89" t="s">
        <v>257</v>
      </c>
      <c r="C198" s="89" t="s">
        <v>43</v>
      </c>
      <c r="D198" s="103">
        <v>100067806</v>
      </c>
      <c r="E198" s="89" t="s">
        <v>50</v>
      </c>
      <c r="F198" s="89">
        <v>100001979</v>
      </c>
      <c r="G198" s="128" t="s">
        <v>290</v>
      </c>
      <c r="H198"/>
      <c r="I198"/>
      <c r="J198"/>
      <c r="K198"/>
      <c r="L198"/>
      <c r="M198"/>
      <c r="N198"/>
      <c r="O198"/>
      <c r="P198"/>
      <c r="Q198"/>
      <c r="R198"/>
      <c r="S198" s="91">
        <v>0</v>
      </c>
      <c r="T198" s="94">
        <v>0</v>
      </c>
      <c r="U198" s="91">
        <v>0</v>
      </c>
      <c r="V198" s="129">
        <v>0</v>
      </c>
      <c r="W198" s="91">
        <v>0</v>
      </c>
      <c r="X198" s="129">
        <v>0</v>
      </c>
      <c r="Y198" s="91">
        <v>0</v>
      </c>
      <c r="Z198" s="129">
        <v>0</v>
      </c>
      <c r="AA198" s="155">
        <f t="shared" si="12"/>
        <v>0</v>
      </c>
      <c r="AB198" s="98">
        <f t="shared" si="12"/>
        <v>0</v>
      </c>
      <c r="AC198"/>
      <c r="AD198" s="97">
        <v>0</v>
      </c>
      <c r="AE198" s="92">
        <v>0</v>
      </c>
      <c r="AF198" s="98">
        <f t="shared" si="16"/>
        <v>0</v>
      </c>
      <c r="AG198" s="97">
        <v>0</v>
      </c>
      <c r="AH198" s="92">
        <v>0</v>
      </c>
      <c r="AI198" s="98">
        <f t="shared" si="14"/>
        <v>0</v>
      </c>
      <c r="AJ198" s="99">
        <f t="shared" si="15"/>
        <v>0</v>
      </c>
      <c r="AK198" s="102" t="str">
        <f>+IF(AB198+AA198+AJ198&lt;=0, "NO COMPRADOR", +IF(AJ198&lt;=0, "SIN COMPRA "&amp;+UPPER(TEXT('DINAMICA ENERO 26'!$C$2,"mmm 'yy")), "COMPRADOR"))</f>
        <v>NO COMPRADOR</v>
      </c>
      <c r="AM198" s="101"/>
    </row>
    <row r="199" spans="1:42" s="104" customFormat="1">
      <c r="A199" s="88" t="s">
        <v>85</v>
      </c>
      <c r="B199" s="89" t="s">
        <v>257</v>
      </c>
      <c r="C199" s="89" t="s">
        <v>43</v>
      </c>
      <c r="D199" s="103">
        <v>100067806</v>
      </c>
      <c r="E199" s="89" t="s">
        <v>50</v>
      </c>
      <c r="F199" s="89">
        <v>100002252</v>
      </c>
      <c r="G199" s="128" t="s">
        <v>291</v>
      </c>
      <c r="H199"/>
      <c r="I199"/>
      <c r="J199"/>
      <c r="K199"/>
      <c r="L199"/>
      <c r="M199"/>
      <c r="N199"/>
      <c r="O199"/>
      <c r="P199"/>
      <c r="Q199"/>
      <c r="R199"/>
      <c r="S199" s="91">
        <v>0</v>
      </c>
      <c r="T199" s="94">
        <v>0</v>
      </c>
      <c r="U199" s="91">
        <v>10.8</v>
      </c>
      <c r="V199" s="129">
        <v>8.64</v>
      </c>
      <c r="W199" s="91">
        <v>2.16</v>
      </c>
      <c r="X199" s="129">
        <v>4.32</v>
      </c>
      <c r="Y199" s="91">
        <v>4.32</v>
      </c>
      <c r="Z199" s="129">
        <v>4.32</v>
      </c>
      <c r="AA199" s="155">
        <f t="shared" si="12"/>
        <v>5.7600000000000007</v>
      </c>
      <c r="AB199" s="98">
        <f t="shared" si="12"/>
        <v>5.7600000000000007</v>
      </c>
      <c r="AC199"/>
      <c r="AD199" s="97">
        <v>0</v>
      </c>
      <c r="AE199" s="92">
        <v>0</v>
      </c>
      <c r="AF199" s="98">
        <f t="shared" si="16"/>
        <v>0</v>
      </c>
      <c r="AG199" s="97">
        <v>0</v>
      </c>
      <c r="AH199" s="92">
        <v>0</v>
      </c>
      <c r="AI199" s="98">
        <f t="shared" si="14"/>
        <v>0</v>
      </c>
      <c r="AJ199" s="99">
        <f t="shared" si="15"/>
        <v>0</v>
      </c>
      <c r="AK199" s="102" t="str">
        <f>+IF(AB199+AA199+AJ199&lt;=0, "NO COMPRADOR", +IF(AJ199&lt;=0, "SIN COMPRA "&amp;+UPPER(TEXT('DINAMICA ENERO 26'!$C$2,"mmm 'yy")), "COMPRADOR"))</f>
        <v>SIN COMPRA FEB '26</v>
      </c>
      <c r="AL199" s="100"/>
      <c r="AM199" s="101"/>
      <c r="AN199" s="100"/>
      <c r="AO199" s="100"/>
      <c r="AP199" s="100"/>
    </row>
    <row r="200" spans="1:42" s="100" customFormat="1">
      <c r="A200" s="88" t="s">
        <v>85</v>
      </c>
      <c r="B200" s="89" t="s">
        <v>257</v>
      </c>
      <c r="C200" s="89" t="s">
        <v>43</v>
      </c>
      <c r="D200" s="103">
        <v>100067806</v>
      </c>
      <c r="E200" s="89" t="s">
        <v>50</v>
      </c>
      <c r="F200" s="89">
        <v>100085225</v>
      </c>
      <c r="G200" s="128" t="s">
        <v>292</v>
      </c>
      <c r="H200"/>
      <c r="I200"/>
      <c r="J200"/>
      <c r="K200"/>
      <c r="L200"/>
      <c r="M200"/>
      <c r="N200"/>
      <c r="O200"/>
      <c r="P200"/>
      <c r="Q200"/>
      <c r="R200"/>
      <c r="S200" s="91">
        <v>0</v>
      </c>
      <c r="T200" s="94">
        <v>0</v>
      </c>
      <c r="U200" s="91">
        <v>2.16</v>
      </c>
      <c r="V200" s="129">
        <v>0</v>
      </c>
      <c r="W200" s="91">
        <v>2.16</v>
      </c>
      <c r="X200" s="129">
        <v>2.16</v>
      </c>
      <c r="Y200" s="91">
        <v>0</v>
      </c>
      <c r="Z200" s="129">
        <v>0</v>
      </c>
      <c r="AA200" s="155">
        <f t="shared" si="12"/>
        <v>1.4400000000000002</v>
      </c>
      <c r="AB200" s="98">
        <f t="shared" si="12"/>
        <v>0.72000000000000008</v>
      </c>
      <c r="AC200"/>
      <c r="AD200" s="97">
        <v>0</v>
      </c>
      <c r="AE200" s="92">
        <v>0</v>
      </c>
      <c r="AF200" s="98">
        <f t="shared" si="16"/>
        <v>0</v>
      </c>
      <c r="AG200" s="97">
        <v>0</v>
      </c>
      <c r="AH200" s="92">
        <v>0</v>
      </c>
      <c r="AI200" s="98">
        <f t="shared" si="14"/>
        <v>0</v>
      </c>
      <c r="AJ200" s="99">
        <f t="shared" si="15"/>
        <v>0</v>
      </c>
      <c r="AK200" s="102" t="str">
        <f>+IF(AB200+AA200+AJ200&lt;=0, "NO COMPRADOR", +IF(AJ200&lt;=0, "SIN COMPRA "&amp;+UPPER(TEXT('DINAMICA ENERO 26'!$C$2,"mmm 'yy")), "COMPRADOR"))</f>
        <v>SIN COMPRA FEB '26</v>
      </c>
      <c r="AM200" s="101"/>
    </row>
    <row r="201" spans="1:42" s="100" customFormat="1">
      <c r="A201" s="88" t="s">
        <v>85</v>
      </c>
      <c r="B201" s="89" t="s">
        <v>257</v>
      </c>
      <c r="C201" s="89" t="s">
        <v>43</v>
      </c>
      <c r="D201" s="103">
        <v>100067806</v>
      </c>
      <c r="E201" s="89" t="s">
        <v>50</v>
      </c>
      <c r="F201" s="89">
        <v>100001891</v>
      </c>
      <c r="G201" s="128" t="s">
        <v>293</v>
      </c>
      <c r="H201"/>
      <c r="I201"/>
      <c r="J201"/>
      <c r="K201"/>
      <c r="L201"/>
      <c r="M201"/>
      <c r="N201"/>
      <c r="O201"/>
      <c r="P201"/>
      <c r="Q201"/>
      <c r="R201"/>
      <c r="S201" s="91">
        <v>4.32</v>
      </c>
      <c r="T201" s="94">
        <v>4.32</v>
      </c>
      <c r="U201" s="91">
        <v>21.6</v>
      </c>
      <c r="V201" s="129">
        <v>21.6</v>
      </c>
      <c r="W201" s="91">
        <v>0</v>
      </c>
      <c r="X201" s="129">
        <v>0</v>
      </c>
      <c r="Y201" s="91">
        <v>21.6</v>
      </c>
      <c r="Z201" s="129">
        <v>0</v>
      </c>
      <c r="AA201" s="155">
        <f t="shared" si="12"/>
        <v>14.4</v>
      </c>
      <c r="AB201" s="98">
        <f t="shared" si="12"/>
        <v>7.2</v>
      </c>
      <c r="AC201"/>
      <c r="AD201" s="97">
        <v>0</v>
      </c>
      <c r="AE201" s="92">
        <v>0</v>
      </c>
      <c r="AF201" s="98">
        <f t="shared" si="16"/>
        <v>0</v>
      </c>
      <c r="AG201" s="97">
        <v>10.8</v>
      </c>
      <c r="AH201" s="92">
        <v>0</v>
      </c>
      <c r="AI201" s="98">
        <f t="shared" si="14"/>
        <v>10.8</v>
      </c>
      <c r="AJ201" s="99">
        <f t="shared" si="15"/>
        <v>10.8</v>
      </c>
      <c r="AK201" s="102" t="str">
        <f>+IF(AB201+AA201+AJ201&lt;=0, "NO COMPRADOR", +IF(AJ201&lt;=0, "SIN COMPRA "&amp;+UPPER(TEXT('DINAMICA ENERO 26'!$C$2,"mmm 'yy")), "COMPRADOR"))</f>
        <v>COMPRADOR</v>
      </c>
      <c r="AM201" s="101"/>
    </row>
    <row r="202" spans="1:42" s="100" customFormat="1">
      <c r="A202" s="88" t="s">
        <v>85</v>
      </c>
      <c r="B202" s="89" t="s">
        <v>257</v>
      </c>
      <c r="C202" s="89" t="s">
        <v>43</v>
      </c>
      <c r="D202" s="103">
        <v>100067806</v>
      </c>
      <c r="E202" s="89" t="s">
        <v>50</v>
      </c>
      <c r="F202" s="89">
        <v>100001593</v>
      </c>
      <c r="G202" s="128" t="s">
        <v>294</v>
      </c>
      <c r="H202"/>
      <c r="I202"/>
      <c r="J202"/>
      <c r="K202"/>
      <c r="L202"/>
      <c r="M202"/>
      <c r="N202"/>
      <c r="O202"/>
      <c r="P202"/>
      <c r="Q202"/>
      <c r="R202"/>
      <c r="S202" s="91">
        <v>2.16</v>
      </c>
      <c r="T202" s="94">
        <v>2.16</v>
      </c>
      <c r="U202" s="91">
        <v>2.16</v>
      </c>
      <c r="V202" s="129">
        <v>2.16</v>
      </c>
      <c r="W202" s="91">
        <v>2.16</v>
      </c>
      <c r="X202" s="129">
        <v>2.16</v>
      </c>
      <c r="Y202" s="91">
        <v>2.16</v>
      </c>
      <c r="Z202" s="129">
        <v>2.16</v>
      </c>
      <c r="AA202" s="155">
        <f t="shared" si="12"/>
        <v>2.16</v>
      </c>
      <c r="AB202" s="98">
        <f t="shared" si="12"/>
        <v>2.16</v>
      </c>
      <c r="AC202"/>
      <c r="AD202" s="97">
        <v>8.64</v>
      </c>
      <c r="AE202" s="92">
        <v>0</v>
      </c>
      <c r="AF202" s="98">
        <f t="shared" si="16"/>
        <v>8.64</v>
      </c>
      <c r="AG202" s="97">
        <v>10.8</v>
      </c>
      <c r="AH202" s="92">
        <v>0</v>
      </c>
      <c r="AI202" s="98">
        <f t="shared" si="14"/>
        <v>10.8</v>
      </c>
      <c r="AJ202" s="99">
        <f t="shared" si="15"/>
        <v>19.440000000000001</v>
      </c>
      <c r="AK202" s="102" t="str">
        <f>+IF(AB202+AA202+AJ202&lt;=0, "NO COMPRADOR", +IF(AJ202&lt;=0, "SIN COMPRA "&amp;+UPPER(TEXT('DINAMICA ENERO 26'!$C$2,"mmm 'yy")), "COMPRADOR"))</f>
        <v>COMPRADOR</v>
      </c>
      <c r="AM202" s="101"/>
    </row>
    <row r="203" spans="1:42" s="104" customFormat="1">
      <c r="A203" s="88" t="s">
        <v>85</v>
      </c>
      <c r="B203" s="89" t="s">
        <v>257</v>
      </c>
      <c r="C203" s="89" t="s">
        <v>43</v>
      </c>
      <c r="D203" s="103">
        <v>100067806</v>
      </c>
      <c r="E203" s="89" t="s">
        <v>50</v>
      </c>
      <c r="F203" s="89">
        <v>100081330</v>
      </c>
      <c r="G203" s="128" t="s">
        <v>295</v>
      </c>
      <c r="H203"/>
      <c r="I203"/>
      <c r="J203"/>
      <c r="K203"/>
      <c r="L203"/>
      <c r="M203"/>
      <c r="N203"/>
      <c r="O203"/>
      <c r="P203"/>
      <c r="Q203"/>
      <c r="R203"/>
      <c r="S203" s="91">
        <v>8.64</v>
      </c>
      <c r="T203" s="94">
        <v>6.48</v>
      </c>
      <c r="U203" s="91">
        <v>4.32</v>
      </c>
      <c r="V203" s="129">
        <v>4.32</v>
      </c>
      <c r="W203" s="91">
        <v>0</v>
      </c>
      <c r="X203" s="129">
        <v>0</v>
      </c>
      <c r="Y203" s="91">
        <v>0</v>
      </c>
      <c r="Z203" s="129">
        <v>4.32</v>
      </c>
      <c r="AA203" s="155">
        <f t="shared" si="12"/>
        <v>1.4400000000000002</v>
      </c>
      <c r="AB203" s="98">
        <f t="shared" si="12"/>
        <v>2.8800000000000003</v>
      </c>
      <c r="AC203"/>
      <c r="AD203" s="97">
        <v>0</v>
      </c>
      <c r="AE203" s="92">
        <v>0</v>
      </c>
      <c r="AF203" s="98">
        <f t="shared" si="16"/>
        <v>0</v>
      </c>
      <c r="AG203" s="97">
        <v>0</v>
      </c>
      <c r="AH203" s="92">
        <v>0</v>
      </c>
      <c r="AI203" s="98">
        <f t="shared" si="14"/>
        <v>0</v>
      </c>
      <c r="AJ203" s="99">
        <f t="shared" si="15"/>
        <v>0</v>
      </c>
      <c r="AK203" s="102" t="str">
        <f>+IF(AB203+AA203+AJ203&lt;=0, "NO COMPRADOR", +IF(AJ203&lt;=0, "SIN COMPRA "&amp;+UPPER(TEXT('DINAMICA ENERO 26'!$C$2,"mmm 'yy")), "COMPRADOR"))</f>
        <v>SIN COMPRA FEB '26</v>
      </c>
      <c r="AL203" s="100"/>
      <c r="AM203" s="101"/>
      <c r="AN203" s="100"/>
      <c r="AO203" s="100"/>
      <c r="AP203" s="100"/>
    </row>
    <row r="204" spans="1:42" s="100" customFormat="1">
      <c r="A204" s="88" t="s">
        <v>85</v>
      </c>
      <c r="B204" s="89" t="s">
        <v>257</v>
      </c>
      <c r="C204" s="89" t="s">
        <v>43</v>
      </c>
      <c r="D204" s="103">
        <v>100067806</v>
      </c>
      <c r="E204" s="89" t="s">
        <v>50</v>
      </c>
      <c r="F204" s="89">
        <v>100079383</v>
      </c>
      <c r="G204" s="128" t="s">
        <v>296</v>
      </c>
      <c r="H204"/>
      <c r="I204"/>
      <c r="J204"/>
      <c r="K204"/>
      <c r="L204"/>
      <c r="M204"/>
      <c r="N204"/>
      <c r="O204"/>
      <c r="P204"/>
      <c r="Q204"/>
      <c r="R204"/>
      <c r="S204" s="91">
        <v>0</v>
      </c>
      <c r="T204" s="94">
        <v>0</v>
      </c>
      <c r="U204" s="91">
        <v>2.16</v>
      </c>
      <c r="V204" s="129">
        <v>2.16</v>
      </c>
      <c r="W204" s="91">
        <v>0</v>
      </c>
      <c r="X204" s="129">
        <v>0</v>
      </c>
      <c r="Y204" s="91">
        <v>0</v>
      </c>
      <c r="Z204" s="129">
        <v>0</v>
      </c>
      <c r="AA204" s="155">
        <f t="shared" si="12"/>
        <v>0.72000000000000008</v>
      </c>
      <c r="AB204" s="98">
        <f t="shared" si="12"/>
        <v>0.72000000000000008</v>
      </c>
      <c r="AC204"/>
      <c r="AD204" s="97">
        <v>0</v>
      </c>
      <c r="AE204" s="92">
        <v>0</v>
      </c>
      <c r="AF204" s="98">
        <f t="shared" si="16"/>
        <v>0</v>
      </c>
      <c r="AG204" s="97">
        <v>0</v>
      </c>
      <c r="AH204" s="92">
        <v>0</v>
      </c>
      <c r="AI204" s="98">
        <f t="shared" si="14"/>
        <v>0</v>
      </c>
      <c r="AJ204" s="99">
        <f t="shared" si="15"/>
        <v>0</v>
      </c>
      <c r="AK204" s="102" t="str">
        <f>+IF(AB204+AA204+AJ204&lt;=0, "NO COMPRADOR", +IF(AJ204&lt;=0, "SIN COMPRA "&amp;+UPPER(TEXT('DINAMICA ENERO 26'!$C$2,"mmm 'yy")), "COMPRADOR"))</f>
        <v>SIN COMPRA FEB '26</v>
      </c>
      <c r="AM204" s="101"/>
    </row>
    <row r="205" spans="1:42" s="100" customFormat="1">
      <c r="A205" s="88" t="s">
        <v>85</v>
      </c>
      <c r="B205" s="89" t="s">
        <v>257</v>
      </c>
      <c r="C205" s="89" t="s">
        <v>43</v>
      </c>
      <c r="D205" s="103">
        <v>100067806</v>
      </c>
      <c r="E205" s="89" t="s">
        <v>50</v>
      </c>
      <c r="F205" s="89">
        <v>100079030</v>
      </c>
      <c r="G205" s="128" t="s">
        <v>297</v>
      </c>
      <c r="H205"/>
      <c r="I205"/>
      <c r="J205"/>
      <c r="K205"/>
      <c r="L205"/>
      <c r="M205"/>
      <c r="N205"/>
      <c r="O205"/>
      <c r="P205"/>
      <c r="Q205"/>
      <c r="R205"/>
      <c r="S205" s="91">
        <v>0</v>
      </c>
      <c r="T205" s="94">
        <v>0</v>
      </c>
      <c r="U205" s="91">
        <v>0</v>
      </c>
      <c r="V205" s="129">
        <v>0</v>
      </c>
      <c r="W205" s="91">
        <v>0</v>
      </c>
      <c r="X205" s="129">
        <v>0</v>
      </c>
      <c r="Y205" s="91">
        <v>0</v>
      </c>
      <c r="Z205" s="129">
        <v>0</v>
      </c>
      <c r="AA205" s="155">
        <f t="shared" si="12"/>
        <v>0</v>
      </c>
      <c r="AB205" s="98">
        <f t="shared" si="12"/>
        <v>0</v>
      </c>
      <c r="AC205"/>
      <c r="AD205" s="97">
        <v>0</v>
      </c>
      <c r="AE205" s="92">
        <v>0</v>
      </c>
      <c r="AF205" s="98">
        <f t="shared" si="16"/>
        <v>0</v>
      </c>
      <c r="AG205" s="97">
        <v>0</v>
      </c>
      <c r="AH205" s="92">
        <v>0</v>
      </c>
      <c r="AI205" s="98">
        <f t="shared" si="14"/>
        <v>0</v>
      </c>
      <c r="AJ205" s="99">
        <f t="shared" si="15"/>
        <v>0</v>
      </c>
      <c r="AK205" s="102" t="str">
        <f>+IF(AB205+AA205+AJ205&lt;=0, "NO COMPRADOR", +IF(AJ205&lt;=0, "SIN COMPRA "&amp;+UPPER(TEXT('DINAMICA ENERO 26'!$C$2,"mmm 'yy")), "COMPRADOR"))</f>
        <v>NO COMPRADOR</v>
      </c>
      <c r="AM205" s="101"/>
    </row>
    <row r="206" spans="1:42" s="100" customFormat="1">
      <c r="A206" s="88" t="s">
        <v>85</v>
      </c>
      <c r="B206" s="89" t="s">
        <v>257</v>
      </c>
      <c r="C206" s="89" t="s">
        <v>43</v>
      </c>
      <c r="D206" s="103">
        <v>100067806</v>
      </c>
      <c r="E206" s="89" t="s">
        <v>50</v>
      </c>
      <c r="F206" s="89">
        <v>100024035</v>
      </c>
      <c r="G206" s="128" t="s">
        <v>298</v>
      </c>
      <c r="H206"/>
      <c r="I206"/>
      <c r="J206"/>
      <c r="K206"/>
      <c r="L206"/>
      <c r="M206"/>
      <c r="N206"/>
      <c r="O206"/>
      <c r="P206"/>
      <c r="Q206"/>
      <c r="R206"/>
      <c r="S206" s="91">
        <v>2.16</v>
      </c>
      <c r="T206" s="94">
        <v>2.16</v>
      </c>
      <c r="U206" s="91">
        <v>0</v>
      </c>
      <c r="V206" s="129">
        <v>2.16</v>
      </c>
      <c r="W206" s="91">
        <v>2.16</v>
      </c>
      <c r="X206" s="129">
        <v>2.16</v>
      </c>
      <c r="Y206" s="91">
        <v>0</v>
      </c>
      <c r="Z206" s="129">
        <v>0</v>
      </c>
      <c r="AA206" s="155">
        <f t="shared" si="12"/>
        <v>0.72000000000000008</v>
      </c>
      <c r="AB206" s="98">
        <f t="shared" si="12"/>
        <v>1.4400000000000002</v>
      </c>
      <c r="AC206"/>
      <c r="AD206" s="97">
        <v>4.32</v>
      </c>
      <c r="AE206" s="92">
        <v>0</v>
      </c>
      <c r="AF206" s="98">
        <f t="shared" si="16"/>
        <v>4.32</v>
      </c>
      <c r="AG206" s="97">
        <v>4.32</v>
      </c>
      <c r="AH206" s="92">
        <v>0</v>
      </c>
      <c r="AI206" s="98">
        <f t="shared" si="14"/>
        <v>4.32</v>
      </c>
      <c r="AJ206" s="99">
        <f t="shared" si="15"/>
        <v>8.64</v>
      </c>
      <c r="AK206" s="102" t="str">
        <f>+IF(AB206+AA206+AJ206&lt;=0, "NO COMPRADOR", +IF(AJ206&lt;=0, "SIN COMPRA "&amp;+UPPER(TEXT('DINAMICA ENERO 26'!$C$2,"mmm 'yy")), "COMPRADOR"))</f>
        <v>COMPRADOR</v>
      </c>
      <c r="AM206" s="101"/>
    </row>
    <row r="207" spans="1:42" s="104" customFormat="1">
      <c r="A207" s="88" t="s">
        <v>85</v>
      </c>
      <c r="B207" s="89" t="s">
        <v>257</v>
      </c>
      <c r="C207" s="89" t="s">
        <v>43</v>
      </c>
      <c r="D207" s="103">
        <v>100067806</v>
      </c>
      <c r="E207" s="89" t="s">
        <v>50</v>
      </c>
      <c r="F207" s="89">
        <v>100054056</v>
      </c>
      <c r="G207" s="128" t="s">
        <v>299</v>
      </c>
      <c r="H207"/>
      <c r="I207"/>
      <c r="J207"/>
      <c r="K207"/>
      <c r="L207"/>
      <c r="M207"/>
      <c r="N207"/>
      <c r="O207"/>
      <c r="P207"/>
      <c r="Q207"/>
      <c r="R207"/>
      <c r="S207" s="91">
        <v>0</v>
      </c>
      <c r="T207" s="94">
        <v>0</v>
      </c>
      <c r="U207" s="91">
        <v>2.16</v>
      </c>
      <c r="V207" s="129">
        <v>0</v>
      </c>
      <c r="W207" s="91">
        <v>2.16</v>
      </c>
      <c r="X207" s="129">
        <v>2.16</v>
      </c>
      <c r="Y207" s="91">
        <v>0</v>
      </c>
      <c r="Z207" s="129">
        <v>0</v>
      </c>
      <c r="AA207" s="155">
        <f t="shared" si="12"/>
        <v>1.4400000000000002</v>
      </c>
      <c r="AB207" s="98">
        <f t="shared" si="12"/>
        <v>0.72000000000000008</v>
      </c>
      <c r="AC207"/>
      <c r="AD207" s="97">
        <v>0</v>
      </c>
      <c r="AE207" s="92">
        <v>0</v>
      </c>
      <c r="AF207" s="98">
        <f t="shared" si="16"/>
        <v>0</v>
      </c>
      <c r="AG207" s="97">
        <v>0</v>
      </c>
      <c r="AH207" s="92">
        <v>0</v>
      </c>
      <c r="AI207" s="98">
        <f t="shared" si="14"/>
        <v>0</v>
      </c>
      <c r="AJ207" s="99">
        <f t="shared" si="15"/>
        <v>0</v>
      </c>
      <c r="AK207" s="102" t="str">
        <f>+IF(AB207+AA207+AJ207&lt;=0, "NO COMPRADOR", +IF(AJ207&lt;=0, "SIN COMPRA "&amp;+UPPER(TEXT('DINAMICA ENERO 26'!$C$2,"mmm 'yy")), "COMPRADOR"))</f>
        <v>SIN COMPRA FEB '26</v>
      </c>
      <c r="AL207" s="100"/>
      <c r="AM207" s="101"/>
      <c r="AN207" s="100"/>
      <c r="AO207" s="100"/>
      <c r="AP207" s="100"/>
    </row>
    <row r="208" spans="1:42" s="100" customFormat="1">
      <c r="A208" s="88" t="s">
        <v>85</v>
      </c>
      <c r="B208" s="89" t="s">
        <v>257</v>
      </c>
      <c r="C208" s="89" t="s">
        <v>43</v>
      </c>
      <c r="D208" s="103">
        <v>100067806</v>
      </c>
      <c r="E208" s="89" t="s">
        <v>50</v>
      </c>
      <c r="F208" s="89">
        <v>100076315</v>
      </c>
      <c r="G208" s="128" t="s">
        <v>300</v>
      </c>
      <c r="H208"/>
      <c r="I208"/>
      <c r="J208"/>
      <c r="K208"/>
      <c r="L208"/>
      <c r="M208"/>
      <c r="N208"/>
      <c r="O208"/>
      <c r="P208"/>
      <c r="Q208"/>
      <c r="R208"/>
      <c r="S208" s="91">
        <v>0</v>
      </c>
      <c r="T208" s="94">
        <v>0</v>
      </c>
      <c r="U208" s="91">
        <v>43.2</v>
      </c>
      <c r="V208" s="129">
        <v>43.2</v>
      </c>
      <c r="W208" s="91">
        <v>2.16</v>
      </c>
      <c r="X208" s="129">
        <v>2.16</v>
      </c>
      <c r="Y208" s="91">
        <v>0</v>
      </c>
      <c r="Z208" s="129">
        <v>2.16</v>
      </c>
      <c r="AA208" s="155">
        <f t="shared" si="12"/>
        <v>15.12</v>
      </c>
      <c r="AB208" s="98">
        <f t="shared" si="12"/>
        <v>15.839999999999998</v>
      </c>
      <c r="AC208"/>
      <c r="AD208" s="97">
        <v>0</v>
      </c>
      <c r="AE208" s="92">
        <v>0</v>
      </c>
      <c r="AF208" s="98">
        <f t="shared" si="16"/>
        <v>0</v>
      </c>
      <c r="AG208" s="97">
        <v>0</v>
      </c>
      <c r="AH208" s="92">
        <v>0</v>
      </c>
      <c r="AI208" s="98">
        <f t="shared" si="14"/>
        <v>0</v>
      </c>
      <c r="AJ208" s="99">
        <f t="shared" si="15"/>
        <v>0</v>
      </c>
      <c r="AK208" s="102" t="str">
        <f>+IF(AB208+AA208+AJ208&lt;=0, "NO COMPRADOR", +IF(AJ208&lt;=0, "SIN COMPRA "&amp;+UPPER(TEXT('DINAMICA ENERO 26'!$C$2,"mmm 'yy")), "COMPRADOR"))</f>
        <v>SIN COMPRA FEB '26</v>
      </c>
      <c r="AM208" s="101"/>
    </row>
    <row r="209" spans="1:42" s="100" customFormat="1">
      <c r="A209" s="88" t="s">
        <v>85</v>
      </c>
      <c r="B209" s="89" t="s">
        <v>257</v>
      </c>
      <c r="C209" s="89" t="s">
        <v>43</v>
      </c>
      <c r="D209" s="103">
        <v>100067806</v>
      </c>
      <c r="E209" s="89" t="s">
        <v>50</v>
      </c>
      <c r="F209" s="89">
        <v>100002218</v>
      </c>
      <c r="G209" s="128" t="s">
        <v>301</v>
      </c>
      <c r="H209"/>
      <c r="I209"/>
      <c r="J209"/>
      <c r="K209"/>
      <c r="L209"/>
      <c r="M209"/>
      <c r="N209"/>
      <c r="O209"/>
      <c r="P209"/>
      <c r="Q209"/>
      <c r="R209"/>
      <c r="S209" s="91">
        <v>0</v>
      </c>
      <c r="T209" s="94">
        <v>0</v>
      </c>
      <c r="U209" s="91">
        <v>0</v>
      </c>
      <c r="V209" s="129">
        <v>0</v>
      </c>
      <c r="W209" s="91">
        <v>0</v>
      </c>
      <c r="X209" s="129">
        <v>0</v>
      </c>
      <c r="Y209" s="91">
        <v>0</v>
      </c>
      <c r="Z209" s="129">
        <v>0</v>
      </c>
      <c r="AA209" s="155">
        <f t="shared" si="12"/>
        <v>0</v>
      </c>
      <c r="AB209" s="98">
        <f t="shared" si="12"/>
        <v>0</v>
      </c>
      <c r="AC209"/>
      <c r="AD209" s="97">
        <v>0</v>
      </c>
      <c r="AE209" s="92">
        <v>0</v>
      </c>
      <c r="AF209" s="98">
        <f t="shared" si="16"/>
        <v>0</v>
      </c>
      <c r="AG209" s="97">
        <v>0</v>
      </c>
      <c r="AH209" s="92">
        <v>0</v>
      </c>
      <c r="AI209" s="98">
        <f t="shared" si="14"/>
        <v>0</v>
      </c>
      <c r="AJ209" s="99">
        <f t="shared" si="15"/>
        <v>0</v>
      </c>
      <c r="AK209" s="102" t="str">
        <f>+IF(AB209+AA209+AJ209&lt;=0, "NO COMPRADOR", +IF(AJ209&lt;=0, "SIN COMPRA "&amp;+UPPER(TEXT('DINAMICA ENERO 26'!$C$2,"mmm 'yy")), "COMPRADOR"))</f>
        <v>NO COMPRADOR</v>
      </c>
      <c r="AM209" s="101"/>
    </row>
    <row r="210" spans="1:42" s="100" customFormat="1">
      <c r="A210" s="88" t="s">
        <v>85</v>
      </c>
      <c r="B210" s="89" t="s">
        <v>257</v>
      </c>
      <c r="C210" s="89" t="s">
        <v>43</v>
      </c>
      <c r="D210" s="103">
        <v>100067806</v>
      </c>
      <c r="E210" s="89" t="s">
        <v>50</v>
      </c>
      <c r="F210" s="89">
        <v>100076218</v>
      </c>
      <c r="G210" s="128" t="s">
        <v>302</v>
      </c>
      <c r="H210"/>
      <c r="I210"/>
      <c r="J210"/>
      <c r="K210"/>
      <c r="L210"/>
      <c r="M210"/>
      <c r="N210"/>
      <c r="O210"/>
      <c r="P210"/>
      <c r="Q210"/>
      <c r="R210"/>
      <c r="S210" s="91">
        <v>0</v>
      </c>
      <c r="T210" s="94">
        <v>0</v>
      </c>
      <c r="U210" s="91">
        <v>0</v>
      </c>
      <c r="V210" s="129">
        <v>0</v>
      </c>
      <c r="W210" s="91">
        <v>0</v>
      </c>
      <c r="X210" s="129">
        <v>0</v>
      </c>
      <c r="Y210" s="91">
        <v>0</v>
      </c>
      <c r="Z210" s="129">
        <v>0</v>
      </c>
      <c r="AA210" s="155">
        <f t="shared" si="12"/>
        <v>0</v>
      </c>
      <c r="AB210" s="98">
        <f t="shared" si="12"/>
        <v>0</v>
      </c>
      <c r="AC210"/>
      <c r="AD210" s="97">
        <v>0</v>
      </c>
      <c r="AE210" s="92">
        <v>0</v>
      </c>
      <c r="AF210" s="98">
        <f t="shared" si="16"/>
        <v>0</v>
      </c>
      <c r="AG210" s="97">
        <v>0</v>
      </c>
      <c r="AH210" s="92">
        <v>0</v>
      </c>
      <c r="AI210" s="98">
        <f t="shared" si="14"/>
        <v>0</v>
      </c>
      <c r="AJ210" s="99">
        <f t="shared" si="15"/>
        <v>0</v>
      </c>
      <c r="AK210" s="102" t="str">
        <f>+IF(AB210+AA210+AJ210&lt;=0, "NO COMPRADOR", +IF(AJ210&lt;=0, "SIN COMPRA "&amp;+UPPER(TEXT('DINAMICA ENERO 26'!$C$2,"mmm 'yy")), "COMPRADOR"))</f>
        <v>NO COMPRADOR</v>
      </c>
      <c r="AM210" s="101"/>
    </row>
    <row r="211" spans="1:42" s="100" customFormat="1">
      <c r="A211" s="88" t="s">
        <v>85</v>
      </c>
      <c r="B211" s="89" t="s">
        <v>257</v>
      </c>
      <c r="C211" s="89" t="s">
        <v>43</v>
      </c>
      <c r="D211" s="103">
        <v>100067806</v>
      </c>
      <c r="E211" s="89" t="s">
        <v>50</v>
      </c>
      <c r="F211" s="89">
        <v>100071903</v>
      </c>
      <c r="G211" s="128" t="s">
        <v>303</v>
      </c>
      <c r="H211"/>
      <c r="I211"/>
      <c r="J211"/>
      <c r="K211"/>
      <c r="L211"/>
      <c r="M211"/>
      <c r="N211"/>
      <c r="O211"/>
      <c r="P211"/>
      <c r="Q211"/>
      <c r="R211"/>
      <c r="S211" s="91">
        <v>0</v>
      </c>
      <c r="T211" s="94">
        <v>0</v>
      </c>
      <c r="U211" s="91">
        <v>194.4</v>
      </c>
      <c r="V211" s="129">
        <v>194.4</v>
      </c>
      <c r="W211" s="91">
        <v>0</v>
      </c>
      <c r="X211" s="129">
        <v>0</v>
      </c>
      <c r="Y211" s="91">
        <v>0</v>
      </c>
      <c r="Z211" s="129">
        <v>0</v>
      </c>
      <c r="AA211" s="155">
        <f t="shared" ref="AA211:AB274" si="17">+AVERAGE(U211,W211,Y211)</f>
        <v>64.8</v>
      </c>
      <c r="AB211" s="98">
        <f t="shared" si="17"/>
        <v>64.8</v>
      </c>
      <c r="AC211"/>
      <c r="AD211" s="97">
        <v>0</v>
      </c>
      <c r="AE211" s="92">
        <v>0</v>
      </c>
      <c r="AF211" s="98">
        <f t="shared" si="16"/>
        <v>0</v>
      </c>
      <c r="AG211" s="97">
        <v>0</v>
      </c>
      <c r="AH211" s="92">
        <v>0</v>
      </c>
      <c r="AI211" s="98">
        <f t="shared" si="14"/>
        <v>0</v>
      </c>
      <c r="AJ211" s="99">
        <f t="shared" si="15"/>
        <v>0</v>
      </c>
      <c r="AK211" s="102" t="str">
        <f>+IF(AB211+AA211+AJ211&lt;=0, "NO COMPRADOR", +IF(AJ211&lt;=0, "SIN COMPRA "&amp;+UPPER(TEXT('DINAMICA ENERO 26'!$C$2,"mmm 'yy")), "COMPRADOR"))</f>
        <v>SIN COMPRA FEB '26</v>
      </c>
      <c r="AM211" s="101"/>
    </row>
    <row r="212" spans="1:42" s="104" customFormat="1">
      <c r="A212" s="88" t="s">
        <v>85</v>
      </c>
      <c r="B212" s="89" t="s">
        <v>257</v>
      </c>
      <c r="C212" s="89" t="s">
        <v>43</v>
      </c>
      <c r="D212" s="103">
        <v>100067806</v>
      </c>
      <c r="E212" s="89" t="s">
        <v>50</v>
      </c>
      <c r="F212" s="89">
        <v>100080254</v>
      </c>
      <c r="G212" s="128" t="s">
        <v>304</v>
      </c>
      <c r="H212"/>
      <c r="I212"/>
      <c r="J212"/>
      <c r="K212"/>
      <c r="L212"/>
      <c r="M212"/>
      <c r="N212"/>
      <c r="O212"/>
      <c r="P212"/>
      <c r="Q212"/>
      <c r="R212"/>
      <c r="S212" s="91">
        <v>0</v>
      </c>
      <c r="T212" s="94">
        <v>0</v>
      </c>
      <c r="U212" s="91">
        <v>0</v>
      </c>
      <c r="V212" s="129">
        <v>0</v>
      </c>
      <c r="W212" s="91">
        <v>0</v>
      </c>
      <c r="X212" s="129">
        <v>0</v>
      </c>
      <c r="Y212" s="91">
        <v>0</v>
      </c>
      <c r="Z212" s="129">
        <v>0</v>
      </c>
      <c r="AA212" s="155">
        <f t="shared" si="17"/>
        <v>0</v>
      </c>
      <c r="AB212" s="98">
        <f t="shared" si="17"/>
        <v>0</v>
      </c>
      <c r="AC212"/>
      <c r="AD212" s="97">
        <v>0</v>
      </c>
      <c r="AE212" s="92">
        <v>0</v>
      </c>
      <c r="AF212" s="98">
        <f t="shared" si="16"/>
        <v>0</v>
      </c>
      <c r="AG212" s="97">
        <v>0</v>
      </c>
      <c r="AH212" s="92">
        <v>0</v>
      </c>
      <c r="AI212" s="98">
        <f t="shared" si="14"/>
        <v>0</v>
      </c>
      <c r="AJ212" s="99">
        <f t="shared" si="15"/>
        <v>0</v>
      </c>
      <c r="AK212" s="102" t="str">
        <f>+IF(AB212+AA212+AJ212&lt;=0, "NO COMPRADOR", +IF(AJ212&lt;=0, "SIN COMPRA "&amp;+UPPER(TEXT('DINAMICA ENERO 26'!$C$2,"mmm 'yy")), "COMPRADOR"))</f>
        <v>NO COMPRADOR</v>
      </c>
      <c r="AL212" s="100"/>
      <c r="AM212" s="101"/>
      <c r="AN212" s="100"/>
      <c r="AO212" s="100"/>
      <c r="AP212" s="100"/>
    </row>
    <row r="213" spans="1:42" s="104" customFormat="1">
      <c r="A213" s="88" t="s">
        <v>85</v>
      </c>
      <c r="B213" s="89" t="s">
        <v>257</v>
      </c>
      <c r="C213" s="89" t="s">
        <v>43</v>
      </c>
      <c r="D213" s="103">
        <v>100067806</v>
      </c>
      <c r="E213" s="89" t="s">
        <v>50</v>
      </c>
      <c r="F213" s="89">
        <v>100080176</v>
      </c>
      <c r="G213" s="128" t="s">
        <v>305</v>
      </c>
      <c r="H213"/>
      <c r="I213"/>
      <c r="J213"/>
      <c r="K213"/>
      <c r="L213"/>
      <c r="M213"/>
      <c r="N213"/>
      <c r="O213"/>
      <c r="P213"/>
      <c r="Q213"/>
      <c r="R213"/>
      <c r="S213" s="91">
        <v>2.16</v>
      </c>
      <c r="T213" s="94">
        <v>2.16</v>
      </c>
      <c r="U213" s="91">
        <v>2.16</v>
      </c>
      <c r="V213" s="129">
        <v>2.16</v>
      </c>
      <c r="W213" s="91">
        <v>2.16</v>
      </c>
      <c r="X213" s="129">
        <v>2.16</v>
      </c>
      <c r="Y213" s="91">
        <v>0</v>
      </c>
      <c r="Z213" s="129">
        <v>0</v>
      </c>
      <c r="AA213" s="155">
        <f t="shared" si="17"/>
        <v>1.4400000000000002</v>
      </c>
      <c r="AB213" s="98">
        <f t="shared" si="17"/>
        <v>1.4400000000000002</v>
      </c>
      <c r="AC213"/>
      <c r="AD213" s="97">
        <v>0</v>
      </c>
      <c r="AE213" s="92">
        <v>0</v>
      </c>
      <c r="AF213" s="98">
        <f t="shared" si="16"/>
        <v>0</v>
      </c>
      <c r="AG213" s="97">
        <v>0</v>
      </c>
      <c r="AH213" s="92">
        <v>0</v>
      </c>
      <c r="AI213" s="98">
        <f t="shared" si="14"/>
        <v>0</v>
      </c>
      <c r="AJ213" s="99">
        <f t="shared" si="15"/>
        <v>0</v>
      </c>
      <c r="AK213" s="102" t="str">
        <f>+IF(AB213+AA213+AJ213&lt;=0, "NO COMPRADOR", +IF(AJ213&lt;=0, "SIN COMPRA "&amp;+UPPER(TEXT('DINAMICA ENERO 26'!$C$2,"mmm 'yy")), "COMPRADOR"))</f>
        <v>SIN COMPRA FEB '26</v>
      </c>
      <c r="AL213" s="100"/>
      <c r="AM213" s="101"/>
      <c r="AN213" s="100"/>
      <c r="AO213" s="100"/>
      <c r="AP213" s="100"/>
    </row>
    <row r="214" spans="1:42" s="100" customFormat="1">
      <c r="A214" s="88" t="s">
        <v>85</v>
      </c>
      <c r="B214" s="89" t="s">
        <v>257</v>
      </c>
      <c r="C214" s="89" t="s">
        <v>43</v>
      </c>
      <c r="D214" s="103">
        <v>100067806</v>
      </c>
      <c r="E214" s="89" t="s">
        <v>50</v>
      </c>
      <c r="F214" s="89">
        <v>100085312</v>
      </c>
      <c r="G214" s="128" t="s">
        <v>306</v>
      </c>
      <c r="H214"/>
      <c r="I214"/>
      <c r="J214"/>
      <c r="K214"/>
      <c r="L214"/>
      <c r="M214"/>
      <c r="N214"/>
      <c r="O214"/>
      <c r="P214"/>
      <c r="Q214"/>
      <c r="R214"/>
      <c r="S214" s="91">
        <v>0</v>
      </c>
      <c r="T214" s="94">
        <v>0</v>
      </c>
      <c r="U214" s="91">
        <v>0</v>
      </c>
      <c r="V214" s="129">
        <v>0</v>
      </c>
      <c r="W214" s="91">
        <v>0</v>
      </c>
      <c r="X214" s="129">
        <v>0</v>
      </c>
      <c r="Y214" s="91">
        <v>0</v>
      </c>
      <c r="Z214" s="129">
        <v>0</v>
      </c>
      <c r="AA214" s="155">
        <f t="shared" si="17"/>
        <v>0</v>
      </c>
      <c r="AB214" s="98">
        <f t="shared" si="17"/>
        <v>0</v>
      </c>
      <c r="AC214"/>
      <c r="AD214" s="97">
        <v>0</v>
      </c>
      <c r="AE214" s="92">
        <v>0</v>
      </c>
      <c r="AF214" s="98">
        <f t="shared" si="16"/>
        <v>0</v>
      </c>
      <c r="AG214" s="97">
        <v>0</v>
      </c>
      <c r="AH214" s="92">
        <v>0</v>
      </c>
      <c r="AI214" s="98">
        <f t="shared" si="14"/>
        <v>0</v>
      </c>
      <c r="AJ214" s="99">
        <f t="shared" si="15"/>
        <v>0</v>
      </c>
      <c r="AK214" s="102" t="str">
        <f>+IF(AB214+AA214+AJ214&lt;=0, "NO COMPRADOR", +IF(AJ214&lt;=0, "SIN COMPRA "&amp;+UPPER(TEXT('DINAMICA ENERO 26'!$C$2,"mmm 'yy")), "COMPRADOR"))</f>
        <v>NO COMPRADOR</v>
      </c>
      <c r="AM214" s="101"/>
    </row>
    <row r="215" spans="1:42" s="100" customFormat="1">
      <c r="A215" s="88" t="s">
        <v>85</v>
      </c>
      <c r="B215" s="89" t="s">
        <v>257</v>
      </c>
      <c r="C215" s="89" t="s">
        <v>43</v>
      </c>
      <c r="D215" s="103">
        <v>100067806</v>
      </c>
      <c r="E215" s="89" t="s">
        <v>50</v>
      </c>
      <c r="F215" s="89">
        <v>100076730</v>
      </c>
      <c r="G215" s="128" t="s">
        <v>307</v>
      </c>
      <c r="H215"/>
      <c r="I215"/>
      <c r="J215"/>
      <c r="K215"/>
      <c r="L215"/>
      <c r="M215"/>
      <c r="N215"/>
      <c r="O215"/>
      <c r="P215"/>
      <c r="Q215"/>
      <c r="R215"/>
      <c r="S215" s="91">
        <v>0</v>
      </c>
      <c r="T215" s="94">
        <v>0</v>
      </c>
      <c r="U215" s="91">
        <v>0</v>
      </c>
      <c r="V215" s="129">
        <v>0</v>
      </c>
      <c r="W215" s="91">
        <v>0</v>
      </c>
      <c r="X215" s="129">
        <v>0</v>
      </c>
      <c r="Y215" s="91">
        <v>0</v>
      </c>
      <c r="Z215" s="129">
        <v>0</v>
      </c>
      <c r="AA215" s="155">
        <f t="shared" si="17"/>
        <v>0</v>
      </c>
      <c r="AB215" s="98">
        <f t="shared" si="17"/>
        <v>0</v>
      </c>
      <c r="AC215"/>
      <c r="AD215" s="97">
        <v>0</v>
      </c>
      <c r="AE215" s="92">
        <v>0</v>
      </c>
      <c r="AF215" s="98">
        <f t="shared" si="16"/>
        <v>0</v>
      </c>
      <c r="AG215" s="97">
        <v>0</v>
      </c>
      <c r="AH215" s="92">
        <v>0</v>
      </c>
      <c r="AI215" s="98">
        <f t="shared" si="14"/>
        <v>0</v>
      </c>
      <c r="AJ215" s="99">
        <f t="shared" si="15"/>
        <v>0</v>
      </c>
      <c r="AK215" s="102" t="str">
        <f>+IF(AB215+AA215+AJ215&lt;=0, "NO COMPRADOR", +IF(AJ215&lt;=0, "SIN COMPRA "&amp;+UPPER(TEXT('DINAMICA ENERO 26'!$C$2,"mmm 'yy")), "COMPRADOR"))</f>
        <v>NO COMPRADOR</v>
      </c>
      <c r="AM215" s="101"/>
    </row>
    <row r="216" spans="1:42" s="100" customFormat="1">
      <c r="A216" s="88" t="s">
        <v>85</v>
      </c>
      <c r="B216" s="89" t="s">
        <v>257</v>
      </c>
      <c r="C216" s="89" t="s">
        <v>43</v>
      </c>
      <c r="D216" s="103">
        <v>100067806</v>
      </c>
      <c r="E216" s="89" t="s">
        <v>50</v>
      </c>
      <c r="F216" s="89">
        <v>100009892</v>
      </c>
      <c r="G216" s="128" t="s">
        <v>308</v>
      </c>
      <c r="H216"/>
      <c r="I216"/>
      <c r="J216"/>
      <c r="K216"/>
      <c r="L216"/>
      <c r="M216"/>
      <c r="N216"/>
      <c r="O216"/>
      <c r="P216"/>
      <c r="Q216"/>
      <c r="R216"/>
      <c r="S216" s="91">
        <v>2.16</v>
      </c>
      <c r="T216" s="94">
        <v>2.16</v>
      </c>
      <c r="U216" s="91">
        <v>2.16</v>
      </c>
      <c r="V216" s="129">
        <v>0</v>
      </c>
      <c r="W216" s="91">
        <v>2.16</v>
      </c>
      <c r="X216" s="129">
        <v>2.16</v>
      </c>
      <c r="Y216" s="91">
        <v>0</v>
      </c>
      <c r="Z216" s="129">
        <v>0</v>
      </c>
      <c r="AA216" s="155">
        <f t="shared" si="17"/>
        <v>1.4400000000000002</v>
      </c>
      <c r="AB216" s="98">
        <f t="shared" si="17"/>
        <v>0.72000000000000008</v>
      </c>
      <c r="AC216"/>
      <c r="AD216" s="97">
        <v>0</v>
      </c>
      <c r="AE216" s="92">
        <v>0</v>
      </c>
      <c r="AF216" s="98">
        <f t="shared" si="16"/>
        <v>0</v>
      </c>
      <c r="AG216" s="97">
        <v>0</v>
      </c>
      <c r="AH216" s="92">
        <v>0</v>
      </c>
      <c r="AI216" s="98">
        <f t="shared" si="14"/>
        <v>0</v>
      </c>
      <c r="AJ216" s="99">
        <f t="shared" si="15"/>
        <v>0</v>
      </c>
      <c r="AK216" s="102" t="str">
        <f>+IF(AB216+AA216+AJ216&lt;=0, "NO COMPRADOR", +IF(AJ216&lt;=0, "SIN COMPRA "&amp;+UPPER(TEXT('DINAMICA ENERO 26'!$C$2,"mmm 'yy")), "COMPRADOR"))</f>
        <v>SIN COMPRA FEB '26</v>
      </c>
      <c r="AM216" s="101"/>
    </row>
    <row r="217" spans="1:42" s="104" customFormat="1">
      <c r="A217" s="88" t="s">
        <v>85</v>
      </c>
      <c r="B217" s="89" t="s">
        <v>257</v>
      </c>
      <c r="C217" s="89" t="s">
        <v>43</v>
      </c>
      <c r="D217" s="103">
        <v>100067806</v>
      </c>
      <c r="E217" s="89" t="s">
        <v>50</v>
      </c>
      <c r="F217" s="89">
        <v>100063728</v>
      </c>
      <c r="G217" s="128" t="s">
        <v>309</v>
      </c>
      <c r="H217"/>
      <c r="I217"/>
      <c r="J217"/>
      <c r="K217"/>
      <c r="L217"/>
      <c r="M217"/>
      <c r="N217"/>
      <c r="O217"/>
      <c r="P217"/>
      <c r="Q217"/>
      <c r="R217"/>
      <c r="S217" s="91">
        <v>0</v>
      </c>
      <c r="T217" s="94">
        <v>0</v>
      </c>
      <c r="U217" s="91">
        <v>23.76</v>
      </c>
      <c r="V217" s="129">
        <v>23.76</v>
      </c>
      <c r="W217" s="91">
        <v>10.8</v>
      </c>
      <c r="X217" s="129">
        <v>2.16</v>
      </c>
      <c r="Y217" s="91">
        <v>0</v>
      </c>
      <c r="Z217" s="129">
        <v>0</v>
      </c>
      <c r="AA217" s="155">
        <f t="shared" si="17"/>
        <v>11.520000000000001</v>
      </c>
      <c r="AB217" s="98">
        <f t="shared" si="17"/>
        <v>8.64</v>
      </c>
      <c r="AC217"/>
      <c r="AD217" s="97">
        <v>0</v>
      </c>
      <c r="AE217" s="92">
        <v>0</v>
      </c>
      <c r="AF217" s="98">
        <f t="shared" si="16"/>
        <v>0</v>
      </c>
      <c r="AG217" s="97">
        <v>0</v>
      </c>
      <c r="AH217" s="92">
        <v>0</v>
      </c>
      <c r="AI217" s="98">
        <f t="shared" si="14"/>
        <v>0</v>
      </c>
      <c r="AJ217" s="99">
        <f t="shared" si="15"/>
        <v>0</v>
      </c>
      <c r="AK217" s="102" t="str">
        <f>+IF(AB217+AA217+AJ217&lt;=0, "NO COMPRADOR", +IF(AJ217&lt;=0, "SIN COMPRA "&amp;+UPPER(TEXT('DINAMICA ENERO 26'!$C$2,"mmm 'yy")), "COMPRADOR"))</f>
        <v>SIN COMPRA FEB '26</v>
      </c>
      <c r="AL217" s="100"/>
      <c r="AM217" s="101"/>
      <c r="AN217" s="100"/>
      <c r="AO217" s="100"/>
      <c r="AP217" s="100"/>
    </row>
    <row r="218" spans="1:42" s="100" customFormat="1">
      <c r="A218" s="88" t="s">
        <v>85</v>
      </c>
      <c r="B218" s="89" t="s">
        <v>257</v>
      </c>
      <c r="C218" s="89" t="s">
        <v>43</v>
      </c>
      <c r="D218" s="103">
        <v>100067806</v>
      </c>
      <c r="E218" s="89" t="s">
        <v>50</v>
      </c>
      <c r="F218" s="89">
        <v>100084491</v>
      </c>
      <c r="G218" s="128" t="s">
        <v>310</v>
      </c>
      <c r="H218"/>
      <c r="I218"/>
      <c r="J218"/>
      <c r="K218"/>
      <c r="L218"/>
      <c r="M218"/>
      <c r="N218"/>
      <c r="O218"/>
      <c r="P218"/>
      <c r="Q218"/>
      <c r="R218"/>
      <c r="S218" s="91">
        <v>0</v>
      </c>
      <c r="T218" s="94">
        <v>0</v>
      </c>
      <c r="U218" s="91">
        <v>0</v>
      </c>
      <c r="V218" s="129">
        <v>0</v>
      </c>
      <c r="W218" s="91">
        <v>0</v>
      </c>
      <c r="X218" s="129">
        <v>0</v>
      </c>
      <c r="Y218" s="91">
        <v>0</v>
      </c>
      <c r="Z218" s="129">
        <v>0</v>
      </c>
      <c r="AA218" s="155">
        <f t="shared" si="17"/>
        <v>0</v>
      </c>
      <c r="AB218" s="98">
        <f t="shared" si="17"/>
        <v>0</v>
      </c>
      <c r="AC218"/>
      <c r="AD218" s="97">
        <v>0</v>
      </c>
      <c r="AE218" s="92">
        <v>0</v>
      </c>
      <c r="AF218" s="98">
        <f t="shared" si="16"/>
        <v>0</v>
      </c>
      <c r="AG218" s="97">
        <v>0</v>
      </c>
      <c r="AH218" s="92">
        <v>0</v>
      </c>
      <c r="AI218" s="98">
        <f t="shared" si="14"/>
        <v>0</v>
      </c>
      <c r="AJ218" s="99">
        <f t="shared" si="15"/>
        <v>0</v>
      </c>
      <c r="AK218" s="102" t="str">
        <f>+IF(AB218+AA218+AJ218&lt;=0, "NO COMPRADOR", +IF(AJ218&lt;=0, "SIN COMPRA "&amp;+UPPER(TEXT('DINAMICA ENERO 26'!$C$2,"mmm 'yy")), "COMPRADOR"))</f>
        <v>NO COMPRADOR</v>
      </c>
      <c r="AM218" s="101"/>
    </row>
    <row r="219" spans="1:42" s="100" customFormat="1">
      <c r="A219" s="88" t="s">
        <v>85</v>
      </c>
      <c r="B219" s="89" t="s">
        <v>257</v>
      </c>
      <c r="C219" s="89" t="s">
        <v>43</v>
      </c>
      <c r="D219" s="103">
        <v>100067806</v>
      </c>
      <c r="E219" s="89" t="s">
        <v>50</v>
      </c>
      <c r="F219" s="89">
        <v>100062883</v>
      </c>
      <c r="G219" s="128" t="s">
        <v>311</v>
      </c>
      <c r="H219"/>
      <c r="I219"/>
      <c r="J219"/>
      <c r="K219"/>
      <c r="L219"/>
      <c r="M219"/>
      <c r="N219"/>
      <c r="O219"/>
      <c r="P219"/>
      <c r="Q219"/>
      <c r="R219"/>
      <c r="S219" s="91">
        <v>0</v>
      </c>
      <c r="T219" s="94">
        <v>0</v>
      </c>
      <c r="U219" s="91">
        <v>0</v>
      </c>
      <c r="V219" s="129">
        <v>0</v>
      </c>
      <c r="W219" s="91">
        <v>2.16</v>
      </c>
      <c r="X219" s="129">
        <v>2.16</v>
      </c>
      <c r="Y219" s="91">
        <v>0</v>
      </c>
      <c r="Z219" s="129">
        <v>0</v>
      </c>
      <c r="AA219" s="155">
        <f t="shared" si="17"/>
        <v>0.72000000000000008</v>
      </c>
      <c r="AB219" s="98">
        <f t="shared" si="17"/>
        <v>0.72000000000000008</v>
      </c>
      <c r="AC219"/>
      <c r="AD219" s="97">
        <v>0</v>
      </c>
      <c r="AE219" s="92">
        <v>0</v>
      </c>
      <c r="AF219" s="98">
        <f t="shared" si="16"/>
        <v>0</v>
      </c>
      <c r="AG219" s="97">
        <v>0</v>
      </c>
      <c r="AH219" s="92">
        <v>0</v>
      </c>
      <c r="AI219" s="98">
        <f t="shared" si="14"/>
        <v>0</v>
      </c>
      <c r="AJ219" s="99">
        <f t="shared" si="15"/>
        <v>0</v>
      </c>
      <c r="AK219" s="102" t="str">
        <f>+IF(AB219+AA219+AJ219&lt;=0, "NO COMPRADOR", +IF(AJ219&lt;=0, "SIN COMPRA "&amp;+UPPER(TEXT('DINAMICA ENERO 26'!$C$2,"mmm 'yy")), "COMPRADOR"))</f>
        <v>SIN COMPRA FEB '26</v>
      </c>
      <c r="AM219" s="101"/>
    </row>
    <row r="220" spans="1:42" s="100" customFormat="1">
      <c r="A220" s="88" t="s">
        <v>85</v>
      </c>
      <c r="B220" s="89" t="s">
        <v>257</v>
      </c>
      <c r="C220" s="89" t="s">
        <v>43</v>
      </c>
      <c r="D220" s="103">
        <v>100067806</v>
      </c>
      <c r="E220" s="89" t="s">
        <v>50</v>
      </c>
      <c r="F220" s="89">
        <v>100014014</v>
      </c>
      <c r="G220" s="128" t="s">
        <v>312</v>
      </c>
      <c r="H220"/>
      <c r="I220"/>
      <c r="J220"/>
      <c r="K220"/>
      <c r="L220"/>
      <c r="M220"/>
      <c r="N220"/>
      <c r="O220"/>
      <c r="P220"/>
      <c r="Q220"/>
      <c r="R220"/>
      <c r="S220" s="91">
        <v>0</v>
      </c>
      <c r="T220" s="94">
        <v>0</v>
      </c>
      <c r="U220" s="91">
        <v>0</v>
      </c>
      <c r="V220" s="129">
        <v>0</v>
      </c>
      <c r="W220" s="91">
        <v>0</v>
      </c>
      <c r="X220" s="129">
        <v>0</v>
      </c>
      <c r="Y220" s="91">
        <v>0</v>
      </c>
      <c r="Z220" s="129">
        <v>0</v>
      </c>
      <c r="AA220" s="155">
        <f t="shared" si="17"/>
        <v>0</v>
      </c>
      <c r="AB220" s="98">
        <f t="shared" si="17"/>
        <v>0</v>
      </c>
      <c r="AC220"/>
      <c r="AD220" s="97">
        <v>0</v>
      </c>
      <c r="AE220" s="92">
        <v>0</v>
      </c>
      <c r="AF220" s="98">
        <f t="shared" si="16"/>
        <v>0</v>
      </c>
      <c r="AG220" s="97">
        <v>0</v>
      </c>
      <c r="AH220" s="92">
        <v>0</v>
      </c>
      <c r="AI220" s="98">
        <f t="shared" si="14"/>
        <v>0</v>
      </c>
      <c r="AJ220" s="99">
        <f t="shared" si="15"/>
        <v>0</v>
      </c>
      <c r="AK220" s="102" t="str">
        <f>+IF(AB220+AA220+AJ220&lt;=0, "NO COMPRADOR", +IF(AJ220&lt;=0, "SIN COMPRA "&amp;+UPPER(TEXT('DINAMICA ENERO 26'!$C$2,"mmm 'yy")), "COMPRADOR"))</f>
        <v>NO COMPRADOR</v>
      </c>
      <c r="AM220" s="101"/>
    </row>
    <row r="221" spans="1:42" s="104" customFormat="1">
      <c r="A221" s="88" t="s">
        <v>85</v>
      </c>
      <c r="B221" s="89" t="s">
        <v>257</v>
      </c>
      <c r="C221" s="89" t="s">
        <v>43</v>
      </c>
      <c r="D221" s="103">
        <v>100067806</v>
      </c>
      <c r="E221" s="89" t="s">
        <v>50</v>
      </c>
      <c r="F221" s="89">
        <v>100088613</v>
      </c>
      <c r="G221" s="128" t="s">
        <v>313</v>
      </c>
      <c r="H221"/>
      <c r="I221"/>
      <c r="J221"/>
      <c r="K221"/>
      <c r="L221"/>
      <c r="M221"/>
      <c r="N221"/>
      <c r="O221"/>
      <c r="P221"/>
      <c r="Q221"/>
      <c r="R221"/>
      <c r="S221" s="91">
        <v>0</v>
      </c>
      <c r="T221" s="94">
        <v>0</v>
      </c>
      <c r="U221" s="91">
        <v>0</v>
      </c>
      <c r="V221" s="129">
        <v>0</v>
      </c>
      <c r="W221" s="91">
        <v>0</v>
      </c>
      <c r="X221" s="129">
        <v>0</v>
      </c>
      <c r="Y221" s="91">
        <v>0</v>
      </c>
      <c r="Z221" s="129">
        <v>0</v>
      </c>
      <c r="AA221" s="155">
        <f t="shared" si="17"/>
        <v>0</v>
      </c>
      <c r="AB221" s="98">
        <f t="shared" si="17"/>
        <v>0</v>
      </c>
      <c r="AC221"/>
      <c r="AD221" s="97">
        <v>0</v>
      </c>
      <c r="AE221" s="92">
        <v>0</v>
      </c>
      <c r="AF221" s="98">
        <f t="shared" si="16"/>
        <v>0</v>
      </c>
      <c r="AG221" s="97">
        <v>0</v>
      </c>
      <c r="AH221" s="92">
        <v>0</v>
      </c>
      <c r="AI221" s="98">
        <f t="shared" si="14"/>
        <v>0</v>
      </c>
      <c r="AJ221" s="99">
        <f t="shared" si="15"/>
        <v>0</v>
      </c>
      <c r="AK221" s="102" t="str">
        <f>+IF(AB221+AA221+AJ221&lt;=0, "NO COMPRADOR", +IF(AJ221&lt;=0, "SIN COMPRA "&amp;+UPPER(TEXT('DINAMICA ENERO 26'!$C$2,"mmm 'yy")), "COMPRADOR"))</f>
        <v>NO COMPRADOR</v>
      </c>
      <c r="AL221" s="100"/>
      <c r="AM221" s="101"/>
      <c r="AN221" s="100"/>
      <c r="AO221" s="100"/>
      <c r="AP221" s="100"/>
    </row>
    <row r="222" spans="1:42" s="104" customFormat="1">
      <c r="A222" s="88" t="s">
        <v>85</v>
      </c>
      <c r="B222" s="89" t="s">
        <v>257</v>
      </c>
      <c r="C222" s="89" t="s">
        <v>43</v>
      </c>
      <c r="D222" s="103">
        <v>100067806</v>
      </c>
      <c r="E222" s="89" t="s">
        <v>50</v>
      </c>
      <c r="F222" s="89">
        <v>100001513</v>
      </c>
      <c r="G222" s="128" t="s">
        <v>287</v>
      </c>
      <c r="H222"/>
      <c r="I222"/>
      <c r="J222"/>
      <c r="K222"/>
      <c r="L222"/>
      <c r="M222"/>
      <c r="N222"/>
      <c r="O222"/>
      <c r="P222"/>
      <c r="Q222"/>
      <c r="R222"/>
      <c r="S222" s="91">
        <v>0</v>
      </c>
      <c r="T222" s="94">
        <v>0</v>
      </c>
      <c r="U222" s="91">
        <v>0</v>
      </c>
      <c r="V222" s="129">
        <v>0</v>
      </c>
      <c r="W222" s="91">
        <v>0</v>
      </c>
      <c r="X222" s="129">
        <v>0</v>
      </c>
      <c r="Y222" s="91">
        <v>0</v>
      </c>
      <c r="Z222" s="129">
        <v>0</v>
      </c>
      <c r="AA222" s="155">
        <f t="shared" si="17"/>
        <v>0</v>
      </c>
      <c r="AB222" s="98">
        <f t="shared" si="17"/>
        <v>0</v>
      </c>
      <c r="AC222"/>
      <c r="AD222" s="97">
        <v>0</v>
      </c>
      <c r="AE222" s="92">
        <v>0</v>
      </c>
      <c r="AF222" s="98">
        <f t="shared" si="16"/>
        <v>0</v>
      </c>
      <c r="AG222" s="97">
        <v>0</v>
      </c>
      <c r="AH222" s="92">
        <v>0</v>
      </c>
      <c r="AI222" s="98">
        <f t="shared" si="14"/>
        <v>0</v>
      </c>
      <c r="AJ222" s="99">
        <f t="shared" si="15"/>
        <v>0</v>
      </c>
      <c r="AK222" s="102" t="str">
        <f>+IF(AB222+AA222+AJ222&lt;=0, "NO COMPRADOR", +IF(AJ222&lt;=0, "SIN COMPRA "&amp;+UPPER(TEXT('DINAMICA ENERO 26'!$C$2,"mmm 'yy")), "COMPRADOR"))</f>
        <v>NO COMPRADOR</v>
      </c>
      <c r="AL222" s="100"/>
      <c r="AM222" s="101"/>
      <c r="AN222" s="100"/>
      <c r="AO222" s="100"/>
      <c r="AP222" s="100"/>
    </row>
    <row r="223" spans="1:42" s="100" customFormat="1">
      <c r="A223" s="88" t="s">
        <v>85</v>
      </c>
      <c r="B223" s="89" t="s">
        <v>257</v>
      </c>
      <c r="C223" s="89" t="s">
        <v>43</v>
      </c>
      <c r="D223" s="103">
        <v>100067806</v>
      </c>
      <c r="E223" s="89" t="s">
        <v>50</v>
      </c>
      <c r="F223" s="89">
        <v>100001295</v>
      </c>
      <c r="G223" s="128" t="s">
        <v>314</v>
      </c>
      <c r="H223"/>
      <c r="I223"/>
      <c r="J223"/>
      <c r="K223"/>
      <c r="L223"/>
      <c r="M223"/>
      <c r="N223"/>
      <c r="O223"/>
      <c r="P223"/>
      <c r="Q223"/>
      <c r="R223"/>
      <c r="S223" s="91">
        <v>0</v>
      </c>
      <c r="T223" s="94">
        <v>0</v>
      </c>
      <c r="U223" s="91">
        <v>0</v>
      </c>
      <c r="V223" s="129">
        <v>0</v>
      </c>
      <c r="W223" s="91">
        <v>0</v>
      </c>
      <c r="X223" s="129">
        <v>0</v>
      </c>
      <c r="Y223" s="91">
        <v>0</v>
      </c>
      <c r="Z223" s="129">
        <v>0</v>
      </c>
      <c r="AA223" s="155">
        <f t="shared" si="17"/>
        <v>0</v>
      </c>
      <c r="AB223" s="98">
        <f t="shared" si="17"/>
        <v>0</v>
      </c>
      <c r="AC223"/>
      <c r="AD223" s="97">
        <v>0</v>
      </c>
      <c r="AE223" s="92">
        <v>0</v>
      </c>
      <c r="AF223" s="98">
        <f t="shared" si="16"/>
        <v>0</v>
      </c>
      <c r="AG223" s="97">
        <v>0</v>
      </c>
      <c r="AH223" s="92">
        <v>0</v>
      </c>
      <c r="AI223" s="98">
        <f t="shared" si="14"/>
        <v>0</v>
      </c>
      <c r="AJ223" s="99">
        <f t="shared" si="15"/>
        <v>0</v>
      </c>
      <c r="AK223" s="102" t="str">
        <f>+IF(AB223+AA223+AJ223&lt;=0, "NO COMPRADOR", +IF(AJ223&lt;=0, "SIN COMPRA "&amp;+UPPER(TEXT('DINAMICA ENERO 26'!$C$2,"mmm 'yy")), "COMPRADOR"))</f>
        <v>NO COMPRADOR</v>
      </c>
      <c r="AM223" s="101"/>
    </row>
    <row r="224" spans="1:42" s="100" customFormat="1" hidden="1">
      <c r="A224" s="88" t="s">
        <v>85</v>
      </c>
      <c r="B224" s="89" t="s">
        <v>315</v>
      </c>
      <c r="C224" s="89" t="s">
        <v>43</v>
      </c>
      <c r="D224" s="103">
        <v>100063546</v>
      </c>
      <c r="E224" s="89" t="s">
        <v>46</v>
      </c>
      <c r="F224" s="89">
        <v>100001979</v>
      </c>
      <c r="G224" s="128" t="s">
        <v>290</v>
      </c>
      <c r="H224"/>
      <c r="I224"/>
      <c r="J224"/>
      <c r="K224"/>
      <c r="L224"/>
      <c r="M224"/>
      <c r="N224"/>
      <c r="O224"/>
      <c r="P224"/>
      <c r="Q224"/>
      <c r="R224"/>
      <c r="S224" s="91">
        <v>0</v>
      </c>
      <c r="T224" s="94">
        <v>0</v>
      </c>
      <c r="U224" s="91">
        <v>0</v>
      </c>
      <c r="V224" s="129">
        <v>0</v>
      </c>
      <c r="W224" s="91">
        <v>0</v>
      </c>
      <c r="X224" s="129">
        <v>0</v>
      </c>
      <c r="Y224" s="91">
        <v>0</v>
      </c>
      <c r="Z224" s="129">
        <v>0</v>
      </c>
      <c r="AA224" s="155">
        <f t="shared" si="17"/>
        <v>0</v>
      </c>
      <c r="AB224" s="98">
        <f t="shared" si="17"/>
        <v>0</v>
      </c>
      <c r="AC224"/>
      <c r="AD224" s="97">
        <v>0</v>
      </c>
      <c r="AE224" s="92">
        <v>0</v>
      </c>
      <c r="AF224" s="98">
        <f t="shared" si="16"/>
        <v>0</v>
      </c>
      <c r="AG224" s="97">
        <v>0</v>
      </c>
      <c r="AH224" s="92">
        <v>0</v>
      </c>
      <c r="AI224" s="98">
        <f t="shared" si="14"/>
        <v>0</v>
      </c>
      <c r="AJ224" s="99">
        <f t="shared" si="15"/>
        <v>0</v>
      </c>
      <c r="AK224" s="102" t="str">
        <f>+IF(AB224+AA224+AJ224&lt;=0, "NO COMPRADOR", +IF(AJ224&lt;=0, "SIN COMPRA "&amp;+UPPER(TEXT('DINAMICA ENERO 26'!$C$2,"mmm 'yy")), "COMPRADOR"))</f>
        <v>NO COMPRADOR</v>
      </c>
      <c r="AM224" s="101"/>
    </row>
    <row r="225" spans="1:42" s="100" customFormat="1" hidden="1">
      <c r="A225" s="88" t="s">
        <v>85</v>
      </c>
      <c r="B225" s="89" t="s">
        <v>315</v>
      </c>
      <c r="C225" s="89" t="s">
        <v>43</v>
      </c>
      <c r="D225" s="103">
        <v>100063546</v>
      </c>
      <c r="E225" s="89" t="s">
        <v>46</v>
      </c>
      <c r="F225" s="89">
        <v>100001709</v>
      </c>
      <c r="G225" s="128" t="s">
        <v>316</v>
      </c>
      <c r="H225"/>
      <c r="I225"/>
      <c r="J225"/>
      <c r="K225"/>
      <c r="L225"/>
      <c r="M225"/>
      <c r="N225"/>
      <c r="O225"/>
      <c r="P225"/>
      <c r="Q225"/>
      <c r="R225"/>
      <c r="S225" s="91">
        <v>0</v>
      </c>
      <c r="T225" s="94">
        <v>0</v>
      </c>
      <c r="U225" s="91">
        <v>2.16</v>
      </c>
      <c r="V225" s="129">
        <v>2.16</v>
      </c>
      <c r="W225" s="91">
        <v>0</v>
      </c>
      <c r="X225" s="129">
        <v>0</v>
      </c>
      <c r="Y225" s="91">
        <v>0</v>
      </c>
      <c r="Z225" s="129">
        <v>0</v>
      </c>
      <c r="AA225" s="155">
        <f t="shared" si="17"/>
        <v>0.72000000000000008</v>
      </c>
      <c r="AB225" s="98">
        <f t="shared" si="17"/>
        <v>0.72000000000000008</v>
      </c>
      <c r="AC225"/>
      <c r="AD225" s="97">
        <v>0</v>
      </c>
      <c r="AE225" s="92">
        <v>216</v>
      </c>
      <c r="AF225" s="98">
        <f t="shared" si="16"/>
        <v>216</v>
      </c>
      <c r="AG225" s="97">
        <v>0</v>
      </c>
      <c r="AH225" s="92">
        <v>86.4</v>
      </c>
      <c r="AI225" s="98">
        <f t="shared" si="14"/>
        <v>86.4</v>
      </c>
      <c r="AJ225" s="99">
        <f t="shared" si="15"/>
        <v>302.39999999999998</v>
      </c>
      <c r="AK225" s="102" t="str">
        <f>+IF(AB225+AA225+AJ225&lt;=0, "NO COMPRADOR", +IF(AJ225&lt;=0, "SIN COMPRA "&amp;+UPPER(TEXT('DINAMICA ENERO 26'!$C$2,"mmm 'yy")), "COMPRADOR"))</f>
        <v>COMPRADOR</v>
      </c>
      <c r="AM225" s="101"/>
    </row>
    <row r="226" spans="1:42" s="100" customFormat="1" hidden="1">
      <c r="A226" s="88" t="s">
        <v>85</v>
      </c>
      <c r="B226" s="89" t="s">
        <v>315</v>
      </c>
      <c r="C226" s="89" t="s">
        <v>43</v>
      </c>
      <c r="D226" s="103">
        <v>100063546</v>
      </c>
      <c r="E226" s="89" t="s">
        <v>46</v>
      </c>
      <c r="F226" s="89">
        <v>100001939</v>
      </c>
      <c r="G226" s="128" t="s">
        <v>317</v>
      </c>
      <c r="H226"/>
      <c r="I226"/>
      <c r="J226"/>
      <c r="K226"/>
      <c r="L226"/>
      <c r="M226"/>
      <c r="N226"/>
      <c r="O226"/>
      <c r="P226"/>
      <c r="Q226"/>
      <c r="R226"/>
      <c r="S226" s="91">
        <v>0</v>
      </c>
      <c r="T226" s="94">
        <v>0</v>
      </c>
      <c r="U226" s="91">
        <v>0</v>
      </c>
      <c r="V226" s="129">
        <v>0</v>
      </c>
      <c r="W226" s="91">
        <v>259.20000000000005</v>
      </c>
      <c r="X226" s="129">
        <v>259.20000000000005</v>
      </c>
      <c r="Y226" s="91">
        <v>0</v>
      </c>
      <c r="Z226" s="129">
        <v>0</v>
      </c>
      <c r="AA226" s="155">
        <f t="shared" si="17"/>
        <v>86.40000000000002</v>
      </c>
      <c r="AB226" s="98">
        <f t="shared" si="17"/>
        <v>86.40000000000002</v>
      </c>
      <c r="AC226"/>
      <c r="AD226" s="97">
        <v>0</v>
      </c>
      <c r="AE226" s="92">
        <v>0</v>
      </c>
      <c r="AF226" s="98">
        <f t="shared" si="16"/>
        <v>0</v>
      </c>
      <c r="AG226" s="97">
        <v>0</v>
      </c>
      <c r="AH226" s="92">
        <v>0</v>
      </c>
      <c r="AI226" s="98">
        <f t="shared" si="14"/>
        <v>0</v>
      </c>
      <c r="AJ226" s="99">
        <f t="shared" si="15"/>
        <v>0</v>
      </c>
      <c r="AK226" s="102" t="str">
        <f>+IF(AB226+AA226+AJ226&lt;=0, "NO COMPRADOR", +IF(AJ226&lt;=0, "SIN COMPRA "&amp;+UPPER(TEXT('DINAMICA ENERO 26'!$C$2,"mmm 'yy")), "COMPRADOR"))</f>
        <v>SIN COMPRA FEB '26</v>
      </c>
      <c r="AM226" s="101"/>
    </row>
    <row r="227" spans="1:42" s="100" customFormat="1" hidden="1">
      <c r="A227" s="88" t="s">
        <v>85</v>
      </c>
      <c r="B227" s="89" t="s">
        <v>315</v>
      </c>
      <c r="C227" s="89" t="s">
        <v>43</v>
      </c>
      <c r="D227" s="103">
        <v>100063546</v>
      </c>
      <c r="E227" s="89" t="s">
        <v>46</v>
      </c>
      <c r="F227" s="89">
        <v>100065432</v>
      </c>
      <c r="G227" s="128" t="s">
        <v>318</v>
      </c>
      <c r="H227"/>
      <c r="I227"/>
      <c r="J227"/>
      <c r="K227"/>
      <c r="L227"/>
      <c r="M227"/>
      <c r="N227"/>
      <c r="O227"/>
      <c r="P227"/>
      <c r="Q227"/>
      <c r="R227"/>
      <c r="S227" s="91">
        <v>0</v>
      </c>
      <c r="T227" s="94">
        <v>0</v>
      </c>
      <c r="U227" s="91">
        <v>0</v>
      </c>
      <c r="V227" s="129">
        <v>0</v>
      </c>
      <c r="W227" s="91">
        <v>0</v>
      </c>
      <c r="X227" s="129">
        <v>0</v>
      </c>
      <c r="Y227" s="91">
        <v>0</v>
      </c>
      <c r="Z227" s="129">
        <v>0</v>
      </c>
      <c r="AA227" s="155">
        <f t="shared" si="17"/>
        <v>0</v>
      </c>
      <c r="AB227" s="98">
        <f t="shared" si="17"/>
        <v>0</v>
      </c>
      <c r="AC227"/>
      <c r="AD227" s="97">
        <v>0</v>
      </c>
      <c r="AE227" s="92">
        <v>0</v>
      </c>
      <c r="AF227" s="98">
        <f t="shared" si="16"/>
        <v>0</v>
      </c>
      <c r="AG227" s="97">
        <v>0</v>
      </c>
      <c r="AH227" s="92">
        <v>0</v>
      </c>
      <c r="AI227" s="98">
        <f t="shared" si="14"/>
        <v>0</v>
      </c>
      <c r="AJ227" s="99">
        <f t="shared" si="15"/>
        <v>0</v>
      </c>
      <c r="AK227" s="102" t="str">
        <f>+IF(AB227+AA227+AJ227&lt;=0, "NO COMPRADOR", +IF(AJ227&lt;=0, "SIN COMPRA "&amp;+UPPER(TEXT('DINAMICA ENERO 26'!$C$2,"mmm 'yy")), "COMPRADOR"))</f>
        <v>NO COMPRADOR</v>
      </c>
      <c r="AM227" s="101"/>
    </row>
    <row r="228" spans="1:42" s="100" customFormat="1" hidden="1">
      <c r="A228" s="88" t="s">
        <v>85</v>
      </c>
      <c r="B228" s="89" t="s">
        <v>315</v>
      </c>
      <c r="C228" s="89" t="s">
        <v>43</v>
      </c>
      <c r="D228" s="103">
        <v>100063546</v>
      </c>
      <c r="E228" s="89" t="s">
        <v>46</v>
      </c>
      <c r="F228" s="89">
        <v>100084929</v>
      </c>
      <c r="G228" s="128" t="s">
        <v>319</v>
      </c>
      <c r="H228"/>
      <c r="I228"/>
      <c r="J228"/>
      <c r="K228"/>
      <c r="L228"/>
      <c r="M228"/>
      <c r="N228"/>
      <c r="O228"/>
      <c r="P228"/>
      <c r="Q228"/>
      <c r="R228"/>
      <c r="S228" s="91">
        <v>0</v>
      </c>
      <c r="T228" s="94">
        <v>0</v>
      </c>
      <c r="U228" s="91">
        <v>0</v>
      </c>
      <c r="V228" s="129">
        <v>0</v>
      </c>
      <c r="W228" s="91">
        <v>0</v>
      </c>
      <c r="X228" s="129">
        <v>0</v>
      </c>
      <c r="Y228" s="91">
        <v>0</v>
      </c>
      <c r="Z228" s="129">
        <v>0</v>
      </c>
      <c r="AA228" s="155">
        <f t="shared" si="17"/>
        <v>0</v>
      </c>
      <c r="AB228" s="98">
        <f t="shared" si="17"/>
        <v>0</v>
      </c>
      <c r="AC228"/>
      <c r="AD228" s="97">
        <v>0</v>
      </c>
      <c r="AE228" s="92">
        <v>0</v>
      </c>
      <c r="AF228" s="98">
        <f t="shared" si="16"/>
        <v>0</v>
      </c>
      <c r="AG228" s="97">
        <v>0</v>
      </c>
      <c r="AH228" s="92">
        <v>0</v>
      </c>
      <c r="AI228" s="98">
        <f t="shared" si="14"/>
        <v>0</v>
      </c>
      <c r="AJ228" s="99">
        <f t="shared" si="15"/>
        <v>0</v>
      </c>
      <c r="AK228" s="102" t="str">
        <f>+IF(AB228+AA228+AJ228&lt;=0, "NO COMPRADOR", +IF(AJ228&lt;=0, "SIN COMPRA "&amp;+UPPER(TEXT('DINAMICA ENERO 26'!$C$2,"mmm 'yy")), "COMPRADOR"))</f>
        <v>NO COMPRADOR</v>
      </c>
      <c r="AM228" s="101"/>
    </row>
    <row r="229" spans="1:42" s="104" customFormat="1" hidden="1">
      <c r="A229" s="88" t="s">
        <v>85</v>
      </c>
      <c r="B229" s="89" t="s">
        <v>315</v>
      </c>
      <c r="C229" s="89" t="s">
        <v>43</v>
      </c>
      <c r="D229" s="103">
        <v>100063546</v>
      </c>
      <c r="E229" s="89" t="s">
        <v>46</v>
      </c>
      <c r="F229" s="89">
        <v>100001196</v>
      </c>
      <c r="G229" s="128" t="s">
        <v>320</v>
      </c>
      <c r="H229"/>
      <c r="I229"/>
      <c r="J229"/>
      <c r="K229"/>
      <c r="L229"/>
      <c r="M229"/>
      <c r="N229"/>
      <c r="O229"/>
      <c r="P229"/>
      <c r="Q229"/>
      <c r="R229"/>
      <c r="S229" s="91">
        <v>0</v>
      </c>
      <c r="T229" s="94">
        <v>0</v>
      </c>
      <c r="U229" s="91">
        <v>0</v>
      </c>
      <c r="V229" s="129">
        <v>0</v>
      </c>
      <c r="W229" s="91">
        <v>0</v>
      </c>
      <c r="X229" s="129">
        <v>0</v>
      </c>
      <c r="Y229" s="91">
        <v>0</v>
      </c>
      <c r="Z229" s="129">
        <v>0</v>
      </c>
      <c r="AA229" s="155">
        <f t="shared" si="17"/>
        <v>0</v>
      </c>
      <c r="AB229" s="98">
        <f t="shared" si="17"/>
        <v>0</v>
      </c>
      <c r="AC229"/>
      <c r="AD229" s="97">
        <v>0</v>
      </c>
      <c r="AE229" s="92">
        <v>0</v>
      </c>
      <c r="AF229" s="98">
        <f t="shared" si="16"/>
        <v>0</v>
      </c>
      <c r="AG229" s="97">
        <v>0</v>
      </c>
      <c r="AH229" s="92">
        <v>0</v>
      </c>
      <c r="AI229" s="98">
        <f t="shared" si="14"/>
        <v>0</v>
      </c>
      <c r="AJ229" s="99">
        <f t="shared" si="15"/>
        <v>0</v>
      </c>
      <c r="AK229" s="102" t="str">
        <f>+IF(AB229+AA229+AJ229&lt;=0, "NO COMPRADOR", +IF(AJ229&lt;=0, "SIN COMPRA "&amp;+UPPER(TEXT('DINAMICA ENERO 26'!$C$2,"mmm 'yy")), "COMPRADOR"))</f>
        <v>NO COMPRADOR</v>
      </c>
      <c r="AL229" s="100"/>
      <c r="AM229" s="101"/>
      <c r="AN229" s="100"/>
      <c r="AO229" s="100"/>
      <c r="AP229" s="100"/>
    </row>
    <row r="230" spans="1:42" s="100" customFormat="1" hidden="1">
      <c r="A230" s="88" t="s">
        <v>85</v>
      </c>
      <c r="B230" s="89" t="s">
        <v>315</v>
      </c>
      <c r="C230" s="89" t="s">
        <v>43</v>
      </c>
      <c r="D230" s="103">
        <v>100063546</v>
      </c>
      <c r="E230" s="89" t="s">
        <v>46</v>
      </c>
      <c r="F230" s="89">
        <v>100005901</v>
      </c>
      <c r="G230" s="128" t="s">
        <v>321</v>
      </c>
      <c r="H230"/>
      <c r="I230"/>
      <c r="J230"/>
      <c r="K230"/>
      <c r="L230"/>
      <c r="M230"/>
      <c r="N230"/>
      <c r="O230"/>
      <c r="P230"/>
      <c r="Q230"/>
      <c r="R230"/>
      <c r="S230" s="91">
        <v>0</v>
      </c>
      <c r="T230" s="94">
        <v>4.32</v>
      </c>
      <c r="U230" s="91">
        <v>0</v>
      </c>
      <c r="V230" s="129">
        <v>0</v>
      </c>
      <c r="W230" s="91">
        <v>0</v>
      </c>
      <c r="X230" s="129">
        <v>-4.32</v>
      </c>
      <c r="Y230" s="91">
        <v>123.12</v>
      </c>
      <c r="Z230" s="129">
        <v>123.12</v>
      </c>
      <c r="AA230" s="155">
        <f t="shared" si="17"/>
        <v>41.04</v>
      </c>
      <c r="AB230" s="98">
        <f t="shared" si="17"/>
        <v>39.6</v>
      </c>
      <c r="AC230"/>
      <c r="AD230" s="97">
        <v>0</v>
      </c>
      <c r="AE230" s="92">
        <v>0</v>
      </c>
      <c r="AF230" s="98">
        <f t="shared" si="16"/>
        <v>0</v>
      </c>
      <c r="AG230" s="97">
        <v>0</v>
      </c>
      <c r="AH230" s="92">
        <v>0</v>
      </c>
      <c r="AI230" s="98">
        <f t="shared" si="14"/>
        <v>0</v>
      </c>
      <c r="AJ230" s="99">
        <f t="shared" si="15"/>
        <v>0</v>
      </c>
      <c r="AK230" s="102" t="str">
        <f>+IF(AB230+AA230+AJ230&lt;=0, "NO COMPRADOR", +IF(AJ230&lt;=0, "SIN COMPRA "&amp;+UPPER(TEXT('DINAMICA ENERO 26'!$C$2,"mmm 'yy")), "COMPRADOR"))</f>
        <v>SIN COMPRA FEB '26</v>
      </c>
      <c r="AM230" s="101"/>
    </row>
    <row r="231" spans="1:42" s="100" customFormat="1" hidden="1">
      <c r="A231" s="88" t="s">
        <v>85</v>
      </c>
      <c r="B231" s="89" t="s">
        <v>315</v>
      </c>
      <c r="C231" s="89" t="s">
        <v>43</v>
      </c>
      <c r="D231" s="103">
        <v>100063546</v>
      </c>
      <c r="E231" s="89" t="s">
        <v>46</v>
      </c>
      <c r="F231" s="89">
        <v>100015382</v>
      </c>
      <c r="G231" s="128" t="s">
        <v>322</v>
      </c>
      <c r="H231"/>
      <c r="I231"/>
      <c r="J231"/>
      <c r="K231"/>
      <c r="L231"/>
      <c r="M231"/>
      <c r="N231"/>
      <c r="O231"/>
      <c r="P231"/>
      <c r="Q231"/>
      <c r="R231"/>
      <c r="S231" s="91">
        <v>0</v>
      </c>
      <c r="T231" s="94">
        <v>0</v>
      </c>
      <c r="U231" s="91">
        <v>0</v>
      </c>
      <c r="V231" s="129">
        <v>0</v>
      </c>
      <c r="W231" s="91">
        <v>0</v>
      </c>
      <c r="X231" s="129">
        <v>0</v>
      </c>
      <c r="Y231" s="91">
        <v>0</v>
      </c>
      <c r="Z231" s="129">
        <v>0</v>
      </c>
      <c r="AA231" s="155">
        <f t="shared" si="17"/>
        <v>0</v>
      </c>
      <c r="AB231" s="98">
        <f t="shared" si="17"/>
        <v>0</v>
      </c>
      <c r="AC231"/>
      <c r="AD231" s="97">
        <v>0</v>
      </c>
      <c r="AE231" s="92">
        <v>0</v>
      </c>
      <c r="AF231" s="98">
        <f t="shared" si="16"/>
        <v>0</v>
      </c>
      <c r="AG231" s="97">
        <v>0</v>
      </c>
      <c r="AH231" s="92">
        <v>0</v>
      </c>
      <c r="AI231" s="98">
        <f t="shared" ref="AI231:AI294" si="18">+AG231+AH231</f>
        <v>0</v>
      </c>
      <c r="AJ231" s="99">
        <f t="shared" si="15"/>
        <v>0</v>
      </c>
      <c r="AK231" s="102" t="str">
        <f>+IF(AB231+AA231+AJ231&lt;=0, "NO COMPRADOR", +IF(AJ231&lt;=0, "SIN COMPRA "&amp;+UPPER(TEXT('DINAMICA ENERO 26'!$C$2,"mmm 'yy")), "COMPRADOR"))</f>
        <v>NO COMPRADOR</v>
      </c>
      <c r="AM231" s="101"/>
    </row>
    <row r="232" spans="1:42" s="104" customFormat="1" hidden="1">
      <c r="A232" s="88" t="s">
        <v>85</v>
      </c>
      <c r="B232" s="89" t="s">
        <v>315</v>
      </c>
      <c r="C232" s="89" t="s">
        <v>43</v>
      </c>
      <c r="D232" s="103">
        <v>100063546</v>
      </c>
      <c r="E232" s="89" t="s">
        <v>46</v>
      </c>
      <c r="F232" s="89">
        <v>100001715</v>
      </c>
      <c r="G232" s="128" t="s">
        <v>323</v>
      </c>
      <c r="H232"/>
      <c r="I232"/>
      <c r="J232"/>
      <c r="K232"/>
      <c r="L232"/>
      <c r="M232"/>
      <c r="N232"/>
      <c r="O232"/>
      <c r="P232"/>
      <c r="Q232"/>
      <c r="R232"/>
      <c r="S232" s="91">
        <v>0</v>
      </c>
      <c r="T232" s="94">
        <v>0</v>
      </c>
      <c r="U232" s="91">
        <v>45.36</v>
      </c>
      <c r="V232" s="129">
        <v>45.36</v>
      </c>
      <c r="W232" s="91">
        <v>0</v>
      </c>
      <c r="X232" s="129">
        <v>0</v>
      </c>
      <c r="Y232" s="91">
        <v>-2.16</v>
      </c>
      <c r="Z232" s="129">
        <v>-2.16</v>
      </c>
      <c r="AA232" s="155">
        <f t="shared" si="17"/>
        <v>14.4</v>
      </c>
      <c r="AB232" s="98">
        <f t="shared" si="17"/>
        <v>14.4</v>
      </c>
      <c r="AC232"/>
      <c r="AD232" s="97">
        <v>0</v>
      </c>
      <c r="AE232" s="92">
        <v>0</v>
      </c>
      <c r="AF232" s="98">
        <f t="shared" si="16"/>
        <v>0</v>
      </c>
      <c r="AG232" s="97">
        <v>0</v>
      </c>
      <c r="AH232" s="92">
        <v>0</v>
      </c>
      <c r="AI232" s="98">
        <f t="shared" si="18"/>
        <v>0</v>
      </c>
      <c r="AJ232" s="99">
        <f t="shared" si="15"/>
        <v>0</v>
      </c>
      <c r="AK232" s="102" t="str">
        <f>+IF(AB232+AA232+AJ232&lt;=0, "NO COMPRADOR", +IF(AJ232&lt;=0, "SIN COMPRA "&amp;+UPPER(TEXT('DINAMICA ENERO 26'!$C$2,"mmm 'yy")), "COMPRADOR"))</f>
        <v>SIN COMPRA FEB '26</v>
      </c>
      <c r="AL232" s="100"/>
      <c r="AM232" s="101"/>
      <c r="AN232" s="100"/>
      <c r="AO232" s="100"/>
      <c r="AP232" s="100"/>
    </row>
    <row r="233" spans="1:42" s="100" customFormat="1" hidden="1">
      <c r="A233" s="88" t="s">
        <v>85</v>
      </c>
      <c r="B233" s="89" t="s">
        <v>315</v>
      </c>
      <c r="C233" s="89" t="s">
        <v>43</v>
      </c>
      <c r="D233" s="103">
        <v>100063546</v>
      </c>
      <c r="E233" s="89" t="s">
        <v>46</v>
      </c>
      <c r="F233" s="89">
        <v>100001825</v>
      </c>
      <c r="G233" s="128" t="s">
        <v>324</v>
      </c>
      <c r="H233"/>
      <c r="I233"/>
      <c r="J233"/>
      <c r="K233"/>
      <c r="L233"/>
      <c r="M233"/>
      <c r="N233"/>
      <c r="O233"/>
      <c r="P233"/>
      <c r="Q233"/>
      <c r="R233"/>
      <c r="S233" s="91">
        <v>2.16</v>
      </c>
      <c r="T233" s="94">
        <v>2.16</v>
      </c>
      <c r="U233" s="91">
        <v>2.16</v>
      </c>
      <c r="V233" s="129">
        <v>2.16</v>
      </c>
      <c r="W233" s="91">
        <v>0</v>
      </c>
      <c r="X233" s="129">
        <v>0</v>
      </c>
      <c r="Y233" s="91">
        <v>0</v>
      </c>
      <c r="Z233" s="129">
        <v>0</v>
      </c>
      <c r="AA233" s="155">
        <f t="shared" si="17"/>
        <v>0.72000000000000008</v>
      </c>
      <c r="AB233" s="98">
        <f t="shared" si="17"/>
        <v>0.72000000000000008</v>
      </c>
      <c r="AC233"/>
      <c r="AD233" s="97">
        <v>0</v>
      </c>
      <c r="AE233" s="92">
        <v>0</v>
      </c>
      <c r="AF233" s="98">
        <f t="shared" si="16"/>
        <v>0</v>
      </c>
      <c r="AG233" s="97">
        <v>0</v>
      </c>
      <c r="AH233" s="92">
        <v>0</v>
      </c>
      <c r="AI233" s="98">
        <f t="shared" si="18"/>
        <v>0</v>
      </c>
      <c r="AJ233" s="99">
        <f t="shared" si="15"/>
        <v>0</v>
      </c>
      <c r="AK233" s="102" t="str">
        <f>+IF(AB233+AA233+AJ233&lt;=0, "NO COMPRADOR", +IF(AJ233&lt;=0, "SIN COMPRA "&amp;+UPPER(TEXT('DINAMICA ENERO 26'!$C$2,"mmm 'yy")), "COMPRADOR"))</f>
        <v>SIN COMPRA FEB '26</v>
      </c>
      <c r="AM233" s="101"/>
    </row>
    <row r="234" spans="1:42" s="100" customFormat="1" hidden="1">
      <c r="A234" s="88" t="s">
        <v>85</v>
      </c>
      <c r="B234" s="89" t="s">
        <v>315</v>
      </c>
      <c r="C234" s="89" t="s">
        <v>43</v>
      </c>
      <c r="D234" s="103">
        <v>100063546</v>
      </c>
      <c r="E234" s="89" t="s">
        <v>46</v>
      </c>
      <c r="F234" s="89">
        <v>100071034</v>
      </c>
      <c r="G234" s="128" t="s">
        <v>325</v>
      </c>
      <c r="H234"/>
      <c r="I234"/>
      <c r="J234"/>
      <c r="K234"/>
      <c r="L234"/>
      <c r="M234"/>
      <c r="N234"/>
      <c r="O234"/>
      <c r="P234"/>
      <c r="Q234"/>
      <c r="R234"/>
      <c r="S234" s="91">
        <v>0</v>
      </c>
      <c r="T234" s="94">
        <v>0</v>
      </c>
      <c r="U234" s="91">
        <v>0</v>
      </c>
      <c r="V234" s="129">
        <v>0</v>
      </c>
      <c r="W234" s="91">
        <v>0</v>
      </c>
      <c r="X234" s="129">
        <v>0</v>
      </c>
      <c r="Y234" s="91">
        <v>0</v>
      </c>
      <c r="Z234" s="129">
        <v>0</v>
      </c>
      <c r="AA234" s="155">
        <f t="shared" si="17"/>
        <v>0</v>
      </c>
      <c r="AB234" s="98">
        <f t="shared" si="17"/>
        <v>0</v>
      </c>
      <c r="AC234"/>
      <c r="AD234" s="97">
        <v>0</v>
      </c>
      <c r="AE234" s="92">
        <v>0</v>
      </c>
      <c r="AF234" s="98">
        <f t="shared" si="16"/>
        <v>0</v>
      </c>
      <c r="AG234" s="97">
        <v>0</v>
      </c>
      <c r="AH234" s="92">
        <v>0</v>
      </c>
      <c r="AI234" s="98">
        <f t="shared" si="18"/>
        <v>0</v>
      </c>
      <c r="AJ234" s="99">
        <f t="shared" si="15"/>
        <v>0</v>
      </c>
      <c r="AK234" s="102" t="str">
        <f>+IF(AB234+AA234+AJ234&lt;=0, "NO COMPRADOR", +IF(AJ234&lt;=0, "SIN COMPRA "&amp;+UPPER(TEXT('DINAMICA ENERO 26'!$C$2,"mmm 'yy")), "COMPRADOR"))</f>
        <v>NO COMPRADOR</v>
      </c>
      <c r="AM234" s="101"/>
    </row>
    <row r="235" spans="1:42" s="100" customFormat="1" hidden="1">
      <c r="A235" s="88" t="s">
        <v>85</v>
      </c>
      <c r="B235" s="89" t="s">
        <v>315</v>
      </c>
      <c r="C235" s="89" t="s">
        <v>43</v>
      </c>
      <c r="D235" s="103">
        <v>100063546</v>
      </c>
      <c r="E235" s="89" t="s">
        <v>46</v>
      </c>
      <c r="F235" s="89">
        <v>100001510</v>
      </c>
      <c r="G235" s="128" t="s">
        <v>326</v>
      </c>
      <c r="H235"/>
      <c r="I235"/>
      <c r="J235"/>
      <c r="K235"/>
      <c r="L235"/>
      <c r="M235"/>
      <c r="N235"/>
      <c r="O235"/>
      <c r="P235"/>
      <c r="Q235"/>
      <c r="R235"/>
      <c r="S235" s="91">
        <v>0</v>
      </c>
      <c r="T235" s="94">
        <v>23.76</v>
      </c>
      <c r="U235" s="91">
        <v>43.2</v>
      </c>
      <c r="V235" s="129">
        <v>19.440000000000001</v>
      </c>
      <c r="W235" s="91">
        <v>2.16</v>
      </c>
      <c r="X235" s="129">
        <v>2.16</v>
      </c>
      <c r="Y235" s="91">
        <v>-2.16</v>
      </c>
      <c r="Z235" s="129">
        <v>-2.16</v>
      </c>
      <c r="AA235" s="155">
        <f t="shared" si="17"/>
        <v>14.4</v>
      </c>
      <c r="AB235" s="98">
        <f t="shared" si="17"/>
        <v>6.48</v>
      </c>
      <c r="AC235"/>
      <c r="AD235" s="97">
        <v>0</v>
      </c>
      <c r="AE235" s="92">
        <v>0</v>
      </c>
      <c r="AF235" s="98">
        <f t="shared" si="16"/>
        <v>0</v>
      </c>
      <c r="AG235" s="97">
        <v>0</v>
      </c>
      <c r="AH235" s="92">
        <v>0</v>
      </c>
      <c r="AI235" s="98">
        <f t="shared" si="18"/>
        <v>0</v>
      </c>
      <c r="AJ235" s="99">
        <f t="shared" si="15"/>
        <v>0</v>
      </c>
      <c r="AK235" s="102" t="str">
        <f>+IF(AB235+AA235+AJ235&lt;=0, "NO COMPRADOR", +IF(AJ235&lt;=0, "SIN COMPRA "&amp;+UPPER(TEXT('DINAMICA ENERO 26'!$C$2,"mmm 'yy")), "COMPRADOR"))</f>
        <v>SIN COMPRA FEB '26</v>
      </c>
      <c r="AM235" s="101"/>
    </row>
    <row r="236" spans="1:42" s="104" customFormat="1" hidden="1">
      <c r="A236" s="88" t="s">
        <v>85</v>
      </c>
      <c r="B236" s="89" t="s">
        <v>315</v>
      </c>
      <c r="C236" s="89" t="s">
        <v>43</v>
      </c>
      <c r="D236" s="103">
        <v>100063546</v>
      </c>
      <c r="E236" s="89" t="s">
        <v>46</v>
      </c>
      <c r="F236" s="89">
        <v>100086920</v>
      </c>
      <c r="G236" s="128" t="s">
        <v>327</v>
      </c>
      <c r="H236"/>
      <c r="I236"/>
      <c r="J236"/>
      <c r="K236"/>
      <c r="L236"/>
      <c r="M236"/>
      <c r="N236"/>
      <c r="O236"/>
      <c r="P236"/>
      <c r="Q236"/>
      <c r="R236"/>
      <c r="S236" s="91">
        <v>0</v>
      </c>
      <c r="T236" s="94">
        <v>0</v>
      </c>
      <c r="U236" s="91">
        <v>0</v>
      </c>
      <c r="V236" s="129">
        <v>0</v>
      </c>
      <c r="W236" s="91">
        <v>0</v>
      </c>
      <c r="X236" s="129">
        <v>0</v>
      </c>
      <c r="Y236" s="91">
        <v>0</v>
      </c>
      <c r="Z236" s="129">
        <v>0</v>
      </c>
      <c r="AA236" s="155">
        <f t="shared" si="17"/>
        <v>0</v>
      </c>
      <c r="AB236" s="98">
        <f t="shared" si="17"/>
        <v>0</v>
      </c>
      <c r="AC236"/>
      <c r="AD236" s="97">
        <v>0</v>
      </c>
      <c r="AE236" s="92">
        <v>0</v>
      </c>
      <c r="AF236" s="98">
        <f t="shared" si="16"/>
        <v>0</v>
      </c>
      <c r="AG236" s="97">
        <v>0</v>
      </c>
      <c r="AH236" s="92">
        <v>0</v>
      </c>
      <c r="AI236" s="98">
        <f t="shared" si="18"/>
        <v>0</v>
      </c>
      <c r="AJ236" s="99">
        <f t="shared" si="15"/>
        <v>0</v>
      </c>
      <c r="AK236" s="102" t="str">
        <f>+IF(AB236+AA236+AJ236&lt;=0, "NO COMPRADOR", +IF(AJ236&lt;=0, "SIN COMPRA "&amp;+UPPER(TEXT('DINAMICA ENERO 26'!$C$2,"mmm 'yy")), "COMPRADOR"))</f>
        <v>NO COMPRADOR</v>
      </c>
      <c r="AL236" s="100"/>
      <c r="AM236" s="101"/>
      <c r="AN236" s="100"/>
      <c r="AO236" s="100"/>
      <c r="AP236" s="100"/>
    </row>
    <row r="237" spans="1:42" s="100" customFormat="1" hidden="1">
      <c r="A237" s="88" t="s">
        <v>85</v>
      </c>
      <c r="B237" s="89" t="s">
        <v>315</v>
      </c>
      <c r="C237" s="89" t="s">
        <v>43</v>
      </c>
      <c r="D237" s="103">
        <v>100063546</v>
      </c>
      <c r="E237" s="89" t="s">
        <v>46</v>
      </c>
      <c r="F237" s="89">
        <v>100076015</v>
      </c>
      <c r="G237" s="128" t="s">
        <v>328</v>
      </c>
      <c r="H237"/>
      <c r="I237"/>
      <c r="J237"/>
      <c r="K237"/>
      <c r="L237"/>
      <c r="M237"/>
      <c r="N237"/>
      <c r="O237"/>
      <c r="P237"/>
      <c r="Q237"/>
      <c r="R237"/>
      <c r="S237" s="91">
        <v>2.16</v>
      </c>
      <c r="T237" s="94">
        <v>2.16</v>
      </c>
      <c r="U237" s="91">
        <v>0</v>
      </c>
      <c r="V237" s="129">
        <v>0</v>
      </c>
      <c r="W237" s="91">
        <v>2.16</v>
      </c>
      <c r="X237" s="129">
        <v>2.16</v>
      </c>
      <c r="Y237" s="91">
        <v>2.16</v>
      </c>
      <c r="Z237" s="129">
        <v>2.16</v>
      </c>
      <c r="AA237" s="155">
        <f t="shared" si="17"/>
        <v>1.4400000000000002</v>
      </c>
      <c r="AB237" s="98">
        <f t="shared" si="17"/>
        <v>1.4400000000000002</v>
      </c>
      <c r="AC237"/>
      <c r="AD237" s="97">
        <v>0</v>
      </c>
      <c r="AE237" s="92">
        <v>0</v>
      </c>
      <c r="AF237" s="98">
        <f t="shared" si="16"/>
        <v>0</v>
      </c>
      <c r="AG237" s="97">
        <v>0</v>
      </c>
      <c r="AH237" s="92">
        <v>0</v>
      </c>
      <c r="AI237" s="98">
        <f t="shared" si="18"/>
        <v>0</v>
      </c>
      <c r="AJ237" s="99">
        <f t="shared" si="15"/>
        <v>0</v>
      </c>
      <c r="AK237" s="102" t="str">
        <f>+IF(AB237+AA237+AJ237&lt;=0, "NO COMPRADOR", +IF(AJ237&lt;=0, "SIN COMPRA "&amp;+UPPER(TEXT('DINAMICA ENERO 26'!$C$2,"mmm 'yy")), "COMPRADOR"))</f>
        <v>SIN COMPRA FEB '26</v>
      </c>
      <c r="AM237" s="101"/>
    </row>
    <row r="238" spans="1:42" s="104" customFormat="1" hidden="1">
      <c r="A238" s="88" t="s">
        <v>85</v>
      </c>
      <c r="B238" s="89" t="s">
        <v>315</v>
      </c>
      <c r="C238" s="89" t="s">
        <v>43</v>
      </c>
      <c r="D238" s="103">
        <v>100063546</v>
      </c>
      <c r="E238" s="89" t="s">
        <v>46</v>
      </c>
      <c r="F238" s="89">
        <v>100071319</v>
      </c>
      <c r="G238" s="128" t="s">
        <v>329</v>
      </c>
      <c r="H238"/>
      <c r="I238"/>
      <c r="J238"/>
      <c r="K238"/>
      <c r="L238"/>
      <c r="M238"/>
      <c r="N238"/>
      <c r="O238"/>
      <c r="P238"/>
      <c r="Q238"/>
      <c r="R238"/>
      <c r="S238" s="91">
        <v>2.16</v>
      </c>
      <c r="T238" s="94">
        <v>2.16</v>
      </c>
      <c r="U238" s="91">
        <v>2.16</v>
      </c>
      <c r="V238" s="129">
        <v>2.16</v>
      </c>
      <c r="W238" s="91">
        <v>0</v>
      </c>
      <c r="X238" s="129">
        <v>0</v>
      </c>
      <c r="Y238" s="91">
        <v>2.16</v>
      </c>
      <c r="Z238" s="129">
        <v>2.16</v>
      </c>
      <c r="AA238" s="155">
        <f t="shared" si="17"/>
        <v>1.4400000000000002</v>
      </c>
      <c r="AB238" s="98">
        <f t="shared" si="17"/>
        <v>1.4400000000000002</v>
      </c>
      <c r="AC238"/>
      <c r="AD238" s="97">
        <v>0</v>
      </c>
      <c r="AE238" s="92">
        <v>0</v>
      </c>
      <c r="AF238" s="98">
        <f t="shared" si="16"/>
        <v>0</v>
      </c>
      <c r="AG238" s="97">
        <v>0</v>
      </c>
      <c r="AH238" s="92">
        <v>0</v>
      </c>
      <c r="AI238" s="98">
        <f t="shared" si="18"/>
        <v>0</v>
      </c>
      <c r="AJ238" s="99">
        <f t="shared" si="15"/>
        <v>0</v>
      </c>
      <c r="AK238" s="102" t="str">
        <f>+IF(AB238+AA238+AJ238&lt;=0, "NO COMPRADOR", +IF(AJ238&lt;=0, "SIN COMPRA "&amp;+UPPER(TEXT('DINAMICA ENERO 26'!$C$2,"mmm 'yy")), "COMPRADOR"))</f>
        <v>SIN COMPRA FEB '26</v>
      </c>
      <c r="AL238" s="100"/>
      <c r="AM238" s="101"/>
      <c r="AN238" s="100"/>
      <c r="AO238" s="100"/>
      <c r="AP238" s="100"/>
    </row>
    <row r="239" spans="1:42" s="100" customFormat="1" hidden="1">
      <c r="A239" s="88" t="s">
        <v>85</v>
      </c>
      <c r="B239" s="89" t="s">
        <v>315</v>
      </c>
      <c r="C239" s="89" t="s">
        <v>43</v>
      </c>
      <c r="D239" s="103">
        <v>100063546</v>
      </c>
      <c r="E239" s="89" t="s">
        <v>46</v>
      </c>
      <c r="F239" s="89">
        <v>100069083</v>
      </c>
      <c r="G239" s="128" t="s">
        <v>330</v>
      </c>
      <c r="H239"/>
      <c r="I239"/>
      <c r="J239"/>
      <c r="K239"/>
      <c r="L239"/>
      <c r="M239"/>
      <c r="N239"/>
      <c r="O239"/>
      <c r="P239"/>
      <c r="Q239"/>
      <c r="R239"/>
      <c r="S239" s="91">
        <v>2.16</v>
      </c>
      <c r="T239" s="94">
        <v>2.16</v>
      </c>
      <c r="U239" s="91">
        <v>2.16</v>
      </c>
      <c r="V239" s="129">
        <v>2.16</v>
      </c>
      <c r="W239" s="91">
        <v>2.16</v>
      </c>
      <c r="X239" s="129">
        <v>2.16</v>
      </c>
      <c r="Y239" s="91">
        <v>2.16</v>
      </c>
      <c r="Z239" s="129">
        <v>0</v>
      </c>
      <c r="AA239" s="155">
        <f t="shared" si="17"/>
        <v>2.16</v>
      </c>
      <c r="AB239" s="98">
        <f t="shared" si="17"/>
        <v>1.4400000000000002</v>
      </c>
      <c r="AC239"/>
      <c r="AD239" s="97">
        <v>0</v>
      </c>
      <c r="AE239" s="92">
        <v>0</v>
      </c>
      <c r="AF239" s="98">
        <f t="shared" si="16"/>
        <v>0</v>
      </c>
      <c r="AG239" s="97">
        <v>0</v>
      </c>
      <c r="AH239" s="92">
        <v>0</v>
      </c>
      <c r="AI239" s="98">
        <f t="shared" si="18"/>
        <v>0</v>
      </c>
      <c r="AJ239" s="99">
        <f t="shared" si="15"/>
        <v>0</v>
      </c>
      <c r="AK239" s="102" t="str">
        <f>+IF(AB239+AA239+AJ239&lt;=0, "NO COMPRADOR", +IF(AJ239&lt;=0, "SIN COMPRA "&amp;+UPPER(TEXT('DINAMICA ENERO 26'!$C$2,"mmm 'yy")), "COMPRADOR"))</f>
        <v>SIN COMPRA FEB '26</v>
      </c>
      <c r="AM239" s="101"/>
    </row>
    <row r="240" spans="1:42" s="100" customFormat="1" hidden="1">
      <c r="A240" s="88" t="s">
        <v>85</v>
      </c>
      <c r="B240" s="89" t="s">
        <v>315</v>
      </c>
      <c r="C240" s="89" t="s">
        <v>43</v>
      </c>
      <c r="D240" s="103">
        <v>100063546</v>
      </c>
      <c r="E240" s="89" t="s">
        <v>46</v>
      </c>
      <c r="F240" s="89">
        <v>100072087</v>
      </c>
      <c r="G240" s="128" t="s">
        <v>331</v>
      </c>
      <c r="H240"/>
      <c r="I240"/>
      <c r="J240"/>
      <c r="K240"/>
      <c r="L240"/>
      <c r="M240"/>
      <c r="N240"/>
      <c r="O240"/>
      <c r="P240"/>
      <c r="Q240"/>
      <c r="R240"/>
      <c r="S240" s="91">
        <v>2.16</v>
      </c>
      <c r="T240" s="94">
        <v>2.16</v>
      </c>
      <c r="U240" s="91">
        <v>2.16</v>
      </c>
      <c r="V240" s="129">
        <v>2.16</v>
      </c>
      <c r="W240" s="91">
        <v>8.64</v>
      </c>
      <c r="X240" s="129">
        <v>2.16</v>
      </c>
      <c r="Y240" s="91">
        <v>2.16</v>
      </c>
      <c r="Z240" s="129">
        <v>2.16</v>
      </c>
      <c r="AA240" s="155">
        <f t="shared" si="17"/>
        <v>4.32</v>
      </c>
      <c r="AB240" s="98">
        <f t="shared" si="17"/>
        <v>2.16</v>
      </c>
      <c r="AC240"/>
      <c r="AD240" s="97">
        <v>0</v>
      </c>
      <c r="AE240" s="92">
        <v>0</v>
      </c>
      <c r="AF240" s="98">
        <f t="shared" si="16"/>
        <v>0</v>
      </c>
      <c r="AG240" s="97">
        <v>0</v>
      </c>
      <c r="AH240" s="92">
        <v>0</v>
      </c>
      <c r="AI240" s="98">
        <f t="shared" si="18"/>
        <v>0</v>
      </c>
      <c r="AJ240" s="99">
        <f t="shared" si="15"/>
        <v>0</v>
      </c>
      <c r="AK240" s="102" t="str">
        <f>+IF(AB240+AA240+AJ240&lt;=0, "NO COMPRADOR", +IF(AJ240&lt;=0, "SIN COMPRA "&amp;+UPPER(TEXT('DINAMICA ENERO 26'!$C$2,"mmm 'yy")), "COMPRADOR"))</f>
        <v>SIN COMPRA FEB '26</v>
      </c>
      <c r="AM240" s="101"/>
    </row>
    <row r="241" spans="1:42" s="100" customFormat="1" hidden="1">
      <c r="A241" s="88" t="s">
        <v>85</v>
      </c>
      <c r="B241" s="89" t="s">
        <v>315</v>
      </c>
      <c r="C241" s="89" t="s">
        <v>43</v>
      </c>
      <c r="D241" s="103">
        <v>100063546</v>
      </c>
      <c r="E241" s="89" t="s">
        <v>46</v>
      </c>
      <c r="F241" s="89">
        <v>100078525</v>
      </c>
      <c r="G241" s="128" t="s">
        <v>332</v>
      </c>
      <c r="H241"/>
      <c r="I241"/>
      <c r="J241"/>
      <c r="K241"/>
      <c r="L241"/>
      <c r="M241"/>
      <c r="N241"/>
      <c r="O241"/>
      <c r="P241"/>
      <c r="Q241"/>
      <c r="R241"/>
      <c r="S241" s="91">
        <v>0</v>
      </c>
      <c r="T241" s="94">
        <v>2.16</v>
      </c>
      <c r="U241" s="91">
        <v>0</v>
      </c>
      <c r="V241" s="129">
        <v>0</v>
      </c>
      <c r="W241" s="91">
        <v>2.16</v>
      </c>
      <c r="X241" s="129">
        <v>2.16</v>
      </c>
      <c r="Y241" s="91">
        <v>0</v>
      </c>
      <c r="Z241" s="129">
        <v>-2.16</v>
      </c>
      <c r="AA241" s="155">
        <f t="shared" si="17"/>
        <v>0.72000000000000008</v>
      </c>
      <c r="AB241" s="98">
        <f t="shared" si="17"/>
        <v>0</v>
      </c>
      <c r="AC241"/>
      <c r="AD241" s="97">
        <v>0</v>
      </c>
      <c r="AE241" s="92">
        <v>0</v>
      </c>
      <c r="AF241" s="98">
        <f t="shared" si="16"/>
        <v>0</v>
      </c>
      <c r="AG241" s="97">
        <v>0</v>
      </c>
      <c r="AH241" s="92">
        <v>0</v>
      </c>
      <c r="AI241" s="98">
        <f t="shared" si="18"/>
        <v>0</v>
      </c>
      <c r="AJ241" s="99">
        <f t="shared" si="15"/>
        <v>0</v>
      </c>
      <c r="AK241" s="102" t="str">
        <f>+IF(AB241+AA241+AJ241&lt;=0, "NO COMPRADOR", +IF(AJ241&lt;=0, "SIN COMPRA "&amp;+UPPER(TEXT('DINAMICA ENERO 26'!$C$2,"mmm 'yy")), "COMPRADOR"))</f>
        <v>SIN COMPRA FEB '26</v>
      </c>
      <c r="AM241" s="101"/>
    </row>
    <row r="242" spans="1:42" s="100" customFormat="1" hidden="1">
      <c r="A242" s="88" t="s">
        <v>85</v>
      </c>
      <c r="B242" s="89" t="s">
        <v>315</v>
      </c>
      <c r="C242" s="89" t="s">
        <v>43</v>
      </c>
      <c r="D242" s="103">
        <v>100063546</v>
      </c>
      <c r="E242" s="89" t="s">
        <v>46</v>
      </c>
      <c r="F242" s="89">
        <v>100078986</v>
      </c>
      <c r="G242" s="128" t="s">
        <v>333</v>
      </c>
      <c r="H242"/>
      <c r="I242"/>
      <c r="J242"/>
      <c r="K242"/>
      <c r="L242"/>
      <c r="M242"/>
      <c r="N242"/>
      <c r="O242"/>
      <c r="P242"/>
      <c r="Q242"/>
      <c r="R242"/>
      <c r="S242" s="91">
        <v>0</v>
      </c>
      <c r="T242" s="94">
        <v>2.16</v>
      </c>
      <c r="U242" s="91">
        <v>2.16</v>
      </c>
      <c r="V242" s="129">
        <v>0</v>
      </c>
      <c r="W242" s="91">
        <v>0</v>
      </c>
      <c r="X242" s="129">
        <v>0</v>
      </c>
      <c r="Y242" s="91">
        <v>0</v>
      </c>
      <c r="Z242" s="129">
        <v>0</v>
      </c>
      <c r="AA242" s="155">
        <f t="shared" si="17"/>
        <v>0.72000000000000008</v>
      </c>
      <c r="AB242" s="98">
        <f t="shared" si="17"/>
        <v>0</v>
      </c>
      <c r="AC242"/>
      <c r="AD242" s="97">
        <v>0</v>
      </c>
      <c r="AE242" s="92">
        <v>0</v>
      </c>
      <c r="AF242" s="98">
        <f t="shared" si="16"/>
        <v>0</v>
      </c>
      <c r="AG242" s="97">
        <v>0</v>
      </c>
      <c r="AH242" s="92">
        <v>0</v>
      </c>
      <c r="AI242" s="98">
        <f t="shared" si="18"/>
        <v>0</v>
      </c>
      <c r="AJ242" s="99">
        <f t="shared" si="15"/>
        <v>0</v>
      </c>
      <c r="AK242" s="102" t="str">
        <f>+IF(AB242+AA242+AJ242&lt;=0, "NO COMPRADOR", +IF(AJ242&lt;=0, "SIN COMPRA "&amp;+UPPER(TEXT('DINAMICA ENERO 26'!$C$2,"mmm 'yy")), "COMPRADOR"))</f>
        <v>SIN COMPRA FEB '26</v>
      </c>
      <c r="AM242" s="101"/>
    </row>
    <row r="243" spans="1:42" s="104" customFormat="1" hidden="1">
      <c r="A243" s="88" t="s">
        <v>85</v>
      </c>
      <c r="B243" s="89" t="s">
        <v>315</v>
      </c>
      <c r="C243" s="89" t="s">
        <v>43</v>
      </c>
      <c r="D243" s="103">
        <v>100063546</v>
      </c>
      <c r="E243" s="89" t="s">
        <v>46</v>
      </c>
      <c r="F243" s="89">
        <v>100053840</v>
      </c>
      <c r="G243" s="128" t="s">
        <v>334</v>
      </c>
      <c r="H243"/>
      <c r="I243"/>
      <c r="J243"/>
      <c r="K243"/>
      <c r="L243"/>
      <c r="M243"/>
      <c r="N243"/>
      <c r="O243"/>
      <c r="P243"/>
      <c r="Q243"/>
      <c r="R243"/>
      <c r="S243" s="91">
        <v>2.16</v>
      </c>
      <c r="T243" s="94">
        <v>2.16</v>
      </c>
      <c r="U243" s="91">
        <v>2.16</v>
      </c>
      <c r="V243" s="129">
        <v>2.16</v>
      </c>
      <c r="W243" s="91">
        <v>2.16</v>
      </c>
      <c r="X243" s="129">
        <v>2.16</v>
      </c>
      <c r="Y243" s="91">
        <v>2.16</v>
      </c>
      <c r="Z243" s="129">
        <v>2.16</v>
      </c>
      <c r="AA243" s="155">
        <f t="shared" si="17"/>
        <v>2.16</v>
      </c>
      <c r="AB243" s="98">
        <f t="shared" si="17"/>
        <v>2.16</v>
      </c>
      <c r="AC243"/>
      <c r="AD243" s="97">
        <v>-2.16</v>
      </c>
      <c r="AE243" s="92">
        <v>0</v>
      </c>
      <c r="AF243" s="98">
        <f t="shared" si="16"/>
        <v>-2.16</v>
      </c>
      <c r="AG243" s="97">
        <v>-2.16</v>
      </c>
      <c r="AH243" s="92">
        <v>0</v>
      </c>
      <c r="AI243" s="98">
        <f t="shared" si="18"/>
        <v>-2.16</v>
      </c>
      <c r="AJ243" s="99">
        <f t="shared" si="15"/>
        <v>-4.32</v>
      </c>
      <c r="AK243" s="102" t="str">
        <f>+IF(AB243+AA243+AJ243&lt;=0, "NO COMPRADOR", +IF(AJ243&lt;=0, "SIN COMPRA "&amp;+UPPER(TEXT('DINAMICA ENERO 26'!$C$2,"mmm 'yy")), "COMPRADOR"))</f>
        <v>NO COMPRADOR</v>
      </c>
      <c r="AL243" s="100"/>
      <c r="AM243" s="101"/>
      <c r="AN243" s="100"/>
      <c r="AO243" s="100"/>
      <c r="AP243" s="100"/>
    </row>
    <row r="244" spans="1:42" s="100" customFormat="1" hidden="1">
      <c r="A244" s="88" t="s">
        <v>85</v>
      </c>
      <c r="B244" s="89" t="s">
        <v>315</v>
      </c>
      <c r="C244" s="89" t="s">
        <v>43</v>
      </c>
      <c r="D244" s="103">
        <v>100063546</v>
      </c>
      <c r="E244" s="89" t="s">
        <v>46</v>
      </c>
      <c r="F244" s="89">
        <v>100084699</v>
      </c>
      <c r="G244" s="128" t="s">
        <v>335</v>
      </c>
      <c r="H244"/>
      <c r="I244"/>
      <c r="J244"/>
      <c r="K244"/>
      <c r="L244"/>
      <c r="M244"/>
      <c r="N244"/>
      <c r="O244"/>
      <c r="P244"/>
      <c r="Q244"/>
      <c r="R244"/>
      <c r="S244" s="91">
        <v>2.16</v>
      </c>
      <c r="T244" s="94">
        <v>2.16</v>
      </c>
      <c r="U244" s="91">
        <v>0</v>
      </c>
      <c r="V244" s="129">
        <v>0</v>
      </c>
      <c r="W244" s="91">
        <v>0</v>
      </c>
      <c r="X244" s="129">
        <v>0</v>
      </c>
      <c r="Y244" s="91">
        <v>2.16</v>
      </c>
      <c r="Z244" s="129">
        <v>2.16</v>
      </c>
      <c r="AA244" s="155">
        <f t="shared" si="17"/>
        <v>0.72000000000000008</v>
      </c>
      <c r="AB244" s="98">
        <f t="shared" si="17"/>
        <v>0.72000000000000008</v>
      </c>
      <c r="AC244"/>
      <c r="AD244" s="97">
        <v>0</v>
      </c>
      <c r="AE244" s="92">
        <v>0</v>
      </c>
      <c r="AF244" s="98">
        <f t="shared" si="16"/>
        <v>0</v>
      </c>
      <c r="AG244" s="97">
        <v>0</v>
      </c>
      <c r="AH244" s="92">
        <v>0</v>
      </c>
      <c r="AI244" s="98">
        <f t="shared" si="18"/>
        <v>0</v>
      </c>
      <c r="AJ244" s="99">
        <f t="shared" si="15"/>
        <v>0</v>
      </c>
      <c r="AK244" s="102" t="str">
        <f>+IF(AB244+AA244+AJ244&lt;=0, "NO COMPRADOR", +IF(AJ244&lt;=0, "SIN COMPRA "&amp;+UPPER(TEXT('DINAMICA ENERO 26'!$C$2,"mmm 'yy")), "COMPRADOR"))</f>
        <v>SIN COMPRA FEB '26</v>
      </c>
      <c r="AM244" s="101"/>
    </row>
    <row r="245" spans="1:42" s="104" customFormat="1" hidden="1">
      <c r="A245" s="88" t="s">
        <v>85</v>
      </c>
      <c r="B245" s="89" t="s">
        <v>315</v>
      </c>
      <c r="C245" s="89" t="s">
        <v>43</v>
      </c>
      <c r="D245" s="103">
        <v>100063546</v>
      </c>
      <c r="E245" s="89" t="s">
        <v>46</v>
      </c>
      <c r="F245" s="89">
        <v>100080253</v>
      </c>
      <c r="G245" s="128" t="s">
        <v>336</v>
      </c>
      <c r="H245"/>
      <c r="I245"/>
      <c r="J245"/>
      <c r="K245"/>
      <c r="L245"/>
      <c r="M245"/>
      <c r="N245"/>
      <c r="O245"/>
      <c r="P245"/>
      <c r="Q245"/>
      <c r="R245"/>
      <c r="S245" s="91">
        <v>0</v>
      </c>
      <c r="T245" s="94">
        <v>0</v>
      </c>
      <c r="U245" s="91">
        <v>0</v>
      </c>
      <c r="V245" s="129">
        <v>0</v>
      </c>
      <c r="W245" s="91">
        <v>0</v>
      </c>
      <c r="X245" s="129">
        <v>0</v>
      </c>
      <c r="Y245" s="91">
        <v>2.16</v>
      </c>
      <c r="Z245" s="129">
        <v>2.16</v>
      </c>
      <c r="AA245" s="155">
        <f t="shared" si="17"/>
        <v>0.72000000000000008</v>
      </c>
      <c r="AB245" s="98">
        <f t="shared" si="17"/>
        <v>0.72000000000000008</v>
      </c>
      <c r="AC245"/>
      <c r="AD245" s="97">
        <v>0</v>
      </c>
      <c r="AE245" s="92">
        <v>0</v>
      </c>
      <c r="AF245" s="98">
        <f t="shared" si="16"/>
        <v>0</v>
      </c>
      <c r="AG245" s="97">
        <v>0</v>
      </c>
      <c r="AH245" s="92">
        <v>0</v>
      </c>
      <c r="AI245" s="98">
        <f t="shared" si="18"/>
        <v>0</v>
      </c>
      <c r="AJ245" s="99">
        <f t="shared" si="15"/>
        <v>0</v>
      </c>
      <c r="AK245" s="102" t="str">
        <f>+IF(AB245+AA245+AJ245&lt;=0, "NO COMPRADOR", +IF(AJ245&lt;=0, "SIN COMPRA "&amp;+UPPER(TEXT('DINAMICA ENERO 26'!$C$2,"mmm 'yy")), "COMPRADOR"))</f>
        <v>SIN COMPRA FEB '26</v>
      </c>
      <c r="AL245" s="100"/>
      <c r="AM245" s="101"/>
      <c r="AN245" s="100"/>
      <c r="AO245" s="100"/>
      <c r="AP245" s="100"/>
    </row>
    <row r="246" spans="1:42" s="104" customFormat="1" hidden="1">
      <c r="A246" s="88" t="s">
        <v>85</v>
      </c>
      <c r="B246" s="89" t="s">
        <v>315</v>
      </c>
      <c r="C246" s="89" t="s">
        <v>43</v>
      </c>
      <c r="D246" s="103">
        <v>100063546</v>
      </c>
      <c r="E246" s="89" t="s">
        <v>46</v>
      </c>
      <c r="F246" s="89">
        <v>100089146</v>
      </c>
      <c r="G246" s="128" t="s">
        <v>337</v>
      </c>
      <c r="H246"/>
      <c r="I246"/>
      <c r="J246"/>
      <c r="K246"/>
      <c r="L246"/>
      <c r="M246"/>
      <c r="N246"/>
      <c r="O246"/>
      <c r="P246"/>
      <c r="Q246"/>
      <c r="R246"/>
      <c r="S246" s="91">
        <v>0</v>
      </c>
      <c r="T246" s="94">
        <v>2.16</v>
      </c>
      <c r="U246" s="91">
        <v>0</v>
      </c>
      <c r="V246" s="129">
        <v>0</v>
      </c>
      <c r="W246" s="91">
        <v>0</v>
      </c>
      <c r="X246" s="129">
        <v>0</v>
      </c>
      <c r="Y246" s="91">
        <v>0</v>
      </c>
      <c r="Z246" s="129">
        <v>0</v>
      </c>
      <c r="AA246" s="155">
        <f t="shared" si="17"/>
        <v>0</v>
      </c>
      <c r="AB246" s="98">
        <f t="shared" si="17"/>
        <v>0</v>
      </c>
      <c r="AC246"/>
      <c r="AD246" s="97">
        <v>0</v>
      </c>
      <c r="AE246" s="92">
        <v>0</v>
      </c>
      <c r="AF246" s="98">
        <f t="shared" si="16"/>
        <v>0</v>
      </c>
      <c r="AG246" s="97">
        <v>0</v>
      </c>
      <c r="AH246" s="92">
        <v>0</v>
      </c>
      <c r="AI246" s="98">
        <f t="shared" si="18"/>
        <v>0</v>
      </c>
      <c r="AJ246" s="99">
        <f t="shared" si="15"/>
        <v>0</v>
      </c>
      <c r="AK246" s="102" t="str">
        <f>+IF(AB246+AA246+AJ246&lt;=0, "NO COMPRADOR", +IF(AJ246&lt;=0, "SIN COMPRA "&amp;+UPPER(TEXT('DINAMICA ENERO 26'!$C$2,"mmm 'yy")), "COMPRADOR"))</f>
        <v>NO COMPRADOR</v>
      </c>
      <c r="AL246" s="100"/>
      <c r="AM246" s="101"/>
      <c r="AN246" s="100"/>
      <c r="AO246" s="100"/>
      <c r="AP246" s="100"/>
    </row>
    <row r="247" spans="1:42" s="100" customFormat="1" hidden="1">
      <c r="A247" s="88" t="s">
        <v>85</v>
      </c>
      <c r="B247" s="89" t="s">
        <v>315</v>
      </c>
      <c r="C247" s="89" t="s">
        <v>43</v>
      </c>
      <c r="D247" s="103">
        <v>100087724</v>
      </c>
      <c r="E247" s="89" t="s">
        <v>44</v>
      </c>
      <c r="F247" s="89">
        <v>100001196</v>
      </c>
      <c r="G247" s="128" t="s">
        <v>320</v>
      </c>
      <c r="H247"/>
      <c r="I247"/>
      <c r="J247"/>
      <c r="K247"/>
      <c r="L247"/>
      <c r="M247"/>
      <c r="N247"/>
      <c r="O247"/>
      <c r="P247"/>
      <c r="Q247"/>
      <c r="R247"/>
      <c r="S247" s="91">
        <v>0</v>
      </c>
      <c r="T247" s="94">
        <v>0</v>
      </c>
      <c r="U247" s="91">
        <v>0</v>
      </c>
      <c r="V247" s="129">
        <v>0</v>
      </c>
      <c r="W247" s="91">
        <v>0</v>
      </c>
      <c r="X247" s="129">
        <v>0</v>
      </c>
      <c r="Y247" s="91">
        <v>0</v>
      </c>
      <c r="Z247" s="129">
        <v>0</v>
      </c>
      <c r="AA247" s="155">
        <f t="shared" si="17"/>
        <v>0</v>
      </c>
      <c r="AB247" s="98">
        <f t="shared" si="17"/>
        <v>0</v>
      </c>
      <c r="AC247"/>
      <c r="AD247" s="97">
        <v>0</v>
      </c>
      <c r="AE247" s="92">
        <v>0</v>
      </c>
      <c r="AF247" s="98">
        <f t="shared" si="16"/>
        <v>0</v>
      </c>
      <c r="AG247" s="97">
        <v>0</v>
      </c>
      <c r="AH247" s="92">
        <v>0</v>
      </c>
      <c r="AI247" s="98">
        <f t="shared" si="18"/>
        <v>0</v>
      </c>
      <c r="AJ247" s="99">
        <f t="shared" si="15"/>
        <v>0</v>
      </c>
      <c r="AK247" s="102" t="str">
        <f>+IF(AB247+AA247+AJ247&lt;=0, "NO COMPRADOR", +IF(AJ247&lt;=0, "SIN COMPRA "&amp;+UPPER(TEXT('DINAMICA ENERO 26'!$C$2,"mmm 'yy")), "COMPRADOR"))</f>
        <v>NO COMPRADOR</v>
      </c>
      <c r="AM247" s="101"/>
    </row>
    <row r="248" spans="1:42" s="104" customFormat="1" hidden="1">
      <c r="A248" s="88" t="s">
        <v>85</v>
      </c>
      <c r="B248" s="89" t="s">
        <v>315</v>
      </c>
      <c r="C248" s="89" t="s">
        <v>43</v>
      </c>
      <c r="D248" s="103">
        <v>100087724</v>
      </c>
      <c r="E248" s="89" t="s">
        <v>44</v>
      </c>
      <c r="F248" s="89">
        <v>100001979</v>
      </c>
      <c r="G248" s="128" t="s">
        <v>290</v>
      </c>
      <c r="H248"/>
      <c r="I248"/>
      <c r="J248"/>
      <c r="K248"/>
      <c r="L248"/>
      <c r="M248"/>
      <c r="N248"/>
      <c r="O248"/>
      <c r="P248"/>
      <c r="Q248"/>
      <c r="R248"/>
      <c r="S248" s="91">
        <v>0</v>
      </c>
      <c r="T248" s="94">
        <v>0</v>
      </c>
      <c r="U248" s="91">
        <v>0</v>
      </c>
      <c r="V248" s="129">
        <v>0</v>
      </c>
      <c r="W248" s="91">
        <v>0</v>
      </c>
      <c r="X248" s="129">
        <v>0</v>
      </c>
      <c r="Y248" s="91">
        <v>0</v>
      </c>
      <c r="Z248" s="129">
        <v>0</v>
      </c>
      <c r="AA248" s="155">
        <f t="shared" si="17"/>
        <v>0</v>
      </c>
      <c r="AB248" s="98">
        <f t="shared" si="17"/>
        <v>0</v>
      </c>
      <c r="AC248"/>
      <c r="AD248" s="97">
        <v>0</v>
      </c>
      <c r="AE248" s="92">
        <v>0</v>
      </c>
      <c r="AF248" s="98">
        <f t="shared" si="16"/>
        <v>0</v>
      </c>
      <c r="AG248" s="97">
        <v>0</v>
      </c>
      <c r="AH248" s="92">
        <v>0</v>
      </c>
      <c r="AI248" s="98">
        <f t="shared" si="18"/>
        <v>0</v>
      </c>
      <c r="AJ248" s="99">
        <f t="shared" si="15"/>
        <v>0</v>
      </c>
      <c r="AK248" s="102" t="str">
        <f>+IF(AB248+AA248+AJ248&lt;=0, "NO COMPRADOR", +IF(AJ248&lt;=0, "SIN COMPRA "&amp;+UPPER(TEXT('DINAMICA ENERO 26'!$C$2,"mmm 'yy")), "COMPRADOR"))</f>
        <v>NO COMPRADOR</v>
      </c>
      <c r="AL248" s="100"/>
      <c r="AM248" s="101"/>
      <c r="AN248" s="100"/>
      <c r="AO248" s="100"/>
      <c r="AP248" s="100"/>
    </row>
    <row r="249" spans="1:42" s="100" customFormat="1" hidden="1">
      <c r="A249" s="88" t="s">
        <v>85</v>
      </c>
      <c r="B249" s="89" t="s">
        <v>315</v>
      </c>
      <c r="C249" s="89" t="s">
        <v>43</v>
      </c>
      <c r="D249" s="103">
        <v>100087724</v>
      </c>
      <c r="E249" s="89" t="s">
        <v>44</v>
      </c>
      <c r="F249" s="89">
        <v>100002471</v>
      </c>
      <c r="G249" s="128" t="s">
        <v>338</v>
      </c>
      <c r="H249"/>
      <c r="I249"/>
      <c r="J249"/>
      <c r="K249"/>
      <c r="L249"/>
      <c r="M249"/>
      <c r="N249"/>
      <c r="O249"/>
      <c r="P249"/>
      <c r="Q249"/>
      <c r="R249"/>
      <c r="S249" s="91">
        <v>0</v>
      </c>
      <c r="T249" s="94">
        <v>0</v>
      </c>
      <c r="U249" s="91">
        <v>2.16</v>
      </c>
      <c r="V249" s="129">
        <v>0</v>
      </c>
      <c r="W249" s="91">
        <v>-2.16</v>
      </c>
      <c r="X249" s="129">
        <v>0</v>
      </c>
      <c r="Y249" s="91">
        <v>0</v>
      </c>
      <c r="Z249" s="129">
        <v>0</v>
      </c>
      <c r="AA249" s="155">
        <f t="shared" si="17"/>
        <v>0</v>
      </c>
      <c r="AB249" s="98">
        <f t="shared" si="17"/>
        <v>0</v>
      </c>
      <c r="AC249"/>
      <c r="AD249" s="97">
        <v>0</v>
      </c>
      <c r="AE249" s="92">
        <v>0</v>
      </c>
      <c r="AF249" s="98">
        <f t="shared" si="16"/>
        <v>0</v>
      </c>
      <c r="AG249" s="97">
        <v>0</v>
      </c>
      <c r="AH249" s="92">
        <v>0</v>
      </c>
      <c r="AI249" s="98">
        <f t="shared" si="18"/>
        <v>0</v>
      </c>
      <c r="AJ249" s="99">
        <f t="shared" si="15"/>
        <v>0</v>
      </c>
      <c r="AK249" s="102" t="str">
        <f>+IF(AB249+AA249+AJ249&lt;=0, "NO COMPRADOR", +IF(AJ249&lt;=0, "SIN COMPRA "&amp;+UPPER(TEXT('DINAMICA ENERO 26'!$C$2,"mmm 'yy")), "COMPRADOR"))</f>
        <v>NO COMPRADOR</v>
      </c>
      <c r="AM249" s="101"/>
    </row>
    <row r="250" spans="1:42" s="100" customFormat="1" hidden="1">
      <c r="A250" s="88" t="s">
        <v>85</v>
      </c>
      <c r="B250" s="89" t="s">
        <v>315</v>
      </c>
      <c r="C250" s="89" t="s">
        <v>43</v>
      </c>
      <c r="D250" s="103">
        <v>100087724</v>
      </c>
      <c r="E250" s="89" t="s">
        <v>44</v>
      </c>
      <c r="F250" s="89">
        <v>100005866</v>
      </c>
      <c r="G250" s="128" t="s">
        <v>339</v>
      </c>
      <c r="H250"/>
      <c r="I250"/>
      <c r="J250"/>
      <c r="K250"/>
      <c r="L250"/>
      <c r="M250"/>
      <c r="N250"/>
      <c r="O250"/>
      <c r="P250"/>
      <c r="Q250"/>
      <c r="R250"/>
      <c r="S250" s="91">
        <v>0</v>
      </c>
      <c r="T250" s="94">
        <v>2.16</v>
      </c>
      <c r="U250" s="91">
        <v>2.16</v>
      </c>
      <c r="V250" s="129">
        <v>2.16</v>
      </c>
      <c r="W250" s="91">
        <v>2.16</v>
      </c>
      <c r="X250" s="129">
        <v>2.16</v>
      </c>
      <c r="Y250" s="91">
        <v>0</v>
      </c>
      <c r="Z250" s="129">
        <v>0</v>
      </c>
      <c r="AA250" s="155">
        <f t="shared" si="17"/>
        <v>1.4400000000000002</v>
      </c>
      <c r="AB250" s="98">
        <f t="shared" si="17"/>
        <v>1.4400000000000002</v>
      </c>
      <c r="AC250"/>
      <c r="AD250" s="97">
        <v>0</v>
      </c>
      <c r="AE250" s="92">
        <v>0</v>
      </c>
      <c r="AF250" s="98">
        <f t="shared" si="16"/>
        <v>0</v>
      </c>
      <c r="AG250" s="97">
        <v>0</v>
      </c>
      <c r="AH250" s="92">
        <v>0</v>
      </c>
      <c r="AI250" s="98">
        <f t="shared" si="18"/>
        <v>0</v>
      </c>
      <c r="AJ250" s="99">
        <f t="shared" si="15"/>
        <v>0</v>
      </c>
      <c r="AK250" s="102" t="str">
        <f>+IF(AB250+AA250+AJ250&lt;=0, "NO COMPRADOR", +IF(AJ250&lt;=0, "SIN COMPRA "&amp;+UPPER(TEXT('DINAMICA ENERO 26'!$C$2,"mmm 'yy")), "COMPRADOR"))</f>
        <v>SIN COMPRA FEB '26</v>
      </c>
      <c r="AM250" s="101"/>
    </row>
    <row r="251" spans="1:42" s="100" customFormat="1" hidden="1">
      <c r="A251" s="88" t="s">
        <v>85</v>
      </c>
      <c r="B251" s="89" t="s">
        <v>315</v>
      </c>
      <c r="C251" s="89" t="s">
        <v>43</v>
      </c>
      <c r="D251" s="103">
        <v>100087724</v>
      </c>
      <c r="E251" s="89" t="s">
        <v>44</v>
      </c>
      <c r="F251" s="89">
        <v>100025209</v>
      </c>
      <c r="G251" s="128" t="s">
        <v>340</v>
      </c>
      <c r="H251"/>
      <c r="I251"/>
      <c r="J251"/>
      <c r="K251"/>
      <c r="L251"/>
      <c r="M251"/>
      <c r="N251"/>
      <c r="O251"/>
      <c r="P251"/>
      <c r="Q251"/>
      <c r="R251"/>
      <c r="S251" s="91">
        <v>64.800000000000011</v>
      </c>
      <c r="T251" s="94">
        <v>64.800000000000011</v>
      </c>
      <c r="U251" s="91">
        <v>2.16</v>
      </c>
      <c r="V251" s="129">
        <v>2.16</v>
      </c>
      <c r="W251" s="91">
        <v>32.400000000000006</v>
      </c>
      <c r="X251" s="129">
        <v>32.400000000000006</v>
      </c>
      <c r="Y251" s="91">
        <v>32.400000000000006</v>
      </c>
      <c r="Z251" s="129">
        <v>32.400000000000006</v>
      </c>
      <c r="AA251" s="155">
        <f t="shared" si="17"/>
        <v>22.320000000000004</v>
      </c>
      <c r="AB251" s="98">
        <f t="shared" si="17"/>
        <v>22.320000000000004</v>
      </c>
      <c r="AC251"/>
      <c r="AD251" s="97">
        <v>21.6</v>
      </c>
      <c r="AE251" s="92">
        <v>0</v>
      </c>
      <c r="AF251" s="98">
        <f t="shared" si="16"/>
        <v>21.6</v>
      </c>
      <c r="AG251" s="97">
        <v>2.16</v>
      </c>
      <c r="AH251" s="92">
        <v>0</v>
      </c>
      <c r="AI251" s="98">
        <f t="shared" si="18"/>
        <v>2.16</v>
      </c>
      <c r="AJ251" s="99">
        <f t="shared" si="15"/>
        <v>23.76</v>
      </c>
      <c r="AK251" s="102" t="str">
        <f>+IF(AB251+AA251+AJ251&lt;=0, "NO COMPRADOR", +IF(AJ251&lt;=0, "SIN COMPRA "&amp;+UPPER(TEXT('DINAMICA ENERO 26'!$C$2,"mmm 'yy")), "COMPRADOR"))</f>
        <v>COMPRADOR</v>
      </c>
      <c r="AM251" s="101"/>
    </row>
    <row r="252" spans="1:42" s="100" customFormat="1" hidden="1">
      <c r="A252" s="88" t="s">
        <v>85</v>
      </c>
      <c r="B252" s="89" t="s">
        <v>315</v>
      </c>
      <c r="C252" s="89" t="s">
        <v>43</v>
      </c>
      <c r="D252" s="103">
        <v>100087724</v>
      </c>
      <c r="E252" s="89" t="s">
        <v>44</v>
      </c>
      <c r="F252" s="89">
        <v>100087941</v>
      </c>
      <c r="G252" s="128" t="s">
        <v>341</v>
      </c>
      <c r="H252"/>
      <c r="I252"/>
      <c r="J252"/>
      <c r="K252"/>
      <c r="L252"/>
      <c r="M252"/>
      <c r="N252"/>
      <c r="O252"/>
      <c r="P252"/>
      <c r="Q252"/>
      <c r="R252"/>
      <c r="S252" s="91">
        <v>2.16</v>
      </c>
      <c r="T252" s="94">
        <v>2.16</v>
      </c>
      <c r="U252" s="91">
        <v>2.16</v>
      </c>
      <c r="V252" s="129">
        <v>2.16</v>
      </c>
      <c r="W252" s="91">
        <v>2.16</v>
      </c>
      <c r="X252" s="129">
        <v>2.16</v>
      </c>
      <c r="Y252" s="91">
        <v>2.16</v>
      </c>
      <c r="Z252" s="129">
        <v>0</v>
      </c>
      <c r="AA252" s="155">
        <f t="shared" si="17"/>
        <v>2.16</v>
      </c>
      <c r="AB252" s="98">
        <f t="shared" si="17"/>
        <v>1.4400000000000002</v>
      </c>
      <c r="AC252"/>
      <c r="AD252" s="97">
        <v>2.16</v>
      </c>
      <c r="AE252" s="92">
        <v>0</v>
      </c>
      <c r="AF252" s="98">
        <f t="shared" si="16"/>
        <v>2.16</v>
      </c>
      <c r="AG252" s="97">
        <v>0</v>
      </c>
      <c r="AH252" s="92">
        <v>0</v>
      </c>
      <c r="AI252" s="98">
        <f t="shared" si="18"/>
        <v>0</v>
      </c>
      <c r="AJ252" s="99">
        <f t="shared" si="15"/>
        <v>2.16</v>
      </c>
      <c r="AK252" s="102" t="str">
        <f>+IF(AB252+AA252+AJ252&lt;=0, "NO COMPRADOR", +IF(AJ252&lt;=0, "SIN COMPRA "&amp;+UPPER(TEXT('DINAMICA ENERO 26'!$C$2,"mmm 'yy")), "COMPRADOR"))</f>
        <v>COMPRADOR</v>
      </c>
      <c r="AM252" s="101"/>
    </row>
    <row r="253" spans="1:42" s="104" customFormat="1" hidden="1">
      <c r="A253" s="88" t="s">
        <v>85</v>
      </c>
      <c r="B253" s="89" t="s">
        <v>315</v>
      </c>
      <c r="C253" s="89" t="s">
        <v>43</v>
      </c>
      <c r="D253" s="103">
        <v>100087724</v>
      </c>
      <c r="E253" s="89" t="s">
        <v>44</v>
      </c>
      <c r="F253" s="89">
        <v>100067528</v>
      </c>
      <c r="G253" s="128" t="s">
        <v>342</v>
      </c>
      <c r="H253"/>
      <c r="I253"/>
      <c r="J253"/>
      <c r="K253"/>
      <c r="L253"/>
      <c r="M253"/>
      <c r="N253"/>
      <c r="O253"/>
      <c r="P253"/>
      <c r="Q253"/>
      <c r="R253"/>
      <c r="S253" s="91">
        <v>2.16</v>
      </c>
      <c r="T253" s="94">
        <v>2.16</v>
      </c>
      <c r="U253" s="91">
        <v>2.16</v>
      </c>
      <c r="V253" s="129">
        <v>0</v>
      </c>
      <c r="W253" s="91">
        <v>2.16</v>
      </c>
      <c r="X253" s="129">
        <v>0</v>
      </c>
      <c r="Y253" s="91">
        <v>2.16</v>
      </c>
      <c r="Z253" s="129">
        <v>0</v>
      </c>
      <c r="AA253" s="155">
        <f t="shared" si="17"/>
        <v>2.16</v>
      </c>
      <c r="AB253" s="98">
        <f t="shared" si="17"/>
        <v>0</v>
      </c>
      <c r="AC253"/>
      <c r="AD253" s="97">
        <v>2.16</v>
      </c>
      <c r="AE253" s="92">
        <v>0</v>
      </c>
      <c r="AF253" s="98">
        <f t="shared" si="16"/>
        <v>2.16</v>
      </c>
      <c r="AG253" s="97">
        <v>0</v>
      </c>
      <c r="AH253" s="92">
        <v>0</v>
      </c>
      <c r="AI253" s="98">
        <f t="shared" si="18"/>
        <v>0</v>
      </c>
      <c r="AJ253" s="99">
        <f t="shared" si="15"/>
        <v>2.16</v>
      </c>
      <c r="AK253" s="102" t="str">
        <f>+IF(AB253+AA253+AJ253&lt;=0, "NO COMPRADOR", +IF(AJ253&lt;=0, "SIN COMPRA "&amp;+UPPER(TEXT('DINAMICA ENERO 26'!$C$2,"mmm 'yy")), "COMPRADOR"))</f>
        <v>COMPRADOR</v>
      </c>
      <c r="AL253" s="100"/>
      <c r="AM253" s="101"/>
      <c r="AN253" s="100"/>
      <c r="AO253" s="100"/>
      <c r="AP253" s="100"/>
    </row>
    <row r="254" spans="1:42" s="104" customFormat="1" hidden="1">
      <c r="A254" s="88" t="s">
        <v>85</v>
      </c>
      <c r="B254" s="89" t="s">
        <v>315</v>
      </c>
      <c r="C254" s="89" t="s">
        <v>43</v>
      </c>
      <c r="D254" s="103">
        <v>100087724</v>
      </c>
      <c r="E254" s="89" t="s">
        <v>44</v>
      </c>
      <c r="F254" s="89">
        <v>100087924</v>
      </c>
      <c r="G254" s="128" t="s">
        <v>343</v>
      </c>
      <c r="H254"/>
      <c r="I254"/>
      <c r="J254"/>
      <c r="K254"/>
      <c r="L254"/>
      <c r="M254"/>
      <c r="N254"/>
      <c r="O254"/>
      <c r="P254"/>
      <c r="Q254"/>
      <c r="R254"/>
      <c r="S254" s="91">
        <v>0</v>
      </c>
      <c r="T254" s="94">
        <v>0</v>
      </c>
      <c r="U254" s="91">
        <v>2.16</v>
      </c>
      <c r="V254" s="129">
        <v>2.16</v>
      </c>
      <c r="W254" s="91">
        <v>2.16</v>
      </c>
      <c r="X254" s="129">
        <v>2.16</v>
      </c>
      <c r="Y254" s="91">
        <v>0</v>
      </c>
      <c r="Z254" s="129">
        <v>0</v>
      </c>
      <c r="AA254" s="155">
        <f t="shared" si="17"/>
        <v>1.4400000000000002</v>
      </c>
      <c r="AB254" s="98">
        <f t="shared" si="17"/>
        <v>1.4400000000000002</v>
      </c>
      <c r="AC254"/>
      <c r="AD254" s="97">
        <v>0</v>
      </c>
      <c r="AE254" s="92">
        <v>0</v>
      </c>
      <c r="AF254" s="98">
        <f t="shared" si="16"/>
        <v>0</v>
      </c>
      <c r="AG254" s="97">
        <v>0</v>
      </c>
      <c r="AH254" s="92">
        <v>0</v>
      </c>
      <c r="AI254" s="98">
        <f t="shared" si="18"/>
        <v>0</v>
      </c>
      <c r="AJ254" s="99">
        <f t="shared" si="15"/>
        <v>0</v>
      </c>
      <c r="AK254" s="102" t="str">
        <f>+IF(AB254+AA254+AJ254&lt;=0, "NO COMPRADOR", +IF(AJ254&lt;=0, "SIN COMPRA "&amp;+UPPER(TEXT('DINAMICA ENERO 26'!$C$2,"mmm 'yy")), "COMPRADOR"))</f>
        <v>SIN COMPRA FEB '26</v>
      </c>
      <c r="AL254" s="100"/>
      <c r="AM254" s="101"/>
      <c r="AN254" s="100"/>
      <c r="AO254" s="100"/>
      <c r="AP254" s="100"/>
    </row>
    <row r="255" spans="1:42" s="104" customFormat="1" hidden="1">
      <c r="A255" s="88" t="s">
        <v>85</v>
      </c>
      <c r="B255" s="89" t="s">
        <v>315</v>
      </c>
      <c r="C255" s="89" t="s">
        <v>43</v>
      </c>
      <c r="D255" s="103">
        <v>100087724</v>
      </c>
      <c r="E255" s="89" t="s">
        <v>44</v>
      </c>
      <c r="F255" s="89">
        <v>100069181</v>
      </c>
      <c r="G255" s="128" t="s">
        <v>344</v>
      </c>
      <c r="H255"/>
      <c r="I255"/>
      <c r="J255"/>
      <c r="K255"/>
      <c r="L255"/>
      <c r="M255"/>
      <c r="N255"/>
      <c r="O255"/>
      <c r="P255"/>
      <c r="Q255"/>
      <c r="R255"/>
      <c r="S255" s="91">
        <v>2.16</v>
      </c>
      <c r="T255" s="94">
        <v>2.16</v>
      </c>
      <c r="U255" s="91">
        <v>2.16</v>
      </c>
      <c r="V255" s="129">
        <v>0</v>
      </c>
      <c r="W255" s="91">
        <v>0</v>
      </c>
      <c r="X255" s="129">
        <v>2.16</v>
      </c>
      <c r="Y255" s="91">
        <v>10.8</v>
      </c>
      <c r="Z255" s="129">
        <v>0</v>
      </c>
      <c r="AA255" s="155">
        <f t="shared" si="17"/>
        <v>4.32</v>
      </c>
      <c r="AB255" s="98">
        <f t="shared" si="17"/>
        <v>0.72000000000000008</v>
      </c>
      <c r="AC255"/>
      <c r="AD255" s="97">
        <v>10.8</v>
      </c>
      <c r="AE255" s="92">
        <v>0</v>
      </c>
      <c r="AF255" s="98">
        <f t="shared" si="16"/>
        <v>10.8</v>
      </c>
      <c r="AG255" s="97">
        <v>0</v>
      </c>
      <c r="AH255" s="92">
        <v>0</v>
      </c>
      <c r="AI255" s="98">
        <f t="shared" si="18"/>
        <v>0</v>
      </c>
      <c r="AJ255" s="99">
        <f t="shared" si="15"/>
        <v>10.8</v>
      </c>
      <c r="AK255" s="102" t="str">
        <f>+IF(AB255+AA255+AJ255&lt;=0, "NO COMPRADOR", +IF(AJ255&lt;=0, "SIN COMPRA "&amp;+UPPER(TEXT('DINAMICA ENERO 26'!$C$2,"mmm 'yy")), "COMPRADOR"))</f>
        <v>COMPRADOR</v>
      </c>
      <c r="AL255" s="100"/>
      <c r="AM255" s="101"/>
      <c r="AN255" s="100"/>
      <c r="AO255" s="100"/>
      <c r="AP255" s="100"/>
    </row>
    <row r="256" spans="1:42" s="100" customFormat="1" hidden="1">
      <c r="A256" s="88" t="s">
        <v>85</v>
      </c>
      <c r="B256" s="89" t="s">
        <v>315</v>
      </c>
      <c r="C256" s="89" t="s">
        <v>43</v>
      </c>
      <c r="D256" s="103">
        <v>100087724</v>
      </c>
      <c r="E256" s="89" t="s">
        <v>44</v>
      </c>
      <c r="F256" s="89">
        <v>100070616</v>
      </c>
      <c r="G256" s="128" t="s">
        <v>345</v>
      </c>
      <c r="H256"/>
      <c r="I256"/>
      <c r="J256"/>
      <c r="K256"/>
      <c r="L256"/>
      <c r="M256"/>
      <c r="N256"/>
      <c r="O256"/>
      <c r="P256"/>
      <c r="Q256"/>
      <c r="R256"/>
      <c r="S256" s="91">
        <v>2.16</v>
      </c>
      <c r="T256" s="94">
        <v>2.16</v>
      </c>
      <c r="U256" s="91">
        <v>8.64</v>
      </c>
      <c r="V256" s="129">
        <v>0</v>
      </c>
      <c r="W256" s="91">
        <v>2.16</v>
      </c>
      <c r="X256" s="129">
        <v>0</v>
      </c>
      <c r="Y256" s="91">
        <v>0</v>
      </c>
      <c r="Z256" s="129">
        <v>0</v>
      </c>
      <c r="AA256" s="155">
        <f t="shared" si="17"/>
        <v>3.6</v>
      </c>
      <c r="AB256" s="98">
        <f t="shared" si="17"/>
        <v>0</v>
      </c>
      <c r="AC256"/>
      <c r="AD256" s="97">
        <v>0</v>
      </c>
      <c r="AE256" s="92">
        <v>0</v>
      </c>
      <c r="AF256" s="98">
        <f t="shared" si="16"/>
        <v>0</v>
      </c>
      <c r="AG256" s="97">
        <v>0</v>
      </c>
      <c r="AH256" s="92">
        <v>0</v>
      </c>
      <c r="AI256" s="98">
        <f t="shared" si="18"/>
        <v>0</v>
      </c>
      <c r="AJ256" s="99">
        <f t="shared" si="15"/>
        <v>0</v>
      </c>
      <c r="AK256" s="102" t="str">
        <f>+IF(AB256+AA256+AJ256&lt;=0, "NO COMPRADOR", +IF(AJ256&lt;=0, "SIN COMPRA "&amp;+UPPER(TEXT('DINAMICA ENERO 26'!$C$2,"mmm 'yy")), "COMPRADOR"))</f>
        <v>SIN COMPRA FEB '26</v>
      </c>
      <c r="AM256" s="101"/>
    </row>
    <row r="257" spans="1:42" s="100" customFormat="1" hidden="1">
      <c r="A257" s="88" t="s">
        <v>85</v>
      </c>
      <c r="B257" s="89" t="s">
        <v>315</v>
      </c>
      <c r="C257" s="89" t="s">
        <v>43</v>
      </c>
      <c r="D257" s="103">
        <v>100087724</v>
      </c>
      <c r="E257" s="89" t="s">
        <v>44</v>
      </c>
      <c r="F257" s="89">
        <v>100079876</v>
      </c>
      <c r="G257" s="128" t="s">
        <v>346</v>
      </c>
      <c r="H257"/>
      <c r="I257"/>
      <c r="J257"/>
      <c r="K257"/>
      <c r="L257"/>
      <c r="M257"/>
      <c r="N257"/>
      <c r="O257"/>
      <c r="P257"/>
      <c r="Q257"/>
      <c r="R257"/>
      <c r="S257" s="91">
        <v>0</v>
      </c>
      <c r="T257" s="94">
        <v>0</v>
      </c>
      <c r="U257" s="91">
        <v>0</v>
      </c>
      <c r="V257" s="129">
        <v>0</v>
      </c>
      <c r="W257" s="91">
        <v>0</v>
      </c>
      <c r="X257" s="129">
        <v>0</v>
      </c>
      <c r="Y257" s="91">
        <v>12.96</v>
      </c>
      <c r="Z257" s="129">
        <v>0</v>
      </c>
      <c r="AA257" s="155">
        <f t="shared" si="17"/>
        <v>4.32</v>
      </c>
      <c r="AB257" s="98">
        <f t="shared" si="17"/>
        <v>0</v>
      </c>
      <c r="AC257"/>
      <c r="AD257" s="97">
        <v>0</v>
      </c>
      <c r="AE257" s="92">
        <v>0</v>
      </c>
      <c r="AF257" s="98">
        <f t="shared" si="16"/>
        <v>0</v>
      </c>
      <c r="AG257" s="97">
        <v>0</v>
      </c>
      <c r="AH257" s="92">
        <v>0</v>
      </c>
      <c r="AI257" s="98">
        <f t="shared" si="18"/>
        <v>0</v>
      </c>
      <c r="AJ257" s="99">
        <f t="shared" si="15"/>
        <v>0</v>
      </c>
      <c r="AK257" s="102" t="str">
        <f>+IF(AB257+AA257+AJ257&lt;=0, "NO COMPRADOR", +IF(AJ257&lt;=0, "SIN COMPRA "&amp;+UPPER(TEXT('DINAMICA ENERO 26'!$C$2,"mmm 'yy")), "COMPRADOR"))</f>
        <v>SIN COMPRA FEB '26</v>
      </c>
      <c r="AM257" s="101"/>
    </row>
    <row r="258" spans="1:42" s="104" customFormat="1" hidden="1">
      <c r="A258" s="88" t="s">
        <v>85</v>
      </c>
      <c r="B258" s="89" t="s">
        <v>315</v>
      </c>
      <c r="C258" s="89" t="s">
        <v>43</v>
      </c>
      <c r="D258" s="103">
        <v>100087724</v>
      </c>
      <c r="E258" s="89" t="s">
        <v>44</v>
      </c>
      <c r="F258" s="89">
        <v>100081157</v>
      </c>
      <c r="G258" s="128" t="s">
        <v>347</v>
      </c>
      <c r="H258"/>
      <c r="I258"/>
      <c r="J258"/>
      <c r="K258"/>
      <c r="L258"/>
      <c r="M258"/>
      <c r="N258"/>
      <c r="O258"/>
      <c r="P258"/>
      <c r="Q258"/>
      <c r="R258"/>
      <c r="S258" s="91">
        <v>0</v>
      </c>
      <c r="T258" s="94">
        <v>0</v>
      </c>
      <c r="U258" s="91">
        <v>2.16</v>
      </c>
      <c r="V258" s="129">
        <v>2.16</v>
      </c>
      <c r="W258" s="91">
        <v>2.16</v>
      </c>
      <c r="X258" s="129">
        <v>0</v>
      </c>
      <c r="Y258" s="91">
        <v>2.16</v>
      </c>
      <c r="Z258" s="129">
        <v>0</v>
      </c>
      <c r="AA258" s="155">
        <f t="shared" si="17"/>
        <v>2.16</v>
      </c>
      <c r="AB258" s="98">
        <f t="shared" si="17"/>
        <v>0.72000000000000008</v>
      </c>
      <c r="AC258"/>
      <c r="AD258" s="97">
        <v>0</v>
      </c>
      <c r="AE258" s="92">
        <v>0</v>
      </c>
      <c r="AF258" s="98">
        <f t="shared" si="16"/>
        <v>0</v>
      </c>
      <c r="AG258" s="97">
        <v>2.16</v>
      </c>
      <c r="AH258" s="92">
        <v>0</v>
      </c>
      <c r="AI258" s="98">
        <f t="shared" si="18"/>
        <v>2.16</v>
      </c>
      <c r="AJ258" s="99">
        <f t="shared" si="15"/>
        <v>2.16</v>
      </c>
      <c r="AK258" s="102" t="str">
        <f>+IF(AB258+AA258+AJ258&lt;=0, "NO COMPRADOR", +IF(AJ258&lt;=0, "SIN COMPRA "&amp;+UPPER(TEXT('DINAMICA ENERO 26'!$C$2,"mmm 'yy")), "COMPRADOR"))</f>
        <v>COMPRADOR</v>
      </c>
      <c r="AL258" s="100"/>
      <c r="AM258" s="101"/>
      <c r="AN258" s="100"/>
      <c r="AO258" s="100"/>
      <c r="AP258" s="100"/>
    </row>
    <row r="259" spans="1:42" s="100" customFormat="1" hidden="1">
      <c r="A259" s="88" t="s">
        <v>85</v>
      </c>
      <c r="B259" s="89" t="s">
        <v>315</v>
      </c>
      <c r="C259" s="89" t="s">
        <v>43</v>
      </c>
      <c r="D259" s="103">
        <v>100087724</v>
      </c>
      <c r="E259" s="89" t="s">
        <v>44</v>
      </c>
      <c r="F259" s="89">
        <v>100083001</v>
      </c>
      <c r="G259" s="128" t="s">
        <v>348</v>
      </c>
      <c r="H259"/>
      <c r="I259"/>
      <c r="J259"/>
      <c r="K259"/>
      <c r="L259"/>
      <c r="M259"/>
      <c r="N259"/>
      <c r="O259"/>
      <c r="P259"/>
      <c r="Q259"/>
      <c r="R259"/>
      <c r="S259" s="91">
        <v>4.32</v>
      </c>
      <c r="T259" s="94">
        <v>4.32</v>
      </c>
      <c r="U259" s="91">
        <v>2.16</v>
      </c>
      <c r="V259" s="129">
        <v>0</v>
      </c>
      <c r="W259" s="91">
        <v>2.16</v>
      </c>
      <c r="X259" s="129">
        <v>0</v>
      </c>
      <c r="Y259" s="91">
        <v>2.16</v>
      </c>
      <c r="Z259" s="129">
        <v>0</v>
      </c>
      <c r="AA259" s="155">
        <f t="shared" si="17"/>
        <v>2.16</v>
      </c>
      <c r="AB259" s="98">
        <f t="shared" si="17"/>
        <v>0</v>
      </c>
      <c r="AC259"/>
      <c r="AD259" s="97">
        <v>4.32</v>
      </c>
      <c r="AE259" s="92">
        <v>0</v>
      </c>
      <c r="AF259" s="98">
        <f t="shared" si="16"/>
        <v>4.32</v>
      </c>
      <c r="AG259" s="97">
        <v>0</v>
      </c>
      <c r="AH259" s="92">
        <v>0</v>
      </c>
      <c r="AI259" s="98">
        <f t="shared" si="18"/>
        <v>0</v>
      </c>
      <c r="AJ259" s="99">
        <f t="shared" ref="AJ259:AJ322" si="19">+AF259+AI259</f>
        <v>4.32</v>
      </c>
      <c r="AK259" s="102" t="str">
        <f>+IF(AB259+AA259+AJ259&lt;=0, "NO COMPRADOR", +IF(AJ259&lt;=0, "SIN COMPRA "&amp;+UPPER(TEXT('DINAMICA ENERO 26'!$C$2,"mmm 'yy")), "COMPRADOR"))</f>
        <v>COMPRADOR</v>
      </c>
      <c r="AM259" s="101"/>
    </row>
    <row r="260" spans="1:42" s="104" customFormat="1" hidden="1">
      <c r="A260" s="88" t="s">
        <v>85</v>
      </c>
      <c r="B260" s="89" t="s">
        <v>315</v>
      </c>
      <c r="C260" s="89" t="s">
        <v>43</v>
      </c>
      <c r="D260" s="103">
        <v>100087724</v>
      </c>
      <c r="E260" s="89" t="s">
        <v>44</v>
      </c>
      <c r="F260" s="89">
        <v>100084045</v>
      </c>
      <c r="G260" s="128" t="s">
        <v>349</v>
      </c>
      <c r="H260"/>
      <c r="I260"/>
      <c r="J260"/>
      <c r="K260"/>
      <c r="L260"/>
      <c r="M260"/>
      <c r="N260"/>
      <c r="O260"/>
      <c r="P260"/>
      <c r="Q260"/>
      <c r="R260"/>
      <c r="S260" s="91">
        <v>2.16</v>
      </c>
      <c r="T260" s="94">
        <v>2.16</v>
      </c>
      <c r="U260" s="91">
        <v>2.16</v>
      </c>
      <c r="V260" s="129">
        <v>0</v>
      </c>
      <c r="W260" s="91">
        <v>2.16</v>
      </c>
      <c r="X260" s="129">
        <v>2.16</v>
      </c>
      <c r="Y260" s="91">
        <v>2.16</v>
      </c>
      <c r="Z260" s="129">
        <v>0</v>
      </c>
      <c r="AA260" s="155">
        <f t="shared" si="17"/>
        <v>2.16</v>
      </c>
      <c r="AB260" s="98">
        <f t="shared" si="17"/>
        <v>0.72000000000000008</v>
      </c>
      <c r="AC260"/>
      <c r="AD260" s="97">
        <v>0</v>
      </c>
      <c r="AE260" s="92">
        <v>0</v>
      </c>
      <c r="AF260" s="98">
        <f t="shared" ref="AF260:AF323" si="20">+AD260+AE260</f>
        <v>0</v>
      </c>
      <c r="AG260" s="97">
        <v>0</v>
      </c>
      <c r="AH260" s="92">
        <v>0</v>
      </c>
      <c r="AI260" s="98">
        <f t="shared" si="18"/>
        <v>0</v>
      </c>
      <c r="AJ260" s="99">
        <f t="shared" si="19"/>
        <v>0</v>
      </c>
      <c r="AK260" s="102" t="str">
        <f>+IF(AB260+AA260+AJ260&lt;=0, "NO COMPRADOR", +IF(AJ260&lt;=0, "SIN COMPRA "&amp;+UPPER(TEXT('DINAMICA ENERO 26'!$C$2,"mmm 'yy")), "COMPRADOR"))</f>
        <v>SIN COMPRA FEB '26</v>
      </c>
      <c r="AL260" s="100"/>
      <c r="AM260" s="101"/>
      <c r="AN260" s="100"/>
      <c r="AO260" s="100"/>
      <c r="AP260" s="100"/>
    </row>
    <row r="261" spans="1:42" s="100" customFormat="1" hidden="1">
      <c r="A261" s="88" t="s">
        <v>85</v>
      </c>
      <c r="B261" s="89" t="s">
        <v>315</v>
      </c>
      <c r="C261" s="89" t="s">
        <v>43</v>
      </c>
      <c r="D261" s="103">
        <v>100087724</v>
      </c>
      <c r="E261" s="89" t="s">
        <v>44</v>
      </c>
      <c r="F261" s="89">
        <v>100087681</v>
      </c>
      <c r="G261" s="128" t="s">
        <v>350</v>
      </c>
      <c r="H261"/>
      <c r="I261"/>
      <c r="J261"/>
      <c r="K261"/>
      <c r="L261"/>
      <c r="M261"/>
      <c r="N261"/>
      <c r="O261"/>
      <c r="P261"/>
      <c r="Q261"/>
      <c r="R261"/>
      <c r="S261" s="91">
        <v>4.32</v>
      </c>
      <c r="T261" s="94">
        <v>4.32</v>
      </c>
      <c r="U261" s="91">
        <v>2.16</v>
      </c>
      <c r="V261" s="129">
        <v>2.16</v>
      </c>
      <c r="W261" s="91">
        <v>0</v>
      </c>
      <c r="X261" s="129">
        <v>0</v>
      </c>
      <c r="Y261" s="91">
        <v>17.28</v>
      </c>
      <c r="Z261" s="129">
        <v>34.56</v>
      </c>
      <c r="AA261" s="155">
        <f t="shared" si="17"/>
        <v>6.48</v>
      </c>
      <c r="AB261" s="98">
        <f t="shared" si="17"/>
        <v>12.24</v>
      </c>
      <c r="AC261"/>
      <c r="AD261" s="97">
        <v>10.8</v>
      </c>
      <c r="AE261" s="92">
        <v>0</v>
      </c>
      <c r="AF261" s="98">
        <f t="shared" si="20"/>
        <v>10.8</v>
      </c>
      <c r="AG261" s="97">
        <v>0</v>
      </c>
      <c r="AH261" s="92">
        <v>0</v>
      </c>
      <c r="AI261" s="98">
        <f t="shared" si="18"/>
        <v>0</v>
      </c>
      <c r="AJ261" s="99">
        <f t="shared" si="19"/>
        <v>10.8</v>
      </c>
      <c r="AK261" s="102" t="str">
        <f>+IF(AB261+AA261+AJ261&lt;=0, "NO COMPRADOR", +IF(AJ261&lt;=0, "SIN COMPRA "&amp;+UPPER(TEXT('DINAMICA ENERO 26'!$C$2,"mmm 'yy")), "COMPRADOR"))</f>
        <v>COMPRADOR</v>
      </c>
      <c r="AM261" s="101"/>
    </row>
    <row r="262" spans="1:42" s="104" customFormat="1" hidden="1">
      <c r="A262" s="88" t="s">
        <v>85</v>
      </c>
      <c r="B262" s="89" t="s">
        <v>351</v>
      </c>
      <c r="C262" s="89" t="s">
        <v>43</v>
      </c>
      <c r="D262" s="103">
        <v>100070275</v>
      </c>
      <c r="E262" s="89" t="s">
        <v>47</v>
      </c>
      <c r="F262" s="89">
        <v>100079420</v>
      </c>
      <c r="G262" s="128" t="s">
        <v>352</v>
      </c>
      <c r="H262"/>
      <c r="I262"/>
      <c r="J262"/>
      <c r="K262"/>
      <c r="L262"/>
      <c r="M262"/>
      <c r="N262"/>
      <c r="O262"/>
      <c r="P262"/>
      <c r="Q262"/>
      <c r="R262"/>
      <c r="S262" s="91">
        <v>2.16</v>
      </c>
      <c r="T262" s="94">
        <v>2.16</v>
      </c>
      <c r="U262" s="91">
        <v>-2.16</v>
      </c>
      <c r="V262" s="129">
        <v>-2.16</v>
      </c>
      <c r="W262" s="91">
        <v>0</v>
      </c>
      <c r="X262" s="129">
        <v>0</v>
      </c>
      <c r="Y262" s="91">
        <v>0</v>
      </c>
      <c r="Z262" s="129">
        <v>0</v>
      </c>
      <c r="AA262" s="155">
        <f t="shared" si="17"/>
        <v>-0.72000000000000008</v>
      </c>
      <c r="AB262" s="98">
        <f t="shared" si="17"/>
        <v>-0.72000000000000008</v>
      </c>
      <c r="AC262"/>
      <c r="AD262" s="97">
        <v>0</v>
      </c>
      <c r="AE262" s="92">
        <v>0</v>
      </c>
      <c r="AF262" s="98">
        <f t="shared" si="20"/>
        <v>0</v>
      </c>
      <c r="AG262" s="97">
        <v>0</v>
      </c>
      <c r="AH262" s="92">
        <v>0</v>
      </c>
      <c r="AI262" s="98">
        <f t="shared" si="18"/>
        <v>0</v>
      </c>
      <c r="AJ262" s="99">
        <f t="shared" si="19"/>
        <v>0</v>
      </c>
      <c r="AK262" s="102" t="str">
        <f>+IF(AB262+AA262+AJ262&lt;=0, "NO COMPRADOR", +IF(AJ262&lt;=0, "SIN COMPRA "&amp;+UPPER(TEXT('DINAMICA ENERO 26'!$C$2,"mmm 'yy")), "COMPRADOR"))</f>
        <v>NO COMPRADOR</v>
      </c>
      <c r="AL262" s="100"/>
      <c r="AM262" s="101"/>
      <c r="AN262" s="100"/>
      <c r="AO262" s="100"/>
      <c r="AP262" s="100"/>
    </row>
    <row r="263" spans="1:42" s="104" customFormat="1" hidden="1">
      <c r="A263" s="88" t="s">
        <v>85</v>
      </c>
      <c r="B263" s="89" t="s">
        <v>351</v>
      </c>
      <c r="C263" s="89" t="s">
        <v>43</v>
      </c>
      <c r="D263" s="103">
        <v>100070275</v>
      </c>
      <c r="E263" s="89" t="s">
        <v>47</v>
      </c>
      <c r="F263" s="89">
        <v>100078680</v>
      </c>
      <c r="G263" s="128" t="s">
        <v>353</v>
      </c>
      <c r="H263"/>
      <c r="I263"/>
      <c r="J263"/>
      <c r="K263"/>
      <c r="L263"/>
      <c r="M263"/>
      <c r="N263"/>
      <c r="O263"/>
      <c r="P263"/>
      <c r="Q263"/>
      <c r="R263"/>
      <c r="S263" s="91">
        <v>0</v>
      </c>
      <c r="T263" s="94">
        <v>0</v>
      </c>
      <c r="U263" s="91">
        <v>0</v>
      </c>
      <c r="V263" s="129">
        <v>0</v>
      </c>
      <c r="W263" s="91">
        <v>0</v>
      </c>
      <c r="X263" s="129">
        <v>0</v>
      </c>
      <c r="Y263" s="91">
        <v>0</v>
      </c>
      <c r="Z263" s="129">
        <v>0</v>
      </c>
      <c r="AA263" s="155">
        <f t="shared" si="17"/>
        <v>0</v>
      </c>
      <c r="AB263" s="98">
        <f t="shared" si="17"/>
        <v>0</v>
      </c>
      <c r="AC263"/>
      <c r="AD263" s="97">
        <v>0</v>
      </c>
      <c r="AE263" s="92">
        <v>0</v>
      </c>
      <c r="AF263" s="98">
        <f t="shared" si="20"/>
        <v>0</v>
      </c>
      <c r="AG263" s="97">
        <v>0</v>
      </c>
      <c r="AH263" s="92">
        <v>0</v>
      </c>
      <c r="AI263" s="98">
        <f t="shared" si="18"/>
        <v>0</v>
      </c>
      <c r="AJ263" s="99">
        <f t="shared" si="19"/>
        <v>0</v>
      </c>
      <c r="AK263" s="102" t="str">
        <f>+IF(AB263+AA263+AJ263&lt;=0, "NO COMPRADOR", +IF(AJ263&lt;=0, "SIN COMPRA "&amp;+UPPER(TEXT('DINAMICA ENERO 26'!$C$2,"mmm 'yy")), "COMPRADOR"))</f>
        <v>NO COMPRADOR</v>
      </c>
      <c r="AL263" s="100"/>
      <c r="AM263" s="101"/>
      <c r="AN263" s="100"/>
      <c r="AO263" s="100"/>
      <c r="AP263" s="100"/>
    </row>
    <row r="264" spans="1:42" s="104" customFormat="1" hidden="1">
      <c r="A264" s="88" t="s">
        <v>85</v>
      </c>
      <c r="B264" s="89" t="s">
        <v>351</v>
      </c>
      <c r="C264" s="89" t="s">
        <v>43</v>
      </c>
      <c r="D264" s="103">
        <v>100070275</v>
      </c>
      <c r="E264" s="89" t="s">
        <v>47</v>
      </c>
      <c r="F264" s="89">
        <v>100064271</v>
      </c>
      <c r="G264" s="128" t="s">
        <v>354</v>
      </c>
      <c r="H264"/>
      <c r="I264"/>
      <c r="J264"/>
      <c r="K264"/>
      <c r="L264"/>
      <c r="M264"/>
      <c r="N264"/>
      <c r="O264"/>
      <c r="P264"/>
      <c r="Q264"/>
      <c r="R264"/>
      <c r="S264" s="91">
        <v>2.16</v>
      </c>
      <c r="T264" s="94">
        <v>2.16</v>
      </c>
      <c r="U264" s="91">
        <v>0</v>
      </c>
      <c r="V264" s="129">
        <v>0</v>
      </c>
      <c r="W264" s="91">
        <v>0</v>
      </c>
      <c r="X264" s="129">
        <v>0</v>
      </c>
      <c r="Y264" s="91">
        <v>0</v>
      </c>
      <c r="Z264" s="129">
        <v>0</v>
      </c>
      <c r="AA264" s="155">
        <f t="shared" si="17"/>
        <v>0</v>
      </c>
      <c r="AB264" s="98">
        <f t="shared" si="17"/>
        <v>0</v>
      </c>
      <c r="AC264"/>
      <c r="AD264" s="97">
        <v>2.16</v>
      </c>
      <c r="AE264" s="92">
        <v>0</v>
      </c>
      <c r="AF264" s="98">
        <f t="shared" si="20"/>
        <v>2.16</v>
      </c>
      <c r="AG264" s="97">
        <v>0</v>
      </c>
      <c r="AH264" s="92">
        <v>0</v>
      </c>
      <c r="AI264" s="98">
        <f t="shared" si="18"/>
        <v>0</v>
      </c>
      <c r="AJ264" s="99">
        <f t="shared" si="19"/>
        <v>2.16</v>
      </c>
      <c r="AK264" s="102" t="str">
        <f>+IF(AB264+AA264+AJ264&lt;=0, "NO COMPRADOR", +IF(AJ264&lt;=0, "SIN COMPRA "&amp;+UPPER(TEXT('DINAMICA ENERO 26'!$C$2,"mmm 'yy")), "COMPRADOR"))</f>
        <v>COMPRADOR</v>
      </c>
      <c r="AL264" s="100"/>
      <c r="AM264" s="101"/>
      <c r="AN264" s="100"/>
      <c r="AO264" s="100"/>
      <c r="AP264" s="100"/>
    </row>
    <row r="265" spans="1:42" s="104" customFormat="1" hidden="1">
      <c r="A265" s="88" t="s">
        <v>85</v>
      </c>
      <c r="B265" s="89" t="s">
        <v>351</v>
      </c>
      <c r="C265" s="89" t="s">
        <v>43</v>
      </c>
      <c r="D265" s="103">
        <v>100070275</v>
      </c>
      <c r="E265" s="89" t="s">
        <v>47</v>
      </c>
      <c r="F265" s="89">
        <v>100069359</v>
      </c>
      <c r="G265" s="128" t="s">
        <v>355</v>
      </c>
      <c r="H265"/>
      <c r="I265"/>
      <c r="J265"/>
      <c r="K265"/>
      <c r="L265"/>
      <c r="M265"/>
      <c r="N265"/>
      <c r="O265"/>
      <c r="P265"/>
      <c r="Q265"/>
      <c r="R265"/>
      <c r="S265" s="91">
        <v>0</v>
      </c>
      <c r="T265" s="94">
        <v>0</v>
      </c>
      <c r="U265" s="91">
        <v>2.16</v>
      </c>
      <c r="V265" s="129">
        <v>2.16</v>
      </c>
      <c r="W265" s="91">
        <v>2.16</v>
      </c>
      <c r="X265" s="129">
        <v>2.16</v>
      </c>
      <c r="Y265" s="91">
        <v>0</v>
      </c>
      <c r="Z265" s="129">
        <v>0</v>
      </c>
      <c r="AA265" s="155">
        <f t="shared" si="17"/>
        <v>1.4400000000000002</v>
      </c>
      <c r="AB265" s="98">
        <f t="shared" si="17"/>
        <v>1.4400000000000002</v>
      </c>
      <c r="AC265"/>
      <c r="AD265" s="97">
        <v>0</v>
      </c>
      <c r="AE265" s="92">
        <v>0</v>
      </c>
      <c r="AF265" s="98">
        <f t="shared" si="20"/>
        <v>0</v>
      </c>
      <c r="AG265" s="97">
        <v>0</v>
      </c>
      <c r="AH265" s="92">
        <v>0</v>
      </c>
      <c r="AI265" s="98">
        <f t="shared" si="18"/>
        <v>0</v>
      </c>
      <c r="AJ265" s="99">
        <f t="shared" si="19"/>
        <v>0</v>
      </c>
      <c r="AK265" s="102" t="str">
        <f>+IF(AB265+AA265+AJ265&lt;=0, "NO COMPRADOR", +IF(AJ265&lt;=0, "SIN COMPRA "&amp;+UPPER(TEXT('DINAMICA ENERO 26'!$C$2,"mmm 'yy")), "COMPRADOR"))</f>
        <v>SIN COMPRA FEB '26</v>
      </c>
      <c r="AL265" s="100"/>
      <c r="AM265" s="101"/>
      <c r="AN265" s="100"/>
      <c r="AO265" s="100"/>
      <c r="AP265" s="100"/>
    </row>
    <row r="266" spans="1:42" s="100" customFormat="1" hidden="1">
      <c r="A266" s="88" t="s">
        <v>85</v>
      </c>
      <c r="B266" s="89" t="s">
        <v>351</v>
      </c>
      <c r="C266" s="89" t="s">
        <v>43</v>
      </c>
      <c r="D266" s="103">
        <v>100070275</v>
      </c>
      <c r="E266" s="89" t="s">
        <v>47</v>
      </c>
      <c r="F266" s="89">
        <v>100078132</v>
      </c>
      <c r="G266" s="128" t="s">
        <v>356</v>
      </c>
      <c r="H266"/>
      <c r="I266"/>
      <c r="J266"/>
      <c r="K266"/>
      <c r="L266"/>
      <c r="M266"/>
      <c r="N266"/>
      <c r="O266"/>
      <c r="P266"/>
      <c r="Q266"/>
      <c r="R266"/>
      <c r="S266" s="91">
        <v>17.28</v>
      </c>
      <c r="T266" s="94">
        <v>17.28</v>
      </c>
      <c r="U266" s="91">
        <v>0</v>
      </c>
      <c r="V266" s="129">
        <v>0</v>
      </c>
      <c r="W266" s="91">
        <v>2.16</v>
      </c>
      <c r="X266" s="129">
        <v>2.16</v>
      </c>
      <c r="Y266" s="91">
        <v>0</v>
      </c>
      <c r="Z266" s="129">
        <v>0</v>
      </c>
      <c r="AA266" s="155">
        <f t="shared" si="17"/>
        <v>0.72000000000000008</v>
      </c>
      <c r="AB266" s="98">
        <f t="shared" si="17"/>
        <v>0.72000000000000008</v>
      </c>
      <c r="AC266"/>
      <c r="AD266" s="97">
        <v>-2.16</v>
      </c>
      <c r="AE266" s="92">
        <v>0</v>
      </c>
      <c r="AF266" s="98">
        <f t="shared" si="20"/>
        <v>-2.16</v>
      </c>
      <c r="AG266" s="97">
        <v>-2.16</v>
      </c>
      <c r="AH266" s="92">
        <v>0</v>
      </c>
      <c r="AI266" s="98">
        <f t="shared" si="18"/>
        <v>-2.16</v>
      </c>
      <c r="AJ266" s="99">
        <f t="shared" si="19"/>
        <v>-4.32</v>
      </c>
      <c r="AK266" s="102" t="str">
        <f>+IF(AB266+AA266+AJ266&lt;=0, "NO COMPRADOR", +IF(AJ266&lt;=0, "SIN COMPRA "&amp;+UPPER(TEXT('DINAMICA ENERO 26'!$C$2,"mmm 'yy")), "COMPRADOR"))</f>
        <v>NO COMPRADOR</v>
      </c>
      <c r="AM266" s="101"/>
    </row>
    <row r="267" spans="1:42" s="104" customFormat="1" hidden="1">
      <c r="A267" s="88" t="s">
        <v>85</v>
      </c>
      <c r="B267" s="89" t="s">
        <v>351</v>
      </c>
      <c r="C267" s="89" t="s">
        <v>43</v>
      </c>
      <c r="D267" s="103">
        <v>100070275</v>
      </c>
      <c r="E267" s="89" t="s">
        <v>47</v>
      </c>
      <c r="F267" s="89">
        <v>100023921</v>
      </c>
      <c r="G267" s="128" t="s">
        <v>357</v>
      </c>
      <c r="H267"/>
      <c r="I267"/>
      <c r="J267"/>
      <c r="K267"/>
      <c r="L267"/>
      <c r="M267"/>
      <c r="N267"/>
      <c r="O267"/>
      <c r="P267"/>
      <c r="Q267"/>
      <c r="R267"/>
      <c r="S267" s="91">
        <v>0</v>
      </c>
      <c r="T267" s="94">
        <v>0</v>
      </c>
      <c r="U267" s="91">
        <v>0</v>
      </c>
      <c r="V267" s="129">
        <v>0</v>
      </c>
      <c r="W267" s="91">
        <v>0</v>
      </c>
      <c r="X267" s="129">
        <v>0</v>
      </c>
      <c r="Y267" s="91">
        <v>0</v>
      </c>
      <c r="Z267" s="129">
        <v>0</v>
      </c>
      <c r="AA267" s="155">
        <f t="shared" si="17"/>
        <v>0</v>
      </c>
      <c r="AB267" s="98">
        <f t="shared" si="17"/>
        <v>0</v>
      </c>
      <c r="AC267"/>
      <c r="AD267" s="97">
        <v>-2.16</v>
      </c>
      <c r="AE267" s="92">
        <v>0</v>
      </c>
      <c r="AF267" s="98">
        <f t="shared" si="20"/>
        <v>-2.16</v>
      </c>
      <c r="AG267" s="97">
        <v>-2.16</v>
      </c>
      <c r="AH267" s="92">
        <v>0</v>
      </c>
      <c r="AI267" s="98">
        <f t="shared" si="18"/>
        <v>-2.16</v>
      </c>
      <c r="AJ267" s="99">
        <f t="shared" si="19"/>
        <v>-4.32</v>
      </c>
      <c r="AK267" s="102" t="str">
        <f>+IF(AB267+AA267+AJ267&lt;=0, "NO COMPRADOR", +IF(AJ267&lt;=0, "SIN COMPRA "&amp;+UPPER(TEXT('DINAMICA ENERO 26'!$C$2,"mmm 'yy")), "COMPRADOR"))</f>
        <v>NO COMPRADOR</v>
      </c>
      <c r="AL267" s="100"/>
      <c r="AM267" s="101"/>
      <c r="AN267" s="100"/>
      <c r="AO267" s="100"/>
      <c r="AP267" s="100"/>
    </row>
    <row r="268" spans="1:42" hidden="1">
      <c r="A268" s="88" t="s">
        <v>85</v>
      </c>
      <c r="B268" s="89" t="s">
        <v>351</v>
      </c>
      <c r="C268" s="89" t="s">
        <v>43</v>
      </c>
      <c r="D268" s="103">
        <v>100070275</v>
      </c>
      <c r="E268" s="89" t="s">
        <v>47</v>
      </c>
      <c r="F268" s="89">
        <v>100082844</v>
      </c>
      <c r="G268" s="128" t="s">
        <v>358</v>
      </c>
      <c r="S268" s="91">
        <v>2.16</v>
      </c>
      <c r="T268" s="94">
        <v>2.16</v>
      </c>
      <c r="U268" s="91">
        <v>-2.16</v>
      </c>
      <c r="V268" s="129">
        <v>-2.16</v>
      </c>
      <c r="W268" s="91">
        <v>0</v>
      </c>
      <c r="X268" s="129">
        <v>0</v>
      </c>
      <c r="Y268" s="91">
        <v>0</v>
      </c>
      <c r="Z268" s="129">
        <v>0</v>
      </c>
      <c r="AA268" s="155">
        <f t="shared" si="17"/>
        <v>-0.72000000000000008</v>
      </c>
      <c r="AB268" s="98">
        <f t="shared" si="17"/>
        <v>-0.72000000000000008</v>
      </c>
      <c r="AD268" s="97">
        <v>-2.16</v>
      </c>
      <c r="AE268" s="92">
        <v>0</v>
      </c>
      <c r="AF268" s="98">
        <f t="shared" si="20"/>
        <v>-2.16</v>
      </c>
      <c r="AG268" s="97">
        <v>-2.16</v>
      </c>
      <c r="AH268" s="92">
        <v>0</v>
      </c>
      <c r="AI268" s="98">
        <f t="shared" si="18"/>
        <v>-2.16</v>
      </c>
      <c r="AJ268" s="99">
        <f t="shared" si="19"/>
        <v>-4.32</v>
      </c>
      <c r="AK268" s="102" t="str">
        <f>+IF(AB268+AA268+AJ268&lt;=0, "NO COMPRADOR", +IF(AJ268&lt;=0, "SIN COMPRA "&amp;+UPPER(TEXT('DINAMICA ENERO 26'!$C$2,"mmm 'yy")), "COMPRADOR"))</f>
        <v>NO COMPRADOR</v>
      </c>
      <c r="AL268" s="100"/>
      <c r="AM268" s="101"/>
      <c r="AN268" s="100"/>
      <c r="AO268" s="100"/>
      <c r="AP268" s="100"/>
    </row>
    <row r="269" spans="1:42" hidden="1">
      <c r="A269" s="88" t="s">
        <v>85</v>
      </c>
      <c r="B269" s="89" t="s">
        <v>351</v>
      </c>
      <c r="C269" s="89" t="s">
        <v>43</v>
      </c>
      <c r="D269" s="103">
        <v>100070275</v>
      </c>
      <c r="E269" s="89" t="s">
        <v>47</v>
      </c>
      <c r="F269" s="89">
        <v>100001577</v>
      </c>
      <c r="G269" s="128" t="s">
        <v>359</v>
      </c>
      <c r="S269" s="91">
        <v>43.2</v>
      </c>
      <c r="T269" s="94">
        <v>21.6</v>
      </c>
      <c r="U269" s="91">
        <v>0</v>
      </c>
      <c r="V269" s="129">
        <v>0</v>
      </c>
      <c r="W269" s="91">
        <v>21.6</v>
      </c>
      <c r="X269" s="129">
        <v>21.6</v>
      </c>
      <c r="Y269" s="91">
        <v>21.6</v>
      </c>
      <c r="Z269" s="129">
        <v>21.6</v>
      </c>
      <c r="AA269" s="155">
        <f t="shared" si="17"/>
        <v>14.4</v>
      </c>
      <c r="AB269" s="98">
        <f t="shared" si="17"/>
        <v>14.4</v>
      </c>
      <c r="AD269" s="97">
        <v>0</v>
      </c>
      <c r="AE269" s="92">
        <v>0</v>
      </c>
      <c r="AF269" s="98">
        <f t="shared" si="20"/>
        <v>0</v>
      </c>
      <c r="AG269" s="97">
        <v>0</v>
      </c>
      <c r="AH269" s="92">
        <v>0</v>
      </c>
      <c r="AI269" s="98">
        <f t="shared" si="18"/>
        <v>0</v>
      </c>
      <c r="AJ269" s="99">
        <f t="shared" si="19"/>
        <v>0</v>
      </c>
      <c r="AK269" s="102" t="str">
        <f>+IF(AB269+AA269+AJ269&lt;=0, "NO COMPRADOR", +IF(AJ269&lt;=0, "SIN COMPRA "&amp;+UPPER(TEXT('DINAMICA ENERO 26'!$C$2,"mmm 'yy")), "COMPRADOR"))</f>
        <v>SIN COMPRA FEB '26</v>
      </c>
      <c r="AL269" s="100"/>
      <c r="AM269" s="101"/>
      <c r="AN269" s="100"/>
      <c r="AO269" s="100"/>
      <c r="AP269" s="100"/>
    </row>
    <row r="270" spans="1:42" hidden="1">
      <c r="A270" s="88" t="s">
        <v>85</v>
      </c>
      <c r="B270" s="89" t="s">
        <v>351</v>
      </c>
      <c r="C270" s="89" t="s">
        <v>43</v>
      </c>
      <c r="D270" s="103">
        <v>100070275</v>
      </c>
      <c r="E270" s="89" t="s">
        <v>47</v>
      </c>
      <c r="F270" s="89">
        <v>100078048</v>
      </c>
      <c r="G270" s="128" t="s">
        <v>360</v>
      </c>
      <c r="S270" s="91">
        <v>21.6</v>
      </c>
      <c r="T270" s="94">
        <v>21.6</v>
      </c>
      <c r="U270" s="91">
        <v>0</v>
      </c>
      <c r="V270" s="129">
        <v>0</v>
      </c>
      <c r="W270" s="91">
        <v>2.16</v>
      </c>
      <c r="X270" s="129">
        <v>2.16</v>
      </c>
      <c r="Y270" s="91">
        <v>0</v>
      </c>
      <c r="Z270" s="129">
        <v>0</v>
      </c>
      <c r="AA270" s="155">
        <f t="shared" si="17"/>
        <v>0.72000000000000008</v>
      </c>
      <c r="AB270" s="98">
        <f t="shared" si="17"/>
        <v>0.72000000000000008</v>
      </c>
      <c r="AD270" s="97">
        <v>0</v>
      </c>
      <c r="AE270" s="92">
        <v>0</v>
      </c>
      <c r="AF270" s="98">
        <f t="shared" si="20"/>
        <v>0</v>
      </c>
      <c r="AG270" s="97">
        <v>0</v>
      </c>
      <c r="AH270" s="92">
        <v>0</v>
      </c>
      <c r="AI270" s="98">
        <f t="shared" si="18"/>
        <v>0</v>
      </c>
      <c r="AJ270" s="99">
        <f t="shared" si="19"/>
        <v>0</v>
      </c>
      <c r="AK270" s="102" t="str">
        <f>+IF(AB270+AA270+AJ270&lt;=0, "NO COMPRADOR", +IF(AJ270&lt;=0, "SIN COMPRA "&amp;+UPPER(TEXT('DINAMICA ENERO 26'!$C$2,"mmm 'yy")), "COMPRADOR"))</f>
        <v>SIN COMPRA FEB '26</v>
      </c>
      <c r="AL270" s="100"/>
      <c r="AM270" s="101"/>
      <c r="AN270" s="100"/>
      <c r="AO270" s="100"/>
      <c r="AP270" s="100"/>
    </row>
    <row r="271" spans="1:42" s="100" customFormat="1" hidden="1">
      <c r="A271" s="88" t="s">
        <v>85</v>
      </c>
      <c r="B271" s="89" t="s">
        <v>351</v>
      </c>
      <c r="C271" s="89" t="s">
        <v>43</v>
      </c>
      <c r="D271" s="103">
        <v>100070275</v>
      </c>
      <c r="E271" s="89" t="s">
        <v>47</v>
      </c>
      <c r="F271" s="89">
        <v>100001301</v>
      </c>
      <c r="G271" s="128" t="s">
        <v>361</v>
      </c>
      <c r="H271"/>
      <c r="I271"/>
      <c r="J271"/>
      <c r="K271"/>
      <c r="L271"/>
      <c r="M271"/>
      <c r="N271"/>
      <c r="O271"/>
      <c r="P271"/>
      <c r="Q271"/>
      <c r="R271"/>
      <c r="S271" s="91">
        <v>0</v>
      </c>
      <c r="T271" s="94">
        <v>0</v>
      </c>
      <c r="U271" s="91">
        <v>0</v>
      </c>
      <c r="V271" s="129">
        <v>0</v>
      </c>
      <c r="W271" s="91">
        <v>0</v>
      </c>
      <c r="X271" s="129">
        <v>0</v>
      </c>
      <c r="Y271" s="91">
        <v>0</v>
      </c>
      <c r="Z271" s="129">
        <v>0</v>
      </c>
      <c r="AA271" s="155">
        <f t="shared" si="17"/>
        <v>0</v>
      </c>
      <c r="AB271" s="98">
        <f t="shared" si="17"/>
        <v>0</v>
      </c>
      <c r="AC271"/>
      <c r="AD271" s="97">
        <v>0</v>
      </c>
      <c r="AE271" s="92">
        <v>0</v>
      </c>
      <c r="AF271" s="98">
        <f t="shared" si="20"/>
        <v>0</v>
      </c>
      <c r="AG271" s="97">
        <v>0</v>
      </c>
      <c r="AH271" s="92">
        <v>0</v>
      </c>
      <c r="AI271" s="98">
        <f t="shared" si="18"/>
        <v>0</v>
      </c>
      <c r="AJ271" s="99">
        <f t="shared" si="19"/>
        <v>0</v>
      </c>
      <c r="AK271" s="102" t="str">
        <f>+IF(AB271+AA271+AJ271&lt;=0, "NO COMPRADOR", +IF(AJ271&lt;=0, "SIN COMPRA "&amp;+UPPER(TEXT('DINAMICA ENERO 26'!$C$2,"mmm 'yy")), "COMPRADOR"))</f>
        <v>NO COMPRADOR</v>
      </c>
      <c r="AM271" s="101"/>
    </row>
    <row r="272" spans="1:42" s="104" customFormat="1" hidden="1">
      <c r="A272" s="88" t="s">
        <v>85</v>
      </c>
      <c r="B272" s="89" t="s">
        <v>351</v>
      </c>
      <c r="C272" s="89" t="s">
        <v>43</v>
      </c>
      <c r="D272" s="103">
        <v>100070275</v>
      </c>
      <c r="E272" s="89" t="s">
        <v>47</v>
      </c>
      <c r="F272" s="89">
        <v>100002071</v>
      </c>
      <c r="G272" s="128" t="s">
        <v>362</v>
      </c>
      <c r="H272"/>
      <c r="I272"/>
      <c r="J272"/>
      <c r="K272"/>
      <c r="L272"/>
      <c r="M272"/>
      <c r="N272"/>
      <c r="O272"/>
      <c r="P272"/>
      <c r="Q272"/>
      <c r="R272"/>
      <c r="S272" s="91">
        <v>21.6</v>
      </c>
      <c r="T272" s="94">
        <v>21.6</v>
      </c>
      <c r="U272" s="91">
        <v>43.2</v>
      </c>
      <c r="V272" s="129">
        <v>21.6</v>
      </c>
      <c r="W272" s="91">
        <v>2.16</v>
      </c>
      <c r="X272" s="129">
        <v>2.16</v>
      </c>
      <c r="Y272" s="91">
        <v>0</v>
      </c>
      <c r="Z272" s="129">
        <v>0</v>
      </c>
      <c r="AA272" s="155">
        <f t="shared" si="17"/>
        <v>15.12</v>
      </c>
      <c r="AB272" s="98">
        <f t="shared" si="17"/>
        <v>7.9200000000000008</v>
      </c>
      <c r="AC272"/>
      <c r="AD272" s="97">
        <v>2.16</v>
      </c>
      <c r="AE272" s="92">
        <v>0</v>
      </c>
      <c r="AF272" s="98">
        <f t="shared" si="20"/>
        <v>2.16</v>
      </c>
      <c r="AG272" s="97">
        <v>2.16</v>
      </c>
      <c r="AH272" s="92">
        <v>0</v>
      </c>
      <c r="AI272" s="98">
        <f t="shared" si="18"/>
        <v>2.16</v>
      </c>
      <c r="AJ272" s="99">
        <f t="shared" si="19"/>
        <v>4.32</v>
      </c>
      <c r="AK272" s="102" t="str">
        <f>+IF(AB272+AA272+AJ272&lt;=0, "NO COMPRADOR", +IF(AJ272&lt;=0, "SIN COMPRA "&amp;+UPPER(TEXT('DINAMICA ENERO 26'!$C$2,"mmm 'yy")), "COMPRADOR"))</f>
        <v>COMPRADOR</v>
      </c>
      <c r="AL272" s="100"/>
      <c r="AM272" s="101"/>
      <c r="AN272" s="100"/>
      <c r="AO272" s="100"/>
      <c r="AP272" s="100"/>
    </row>
    <row r="273" spans="1:42" s="100" customFormat="1" hidden="1">
      <c r="A273" s="88" t="s">
        <v>85</v>
      </c>
      <c r="B273" s="89" t="s">
        <v>351</v>
      </c>
      <c r="C273" s="89" t="s">
        <v>43</v>
      </c>
      <c r="D273" s="103">
        <v>100070275</v>
      </c>
      <c r="E273" s="89" t="s">
        <v>47</v>
      </c>
      <c r="F273" s="89">
        <v>100001979</v>
      </c>
      <c r="G273" s="128" t="s">
        <v>290</v>
      </c>
      <c r="H273"/>
      <c r="I273"/>
      <c r="J273"/>
      <c r="K273"/>
      <c r="L273"/>
      <c r="M273"/>
      <c r="N273"/>
      <c r="O273"/>
      <c r="P273"/>
      <c r="Q273"/>
      <c r="R273"/>
      <c r="S273" s="91">
        <v>0</v>
      </c>
      <c r="T273" s="94">
        <v>0</v>
      </c>
      <c r="U273" s="91">
        <v>0</v>
      </c>
      <c r="V273" s="129">
        <v>0</v>
      </c>
      <c r="W273" s="91">
        <v>0</v>
      </c>
      <c r="X273" s="129">
        <v>0</v>
      </c>
      <c r="Y273" s="91">
        <v>0</v>
      </c>
      <c r="Z273" s="129">
        <v>0</v>
      </c>
      <c r="AA273" s="155">
        <f t="shared" si="17"/>
        <v>0</v>
      </c>
      <c r="AB273" s="98">
        <f t="shared" si="17"/>
        <v>0</v>
      </c>
      <c r="AC273"/>
      <c r="AD273" s="97">
        <v>0</v>
      </c>
      <c r="AE273" s="92">
        <v>0</v>
      </c>
      <c r="AF273" s="98">
        <f t="shared" si="20"/>
        <v>0</v>
      </c>
      <c r="AG273" s="97">
        <v>0</v>
      </c>
      <c r="AH273" s="92">
        <v>0</v>
      </c>
      <c r="AI273" s="98">
        <f t="shared" si="18"/>
        <v>0</v>
      </c>
      <c r="AJ273" s="99">
        <f t="shared" si="19"/>
        <v>0</v>
      </c>
      <c r="AK273" s="102" t="str">
        <f>+IF(AB273+AA273+AJ273&lt;=0, "NO COMPRADOR", +IF(AJ273&lt;=0, "SIN COMPRA "&amp;+UPPER(TEXT('DINAMICA ENERO 26'!$C$2,"mmm 'yy")), "COMPRADOR"))</f>
        <v>NO COMPRADOR</v>
      </c>
      <c r="AM273" s="101"/>
    </row>
    <row r="274" spans="1:42" s="104" customFormat="1" hidden="1">
      <c r="A274" s="88" t="s">
        <v>85</v>
      </c>
      <c r="B274" s="89" t="s">
        <v>351</v>
      </c>
      <c r="C274" s="89" t="s">
        <v>43</v>
      </c>
      <c r="D274" s="103">
        <v>100070275</v>
      </c>
      <c r="E274" s="89" t="s">
        <v>47</v>
      </c>
      <c r="F274" s="89">
        <v>100001679</v>
      </c>
      <c r="G274" s="128" t="s">
        <v>363</v>
      </c>
      <c r="H274"/>
      <c r="I274"/>
      <c r="J274"/>
      <c r="K274"/>
      <c r="L274"/>
      <c r="M274"/>
      <c r="N274"/>
      <c r="O274"/>
      <c r="P274"/>
      <c r="Q274"/>
      <c r="R274"/>
      <c r="S274" s="91">
        <v>10.8</v>
      </c>
      <c r="T274" s="94">
        <v>10.8</v>
      </c>
      <c r="U274" s="91">
        <v>0</v>
      </c>
      <c r="V274" s="129">
        <v>0</v>
      </c>
      <c r="W274" s="91">
        <v>10.8</v>
      </c>
      <c r="X274" s="129">
        <v>6.48</v>
      </c>
      <c r="Y274" s="91">
        <v>0</v>
      </c>
      <c r="Z274" s="129">
        <v>0</v>
      </c>
      <c r="AA274" s="155">
        <f t="shared" si="17"/>
        <v>3.6</v>
      </c>
      <c r="AB274" s="98">
        <f t="shared" si="17"/>
        <v>2.16</v>
      </c>
      <c r="AC274"/>
      <c r="AD274" s="97">
        <v>0</v>
      </c>
      <c r="AE274" s="92">
        <v>0</v>
      </c>
      <c r="AF274" s="98">
        <f t="shared" si="20"/>
        <v>0</v>
      </c>
      <c r="AG274" s="97">
        <v>0</v>
      </c>
      <c r="AH274" s="92">
        <v>0</v>
      </c>
      <c r="AI274" s="98">
        <f t="shared" si="18"/>
        <v>0</v>
      </c>
      <c r="AJ274" s="99">
        <f t="shared" si="19"/>
        <v>0</v>
      </c>
      <c r="AK274" s="102" t="str">
        <f>+IF(AB274+AA274+AJ274&lt;=0, "NO COMPRADOR", +IF(AJ274&lt;=0, "SIN COMPRA "&amp;+UPPER(TEXT('DINAMICA ENERO 26'!$C$2,"mmm 'yy")), "COMPRADOR"))</f>
        <v>SIN COMPRA FEB '26</v>
      </c>
      <c r="AL274" s="100"/>
      <c r="AM274" s="101"/>
      <c r="AN274" s="100"/>
      <c r="AO274" s="100"/>
      <c r="AP274" s="100"/>
    </row>
    <row r="275" spans="1:42" s="100" customFormat="1" hidden="1">
      <c r="A275" s="88" t="s">
        <v>85</v>
      </c>
      <c r="B275" s="89" t="s">
        <v>351</v>
      </c>
      <c r="C275" s="89" t="s">
        <v>43</v>
      </c>
      <c r="D275" s="103">
        <v>100070275</v>
      </c>
      <c r="E275" s="89" t="s">
        <v>47</v>
      </c>
      <c r="F275" s="89">
        <v>100001246</v>
      </c>
      <c r="G275" s="128" t="s">
        <v>364</v>
      </c>
      <c r="H275"/>
      <c r="I275"/>
      <c r="J275"/>
      <c r="K275"/>
      <c r="L275"/>
      <c r="M275"/>
      <c r="N275"/>
      <c r="O275"/>
      <c r="P275"/>
      <c r="Q275"/>
      <c r="R275"/>
      <c r="S275" s="91">
        <v>32.400000000000006</v>
      </c>
      <c r="T275" s="94">
        <v>32.400000000000006</v>
      </c>
      <c r="U275" s="91">
        <v>0</v>
      </c>
      <c r="V275" s="129">
        <v>0</v>
      </c>
      <c r="W275" s="91">
        <v>2.16</v>
      </c>
      <c r="X275" s="129">
        <v>2.16</v>
      </c>
      <c r="Y275" s="91">
        <v>0</v>
      </c>
      <c r="Z275" s="129">
        <v>0</v>
      </c>
      <c r="AA275" s="155">
        <f t="shared" ref="AA275:AB338" si="21">+AVERAGE(U275,W275,Y275)</f>
        <v>0.72000000000000008</v>
      </c>
      <c r="AB275" s="98">
        <f t="shared" si="21"/>
        <v>0.72000000000000008</v>
      </c>
      <c r="AC275"/>
      <c r="AD275" s="97">
        <v>10.8</v>
      </c>
      <c r="AE275" s="92">
        <v>0</v>
      </c>
      <c r="AF275" s="98">
        <f t="shared" si="20"/>
        <v>10.8</v>
      </c>
      <c r="AG275" s="97">
        <v>0</v>
      </c>
      <c r="AH275" s="92">
        <v>0</v>
      </c>
      <c r="AI275" s="98">
        <f t="shared" si="18"/>
        <v>0</v>
      </c>
      <c r="AJ275" s="99">
        <f t="shared" si="19"/>
        <v>10.8</v>
      </c>
      <c r="AK275" s="102" t="str">
        <f>+IF(AB275+AA275+AJ275&lt;=0, "NO COMPRADOR", +IF(AJ275&lt;=0, "SIN COMPRA "&amp;+UPPER(TEXT('DINAMICA ENERO 26'!$C$2,"mmm 'yy")), "COMPRADOR"))</f>
        <v>COMPRADOR</v>
      </c>
      <c r="AM275" s="101"/>
    </row>
    <row r="276" spans="1:42" s="100" customFormat="1" hidden="1">
      <c r="A276" s="88" t="s">
        <v>85</v>
      </c>
      <c r="B276" s="89" t="s">
        <v>351</v>
      </c>
      <c r="C276" s="89" t="s">
        <v>43</v>
      </c>
      <c r="D276" s="103">
        <v>100070275</v>
      </c>
      <c r="E276" s="89" t="s">
        <v>47</v>
      </c>
      <c r="F276" s="89">
        <v>100083239</v>
      </c>
      <c r="G276" s="128" t="s">
        <v>365</v>
      </c>
      <c r="H276"/>
      <c r="I276"/>
      <c r="J276"/>
      <c r="K276"/>
      <c r="L276"/>
      <c r="M276"/>
      <c r="N276"/>
      <c r="O276"/>
      <c r="P276"/>
      <c r="Q276"/>
      <c r="R276"/>
      <c r="S276" s="91">
        <v>0</v>
      </c>
      <c r="T276" s="94">
        <v>0</v>
      </c>
      <c r="U276" s="91">
        <v>2.16</v>
      </c>
      <c r="V276" s="129">
        <v>2.16</v>
      </c>
      <c r="W276" s="91">
        <v>0</v>
      </c>
      <c r="X276" s="129">
        <v>0</v>
      </c>
      <c r="Y276" s="91">
        <v>0</v>
      </c>
      <c r="Z276" s="129">
        <v>0</v>
      </c>
      <c r="AA276" s="155">
        <f t="shared" si="21"/>
        <v>0.72000000000000008</v>
      </c>
      <c r="AB276" s="98">
        <f t="shared" si="21"/>
        <v>0.72000000000000008</v>
      </c>
      <c r="AC276"/>
      <c r="AD276" s="97">
        <v>0</v>
      </c>
      <c r="AE276" s="92">
        <v>0</v>
      </c>
      <c r="AF276" s="98">
        <f t="shared" si="20"/>
        <v>0</v>
      </c>
      <c r="AG276" s="97">
        <v>0</v>
      </c>
      <c r="AH276" s="92">
        <v>0</v>
      </c>
      <c r="AI276" s="98">
        <f t="shared" si="18"/>
        <v>0</v>
      </c>
      <c r="AJ276" s="99">
        <f t="shared" si="19"/>
        <v>0</v>
      </c>
      <c r="AK276" s="102" t="str">
        <f>+IF(AB276+AA276+AJ276&lt;=0, "NO COMPRADOR", +IF(AJ276&lt;=0, "SIN COMPRA "&amp;+UPPER(TEXT('DINAMICA ENERO 26'!$C$2,"mmm 'yy")), "COMPRADOR"))</f>
        <v>SIN COMPRA FEB '26</v>
      </c>
      <c r="AM276" s="101"/>
    </row>
    <row r="277" spans="1:42" s="100" customFormat="1" hidden="1">
      <c r="A277" s="88" t="s">
        <v>85</v>
      </c>
      <c r="B277" s="89" t="s">
        <v>351</v>
      </c>
      <c r="C277" s="89" t="s">
        <v>43</v>
      </c>
      <c r="D277" s="103">
        <v>100070275</v>
      </c>
      <c r="E277" s="89" t="s">
        <v>47</v>
      </c>
      <c r="F277" s="89">
        <v>100066082</v>
      </c>
      <c r="G277" s="128" t="s">
        <v>366</v>
      </c>
      <c r="H277"/>
      <c r="I277"/>
      <c r="J277"/>
      <c r="K277"/>
      <c r="L277"/>
      <c r="M277"/>
      <c r="N277"/>
      <c r="O277"/>
      <c r="P277"/>
      <c r="Q277"/>
      <c r="R277"/>
      <c r="S277" s="91">
        <v>0</v>
      </c>
      <c r="T277" s="94">
        <v>0</v>
      </c>
      <c r="U277" s="91">
        <v>0</v>
      </c>
      <c r="V277" s="129">
        <v>0</v>
      </c>
      <c r="W277" s="91">
        <v>0</v>
      </c>
      <c r="X277" s="129">
        <v>0</v>
      </c>
      <c r="Y277" s="91">
        <v>0</v>
      </c>
      <c r="Z277" s="129">
        <v>0</v>
      </c>
      <c r="AA277" s="155">
        <f t="shared" si="21"/>
        <v>0</v>
      </c>
      <c r="AB277" s="98">
        <f t="shared" si="21"/>
        <v>0</v>
      </c>
      <c r="AC277"/>
      <c r="AD277" s="97">
        <v>0</v>
      </c>
      <c r="AE277" s="92">
        <v>0</v>
      </c>
      <c r="AF277" s="98">
        <f t="shared" si="20"/>
        <v>0</v>
      </c>
      <c r="AG277" s="97">
        <v>0</v>
      </c>
      <c r="AH277" s="92">
        <v>0</v>
      </c>
      <c r="AI277" s="98">
        <f t="shared" si="18"/>
        <v>0</v>
      </c>
      <c r="AJ277" s="99">
        <f t="shared" si="19"/>
        <v>0</v>
      </c>
      <c r="AK277" s="102" t="str">
        <f>+IF(AB277+AA277+AJ277&lt;=0, "NO COMPRADOR", +IF(AJ277&lt;=0, "SIN COMPRA "&amp;+UPPER(TEXT('DINAMICA ENERO 26'!$C$2,"mmm 'yy")), "COMPRADOR"))</f>
        <v>NO COMPRADOR</v>
      </c>
      <c r="AM277" s="101"/>
    </row>
    <row r="278" spans="1:42" s="104" customFormat="1" hidden="1">
      <c r="A278" s="88" t="s">
        <v>85</v>
      </c>
      <c r="B278" s="89" t="s">
        <v>351</v>
      </c>
      <c r="C278" s="89" t="s">
        <v>43</v>
      </c>
      <c r="D278" s="103">
        <v>100075073</v>
      </c>
      <c r="E278" s="89" t="s">
        <v>48</v>
      </c>
      <c r="F278" s="89">
        <v>100001979</v>
      </c>
      <c r="G278" s="128" t="s">
        <v>290</v>
      </c>
      <c r="H278"/>
      <c r="I278"/>
      <c r="J278"/>
      <c r="K278"/>
      <c r="L278"/>
      <c r="M278"/>
      <c r="N278"/>
      <c r="O278"/>
      <c r="P278"/>
      <c r="Q278"/>
      <c r="R278"/>
      <c r="S278" s="91">
        <v>0</v>
      </c>
      <c r="T278" s="94">
        <v>0</v>
      </c>
      <c r="U278" s="91">
        <v>0</v>
      </c>
      <c r="V278" s="129">
        <v>0</v>
      </c>
      <c r="W278" s="91">
        <v>0</v>
      </c>
      <c r="X278" s="129">
        <v>0</v>
      </c>
      <c r="Y278" s="91">
        <v>0</v>
      </c>
      <c r="Z278" s="129">
        <v>0</v>
      </c>
      <c r="AA278" s="155">
        <f t="shared" si="21"/>
        <v>0</v>
      </c>
      <c r="AB278" s="98">
        <f t="shared" si="21"/>
        <v>0</v>
      </c>
      <c r="AC278"/>
      <c r="AD278" s="97">
        <v>0</v>
      </c>
      <c r="AE278" s="92">
        <v>0</v>
      </c>
      <c r="AF278" s="98">
        <f t="shared" si="20"/>
        <v>0</v>
      </c>
      <c r="AG278" s="97">
        <v>0</v>
      </c>
      <c r="AH278" s="92">
        <v>0</v>
      </c>
      <c r="AI278" s="98">
        <f t="shared" si="18"/>
        <v>0</v>
      </c>
      <c r="AJ278" s="99">
        <f t="shared" si="19"/>
        <v>0</v>
      </c>
      <c r="AK278" s="102" t="str">
        <f>+IF(AB278+AA278+AJ278&lt;=0, "NO COMPRADOR", +IF(AJ278&lt;=0, "SIN COMPRA "&amp;+UPPER(TEXT('DINAMICA ENERO 26'!$C$2,"mmm 'yy")), "COMPRADOR"))</f>
        <v>NO COMPRADOR</v>
      </c>
      <c r="AL278" s="100"/>
      <c r="AM278" s="101"/>
      <c r="AN278" s="100"/>
      <c r="AO278" s="100"/>
      <c r="AP278" s="100"/>
    </row>
    <row r="279" spans="1:42" s="104" customFormat="1" hidden="1">
      <c r="A279" s="88" t="s">
        <v>85</v>
      </c>
      <c r="B279" s="89" t="s">
        <v>351</v>
      </c>
      <c r="C279" s="89" t="s">
        <v>43</v>
      </c>
      <c r="D279" s="103">
        <v>100075073</v>
      </c>
      <c r="E279" s="89" t="s">
        <v>48</v>
      </c>
      <c r="F279" s="89">
        <v>100014590</v>
      </c>
      <c r="G279" s="128" t="s">
        <v>367</v>
      </c>
      <c r="H279"/>
      <c r="I279"/>
      <c r="J279"/>
      <c r="K279"/>
      <c r="L279"/>
      <c r="M279"/>
      <c r="N279"/>
      <c r="O279"/>
      <c r="P279"/>
      <c r="Q279"/>
      <c r="R279"/>
      <c r="S279" s="91">
        <v>4.32</v>
      </c>
      <c r="T279" s="94">
        <v>4.32</v>
      </c>
      <c r="U279" s="91">
        <v>0</v>
      </c>
      <c r="V279" s="129">
        <v>0</v>
      </c>
      <c r="W279" s="91">
        <v>2.16</v>
      </c>
      <c r="X279" s="129">
        <v>2.16</v>
      </c>
      <c r="Y279" s="91">
        <v>0</v>
      </c>
      <c r="Z279" s="129">
        <v>0</v>
      </c>
      <c r="AA279" s="155">
        <f t="shared" si="21"/>
        <v>0.72000000000000008</v>
      </c>
      <c r="AB279" s="98">
        <f t="shared" si="21"/>
        <v>0.72000000000000008</v>
      </c>
      <c r="AC279"/>
      <c r="AD279" s="97">
        <v>0</v>
      </c>
      <c r="AE279" s="92">
        <v>0</v>
      </c>
      <c r="AF279" s="98">
        <f t="shared" si="20"/>
        <v>0</v>
      </c>
      <c r="AG279" s="97">
        <v>0</v>
      </c>
      <c r="AH279" s="92">
        <v>0</v>
      </c>
      <c r="AI279" s="98">
        <f t="shared" si="18"/>
        <v>0</v>
      </c>
      <c r="AJ279" s="99">
        <f t="shared" si="19"/>
        <v>0</v>
      </c>
      <c r="AK279" s="102" t="str">
        <f>+IF(AB279+AA279+AJ279&lt;=0, "NO COMPRADOR", +IF(AJ279&lt;=0, "SIN COMPRA "&amp;+UPPER(TEXT('DINAMICA ENERO 26'!$C$2,"mmm 'yy")), "COMPRADOR"))</f>
        <v>SIN COMPRA FEB '26</v>
      </c>
      <c r="AL279" s="100"/>
      <c r="AM279" s="101"/>
      <c r="AN279" s="100"/>
      <c r="AO279" s="100"/>
      <c r="AP279" s="100"/>
    </row>
    <row r="280" spans="1:42" s="104" customFormat="1" hidden="1">
      <c r="A280" s="88" t="s">
        <v>85</v>
      </c>
      <c r="B280" s="89" t="s">
        <v>351</v>
      </c>
      <c r="C280" s="89" t="s">
        <v>43</v>
      </c>
      <c r="D280" s="103">
        <v>100075073</v>
      </c>
      <c r="E280" s="89" t="s">
        <v>48</v>
      </c>
      <c r="F280" s="89">
        <v>100001197</v>
      </c>
      <c r="G280" s="128" t="s">
        <v>368</v>
      </c>
      <c r="H280"/>
      <c r="I280"/>
      <c r="J280"/>
      <c r="K280"/>
      <c r="L280"/>
      <c r="M280"/>
      <c r="N280"/>
      <c r="O280"/>
      <c r="P280"/>
      <c r="Q280"/>
      <c r="R280"/>
      <c r="S280" s="91">
        <v>2.16</v>
      </c>
      <c r="T280" s="94">
        <v>2.16</v>
      </c>
      <c r="U280" s="91">
        <v>10.8</v>
      </c>
      <c r="V280" s="129">
        <v>10.8</v>
      </c>
      <c r="W280" s="91">
        <v>0</v>
      </c>
      <c r="X280" s="129">
        <v>0</v>
      </c>
      <c r="Y280" s="91">
        <v>0</v>
      </c>
      <c r="Z280" s="129">
        <v>0</v>
      </c>
      <c r="AA280" s="155">
        <f t="shared" si="21"/>
        <v>3.6</v>
      </c>
      <c r="AB280" s="98">
        <f t="shared" si="21"/>
        <v>3.6</v>
      </c>
      <c r="AC280"/>
      <c r="AD280" s="97">
        <v>0</v>
      </c>
      <c r="AE280" s="92">
        <v>0</v>
      </c>
      <c r="AF280" s="98">
        <f t="shared" si="20"/>
        <v>0</v>
      </c>
      <c r="AG280" s="97">
        <v>0</v>
      </c>
      <c r="AH280" s="92">
        <v>0</v>
      </c>
      <c r="AI280" s="98">
        <f t="shared" si="18"/>
        <v>0</v>
      </c>
      <c r="AJ280" s="99">
        <f t="shared" si="19"/>
        <v>0</v>
      </c>
      <c r="AK280" s="102" t="str">
        <f>+IF(AB280+AA280+AJ280&lt;=0, "NO COMPRADOR", +IF(AJ280&lt;=0, "SIN COMPRA "&amp;+UPPER(TEXT('DINAMICA ENERO 26'!$C$2,"mmm 'yy")), "COMPRADOR"))</f>
        <v>SIN COMPRA FEB '26</v>
      </c>
      <c r="AL280" s="100"/>
      <c r="AM280" s="101"/>
      <c r="AN280" s="100"/>
      <c r="AO280" s="100"/>
      <c r="AP280" s="100"/>
    </row>
    <row r="281" spans="1:42" hidden="1">
      <c r="A281" s="88" t="s">
        <v>85</v>
      </c>
      <c r="B281" s="89" t="s">
        <v>351</v>
      </c>
      <c r="C281" s="89" t="s">
        <v>43</v>
      </c>
      <c r="D281" s="103">
        <v>100075073</v>
      </c>
      <c r="E281" s="89" t="s">
        <v>48</v>
      </c>
      <c r="F281" s="89">
        <v>100087851</v>
      </c>
      <c r="G281" s="128" t="s">
        <v>369</v>
      </c>
      <c r="S281" s="91">
        <v>0</v>
      </c>
      <c r="T281" s="94">
        <v>0</v>
      </c>
      <c r="U281" s="91">
        <v>2.16</v>
      </c>
      <c r="V281" s="129">
        <v>2.16</v>
      </c>
      <c r="W281" s="91">
        <v>2.16</v>
      </c>
      <c r="X281" s="129">
        <v>2.16</v>
      </c>
      <c r="Y281" s="91">
        <v>0</v>
      </c>
      <c r="Z281" s="129">
        <v>0</v>
      </c>
      <c r="AA281" s="155">
        <f t="shared" si="21"/>
        <v>1.4400000000000002</v>
      </c>
      <c r="AB281" s="98">
        <f t="shared" si="21"/>
        <v>1.4400000000000002</v>
      </c>
      <c r="AD281" s="97">
        <v>0</v>
      </c>
      <c r="AE281" s="92">
        <v>0</v>
      </c>
      <c r="AF281" s="98">
        <f t="shared" si="20"/>
        <v>0</v>
      </c>
      <c r="AG281" s="97">
        <v>0</v>
      </c>
      <c r="AH281" s="92">
        <v>0</v>
      </c>
      <c r="AI281" s="98">
        <f t="shared" si="18"/>
        <v>0</v>
      </c>
      <c r="AJ281" s="99">
        <f t="shared" si="19"/>
        <v>0</v>
      </c>
      <c r="AK281" s="102" t="str">
        <f>+IF(AB281+AA281+AJ281&lt;=0, "NO COMPRADOR", +IF(AJ281&lt;=0, "SIN COMPRA "&amp;+UPPER(TEXT('DINAMICA ENERO 26'!$C$2,"mmm 'yy")), "COMPRADOR"))</f>
        <v>SIN COMPRA FEB '26</v>
      </c>
      <c r="AL281" s="100"/>
      <c r="AM281" s="101"/>
      <c r="AN281" s="100"/>
      <c r="AO281" s="100"/>
      <c r="AP281" s="100"/>
    </row>
    <row r="282" spans="1:42" hidden="1">
      <c r="A282" s="88" t="s">
        <v>85</v>
      </c>
      <c r="B282" s="89" t="s">
        <v>351</v>
      </c>
      <c r="C282" s="89" t="s">
        <v>43</v>
      </c>
      <c r="D282" s="103">
        <v>100075073</v>
      </c>
      <c r="E282" s="89" t="s">
        <v>48</v>
      </c>
      <c r="F282" s="89">
        <v>100001807</v>
      </c>
      <c r="G282" s="128" t="s">
        <v>370</v>
      </c>
      <c r="S282" s="91">
        <v>75.600000000000009</v>
      </c>
      <c r="T282" s="94">
        <v>75.600000000000009</v>
      </c>
      <c r="U282" s="91">
        <v>0</v>
      </c>
      <c r="V282" s="129">
        <v>0</v>
      </c>
      <c r="W282" s="91">
        <v>0</v>
      </c>
      <c r="X282" s="129">
        <v>0</v>
      </c>
      <c r="Y282" s="91">
        <v>0</v>
      </c>
      <c r="Z282" s="129">
        <v>0</v>
      </c>
      <c r="AA282" s="155">
        <f t="shared" si="21"/>
        <v>0</v>
      </c>
      <c r="AB282" s="98">
        <f t="shared" si="21"/>
        <v>0</v>
      </c>
      <c r="AD282" s="97">
        <v>0</v>
      </c>
      <c r="AE282" s="92">
        <v>0</v>
      </c>
      <c r="AF282" s="98">
        <f t="shared" si="20"/>
        <v>0</v>
      </c>
      <c r="AG282" s="97">
        <v>0</v>
      </c>
      <c r="AH282" s="92">
        <v>0</v>
      </c>
      <c r="AI282" s="98">
        <f t="shared" si="18"/>
        <v>0</v>
      </c>
      <c r="AJ282" s="99">
        <f t="shared" si="19"/>
        <v>0</v>
      </c>
      <c r="AK282" s="102" t="str">
        <f>+IF(AB282+AA282+AJ282&lt;=0, "NO COMPRADOR", +IF(AJ282&lt;=0, "SIN COMPRA "&amp;+UPPER(TEXT('DINAMICA ENERO 26'!$C$2,"mmm 'yy")), "COMPRADOR"))</f>
        <v>NO COMPRADOR</v>
      </c>
      <c r="AL282" s="100"/>
      <c r="AM282" s="101"/>
      <c r="AN282" s="100"/>
      <c r="AO282" s="100"/>
      <c r="AP282" s="100"/>
    </row>
    <row r="283" spans="1:42" hidden="1">
      <c r="A283" s="88" t="s">
        <v>85</v>
      </c>
      <c r="B283" s="89" t="s">
        <v>351</v>
      </c>
      <c r="C283" s="89" t="s">
        <v>43</v>
      </c>
      <c r="D283" s="103">
        <v>100075073</v>
      </c>
      <c r="E283" s="89" t="s">
        <v>48</v>
      </c>
      <c r="F283" s="89">
        <v>100001935</v>
      </c>
      <c r="G283" s="128" t="s">
        <v>371</v>
      </c>
      <c r="S283" s="91">
        <v>23.76</v>
      </c>
      <c r="T283" s="94">
        <v>23.76</v>
      </c>
      <c r="U283" s="91">
        <v>-2.16</v>
      </c>
      <c r="V283" s="129">
        <v>-2.16</v>
      </c>
      <c r="W283" s="91">
        <v>0</v>
      </c>
      <c r="X283" s="129">
        <v>0</v>
      </c>
      <c r="Y283" s="91">
        <v>0</v>
      </c>
      <c r="Z283" s="129">
        <v>0</v>
      </c>
      <c r="AA283" s="155">
        <f t="shared" si="21"/>
        <v>-0.72000000000000008</v>
      </c>
      <c r="AB283" s="98">
        <f t="shared" si="21"/>
        <v>-0.72000000000000008</v>
      </c>
      <c r="AD283" s="97">
        <v>0</v>
      </c>
      <c r="AE283" s="92">
        <v>0</v>
      </c>
      <c r="AF283" s="98">
        <f t="shared" si="20"/>
        <v>0</v>
      </c>
      <c r="AG283" s="97">
        <v>0</v>
      </c>
      <c r="AH283" s="92">
        <v>0</v>
      </c>
      <c r="AI283" s="98">
        <f t="shared" si="18"/>
        <v>0</v>
      </c>
      <c r="AJ283" s="99">
        <f t="shared" si="19"/>
        <v>0</v>
      </c>
      <c r="AK283" s="102" t="str">
        <f>+IF(AB283+AA283+AJ283&lt;=0, "NO COMPRADOR", +IF(AJ283&lt;=0, "SIN COMPRA "&amp;+UPPER(TEXT('DINAMICA ENERO 26'!$C$2,"mmm 'yy")), "COMPRADOR"))</f>
        <v>NO COMPRADOR</v>
      </c>
      <c r="AL283" s="100"/>
      <c r="AM283" s="101"/>
      <c r="AN283" s="100"/>
      <c r="AO283" s="100"/>
      <c r="AP283" s="100"/>
    </row>
    <row r="284" spans="1:42" hidden="1">
      <c r="A284" s="88" t="s">
        <v>85</v>
      </c>
      <c r="B284" s="89" t="s">
        <v>351</v>
      </c>
      <c r="C284" s="89" t="s">
        <v>43</v>
      </c>
      <c r="D284" s="103">
        <v>100075073</v>
      </c>
      <c r="E284" s="89" t="s">
        <v>48</v>
      </c>
      <c r="F284" s="89">
        <v>100082353</v>
      </c>
      <c r="G284" s="128" t="s">
        <v>372</v>
      </c>
      <c r="S284" s="91">
        <v>0</v>
      </c>
      <c r="T284" s="94">
        <v>0</v>
      </c>
      <c r="U284" s="91">
        <v>0</v>
      </c>
      <c r="V284" s="129">
        <v>0</v>
      </c>
      <c r="W284" s="91">
        <v>0</v>
      </c>
      <c r="X284" s="129">
        <v>0</v>
      </c>
      <c r="Y284" s="91">
        <v>0</v>
      </c>
      <c r="Z284" s="129">
        <v>0</v>
      </c>
      <c r="AA284" s="155">
        <f t="shared" si="21"/>
        <v>0</v>
      </c>
      <c r="AB284" s="98">
        <f t="shared" si="21"/>
        <v>0</v>
      </c>
      <c r="AD284" s="97">
        <v>0</v>
      </c>
      <c r="AE284" s="92">
        <v>0</v>
      </c>
      <c r="AF284" s="98">
        <f t="shared" si="20"/>
        <v>0</v>
      </c>
      <c r="AG284" s="97">
        <v>0</v>
      </c>
      <c r="AH284" s="92">
        <v>0</v>
      </c>
      <c r="AI284" s="98">
        <f t="shared" si="18"/>
        <v>0</v>
      </c>
      <c r="AJ284" s="99">
        <f t="shared" si="19"/>
        <v>0</v>
      </c>
      <c r="AK284" s="102" t="str">
        <f>+IF(AB284+AA284+AJ284&lt;=0, "NO COMPRADOR", +IF(AJ284&lt;=0, "SIN COMPRA "&amp;+UPPER(TEXT('DINAMICA ENERO 26'!$C$2,"mmm 'yy")), "COMPRADOR"))</f>
        <v>NO COMPRADOR</v>
      </c>
      <c r="AL284" s="100"/>
      <c r="AM284" s="101"/>
      <c r="AN284" s="100"/>
      <c r="AO284" s="100"/>
      <c r="AP284" s="100"/>
    </row>
    <row r="285" spans="1:42" hidden="1">
      <c r="A285" s="88" t="s">
        <v>85</v>
      </c>
      <c r="B285" s="89" t="s">
        <v>351</v>
      </c>
      <c r="C285" s="89" t="s">
        <v>43</v>
      </c>
      <c r="D285" s="103">
        <v>100075073</v>
      </c>
      <c r="E285" s="89" t="s">
        <v>48</v>
      </c>
      <c r="F285" s="89">
        <v>100075136</v>
      </c>
      <c r="G285" s="128" t="s">
        <v>373</v>
      </c>
      <c r="S285" s="91">
        <v>43.2</v>
      </c>
      <c r="T285" s="94">
        <v>43.2</v>
      </c>
      <c r="U285" s="91">
        <v>8.64</v>
      </c>
      <c r="V285" s="129">
        <v>8.64</v>
      </c>
      <c r="W285" s="91">
        <v>21.6</v>
      </c>
      <c r="X285" s="129">
        <v>21.6</v>
      </c>
      <c r="Y285" s="91">
        <v>43.2</v>
      </c>
      <c r="Z285" s="129">
        <v>21.6</v>
      </c>
      <c r="AA285" s="155">
        <f t="shared" si="21"/>
        <v>24.48</v>
      </c>
      <c r="AB285" s="98">
        <f t="shared" si="21"/>
        <v>17.28</v>
      </c>
      <c r="AD285" s="97">
        <v>0</v>
      </c>
      <c r="AE285" s="92">
        <v>0</v>
      </c>
      <c r="AF285" s="98">
        <f t="shared" si="20"/>
        <v>0</v>
      </c>
      <c r="AG285" s="97">
        <v>0</v>
      </c>
      <c r="AH285" s="92">
        <v>0</v>
      </c>
      <c r="AI285" s="98">
        <f t="shared" si="18"/>
        <v>0</v>
      </c>
      <c r="AJ285" s="99">
        <f t="shared" si="19"/>
        <v>0</v>
      </c>
      <c r="AK285" s="102" t="str">
        <f>+IF(AB285+AA285+AJ285&lt;=0, "NO COMPRADOR", +IF(AJ285&lt;=0, "SIN COMPRA "&amp;+UPPER(TEXT('DINAMICA ENERO 26'!$C$2,"mmm 'yy")), "COMPRADOR"))</f>
        <v>SIN COMPRA FEB '26</v>
      </c>
      <c r="AL285" s="100"/>
      <c r="AM285" s="101"/>
      <c r="AN285" s="100"/>
      <c r="AO285" s="100"/>
      <c r="AP285" s="100"/>
    </row>
    <row r="286" spans="1:42" hidden="1">
      <c r="A286" s="88" t="s">
        <v>85</v>
      </c>
      <c r="B286" s="89" t="s">
        <v>351</v>
      </c>
      <c r="C286" s="89" t="s">
        <v>43</v>
      </c>
      <c r="D286" s="103">
        <v>100075073</v>
      </c>
      <c r="E286" s="89" t="s">
        <v>48</v>
      </c>
      <c r="F286" s="89">
        <v>100002420</v>
      </c>
      <c r="G286" s="128" t="s">
        <v>374</v>
      </c>
      <c r="S286" s="91">
        <v>4.32</v>
      </c>
      <c r="T286" s="94">
        <v>4.32</v>
      </c>
      <c r="U286" s="91">
        <v>0</v>
      </c>
      <c r="V286" s="129">
        <v>0</v>
      </c>
      <c r="W286" s="91">
        <v>0</v>
      </c>
      <c r="X286" s="129">
        <v>21.6</v>
      </c>
      <c r="Y286" s="91">
        <v>0</v>
      </c>
      <c r="Z286" s="129">
        <v>0</v>
      </c>
      <c r="AA286" s="155">
        <f t="shared" si="21"/>
        <v>0</v>
      </c>
      <c r="AB286" s="98">
        <f t="shared" si="21"/>
        <v>7.2</v>
      </c>
      <c r="AD286" s="97">
        <v>0</v>
      </c>
      <c r="AE286" s="92">
        <v>0</v>
      </c>
      <c r="AF286" s="98">
        <f t="shared" si="20"/>
        <v>0</v>
      </c>
      <c r="AG286" s="97">
        <v>0</v>
      </c>
      <c r="AH286" s="92">
        <v>0</v>
      </c>
      <c r="AI286" s="98">
        <f t="shared" si="18"/>
        <v>0</v>
      </c>
      <c r="AJ286" s="99">
        <f t="shared" si="19"/>
        <v>0</v>
      </c>
      <c r="AK286" s="102" t="str">
        <f>+IF(AB286+AA286+AJ286&lt;=0, "NO COMPRADOR", +IF(AJ286&lt;=0, "SIN COMPRA "&amp;+UPPER(TEXT('DINAMICA ENERO 26'!$C$2,"mmm 'yy")), "COMPRADOR"))</f>
        <v>SIN COMPRA FEB '26</v>
      </c>
      <c r="AL286" s="100"/>
      <c r="AM286" s="101"/>
      <c r="AN286" s="100"/>
      <c r="AO286" s="100"/>
      <c r="AP286" s="100"/>
    </row>
    <row r="287" spans="1:42" hidden="1">
      <c r="A287" s="88" t="s">
        <v>85</v>
      </c>
      <c r="B287" s="89" t="s">
        <v>351</v>
      </c>
      <c r="C287" s="89" t="s">
        <v>43</v>
      </c>
      <c r="D287" s="103">
        <v>100075073</v>
      </c>
      <c r="E287" s="89" t="s">
        <v>48</v>
      </c>
      <c r="F287" s="89">
        <v>100064325</v>
      </c>
      <c r="G287" s="128" t="s">
        <v>375</v>
      </c>
      <c r="S287" s="91">
        <v>2.16</v>
      </c>
      <c r="T287" s="94">
        <v>2.16</v>
      </c>
      <c r="U287" s="91">
        <v>2.16</v>
      </c>
      <c r="V287" s="129">
        <v>2.16</v>
      </c>
      <c r="W287" s="91">
        <v>0</v>
      </c>
      <c r="X287" s="129">
        <v>0</v>
      </c>
      <c r="Y287" s="91">
        <v>0</v>
      </c>
      <c r="Z287" s="129">
        <v>0</v>
      </c>
      <c r="AA287" s="155">
        <f t="shared" si="21"/>
        <v>0.72000000000000008</v>
      </c>
      <c r="AB287" s="98">
        <f t="shared" si="21"/>
        <v>0.72000000000000008</v>
      </c>
      <c r="AD287" s="97">
        <v>0</v>
      </c>
      <c r="AE287" s="92">
        <v>0</v>
      </c>
      <c r="AF287" s="98">
        <f t="shared" si="20"/>
        <v>0</v>
      </c>
      <c r="AG287" s="97">
        <v>0</v>
      </c>
      <c r="AH287" s="92">
        <v>0</v>
      </c>
      <c r="AI287" s="98">
        <f t="shared" si="18"/>
        <v>0</v>
      </c>
      <c r="AJ287" s="99">
        <f t="shared" si="19"/>
        <v>0</v>
      </c>
      <c r="AK287" s="102" t="str">
        <f>+IF(AB287+AA287+AJ287&lt;=0, "NO COMPRADOR", +IF(AJ287&lt;=0, "SIN COMPRA "&amp;+UPPER(TEXT('DINAMICA ENERO 26'!$C$2,"mmm 'yy")), "COMPRADOR"))</f>
        <v>SIN COMPRA FEB '26</v>
      </c>
      <c r="AL287" s="100"/>
      <c r="AM287" s="101"/>
      <c r="AN287" s="100"/>
      <c r="AO287" s="100"/>
      <c r="AP287" s="100"/>
    </row>
    <row r="288" spans="1:42" hidden="1">
      <c r="A288" s="88" t="s">
        <v>85</v>
      </c>
      <c r="B288" s="89" t="s">
        <v>351</v>
      </c>
      <c r="C288" s="89" t="s">
        <v>43</v>
      </c>
      <c r="D288" s="103">
        <v>100075073</v>
      </c>
      <c r="E288" s="89" t="s">
        <v>48</v>
      </c>
      <c r="F288" s="89">
        <v>100085596</v>
      </c>
      <c r="G288" s="128" t="s">
        <v>376</v>
      </c>
      <c r="S288" s="91">
        <v>0</v>
      </c>
      <c r="T288" s="94">
        <v>0</v>
      </c>
      <c r="U288" s="91">
        <v>0</v>
      </c>
      <c r="V288" s="129">
        <v>0</v>
      </c>
      <c r="W288" s="91">
        <v>0</v>
      </c>
      <c r="X288" s="129">
        <v>0</v>
      </c>
      <c r="Y288" s="91">
        <v>0</v>
      </c>
      <c r="Z288" s="129">
        <v>0</v>
      </c>
      <c r="AA288" s="155">
        <f t="shared" si="21"/>
        <v>0</v>
      </c>
      <c r="AB288" s="98">
        <f t="shared" si="21"/>
        <v>0</v>
      </c>
      <c r="AD288" s="97">
        <v>0</v>
      </c>
      <c r="AE288" s="92">
        <v>0</v>
      </c>
      <c r="AF288" s="98">
        <f t="shared" si="20"/>
        <v>0</v>
      </c>
      <c r="AG288" s="97">
        <v>0</v>
      </c>
      <c r="AH288" s="92">
        <v>0</v>
      </c>
      <c r="AI288" s="98">
        <f t="shared" si="18"/>
        <v>0</v>
      </c>
      <c r="AJ288" s="99">
        <f t="shared" si="19"/>
        <v>0</v>
      </c>
      <c r="AK288" s="102" t="str">
        <f>+IF(AB288+AA288+AJ288&lt;=0, "NO COMPRADOR", +IF(AJ288&lt;=0, "SIN COMPRA "&amp;+UPPER(TEXT('DINAMICA ENERO 26'!$C$2,"mmm 'yy")), "COMPRADOR"))</f>
        <v>NO COMPRADOR</v>
      </c>
      <c r="AL288" s="100"/>
      <c r="AM288" s="101"/>
      <c r="AN288" s="100"/>
      <c r="AO288" s="100"/>
      <c r="AP288" s="100"/>
    </row>
    <row r="289" spans="1:42" hidden="1">
      <c r="A289" s="88" t="s">
        <v>85</v>
      </c>
      <c r="B289" s="89" t="s">
        <v>351</v>
      </c>
      <c r="C289" s="89" t="s">
        <v>43</v>
      </c>
      <c r="D289" s="103">
        <v>100075073</v>
      </c>
      <c r="E289" s="89" t="s">
        <v>48</v>
      </c>
      <c r="F289" s="89">
        <v>100001738</v>
      </c>
      <c r="G289" s="128" t="s">
        <v>377</v>
      </c>
      <c r="S289" s="91">
        <v>10.8</v>
      </c>
      <c r="T289" s="94">
        <v>10.8</v>
      </c>
      <c r="U289" s="91">
        <v>0</v>
      </c>
      <c r="V289" s="129">
        <v>0</v>
      </c>
      <c r="W289" s="91">
        <v>0</v>
      </c>
      <c r="X289" s="129">
        <v>0</v>
      </c>
      <c r="Y289" s="91">
        <v>0</v>
      </c>
      <c r="Z289" s="129">
        <v>0</v>
      </c>
      <c r="AA289" s="155">
        <f t="shared" si="21"/>
        <v>0</v>
      </c>
      <c r="AB289" s="98">
        <f t="shared" si="21"/>
        <v>0</v>
      </c>
      <c r="AD289" s="97">
        <v>0</v>
      </c>
      <c r="AE289" s="92">
        <v>0</v>
      </c>
      <c r="AF289" s="98">
        <f t="shared" si="20"/>
        <v>0</v>
      </c>
      <c r="AG289" s="97">
        <v>0</v>
      </c>
      <c r="AH289" s="92">
        <v>0</v>
      </c>
      <c r="AI289" s="98">
        <f t="shared" si="18"/>
        <v>0</v>
      </c>
      <c r="AJ289" s="99">
        <f t="shared" si="19"/>
        <v>0</v>
      </c>
      <c r="AK289" s="102" t="str">
        <f>+IF(AB289+AA289+AJ289&lt;=0, "NO COMPRADOR", +IF(AJ289&lt;=0, "SIN COMPRA "&amp;+UPPER(TEXT('DINAMICA ENERO 26'!$C$2,"mmm 'yy")), "COMPRADOR"))</f>
        <v>NO COMPRADOR</v>
      </c>
      <c r="AL289" s="100"/>
      <c r="AM289" s="101"/>
      <c r="AN289" s="100"/>
      <c r="AO289" s="100"/>
      <c r="AP289" s="100"/>
    </row>
    <row r="290" spans="1:42" hidden="1">
      <c r="A290" s="88" t="s">
        <v>85</v>
      </c>
      <c r="B290" s="89" t="s">
        <v>351</v>
      </c>
      <c r="C290" s="89" t="s">
        <v>43</v>
      </c>
      <c r="D290" s="103">
        <v>100075073</v>
      </c>
      <c r="E290" s="89" t="s">
        <v>48</v>
      </c>
      <c r="F290" s="89">
        <v>100088892</v>
      </c>
      <c r="G290" s="128" t="s">
        <v>378</v>
      </c>
      <c r="S290" s="91">
        <v>2.16</v>
      </c>
      <c r="T290" s="94">
        <v>2.16</v>
      </c>
      <c r="U290" s="91">
        <v>-2.16</v>
      </c>
      <c r="V290" s="129">
        <v>-2.16</v>
      </c>
      <c r="W290" s="91">
        <v>2.16</v>
      </c>
      <c r="X290" s="129">
        <v>2.16</v>
      </c>
      <c r="Y290" s="91">
        <v>0</v>
      </c>
      <c r="Z290" s="129">
        <v>0</v>
      </c>
      <c r="AA290" s="155">
        <f t="shared" si="21"/>
        <v>0</v>
      </c>
      <c r="AB290" s="98">
        <f t="shared" si="21"/>
        <v>0</v>
      </c>
      <c r="AD290" s="97">
        <v>0</v>
      </c>
      <c r="AE290" s="92">
        <v>0</v>
      </c>
      <c r="AF290" s="98">
        <f t="shared" si="20"/>
        <v>0</v>
      </c>
      <c r="AG290" s="97">
        <v>0</v>
      </c>
      <c r="AH290" s="92">
        <v>0</v>
      </c>
      <c r="AI290" s="98">
        <f t="shared" si="18"/>
        <v>0</v>
      </c>
      <c r="AJ290" s="99">
        <f t="shared" si="19"/>
        <v>0</v>
      </c>
      <c r="AK290" s="102" t="str">
        <f>+IF(AB290+AA290+AJ290&lt;=0, "NO COMPRADOR", +IF(AJ290&lt;=0, "SIN COMPRA "&amp;+UPPER(TEXT('DINAMICA ENERO 26'!$C$2,"mmm 'yy")), "COMPRADOR"))</f>
        <v>NO COMPRADOR</v>
      </c>
      <c r="AL290" s="100"/>
      <c r="AM290" s="101"/>
      <c r="AN290" s="100"/>
      <c r="AO290" s="100"/>
      <c r="AP290" s="100"/>
    </row>
    <row r="291" spans="1:42" hidden="1">
      <c r="A291" s="88" t="s">
        <v>379</v>
      </c>
      <c r="B291" s="89" t="s">
        <v>380</v>
      </c>
      <c r="C291" s="89" t="s">
        <v>38</v>
      </c>
      <c r="D291" s="103">
        <v>100050090</v>
      </c>
      <c r="E291" s="89" t="s">
        <v>39</v>
      </c>
      <c r="F291" s="89">
        <v>100001434</v>
      </c>
      <c r="G291" s="128" t="s">
        <v>381</v>
      </c>
      <c r="S291" s="91">
        <v>0</v>
      </c>
      <c r="T291" s="94">
        <v>0</v>
      </c>
      <c r="U291" s="91">
        <v>0</v>
      </c>
      <c r="V291" s="129">
        <v>0</v>
      </c>
      <c r="W291" s="91">
        <v>0</v>
      </c>
      <c r="X291" s="129">
        <v>0</v>
      </c>
      <c r="Y291" s="91">
        <v>0</v>
      </c>
      <c r="Z291" s="129">
        <v>0</v>
      </c>
      <c r="AA291" s="155">
        <f t="shared" si="21"/>
        <v>0</v>
      </c>
      <c r="AB291" s="98">
        <f t="shared" si="21"/>
        <v>0</v>
      </c>
      <c r="AD291" s="97">
        <v>0</v>
      </c>
      <c r="AE291" s="92">
        <v>0</v>
      </c>
      <c r="AF291" s="98">
        <f t="shared" si="20"/>
        <v>0</v>
      </c>
      <c r="AG291" s="97">
        <v>0</v>
      </c>
      <c r="AH291" s="92">
        <v>0</v>
      </c>
      <c r="AI291" s="98">
        <f t="shared" si="18"/>
        <v>0</v>
      </c>
      <c r="AJ291" s="99">
        <f t="shared" si="19"/>
        <v>0</v>
      </c>
      <c r="AK291" s="102" t="str">
        <f>+IF(AB291+AA291+AJ291&lt;=0, "NO COMPRADOR", +IF(AJ291&lt;=0, "SIN COMPRA "&amp;+UPPER(TEXT('DINAMICA ENERO 26'!$C$2,"mmm 'yy")), "COMPRADOR"))</f>
        <v>NO COMPRADOR</v>
      </c>
      <c r="AM291" s="101"/>
      <c r="AN291" s="100"/>
      <c r="AO291" s="100"/>
      <c r="AP291" s="100"/>
    </row>
    <row r="292" spans="1:42" hidden="1">
      <c r="A292" s="88" t="s">
        <v>379</v>
      </c>
      <c r="B292" s="89" t="s">
        <v>380</v>
      </c>
      <c r="C292" s="89" t="s">
        <v>38</v>
      </c>
      <c r="D292" s="103">
        <v>100050090</v>
      </c>
      <c r="E292" s="89" t="s">
        <v>39</v>
      </c>
      <c r="F292" s="89">
        <v>100014442</v>
      </c>
      <c r="G292" s="128" t="s">
        <v>382</v>
      </c>
      <c r="S292" s="91">
        <v>0</v>
      </c>
      <c r="T292" s="94">
        <v>0</v>
      </c>
      <c r="U292" s="91">
        <v>4.32</v>
      </c>
      <c r="V292" s="129">
        <v>4.32</v>
      </c>
      <c r="W292" s="91">
        <v>0</v>
      </c>
      <c r="X292" s="129">
        <v>0</v>
      </c>
      <c r="Y292" s="91">
        <v>0</v>
      </c>
      <c r="Z292" s="129">
        <v>0</v>
      </c>
      <c r="AA292" s="155">
        <f t="shared" si="21"/>
        <v>1.4400000000000002</v>
      </c>
      <c r="AB292" s="98">
        <f t="shared" si="21"/>
        <v>1.4400000000000002</v>
      </c>
      <c r="AD292" s="97">
        <v>0</v>
      </c>
      <c r="AE292" s="92">
        <v>0</v>
      </c>
      <c r="AF292" s="98">
        <f t="shared" si="20"/>
        <v>0</v>
      </c>
      <c r="AG292" s="97">
        <v>0</v>
      </c>
      <c r="AH292" s="92">
        <v>0</v>
      </c>
      <c r="AI292" s="98">
        <f t="shared" si="18"/>
        <v>0</v>
      </c>
      <c r="AJ292" s="99">
        <f t="shared" si="19"/>
        <v>0</v>
      </c>
      <c r="AK292" s="102" t="str">
        <f>+IF(AB292+AA292+AJ292&lt;=0, "NO COMPRADOR", +IF(AJ292&lt;=0, "SIN COMPRA "&amp;+UPPER(TEXT('DINAMICA ENERO 26'!$C$2,"mmm 'yy")), "COMPRADOR"))</f>
        <v>SIN COMPRA FEB '26</v>
      </c>
      <c r="AM292" s="101"/>
      <c r="AN292" s="100"/>
      <c r="AO292" s="100"/>
      <c r="AP292" s="100"/>
    </row>
    <row r="293" spans="1:42" hidden="1">
      <c r="A293" s="88" t="s">
        <v>379</v>
      </c>
      <c r="B293" s="89" t="s">
        <v>380</v>
      </c>
      <c r="C293" s="89" t="s">
        <v>38</v>
      </c>
      <c r="D293" s="103">
        <v>100050090</v>
      </c>
      <c r="E293" s="89" t="s">
        <v>39</v>
      </c>
      <c r="F293" s="89">
        <v>100018913</v>
      </c>
      <c r="G293" s="128" t="s">
        <v>383</v>
      </c>
      <c r="S293" s="91">
        <v>0</v>
      </c>
      <c r="T293" s="94">
        <v>0</v>
      </c>
      <c r="U293" s="91">
        <v>43.2</v>
      </c>
      <c r="V293" s="129">
        <v>21.6</v>
      </c>
      <c r="W293" s="91">
        <v>0</v>
      </c>
      <c r="X293" s="129">
        <v>0</v>
      </c>
      <c r="Y293" s="91">
        <v>0</v>
      </c>
      <c r="Z293" s="129">
        <v>0</v>
      </c>
      <c r="AA293" s="155">
        <f t="shared" si="21"/>
        <v>14.4</v>
      </c>
      <c r="AB293" s="98">
        <f t="shared" si="21"/>
        <v>7.2</v>
      </c>
      <c r="AD293" s="97">
        <v>0</v>
      </c>
      <c r="AE293" s="92">
        <v>0</v>
      </c>
      <c r="AF293" s="98">
        <f t="shared" si="20"/>
        <v>0</v>
      </c>
      <c r="AG293" s="97">
        <v>0</v>
      </c>
      <c r="AH293" s="92">
        <v>0</v>
      </c>
      <c r="AI293" s="98">
        <f t="shared" si="18"/>
        <v>0</v>
      </c>
      <c r="AJ293" s="99">
        <f t="shared" si="19"/>
        <v>0</v>
      </c>
      <c r="AK293" s="102" t="str">
        <f>+IF(AB293+AA293+AJ293&lt;=0, "NO COMPRADOR", +IF(AJ293&lt;=0, "SIN COMPRA "&amp;+UPPER(TEXT('DINAMICA ENERO 26'!$C$2,"mmm 'yy")), "COMPRADOR"))</f>
        <v>SIN COMPRA FEB '26</v>
      </c>
      <c r="AM293" s="101"/>
      <c r="AN293" s="100"/>
      <c r="AO293" s="100"/>
      <c r="AP293" s="100"/>
    </row>
    <row r="294" spans="1:42" hidden="1">
      <c r="A294" s="88" t="s">
        <v>379</v>
      </c>
      <c r="B294" s="89" t="s">
        <v>380</v>
      </c>
      <c r="C294" s="89" t="s">
        <v>38</v>
      </c>
      <c r="D294" s="103">
        <v>100050090</v>
      </c>
      <c r="E294" s="89" t="s">
        <v>39</v>
      </c>
      <c r="F294" s="89">
        <v>100015167</v>
      </c>
      <c r="G294" s="128" t="s">
        <v>384</v>
      </c>
      <c r="S294" s="91">
        <v>0</v>
      </c>
      <c r="T294" s="94">
        <v>0</v>
      </c>
      <c r="U294" s="91">
        <v>4.32</v>
      </c>
      <c r="V294" s="129">
        <v>0</v>
      </c>
      <c r="W294" s="91">
        <v>0</v>
      </c>
      <c r="X294" s="129">
        <v>0</v>
      </c>
      <c r="Y294" s="91">
        <v>0</v>
      </c>
      <c r="Z294" s="129">
        <v>43.2</v>
      </c>
      <c r="AA294" s="155">
        <f t="shared" si="21"/>
        <v>1.4400000000000002</v>
      </c>
      <c r="AB294" s="98">
        <f t="shared" si="21"/>
        <v>14.4</v>
      </c>
      <c r="AD294" s="97">
        <v>0</v>
      </c>
      <c r="AE294" s="92">
        <v>0</v>
      </c>
      <c r="AF294" s="98">
        <f t="shared" si="20"/>
        <v>0</v>
      </c>
      <c r="AG294" s="97">
        <v>21.6</v>
      </c>
      <c r="AH294" s="92">
        <v>0</v>
      </c>
      <c r="AI294" s="98">
        <f t="shared" si="18"/>
        <v>21.6</v>
      </c>
      <c r="AJ294" s="99">
        <f t="shared" si="19"/>
        <v>21.6</v>
      </c>
      <c r="AK294" s="102" t="str">
        <f>+IF(AB294+AA294+AJ294&lt;=0, "NO COMPRADOR", +IF(AJ294&lt;=0, "SIN COMPRA "&amp;+UPPER(TEXT('DINAMICA ENERO 26'!$C$2,"mmm 'yy")), "COMPRADOR"))</f>
        <v>COMPRADOR</v>
      </c>
      <c r="AM294" s="101"/>
      <c r="AN294" s="100"/>
      <c r="AO294" s="100"/>
      <c r="AP294" s="100"/>
    </row>
    <row r="295" spans="1:42" hidden="1">
      <c r="A295" s="88" t="s">
        <v>379</v>
      </c>
      <c r="B295" s="89" t="s">
        <v>380</v>
      </c>
      <c r="C295" s="89" t="s">
        <v>38</v>
      </c>
      <c r="D295" s="103">
        <v>100050090</v>
      </c>
      <c r="E295" s="89" t="s">
        <v>39</v>
      </c>
      <c r="F295" s="89">
        <v>100001979</v>
      </c>
      <c r="G295" s="128" t="s">
        <v>290</v>
      </c>
      <c r="S295" s="91">
        <v>0</v>
      </c>
      <c r="T295" s="94">
        <v>0</v>
      </c>
      <c r="U295" s="91">
        <v>0</v>
      </c>
      <c r="V295" s="129">
        <v>0</v>
      </c>
      <c r="W295" s="91">
        <v>0</v>
      </c>
      <c r="X295" s="129">
        <v>0</v>
      </c>
      <c r="Y295" s="91">
        <v>10.8</v>
      </c>
      <c r="Z295" s="129">
        <v>10.8</v>
      </c>
      <c r="AA295" s="155">
        <f t="shared" si="21"/>
        <v>3.6</v>
      </c>
      <c r="AB295" s="98">
        <f t="shared" si="21"/>
        <v>3.6</v>
      </c>
      <c r="AD295" s="97">
        <v>0</v>
      </c>
      <c r="AE295" s="92">
        <v>0</v>
      </c>
      <c r="AF295" s="98">
        <f t="shared" si="20"/>
        <v>0</v>
      </c>
      <c r="AG295" s="97">
        <v>0</v>
      </c>
      <c r="AH295" s="92">
        <v>0</v>
      </c>
      <c r="AI295" s="98">
        <f t="shared" ref="AI295:AI358" si="22">+AG295+AH295</f>
        <v>0</v>
      </c>
      <c r="AJ295" s="99">
        <f t="shared" si="19"/>
        <v>0</v>
      </c>
      <c r="AK295" s="102" t="str">
        <f>+IF(AB295+AA295+AJ295&lt;=0, "NO COMPRADOR", +IF(AJ295&lt;=0, "SIN COMPRA "&amp;+UPPER(TEXT('DINAMICA ENERO 26'!$C$2,"mmm 'yy")), "COMPRADOR"))</f>
        <v>SIN COMPRA FEB '26</v>
      </c>
      <c r="AO295" s="100"/>
      <c r="AP295" s="100"/>
    </row>
    <row r="296" spans="1:42" hidden="1">
      <c r="A296" s="88" t="s">
        <v>379</v>
      </c>
      <c r="B296" s="89" t="s">
        <v>380</v>
      </c>
      <c r="C296" s="89" t="s">
        <v>38</v>
      </c>
      <c r="D296" s="103">
        <v>100050090</v>
      </c>
      <c r="E296" s="89" t="s">
        <v>39</v>
      </c>
      <c r="F296" s="89">
        <v>100000650</v>
      </c>
      <c r="G296" s="128" t="s">
        <v>385</v>
      </c>
      <c r="S296" s="91">
        <v>21.6</v>
      </c>
      <c r="T296" s="94">
        <v>21.6</v>
      </c>
      <c r="U296" s="91">
        <v>-21.6</v>
      </c>
      <c r="V296" s="129">
        <v>-21.6</v>
      </c>
      <c r="W296" s="91">
        <v>0</v>
      </c>
      <c r="X296" s="129">
        <v>0</v>
      </c>
      <c r="Y296" s="91">
        <v>0</v>
      </c>
      <c r="Z296" s="129">
        <v>0</v>
      </c>
      <c r="AA296" s="155">
        <f t="shared" si="21"/>
        <v>-7.2</v>
      </c>
      <c r="AB296" s="98">
        <f t="shared" si="21"/>
        <v>-7.2</v>
      </c>
      <c r="AD296" s="97">
        <v>0</v>
      </c>
      <c r="AE296" s="92">
        <v>0</v>
      </c>
      <c r="AF296" s="98">
        <f t="shared" si="20"/>
        <v>0</v>
      </c>
      <c r="AG296" s="97">
        <v>0</v>
      </c>
      <c r="AH296" s="92">
        <v>0</v>
      </c>
      <c r="AI296" s="98">
        <f t="shared" si="22"/>
        <v>0</v>
      </c>
      <c r="AJ296" s="99">
        <f t="shared" si="19"/>
        <v>0</v>
      </c>
      <c r="AK296" s="102" t="str">
        <f>+IF(AB296+AA296+AJ296&lt;=0, "NO COMPRADOR", +IF(AJ296&lt;=0, "SIN COMPRA "&amp;+UPPER(TEXT('DINAMICA ENERO 26'!$C$2,"mmm 'yy")), "COMPRADOR"))</f>
        <v>NO COMPRADOR</v>
      </c>
      <c r="AO296" s="100"/>
      <c r="AP296" s="100"/>
    </row>
    <row r="297" spans="1:42" hidden="1">
      <c r="A297" s="88" t="s">
        <v>379</v>
      </c>
      <c r="B297" s="89" t="s">
        <v>380</v>
      </c>
      <c r="C297" s="89" t="s">
        <v>38</v>
      </c>
      <c r="D297" s="103">
        <v>100050090</v>
      </c>
      <c r="E297" s="89" t="s">
        <v>39</v>
      </c>
      <c r="F297" s="89">
        <v>100001938</v>
      </c>
      <c r="G297" s="128" t="s">
        <v>386</v>
      </c>
      <c r="S297" s="91">
        <v>0</v>
      </c>
      <c r="T297" s="94">
        <v>0</v>
      </c>
      <c r="U297" s="91">
        <v>23.76</v>
      </c>
      <c r="V297" s="129">
        <v>23.76</v>
      </c>
      <c r="W297" s="91">
        <v>32.400000000000006</v>
      </c>
      <c r="X297" s="129">
        <v>17.28</v>
      </c>
      <c r="Y297" s="91">
        <v>30.240000000000002</v>
      </c>
      <c r="Z297" s="129">
        <v>45.360000000000007</v>
      </c>
      <c r="AA297" s="155">
        <f t="shared" si="21"/>
        <v>28.8</v>
      </c>
      <c r="AB297" s="98">
        <f t="shared" si="21"/>
        <v>28.8</v>
      </c>
      <c r="AD297" s="97">
        <v>28.080000000000002</v>
      </c>
      <c r="AE297" s="92">
        <v>6.48</v>
      </c>
      <c r="AF297" s="98">
        <f t="shared" si="20"/>
        <v>34.56</v>
      </c>
      <c r="AG297" s="97">
        <v>17.28</v>
      </c>
      <c r="AH297" s="92">
        <v>2.16</v>
      </c>
      <c r="AI297" s="98">
        <f t="shared" si="22"/>
        <v>19.440000000000001</v>
      </c>
      <c r="AJ297" s="99">
        <f t="shared" si="19"/>
        <v>54</v>
      </c>
      <c r="AK297" s="102" t="str">
        <f>+IF(AB297+AA297+AJ297&lt;=0, "NO COMPRADOR", +IF(AJ297&lt;=0, "SIN COMPRA "&amp;+UPPER(TEXT('DINAMICA ENERO 26'!$C$2,"mmm 'yy")), "COMPRADOR"))</f>
        <v>COMPRADOR</v>
      </c>
      <c r="AO297" s="100"/>
      <c r="AP297" s="100"/>
    </row>
    <row r="298" spans="1:42" hidden="1">
      <c r="A298" s="88" t="s">
        <v>379</v>
      </c>
      <c r="B298" s="89" t="s">
        <v>380</v>
      </c>
      <c r="C298" s="89" t="s">
        <v>38</v>
      </c>
      <c r="D298" s="103">
        <v>100050090</v>
      </c>
      <c r="E298" s="89" t="s">
        <v>39</v>
      </c>
      <c r="F298" s="89">
        <v>100001342</v>
      </c>
      <c r="G298" s="128" t="s">
        <v>387</v>
      </c>
      <c r="S298" s="91">
        <v>0</v>
      </c>
      <c r="T298" s="94">
        <v>0</v>
      </c>
      <c r="U298" s="91">
        <v>0</v>
      </c>
      <c r="V298" s="129">
        <v>0</v>
      </c>
      <c r="W298" s="91">
        <v>0</v>
      </c>
      <c r="X298" s="129">
        <v>0</v>
      </c>
      <c r="Y298" s="91">
        <v>0</v>
      </c>
      <c r="Z298" s="129">
        <v>0</v>
      </c>
      <c r="AA298" s="155">
        <f t="shared" si="21"/>
        <v>0</v>
      </c>
      <c r="AB298" s="98">
        <f t="shared" si="21"/>
        <v>0</v>
      </c>
      <c r="AD298" s="97">
        <v>0</v>
      </c>
      <c r="AE298" s="92">
        <v>0</v>
      </c>
      <c r="AF298" s="98">
        <f t="shared" si="20"/>
        <v>0</v>
      </c>
      <c r="AG298" s="97">
        <v>0</v>
      </c>
      <c r="AH298" s="92">
        <v>0</v>
      </c>
      <c r="AI298" s="98">
        <f t="shared" si="22"/>
        <v>0</v>
      </c>
      <c r="AJ298" s="99">
        <f t="shared" si="19"/>
        <v>0</v>
      </c>
      <c r="AK298" s="102" t="str">
        <f>+IF(AB298+AA298+AJ298&lt;=0, "NO COMPRADOR", +IF(AJ298&lt;=0, "SIN COMPRA "&amp;+UPPER(TEXT('DINAMICA ENERO 26'!$C$2,"mmm 'yy")), "COMPRADOR"))</f>
        <v>NO COMPRADOR</v>
      </c>
      <c r="AO298" s="100"/>
      <c r="AP298" s="100"/>
    </row>
    <row r="299" spans="1:42" hidden="1">
      <c r="A299" s="88" t="s">
        <v>379</v>
      </c>
      <c r="B299" s="89" t="s">
        <v>380</v>
      </c>
      <c r="C299" s="89" t="s">
        <v>38</v>
      </c>
      <c r="D299" s="103">
        <v>100075114</v>
      </c>
      <c r="E299" s="89" t="s">
        <v>40</v>
      </c>
      <c r="F299" s="89">
        <v>100001342</v>
      </c>
      <c r="G299" s="128" t="s">
        <v>387</v>
      </c>
      <c r="S299" s="91">
        <v>0</v>
      </c>
      <c r="T299" s="94">
        <v>0</v>
      </c>
      <c r="U299" s="91">
        <v>56.160000000000004</v>
      </c>
      <c r="V299" s="129">
        <v>56.160000000000004</v>
      </c>
      <c r="W299" s="91">
        <v>25.92</v>
      </c>
      <c r="X299" s="129">
        <v>23.76</v>
      </c>
      <c r="Y299" s="91">
        <v>-17.28</v>
      </c>
      <c r="Z299" s="129">
        <v>12.96</v>
      </c>
      <c r="AA299" s="155">
        <f t="shared" si="21"/>
        <v>21.600000000000005</v>
      </c>
      <c r="AB299" s="98">
        <f t="shared" si="21"/>
        <v>30.959999999999997</v>
      </c>
      <c r="AD299" s="97">
        <v>0</v>
      </c>
      <c r="AE299" s="92">
        <v>4.32</v>
      </c>
      <c r="AF299" s="98">
        <f t="shared" si="20"/>
        <v>4.32</v>
      </c>
      <c r="AG299" s="97">
        <v>0</v>
      </c>
      <c r="AH299" s="92">
        <v>2.16</v>
      </c>
      <c r="AI299" s="98">
        <f t="shared" si="22"/>
        <v>2.16</v>
      </c>
      <c r="AJ299" s="99">
        <f t="shared" si="19"/>
        <v>6.48</v>
      </c>
      <c r="AK299" s="102" t="str">
        <f>+IF(AB299+AA299+AJ299&lt;=0, "NO COMPRADOR", +IF(AJ299&lt;=0, "SIN COMPRA "&amp;+UPPER(TEXT('DINAMICA ENERO 26'!$C$2,"mmm 'yy")), "COMPRADOR"))</f>
        <v>COMPRADOR</v>
      </c>
      <c r="AO299" s="100"/>
      <c r="AP299" s="100"/>
    </row>
    <row r="300" spans="1:42" hidden="1">
      <c r="A300" s="88" t="s">
        <v>379</v>
      </c>
      <c r="B300" s="89" t="s">
        <v>380</v>
      </c>
      <c r="C300" s="89" t="s">
        <v>38</v>
      </c>
      <c r="D300" s="103">
        <v>100075114</v>
      </c>
      <c r="E300" s="89" t="s">
        <v>40</v>
      </c>
      <c r="F300" s="89">
        <v>100001850</v>
      </c>
      <c r="G300" s="128" t="s">
        <v>388</v>
      </c>
      <c r="S300" s="91">
        <v>0</v>
      </c>
      <c r="T300" s="94">
        <v>0</v>
      </c>
      <c r="U300" s="91">
        <v>2.16</v>
      </c>
      <c r="V300" s="129">
        <v>2.16</v>
      </c>
      <c r="W300" s="91">
        <v>10.8</v>
      </c>
      <c r="X300" s="129">
        <v>10.8</v>
      </c>
      <c r="Y300" s="91">
        <v>21.6</v>
      </c>
      <c r="Z300" s="129">
        <v>21.6</v>
      </c>
      <c r="AA300" s="155">
        <f t="shared" si="21"/>
        <v>11.520000000000001</v>
      </c>
      <c r="AB300" s="98">
        <f t="shared" si="21"/>
        <v>11.520000000000001</v>
      </c>
      <c r="AD300" s="97">
        <v>0</v>
      </c>
      <c r="AE300" s="92">
        <v>0</v>
      </c>
      <c r="AF300" s="98">
        <f t="shared" si="20"/>
        <v>0</v>
      </c>
      <c r="AG300" s="97">
        <v>10.8</v>
      </c>
      <c r="AH300" s="92">
        <v>0</v>
      </c>
      <c r="AI300" s="98">
        <f t="shared" si="22"/>
        <v>10.8</v>
      </c>
      <c r="AJ300" s="99">
        <f t="shared" si="19"/>
        <v>10.8</v>
      </c>
      <c r="AK300" s="102" t="str">
        <f>+IF(AB300+AA300+AJ300&lt;=0, "NO COMPRADOR", +IF(AJ300&lt;=0, "SIN COMPRA "&amp;+UPPER(TEXT('DINAMICA ENERO 26'!$C$2,"mmm 'yy")), "COMPRADOR"))</f>
        <v>COMPRADOR</v>
      </c>
      <c r="AO300" s="100"/>
      <c r="AP300" s="100"/>
    </row>
    <row r="301" spans="1:42" hidden="1">
      <c r="A301" s="88" t="s">
        <v>379</v>
      </c>
      <c r="B301" s="89" t="s">
        <v>380</v>
      </c>
      <c r="C301" s="89" t="s">
        <v>38</v>
      </c>
      <c r="D301" s="103">
        <v>100075114</v>
      </c>
      <c r="E301" s="89" t="s">
        <v>40</v>
      </c>
      <c r="F301" s="89">
        <v>100002199</v>
      </c>
      <c r="G301" s="128" t="s">
        <v>389</v>
      </c>
      <c r="S301" s="91">
        <v>2.16</v>
      </c>
      <c r="T301" s="94">
        <v>2.16</v>
      </c>
      <c r="U301" s="91">
        <v>43.2</v>
      </c>
      <c r="V301" s="129">
        <v>43.2</v>
      </c>
      <c r="W301" s="91">
        <v>114.48000000000002</v>
      </c>
      <c r="X301" s="129">
        <v>114.48000000000002</v>
      </c>
      <c r="Y301" s="91">
        <v>0</v>
      </c>
      <c r="Z301" s="129">
        <v>0</v>
      </c>
      <c r="AA301" s="155">
        <f t="shared" si="21"/>
        <v>52.56</v>
      </c>
      <c r="AB301" s="98">
        <f t="shared" si="21"/>
        <v>52.56</v>
      </c>
      <c r="AD301" s="97">
        <v>64.800000000000011</v>
      </c>
      <c r="AE301" s="92">
        <v>0</v>
      </c>
      <c r="AF301" s="98">
        <f t="shared" si="20"/>
        <v>64.800000000000011</v>
      </c>
      <c r="AG301" s="97">
        <v>64.800000000000011</v>
      </c>
      <c r="AH301" s="92">
        <v>0</v>
      </c>
      <c r="AI301" s="98">
        <f t="shared" si="22"/>
        <v>64.800000000000011</v>
      </c>
      <c r="AJ301" s="99">
        <f t="shared" si="19"/>
        <v>129.60000000000002</v>
      </c>
      <c r="AK301" s="102" t="str">
        <f>+IF(AB301+AA301+AJ301&lt;=0, "NO COMPRADOR", +IF(AJ301&lt;=0, "SIN COMPRA "&amp;+UPPER(TEXT('DINAMICA ENERO 26'!$C$2,"mmm 'yy")), "COMPRADOR"))</f>
        <v>COMPRADOR</v>
      </c>
      <c r="AO301" s="100"/>
      <c r="AP301" s="100"/>
    </row>
    <row r="302" spans="1:42" hidden="1">
      <c r="A302" s="88" t="s">
        <v>379</v>
      </c>
      <c r="B302" s="89" t="s">
        <v>380</v>
      </c>
      <c r="C302" s="89" t="s">
        <v>38</v>
      </c>
      <c r="D302" s="103">
        <v>100075114</v>
      </c>
      <c r="E302" s="89" t="s">
        <v>40</v>
      </c>
      <c r="F302" s="89">
        <v>100001583</v>
      </c>
      <c r="G302" s="128" t="s">
        <v>390</v>
      </c>
      <c r="S302" s="91">
        <v>0</v>
      </c>
      <c r="T302" s="94">
        <v>0</v>
      </c>
      <c r="U302" s="91">
        <v>86.4</v>
      </c>
      <c r="V302" s="129">
        <v>0</v>
      </c>
      <c r="W302" s="91">
        <v>0</v>
      </c>
      <c r="X302" s="129">
        <v>86.4</v>
      </c>
      <c r="Y302" s="91">
        <v>129.60000000000002</v>
      </c>
      <c r="Z302" s="129">
        <v>0</v>
      </c>
      <c r="AA302" s="155">
        <f t="shared" si="21"/>
        <v>72.000000000000014</v>
      </c>
      <c r="AB302" s="98">
        <f t="shared" si="21"/>
        <v>28.8</v>
      </c>
      <c r="AD302" s="97">
        <v>38.880000000000003</v>
      </c>
      <c r="AE302" s="92">
        <v>0</v>
      </c>
      <c r="AF302" s="98">
        <f t="shared" si="20"/>
        <v>38.880000000000003</v>
      </c>
      <c r="AG302" s="97">
        <v>77.760000000000005</v>
      </c>
      <c r="AH302" s="92">
        <v>0</v>
      </c>
      <c r="AI302" s="98">
        <f t="shared" si="22"/>
        <v>77.760000000000005</v>
      </c>
      <c r="AJ302" s="99">
        <f t="shared" si="19"/>
        <v>116.64000000000001</v>
      </c>
      <c r="AK302" s="102" t="str">
        <f>+IF(AB302+AA302+AJ302&lt;=0, "NO COMPRADOR", +IF(AJ302&lt;=0, "SIN COMPRA "&amp;+UPPER(TEXT('DINAMICA ENERO 26'!$C$2,"mmm 'yy")), "COMPRADOR"))</f>
        <v>COMPRADOR</v>
      </c>
      <c r="AO302" s="100"/>
      <c r="AP302" s="100"/>
    </row>
    <row r="303" spans="1:42" hidden="1">
      <c r="A303" s="88" t="s">
        <v>379</v>
      </c>
      <c r="B303" s="89" t="s">
        <v>380</v>
      </c>
      <c r="C303" s="89" t="s">
        <v>38</v>
      </c>
      <c r="D303" s="103">
        <v>100075114</v>
      </c>
      <c r="E303" s="89" t="s">
        <v>40</v>
      </c>
      <c r="F303" s="89">
        <v>100001186</v>
      </c>
      <c r="G303" s="128" t="s">
        <v>391</v>
      </c>
      <c r="S303" s="91">
        <v>0</v>
      </c>
      <c r="T303" s="94">
        <v>0</v>
      </c>
      <c r="U303" s="91">
        <v>2.16</v>
      </c>
      <c r="V303" s="129">
        <v>2.16</v>
      </c>
      <c r="W303" s="91">
        <v>0</v>
      </c>
      <c r="X303" s="129">
        <v>0</v>
      </c>
      <c r="Y303" s="91">
        <v>90.72</v>
      </c>
      <c r="Z303" s="129">
        <v>108</v>
      </c>
      <c r="AA303" s="155">
        <f t="shared" si="21"/>
        <v>30.959999999999997</v>
      </c>
      <c r="AB303" s="98">
        <f t="shared" si="21"/>
        <v>36.72</v>
      </c>
      <c r="AD303" s="97">
        <v>43.2</v>
      </c>
      <c r="AE303" s="92">
        <v>0</v>
      </c>
      <c r="AF303" s="98">
        <f t="shared" si="20"/>
        <v>43.2</v>
      </c>
      <c r="AG303" s="97">
        <v>21.6</v>
      </c>
      <c r="AH303" s="92">
        <v>0</v>
      </c>
      <c r="AI303" s="98">
        <f t="shared" si="22"/>
        <v>21.6</v>
      </c>
      <c r="AJ303" s="99">
        <f t="shared" si="19"/>
        <v>64.800000000000011</v>
      </c>
      <c r="AK303" s="102" t="str">
        <f>+IF(AB303+AA303+AJ303&lt;=0, "NO COMPRADOR", +IF(AJ303&lt;=0, "SIN COMPRA "&amp;+UPPER(TEXT('DINAMICA ENERO 26'!$C$2,"mmm 'yy")), "COMPRADOR"))</f>
        <v>COMPRADOR</v>
      </c>
      <c r="AO303" s="100"/>
      <c r="AP303" s="100"/>
    </row>
    <row r="304" spans="1:42" hidden="1">
      <c r="A304" s="88" t="s">
        <v>379</v>
      </c>
      <c r="B304" s="89" t="s">
        <v>380</v>
      </c>
      <c r="C304" s="89" t="s">
        <v>38</v>
      </c>
      <c r="D304" s="103">
        <v>100075114</v>
      </c>
      <c r="E304" s="89" t="s">
        <v>40</v>
      </c>
      <c r="F304" s="89">
        <v>100001979</v>
      </c>
      <c r="G304" s="128" t="s">
        <v>290</v>
      </c>
      <c r="S304" s="91">
        <v>0</v>
      </c>
      <c r="T304" s="94">
        <v>0</v>
      </c>
      <c r="U304" s="91">
        <v>0</v>
      </c>
      <c r="V304" s="129">
        <v>0</v>
      </c>
      <c r="W304" s="91">
        <v>0</v>
      </c>
      <c r="X304" s="129">
        <v>0</v>
      </c>
      <c r="Y304" s="91">
        <v>0</v>
      </c>
      <c r="Z304" s="129">
        <v>0</v>
      </c>
      <c r="AA304" s="155">
        <f t="shared" si="21"/>
        <v>0</v>
      </c>
      <c r="AB304" s="98">
        <f t="shared" si="21"/>
        <v>0</v>
      </c>
      <c r="AD304" s="97">
        <v>0</v>
      </c>
      <c r="AE304" s="92">
        <v>0</v>
      </c>
      <c r="AF304" s="98">
        <f t="shared" si="20"/>
        <v>0</v>
      </c>
      <c r="AG304" s="97">
        <v>0</v>
      </c>
      <c r="AH304" s="92">
        <v>0</v>
      </c>
      <c r="AI304" s="98">
        <f t="shared" si="22"/>
        <v>0</v>
      </c>
      <c r="AJ304" s="99">
        <f t="shared" si="19"/>
        <v>0</v>
      </c>
      <c r="AK304" s="102" t="str">
        <f>+IF(AB304+AA304+AJ304&lt;=0, "NO COMPRADOR", +IF(AJ304&lt;=0, "SIN COMPRA "&amp;+UPPER(TEXT('DINAMICA ENERO 26'!$C$2,"mmm 'yy")), "COMPRADOR"))</f>
        <v>NO COMPRADOR</v>
      </c>
      <c r="AO304" s="100"/>
      <c r="AP304" s="100"/>
    </row>
    <row r="305" spans="1:42" hidden="1">
      <c r="A305" s="88" t="s">
        <v>379</v>
      </c>
      <c r="B305" s="89" t="s">
        <v>380</v>
      </c>
      <c r="C305" s="89" t="s">
        <v>38</v>
      </c>
      <c r="D305" s="103">
        <v>100075114</v>
      </c>
      <c r="E305" s="89" t="s">
        <v>40</v>
      </c>
      <c r="F305" s="89">
        <v>100002075</v>
      </c>
      <c r="G305" s="128" t="s">
        <v>392</v>
      </c>
      <c r="S305" s="91">
        <v>0</v>
      </c>
      <c r="T305" s="94">
        <v>0</v>
      </c>
      <c r="U305" s="91">
        <v>777.6</v>
      </c>
      <c r="V305" s="129">
        <v>777.6</v>
      </c>
      <c r="W305" s="91">
        <v>0</v>
      </c>
      <c r="X305" s="129">
        <v>0</v>
      </c>
      <c r="Y305" s="91">
        <v>438.48</v>
      </c>
      <c r="Z305" s="129">
        <v>777.6</v>
      </c>
      <c r="AA305" s="155">
        <f t="shared" si="21"/>
        <v>405.35999999999996</v>
      </c>
      <c r="AB305" s="98">
        <f t="shared" si="21"/>
        <v>518.4</v>
      </c>
      <c r="AD305" s="97">
        <v>0</v>
      </c>
      <c r="AE305" s="92">
        <v>0</v>
      </c>
      <c r="AF305" s="98">
        <f t="shared" si="20"/>
        <v>0</v>
      </c>
      <c r="AG305" s="97">
        <v>0</v>
      </c>
      <c r="AH305" s="92">
        <v>0</v>
      </c>
      <c r="AI305" s="98">
        <f t="shared" si="22"/>
        <v>0</v>
      </c>
      <c r="AJ305" s="99">
        <f t="shared" si="19"/>
        <v>0</v>
      </c>
      <c r="AK305" s="102" t="str">
        <f>+IF(AB305+AA305+AJ305&lt;=0, "NO COMPRADOR", +IF(AJ305&lt;=0, "SIN COMPRA "&amp;+UPPER(TEXT('DINAMICA ENERO 26'!$C$2,"mmm 'yy")), "COMPRADOR"))</f>
        <v>SIN COMPRA FEB '26</v>
      </c>
      <c r="AO305" s="100"/>
      <c r="AP305" s="100"/>
    </row>
    <row r="306" spans="1:42" hidden="1">
      <c r="A306" s="88" t="s">
        <v>379</v>
      </c>
      <c r="B306" s="89" t="s">
        <v>380</v>
      </c>
      <c r="C306" s="89" t="s">
        <v>38</v>
      </c>
      <c r="D306" s="103">
        <v>100075114</v>
      </c>
      <c r="E306" s="89" t="s">
        <v>40</v>
      </c>
      <c r="F306" s="89">
        <v>100001434</v>
      </c>
      <c r="G306" s="128" t="s">
        <v>381</v>
      </c>
      <c r="S306" s="91">
        <v>0</v>
      </c>
      <c r="T306" s="94">
        <v>0</v>
      </c>
      <c r="U306" s="91">
        <v>0</v>
      </c>
      <c r="V306" s="129">
        <v>0</v>
      </c>
      <c r="W306" s="91">
        <v>0</v>
      </c>
      <c r="X306" s="129">
        <v>0</v>
      </c>
      <c r="Y306" s="91">
        <v>0</v>
      </c>
      <c r="Z306" s="129">
        <v>0</v>
      </c>
      <c r="AA306" s="155">
        <f t="shared" si="21"/>
        <v>0</v>
      </c>
      <c r="AB306" s="98">
        <f t="shared" si="21"/>
        <v>0</v>
      </c>
      <c r="AD306" s="97">
        <v>0</v>
      </c>
      <c r="AE306" s="92">
        <v>0</v>
      </c>
      <c r="AF306" s="98">
        <f t="shared" si="20"/>
        <v>0</v>
      </c>
      <c r="AG306" s="97">
        <v>0</v>
      </c>
      <c r="AH306" s="92">
        <v>0</v>
      </c>
      <c r="AI306" s="98">
        <f t="shared" si="22"/>
        <v>0</v>
      </c>
      <c r="AJ306" s="99">
        <f t="shared" si="19"/>
        <v>0</v>
      </c>
      <c r="AK306" s="102" t="str">
        <f>+IF(AB306+AA306+AJ306&lt;=0, "NO COMPRADOR", +IF(AJ306&lt;=0, "SIN COMPRA "&amp;+UPPER(TEXT('DINAMICA ENERO 26'!$C$2,"mmm 'yy")), "COMPRADOR"))</f>
        <v>NO COMPRADOR</v>
      </c>
      <c r="AO306" s="100"/>
      <c r="AP306" s="100"/>
    </row>
    <row r="307" spans="1:42" hidden="1">
      <c r="A307" s="88" t="s">
        <v>379</v>
      </c>
      <c r="B307" s="89" t="s">
        <v>380</v>
      </c>
      <c r="C307" s="89" t="s">
        <v>38</v>
      </c>
      <c r="D307" s="103">
        <v>100071290</v>
      </c>
      <c r="E307" s="89" t="s">
        <v>41</v>
      </c>
      <c r="F307" s="89">
        <v>100002075</v>
      </c>
      <c r="G307" s="128" t="s">
        <v>392</v>
      </c>
      <c r="S307" s="91">
        <v>0</v>
      </c>
      <c r="T307" s="94">
        <v>0</v>
      </c>
      <c r="U307" s="91">
        <v>0</v>
      </c>
      <c r="V307" s="129">
        <v>0</v>
      </c>
      <c r="W307" s="91">
        <v>0</v>
      </c>
      <c r="X307" s="129">
        <v>0</v>
      </c>
      <c r="Y307" s="91">
        <v>0</v>
      </c>
      <c r="Z307" s="129">
        <v>0</v>
      </c>
      <c r="AA307" s="155">
        <f t="shared" si="21"/>
        <v>0</v>
      </c>
      <c r="AB307" s="98">
        <f t="shared" si="21"/>
        <v>0</v>
      </c>
      <c r="AD307" s="97">
        <v>0</v>
      </c>
      <c r="AE307" s="92">
        <v>0</v>
      </c>
      <c r="AF307" s="98">
        <f t="shared" si="20"/>
        <v>0</v>
      </c>
      <c r="AG307" s="97">
        <v>0</v>
      </c>
      <c r="AH307" s="92">
        <v>0</v>
      </c>
      <c r="AI307" s="98">
        <f t="shared" si="22"/>
        <v>0</v>
      </c>
      <c r="AJ307" s="99">
        <f t="shared" si="19"/>
        <v>0</v>
      </c>
      <c r="AK307" s="102" t="str">
        <f>+IF(AB307+AA307+AJ307&lt;=0, "NO COMPRADOR", +IF(AJ307&lt;=0, "SIN COMPRA "&amp;+UPPER(TEXT('DINAMICA ENERO 26'!$C$2,"mmm 'yy")), "COMPRADOR"))</f>
        <v>NO COMPRADOR</v>
      </c>
      <c r="AO307" s="100"/>
      <c r="AP307" s="100"/>
    </row>
    <row r="308" spans="1:42" hidden="1">
      <c r="A308" s="88" t="s">
        <v>379</v>
      </c>
      <c r="B308" s="89" t="s">
        <v>380</v>
      </c>
      <c r="C308" s="89" t="s">
        <v>38</v>
      </c>
      <c r="D308" s="103">
        <v>100071290</v>
      </c>
      <c r="E308" s="89" t="s">
        <v>41</v>
      </c>
      <c r="F308" s="89">
        <v>100001272</v>
      </c>
      <c r="G308" s="128" t="s">
        <v>393</v>
      </c>
      <c r="S308" s="91">
        <v>0</v>
      </c>
      <c r="T308" s="94">
        <v>0</v>
      </c>
      <c r="U308" s="91">
        <v>77.760000000000005</v>
      </c>
      <c r="V308" s="129">
        <v>77.760000000000005</v>
      </c>
      <c r="W308" s="91">
        <v>0</v>
      </c>
      <c r="X308" s="129">
        <v>0</v>
      </c>
      <c r="Y308" s="91">
        <v>38.880000000000003</v>
      </c>
      <c r="Z308" s="129">
        <v>38.880000000000003</v>
      </c>
      <c r="AA308" s="155">
        <f t="shared" si="21"/>
        <v>38.880000000000003</v>
      </c>
      <c r="AB308" s="98">
        <f t="shared" si="21"/>
        <v>38.880000000000003</v>
      </c>
      <c r="AD308" s="97">
        <v>0</v>
      </c>
      <c r="AE308" s="92">
        <v>0</v>
      </c>
      <c r="AF308" s="98">
        <f t="shared" si="20"/>
        <v>0</v>
      </c>
      <c r="AG308" s="97">
        <v>0</v>
      </c>
      <c r="AH308" s="92">
        <v>0</v>
      </c>
      <c r="AI308" s="98">
        <f t="shared" si="22"/>
        <v>0</v>
      </c>
      <c r="AJ308" s="99">
        <f t="shared" si="19"/>
        <v>0</v>
      </c>
      <c r="AK308" s="102" t="str">
        <f>+IF(AB308+AA308+AJ308&lt;=0, "NO COMPRADOR", +IF(AJ308&lt;=0, "SIN COMPRA "&amp;+UPPER(TEXT('DINAMICA ENERO 26'!$C$2,"mmm 'yy")), "COMPRADOR"))</f>
        <v>SIN COMPRA FEB '26</v>
      </c>
      <c r="AO308" s="100"/>
      <c r="AP308" s="100"/>
    </row>
    <row r="309" spans="1:42" hidden="1">
      <c r="A309" s="88" t="s">
        <v>379</v>
      </c>
      <c r="B309" s="89" t="s">
        <v>380</v>
      </c>
      <c r="C309" s="89" t="s">
        <v>38</v>
      </c>
      <c r="D309" s="103">
        <v>100071290</v>
      </c>
      <c r="E309" s="89" t="s">
        <v>41</v>
      </c>
      <c r="F309" s="89">
        <v>100001342</v>
      </c>
      <c r="G309" s="128" t="s">
        <v>387</v>
      </c>
      <c r="S309" s="91">
        <v>0</v>
      </c>
      <c r="T309" s="94">
        <v>0</v>
      </c>
      <c r="U309" s="91">
        <v>2.16</v>
      </c>
      <c r="V309" s="129">
        <v>2.16</v>
      </c>
      <c r="W309" s="91">
        <v>0</v>
      </c>
      <c r="X309" s="129">
        <v>0</v>
      </c>
      <c r="Y309" s="91">
        <v>4.32</v>
      </c>
      <c r="Z309" s="129">
        <v>2.16</v>
      </c>
      <c r="AA309" s="155">
        <f t="shared" si="21"/>
        <v>2.16</v>
      </c>
      <c r="AB309" s="98">
        <f t="shared" si="21"/>
        <v>1.4400000000000002</v>
      </c>
      <c r="AD309" s="97">
        <v>0</v>
      </c>
      <c r="AE309" s="92">
        <v>0</v>
      </c>
      <c r="AF309" s="98">
        <f t="shared" si="20"/>
        <v>0</v>
      </c>
      <c r="AG309" s="97">
        <v>0</v>
      </c>
      <c r="AH309" s="92">
        <v>0</v>
      </c>
      <c r="AI309" s="98">
        <f t="shared" si="22"/>
        <v>0</v>
      </c>
      <c r="AJ309" s="99">
        <f t="shared" si="19"/>
        <v>0</v>
      </c>
      <c r="AK309" s="102" t="str">
        <f>+IF(AB309+AA309+AJ309&lt;=0, "NO COMPRADOR", +IF(AJ309&lt;=0, "SIN COMPRA "&amp;+UPPER(TEXT('DINAMICA ENERO 26'!$C$2,"mmm 'yy")), "COMPRADOR"))</f>
        <v>SIN COMPRA FEB '26</v>
      </c>
      <c r="AO309" s="100"/>
      <c r="AP309" s="100"/>
    </row>
    <row r="310" spans="1:42" hidden="1">
      <c r="A310" s="88" t="s">
        <v>379</v>
      </c>
      <c r="B310" s="89" t="s">
        <v>380</v>
      </c>
      <c r="C310" s="89" t="s">
        <v>38</v>
      </c>
      <c r="D310" s="103">
        <v>100071290</v>
      </c>
      <c r="E310" s="89" t="s">
        <v>41</v>
      </c>
      <c r="F310" s="89">
        <v>100001526</v>
      </c>
      <c r="G310" s="128" t="s">
        <v>394</v>
      </c>
      <c r="S310" s="91">
        <v>0</v>
      </c>
      <c r="T310" s="94">
        <v>0</v>
      </c>
      <c r="U310" s="91">
        <v>103.68</v>
      </c>
      <c r="V310" s="129">
        <v>60.480000000000004</v>
      </c>
      <c r="W310" s="91">
        <v>6.48</v>
      </c>
      <c r="X310" s="129">
        <v>2.16</v>
      </c>
      <c r="Y310" s="91">
        <v>17.28</v>
      </c>
      <c r="Z310" s="129">
        <v>19.440000000000001</v>
      </c>
      <c r="AA310" s="155">
        <f t="shared" si="21"/>
        <v>42.480000000000004</v>
      </c>
      <c r="AB310" s="98">
        <f t="shared" si="21"/>
        <v>27.36</v>
      </c>
      <c r="AD310" s="97">
        <v>0</v>
      </c>
      <c r="AE310" s="92">
        <v>0</v>
      </c>
      <c r="AF310" s="98">
        <f t="shared" si="20"/>
        <v>0</v>
      </c>
      <c r="AG310" s="97">
        <v>0</v>
      </c>
      <c r="AH310" s="92">
        <v>0</v>
      </c>
      <c r="AI310" s="98">
        <f t="shared" si="22"/>
        <v>0</v>
      </c>
      <c r="AJ310" s="99">
        <f t="shared" si="19"/>
        <v>0</v>
      </c>
      <c r="AK310" s="102" t="str">
        <f>+IF(AB310+AA310+AJ310&lt;=0, "NO COMPRADOR", +IF(AJ310&lt;=0, "SIN COMPRA "&amp;+UPPER(TEXT('DINAMICA ENERO 26'!$C$2,"mmm 'yy")), "COMPRADOR"))</f>
        <v>SIN COMPRA FEB '26</v>
      </c>
      <c r="AO310" s="100"/>
      <c r="AP310" s="100"/>
    </row>
    <row r="311" spans="1:42" hidden="1">
      <c r="A311" s="88" t="s">
        <v>379</v>
      </c>
      <c r="B311" s="89" t="s">
        <v>380</v>
      </c>
      <c r="C311" s="89" t="s">
        <v>38</v>
      </c>
      <c r="D311" s="103">
        <v>100071290</v>
      </c>
      <c r="E311" s="89" t="s">
        <v>41</v>
      </c>
      <c r="F311" s="89">
        <v>100001979</v>
      </c>
      <c r="G311" s="128" t="s">
        <v>290</v>
      </c>
      <c r="S311" s="91">
        <v>0</v>
      </c>
      <c r="T311" s="94">
        <v>0</v>
      </c>
      <c r="U311" s="91">
        <v>0</v>
      </c>
      <c r="V311" s="129">
        <v>0</v>
      </c>
      <c r="W311" s="91">
        <v>60.480000000000004</v>
      </c>
      <c r="X311" s="129">
        <v>60.480000000000004</v>
      </c>
      <c r="Y311" s="91">
        <v>103.68</v>
      </c>
      <c r="Z311" s="129">
        <v>30.240000000000002</v>
      </c>
      <c r="AA311" s="155">
        <f t="shared" si="21"/>
        <v>54.720000000000006</v>
      </c>
      <c r="AB311" s="98">
        <f t="shared" si="21"/>
        <v>30.24</v>
      </c>
      <c r="AD311" s="97">
        <v>0</v>
      </c>
      <c r="AE311" s="92">
        <v>0</v>
      </c>
      <c r="AF311" s="98">
        <f t="shared" si="20"/>
        <v>0</v>
      </c>
      <c r="AG311" s="97">
        <v>103.68</v>
      </c>
      <c r="AH311" s="92">
        <v>0</v>
      </c>
      <c r="AI311" s="98">
        <f t="shared" si="22"/>
        <v>103.68</v>
      </c>
      <c r="AJ311" s="99">
        <f t="shared" si="19"/>
        <v>103.68</v>
      </c>
      <c r="AK311" s="102" t="str">
        <f>+IF(AB311+AA311+AJ311&lt;=0, "NO COMPRADOR", +IF(AJ311&lt;=0, "SIN COMPRA "&amp;+UPPER(TEXT('DINAMICA ENERO 26'!$C$2,"mmm 'yy")), "COMPRADOR"))</f>
        <v>COMPRADOR</v>
      </c>
      <c r="AO311" s="100"/>
      <c r="AP311" s="100"/>
    </row>
    <row r="312" spans="1:42" hidden="1">
      <c r="A312" s="88" t="s">
        <v>379</v>
      </c>
      <c r="B312" s="89" t="s">
        <v>380</v>
      </c>
      <c r="C312" s="89" t="s">
        <v>38</v>
      </c>
      <c r="D312" s="103">
        <v>100071290</v>
      </c>
      <c r="E312" s="89" t="s">
        <v>41</v>
      </c>
      <c r="F312" s="89">
        <v>100063475</v>
      </c>
      <c r="G312" s="128" t="s">
        <v>395</v>
      </c>
      <c r="S312" s="91">
        <v>64.800000000000011</v>
      </c>
      <c r="T312" s="94">
        <v>64.800000000000011</v>
      </c>
      <c r="U312" s="91">
        <v>0</v>
      </c>
      <c r="V312" s="129">
        <v>0</v>
      </c>
      <c r="W312" s="91">
        <v>54</v>
      </c>
      <c r="X312" s="129">
        <v>0</v>
      </c>
      <c r="Y312" s="91">
        <v>0</v>
      </c>
      <c r="Z312" s="129">
        <v>32.400000000000006</v>
      </c>
      <c r="AA312" s="155">
        <f t="shared" si="21"/>
        <v>18</v>
      </c>
      <c r="AB312" s="98">
        <f t="shared" si="21"/>
        <v>10.800000000000002</v>
      </c>
      <c r="AD312" s="97">
        <v>54</v>
      </c>
      <c r="AE312" s="92">
        <v>0</v>
      </c>
      <c r="AF312" s="98">
        <f t="shared" si="20"/>
        <v>54</v>
      </c>
      <c r="AG312" s="97">
        <v>0</v>
      </c>
      <c r="AH312" s="92">
        <v>54</v>
      </c>
      <c r="AI312" s="98">
        <f t="shared" si="22"/>
        <v>54</v>
      </c>
      <c r="AJ312" s="99">
        <f t="shared" si="19"/>
        <v>108</v>
      </c>
      <c r="AK312" s="102" t="str">
        <f>+IF(AB312+AA312+AJ312&lt;=0, "NO COMPRADOR", +IF(AJ312&lt;=0, "SIN COMPRA "&amp;+UPPER(TEXT('DINAMICA ENERO 26'!$C$2,"mmm 'yy")), "COMPRADOR"))</f>
        <v>COMPRADOR</v>
      </c>
      <c r="AO312" s="100"/>
      <c r="AP312" s="100"/>
    </row>
    <row r="313" spans="1:42" hidden="1">
      <c r="A313" s="88" t="s">
        <v>379</v>
      </c>
      <c r="B313" s="89" t="s">
        <v>380</v>
      </c>
      <c r="C313" s="89" t="s">
        <v>38</v>
      </c>
      <c r="D313" s="103">
        <v>100071290</v>
      </c>
      <c r="E313" s="89" t="s">
        <v>41</v>
      </c>
      <c r="F313" s="89">
        <v>100001583</v>
      </c>
      <c r="G313" s="128" t="s">
        <v>390</v>
      </c>
      <c r="S313" s="91">
        <v>0</v>
      </c>
      <c r="T313" s="94">
        <v>0</v>
      </c>
      <c r="U313" s="91">
        <v>129.60000000000002</v>
      </c>
      <c r="V313" s="129">
        <v>129.60000000000002</v>
      </c>
      <c r="W313" s="91">
        <v>0</v>
      </c>
      <c r="X313" s="129">
        <v>0</v>
      </c>
      <c r="Y313" s="91">
        <v>172.8</v>
      </c>
      <c r="Z313" s="129">
        <v>129.60000000000002</v>
      </c>
      <c r="AA313" s="155">
        <f t="shared" si="21"/>
        <v>100.80000000000001</v>
      </c>
      <c r="AB313" s="98">
        <f t="shared" si="21"/>
        <v>86.40000000000002</v>
      </c>
      <c r="AD313" s="97">
        <v>82.080000000000013</v>
      </c>
      <c r="AE313" s="92">
        <v>0</v>
      </c>
      <c r="AF313" s="98">
        <f t="shared" si="20"/>
        <v>82.080000000000013</v>
      </c>
      <c r="AG313" s="97">
        <v>38.880000000000003</v>
      </c>
      <c r="AH313" s="92">
        <v>0</v>
      </c>
      <c r="AI313" s="98">
        <f t="shared" si="22"/>
        <v>38.880000000000003</v>
      </c>
      <c r="AJ313" s="99">
        <f t="shared" si="19"/>
        <v>120.96000000000001</v>
      </c>
      <c r="AK313" s="102" t="str">
        <f>+IF(AB313+AA313+AJ313&lt;=0, "NO COMPRADOR", +IF(AJ313&lt;=0, "SIN COMPRA "&amp;+UPPER(TEXT('DINAMICA ENERO 26'!$C$2,"mmm 'yy")), "COMPRADOR"))</f>
        <v>COMPRADOR</v>
      </c>
      <c r="AO313" s="100"/>
      <c r="AP313" s="100"/>
    </row>
    <row r="314" spans="1:42" hidden="1">
      <c r="A314" s="88" t="s">
        <v>379</v>
      </c>
      <c r="B314" s="89" t="s">
        <v>380</v>
      </c>
      <c r="C314" s="89" t="s">
        <v>38</v>
      </c>
      <c r="D314" s="103">
        <v>100071290</v>
      </c>
      <c r="E314" s="89" t="s">
        <v>41</v>
      </c>
      <c r="F314" s="89">
        <v>100002003</v>
      </c>
      <c r="G314" s="128" t="s">
        <v>396</v>
      </c>
      <c r="S314" s="91">
        <v>116.64000000000001</v>
      </c>
      <c r="T314" s="94">
        <v>77.760000000000005</v>
      </c>
      <c r="U314" s="91">
        <v>648</v>
      </c>
      <c r="V314" s="129">
        <v>0</v>
      </c>
      <c r="W314" s="91">
        <v>0</v>
      </c>
      <c r="X314" s="129">
        <v>0</v>
      </c>
      <c r="Y314" s="91">
        <v>0</v>
      </c>
      <c r="Z314" s="129">
        <v>0</v>
      </c>
      <c r="AA314" s="155">
        <f t="shared" si="21"/>
        <v>216</v>
      </c>
      <c r="AB314" s="98">
        <f t="shared" si="21"/>
        <v>0</v>
      </c>
      <c r="AD314" s="97">
        <v>0</v>
      </c>
      <c r="AE314" s="92">
        <v>0</v>
      </c>
      <c r="AF314" s="98">
        <f t="shared" si="20"/>
        <v>0</v>
      </c>
      <c r="AG314" s="97">
        <v>38.880000000000003</v>
      </c>
      <c r="AH314" s="92">
        <v>0</v>
      </c>
      <c r="AI314" s="98">
        <f t="shared" si="22"/>
        <v>38.880000000000003</v>
      </c>
      <c r="AJ314" s="99">
        <f t="shared" si="19"/>
        <v>38.880000000000003</v>
      </c>
      <c r="AK314" s="102" t="str">
        <f>+IF(AB314+AA314+AJ314&lt;=0, "NO COMPRADOR", +IF(AJ314&lt;=0, "SIN COMPRA "&amp;+UPPER(TEXT('DINAMICA ENERO 26'!$C$2,"mmm 'yy")), "COMPRADOR"))</f>
        <v>COMPRADOR</v>
      </c>
      <c r="AO314" s="100"/>
      <c r="AP314" s="100"/>
    </row>
    <row r="315" spans="1:42" hidden="1">
      <c r="A315" s="88" t="s">
        <v>379</v>
      </c>
      <c r="B315" s="89" t="s">
        <v>380</v>
      </c>
      <c r="C315" s="89" t="s">
        <v>38</v>
      </c>
      <c r="D315" s="103">
        <v>100071290</v>
      </c>
      <c r="E315" s="89" t="s">
        <v>41</v>
      </c>
      <c r="F315" s="89">
        <v>100002411</v>
      </c>
      <c r="G315" s="128" t="s">
        <v>397</v>
      </c>
      <c r="S315" s="91">
        <v>0</v>
      </c>
      <c r="T315" s="94">
        <v>0</v>
      </c>
      <c r="U315" s="91">
        <v>0</v>
      </c>
      <c r="V315" s="129">
        <v>0</v>
      </c>
      <c r="W315" s="91">
        <v>0</v>
      </c>
      <c r="X315" s="129">
        <v>0</v>
      </c>
      <c r="Y315" s="91">
        <v>0</v>
      </c>
      <c r="Z315" s="129">
        <v>0</v>
      </c>
      <c r="AA315" s="155">
        <f t="shared" si="21"/>
        <v>0</v>
      </c>
      <c r="AB315" s="98">
        <f t="shared" si="21"/>
        <v>0</v>
      </c>
      <c r="AD315" s="97">
        <v>0</v>
      </c>
      <c r="AE315" s="92">
        <v>0</v>
      </c>
      <c r="AF315" s="98">
        <f t="shared" si="20"/>
        <v>0</v>
      </c>
      <c r="AG315" s="97">
        <v>0</v>
      </c>
      <c r="AH315" s="92">
        <v>0</v>
      </c>
      <c r="AI315" s="98">
        <f t="shared" si="22"/>
        <v>0</v>
      </c>
      <c r="AJ315" s="99">
        <f t="shared" si="19"/>
        <v>0</v>
      </c>
      <c r="AK315" s="102" t="str">
        <f>+IF(AB315+AA315+AJ315&lt;=0, "NO COMPRADOR", +IF(AJ315&lt;=0, "SIN COMPRA "&amp;+UPPER(TEXT('DINAMICA ENERO 26'!$C$2,"mmm 'yy")), "COMPRADOR"))</f>
        <v>NO COMPRADOR</v>
      </c>
      <c r="AO315" s="100"/>
      <c r="AP315" s="100"/>
    </row>
    <row r="316" spans="1:42" hidden="1">
      <c r="A316" s="88" t="s">
        <v>379</v>
      </c>
      <c r="B316" s="89" t="s">
        <v>380</v>
      </c>
      <c r="C316" s="89" t="s">
        <v>38</v>
      </c>
      <c r="D316" s="103">
        <v>100071290</v>
      </c>
      <c r="E316" s="89" t="s">
        <v>41</v>
      </c>
      <c r="F316" s="89">
        <v>100002069</v>
      </c>
      <c r="G316" s="128" t="s">
        <v>398</v>
      </c>
      <c r="S316" s="91">
        <v>108</v>
      </c>
      <c r="T316" s="94">
        <v>64.800000000000011</v>
      </c>
      <c r="U316" s="91">
        <v>0</v>
      </c>
      <c r="V316" s="129">
        <v>0</v>
      </c>
      <c r="W316" s="91">
        <v>64.800000000000011</v>
      </c>
      <c r="X316" s="129">
        <v>64.800000000000011</v>
      </c>
      <c r="Y316" s="91">
        <v>0</v>
      </c>
      <c r="Z316" s="129">
        <v>0</v>
      </c>
      <c r="AA316" s="155">
        <f t="shared" si="21"/>
        <v>21.600000000000005</v>
      </c>
      <c r="AB316" s="98">
        <f t="shared" si="21"/>
        <v>21.600000000000005</v>
      </c>
      <c r="AD316" s="97">
        <v>0</v>
      </c>
      <c r="AE316" s="92">
        <v>0</v>
      </c>
      <c r="AF316" s="98">
        <f t="shared" si="20"/>
        <v>0</v>
      </c>
      <c r="AG316" s="97">
        <v>0</v>
      </c>
      <c r="AH316" s="92">
        <v>0</v>
      </c>
      <c r="AI316" s="98">
        <f t="shared" si="22"/>
        <v>0</v>
      </c>
      <c r="AJ316" s="99">
        <f t="shared" si="19"/>
        <v>0</v>
      </c>
      <c r="AK316" s="102" t="str">
        <f>+IF(AB316+AA316+AJ316&lt;=0, "NO COMPRADOR", +IF(AJ316&lt;=0, "SIN COMPRA "&amp;+UPPER(TEXT('DINAMICA ENERO 26'!$C$2,"mmm 'yy")), "COMPRADOR"))</f>
        <v>SIN COMPRA FEB '26</v>
      </c>
      <c r="AO316" s="100"/>
      <c r="AP316" s="100"/>
    </row>
    <row r="317" spans="1:42" hidden="1">
      <c r="A317" s="88" t="s">
        <v>379</v>
      </c>
      <c r="B317" s="89" t="s">
        <v>380</v>
      </c>
      <c r="C317" s="89" t="s">
        <v>38</v>
      </c>
      <c r="D317" s="103">
        <v>100071290</v>
      </c>
      <c r="E317" s="89" t="s">
        <v>41</v>
      </c>
      <c r="F317" s="89">
        <v>100002068</v>
      </c>
      <c r="G317" s="128" t="s">
        <v>399</v>
      </c>
      <c r="S317" s="91">
        <v>0</v>
      </c>
      <c r="T317" s="94">
        <v>0</v>
      </c>
      <c r="U317" s="91">
        <v>0</v>
      </c>
      <c r="V317" s="129">
        <v>0</v>
      </c>
      <c r="W317" s="91">
        <v>0</v>
      </c>
      <c r="X317" s="129">
        <v>0</v>
      </c>
      <c r="Y317" s="91">
        <v>0</v>
      </c>
      <c r="Z317" s="129">
        <v>0</v>
      </c>
      <c r="AA317" s="155">
        <f t="shared" si="21"/>
        <v>0</v>
      </c>
      <c r="AB317" s="98">
        <f t="shared" si="21"/>
        <v>0</v>
      </c>
      <c r="AD317" s="97">
        <v>43.2</v>
      </c>
      <c r="AE317" s="92">
        <v>0</v>
      </c>
      <c r="AF317" s="98">
        <f t="shared" si="20"/>
        <v>43.2</v>
      </c>
      <c r="AG317" s="97">
        <v>86.4</v>
      </c>
      <c r="AH317" s="92">
        <v>0</v>
      </c>
      <c r="AI317" s="98">
        <f t="shared" si="22"/>
        <v>86.4</v>
      </c>
      <c r="AJ317" s="99">
        <f t="shared" si="19"/>
        <v>129.60000000000002</v>
      </c>
      <c r="AK317" s="102" t="str">
        <f>+IF(AB317+AA317+AJ317&lt;=0, "NO COMPRADOR", +IF(AJ317&lt;=0, "SIN COMPRA "&amp;+UPPER(TEXT('DINAMICA ENERO 26'!$C$2,"mmm 'yy")), "COMPRADOR"))</f>
        <v>COMPRADOR</v>
      </c>
      <c r="AO317" s="100"/>
      <c r="AP317" s="100"/>
    </row>
    <row r="318" spans="1:42" hidden="1">
      <c r="A318" s="88" t="s">
        <v>379</v>
      </c>
      <c r="B318" s="89" t="s">
        <v>380</v>
      </c>
      <c r="C318" s="89" t="s">
        <v>38</v>
      </c>
      <c r="D318" s="103">
        <v>100071290</v>
      </c>
      <c r="E318" s="89" t="s">
        <v>41</v>
      </c>
      <c r="F318" s="89">
        <v>100008576</v>
      </c>
      <c r="G318" s="128" t="s">
        <v>400</v>
      </c>
      <c r="S318" s="91">
        <v>129.60000000000002</v>
      </c>
      <c r="T318" s="94">
        <v>129.60000000000002</v>
      </c>
      <c r="U318" s="91">
        <v>0</v>
      </c>
      <c r="V318" s="129">
        <v>0</v>
      </c>
      <c r="W318" s="91">
        <v>21.6</v>
      </c>
      <c r="X318" s="129">
        <v>21.6</v>
      </c>
      <c r="Y318" s="91">
        <v>108.00000000000001</v>
      </c>
      <c r="Z318" s="129">
        <v>71.28</v>
      </c>
      <c r="AA318" s="155">
        <f t="shared" si="21"/>
        <v>43.20000000000001</v>
      </c>
      <c r="AB318" s="98">
        <f t="shared" si="21"/>
        <v>30.959999999999997</v>
      </c>
      <c r="AD318" s="97">
        <v>0</v>
      </c>
      <c r="AE318" s="92">
        <v>51.84</v>
      </c>
      <c r="AF318" s="98">
        <f t="shared" si="20"/>
        <v>51.84</v>
      </c>
      <c r="AG318" s="97">
        <v>0</v>
      </c>
      <c r="AH318" s="92">
        <v>25.92</v>
      </c>
      <c r="AI318" s="98">
        <f t="shared" si="22"/>
        <v>25.92</v>
      </c>
      <c r="AJ318" s="99">
        <f t="shared" si="19"/>
        <v>77.760000000000005</v>
      </c>
      <c r="AK318" s="102" t="str">
        <f>+IF(AB318+AA318+AJ318&lt;=0, "NO COMPRADOR", +IF(AJ318&lt;=0, "SIN COMPRA "&amp;+UPPER(TEXT('DINAMICA ENERO 26'!$C$2,"mmm 'yy")), "COMPRADOR"))</f>
        <v>COMPRADOR</v>
      </c>
      <c r="AO318" s="100"/>
      <c r="AP318" s="100"/>
    </row>
    <row r="319" spans="1:42" hidden="1">
      <c r="A319" s="88" t="s">
        <v>379</v>
      </c>
      <c r="B319" s="89" t="s">
        <v>401</v>
      </c>
      <c r="C319" s="89" t="s">
        <v>60</v>
      </c>
      <c r="D319" s="103">
        <v>100088964</v>
      </c>
      <c r="E319" s="89" t="s">
        <v>64</v>
      </c>
      <c r="F319" s="89">
        <v>100001342</v>
      </c>
      <c r="G319" s="128" t="s">
        <v>387</v>
      </c>
      <c r="S319" s="91">
        <v>0</v>
      </c>
      <c r="T319" s="94">
        <v>0</v>
      </c>
      <c r="U319" s="91">
        <v>0</v>
      </c>
      <c r="V319" s="129">
        <v>0</v>
      </c>
      <c r="W319" s="91">
        <v>0</v>
      </c>
      <c r="X319" s="129">
        <v>0</v>
      </c>
      <c r="Y319" s="91">
        <v>0</v>
      </c>
      <c r="Z319" s="129">
        <v>0</v>
      </c>
      <c r="AA319" s="155">
        <f t="shared" si="21"/>
        <v>0</v>
      </c>
      <c r="AB319" s="98">
        <f t="shared" si="21"/>
        <v>0</v>
      </c>
      <c r="AD319" s="97">
        <v>0</v>
      </c>
      <c r="AE319" s="92">
        <v>0</v>
      </c>
      <c r="AF319" s="98">
        <f t="shared" si="20"/>
        <v>0</v>
      </c>
      <c r="AG319" s="97">
        <v>0</v>
      </c>
      <c r="AH319" s="92">
        <v>0</v>
      </c>
      <c r="AI319" s="98">
        <f t="shared" si="22"/>
        <v>0</v>
      </c>
      <c r="AJ319" s="99">
        <f t="shared" si="19"/>
        <v>0</v>
      </c>
      <c r="AK319" s="102" t="str">
        <f>+IF(AB319+AA319+AJ319&lt;=0, "NO COMPRADOR", +IF(AJ319&lt;=0, "SIN COMPRA "&amp;+UPPER(TEXT('DINAMICA ENERO 26'!$C$2,"mmm 'yy")), "COMPRADOR"))</f>
        <v>NO COMPRADOR</v>
      </c>
      <c r="AO319" s="100"/>
      <c r="AP319" s="100"/>
    </row>
    <row r="320" spans="1:42" hidden="1">
      <c r="A320" s="88" t="s">
        <v>379</v>
      </c>
      <c r="B320" s="89" t="s">
        <v>401</v>
      </c>
      <c r="C320" s="89" t="s">
        <v>60</v>
      </c>
      <c r="D320" s="103">
        <v>100088964</v>
      </c>
      <c r="E320" s="89" t="s">
        <v>64</v>
      </c>
      <c r="F320" s="89">
        <v>100001434</v>
      </c>
      <c r="G320" s="128" t="s">
        <v>381</v>
      </c>
      <c r="S320" s="91">
        <v>0</v>
      </c>
      <c r="T320" s="94">
        <v>0</v>
      </c>
      <c r="U320" s="91">
        <v>0</v>
      </c>
      <c r="V320" s="129">
        <v>0</v>
      </c>
      <c r="W320" s="91">
        <v>0</v>
      </c>
      <c r="X320" s="129">
        <v>0</v>
      </c>
      <c r="Y320" s="91">
        <v>0</v>
      </c>
      <c r="Z320" s="129">
        <v>0</v>
      </c>
      <c r="AA320" s="155">
        <f t="shared" si="21"/>
        <v>0</v>
      </c>
      <c r="AB320" s="98">
        <f t="shared" si="21"/>
        <v>0</v>
      </c>
      <c r="AD320" s="97">
        <v>0</v>
      </c>
      <c r="AE320" s="92">
        <v>0</v>
      </c>
      <c r="AF320" s="98">
        <f t="shared" si="20"/>
        <v>0</v>
      </c>
      <c r="AG320" s="97">
        <v>0</v>
      </c>
      <c r="AH320" s="92">
        <v>0</v>
      </c>
      <c r="AI320" s="98">
        <f t="shared" si="22"/>
        <v>0</v>
      </c>
      <c r="AJ320" s="99">
        <f t="shared" si="19"/>
        <v>0</v>
      </c>
      <c r="AK320" s="102" t="str">
        <f>+IF(AB320+AA320+AJ320&lt;=0, "NO COMPRADOR", +IF(AJ320&lt;=0, "SIN COMPRA "&amp;+UPPER(TEXT('DINAMICA ENERO 26'!$C$2,"mmm 'yy")), "COMPRADOR"))</f>
        <v>NO COMPRADOR</v>
      </c>
      <c r="AO320" s="100"/>
      <c r="AP320" s="100"/>
    </row>
    <row r="321" spans="1:42" hidden="1">
      <c r="A321" s="88" t="s">
        <v>379</v>
      </c>
      <c r="B321" s="89" t="s">
        <v>401</v>
      </c>
      <c r="C321" s="89" t="s">
        <v>60</v>
      </c>
      <c r="D321" s="103">
        <v>100088964</v>
      </c>
      <c r="E321" s="89" t="s">
        <v>64</v>
      </c>
      <c r="F321" s="89">
        <v>100001507</v>
      </c>
      <c r="G321" s="128" t="s">
        <v>402</v>
      </c>
      <c r="S321" s="91">
        <v>0</v>
      </c>
      <c r="T321" s="94">
        <v>0</v>
      </c>
      <c r="U321" s="91">
        <v>0</v>
      </c>
      <c r="V321" s="129">
        <v>0</v>
      </c>
      <c r="W321" s="91">
        <v>2.16</v>
      </c>
      <c r="X321" s="129">
        <v>4.32</v>
      </c>
      <c r="Y321" s="91">
        <v>0</v>
      </c>
      <c r="Z321" s="129">
        <v>0</v>
      </c>
      <c r="AA321" s="155">
        <f t="shared" si="21"/>
        <v>0.72000000000000008</v>
      </c>
      <c r="AB321" s="98">
        <f t="shared" si="21"/>
        <v>1.4400000000000002</v>
      </c>
      <c r="AD321" s="97">
        <v>0</v>
      </c>
      <c r="AE321" s="92">
        <v>0</v>
      </c>
      <c r="AF321" s="98">
        <f t="shared" si="20"/>
        <v>0</v>
      </c>
      <c r="AG321" s="97">
        <v>0</v>
      </c>
      <c r="AH321" s="92">
        <v>0</v>
      </c>
      <c r="AI321" s="98">
        <f t="shared" si="22"/>
        <v>0</v>
      </c>
      <c r="AJ321" s="99">
        <f t="shared" si="19"/>
        <v>0</v>
      </c>
      <c r="AK321" s="102" t="str">
        <f>+IF(AB321+AA321+AJ321&lt;=0, "NO COMPRADOR", +IF(AJ321&lt;=0, "SIN COMPRA "&amp;+UPPER(TEXT('DINAMICA ENERO 26'!$C$2,"mmm 'yy")), "COMPRADOR"))</f>
        <v>SIN COMPRA FEB '26</v>
      </c>
      <c r="AO321" s="100"/>
      <c r="AP321" s="100"/>
    </row>
    <row r="322" spans="1:42" hidden="1">
      <c r="A322" s="88" t="s">
        <v>379</v>
      </c>
      <c r="B322" s="89" t="s">
        <v>401</v>
      </c>
      <c r="C322" s="89" t="s">
        <v>60</v>
      </c>
      <c r="D322" s="103">
        <v>100088964</v>
      </c>
      <c r="E322" s="89" t="s">
        <v>64</v>
      </c>
      <c r="F322" s="89">
        <v>100074147</v>
      </c>
      <c r="G322" s="128" t="s">
        <v>403</v>
      </c>
      <c r="S322" s="91">
        <v>0</v>
      </c>
      <c r="T322" s="94">
        <v>0</v>
      </c>
      <c r="U322" s="91">
        <v>0</v>
      </c>
      <c r="V322" s="129">
        <v>0</v>
      </c>
      <c r="W322" s="91">
        <v>0</v>
      </c>
      <c r="X322" s="129">
        <v>0</v>
      </c>
      <c r="Y322" s="91">
        <v>0</v>
      </c>
      <c r="Z322" s="129">
        <v>0</v>
      </c>
      <c r="AA322" s="155">
        <f t="shared" si="21"/>
        <v>0</v>
      </c>
      <c r="AB322" s="98">
        <f t="shared" si="21"/>
        <v>0</v>
      </c>
      <c r="AD322" s="97">
        <v>0</v>
      </c>
      <c r="AE322" s="92">
        <v>0</v>
      </c>
      <c r="AF322" s="98">
        <f t="shared" si="20"/>
        <v>0</v>
      </c>
      <c r="AG322" s="97">
        <v>0</v>
      </c>
      <c r="AH322" s="92">
        <v>0</v>
      </c>
      <c r="AI322" s="98">
        <f t="shared" si="22"/>
        <v>0</v>
      </c>
      <c r="AJ322" s="99">
        <f t="shared" si="19"/>
        <v>0</v>
      </c>
      <c r="AK322" s="102" t="str">
        <f>+IF(AB322+AA322+AJ322&lt;=0, "NO COMPRADOR", +IF(AJ322&lt;=0, "SIN COMPRA "&amp;+UPPER(TEXT('DINAMICA ENERO 26'!$C$2,"mmm 'yy")), "COMPRADOR"))</f>
        <v>NO COMPRADOR</v>
      </c>
      <c r="AO322" s="100"/>
      <c r="AP322" s="100"/>
    </row>
    <row r="323" spans="1:42" hidden="1">
      <c r="A323" s="88" t="s">
        <v>379</v>
      </c>
      <c r="B323" s="89" t="s">
        <v>401</v>
      </c>
      <c r="C323" s="89" t="s">
        <v>60</v>
      </c>
      <c r="D323" s="103">
        <v>100088964</v>
      </c>
      <c r="E323" s="89" t="s">
        <v>64</v>
      </c>
      <c r="F323" s="89">
        <v>100071913</v>
      </c>
      <c r="G323" s="128" t="s">
        <v>404</v>
      </c>
      <c r="S323" s="91">
        <v>0</v>
      </c>
      <c r="T323" s="94">
        <v>0</v>
      </c>
      <c r="U323" s="91">
        <v>0</v>
      </c>
      <c r="V323" s="129">
        <v>0</v>
      </c>
      <c r="W323" s="91">
        <v>0</v>
      </c>
      <c r="X323" s="129">
        <v>2.16</v>
      </c>
      <c r="Y323" s="91">
        <v>0</v>
      </c>
      <c r="Z323" s="129">
        <v>0</v>
      </c>
      <c r="AA323" s="155">
        <f t="shared" si="21"/>
        <v>0</v>
      </c>
      <c r="AB323" s="98">
        <f t="shared" si="21"/>
        <v>0.72000000000000008</v>
      </c>
      <c r="AD323" s="97">
        <v>0</v>
      </c>
      <c r="AE323" s="92">
        <v>0</v>
      </c>
      <c r="AF323" s="98">
        <f t="shared" si="20"/>
        <v>0</v>
      </c>
      <c r="AG323" s="97">
        <v>0</v>
      </c>
      <c r="AH323" s="92">
        <v>0</v>
      </c>
      <c r="AI323" s="98">
        <f t="shared" si="22"/>
        <v>0</v>
      </c>
      <c r="AJ323" s="99">
        <f t="shared" ref="AJ323:AJ374" si="23">+AF323+AI323</f>
        <v>0</v>
      </c>
      <c r="AK323" s="102" t="str">
        <f>+IF(AB323+AA323+AJ323&lt;=0, "NO COMPRADOR", +IF(AJ323&lt;=0, "SIN COMPRA "&amp;+UPPER(TEXT('DINAMICA ENERO 26'!$C$2,"mmm 'yy")), "COMPRADOR"))</f>
        <v>SIN COMPRA FEB '26</v>
      </c>
      <c r="AO323" s="100"/>
      <c r="AP323" s="100"/>
    </row>
    <row r="324" spans="1:42" hidden="1">
      <c r="A324" s="88" t="s">
        <v>379</v>
      </c>
      <c r="B324" s="89" t="s">
        <v>405</v>
      </c>
      <c r="C324" s="89" t="s">
        <v>32</v>
      </c>
      <c r="D324" s="103">
        <v>100089882</v>
      </c>
      <c r="E324" s="89" t="s">
        <v>36</v>
      </c>
      <c r="F324" s="89">
        <v>100001979</v>
      </c>
      <c r="G324" s="128" t="s">
        <v>290</v>
      </c>
      <c r="S324" s="91">
        <v>0</v>
      </c>
      <c r="T324" s="94">
        <v>0</v>
      </c>
      <c r="U324" s="91">
        <v>0</v>
      </c>
      <c r="V324" s="129">
        <v>0</v>
      </c>
      <c r="W324" s="91">
        <v>0</v>
      </c>
      <c r="X324" s="129">
        <v>0</v>
      </c>
      <c r="Y324" s="91">
        <v>0</v>
      </c>
      <c r="Z324" s="129">
        <v>0</v>
      </c>
      <c r="AA324" s="155">
        <f t="shared" si="21"/>
        <v>0</v>
      </c>
      <c r="AB324" s="98">
        <f t="shared" si="21"/>
        <v>0</v>
      </c>
      <c r="AD324" s="97">
        <v>0</v>
      </c>
      <c r="AE324" s="92">
        <v>0</v>
      </c>
      <c r="AF324" s="98">
        <f t="shared" ref="AF324:AF375" si="24">+AD324+AE324</f>
        <v>0</v>
      </c>
      <c r="AG324" s="97">
        <v>0</v>
      </c>
      <c r="AH324" s="92">
        <v>0</v>
      </c>
      <c r="AI324" s="98">
        <f t="shared" si="22"/>
        <v>0</v>
      </c>
      <c r="AJ324" s="99">
        <f t="shared" si="23"/>
        <v>0</v>
      </c>
      <c r="AK324" s="102" t="str">
        <f>+IF(AB324+AA324+AJ324&lt;=0, "NO COMPRADOR", +IF(AJ324&lt;=0, "SIN COMPRA "&amp;+UPPER(TEXT('DINAMICA ENERO 26'!$C$2,"mmm 'yy")), "COMPRADOR"))</f>
        <v>NO COMPRADOR</v>
      </c>
      <c r="AO324" s="100"/>
      <c r="AP324" s="100"/>
    </row>
    <row r="325" spans="1:42" hidden="1">
      <c r="A325" s="88" t="s">
        <v>379</v>
      </c>
      <c r="B325" s="89" t="s">
        <v>405</v>
      </c>
      <c r="C325" s="89" t="s">
        <v>32</v>
      </c>
      <c r="D325" s="103">
        <v>100089882</v>
      </c>
      <c r="E325" s="89" t="s">
        <v>36</v>
      </c>
      <c r="F325" s="89">
        <v>100001914</v>
      </c>
      <c r="G325" s="128" t="s">
        <v>406</v>
      </c>
      <c r="S325" s="91">
        <v>0</v>
      </c>
      <c r="T325" s="94">
        <v>0</v>
      </c>
      <c r="U325" s="91">
        <v>6.48</v>
      </c>
      <c r="V325" s="129">
        <v>10.8</v>
      </c>
      <c r="W325" s="91">
        <v>15.120000000000001</v>
      </c>
      <c r="X325" s="129">
        <v>10.8</v>
      </c>
      <c r="Y325" s="91">
        <v>0</v>
      </c>
      <c r="Z325" s="129">
        <v>0</v>
      </c>
      <c r="AA325" s="155">
        <f t="shared" si="21"/>
        <v>7.2</v>
      </c>
      <c r="AB325" s="98">
        <f t="shared" si="21"/>
        <v>7.2</v>
      </c>
      <c r="AD325" s="97">
        <v>10.8</v>
      </c>
      <c r="AE325" s="92">
        <v>0</v>
      </c>
      <c r="AF325" s="98">
        <f t="shared" si="24"/>
        <v>10.8</v>
      </c>
      <c r="AG325" s="97">
        <v>12.96</v>
      </c>
      <c r="AH325" s="92">
        <v>0</v>
      </c>
      <c r="AI325" s="98">
        <f t="shared" si="22"/>
        <v>12.96</v>
      </c>
      <c r="AJ325" s="99">
        <f t="shared" si="23"/>
        <v>23.76</v>
      </c>
      <c r="AK325" s="102" t="str">
        <f>+IF(AB325+AA325+AJ325&lt;=0, "NO COMPRADOR", +IF(AJ325&lt;=0, "SIN COMPRA "&amp;+UPPER(TEXT('DINAMICA ENERO 26'!$C$2,"mmm 'yy")), "COMPRADOR"))</f>
        <v>COMPRADOR</v>
      </c>
      <c r="AO325" s="100"/>
      <c r="AP325" s="100"/>
    </row>
    <row r="326" spans="1:42" hidden="1">
      <c r="A326" s="88" t="s">
        <v>407</v>
      </c>
      <c r="B326" s="89" t="s">
        <v>407</v>
      </c>
      <c r="C326" s="89" t="s">
        <v>32</v>
      </c>
      <c r="D326" s="103">
        <v>100066387</v>
      </c>
      <c r="E326" s="89" t="s">
        <v>34</v>
      </c>
      <c r="F326" s="89">
        <v>100002258</v>
      </c>
      <c r="G326" s="128" t="s">
        <v>408</v>
      </c>
      <c r="S326" s="91">
        <v>129.60000000000002</v>
      </c>
      <c r="T326" s="94">
        <v>129.60000000000002</v>
      </c>
      <c r="U326" s="91">
        <v>129.60000000000002</v>
      </c>
      <c r="V326" s="129">
        <v>129.60000000000002</v>
      </c>
      <c r="W326" s="91">
        <v>127.44</v>
      </c>
      <c r="X326" s="129">
        <v>-4.32</v>
      </c>
      <c r="Y326" s="91">
        <v>0</v>
      </c>
      <c r="Z326" s="129">
        <v>0</v>
      </c>
      <c r="AA326" s="155">
        <f t="shared" si="21"/>
        <v>85.68</v>
      </c>
      <c r="AB326" s="98">
        <f t="shared" si="21"/>
        <v>41.760000000000012</v>
      </c>
      <c r="AD326" s="97">
        <v>0</v>
      </c>
      <c r="AE326" s="92">
        <v>1036.8</v>
      </c>
      <c r="AF326" s="98">
        <f t="shared" si="24"/>
        <v>1036.8</v>
      </c>
      <c r="AG326" s="97">
        <v>0</v>
      </c>
      <c r="AH326" s="92">
        <v>86.4</v>
      </c>
      <c r="AI326" s="98">
        <f t="shared" si="22"/>
        <v>86.4</v>
      </c>
      <c r="AJ326" s="99">
        <f t="shared" si="23"/>
        <v>1123.2</v>
      </c>
      <c r="AK326" s="102" t="str">
        <f>+IF(AB326+AA326+AJ326&lt;=0, "NO COMPRADOR", +IF(AJ326&lt;=0, "SIN COMPRA "&amp;+UPPER(TEXT('DINAMICA ENERO 26'!$C$2,"mmm 'yy")), "COMPRADOR"))</f>
        <v>COMPRADOR</v>
      </c>
      <c r="AO326" s="100"/>
      <c r="AP326" s="100"/>
    </row>
    <row r="327" spans="1:42" hidden="1">
      <c r="A327" s="88" t="s">
        <v>407</v>
      </c>
      <c r="B327" s="89" t="s">
        <v>407</v>
      </c>
      <c r="C327" s="89" t="s">
        <v>32</v>
      </c>
      <c r="D327" s="103">
        <v>100087600</v>
      </c>
      <c r="E327" s="89" t="s">
        <v>33</v>
      </c>
      <c r="F327" s="89">
        <v>100002545</v>
      </c>
      <c r="G327" s="128" t="s">
        <v>409</v>
      </c>
      <c r="S327" s="91">
        <v>0</v>
      </c>
      <c r="T327" s="94">
        <v>0</v>
      </c>
      <c r="U327" s="91">
        <v>0</v>
      </c>
      <c r="V327" s="129">
        <v>0</v>
      </c>
      <c r="W327" s="91">
        <v>0</v>
      </c>
      <c r="X327" s="129">
        <v>0</v>
      </c>
      <c r="Y327" s="91">
        <v>345.6</v>
      </c>
      <c r="Z327" s="129">
        <v>388.8</v>
      </c>
      <c r="AA327" s="155">
        <f t="shared" si="21"/>
        <v>115.2</v>
      </c>
      <c r="AB327" s="98">
        <f t="shared" si="21"/>
        <v>129.6</v>
      </c>
      <c r="AD327" s="97">
        <v>86.4</v>
      </c>
      <c r="AE327" s="92">
        <v>0</v>
      </c>
      <c r="AF327" s="98">
        <f t="shared" si="24"/>
        <v>86.4</v>
      </c>
      <c r="AG327" s="97">
        <v>86.4</v>
      </c>
      <c r="AH327" s="92">
        <v>0</v>
      </c>
      <c r="AI327" s="98">
        <f t="shared" si="22"/>
        <v>86.4</v>
      </c>
      <c r="AJ327" s="99">
        <f t="shared" si="23"/>
        <v>172.8</v>
      </c>
      <c r="AK327" s="102" t="str">
        <f>+IF(AB327+AA327+AJ327&lt;=0, "NO COMPRADOR", +IF(AJ327&lt;=0, "SIN COMPRA "&amp;+UPPER(TEXT('DINAMICA ENERO 26'!$C$2,"mmm 'yy")), "COMPRADOR"))</f>
        <v>COMPRADOR</v>
      </c>
      <c r="AO327" s="100"/>
      <c r="AP327" s="100"/>
    </row>
    <row r="328" spans="1:42" hidden="1">
      <c r="A328" s="88" t="s">
        <v>407</v>
      </c>
      <c r="B328" s="89" t="s">
        <v>407</v>
      </c>
      <c r="C328" s="89" t="s">
        <v>32</v>
      </c>
      <c r="D328" s="103">
        <v>100087600</v>
      </c>
      <c r="E328" s="89" t="s">
        <v>33</v>
      </c>
      <c r="F328" s="89">
        <v>100002424</v>
      </c>
      <c r="G328" s="128" t="s">
        <v>410</v>
      </c>
      <c r="S328" s="91">
        <v>0</v>
      </c>
      <c r="T328" s="94">
        <v>0</v>
      </c>
      <c r="U328" s="91">
        <v>43.2</v>
      </c>
      <c r="V328" s="129">
        <v>43.2</v>
      </c>
      <c r="W328" s="91">
        <v>0</v>
      </c>
      <c r="X328" s="129">
        <v>0</v>
      </c>
      <c r="Y328" s="91">
        <v>23.76</v>
      </c>
      <c r="Z328" s="129">
        <v>34.56</v>
      </c>
      <c r="AA328" s="155">
        <f t="shared" si="21"/>
        <v>22.320000000000004</v>
      </c>
      <c r="AB328" s="98">
        <f t="shared" si="21"/>
        <v>25.92</v>
      </c>
      <c r="AD328" s="97">
        <v>0</v>
      </c>
      <c r="AE328" s="92">
        <v>0</v>
      </c>
      <c r="AF328" s="98">
        <f t="shared" si="24"/>
        <v>0</v>
      </c>
      <c r="AG328" s="97">
        <v>0</v>
      </c>
      <c r="AH328" s="92">
        <v>0</v>
      </c>
      <c r="AI328" s="98">
        <f t="shared" si="22"/>
        <v>0</v>
      </c>
      <c r="AJ328" s="99">
        <f t="shared" si="23"/>
        <v>0</v>
      </c>
      <c r="AK328" s="102" t="str">
        <f>+IF(AB328+AA328+AJ328&lt;=0, "NO COMPRADOR", +IF(AJ328&lt;=0, "SIN COMPRA "&amp;+UPPER(TEXT('DINAMICA ENERO 26'!$C$2,"mmm 'yy")), "COMPRADOR"))</f>
        <v>SIN COMPRA FEB '26</v>
      </c>
      <c r="AO328" s="100"/>
      <c r="AP328" s="100"/>
    </row>
    <row r="329" spans="1:42" hidden="1">
      <c r="A329" s="88" t="s">
        <v>407</v>
      </c>
      <c r="B329" s="89" t="s">
        <v>407</v>
      </c>
      <c r="C329" s="89" t="s">
        <v>32</v>
      </c>
      <c r="D329" s="103">
        <v>100087600</v>
      </c>
      <c r="E329" s="89" t="s">
        <v>33</v>
      </c>
      <c r="F329" s="89">
        <v>100002055</v>
      </c>
      <c r="G329" s="128" t="s">
        <v>411</v>
      </c>
      <c r="S329" s="91">
        <v>319.68</v>
      </c>
      <c r="T329" s="94">
        <v>298.08000000000004</v>
      </c>
      <c r="U329" s="91">
        <v>419.03999999999996</v>
      </c>
      <c r="V329" s="129">
        <v>233.28000000000003</v>
      </c>
      <c r="W329" s="91">
        <v>0</v>
      </c>
      <c r="X329" s="129">
        <v>116.64000000000001</v>
      </c>
      <c r="Y329" s="91">
        <v>-116.64000000000001</v>
      </c>
      <c r="Z329" s="129">
        <v>168.48000000000002</v>
      </c>
      <c r="AA329" s="155">
        <f t="shared" si="21"/>
        <v>100.8</v>
      </c>
      <c r="AB329" s="98">
        <f t="shared" si="21"/>
        <v>172.80000000000004</v>
      </c>
      <c r="AD329" s="97">
        <v>0</v>
      </c>
      <c r="AE329" s="92">
        <v>0</v>
      </c>
      <c r="AF329" s="98">
        <f t="shared" si="24"/>
        <v>0</v>
      </c>
      <c r="AG329" s="97">
        <v>0</v>
      </c>
      <c r="AH329" s="92">
        <v>0</v>
      </c>
      <c r="AI329" s="98">
        <f t="shared" si="22"/>
        <v>0</v>
      </c>
      <c r="AJ329" s="99">
        <f t="shared" si="23"/>
        <v>0</v>
      </c>
      <c r="AK329" s="102" t="str">
        <f>+IF(AB329+AA329+AJ329&lt;=0, "NO COMPRADOR", +IF(AJ329&lt;=0, "SIN COMPRA "&amp;+UPPER(TEXT('DINAMICA ENERO 26'!$C$2,"mmm 'yy")), "COMPRADOR"))</f>
        <v>SIN COMPRA FEB '26</v>
      </c>
      <c r="AO329" s="100"/>
      <c r="AP329" s="100"/>
    </row>
    <row r="330" spans="1:42" hidden="1">
      <c r="A330" s="88" t="s">
        <v>407</v>
      </c>
      <c r="B330" s="89" t="s">
        <v>407</v>
      </c>
      <c r="C330" s="89" t="s">
        <v>32</v>
      </c>
      <c r="D330" s="103">
        <v>100087600</v>
      </c>
      <c r="E330" s="89" t="s">
        <v>33</v>
      </c>
      <c r="F330" s="89">
        <v>100002054</v>
      </c>
      <c r="G330" s="128" t="s">
        <v>412</v>
      </c>
      <c r="S330" s="91">
        <v>0</v>
      </c>
      <c r="T330" s="94">
        <v>0</v>
      </c>
      <c r="U330" s="91">
        <v>254.87999999999991</v>
      </c>
      <c r="V330" s="129">
        <v>71.279999999999944</v>
      </c>
      <c r="W330" s="91">
        <v>386.64</v>
      </c>
      <c r="X330" s="129">
        <v>183.59999999999988</v>
      </c>
      <c r="Y330" s="91">
        <v>235.43999999999988</v>
      </c>
      <c r="Z330" s="129">
        <v>200.87999999999997</v>
      </c>
      <c r="AA330" s="155">
        <f t="shared" si="21"/>
        <v>292.31999999999994</v>
      </c>
      <c r="AB330" s="98">
        <f t="shared" si="21"/>
        <v>151.91999999999993</v>
      </c>
      <c r="AD330" s="97">
        <v>438.48000000000013</v>
      </c>
      <c r="AE330" s="92">
        <v>237.60000000000002</v>
      </c>
      <c r="AF330" s="98">
        <f t="shared" si="24"/>
        <v>676.08000000000015</v>
      </c>
      <c r="AG330" s="97">
        <v>215.99999999999997</v>
      </c>
      <c r="AH330" s="92">
        <v>144.72000000000003</v>
      </c>
      <c r="AI330" s="98">
        <f t="shared" si="22"/>
        <v>360.72</v>
      </c>
      <c r="AJ330" s="99">
        <f t="shared" si="23"/>
        <v>1036.8000000000002</v>
      </c>
      <c r="AK330" s="102" t="str">
        <f>+IF(AB330+AA330+AJ330&lt;=0, "NO COMPRADOR", +IF(AJ330&lt;=0, "SIN COMPRA "&amp;+UPPER(TEXT('DINAMICA ENERO 26'!$C$2,"mmm 'yy")), "COMPRADOR"))</f>
        <v>COMPRADOR</v>
      </c>
      <c r="AO330" s="100"/>
      <c r="AP330" s="100"/>
    </row>
    <row r="331" spans="1:42" hidden="1">
      <c r="A331" s="88" t="s">
        <v>407</v>
      </c>
      <c r="B331" s="89" t="s">
        <v>407</v>
      </c>
      <c r="C331" s="89" t="s">
        <v>32</v>
      </c>
      <c r="D331" s="103">
        <v>100087600</v>
      </c>
      <c r="E331" s="89" t="s">
        <v>33</v>
      </c>
      <c r="F331" s="89">
        <v>100001241</v>
      </c>
      <c r="G331" s="128" t="s">
        <v>413</v>
      </c>
      <c r="S331" s="91">
        <v>0</v>
      </c>
      <c r="T331" s="94">
        <v>0</v>
      </c>
      <c r="U331" s="91">
        <v>0</v>
      </c>
      <c r="V331" s="129">
        <v>0</v>
      </c>
      <c r="W331" s="91">
        <v>64.8</v>
      </c>
      <c r="X331" s="129">
        <v>64.8</v>
      </c>
      <c r="Y331" s="91">
        <v>10.8</v>
      </c>
      <c r="Z331" s="129">
        <v>0</v>
      </c>
      <c r="AA331" s="155">
        <f t="shared" si="21"/>
        <v>25.2</v>
      </c>
      <c r="AB331" s="98">
        <f t="shared" si="21"/>
        <v>21.599999999999998</v>
      </c>
      <c r="AD331" s="97">
        <v>0</v>
      </c>
      <c r="AE331" s="92">
        <v>0</v>
      </c>
      <c r="AF331" s="98">
        <f t="shared" si="24"/>
        <v>0</v>
      </c>
      <c r="AG331" s="97">
        <v>0</v>
      </c>
      <c r="AH331" s="92">
        <v>0</v>
      </c>
      <c r="AI331" s="98">
        <f t="shared" si="22"/>
        <v>0</v>
      </c>
      <c r="AJ331" s="99">
        <f t="shared" si="23"/>
        <v>0</v>
      </c>
      <c r="AK331" s="102" t="str">
        <f>+IF(AB331+AA331+AJ331&lt;=0, "NO COMPRADOR", +IF(AJ331&lt;=0, "SIN COMPRA "&amp;+UPPER(TEXT('DINAMICA ENERO 26'!$C$2,"mmm 'yy")), "COMPRADOR"))</f>
        <v>SIN COMPRA FEB '26</v>
      </c>
      <c r="AO331" s="100"/>
      <c r="AP331" s="100"/>
    </row>
    <row r="332" spans="1:42" hidden="1">
      <c r="A332" s="88" t="s">
        <v>379</v>
      </c>
      <c r="B332" s="89" t="s">
        <v>405</v>
      </c>
      <c r="C332" s="89" t="s">
        <v>32</v>
      </c>
      <c r="D332" s="103">
        <v>100066387</v>
      </c>
      <c r="E332" s="89" t="s">
        <v>34</v>
      </c>
      <c r="F332" s="89">
        <v>100086833</v>
      </c>
      <c r="G332" s="128" t="s">
        <v>414</v>
      </c>
      <c r="S332" s="91">
        <v>0</v>
      </c>
      <c r="T332" s="94">
        <v>0</v>
      </c>
      <c r="U332" s="91">
        <v>0</v>
      </c>
      <c r="V332" s="129">
        <v>0</v>
      </c>
      <c r="W332" s="91">
        <v>0</v>
      </c>
      <c r="X332" s="129">
        <v>0</v>
      </c>
      <c r="Y332" s="91">
        <v>0</v>
      </c>
      <c r="Z332" s="129">
        <v>0</v>
      </c>
      <c r="AA332" s="155">
        <f t="shared" si="21"/>
        <v>0</v>
      </c>
      <c r="AB332" s="98">
        <f t="shared" si="21"/>
        <v>0</v>
      </c>
      <c r="AD332" s="97">
        <v>0</v>
      </c>
      <c r="AE332" s="92">
        <v>0</v>
      </c>
      <c r="AF332" s="98">
        <f t="shared" si="24"/>
        <v>0</v>
      </c>
      <c r="AG332" s="97">
        <v>0</v>
      </c>
      <c r="AH332" s="92">
        <v>0</v>
      </c>
      <c r="AI332" s="98">
        <f t="shared" si="22"/>
        <v>0</v>
      </c>
      <c r="AJ332" s="99">
        <f t="shared" si="23"/>
        <v>0</v>
      </c>
      <c r="AK332" s="102" t="str">
        <f>+IF(AB332+AA332+AJ332&lt;=0, "NO COMPRADOR", +IF(AJ332&lt;=0, "SIN COMPRA "&amp;+UPPER(TEXT('DINAMICA ENERO 26'!$C$2,"mmm 'yy")), "COMPRADOR"))</f>
        <v>NO COMPRADOR</v>
      </c>
      <c r="AO332" s="100"/>
      <c r="AP332" s="100"/>
    </row>
    <row r="333" spans="1:42" hidden="1">
      <c r="A333" s="88" t="s">
        <v>379</v>
      </c>
      <c r="B333" s="89" t="s">
        <v>415</v>
      </c>
      <c r="C333" s="89" t="s">
        <v>32</v>
      </c>
      <c r="D333" s="110">
        <v>100066387</v>
      </c>
      <c r="E333" s="110" t="s">
        <v>34</v>
      </c>
      <c r="F333" s="89">
        <v>100001434</v>
      </c>
      <c r="G333" s="128" t="s">
        <v>381</v>
      </c>
      <c r="S333" s="91">
        <v>0</v>
      </c>
      <c r="T333" s="94">
        <v>0</v>
      </c>
      <c r="U333" s="91">
        <v>0</v>
      </c>
      <c r="V333" s="129">
        <v>0</v>
      </c>
      <c r="W333" s="91">
        <v>660.96</v>
      </c>
      <c r="X333" s="129">
        <v>280.8</v>
      </c>
      <c r="Y333" s="91">
        <v>0</v>
      </c>
      <c r="Z333" s="129">
        <v>0</v>
      </c>
      <c r="AA333" s="155">
        <f t="shared" si="21"/>
        <v>220.32000000000002</v>
      </c>
      <c r="AB333" s="98">
        <f t="shared" si="21"/>
        <v>93.600000000000009</v>
      </c>
      <c r="AD333" s="97">
        <v>0</v>
      </c>
      <c r="AE333" s="92">
        <v>0</v>
      </c>
      <c r="AF333" s="98">
        <f t="shared" si="24"/>
        <v>0</v>
      </c>
      <c r="AG333" s="97">
        <v>0</v>
      </c>
      <c r="AH333" s="92">
        <v>0</v>
      </c>
      <c r="AI333" s="98">
        <f t="shared" si="22"/>
        <v>0</v>
      </c>
      <c r="AJ333" s="99">
        <f t="shared" si="23"/>
        <v>0</v>
      </c>
      <c r="AK333" s="102" t="str">
        <f>+IF(AB333+AA333+AJ333&lt;=0, "NO COMPRADOR", +IF(AJ333&lt;=0, "SIN COMPRA "&amp;+UPPER(TEXT('DINAMICA ENERO 26'!$C$2,"mmm 'yy")), "COMPRADOR"))</f>
        <v>SIN COMPRA FEB '26</v>
      </c>
      <c r="AO333" s="100"/>
      <c r="AP333" s="100"/>
    </row>
    <row r="334" spans="1:42" hidden="1">
      <c r="A334" s="88" t="s">
        <v>379</v>
      </c>
      <c r="B334" s="89" t="s">
        <v>415</v>
      </c>
      <c r="C334" s="89" t="s">
        <v>32</v>
      </c>
      <c r="D334" s="110">
        <v>100089882</v>
      </c>
      <c r="E334" s="110" t="s">
        <v>36</v>
      </c>
      <c r="F334" s="89">
        <v>100002273</v>
      </c>
      <c r="G334" s="128" t="s">
        <v>416</v>
      </c>
      <c r="S334" s="91">
        <v>0</v>
      </c>
      <c r="T334" s="94">
        <v>0</v>
      </c>
      <c r="U334" s="91">
        <v>0</v>
      </c>
      <c r="V334" s="129">
        <v>0</v>
      </c>
      <c r="W334" s="91">
        <v>0</v>
      </c>
      <c r="X334" s="129">
        <v>0</v>
      </c>
      <c r="Y334" s="91">
        <v>321.84000000000003</v>
      </c>
      <c r="Z334" s="129">
        <v>321.84000000000003</v>
      </c>
      <c r="AA334" s="155">
        <f t="shared" si="21"/>
        <v>107.28000000000002</v>
      </c>
      <c r="AB334" s="98">
        <f t="shared" si="21"/>
        <v>107.28000000000002</v>
      </c>
      <c r="AD334" s="97">
        <v>0</v>
      </c>
      <c r="AE334" s="92">
        <v>226.8</v>
      </c>
      <c r="AF334" s="98">
        <f t="shared" si="24"/>
        <v>226.8</v>
      </c>
      <c r="AG334" s="97">
        <v>0</v>
      </c>
      <c r="AH334" s="92">
        <v>216</v>
      </c>
      <c r="AI334" s="98">
        <f t="shared" si="22"/>
        <v>216</v>
      </c>
      <c r="AJ334" s="99">
        <f t="shared" si="23"/>
        <v>442.8</v>
      </c>
      <c r="AK334" s="102" t="str">
        <f>+IF(AB334+AA334+AJ334&lt;=0, "NO COMPRADOR", +IF(AJ334&lt;=0, "SIN COMPRA "&amp;+UPPER(TEXT('DINAMICA ENERO 26'!$C$2,"mmm 'yy")), "COMPRADOR"))</f>
        <v>COMPRADOR</v>
      </c>
      <c r="AO334" s="100"/>
      <c r="AP334" s="100"/>
    </row>
    <row r="335" spans="1:42" hidden="1">
      <c r="A335" s="88" t="s">
        <v>379</v>
      </c>
      <c r="B335" s="89" t="s">
        <v>415</v>
      </c>
      <c r="C335" s="89" t="s">
        <v>32</v>
      </c>
      <c r="D335" s="110">
        <v>100002748</v>
      </c>
      <c r="E335" s="110" t="s">
        <v>35</v>
      </c>
      <c r="F335" s="89">
        <v>100005896</v>
      </c>
      <c r="G335" s="128" t="s">
        <v>417</v>
      </c>
      <c r="S335" s="91">
        <v>0</v>
      </c>
      <c r="T335" s="94">
        <v>0</v>
      </c>
      <c r="U335" s="91">
        <v>0</v>
      </c>
      <c r="V335" s="129">
        <v>0</v>
      </c>
      <c r="W335" s="91">
        <v>0</v>
      </c>
      <c r="X335" s="129">
        <v>0</v>
      </c>
      <c r="Y335" s="91">
        <v>0</v>
      </c>
      <c r="Z335" s="129">
        <v>0</v>
      </c>
      <c r="AA335" s="155">
        <f t="shared" si="21"/>
        <v>0</v>
      </c>
      <c r="AB335" s="98">
        <f t="shared" si="21"/>
        <v>0</v>
      </c>
      <c r="AD335" s="97">
        <v>54</v>
      </c>
      <c r="AE335" s="92">
        <v>326.15999999999997</v>
      </c>
      <c r="AF335" s="98">
        <f t="shared" si="24"/>
        <v>380.15999999999997</v>
      </c>
      <c r="AG335" s="97">
        <v>356.40000000000003</v>
      </c>
      <c r="AH335" s="92">
        <v>23.76</v>
      </c>
      <c r="AI335" s="98">
        <f t="shared" si="22"/>
        <v>380.16</v>
      </c>
      <c r="AJ335" s="99">
        <f t="shared" si="23"/>
        <v>760.31999999999994</v>
      </c>
      <c r="AK335" s="102" t="str">
        <f>+IF(AB335+AA335+AJ335&lt;=0, "NO COMPRADOR", +IF(AJ335&lt;=0, "SIN COMPRA "&amp;+UPPER(TEXT('DINAMICA ENERO 26'!$C$2,"mmm 'yy")), "COMPRADOR"))</f>
        <v>COMPRADOR</v>
      </c>
      <c r="AO335" s="100"/>
      <c r="AP335" s="100"/>
    </row>
    <row r="336" spans="1:42" hidden="1">
      <c r="A336" s="88" t="s">
        <v>379</v>
      </c>
      <c r="B336" s="89" t="s">
        <v>415</v>
      </c>
      <c r="C336" s="89" t="s">
        <v>32</v>
      </c>
      <c r="D336" s="110">
        <v>100002748</v>
      </c>
      <c r="E336" s="110" t="s">
        <v>35</v>
      </c>
      <c r="F336" s="89">
        <v>100001550</v>
      </c>
      <c r="G336" s="128" t="s">
        <v>418</v>
      </c>
      <c r="S336" s="91">
        <v>0</v>
      </c>
      <c r="T336" s="94">
        <v>0</v>
      </c>
      <c r="U336" s="91">
        <v>0</v>
      </c>
      <c r="V336" s="129">
        <v>0</v>
      </c>
      <c r="W336" s="91">
        <v>0</v>
      </c>
      <c r="X336" s="129">
        <v>0</v>
      </c>
      <c r="Y336" s="91">
        <v>1944</v>
      </c>
      <c r="Z336" s="129">
        <v>1944</v>
      </c>
      <c r="AA336" s="155">
        <f t="shared" si="21"/>
        <v>648</v>
      </c>
      <c r="AB336" s="98">
        <f t="shared" si="21"/>
        <v>648</v>
      </c>
      <c r="AD336" s="97">
        <v>354.24</v>
      </c>
      <c r="AE336" s="92">
        <v>0</v>
      </c>
      <c r="AF336" s="98">
        <f t="shared" si="24"/>
        <v>354.24</v>
      </c>
      <c r="AG336" s="97">
        <v>1127.5200000000002</v>
      </c>
      <c r="AH336" s="92">
        <v>0</v>
      </c>
      <c r="AI336" s="98">
        <f t="shared" si="22"/>
        <v>1127.5200000000002</v>
      </c>
      <c r="AJ336" s="99">
        <f t="shared" si="23"/>
        <v>1481.7600000000002</v>
      </c>
      <c r="AK336" s="102" t="str">
        <f>+IF(AB336+AA336+AJ336&lt;=0, "NO COMPRADOR", +IF(AJ336&lt;=0, "SIN COMPRA "&amp;+UPPER(TEXT('DINAMICA ENERO 26'!$C$2,"mmm 'yy")), "COMPRADOR"))</f>
        <v>COMPRADOR</v>
      </c>
      <c r="AO336" s="100"/>
      <c r="AP336" s="100"/>
    </row>
    <row r="337" spans="1:42" hidden="1">
      <c r="A337" s="88" t="s">
        <v>379</v>
      </c>
      <c r="B337" s="89" t="s">
        <v>415</v>
      </c>
      <c r="C337" s="89" t="s">
        <v>32</v>
      </c>
      <c r="D337" s="110">
        <v>100089882</v>
      </c>
      <c r="E337" s="110" t="s">
        <v>36</v>
      </c>
      <c r="F337" s="89">
        <v>100002492</v>
      </c>
      <c r="G337" s="128" t="s">
        <v>419</v>
      </c>
      <c r="S337" s="91">
        <v>0</v>
      </c>
      <c r="T337" s="94">
        <v>0</v>
      </c>
      <c r="U337" s="91">
        <v>0</v>
      </c>
      <c r="V337" s="129">
        <v>0</v>
      </c>
      <c r="W337" s="91">
        <v>200.88000000000002</v>
      </c>
      <c r="X337" s="129">
        <v>200.88000000000002</v>
      </c>
      <c r="Y337" s="91">
        <v>0</v>
      </c>
      <c r="Z337" s="129">
        <v>0</v>
      </c>
      <c r="AA337" s="155">
        <f t="shared" si="21"/>
        <v>66.960000000000008</v>
      </c>
      <c r="AB337" s="98">
        <f t="shared" si="21"/>
        <v>66.960000000000008</v>
      </c>
      <c r="AD337" s="97">
        <v>0</v>
      </c>
      <c r="AE337" s="92">
        <v>0</v>
      </c>
      <c r="AF337" s="98">
        <f t="shared" si="24"/>
        <v>0</v>
      </c>
      <c r="AG337" s="97">
        <v>0</v>
      </c>
      <c r="AH337" s="92">
        <v>0</v>
      </c>
      <c r="AI337" s="98">
        <f t="shared" si="22"/>
        <v>0</v>
      </c>
      <c r="AJ337" s="99">
        <f t="shared" si="23"/>
        <v>0</v>
      </c>
      <c r="AK337" s="102" t="str">
        <f>+IF(AB337+AA337+AJ337&lt;=0, "NO COMPRADOR", +IF(AJ337&lt;=0, "SIN COMPRA "&amp;+UPPER(TEXT('DINAMICA ENERO 26'!$C$2,"mmm 'yy")), "COMPRADOR"))</f>
        <v>SIN COMPRA FEB '26</v>
      </c>
      <c r="AO337" s="100"/>
      <c r="AP337" s="100"/>
    </row>
    <row r="338" spans="1:42" hidden="1">
      <c r="A338" s="88" t="s">
        <v>379</v>
      </c>
      <c r="B338" s="89" t="s">
        <v>415</v>
      </c>
      <c r="C338" s="89" t="s">
        <v>32</v>
      </c>
      <c r="D338" s="110">
        <v>100066387</v>
      </c>
      <c r="E338" s="110" t="s">
        <v>34</v>
      </c>
      <c r="F338" s="89">
        <v>100001342</v>
      </c>
      <c r="G338" s="128" t="s">
        <v>387</v>
      </c>
      <c r="S338" s="91">
        <v>0</v>
      </c>
      <c r="T338" s="94">
        <v>0</v>
      </c>
      <c r="U338" s="91">
        <v>0</v>
      </c>
      <c r="V338" s="129">
        <v>0</v>
      </c>
      <c r="W338" s="91">
        <v>0</v>
      </c>
      <c r="X338" s="129">
        <v>0</v>
      </c>
      <c r="Y338" s="91">
        <v>0</v>
      </c>
      <c r="Z338" s="129">
        <v>0</v>
      </c>
      <c r="AA338" s="155">
        <f t="shared" si="21"/>
        <v>0</v>
      </c>
      <c r="AB338" s="98">
        <f t="shared" si="21"/>
        <v>0</v>
      </c>
      <c r="AD338" s="97">
        <v>0</v>
      </c>
      <c r="AE338" s="92">
        <v>0</v>
      </c>
      <c r="AF338" s="98">
        <f t="shared" si="24"/>
        <v>0</v>
      </c>
      <c r="AG338" s="97">
        <v>0</v>
      </c>
      <c r="AH338" s="92">
        <v>0</v>
      </c>
      <c r="AI338" s="98">
        <f t="shared" si="22"/>
        <v>0</v>
      </c>
      <c r="AJ338" s="99">
        <f t="shared" si="23"/>
        <v>0</v>
      </c>
      <c r="AK338" s="102" t="str">
        <f>+IF(AB338+AA338+AJ338&lt;=0, "NO COMPRADOR", +IF(AJ338&lt;=0, "SIN COMPRA "&amp;+UPPER(TEXT('DINAMICA ENERO 26'!$C$2,"mmm 'yy")), "COMPRADOR"))</f>
        <v>NO COMPRADOR</v>
      </c>
      <c r="AO338" s="100"/>
      <c r="AP338" s="100"/>
    </row>
    <row r="339" spans="1:42" hidden="1">
      <c r="A339" s="88" t="s">
        <v>85</v>
      </c>
      <c r="B339" s="89" t="s">
        <v>120</v>
      </c>
      <c r="C339" s="89" t="s">
        <v>52</v>
      </c>
      <c r="D339" s="110">
        <v>100088149</v>
      </c>
      <c r="E339" s="110" t="s">
        <v>56</v>
      </c>
      <c r="F339" s="89">
        <v>100089849</v>
      </c>
      <c r="G339" s="128" t="s">
        <v>420</v>
      </c>
      <c r="H339">
        <v>0</v>
      </c>
      <c r="I339">
        <v>0</v>
      </c>
      <c r="J339">
        <v>0</v>
      </c>
      <c r="K339">
        <v>0</v>
      </c>
      <c r="S339" s="91">
        <v>0</v>
      </c>
      <c r="T339" s="94">
        <v>0</v>
      </c>
      <c r="U339" s="91">
        <v>0</v>
      </c>
      <c r="V339" s="129">
        <v>0</v>
      </c>
      <c r="W339" s="91">
        <v>21.6</v>
      </c>
      <c r="X339" s="129">
        <v>0</v>
      </c>
      <c r="Y339" s="91">
        <v>0</v>
      </c>
      <c r="Z339" s="129">
        <v>0</v>
      </c>
      <c r="AA339" s="155">
        <f t="shared" ref="AA339:AB381" si="25">+AVERAGE(U339,W339,Y339)</f>
        <v>7.2</v>
      </c>
      <c r="AB339" s="98">
        <f t="shared" si="25"/>
        <v>0</v>
      </c>
      <c r="AD339" s="97">
        <v>0</v>
      </c>
      <c r="AE339" s="92">
        <v>0</v>
      </c>
      <c r="AF339" s="98">
        <f t="shared" si="24"/>
        <v>0</v>
      </c>
      <c r="AG339" s="97">
        <v>0</v>
      </c>
      <c r="AH339" s="92">
        <v>0</v>
      </c>
      <c r="AI339" s="98">
        <f t="shared" si="22"/>
        <v>0</v>
      </c>
      <c r="AJ339" s="99">
        <f t="shared" si="23"/>
        <v>0</v>
      </c>
      <c r="AK339" s="102" t="str">
        <f>+IF(AB339+AA339+AJ339&lt;=0, "NO COMPRADOR", +IF(AJ339&lt;=0, "SIN COMPRA "&amp;+UPPER(TEXT('DINAMICA ENERO 26'!$C$2,"mmm 'yy")), "COMPRADOR"))</f>
        <v>SIN COMPRA FEB '26</v>
      </c>
      <c r="AO339" s="100"/>
      <c r="AP339" s="100"/>
    </row>
    <row r="340" spans="1:42" hidden="1">
      <c r="A340" s="88" t="s">
        <v>85</v>
      </c>
      <c r="B340" s="89" t="s">
        <v>120</v>
      </c>
      <c r="C340" s="89" t="s">
        <v>52</v>
      </c>
      <c r="D340" s="110">
        <v>100079515</v>
      </c>
      <c r="E340" s="110" t="s">
        <v>53</v>
      </c>
      <c r="F340" s="89">
        <v>100025640</v>
      </c>
      <c r="G340" s="128" t="s">
        <v>421</v>
      </c>
      <c r="H340">
        <v>0</v>
      </c>
      <c r="I340">
        <v>0</v>
      </c>
      <c r="J340">
        <v>0</v>
      </c>
      <c r="K340">
        <v>0</v>
      </c>
      <c r="S340" s="91">
        <v>0</v>
      </c>
      <c r="T340" s="94">
        <v>0</v>
      </c>
      <c r="U340" s="91">
        <v>0</v>
      </c>
      <c r="V340" s="129">
        <v>0</v>
      </c>
      <c r="W340" s="91">
        <v>0</v>
      </c>
      <c r="X340" s="129">
        <v>0</v>
      </c>
      <c r="Y340" s="91">
        <v>0</v>
      </c>
      <c r="Z340" s="129">
        <v>0</v>
      </c>
      <c r="AA340" s="155">
        <f t="shared" si="25"/>
        <v>0</v>
      </c>
      <c r="AB340" s="98">
        <f t="shared" si="25"/>
        <v>0</v>
      </c>
      <c r="AD340" s="97">
        <v>0</v>
      </c>
      <c r="AE340" s="92">
        <v>0</v>
      </c>
      <c r="AF340" s="98">
        <f t="shared" si="24"/>
        <v>0</v>
      </c>
      <c r="AG340" s="97">
        <v>0</v>
      </c>
      <c r="AH340" s="92">
        <v>0</v>
      </c>
      <c r="AI340" s="98">
        <f t="shared" si="22"/>
        <v>0</v>
      </c>
      <c r="AJ340" s="99">
        <f t="shared" si="23"/>
        <v>0</v>
      </c>
      <c r="AK340" s="102" t="str">
        <f>+IF(AB340+AA340+AJ340&lt;=0, "NO COMPRADOR", +IF(AJ340&lt;=0, "SIN COMPRA "&amp;+UPPER(TEXT('DINAMICA ENERO 26'!$C$2,"mmm 'yy")), "COMPRADOR"))</f>
        <v>NO COMPRADOR</v>
      </c>
      <c r="AO340" s="100"/>
      <c r="AP340" s="100"/>
    </row>
    <row r="341" spans="1:42" hidden="1">
      <c r="A341" s="88" t="s">
        <v>85</v>
      </c>
      <c r="B341" s="89" t="s">
        <v>157</v>
      </c>
      <c r="C341" s="89" t="s">
        <v>52</v>
      </c>
      <c r="D341" s="110">
        <v>100079674</v>
      </c>
      <c r="E341" s="110" t="s">
        <v>57</v>
      </c>
      <c r="F341" s="89">
        <v>100080761</v>
      </c>
      <c r="G341" s="128" t="s">
        <v>422</v>
      </c>
      <c r="H341">
        <v>0</v>
      </c>
      <c r="I341">
        <v>0</v>
      </c>
      <c r="J341">
        <v>0</v>
      </c>
      <c r="K341">
        <v>0</v>
      </c>
      <c r="S341" s="91">
        <v>0</v>
      </c>
      <c r="T341" s="94">
        <v>0</v>
      </c>
      <c r="U341" s="91">
        <v>0</v>
      </c>
      <c r="V341" s="129">
        <v>0</v>
      </c>
      <c r="W341" s="91">
        <v>10.8</v>
      </c>
      <c r="X341" s="129">
        <v>10.8</v>
      </c>
      <c r="Y341" s="91">
        <v>0</v>
      </c>
      <c r="Z341" s="129">
        <v>10.8</v>
      </c>
      <c r="AA341" s="155">
        <f t="shared" si="25"/>
        <v>3.6</v>
      </c>
      <c r="AB341" s="98">
        <f t="shared" si="25"/>
        <v>7.2</v>
      </c>
      <c r="AD341" s="97">
        <v>0</v>
      </c>
      <c r="AE341" s="92">
        <v>0</v>
      </c>
      <c r="AF341" s="98">
        <f t="shared" si="24"/>
        <v>0</v>
      </c>
      <c r="AG341" s="97">
        <v>0</v>
      </c>
      <c r="AH341" s="92">
        <v>0</v>
      </c>
      <c r="AI341" s="98">
        <f t="shared" si="22"/>
        <v>0</v>
      </c>
      <c r="AJ341" s="99">
        <f t="shared" si="23"/>
        <v>0</v>
      </c>
      <c r="AK341" s="102" t="str">
        <f>+IF(AB341+AA341+AJ341&lt;=0, "NO COMPRADOR", +IF(AJ341&lt;=0, "SIN COMPRA "&amp;+UPPER(TEXT('DINAMICA ENERO 26'!$C$2,"mmm 'yy")), "COMPRADOR"))</f>
        <v>SIN COMPRA FEB '26</v>
      </c>
      <c r="AO341" s="100"/>
      <c r="AP341" s="100"/>
    </row>
    <row r="342" spans="1:42" hidden="1">
      <c r="A342" s="88" t="s">
        <v>85</v>
      </c>
      <c r="B342" s="89" t="s">
        <v>157</v>
      </c>
      <c r="C342" s="89" t="s">
        <v>52</v>
      </c>
      <c r="D342" s="110">
        <v>100079674</v>
      </c>
      <c r="E342" s="110" t="s">
        <v>57</v>
      </c>
      <c r="F342" s="89">
        <v>100001878</v>
      </c>
      <c r="G342" s="128" t="s">
        <v>423</v>
      </c>
      <c r="H342">
        <v>0</v>
      </c>
      <c r="I342">
        <v>0</v>
      </c>
      <c r="J342">
        <v>0</v>
      </c>
      <c r="K342">
        <v>0</v>
      </c>
      <c r="S342" s="91">
        <v>0</v>
      </c>
      <c r="T342" s="94">
        <v>0</v>
      </c>
      <c r="U342" s="91">
        <v>0</v>
      </c>
      <c r="V342" s="129">
        <v>0</v>
      </c>
      <c r="W342" s="91">
        <v>10.8</v>
      </c>
      <c r="X342" s="129">
        <v>10.8</v>
      </c>
      <c r="Y342" s="91">
        <v>0</v>
      </c>
      <c r="Z342" s="129">
        <v>0</v>
      </c>
      <c r="AA342" s="155">
        <f t="shared" si="25"/>
        <v>3.6</v>
      </c>
      <c r="AB342" s="98">
        <f t="shared" si="25"/>
        <v>3.6</v>
      </c>
      <c r="AD342" s="97">
        <v>0</v>
      </c>
      <c r="AE342" s="92">
        <v>0</v>
      </c>
      <c r="AF342" s="98">
        <f t="shared" si="24"/>
        <v>0</v>
      </c>
      <c r="AG342" s="97">
        <v>0</v>
      </c>
      <c r="AH342" s="92">
        <v>0</v>
      </c>
      <c r="AI342" s="98">
        <f t="shared" si="22"/>
        <v>0</v>
      </c>
      <c r="AJ342" s="99">
        <f t="shared" si="23"/>
        <v>0</v>
      </c>
      <c r="AK342" s="102" t="str">
        <f>+IF(AB342+AA342+AJ342&lt;=0, "NO COMPRADOR", +IF(AJ342&lt;=0, "SIN COMPRA "&amp;+UPPER(TEXT('DINAMICA ENERO 26'!$C$2,"mmm 'yy")), "COMPRADOR"))</f>
        <v>SIN COMPRA FEB '26</v>
      </c>
      <c r="AO342" s="100"/>
      <c r="AP342" s="100"/>
    </row>
    <row r="343" spans="1:42" hidden="1">
      <c r="A343" s="88" t="s">
        <v>85</v>
      </c>
      <c r="B343" s="89" t="s">
        <v>157</v>
      </c>
      <c r="C343" s="89" t="s">
        <v>52</v>
      </c>
      <c r="D343" s="110">
        <v>100079674</v>
      </c>
      <c r="E343" s="110" t="s">
        <v>57</v>
      </c>
      <c r="F343" s="89">
        <v>100085464</v>
      </c>
      <c r="G343" s="128" t="s">
        <v>424</v>
      </c>
      <c r="H343">
        <v>0</v>
      </c>
      <c r="I343">
        <v>0</v>
      </c>
      <c r="J343">
        <v>0</v>
      </c>
      <c r="K343">
        <v>0</v>
      </c>
      <c r="S343" s="91">
        <v>0</v>
      </c>
      <c r="T343" s="94">
        <v>0</v>
      </c>
      <c r="U343" s="91">
        <v>0</v>
      </c>
      <c r="V343" s="129">
        <v>0</v>
      </c>
      <c r="W343" s="91">
        <v>21.6</v>
      </c>
      <c r="X343" s="129">
        <v>21.6</v>
      </c>
      <c r="Y343" s="91">
        <v>0</v>
      </c>
      <c r="Z343" s="129">
        <v>0</v>
      </c>
      <c r="AA343" s="155">
        <f t="shared" si="25"/>
        <v>7.2</v>
      </c>
      <c r="AB343" s="98">
        <f t="shared" si="25"/>
        <v>7.2</v>
      </c>
      <c r="AD343" s="97">
        <v>0</v>
      </c>
      <c r="AE343" s="92">
        <v>0</v>
      </c>
      <c r="AF343" s="98">
        <f t="shared" si="24"/>
        <v>0</v>
      </c>
      <c r="AG343" s="97">
        <v>0</v>
      </c>
      <c r="AH343" s="92">
        <v>0</v>
      </c>
      <c r="AI343" s="98">
        <f t="shared" si="22"/>
        <v>0</v>
      </c>
      <c r="AJ343" s="99">
        <f t="shared" si="23"/>
        <v>0</v>
      </c>
      <c r="AK343" s="102" t="str">
        <f>+IF(AB343+AA343+AJ343&lt;=0, "NO COMPRADOR", +IF(AJ343&lt;=0, "SIN COMPRA "&amp;+UPPER(TEXT('DINAMICA ENERO 26'!$C$2,"mmm 'yy")), "COMPRADOR"))</f>
        <v>SIN COMPRA FEB '26</v>
      </c>
      <c r="AO343" s="100"/>
      <c r="AP343" s="100"/>
    </row>
    <row r="344" spans="1:42" hidden="1">
      <c r="A344" s="88" t="s">
        <v>85</v>
      </c>
      <c r="B344" s="89" t="s">
        <v>157</v>
      </c>
      <c r="C344" s="89" t="s">
        <v>52</v>
      </c>
      <c r="D344" s="110">
        <v>100066856</v>
      </c>
      <c r="E344" s="110" t="s">
        <v>54</v>
      </c>
      <c r="F344" s="89">
        <v>100080160</v>
      </c>
      <c r="G344" s="128" t="s">
        <v>425</v>
      </c>
      <c r="H344">
        <v>0</v>
      </c>
      <c r="I344">
        <v>0</v>
      </c>
      <c r="J344">
        <v>0</v>
      </c>
      <c r="K344">
        <v>0</v>
      </c>
      <c r="S344" s="91">
        <v>0</v>
      </c>
      <c r="T344" s="94">
        <v>0</v>
      </c>
      <c r="U344" s="91">
        <v>0</v>
      </c>
      <c r="V344" s="129">
        <v>0</v>
      </c>
      <c r="W344" s="91">
        <v>-4.32</v>
      </c>
      <c r="X344" s="129">
        <v>-4.32</v>
      </c>
      <c r="Y344" s="91">
        <v>0</v>
      </c>
      <c r="Z344" s="129">
        <v>0</v>
      </c>
      <c r="AA344" s="155">
        <f t="shared" si="25"/>
        <v>-1.4400000000000002</v>
      </c>
      <c r="AB344" s="98">
        <f t="shared" si="25"/>
        <v>-1.4400000000000002</v>
      </c>
      <c r="AD344" s="97">
        <v>0</v>
      </c>
      <c r="AE344" s="92">
        <v>0</v>
      </c>
      <c r="AF344" s="98">
        <f t="shared" si="24"/>
        <v>0</v>
      </c>
      <c r="AG344" s="97">
        <v>0</v>
      </c>
      <c r="AH344" s="92">
        <v>0</v>
      </c>
      <c r="AI344" s="98">
        <f t="shared" si="22"/>
        <v>0</v>
      </c>
      <c r="AJ344" s="99">
        <f t="shared" si="23"/>
        <v>0</v>
      </c>
      <c r="AK344" s="102" t="str">
        <f>+IF(AB344+AA344+AJ344&lt;=0, "NO COMPRADOR", +IF(AJ344&lt;=0, "SIN COMPRA "&amp;+UPPER(TEXT('DINAMICA ENERO 26'!$C$2,"mmm 'yy")), "COMPRADOR"))</f>
        <v>NO COMPRADOR</v>
      </c>
      <c r="AO344" s="100"/>
      <c r="AP344" s="100"/>
    </row>
    <row r="345" spans="1:42" hidden="1">
      <c r="A345" s="88" t="s">
        <v>85</v>
      </c>
      <c r="B345" s="89" t="s">
        <v>157</v>
      </c>
      <c r="C345" s="89" t="s">
        <v>52</v>
      </c>
      <c r="D345" s="110">
        <v>100066856</v>
      </c>
      <c r="E345" s="110" t="s">
        <v>54</v>
      </c>
      <c r="F345" s="89">
        <v>100077613</v>
      </c>
      <c r="G345" s="128" t="s">
        <v>426</v>
      </c>
      <c r="H345">
        <v>0</v>
      </c>
      <c r="I345">
        <v>0</v>
      </c>
      <c r="J345">
        <v>0</v>
      </c>
      <c r="K345">
        <v>0</v>
      </c>
      <c r="S345" s="91">
        <v>0</v>
      </c>
      <c r="T345" s="94">
        <v>0</v>
      </c>
      <c r="U345" s="91">
        <v>0</v>
      </c>
      <c r="V345" s="129">
        <v>0</v>
      </c>
      <c r="W345" s="91">
        <v>0</v>
      </c>
      <c r="X345" s="129">
        <v>0</v>
      </c>
      <c r="Y345" s="91">
        <v>10.8</v>
      </c>
      <c r="Z345" s="129">
        <v>10.8</v>
      </c>
      <c r="AA345" s="155">
        <f t="shared" si="25"/>
        <v>3.6</v>
      </c>
      <c r="AB345" s="98">
        <f t="shared" si="25"/>
        <v>3.6</v>
      </c>
      <c r="AD345" s="97">
        <v>0</v>
      </c>
      <c r="AE345" s="92">
        <v>10.8</v>
      </c>
      <c r="AF345" s="98">
        <f t="shared" si="24"/>
        <v>10.8</v>
      </c>
      <c r="AG345" s="97">
        <v>0</v>
      </c>
      <c r="AH345" s="92">
        <v>10.8</v>
      </c>
      <c r="AI345" s="98">
        <f t="shared" si="22"/>
        <v>10.8</v>
      </c>
      <c r="AJ345" s="99">
        <f t="shared" si="23"/>
        <v>21.6</v>
      </c>
      <c r="AK345" s="102" t="str">
        <f>+IF(AB345+AA345+AJ345&lt;=0, "NO COMPRADOR", +IF(AJ345&lt;=0, "SIN COMPRA "&amp;+UPPER(TEXT('DINAMICA ENERO 26'!$C$2,"mmm 'yy")), "COMPRADOR"))</f>
        <v>COMPRADOR</v>
      </c>
      <c r="AO345" s="100"/>
      <c r="AP345" s="100"/>
    </row>
    <row r="346" spans="1:42" hidden="1">
      <c r="A346" s="88" t="s">
        <v>85</v>
      </c>
      <c r="B346" s="89" t="s">
        <v>157</v>
      </c>
      <c r="C346" s="89" t="s">
        <v>52</v>
      </c>
      <c r="D346" s="110">
        <v>100066856</v>
      </c>
      <c r="E346" s="110" t="s">
        <v>54</v>
      </c>
      <c r="F346" s="89">
        <v>100082823</v>
      </c>
      <c r="G346" s="128" t="s">
        <v>427</v>
      </c>
      <c r="H346">
        <v>0</v>
      </c>
      <c r="I346">
        <v>0</v>
      </c>
      <c r="J346">
        <v>0</v>
      </c>
      <c r="K346">
        <v>0</v>
      </c>
      <c r="S346" s="91">
        <v>0</v>
      </c>
      <c r="T346" s="94">
        <v>0</v>
      </c>
      <c r="U346" s="91">
        <v>0</v>
      </c>
      <c r="V346" s="129">
        <v>0</v>
      </c>
      <c r="W346" s="91">
        <v>0</v>
      </c>
      <c r="X346" s="129">
        <v>0</v>
      </c>
      <c r="Y346" s="91">
        <v>0</v>
      </c>
      <c r="Z346" s="129">
        <v>0</v>
      </c>
      <c r="AA346" s="155">
        <f t="shared" si="25"/>
        <v>0</v>
      </c>
      <c r="AB346" s="98">
        <f t="shared" si="25"/>
        <v>0</v>
      </c>
      <c r="AD346" s="97">
        <v>2.16</v>
      </c>
      <c r="AE346" s="92">
        <v>0</v>
      </c>
      <c r="AF346" s="98">
        <f t="shared" si="24"/>
        <v>2.16</v>
      </c>
      <c r="AG346" s="97">
        <v>0</v>
      </c>
      <c r="AH346" s="92">
        <v>0</v>
      </c>
      <c r="AI346" s="98">
        <f t="shared" si="22"/>
        <v>0</v>
      </c>
      <c r="AJ346" s="99">
        <f t="shared" si="23"/>
        <v>2.16</v>
      </c>
      <c r="AK346" s="102" t="str">
        <f>+IF(AB346+AA346+AJ346&lt;=0, "NO COMPRADOR", +IF(AJ346&lt;=0, "SIN COMPRA "&amp;+UPPER(TEXT('DINAMICA ENERO 26'!$C$2,"mmm 'yy")), "COMPRADOR"))</f>
        <v>COMPRADOR</v>
      </c>
      <c r="AO346" s="100"/>
      <c r="AP346" s="100"/>
    </row>
    <row r="347" spans="1:42" hidden="1">
      <c r="A347" s="88" t="s">
        <v>85</v>
      </c>
      <c r="B347" s="89" t="s">
        <v>204</v>
      </c>
      <c r="C347" s="89" t="s">
        <v>52</v>
      </c>
      <c r="D347" s="110">
        <v>100089701</v>
      </c>
      <c r="E347" s="110" t="s">
        <v>58</v>
      </c>
      <c r="F347" s="89">
        <v>100079045</v>
      </c>
      <c r="G347" s="128" t="s">
        <v>428</v>
      </c>
      <c r="H347">
        <v>0</v>
      </c>
      <c r="I347">
        <v>0</v>
      </c>
      <c r="J347">
        <v>0</v>
      </c>
      <c r="K347">
        <v>0</v>
      </c>
      <c r="S347" s="91">
        <v>0</v>
      </c>
      <c r="T347" s="94">
        <v>0</v>
      </c>
      <c r="U347" s="91">
        <v>0</v>
      </c>
      <c r="V347" s="129">
        <v>0</v>
      </c>
      <c r="W347" s="91">
        <v>0</v>
      </c>
      <c r="X347" s="129">
        <v>0</v>
      </c>
      <c r="Y347" s="91">
        <v>0</v>
      </c>
      <c r="Z347" s="129">
        <v>0</v>
      </c>
      <c r="AA347" s="155">
        <f t="shared" si="25"/>
        <v>0</v>
      </c>
      <c r="AB347" s="98">
        <f t="shared" si="25"/>
        <v>0</v>
      </c>
      <c r="AD347" s="97">
        <v>0</v>
      </c>
      <c r="AE347" s="92">
        <v>0</v>
      </c>
      <c r="AF347" s="98">
        <f t="shared" si="24"/>
        <v>0</v>
      </c>
      <c r="AG347" s="97">
        <v>0</v>
      </c>
      <c r="AH347" s="92">
        <v>0</v>
      </c>
      <c r="AI347" s="98">
        <f t="shared" si="22"/>
        <v>0</v>
      </c>
      <c r="AJ347" s="99">
        <f t="shared" si="23"/>
        <v>0</v>
      </c>
      <c r="AK347" s="102" t="str">
        <f>+IF(AB347+AA347+AJ347&lt;=0, "NO COMPRADOR", +IF(AJ347&lt;=0, "SIN COMPRA "&amp;+UPPER(TEXT('DINAMICA ENERO 26'!$C$2,"mmm 'yy")), "COMPRADOR"))</f>
        <v>NO COMPRADOR</v>
      </c>
      <c r="AO347" s="100"/>
      <c r="AP347" s="100"/>
    </row>
    <row r="348" spans="1:42" hidden="1">
      <c r="A348" s="88" t="s">
        <v>85</v>
      </c>
      <c r="B348" s="89" t="s">
        <v>204</v>
      </c>
      <c r="C348" s="89" t="s">
        <v>52</v>
      </c>
      <c r="D348" s="110">
        <v>100089701</v>
      </c>
      <c r="E348" s="110" t="s">
        <v>58</v>
      </c>
      <c r="F348" s="89">
        <v>100011496</v>
      </c>
      <c r="G348" s="128" t="s">
        <v>429</v>
      </c>
      <c r="H348">
        <v>0</v>
      </c>
      <c r="I348">
        <v>0</v>
      </c>
      <c r="J348">
        <v>0</v>
      </c>
      <c r="K348">
        <v>0</v>
      </c>
      <c r="S348" s="91">
        <v>0</v>
      </c>
      <c r="T348" s="94">
        <v>0</v>
      </c>
      <c r="U348" s="91">
        <v>0</v>
      </c>
      <c r="V348" s="129">
        <v>0</v>
      </c>
      <c r="W348" s="91">
        <v>0</v>
      </c>
      <c r="X348" s="129">
        <v>0</v>
      </c>
      <c r="Y348" s="91">
        <v>0</v>
      </c>
      <c r="Z348" s="129">
        <v>0</v>
      </c>
      <c r="AA348" s="155">
        <f t="shared" si="25"/>
        <v>0</v>
      </c>
      <c r="AB348" s="98">
        <f t="shared" si="25"/>
        <v>0</v>
      </c>
      <c r="AD348" s="97">
        <v>0</v>
      </c>
      <c r="AE348" s="92">
        <v>0</v>
      </c>
      <c r="AF348" s="98">
        <f t="shared" si="24"/>
        <v>0</v>
      </c>
      <c r="AG348" s="97">
        <v>0</v>
      </c>
      <c r="AH348" s="92">
        <v>0</v>
      </c>
      <c r="AI348" s="98">
        <f t="shared" si="22"/>
        <v>0</v>
      </c>
      <c r="AJ348" s="99">
        <f t="shared" si="23"/>
        <v>0</v>
      </c>
      <c r="AK348" s="102" t="str">
        <f>+IF(AB348+AA348+AJ348&lt;=0, "NO COMPRADOR", +IF(AJ348&lt;=0, "SIN COMPRA "&amp;+UPPER(TEXT('DINAMICA ENERO 26'!$C$2,"mmm 'yy")), "COMPRADOR"))</f>
        <v>NO COMPRADOR</v>
      </c>
      <c r="AO348" s="100"/>
      <c r="AP348" s="100"/>
    </row>
    <row r="349" spans="1:42" hidden="1">
      <c r="A349" s="88" t="s">
        <v>85</v>
      </c>
      <c r="B349" s="89" t="s">
        <v>204</v>
      </c>
      <c r="C349" s="89" t="s">
        <v>52</v>
      </c>
      <c r="D349" s="110">
        <v>100073888</v>
      </c>
      <c r="E349" s="110" t="s">
        <v>55</v>
      </c>
      <c r="F349" s="89">
        <v>100001404</v>
      </c>
      <c r="G349" s="128" t="s">
        <v>430</v>
      </c>
      <c r="H349">
        <v>0</v>
      </c>
      <c r="I349">
        <v>0</v>
      </c>
      <c r="J349">
        <v>0</v>
      </c>
      <c r="K349">
        <v>0</v>
      </c>
      <c r="S349" s="91">
        <v>0</v>
      </c>
      <c r="T349" s="94">
        <v>0</v>
      </c>
      <c r="U349" s="91">
        <v>0</v>
      </c>
      <c r="V349" s="129">
        <v>0</v>
      </c>
      <c r="W349" s="91">
        <v>0</v>
      </c>
      <c r="X349" s="129">
        <v>0</v>
      </c>
      <c r="Y349" s="91">
        <v>0</v>
      </c>
      <c r="Z349" s="129">
        <v>4.32</v>
      </c>
      <c r="AA349" s="155">
        <f t="shared" si="25"/>
        <v>0</v>
      </c>
      <c r="AB349" s="98">
        <f t="shared" si="25"/>
        <v>1.4400000000000002</v>
      </c>
      <c r="AD349" s="97">
        <v>0</v>
      </c>
      <c r="AE349" s="92">
        <v>0</v>
      </c>
      <c r="AF349" s="98">
        <f t="shared" si="24"/>
        <v>0</v>
      </c>
      <c r="AG349" s="97">
        <v>19.440000000000001</v>
      </c>
      <c r="AH349" s="92">
        <v>0</v>
      </c>
      <c r="AI349" s="98">
        <f t="shared" si="22"/>
        <v>19.440000000000001</v>
      </c>
      <c r="AJ349" s="99">
        <f t="shared" si="23"/>
        <v>19.440000000000001</v>
      </c>
      <c r="AK349" s="102" t="str">
        <f>+IF(AB349+AA349+AJ349&lt;=0, "NO COMPRADOR", +IF(AJ349&lt;=0, "SIN COMPRA "&amp;+UPPER(TEXT('DINAMICA ENERO 26'!$C$2,"mmm 'yy")), "COMPRADOR"))</f>
        <v>COMPRADOR</v>
      </c>
      <c r="AO349" s="100"/>
      <c r="AP349" s="100"/>
    </row>
    <row r="350" spans="1:42" hidden="1">
      <c r="A350" s="88" t="s">
        <v>85</v>
      </c>
      <c r="B350" s="89" t="s">
        <v>204</v>
      </c>
      <c r="C350" s="89" t="s">
        <v>52</v>
      </c>
      <c r="D350" s="110">
        <v>100073888</v>
      </c>
      <c r="E350" s="110" t="s">
        <v>55</v>
      </c>
      <c r="F350" s="89">
        <v>100002253</v>
      </c>
      <c r="G350" s="128" t="s">
        <v>431</v>
      </c>
      <c r="H350">
        <v>0</v>
      </c>
      <c r="I350">
        <v>0</v>
      </c>
      <c r="J350">
        <v>0</v>
      </c>
      <c r="K350">
        <v>0</v>
      </c>
      <c r="S350" s="91">
        <v>0</v>
      </c>
      <c r="T350" s="94">
        <v>0</v>
      </c>
      <c r="U350" s="91">
        <v>0</v>
      </c>
      <c r="V350" s="129">
        <v>0</v>
      </c>
      <c r="W350" s="91">
        <v>0</v>
      </c>
      <c r="X350" s="129">
        <v>0</v>
      </c>
      <c r="Y350" s="91">
        <v>0</v>
      </c>
      <c r="Z350" s="129">
        <v>0</v>
      </c>
      <c r="AA350" s="155">
        <f t="shared" si="25"/>
        <v>0</v>
      </c>
      <c r="AB350" s="98">
        <f t="shared" si="25"/>
        <v>0</v>
      </c>
      <c r="AD350" s="97">
        <v>0</v>
      </c>
      <c r="AE350" s="92">
        <v>0</v>
      </c>
      <c r="AF350" s="98">
        <f t="shared" si="24"/>
        <v>0</v>
      </c>
      <c r="AG350" s="97">
        <v>0</v>
      </c>
      <c r="AH350" s="92">
        <v>0</v>
      </c>
      <c r="AI350" s="98">
        <f t="shared" si="22"/>
        <v>0</v>
      </c>
      <c r="AJ350" s="99">
        <f t="shared" si="23"/>
        <v>0</v>
      </c>
      <c r="AK350" s="102" t="str">
        <f>+IF(AB350+AA350+AJ350&lt;=0, "NO COMPRADOR", +IF(AJ350&lt;=0, "SIN COMPRA "&amp;+UPPER(TEXT('DINAMICA ENERO 26'!$C$2,"mmm 'yy")), "COMPRADOR"))</f>
        <v>NO COMPRADOR</v>
      </c>
      <c r="AO350" s="100"/>
      <c r="AP350" s="100"/>
    </row>
    <row r="351" spans="1:42" hidden="1">
      <c r="A351" s="88" t="s">
        <v>85</v>
      </c>
      <c r="B351" s="89" t="s">
        <v>236</v>
      </c>
      <c r="C351" s="89" t="s">
        <v>68</v>
      </c>
      <c r="D351" s="110">
        <v>100031199</v>
      </c>
      <c r="E351" s="110" t="s">
        <v>69</v>
      </c>
      <c r="F351" s="89">
        <v>100089970</v>
      </c>
      <c r="G351" s="128" t="s">
        <v>432</v>
      </c>
      <c r="H351">
        <v>0</v>
      </c>
      <c r="I351">
        <v>0</v>
      </c>
      <c r="J351">
        <v>0</v>
      </c>
      <c r="K351">
        <v>0</v>
      </c>
      <c r="S351" s="91">
        <v>0</v>
      </c>
      <c r="T351" s="94">
        <v>0</v>
      </c>
      <c r="U351" s="91">
        <v>0</v>
      </c>
      <c r="V351" s="129">
        <v>0</v>
      </c>
      <c r="W351" s="91">
        <v>0</v>
      </c>
      <c r="X351" s="129">
        <v>0</v>
      </c>
      <c r="Y351" s="91">
        <v>0</v>
      </c>
      <c r="Z351" s="129">
        <v>0</v>
      </c>
      <c r="AA351" s="155">
        <f t="shared" si="25"/>
        <v>0</v>
      </c>
      <c r="AB351" s="98">
        <f t="shared" si="25"/>
        <v>0</v>
      </c>
      <c r="AD351" s="97">
        <v>0</v>
      </c>
      <c r="AE351" s="92">
        <v>0</v>
      </c>
      <c r="AF351" s="98">
        <f t="shared" si="24"/>
        <v>0</v>
      </c>
      <c r="AG351" s="97">
        <v>0</v>
      </c>
      <c r="AH351" s="92">
        <v>0</v>
      </c>
      <c r="AI351" s="98">
        <f t="shared" si="22"/>
        <v>0</v>
      </c>
      <c r="AJ351" s="99">
        <f t="shared" si="23"/>
        <v>0</v>
      </c>
      <c r="AK351" s="102" t="str">
        <f>+IF(AB351+AA351+AJ351&lt;=0, "NO COMPRADOR", +IF(AJ351&lt;=0, "SIN COMPRA "&amp;+UPPER(TEXT('DINAMICA ENERO 26'!$C$2,"mmm 'yy")), "COMPRADOR"))</f>
        <v>NO COMPRADOR</v>
      </c>
      <c r="AO351" s="100"/>
      <c r="AP351" s="100"/>
    </row>
    <row r="352" spans="1:42" hidden="1">
      <c r="A352" s="88" t="s">
        <v>85</v>
      </c>
      <c r="B352" s="89" t="s">
        <v>257</v>
      </c>
      <c r="C352" s="89" t="s">
        <v>43</v>
      </c>
      <c r="D352" s="110">
        <v>100088690</v>
      </c>
      <c r="E352" s="110" t="s">
        <v>45</v>
      </c>
      <c r="F352" s="89">
        <v>100002208</v>
      </c>
      <c r="G352" s="128" t="s">
        <v>433</v>
      </c>
      <c r="H352">
        <v>0</v>
      </c>
      <c r="I352">
        <v>0</v>
      </c>
      <c r="J352">
        <v>0</v>
      </c>
      <c r="K352">
        <v>0</v>
      </c>
      <c r="S352" s="91">
        <v>0</v>
      </c>
      <c r="T352" s="94">
        <v>0</v>
      </c>
      <c r="U352" s="91">
        <v>0</v>
      </c>
      <c r="V352" s="129">
        <v>0</v>
      </c>
      <c r="W352" s="91">
        <v>0</v>
      </c>
      <c r="X352" s="129">
        <v>0</v>
      </c>
      <c r="Y352" s="91">
        <v>0</v>
      </c>
      <c r="Z352" s="129">
        <v>0</v>
      </c>
      <c r="AA352" s="155">
        <f t="shared" si="25"/>
        <v>0</v>
      </c>
      <c r="AB352" s="98">
        <f t="shared" si="25"/>
        <v>0</v>
      </c>
      <c r="AD352" s="97">
        <v>0</v>
      </c>
      <c r="AE352" s="92">
        <v>0</v>
      </c>
      <c r="AF352" s="98">
        <f t="shared" si="24"/>
        <v>0</v>
      </c>
      <c r="AG352" s="97">
        <v>0</v>
      </c>
      <c r="AH352" s="92">
        <v>0</v>
      </c>
      <c r="AI352" s="98">
        <f t="shared" si="22"/>
        <v>0</v>
      </c>
      <c r="AJ352" s="99">
        <f t="shared" si="23"/>
        <v>0</v>
      </c>
      <c r="AK352" s="102" t="str">
        <f>+IF(AB352+AA352+AJ352&lt;=0, "NO COMPRADOR", +IF(AJ352&lt;=0, "SIN COMPRA "&amp;+UPPER(TEXT('DINAMICA ENERO 26'!$C$2,"mmm 'yy")), "COMPRADOR"))</f>
        <v>NO COMPRADOR</v>
      </c>
      <c r="AO352" s="100"/>
      <c r="AP352" s="100"/>
    </row>
    <row r="353" spans="1:42" hidden="1">
      <c r="A353" s="88" t="s">
        <v>85</v>
      </c>
      <c r="B353" s="89" t="s">
        <v>257</v>
      </c>
      <c r="C353" s="89" t="s">
        <v>43</v>
      </c>
      <c r="D353" s="110">
        <v>100088690</v>
      </c>
      <c r="E353" s="110" t="s">
        <v>45</v>
      </c>
      <c r="F353" s="89">
        <v>100001513</v>
      </c>
      <c r="G353" s="128" t="s">
        <v>287</v>
      </c>
      <c r="H353">
        <v>0</v>
      </c>
      <c r="I353">
        <v>0</v>
      </c>
      <c r="J353">
        <v>0</v>
      </c>
      <c r="K353">
        <v>0</v>
      </c>
      <c r="S353" s="91">
        <v>0</v>
      </c>
      <c r="T353" s="94">
        <v>0</v>
      </c>
      <c r="U353" s="91">
        <v>0</v>
      </c>
      <c r="V353" s="129">
        <v>0</v>
      </c>
      <c r="W353" s="91">
        <v>0</v>
      </c>
      <c r="X353" s="129">
        <v>0</v>
      </c>
      <c r="Y353" s="91">
        <v>0</v>
      </c>
      <c r="Z353" s="129">
        <v>0</v>
      </c>
      <c r="AA353" s="155">
        <f t="shared" si="25"/>
        <v>0</v>
      </c>
      <c r="AB353" s="98">
        <f t="shared" si="25"/>
        <v>0</v>
      </c>
      <c r="AD353" s="97">
        <v>0</v>
      </c>
      <c r="AE353" s="92">
        <v>0</v>
      </c>
      <c r="AF353" s="98">
        <f t="shared" si="24"/>
        <v>0</v>
      </c>
      <c r="AG353" s="97">
        <v>0</v>
      </c>
      <c r="AH353" s="92">
        <v>0</v>
      </c>
      <c r="AI353" s="98">
        <f t="shared" si="22"/>
        <v>0</v>
      </c>
      <c r="AJ353" s="99">
        <f t="shared" si="23"/>
        <v>0</v>
      </c>
      <c r="AK353" s="102" t="str">
        <f>+IF(AB353+AA353+AJ353&lt;=0, "NO COMPRADOR", +IF(AJ353&lt;=0, "SIN COMPRA "&amp;+UPPER(TEXT('DINAMICA ENERO 26'!$C$2,"mmm 'yy")), "COMPRADOR"))</f>
        <v>NO COMPRADOR</v>
      </c>
      <c r="AO353" s="100"/>
      <c r="AP353" s="100"/>
    </row>
    <row r="354" spans="1:42" hidden="1">
      <c r="A354" s="88" t="s">
        <v>85</v>
      </c>
      <c r="B354" s="89" t="s">
        <v>257</v>
      </c>
      <c r="C354" s="89" t="s">
        <v>43</v>
      </c>
      <c r="D354" s="110">
        <v>100088690</v>
      </c>
      <c r="E354" s="110" t="s">
        <v>45</v>
      </c>
      <c r="F354" s="89">
        <v>100015740</v>
      </c>
      <c r="G354" s="128" t="s">
        <v>434</v>
      </c>
      <c r="H354">
        <v>0</v>
      </c>
      <c r="I354">
        <v>0</v>
      </c>
      <c r="J354">
        <v>0</v>
      </c>
      <c r="K354">
        <v>0</v>
      </c>
      <c r="S354" s="91">
        <v>0</v>
      </c>
      <c r="T354" s="94">
        <v>0</v>
      </c>
      <c r="U354" s="91">
        <v>0</v>
      </c>
      <c r="V354" s="129">
        <v>0</v>
      </c>
      <c r="W354" s="91">
        <v>0</v>
      </c>
      <c r="X354" s="129">
        <v>8.64</v>
      </c>
      <c r="Y354" s="91">
        <v>0</v>
      </c>
      <c r="Z354" s="129">
        <v>0</v>
      </c>
      <c r="AA354" s="155">
        <f t="shared" si="25"/>
        <v>0</v>
      </c>
      <c r="AB354" s="98">
        <f t="shared" si="25"/>
        <v>2.8800000000000003</v>
      </c>
      <c r="AD354" s="97">
        <v>0</v>
      </c>
      <c r="AE354" s="92">
        <v>0</v>
      </c>
      <c r="AF354" s="98">
        <f t="shared" si="24"/>
        <v>0</v>
      </c>
      <c r="AG354" s="97">
        <v>0</v>
      </c>
      <c r="AH354" s="92">
        <v>0</v>
      </c>
      <c r="AI354" s="98">
        <f t="shared" si="22"/>
        <v>0</v>
      </c>
      <c r="AJ354" s="99">
        <f t="shared" si="23"/>
        <v>0</v>
      </c>
      <c r="AK354" s="102" t="str">
        <f>+IF(AB354+AA354+AJ354&lt;=0, "NO COMPRADOR", +IF(AJ354&lt;=0, "SIN COMPRA "&amp;+UPPER(TEXT('DINAMICA ENERO 26'!$C$2,"mmm 'yy")), "COMPRADOR"))</f>
        <v>SIN COMPRA FEB '26</v>
      </c>
      <c r="AO354" s="100"/>
      <c r="AP354" s="100"/>
    </row>
    <row r="355" spans="1:42" hidden="1">
      <c r="A355" s="88" t="s">
        <v>85</v>
      </c>
      <c r="B355" s="89" t="s">
        <v>257</v>
      </c>
      <c r="C355" s="89" t="s">
        <v>43</v>
      </c>
      <c r="D355" s="110">
        <v>100089856</v>
      </c>
      <c r="E355" s="110" t="s">
        <v>49</v>
      </c>
      <c r="F355" s="89">
        <v>100013280</v>
      </c>
      <c r="G355" s="128" t="s">
        <v>435</v>
      </c>
      <c r="H355">
        <v>0</v>
      </c>
      <c r="I355">
        <v>0</v>
      </c>
      <c r="J355">
        <v>0</v>
      </c>
      <c r="K355">
        <v>0</v>
      </c>
      <c r="S355" s="91">
        <v>0</v>
      </c>
      <c r="T355" s="94">
        <v>0</v>
      </c>
      <c r="U355" s="91">
        <v>0</v>
      </c>
      <c r="V355" s="129">
        <v>0</v>
      </c>
      <c r="W355" s="91">
        <v>32.400000000000006</v>
      </c>
      <c r="X355" s="129">
        <v>43.2</v>
      </c>
      <c r="Y355" s="91">
        <v>10.8</v>
      </c>
      <c r="Z355" s="129">
        <v>0</v>
      </c>
      <c r="AA355" s="155">
        <f t="shared" si="25"/>
        <v>14.4</v>
      </c>
      <c r="AB355" s="98">
        <f t="shared" si="25"/>
        <v>14.4</v>
      </c>
      <c r="AD355" s="97">
        <v>0</v>
      </c>
      <c r="AE355" s="92">
        <v>0</v>
      </c>
      <c r="AF355" s="98">
        <f t="shared" si="24"/>
        <v>0</v>
      </c>
      <c r="AG355" s="97">
        <v>0</v>
      </c>
      <c r="AH355" s="92">
        <v>0</v>
      </c>
      <c r="AI355" s="98">
        <f t="shared" si="22"/>
        <v>0</v>
      </c>
      <c r="AJ355" s="99">
        <f t="shared" si="23"/>
        <v>0</v>
      </c>
      <c r="AK355" s="102" t="str">
        <f>+IF(AB355+AA355+AJ355&lt;=0, "NO COMPRADOR", +IF(AJ355&lt;=0, "SIN COMPRA "&amp;+UPPER(TEXT('DINAMICA ENERO 26'!$C$2,"mmm 'yy")), "COMPRADOR"))</f>
        <v>SIN COMPRA FEB '26</v>
      </c>
      <c r="AO355" s="100"/>
      <c r="AP355" s="100"/>
    </row>
    <row r="356" spans="1:42" hidden="1">
      <c r="A356" s="88" t="s">
        <v>85</v>
      </c>
      <c r="B356" s="89" t="s">
        <v>257</v>
      </c>
      <c r="C356" s="89" t="s">
        <v>43</v>
      </c>
      <c r="D356" s="110">
        <v>100089856</v>
      </c>
      <c r="E356" s="110" t="s">
        <v>49</v>
      </c>
      <c r="F356" s="89">
        <v>100081920</v>
      </c>
      <c r="G356" s="128" t="s">
        <v>436</v>
      </c>
      <c r="H356">
        <v>0</v>
      </c>
      <c r="I356">
        <v>0</v>
      </c>
      <c r="J356">
        <v>0</v>
      </c>
      <c r="K356">
        <v>0</v>
      </c>
      <c r="S356" s="91">
        <v>0</v>
      </c>
      <c r="T356" s="94">
        <v>0</v>
      </c>
      <c r="U356" s="91">
        <v>0</v>
      </c>
      <c r="V356" s="129">
        <v>0</v>
      </c>
      <c r="W356" s="91">
        <v>73.44</v>
      </c>
      <c r="X356" s="129">
        <v>75.600000000000009</v>
      </c>
      <c r="Y356" s="91">
        <v>0</v>
      </c>
      <c r="Z356" s="129">
        <v>0</v>
      </c>
      <c r="AA356" s="155">
        <f t="shared" si="25"/>
        <v>24.48</v>
      </c>
      <c r="AB356" s="98">
        <f t="shared" si="25"/>
        <v>25.200000000000003</v>
      </c>
      <c r="AD356" s="97">
        <v>86.4</v>
      </c>
      <c r="AE356" s="92">
        <v>0</v>
      </c>
      <c r="AF356" s="98">
        <f t="shared" si="24"/>
        <v>86.4</v>
      </c>
      <c r="AG356" s="97">
        <v>86.4</v>
      </c>
      <c r="AH356" s="92">
        <v>0</v>
      </c>
      <c r="AI356" s="98">
        <f t="shared" si="22"/>
        <v>86.4</v>
      </c>
      <c r="AJ356" s="99">
        <f t="shared" si="23"/>
        <v>172.8</v>
      </c>
      <c r="AK356" s="102" t="str">
        <f>+IF(AB356+AA356+AJ356&lt;=0, "NO COMPRADOR", +IF(AJ356&lt;=0, "SIN COMPRA "&amp;+UPPER(TEXT('DINAMICA ENERO 26'!$C$2,"mmm 'yy")), "COMPRADOR"))</f>
        <v>COMPRADOR</v>
      </c>
      <c r="AO356" s="100"/>
      <c r="AP356" s="100"/>
    </row>
    <row r="357" spans="1:42" hidden="1">
      <c r="A357" s="88" t="s">
        <v>85</v>
      </c>
      <c r="B357" s="89" t="s">
        <v>257</v>
      </c>
      <c r="C357" s="89" t="s">
        <v>43</v>
      </c>
      <c r="D357" s="110">
        <v>100089856</v>
      </c>
      <c r="E357" s="110" t="s">
        <v>49</v>
      </c>
      <c r="F357" s="89">
        <v>100087806</v>
      </c>
      <c r="G357" s="128" t="s">
        <v>437</v>
      </c>
      <c r="H357">
        <v>0</v>
      </c>
      <c r="I357">
        <v>0</v>
      </c>
      <c r="J357">
        <v>0</v>
      </c>
      <c r="K357">
        <v>0</v>
      </c>
      <c r="S357" s="91">
        <v>0</v>
      </c>
      <c r="T357" s="94">
        <v>0</v>
      </c>
      <c r="U357" s="91">
        <v>0</v>
      </c>
      <c r="V357" s="129">
        <v>0</v>
      </c>
      <c r="W357" s="91">
        <v>0</v>
      </c>
      <c r="X357" s="129">
        <v>0</v>
      </c>
      <c r="Y357" s="91">
        <v>0</v>
      </c>
      <c r="Z357" s="129">
        <v>0</v>
      </c>
      <c r="AA357" s="155">
        <f t="shared" si="25"/>
        <v>0</v>
      </c>
      <c r="AB357" s="98">
        <f t="shared" si="25"/>
        <v>0</v>
      </c>
      <c r="AD357" s="97">
        <v>0</v>
      </c>
      <c r="AE357" s="92">
        <v>0</v>
      </c>
      <c r="AF357" s="98">
        <f t="shared" si="24"/>
        <v>0</v>
      </c>
      <c r="AG357" s="97">
        <v>0</v>
      </c>
      <c r="AH357" s="92">
        <v>0</v>
      </c>
      <c r="AI357" s="98">
        <f t="shared" si="22"/>
        <v>0</v>
      </c>
      <c r="AJ357" s="99">
        <f t="shared" si="23"/>
        <v>0</v>
      </c>
      <c r="AK357" s="102" t="str">
        <f>+IF(AB357+AA357+AJ357&lt;=0, "NO COMPRADOR", +IF(AJ357&lt;=0, "SIN COMPRA "&amp;+UPPER(TEXT('DINAMICA ENERO 26'!$C$2,"mmm 'yy")), "COMPRADOR"))</f>
        <v>NO COMPRADOR</v>
      </c>
      <c r="AO357" s="100"/>
      <c r="AP357" s="100"/>
    </row>
    <row r="358" spans="1:42" hidden="1">
      <c r="A358" s="88" t="s">
        <v>85</v>
      </c>
      <c r="B358" s="89" t="s">
        <v>257</v>
      </c>
      <c r="C358" s="89" t="s">
        <v>43</v>
      </c>
      <c r="D358" s="110">
        <v>100089856</v>
      </c>
      <c r="E358" s="110" t="s">
        <v>49</v>
      </c>
      <c r="F358" s="89">
        <v>100061574</v>
      </c>
      <c r="G358" s="128" t="s">
        <v>438</v>
      </c>
      <c r="H358">
        <v>0</v>
      </c>
      <c r="I358">
        <v>0</v>
      </c>
      <c r="J358">
        <v>0</v>
      </c>
      <c r="K358">
        <v>0</v>
      </c>
      <c r="S358" s="91">
        <v>0</v>
      </c>
      <c r="T358" s="94">
        <v>0</v>
      </c>
      <c r="U358" s="91">
        <v>0</v>
      </c>
      <c r="V358" s="129">
        <v>0</v>
      </c>
      <c r="W358" s="91">
        <v>0</v>
      </c>
      <c r="X358" s="129">
        <v>0</v>
      </c>
      <c r="Y358" s="91">
        <v>4.32</v>
      </c>
      <c r="Z358" s="129">
        <v>4.32</v>
      </c>
      <c r="AA358" s="155">
        <f t="shared" si="25"/>
        <v>1.4400000000000002</v>
      </c>
      <c r="AB358" s="98">
        <f t="shared" si="25"/>
        <v>1.4400000000000002</v>
      </c>
      <c r="AD358" s="97">
        <v>0</v>
      </c>
      <c r="AE358" s="92">
        <v>0</v>
      </c>
      <c r="AF358" s="98">
        <f t="shared" si="24"/>
        <v>0</v>
      </c>
      <c r="AG358" s="97">
        <v>0</v>
      </c>
      <c r="AH358" s="92">
        <v>0</v>
      </c>
      <c r="AI358" s="98">
        <f t="shared" si="22"/>
        <v>0</v>
      </c>
      <c r="AJ358" s="99">
        <f t="shared" si="23"/>
        <v>0</v>
      </c>
      <c r="AK358" s="102" t="str">
        <f>+IF(AB358+AA358+AJ358&lt;=0, "NO COMPRADOR", +IF(AJ358&lt;=0, "SIN COMPRA "&amp;+UPPER(TEXT('DINAMICA ENERO 26'!$C$2,"mmm 'yy")), "COMPRADOR"))</f>
        <v>SIN COMPRA FEB '26</v>
      </c>
      <c r="AO358" s="100"/>
      <c r="AP358" s="100"/>
    </row>
    <row r="359" spans="1:42" hidden="1">
      <c r="A359" s="88" t="s">
        <v>85</v>
      </c>
      <c r="B359" s="89" t="s">
        <v>257</v>
      </c>
      <c r="C359" s="89" t="s">
        <v>43</v>
      </c>
      <c r="D359" s="110">
        <v>100089856</v>
      </c>
      <c r="E359" s="110" t="s">
        <v>49</v>
      </c>
      <c r="F359" s="89">
        <v>100005860</v>
      </c>
      <c r="G359" s="128" t="s">
        <v>439</v>
      </c>
      <c r="H359">
        <v>0</v>
      </c>
      <c r="I359">
        <v>0</v>
      </c>
      <c r="J359">
        <v>0</v>
      </c>
      <c r="K359">
        <v>0</v>
      </c>
      <c r="S359" s="91">
        <v>0</v>
      </c>
      <c r="T359" s="94">
        <v>0</v>
      </c>
      <c r="U359" s="91">
        <v>0</v>
      </c>
      <c r="V359" s="129">
        <v>0</v>
      </c>
      <c r="W359" s="91">
        <v>0</v>
      </c>
      <c r="X359" s="129">
        <v>0</v>
      </c>
      <c r="Y359" s="91">
        <v>0</v>
      </c>
      <c r="Z359" s="129">
        <v>0</v>
      </c>
      <c r="AA359" s="155">
        <f t="shared" si="25"/>
        <v>0</v>
      </c>
      <c r="AB359" s="98">
        <f t="shared" si="25"/>
        <v>0</v>
      </c>
      <c r="AD359" s="97">
        <v>0</v>
      </c>
      <c r="AE359" s="92">
        <v>0</v>
      </c>
      <c r="AF359" s="98">
        <f t="shared" si="24"/>
        <v>0</v>
      </c>
      <c r="AG359" s="97">
        <v>0</v>
      </c>
      <c r="AH359" s="92">
        <v>0</v>
      </c>
      <c r="AI359" s="98">
        <f t="shared" ref="AI359:AI386" si="26">+AG359+AH359</f>
        <v>0</v>
      </c>
      <c r="AJ359" s="99">
        <f t="shared" si="23"/>
        <v>0</v>
      </c>
      <c r="AK359" s="102" t="str">
        <f>+IF(AB359+AA359+AJ359&lt;=0, "NO COMPRADOR", +IF(AJ359&lt;=0, "SIN COMPRA "&amp;+UPPER(TEXT('DINAMICA ENERO 26'!$C$2,"mmm 'yy")), "COMPRADOR"))</f>
        <v>NO COMPRADOR</v>
      </c>
      <c r="AO359" s="100"/>
      <c r="AP359" s="100"/>
    </row>
    <row r="360" spans="1:42">
      <c r="A360" s="88" t="s">
        <v>85</v>
      </c>
      <c r="B360" s="89" t="s">
        <v>257</v>
      </c>
      <c r="C360" s="89" t="s">
        <v>43</v>
      </c>
      <c r="D360" s="103">
        <v>100067806</v>
      </c>
      <c r="E360" s="110" t="s">
        <v>50</v>
      </c>
      <c r="F360" s="89">
        <v>100086144</v>
      </c>
      <c r="G360" s="128" t="s">
        <v>440</v>
      </c>
      <c r="H360">
        <v>0</v>
      </c>
      <c r="I360">
        <v>0</v>
      </c>
      <c r="J360">
        <v>0</v>
      </c>
      <c r="K360">
        <v>0</v>
      </c>
      <c r="S360" s="91">
        <v>0</v>
      </c>
      <c r="T360" s="94">
        <v>0</v>
      </c>
      <c r="U360" s="91">
        <v>0</v>
      </c>
      <c r="V360" s="129">
        <v>0</v>
      </c>
      <c r="W360" s="91">
        <v>0</v>
      </c>
      <c r="X360" s="129">
        <v>0</v>
      </c>
      <c r="Y360" s="91">
        <v>0</v>
      </c>
      <c r="Z360" s="129">
        <v>0</v>
      </c>
      <c r="AA360" s="155">
        <f t="shared" si="25"/>
        <v>0</v>
      </c>
      <c r="AB360" s="98">
        <f t="shared" si="25"/>
        <v>0</v>
      </c>
      <c r="AD360" s="97">
        <v>0</v>
      </c>
      <c r="AE360" s="92">
        <v>0</v>
      </c>
      <c r="AF360" s="98">
        <f t="shared" si="24"/>
        <v>0</v>
      </c>
      <c r="AG360" s="97">
        <v>0</v>
      </c>
      <c r="AH360" s="92">
        <v>0</v>
      </c>
      <c r="AI360" s="98">
        <f t="shared" si="26"/>
        <v>0</v>
      </c>
      <c r="AJ360" s="99">
        <f t="shared" si="23"/>
        <v>0</v>
      </c>
      <c r="AK360" s="102" t="str">
        <f>+IF(AB360+AA360+AJ360&lt;=0, "NO COMPRADOR", +IF(AJ360&lt;=0, "SIN COMPRA "&amp;+UPPER(TEXT('DINAMICA ENERO 26'!$C$2,"mmm 'yy")), "COMPRADOR"))</f>
        <v>NO COMPRADOR</v>
      </c>
      <c r="AO360" s="100"/>
      <c r="AP360" s="100"/>
    </row>
    <row r="361" spans="1:42">
      <c r="A361" s="88" t="s">
        <v>85</v>
      </c>
      <c r="B361" s="89" t="s">
        <v>257</v>
      </c>
      <c r="C361" s="89" t="s">
        <v>43</v>
      </c>
      <c r="D361" s="110">
        <v>100067806</v>
      </c>
      <c r="E361" s="110" t="s">
        <v>50</v>
      </c>
      <c r="F361" s="89">
        <v>100001431</v>
      </c>
      <c r="G361" s="128" t="s">
        <v>441</v>
      </c>
      <c r="H361">
        <v>0</v>
      </c>
      <c r="I361">
        <v>0</v>
      </c>
      <c r="J361">
        <v>0</v>
      </c>
      <c r="K361">
        <v>0</v>
      </c>
      <c r="S361" s="91">
        <v>0</v>
      </c>
      <c r="T361" s="94">
        <v>0</v>
      </c>
      <c r="U361" s="91">
        <v>0</v>
      </c>
      <c r="V361" s="129">
        <v>0</v>
      </c>
      <c r="W361" s="91">
        <v>21.6</v>
      </c>
      <c r="X361" s="129">
        <v>21.600000000000005</v>
      </c>
      <c r="Y361" s="91">
        <v>43.2</v>
      </c>
      <c r="Z361" s="129">
        <v>4.32</v>
      </c>
      <c r="AA361" s="155">
        <f t="shared" si="25"/>
        <v>21.600000000000005</v>
      </c>
      <c r="AB361" s="98">
        <f t="shared" si="25"/>
        <v>8.6400000000000023</v>
      </c>
      <c r="AD361" s="97">
        <v>0</v>
      </c>
      <c r="AE361" s="92">
        <v>0</v>
      </c>
      <c r="AF361" s="98">
        <f t="shared" si="24"/>
        <v>0</v>
      </c>
      <c r="AG361" s="97">
        <v>0</v>
      </c>
      <c r="AH361" s="92">
        <v>0</v>
      </c>
      <c r="AI361" s="98">
        <f t="shared" si="26"/>
        <v>0</v>
      </c>
      <c r="AJ361" s="99">
        <f t="shared" si="23"/>
        <v>0</v>
      </c>
      <c r="AK361" s="102" t="str">
        <f>+IF(AB361+AA361+AJ361&lt;=0, "NO COMPRADOR", +IF(AJ361&lt;=0, "SIN COMPRA "&amp;+UPPER(TEXT('DINAMICA ENERO 26'!$C$2,"mmm 'yy")), "COMPRADOR"))</f>
        <v>SIN COMPRA FEB '26</v>
      </c>
      <c r="AO361" s="100"/>
      <c r="AP361" s="100"/>
    </row>
    <row r="362" spans="1:42" hidden="1">
      <c r="A362" s="88" t="s">
        <v>85</v>
      </c>
      <c r="B362" s="89" t="s">
        <v>315</v>
      </c>
      <c r="C362" s="89" t="s">
        <v>43</v>
      </c>
      <c r="D362" s="110">
        <v>100063546</v>
      </c>
      <c r="E362" s="110" t="s">
        <v>46</v>
      </c>
      <c r="F362" s="89">
        <v>100083281</v>
      </c>
      <c r="G362" s="128" t="s">
        <v>442</v>
      </c>
      <c r="H362">
        <v>0</v>
      </c>
      <c r="I362">
        <v>0</v>
      </c>
      <c r="J362">
        <v>0</v>
      </c>
      <c r="K362">
        <v>0</v>
      </c>
      <c r="S362" s="91">
        <v>0</v>
      </c>
      <c r="T362" s="94">
        <v>0</v>
      </c>
      <c r="U362" s="91">
        <v>0</v>
      </c>
      <c r="V362" s="129">
        <v>0</v>
      </c>
      <c r="W362" s="91">
        <v>0</v>
      </c>
      <c r="X362" s="129">
        <v>0</v>
      </c>
      <c r="Y362" s="91">
        <v>0</v>
      </c>
      <c r="Z362" s="129">
        <v>0</v>
      </c>
      <c r="AA362" s="155">
        <f t="shared" si="25"/>
        <v>0</v>
      </c>
      <c r="AB362" s="98">
        <f t="shared" si="25"/>
        <v>0</v>
      </c>
      <c r="AD362" s="97">
        <v>0</v>
      </c>
      <c r="AE362" s="92">
        <v>0</v>
      </c>
      <c r="AF362" s="98">
        <f t="shared" si="24"/>
        <v>0</v>
      </c>
      <c r="AG362" s="97">
        <v>0</v>
      </c>
      <c r="AH362" s="92">
        <v>0</v>
      </c>
      <c r="AI362" s="98">
        <f t="shared" si="26"/>
        <v>0</v>
      </c>
      <c r="AJ362" s="99">
        <f t="shared" si="23"/>
        <v>0</v>
      </c>
      <c r="AK362" s="102" t="str">
        <f>+IF(AB362+AA362+AJ362&lt;=0, "NO COMPRADOR", +IF(AJ362&lt;=0, "SIN COMPRA "&amp;+UPPER(TEXT('DINAMICA ENERO 26'!$C$2,"mmm 'yy")), "COMPRADOR"))</f>
        <v>NO COMPRADOR</v>
      </c>
      <c r="AO362" s="100"/>
      <c r="AP362" s="100"/>
    </row>
    <row r="363" spans="1:42" hidden="1">
      <c r="A363" s="88" t="s">
        <v>85</v>
      </c>
      <c r="B363" s="89" t="s">
        <v>351</v>
      </c>
      <c r="C363" s="89" t="s">
        <v>43</v>
      </c>
      <c r="D363" s="110">
        <v>100070275</v>
      </c>
      <c r="E363" s="110" t="s">
        <v>47</v>
      </c>
      <c r="F363" s="89">
        <v>100086676</v>
      </c>
      <c r="G363" s="128" t="s">
        <v>443</v>
      </c>
      <c r="H363">
        <v>0</v>
      </c>
      <c r="I363">
        <v>0</v>
      </c>
      <c r="J363">
        <v>0</v>
      </c>
      <c r="K363">
        <v>0</v>
      </c>
      <c r="S363" s="91">
        <v>0</v>
      </c>
      <c r="T363" s="94">
        <v>0</v>
      </c>
      <c r="U363" s="91">
        <v>0</v>
      </c>
      <c r="V363" s="129">
        <v>0</v>
      </c>
      <c r="W363" s="91">
        <v>0</v>
      </c>
      <c r="X363" s="129">
        <v>0</v>
      </c>
      <c r="Y363" s="91">
        <v>0</v>
      </c>
      <c r="Z363" s="129">
        <v>0</v>
      </c>
      <c r="AA363" s="155">
        <f t="shared" si="25"/>
        <v>0</v>
      </c>
      <c r="AB363" s="98">
        <f t="shared" si="25"/>
        <v>0</v>
      </c>
      <c r="AD363" s="97">
        <v>0</v>
      </c>
      <c r="AE363" s="92">
        <v>0</v>
      </c>
      <c r="AF363" s="98">
        <f t="shared" si="24"/>
        <v>0</v>
      </c>
      <c r="AG363" s="97">
        <v>0</v>
      </c>
      <c r="AH363" s="92">
        <v>0</v>
      </c>
      <c r="AI363" s="98">
        <f t="shared" si="26"/>
        <v>0</v>
      </c>
      <c r="AJ363" s="99">
        <f t="shared" si="23"/>
        <v>0</v>
      </c>
      <c r="AK363" s="102" t="str">
        <f>+IF(AB363+AA363+AJ363&lt;=0, "NO COMPRADOR", +IF(AJ363&lt;=0, "SIN COMPRA "&amp;+UPPER(TEXT('DINAMICA ENERO 26'!$C$2,"mmm 'yy")), "COMPRADOR"))</f>
        <v>NO COMPRADOR</v>
      </c>
      <c r="AO363" s="100"/>
      <c r="AP363" s="100"/>
    </row>
    <row r="364" spans="1:42" hidden="1">
      <c r="A364" s="88" t="s">
        <v>85</v>
      </c>
      <c r="B364" s="89" t="s">
        <v>351</v>
      </c>
      <c r="C364" s="89" t="s">
        <v>43</v>
      </c>
      <c r="D364" s="110">
        <v>100070275</v>
      </c>
      <c r="E364" s="110" t="s">
        <v>47</v>
      </c>
      <c r="F364" s="89">
        <v>100001521</v>
      </c>
      <c r="G364" s="128" t="s">
        <v>444</v>
      </c>
      <c r="H364">
        <v>0</v>
      </c>
      <c r="I364">
        <v>0</v>
      </c>
      <c r="J364">
        <v>0</v>
      </c>
      <c r="K364">
        <v>0</v>
      </c>
      <c r="S364" s="91">
        <v>0</v>
      </c>
      <c r="T364" s="94">
        <v>0</v>
      </c>
      <c r="U364" s="91">
        <v>0</v>
      </c>
      <c r="V364" s="129">
        <v>0</v>
      </c>
      <c r="W364" s="91">
        <v>0</v>
      </c>
      <c r="X364" s="129">
        <v>0</v>
      </c>
      <c r="Y364" s="91">
        <v>0</v>
      </c>
      <c r="Z364" s="129">
        <v>0</v>
      </c>
      <c r="AA364" s="155">
        <f t="shared" si="25"/>
        <v>0</v>
      </c>
      <c r="AB364" s="98">
        <f t="shared" si="25"/>
        <v>0</v>
      </c>
      <c r="AD364" s="97">
        <v>0</v>
      </c>
      <c r="AE364" s="92">
        <v>0</v>
      </c>
      <c r="AF364" s="98">
        <f t="shared" si="24"/>
        <v>0</v>
      </c>
      <c r="AG364" s="97">
        <v>0</v>
      </c>
      <c r="AH364" s="92">
        <v>0</v>
      </c>
      <c r="AI364" s="98">
        <f t="shared" si="26"/>
        <v>0</v>
      </c>
      <c r="AJ364" s="99">
        <f t="shared" si="23"/>
        <v>0</v>
      </c>
      <c r="AK364" s="102" t="str">
        <f>+IF(AB364+AA364+AJ364&lt;=0, "NO COMPRADOR", +IF(AJ364&lt;=0, "SIN COMPRA "&amp;+UPPER(TEXT('DINAMICA ENERO 26'!$C$2,"mmm 'yy")), "COMPRADOR"))</f>
        <v>NO COMPRADOR</v>
      </c>
      <c r="AO364" s="100"/>
      <c r="AP364" s="100"/>
    </row>
    <row r="365" spans="1:42" hidden="1">
      <c r="A365" s="88" t="s">
        <v>85</v>
      </c>
      <c r="B365" s="89" t="s">
        <v>351</v>
      </c>
      <c r="C365" s="89" t="s">
        <v>43</v>
      </c>
      <c r="D365" s="110">
        <v>100070276</v>
      </c>
      <c r="E365" s="110" t="s">
        <v>47</v>
      </c>
      <c r="F365" s="89">
        <v>100088142</v>
      </c>
      <c r="G365" s="128" t="s">
        <v>445</v>
      </c>
      <c r="H365">
        <v>0</v>
      </c>
      <c r="I365">
        <v>0</v>
      </c>
      <c r="J365">
        <v>0</v>
      </c>
      <c r="K365">
        <v>0</v>
      </c>
      <c r="S365" s="91">
        <v>0</v>
      </c>
      <c r="T365" s="94">
        <v>0</v>
      </c>
      <c r="U365" s="91">
        <v>0</v>
      </c>
      <c r="V365" s="129">
        <v>0</v>
      </c>
      <c r="W365" s="91">
        <v>0</v>
      </c>
      <c r="X365" s="129">
        <v>0</v>
      </c>
      <c r="Y365" s="91">
        <v>0</v>
      </c>
      <c r="Z365" s="129">
        <v>0</v>
      </c>
      <c r="AA365" s="155">
        <f t="shared" si="25"/>
        <v>0</v>
      </c>
      <c r="AB365" s="98">
        <f t="shared" si="25"/>
        <v>0</v>
      </c>
      <c r="AD365" s="97">
        <v>0</v>
      </c>
      <c r="AE365" s="92">
        <v>0</v>
      </c>
      <c r="AF365" s="98">
        <f t="shared" si="24"/>
        <v>0</v>
      </c>
      <c r="AG365" s="97">
        <v>0</v>
      </c>
      <c r="AH365" s="92">
        <v>0</v>
      </c>
      <c r="AI365" s="98">
        <f t="shared" si="26"/>
        <v>0</v>
      </c>
      <c r="AJ365" s="99">
        <f t="shared" si="23"/>
        <v>0</v>
      </c>
      <c r="AK365" s="102" t="str">
        <f>+IF(AB365+AA365+AJ365&lt;=0, "NO COMPRADOR", +IF(AJ365&lt;=0, "SIN COMPRA "&amp;+UPPER(TEXT('DINAMICA ENERO 26'!$C$2,"mmm 'yy")), "COMPRADOR"))</f>
        <v>NO COMPRADOR</v>
      </c>
      <c r="AO365" s="100"/>
      <c r="AP365" s="100"/>
    </row>
    <row r="366" spans="1:42" hidden="1">
      <c r="A366" s="88" t="s">
        <v>85</v>
      </c>
      <c r="B366" s="89" t="s">
        <v>351</v>
      </c>
      <c r="C366" s="89" t="s">
        <v>43</v>
      </c>
      <c r="D366" s="110">
        <v>100075073</v>
      </c>
      <c r="E366" s="110" t="s">
        <v>48</v>
      </c>
      <c r="F366" s="89">
        <v>100001336</v>
      </c>
      <c r="G366" s="128" t="s">
        <v>446</v>
      </c>
      <c r="H366">
        <v>0</v>
      </c>
      <c r="I366">
        <v>0</v>
      </c>
      <c r="J366">
        <v>0</v>
      </c>
      <c r="K366">
        <v>0</v>
      </c>
      <c r="S366" s="91">
        <v>0</v>
      </c>
      <c r="T366" s="94">
        <v>0</v>
      </c>
      <c r="U366" s="91">
        <v>0</v>
      </c>
      <c r="V366" s="129">
        <v>0</v>
      </c>
      <c r="W366" s="91">
        <v>0</v>
      </c>
      <c r="X366" s="129">
        <v>0</v>
      </c>
      <c r="Y366" s="91">
        <v>0</v>
      </c>
      <c r="Z366" s="129">
        <v>0</v>
      </c>
      <c r="AA366" s="155">
        <f t="shared" si="25"/>
        <v>0</v>
      </c>
      <c r="AB366" s="98">
        <f t="shared" si="25"/>
        <v>0</v>
      </c>
      <c r="AD366" s="97">
        <v>0</v>
      </c>
      <c r="AE366" s="92">
        <v>0</v>
      </c>
      <c r="AF366" s="98">
        <f t="shared" si="24"/>
        <v>0</v>
      </c>
      <c r="AG366" s="97">
        <v>0</v>
      </c>
      <c r="AH366" s="92">
        <v>0</v>
      </c>
      <c r="AI366" s="98">
        <f t="shared" si="26"/>
        <v>0</v>
      </c>
      <c r="AJ366" s="99">
        <f t="shared" si="23"/>
        <v>0</v>
      </c>
      <c r="AK366" s="102" t="str">
        <f>+IF(AB366+AA366+AJ366&lt;=0, "NO COMPRADOR", +IF(AJ366&lt;=0, "SIN COMPRA "&amp;+UPPER(TEXT('DINAMICA ENERO 26'!$C$2,"mmm 'yy")), "COMPRADOR"))</f>
        <v>NO COMPRADOR</v>
      </c>
      <c r="AO366" s="100"/>
      <c r="AP366" s="100"/>
    </row>
  </sheetData>
  <autoFilter ref="A2:AP366" xr:uid="{00000000-0009-0000-0000-000004000000}">
    <filterColumn colId="4">
      <filters>
        <filter val="GENTILE NICOLAS"/>
      </filters>
    </filterColumn>
  </autoFilter>
  <mergeCells count="8">
    <mergeCell ref="AD1:AF1"/>
    <mergeCell ref="AG1:AI1"/>
    <mergeCell ref="A1:G1"/>
    <mergeCell ref="S1:T1"/>
    <mergeCell ref="U1:V1"/>
    <mergeCell ref="W1:X1"/>
    <mergeCell ref="Y1:Z1"/>
    <mergeCell ref="AA1:AB1"/>
  </mergeCells>
  <conditionalFormatting sqref="AA3:AB366 AF3:AF366 AI3:AJ366">
    <cfRule type="cellIs" dxfId="3" priority="1" operator="less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9537-A1DF-4A3A-9422-BB3D49F7E37A}">
  <sheetPr>
    <tabColor theme="4" tint="0.39997558519241921"/>
  </sheetPr>
  <dimension ref="A1:AQ366"/>
  <sheetViews>
    <sheetView showGridLines="0" zoomScale="70" zoomScaleNormal="70" workbookViewId="0">
      <selection activeCell="J12" sqref="J12"/>
    </sheetView>
  </sheetViews>
  <sheetFormatPr baseColWidth="10" defaultColWidth="10.90625" defaultRowHeight="14.5"/>
  <cols>
    <col min="1" max="1" width="10.90625" style="73"/>
    <col min="2" max="2" width="14" style="73" bestFit="1" customWidth="1"/>
    <col min="3" max="3" width="26.7265625" style="73" bestFit="1" customWidth="1"/>
    <col min="4" max="4" width="17.90625" style="133" customWidth="1"/>
    <col min="5" max="5" width="31.90625" style="73" bestFit="1" customWidth="1"/>
    <col min="6" max="6" width="21.90625" style="73" customWidth="1"/>
    <col min="7" max="7" width="49.453125" style="156" customWidth="1"/>
    <col min="8" max="9" width="10.453125" hidden="1" customWidth="1"/>
    <col min="10" max="16" width="10.36328125" hidden="1" customWidth="1"/>
    <col min="17" max="17" width="11.6328125" hidden="1" customWidth="1"/>
    <col min="18" max="18" width="10.36328125" hidden="1" customWidth="1"/>
    <col min="19" max="22" width="10.08984375" hidden="1" customWidth="1"/>
    <col min="23" max="28" width="10.36328125" style="73" customWidth="1"/>
    <col min="29" max="29" width="2.453125" customWidth="1"/>
    <col min="30" max="30" width="9.453125" style="73" customWidth="1"/>
    <col min="31" max="31" width="10.90625" style="73" customWidth="1"/>
    <col min="32" max="32" width="9.6328125" style="73" customWidth="1"/>
    <col min="33" max="33" width="10.36328125" style="73" customWidth="1"/>
    <col min="34" max="36" width="9.6328125" style="73" customWidth="1"/>
    <col min="37" max="37" width="15.08984375" style="73" bestFit="1" customWidth="1"/>
    <col min="38" max="39" width="10.90625" style="73" hidden="1" customWidth="1"/>
    <col min="40" max="42" width="10.90625" style="73"/>
    <col min="43" max="43" width="17.26953125" style="73" bestFit="1" customWidth="1"/>
    <col min="44" max="16384" width="10.90625" style="73"/>
  </cols>
  <sheetData>
    <row r="1" spans="1:42" ht="19" thickBot="1">
      <c r="A1" s="138" t="s">
        <v>459</v>
      </c>
      <c r="B1" s="138"/>
      <c r="C1" s="138"/>
      <c r="D1" s="138"/>
      <c r="E1" s="138"/>
      <c r="F1" s="138"/>
      <c r="G1" s="138"/>
      <c r="W1" s="139" t="s">
        <v>453</v>
      </c>
      <c r="X1" s="140"/>
      <c r="Y1" s="139" t="s">
        <v>454</v>
      </c>
      <c r="Z1" s="140"/>
      <c r="AA1" s="141" t="s">
        <v>455</v>
      </c>
      <c r="AB1" s="142"/>
      <c r="AD1" s="143" t="s">
        <v>460</v>
      </c>
      <c r="AE1" s="144"/>
      <c r="AF1" s="144"/>
      <c r="AG1" s="143" t="s">
        <v>461</v>
      </c>
      <c r="AH1" s="144"/>
      <c r="AI1" s="144"/>
      <c r="AJ1" s="145"/>
      <c r="AK1" s="146"/>
      <c r="AL1" s="135">
        <v>100522246</v>
      </c>
      <c r="AM1" s="135">
        <v>100522247</v>
      </c>
      <c r="AN1" s="135"/>
      <c r="AO1" s="135"/>
    </row>
    <row r="2" spans="1:42" s="127" customFormat="1" ht="39.5" thickBot="1">
      <c r="A2" s="74" t="s">
        <v>73</v>
      </c>
      <c r="B2" s="75" t="s">
        <v>74</v>
      </c>
      <c r="C2" s="75" t="s">
        <v>8</v>
      </c>
      <c r="D2" s="75" t="s">
        <v>75</v>
      </c>
      <c r="E2" s="75" t="s">
        <v>9</v>
      </c>
      <c r="F2" s="75" t="s">
        <v>76</v>
      </c>
      <c r="G2" s="77" t="s">
        <v>10</v>
      </c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s="147" t="s">
        <v>460</v>
      </c>
      <c r="X2" s="149" t="s">
        <v>461</v>
      </c>
      <c r="Y2" s="147" t="s">
        <v>460</v>
      </c>
      <c r="Z2" s="149" t="s">
        <v>461</v>
      </c>
      <c r="AA2" s="147" t="s">
        <v>460</v>
      </c>
      <c r="AB2" s="149" t="s">
        <v>461</v>
      </c>
      <c r="AC2"/>
      <c r="AD2" s="83" t="str">
        <f>+UPPER(TEXT('DINAMICA ENERO 26'!$C$2,"mmm 'yy"))&amp;" FACT"</f>
        <v>FEB '26 FACT</v>
      </c>
      <c r="AE2" s="84" t="str">
        <f>+UPPER(TEXT('DINAMICA ENERO 26'!$C$2,"mmm 'yy"))&amp;" PEND."</f>
        <v>FEB '26 PEND.</v>
      </c>
      <c r="AF2" s="85" t="str">
        <f>+UPPER(TEXT('DINAMICA ENERO 26'!$C$2,"mmm 'yy"))&amp;" TOTAL"</f>
        <v>FEB '26 TOTAL</v>
      </c>
      <c r="AG2" s="83" t="str">
        <f>+UPPER(TEXT('DINAMICA ENERO 26'!$C$2,"mmm 'yy"))&amp;" FACT"</f>
        <v>FEB '26 FACT</v>
      </c>
      <c r="AH2" s="84" t="str">
        <f>+UPPER(TEXT('DINAMICA ENERO 26'!$C$2,"mmm 'yy"))&amp;" PEND."</f>
        <v>FEB '26 PEND.</v>
      </c>
      <c r="AI2" s="85" t="str">
        <f>+UPPER(TEXT('DINAMICA ENERO 26'!$C$2,"mmm 'yy"))&amp;" TOTAL"</f>
        <v>FEB '26 TOTAL</v>
      </c>
      <c r="AJ2" s="157" t="s">
        <v>458</v>
      </c>
      <c r="AK2" s="151" t="s">
        <v>84</v>
      </c>
    </row>
    <row r="3" spans="1:42" s="100" customFormat="1">
      <c r="A3" s="88" t="s">
        <v>85</v>
      </c>
      <c r="B3" s="89" t="s">
        <v>86</v>
      </c>
      <c r="C3" s="89" t="s">
        <v>60</v>
      </c>
      <c r="D3" s="89">
        <v>100077477</v>
      </c>
      <c r="E3" s="89" t="s">
        <v>65</v>
      </c>
      <c r="F3" s="89">
        <v>100086577</v>
      </c>
      <c r="G3" s="128" t="s">
        <v>87</v>
      </c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 s="158">
        <v>16.32</v>
      </c>
      <c r="X3" s="137">
        <v>16.32</v>
      </c>
      <c r="Y3" s="158">
        <v>0</v>
      </c>
      <c r="Z3" s="137">
        <v>0</v>
      </c>
      <c r="AA3" s="153">
        <f t="shared" ref="AA3:AB66" si="0">+AVERAGE(W3,Y3)</f>
        <v>8.16</v>
      </c>
      <c r="AB3" s="132">
        <f t="shared" si="0"/>
        <v>8.16</v>
      </c>
      <c r="AC3"/>
      <c r="AD3" s="130">
        <v>0</v>
      </c>
      <c r="AE3" s="131">
        <v>0</v>
      </c>
      <c r="AF3" s="132">
        <f>+AD3+AE3</f>
        <v>0</v>
      </c>
      <c r="AG3" s="130">
        <v>0</v>
      </c>
      <c r="AH3" s="131">
        <v>0</v>
      </c>
      <c r="AI3" s="132">
        <f>+AG3+AH3</f>
        <v>0</v>
      </c>
      <c r="AJ3" s="154">
        <f t="shared" ref="AJ3:AJ66" si="1">+AF3+AI3</f>
        <v>0</v>
      </c>
      <c r="AK3" s="96" t="str">
        <f>+IF(X3+W3+AJ3&lt;=0, "NO COMPRADOR", +IF(AJ3&lt;=0, "SIN COMPRA "&amp;+UPPER(TEXT('DINAMICA ENERO 26'!$C$2,"mmm 'yy")), "COMPRADOR"))</f>
        <v>SIN COMPRA FEB '26</v>
      </c>
      <c r="AM3" s="101"/>
    </row>
    <row r="4" spans="1:42" s="100" customFormat="1">
      <c r="A4" s="88" t="s">
        <v>85</v>
      </c>
      <c r="B4" s="89" t="s">
        <v>86</v>
      </c>
      <c r="C4" s="89" t="s">
        <v>60</v>
      </c>
      <c r="D4" s="89">
        <v>100077477</v>
      </c>
      <c r="E4" s="89" t="s">
        <v>65</v>
      </c>
      <c r="F4" s="89">
        <v>100065731</v>
      </c>
      <c r="G4" s="128" t="s">
        <v>88</v>
      </c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 s="93">
        <v>0</v>
      </c>
      <c r="X4" s="129">
        <v>0</v>
      </c>
      <c r="Y4" s="93">
        <v>0</v>
      </c>
      <c r="Z4" s="129">
        <v>0</v>
      </c>
      <c r="AA4" s="155">
        <f t="shared" si="0"/>
        <v>0</v>
      </c>
      <c r="AB4" s="98">
        <f t="shared" si="0"/>
        <v>0</v>
      </c>
      <c r="AC4"/>
      <c r="AD4" s="97">
        <v>0</v>
      </c>
      <c r="AE4" s="92">
        <v>0</v>
      </c>
      <c r="AF4" s="98">
        <f t="shared" ref="AF4:AF67" si="2">+AD4+AE4</f>
        <v>0</v>
      </c>
      <c r="AG4" s="97">
        <v>0</v>
      </c>
      <c r="AH4" s="92">
        <v>0</v>
      </c>
      <c r="AI4" s="98">
        <f t="shared" ref="AI4:AI67" si="3">+AG4+AH4</f>
        <v>0</v>
      </c>
      <c r="AJ4" s="99">
        <f t="shared" si="1"/>
        <v>0</v>
      </c>
      <c r="AK4" s="102" t="str">
        <f>+IF(X4+W4+AJ4&lt;=0, "NO COMPRADOR", +IF(AJ4&lt;=0, "SIN COMPRA "&amp;+UPPER(TEXT('DINAMICA ENERO 26'!$C$2,"mmm 'yy")), "COMPRADOR"))</f>
        <v>NO COMPRADOR</v>
      </c>
      <c r="AM4" s="101"/>
    </row>
    <row r="5" spans="1:42" s="104" customFormat="1">
      <c r="A5" s="88" t="s">
        <v>85</v>
      </c>
      <c r="B5" s="89" t="s">
        <v>86</v>
      </c>
      <c r="C5" s="89" t="s">
        <v>60</v>
      </c>
      <c r="D5" s="89">
        <v>100077477</v>
      </c>
      <c r="E5" s="89" t="s">
        <v>65</v>
      </c>
      <c r="F5" s="89">
        <v>100010095</v>
      </c>
      <c r="G5" s="128" t="s">
        <v>89</v>
      </c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 s="93">
        <v>0</v>
      </c>
      <c r="X5" s="129">
        <v>0</v>
      </c>
      <c r="Y5" s="93">
        <v>0</v>
      </c>
      <c r="Z5" s="129">
        <v>0</v>
      </c>
      <c r="AA5" s="155">
        <f t="shared" si="0"/>
        <v>0</v>
      </c>
      <c r="AB5" s="98">
        <f t="shared" si="0"/>
        <v>0</v>
      </c>
      <c r="AC5"/>
      <c r="AD5" s="97">
        <v>0</v>
      </c>
      <c r="AE5" s="92">
        <v>0</v>
      </c>
      <c r="AF5" s="98">
        <f t="shared" si="2"/>
        <v>0</v>
      </c>
      <c r="AG5" s="97">
        <v>0</v>
      </c>
      <c r="AH5" s="92">
        <v>0</v>
      </c>
      <c r="AI5" s="98">
        <f t="shared" si="3"/>
        <v>0</v>
      </c>
      <c r="AJ5" s="99">
        <f t="shared" si="1"/>
        <v>0</v>
      </c>
      <c r="AK5" s="102" t="str">
        <f>+IF(X5+W5+AJ5&lt;=0, "NO COMPRADOR", +IF(AJ5&lt;=0, "SIN COMPRA "&amp;+UPPER(TEXT('DINAMICA ENERO 26'!$C$2,"mmm 'yy")), "COMPRADOR"))</f>
        <v>NO COMPRADOR</v>
      </c>
      <c r="AL5" s="100"/>
      <c r="AM5" s="101"/>
      <c r="AN5" s="100"/>
      <c r="AO5" s="100"/>
      <c r="AP5" s="100"/>
    </row>
    <row r="6" spans="1:42" s="100" customFormat="1">
      <c r="A6" s="88" t="s">
        <v>85</v>
      </c>
      <c r="B6" s="89" t="s">
        <v>86</v>
      </c>
      <c r="C6" s="89" t="s">
        <v>60</v>
      </c>
      <c r="D6" s="89">
        <v>100077477</v>
      </c>
      <c r="E6" s="89" t="s">
        <v>65</v>
      </c>
      <c r="F6" s="89">
        <v>100079173</v>
      </c>
      <c r="G6" s="128" t="s">
        <v>90</v>
      </c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 s="93">
        <v>81.599999999999994</v>
      </c>
      <c r="X6" s="129">
        <v>81.599999999999994</v>
      </c>
      <c r="Y6" s="93">
        <v>163.19999999999999</v>
      </c>
      <c r="Z6" s="129">
        <v>163.19999999999999</v>
      </c>
      <c r="AA6" s="155">
        <f t="shared" si="0"/>
        <v>122.39999999999999</v>
      </c>
      <c r="AB6" s="98">
        <f t="shared" si="0"/>
        <v>122.39999999999999</v>
      </c>
      <c r="AC6"/>
      <c r="AD6" s="97">
        <v>81.599999999999994</v>
      </c>
      <c r="AE6" s="92">
        <v>0</v>
      </c>
      <c r="AF6" s="98">
        <f t="shared" si="2"/>
        <v>81.599999999999994</v>
      </c>
      <c r="AG6" s="97">
        <v>81.599999999999994</v>
      </c>
      <c r="AH6" s="92">
        <v>0</v>
      </c>
      <c r="AI6" s="98">
        <f t="shared" si="3"/>
        <v>81.599999999999994</v>
      </c>
      <c r="AJ6" s="99">
        <f t="shared" si="1"/>
        <v>163.19999999999999</v>
      </c>
      <c r="AK6" s="102" t="str">
        <f>+IF(X6+W6+AJ6&lt;=0, "NO COMPRADOR", +IF(AJ6&lt;=0, "SIN COMPRA "&amp;+UPPER(TEXT('DINAMICA ENERO 26'!$C$2,"mmm 'yy")), "COMPRADOR"))</f>
        <v>COMPRADOR</v>
      </c>
      <c r="AM6" s="101"/>
    </row>
    <row r="7" spans="1:42" s="100" customFormat="1">
      <c r="A7" s="88" t="s">
        <v>85</v>
      </c>
      <c r="B7" s="89" t="s">
        <v>86</v>
      </c>
      <c r="C7" s="89" t="s">
        <v>60</v>
      </c>
      <c r="D7" s="89">
        <v>100077477</v>
      </c>
      <c r="E7" s="89" t="s">
        <v>65</v>
      </c>
      <c r="F7" s="89">
        <v>100079594</v>
      </c>
      <c r="G7" s="128" t="s">
        <v>91</v>
      </c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 s="93">
        <v>0</v>
      </c>
      <c r="X7" s="129">
        <v>0</v>
      </c>
      <c r="Y7" s="93">
        <v>65.28</v>
      </c>
      <c r="Z7" s="129">
        <v>65.28</v>
      </c>
      <c r="AA7" s="155">
        <f t="shared" si="0"/>
        <v>32.64</v>
      </c>
      <c r="AB7" s="98">
        <f t="shared" si="0"/>
        <v>32.64</v>
      </c>
      <c r="AC7"/>
      <c r="AD7" s="97">
        <v>0</v>
      </c>
      <c r="AE7" s="92">
        <v>0</v>
      </c>
      <c r="AF7" s="98">
        <f t="shared" si="2"/>
        <v>0</v>
      </c>
      <c r="AG7" s="97">
        <v>0</v>
      </c>
      <c r="AH7" s="92">
        <v>0</v>
      </c>
      <c r="AI7" s="98">
        <f t="shared" si="3"/>
        <v>0</v>
      </c>
      <c r="AJ7" s="99">
        <f t="shared" si="1"/>
        <v>0</v>
      </c>
      <c r="AK7" s="102" t="str">
        <f>+IF(X7+W7+AJ7&lt;=0, "NO COMPRADOR", +IF(AJ7&lt;=0, "SIN COMPRA "&amp;+UPPER(TEXT('DINAMICA ENERO 26'!$C$2,"mmm 'yy")), "COMPRADOR"))</f>
        <v>NO COMPRADOR</v>
      </c>
      <c r="AM7" s="101"/>
    </row>
    <row r="8" spans="1:42" s="100" customFormat="1">
      <c r="A8" s="88" t="s">
        <v>85</v>
      </c>
      <c r="B8" s="89" t="s">
        <v>86</v>
      </c>
      <c r="C8" s="89" t="s">
        <v>60</v>
      </c>
      <c r="D8" s="89">
        <v>100077477</v>
      </c>
      <c r="E8" s="89" t="s">
        <v>65</v>
      </c>
      <c r="F8" s="89">
        <v>100078788</v>
      </c>
      <c r="G8" s="128" t="s">
        <v>92</v>
      </c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 s="93">
        <v>0</v>
      </c>
      <c r="X8" s="129">
        <v>0</v>
      </c>
      <c r="Y8" s="93">
        <v>0</v>
      </c>
      <c r="Z8" s="129">
        <v>0</v>
      </c>
      <c r="AA8" s="155">
        <f t="shared" si="0"/>
        <v>0</v>
      </c>
      <c r="AB8" s="98">
        <f t="shared" si="0"/>
        <v>0</v>
      </c>
      <c r="AC8"/>
      <c r="AD8" s="97">
        <v>0</v>
      </c>
      <c r="AE8" s="92">
        <v>0</v>
      </c>
      <c r="AF8" s="98">
        <f t="shared" si="2"/>
        <v>0</v>
      </c>
      <c r="AG8" s="97">
        <v>0</v>
      </c>
      <c r="AH8" s="92">
        <v>0</v>
      </c>
      <c r="AI8" s="98">
        <f t="shared" si="3"/>
        <v>0</v>
      </c>
      <c r="AJ8" s="99">
        <f t="shared" si="1"/>
        <v>0</v>
      </c>
      <c r="AK8" s="102" t="str">
        <f>+IF(X8+W8+AJ8&lt;=0, "NO COMPRADOR", +IF(AJ8&lt;=0, "SIN COMPRA "&amp;+UPPER(TEXT('DINAMICA ENERO 26'!$C$2,"mmm 'yy")), "COMPRADOR"))</f>
        <v>NO COMPRADOR</v>
      </c>
      <c r="AM8" s="101"/>
    </row>
    <row r="9" spans="1:42" s="100" customFormat="1">
      <c r="A9" s="88" t="s">
        <v>85</v>
      </c>
      <c r="B9" s="89" t="s">
        <v>86</v>
      </c>
      <c r="C9" s="89" t="s">
        <v>60</v>
      </c>
      <c r="D9" s="89">
        <v>100077477</v>
      </c>
      <c r="E9" s="89" t="s">
        <v>65</v>
      </c>
      <c r="F9" s="89">
        <v>100084185</v>
      </c>
      <c r="G9" s="128" t="s">
        <v>93</v>
      </c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 s="93">
        <v>0</v>
      </c>
      <c r="X9" s="129">
        <v>0</v>
      </c>
      <c r="Y9" s="93">
        <v>0</v>
      </c>
      <c r="Z9" s="129">
        <v>0</v>
      </c>
      <c r="AA9" s="155">
        <f t="shared" si="0"/>
        <v>0</v>
      </c>
      <c r="AB9" s="98">
        <f t="shared" si="0"/>
        <v>0</v>
      </c>
      <c r="AC9"/>
      <c r="AD9" s="97">
        <v>24.48</v>
      </c>
      <c r="AE9" s="92">
        <v>0</v>
      </c>
      <c r="AF9" s="98">
        <f t="shared" si="2"/>
        <v>24.48</v>
      </c>
      <c r="AG9" s="97">
        <v>8.16</v>
      </c>
      <c r="AH9" s="92">
        <v>0</v>
      </c>
      <c r="AI9" s="98">
        <f t="shared" si="3"/>
        <v>8.16</v>
      </c>
      <c r="AJ9" s="99">
        <f t="shared" si="1"/>
        <v>32.64</v>
      </c>
      <c r="AK9" s="102" t="str">
        <f>+IF(X9+W9+AJ9&lt;=0, "NO COMPRADOR", +IF(AJ9&lt;=0, "SIN COMPRA "&amp;+UPPER(TEXT('DINAMICA ENERO 26'!$C$2,"mmm 'yy")), "COMPRADOR"))</f>
        <v>COMPRADOR</v>
      </c>
      <c r="AM9" s="101"/>
    </row>
    <row r="10" spans="1:42" s="104" customFormat="1">
      <c r="A10" s="88" t="s">
        <v>85</v>
      </c>
      <c r="B10" s="89" t="s">
        <v>86</v>
      </c>
      <c r="C10" s="89" t="s">
        <v>60</v>
      </c>
      <c r="D10" s="89">
        <v>100077477</v>
      </c>
      <c r="E10" s="89" t="s">
        <v>65</v>
      </c>
      <c r="F10" s="89">
        <v>100087922</v>
      </c>
      <c r="G10" s="128" t="s">
        <v>94</v>
      </c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 s="93">
        <v>0</v>
      </c>
      <c r="X10" s="129">
        <v>0</v>
      </c>
      <c r="Y10" s="93">
        <v>0</v>
      </c>
      <c r="Z10" s="129">
        <v>0</v>
      </c>
      <c r="AA10" s="155">
        <f t="shared" si="0"/>
        <v>0</v>
      </c>
      <c r="AB10" s="98">
        <f t="shared" si="0"/>
        <v>0</v>
      </c>
      <c r="AC10"/>
      <c r="AD10" s="97">
        <v>0</v>
      </c>
      <c r="AE10" s="92">
        <v>0</v>
      </c>
      <c r="AF10" s="98">
        <f t="shared" si="2"/>
        <v>0</v>
      </c>
      <c r="AG10" s="97">
        <v>0</v>
      </c>
      <c r="AH10" s="92">
        <v>0</v>
      </c>
      <c r="AI10" s="98">
        <f t="shared" si="3"/>
        <v>0</v>
      </c>
      <c r="AJ10" s="99">
        <f t="shared" si="1"/>
        <v>0</v>
      </c>
      <c r="AK10" s="102" t="str">
        <f>+IF(X10+W10+AJ10&lt;=0, "NO COMPRADOR", +IF(AJ10&lt;=0, "SIN COMPRA "&amp;+UPPER(TEXT('DINAMICA ENERO 26'!$C$2,"mmm 'yy")), "COMPRADOR"))</f>
        <v>NO COMPRADOR</v>
      </c>
      <c r="AL10" s="100"/>
      <c r="AM10" s="101"/>
      <c r="AN10" s="100"/>
      <c r="AO10" s="100"/>
      <c r="AP10" s="100"/>
    </row>
    <row r="11" spans="1:42" s="100" customFormat="1">
      <c r="A11" s="88" t="s">
        <v>85</v>
      </c>
      <c r="B11" s="89" t="s">
        <v>86</v>
      </c>
      <c r="C11" s="89" t="s">
        <v>60</v>
      </c>
      <c r="D11" s="89">
        <v>100077477</v>
      </c>
      <c r="E11" s="89" t="s">
        <v>65</v>
      </c>
      <c r="F11" s="89">
        <v>100071741</v>
      </c>
      <c r="G11" s="128" t="s">
        <v>95</v>
      </c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 s="93">
        <v>0</v>
      </c>
      <c r="X11" s="129">
        <v>0</v>
      </c>
      <c r="Y11" s="93">
        <v>0</v>
      </c>
      <c r="Z11" s="129">
        <v>0</v>
      </c>
      <c r="AA11" s="155">
        <f t="shared" si="0"/>
        <v>0</v>
      </c>
      <c r="AB11" s="98">
        <f t="shared" si="0"/>
        <v>0</v>
      </c>
      <c r="AC11"/>
      <c r="AD11" s="97">
        <v>0</v>
      </c>
      <c r="AE11" s="92">
        <v>0</v>
      </c>
      <c r="AF11" s="98">
        <f t="shared" si="2"/>
        <v>0</v>
      </c>
      <c r="AG11" s="97">
        <v>0</v>
      </c>
      <c r="AH11" s="92">
        <v>0</v>
      </c>
      <c r="AI11" s="98">
        <f t="shared" si="3"/>
        <v>0</v>
      </c>
      <c r="AJ11" s="99">
        <f t="shared" si="1"/>
        <v>0</v>
      </c>
      <c r="AK11" s="102" t="str">
        <f>+IF(X11+W11+AJ11&lt;=0, "NO COMPRADOR", +IF(AJ11&lt;=0, "SIN COMPRA "&amp;+UPPER(TEXT('DINAMICA ENERO 26'!$C$2,"mmm 'yy")), "COMPRADOR"))</f>
        <v>NO COMPRADOR</v>
      </c>
      <c r="AM11" s="101"/>
    </row>
    <row r="12" spans="1:42" s="100" customFormat="1">
      <c r="A12" s="88" t="s">
        <v>85</v>
      </c>
      <c r="B12" s="89" t="s">
        <v>86</v>
      </c>
      <c r="C12" s="89" t="s">
        <v>60</v>
      </c>
      <c r="D12" s="89">
        <v>100077477</v>
      </c>
      <c r="E12" s="89" t="s">
        <v>65</v>
      </c>
      <c r="F12" s="89">
        <v>100075448</v>
      </c>
      <c r="G12" s="128" t="s">
        <v>96</v>
      </c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 s="93">
        <v>89.76</v>
      </c>
      <c r="X12" s="129">
        <v>89.76</v>
      </c>
      <c r="Y12" s="93">
        <v>0</v>
      </c>
      <c r="Z12" s="129">
        <v>0</v>
      </c>
      <c r="AA12" s="155">
        <f t="shared" si="0"/>
        <v>44.88</v>
      </c>
      <c r="AB12" s="98">
        <f t="shared" si="0"/>
        <v>44.88</v>
      </c>
      <c r="AC12"/>
      <c r="AD12" s="97">
        <v>0</v>
      </c>
      <c r="AE12" s="92">
        <v>0</v>
      </c>
      <c r="AF12" s="98">
        <f t="shared" si="2"/>
        <v>0</v>
      </c>
      <c r="AG12" s="97">
        <v>0</v>
      </c>
      <c r="AH12" s="92">
        <v>0</v>
      </c>
      <c r="AI12" s="98">
        <f t="shared" si="3"/>
        <v>0</v>
      </c>
      <c r="AJ12" s="99">
        <f t="shared" si="1"/>
        <v>0</v>
      </c>
      <c r="AK12" s="102" t="str">
        <f>+IF(X12+W12+AJ12&lt;=0, "NO COMPRADOR", +IF(AJ12&lt;=0, "SIN COMPRA "&amp;+UPPER(TEXT('DINAMICA ENERO 26'!$C$2,"mmm 'yy")), "COMPRADOR"))</f>
        <v>SIN COMPRA FEB '26</v>
      </c>
      <c r="AM12" s="101"/>
    </row>
    <row r="13" spans="1:42" s="100" customFormat="1">
      <c r="A13" s="88" t="s">
        <v>85</v>
      </c>
      <c r="B13" s="89" t="s">
        <v>86</v>
      </c>
      <c r="C13" s="89" t="s">
        <v>60</v>
      </c>
      <c r="D13" s="89">
        <v>100077477</v>
      </c>
      <c r="E13" s="89" t="s">
        <v>65</v>
      </c>
      <c r="F13" s="89">
        <v>100089232</v>
      </c>
      <c r="G13" s="128" t="s">
        <v>97</v>
      </c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 s="93">
        <v>0</v>
      </c>
      <c r="X13" s="129">
        <v>0</v>
      </c>
      <c r="Y13" s="93">
        <v>0</v>
      </c>
      <c r="Z13" s="129">
        <v>0</v>
      </c>
      <c r="AA13" s="155">
        <f t="shared" si="0"/>
        <v>0</v>
      </c>
      <c r="AB13" s="98">
        <f t="shared" si="0"/>
        <v>0</v>
      </c>
      <c r="AC13"/>
      <c r="AD13" s="97">
        <v>0</v>
      </c>
      <c r="AE13" s="92">
        <v>0</v>
      </c>
      <c r="AF13" s="98">
        <f t="shared" si="2"/>
        <v>0</v>
      </c>
      <c r="AG13" s="97">
        <v>0</v>
      </c>
      <c r="AH13" s="92">
        <v>0</v>
      </c>
      <c r="AI13" s="98">
        <f t="shared" si="3"/>
        <v>0</v>
      </c>
      <c r="AJ13" s="99">
        <f t="shared" si="1"/>
        <v>0</v>
      </c>
      <c r="AK13" s="102" t="str">
        <f>+IF(X13+W13+AJ13&lt;=0, "NO COMPRADOR", +IF(AJ13&lt;=0, "SIN COMPRA "&amp;+UPPER(TEXT('DINAMICA ENERO 26'!$C$2,"mmm 'yy")), "COMPRADOR"))</f>
        <v>NO COMPRADOR</v>
      </c>
      <c r="AM13" s="101"/>
    </row>
    <row r="14" spans="1:42" s="100" customFormat="1">
      <c r="A14" s="88" t="s">
        <v>85</v>
      </c>
      <c r="B14" s="89" t="s">
        <v>98</v>
      </c>
      <c r="C14" s="89" t="s">
        <v>60</v>
      </c>
      <c r="D14" s="103">
        <v>100041217</v>
      </c>
      <c r="E14" s="89" t="s">
        <v>63</v>
      </c>
      <c r="F14" s="89">
        <v>100073953</v>
      </c>
      <c r="G14" s="128" t="s">
        <v>99</v>
      </c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 s="93">
        <v>0</v>
      </c>
      <c r="X14" s="129">
        <v>0</v>
      </c>
      <c r="Y14" s="93">
        <v>0</v>
      </c>
      <c r="Z14" s="129">
        <v>0</v>
      </c>
      <c r="AA14" s="155">
        <f t="shared" si="0"/>
        <v>0</v>
      </c>
      <c r="AB14" s="98">
        <f t="shared" si="0"/>
        <v>0</v>
      </c>
      <c r="AC14"/>
      <c r="AD14" s="97">
        <v>0</v>
      </c>
      <c r="AE14" s="92">
        <v>0</v>
      </c>
      <c r="AF14" s="98">
        <f t="shared" si="2"/>
        <v>0</v>
      </c>
      <c r="AG14" s="97">
        <v>0</v>
      </c>
      <c r="AH14" s="92">
        <v>0</v>
      </c>
      <c r="AI14" s="98">
        <f t="shared" si="3"/>
        <v>0</v>
      </c>
      <c r="AJ14" s="99">
        <f t="shared" si="1"/>
        <v>0</v>
      </c>
      <c r="AK14" s="102" t="str">
        <f>+IF(X14+W14+AJ14&lt;=0, "NO COMPRADOR", +IF(AJ14&lt;=0, "SIN COMPRA "&amp;+UPPER(TEXT('DINAMICA ENERO 26'!$C$2,"mmm 'yy")), "COMPRADOR"))</f>
        <v>NO COMPRADOR</v>
      </c>
      <c r="AM14" s="101"/>
    </row>
    <row r="15" spans="1:42" s="100" customFormat="1">
      <c r="A15" s="88" t="s">
        <v>85</v>
      </c>
      <c r="B15" s="89" t="s">
        <v>98</v>
      </c>
      <c r="C15" s="89" t="s">
        <v>60</v>
      </c>
      <c r="D15" s="103">
        <v>100041217</v>
      </c>
      <c r="E15" s="89" t="s">
        <v>63</v>
      </c>
      <c r="F15" s="89">
        <v>100081405</v>
      </c>
      <c r="G15" s="128" t="s">
        <v>100</v>
      </c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 s="93">
        <v>816</v>
      </c>
      <c r="X15" s="129">
        <v>816</v>
      </c>
      <c r="Y15" s="93">
        <v>408</v>
      </c>
      <c r="Z15" s="129">
        <v>408</v>
      </c>
      <c r="AA15" s="155">
        <f t="shared" si="0"/>
        <v>612</v>
      </c>
      <c r="AB15" s="98">
        <f t="shared" si="0"/>
        <v>612</v>
      </c>
      <c r="AC15"/>
      <c r="AD15" s="97">
        <v>0</v>
      </c>
      <c r="AE15" s="92">
        <v>0</v>
      </c>
      <c r="AF15" s="98">
        <f t="shared" si="2"/>
        <v>0</v>
      </c>
      <c r="AG15" s="97">
        <v>-16.32</v>
      </c>
      <c r="AH15" s="92">
        <v>0</v>
      </c>
      <c r="AI15" s="98">
        <f t="shared" si="3"/>
        <v>-16.32</v>
      </c>
      <c r="AJ15" s="99">
        <f t="shared" si="1"/>
        <v>-16.32</v>
      </c>
      <c r="AK15" s="102" t="str">
        <f>+IF(X15+W15+AJ15&lt;=0, "NO COMPRADOR", +IF(AJ15&lt;=0, "SIN COMPRA "&amp;+UPPER(TEXT('DINAMICA ENERO 26'!$C$2,"mmm 'yy")), "COMPRADOR"))</f>
        <v>SIN COMPRA FEB '26</v>
      </c>
      <c r="AM15" s="101"/>
    </row>
    <row r="16" spans="1:42" s="100" customFormat="1">
      <c r="A16" s="88" t="s">
        <v>85</v>
      </c>
      <c r="B16" s="89" t="s">
        <v>98</v>
      </c>
      <c r="C16" s="89" t="s">
        <v>60</v>
      </c>
      <c r="D16" s="103">
        <v>100041217</v>
      </c>
      <c r="E16" s="89" t="s">
        <v>63</v>
      </c>
      <c r="F16" s="89">
        <v>100066079</v>
      </c>
      <c r="G16" s="128" t="s">
        <v>101</v>
      </c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 s="93">
        <v>0</v>
      </c>
      <c r="X16" s="129">
        <v>0</v>
      </c>
      <c r="Y16" s="93">
        <v>163.19999999999999</v>
      </c>
      <c r="Z16" s="129">
        <v>163.19999999999999</v>
      </c>
      <c r="AA16" s="155">
        <f t="shared" si="0"/>
        <v>81.599999999999994</v>
      </c>
      <c r="AB16" s="98">
        <f t="shared" si="0"/>
        <v>81.599999999999994</v>
      </c>
      <c r="AC16"/>
      <c r="AD16" s="97">
        <v>195.84</v>
      </c>
      <c r="AE16" s="92">
        <v>0</v>
      </c>
      <c r="AF16" s="98">
        <f t="shared" si="2"/>
        <v>195.84</v>
      </c>
      <c r="AG16" s="97">
        <v>326.39999999999998</v>
      </c>
      <c r="AH16" s="92">
        <v>0</v>
      </c>
      <c r="AI16" s="98">
        <f t="shared" si="3"/>
        <v>326.39999999999998</v>
      </c>
      <c r="AJ16" s="99">
        <f t="shared" si="1"/>
        <v>522.24</v>
      </c>
      <c r="AK16" s="102" t="str">
        <f>+IF(X16+W16+AJ16&lt;=0, "NO COMPRADOR", +IF(AJ16&lt;=0, "SIN COMPRA "&amp;+UPPER(TEXT('DINAMICA ENERO 26'!$C$2,"mmm 'yy")), "COMPRADOR"))</f>
        <v>COMPRADOR</v>
      </c>
      <c r="AM16" s="101"/>
    </row>
    <row r="17" spans="1:42" s="100" customFormat="1">
      <c r="A17" s="88" t="s">
        <v>85</v>
      </c>
      <c r="B17" s="89" t="s">
        <v>98</v>
      </c>
      <c r="C17" s="89" t="s">
        <v>60</v>
      </c>
      <c r="D17" s="103">
        <v>100041217</v>
      </c>
      <c r="E17" s="89" t="s">
        <v>63</v>
      </c>
      <c r="F17" s="89">
        <v>100041131</v>
      </c>
      <c r="G17" s="128" t="s">
        <v>102</v>
      </c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 s="93">
        <v>40.799999999999997</v>
      </c>
      <c r="X17" s="129">
        <v>40.799999999999997</v>
      </c>
      <c r="Y17" s="93">
        <v>122.4</v>
      </c>
      <c r="Z17" s="129">
        <v>122.4</v>
      </c>
      <c r="AA17" s="155">
        <f t="shared" si="0"/>
        <v>81.599999999999994</v>
      </c>
      <c r="AB17" s="98">
        <f t="shared" si="0"/>
        <v>81.599999999999994</v>
      </c>
      <c r="AC17"/>
      <c r="AD17" s="97">
        <v>0</v>
      </c>
      <c r="AE17" s="92">
        <v>0</v>
      </c>
      <c r="AF17" s="98">
        <f t="shared" si="2"/>
        <v>0</v>
      </c>
      <c r="AG17" s="97">
        <v>0</v>
      </c>
      <c r="AH17" s="92">
        <v>0</v>
      </c>
      <c r="AI17" s="98">
        <f t="shared" si="3"/>
        <v>0</v>
      </c>
      <c r="AJ17" s="99">
        <f t="shared" si="1"/>
        <v>0</v>
      </c>
      <c r="AK17" s="102" t="str">
        <f>+IF(X17+W17+AJ17&lt;=0, "NO COMPRADOR", +IF(AJ17&lt;=0, "SIN COMPRA "&amp;+UPPER(TEXT('DINAMICA ENERO 26'!$C$2,"mmm 'yy")), "COMPRADOR"))</f>
        <v>SIN COMPRA FEB '26</v>
      </c>
      <c r="AM17" s="101"/>
    </row>
    <row r="18" spans="1:42" s="104" customFormat="1">
      <c r="A18" s="88" t="s">
        <v>85</v>
      </c>
      <c r="B18" s="89" t="s">
        <v>98</v>
      </c>
      <c r="C18" s="89" t="s">
        <v>60</v>
      </c>
      <c r="D18" s="103">
        <v>100041217</v>
      </c>
      <c r="E18" s="89" t="s">
        <v>63</v>
      </c>
      <c r="F18" s="89">
        <v>100012634</v>
      </c>
      <c r="G18" s="128" t="s">
        <v>103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 s="93">
        <v>0</v>
      </c>
      <c r="X18" s="129">
        <v>0</v>
      </c>
      <c r="Y18" s="93">
        <v>0</v>
      </c>
      <c r="Z18" s="129">
        <v>0</v>
      </c>
      <c r="AA18" s="155">
        <f t="shared" si="0"/>
        <v>0</v>
      </c>
      <c r="AB18" s="98">
        <f t="shared" si="0"/>
        <v>0</v>
      </c>
      <c r="AC18"/>
      <c r="AD18" s="97">
        <v>0</v>
      </c>
      <c r="AE18" s="92">
        <v>0</v>
      </c>
      <c r="AF18" s="98">
        <f t="shared" si="2"/>
        <v>0</v>
      </c>
      <c r="AG18" s="97">
        <v>0</v>
      </c>
      <c r="AH18" s="92">
        <v>0</v>
      </c>
      <c r="AI18" s="98">
        <f t="shared" si="3"/>
        <v>0</v>
      </c>
      <c r="AJ18" s="99">
        <f t="shared" si="1"/>
        <v>0</v>
      </c>
      <c r="AK18" s="102" t="str">
        <f>+IF(X18+W18+AJ18&lt;=0, "NO COMPRADOR", +IF(AJ18&lt;=0, "SIN COMPRA "&amp;+UPPER(TEXT('DINAMICA ENERO 26'!$C$2,"mmm 'yy")), "COMPRADOR"))</f>
        <v>NO COMPRADOR</v>
      </c>
      <c r="AL18" s="100"/>
      <c r="AM18" s="101"/>
      <c r="AN18" s="100"/>
      <c r="AO18" s="100"/>
      <c r="AP18" s="100"/>
    </row>
    <row r="19" spans="1:42" s="100" customFormat="1">
      <c r="A19" s="88" t="s">
        <v>85</v>
      </c>
      <c r="B19" s="89" t="s">
        <v>98</v>
      </c>
      <c r="C19" s="89" t="s">
        <v>60</v>
      </c>
      <c r="D19" s="103">
        <v>100041217</v>
      </c>
      <c r="E19" s="89" t="s">
        <v>63</v>
      </c>
      <c r="F19" s="89">
        <v>100049700</v>
      </c>
      <c r="G19" s="128" t="s">
        <v>104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 s="93">
        <v>0</v>
      </c>
      <c r="X19" s="129">
        <v>0</v>
      </c>
      <c r="Y19" s="93">
        <v>0</v>
      </c>
      <c r="Z19" s="129">
        <v>0</v>
      </c>
      <c r="AA19" s="155">
        <f t="shared" si="0"/>
        <v>0</v>
      </c>
      <c r="AB19" s="98">
        <f t="shared" si="0"/>
        <v>0</v>
      </c>
      <c r="AC19"/>
      <c r="AD19" s="97">
        <v>0</v>
      </c>
      <c r="AE19" s="92">
        <v>0</v>
      </c>
      <c r="AF19" s="98">
        <f t="shared" si="2"/>
        <v>0</v>
      </c>
      <c r="AG19" s="97">
        <v>0</v>
      </c>
      <c r="AH19" s="92">
        <v>0</v>
      </c>
      <c r="AI19" s="98">
        <f t="shared" si="3"/>
        <v>0</v>
      </c>
      <c r="AJ19" s="99">
        <f t="shared" si="1"/>
        <v>0</v>
      </c>
      <c r="AK19" s="102" t="str">
        <f>+IF(X19+W19+AJ19&lt;=0, "NO COMPRADOR", +IF(AJ19&lt;=0, "SIN COMPRA "&amp;+UPPER(TEXT('DINAMICA ENERO 26'!$C$2,"mmm 'yy")), "COMPRADOR"))</f>
        <v>NO COMPRADOR</v>
      </c>
      <c r="AM19" s="101"/>
    </row>
    <row r="20" spans="1:42" s="100" customFormat="1">
      <c r="A20" s="88" t="s">
        <v>85</v>
      </c>
      <c r="B20" s="89" t="s">
        <v>105</v>
      </c>
      <c r="C20" s="89" t="s">
        <v>60</v>
      </c>
      <c r="D20" s="103">
        <v>100080146</v>
      </c>
      <c r="E20" s="89" t="s">
        <v>66</v>
      </c>
      <c r="F20" s="89">
        <v>100061718</v>
      </c>
      <c r="G20" s="128" t="s">
        <v>106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 s="93">
        <v>40.799999999999997</v>
      </c>
      <c r="X20" s="129">
        <v>40.799999999999997</v>
      </c>
      <c r="Y20" s="93">
        <v>24.48</v>
      </c>
      <c r="Z20" s="129">
        <v>24.48</v>
      </c>
      <c r="AA20" s="155">
        <f t="shared" si="0"/>
        <v>32.64</v>
      </c>
      <c r="AB20" s="98">
        <f t="shared" si="0"/>
        <v>32.64</v>
      </c>
      <c r="AC20"/>
      <c r="AD20" s="97">
        <v>0</v>
      </c>
      <c r="AE20" s="92">
        <v>0</v>
      </c>
      <c r="AF20" s="98">
        <f t="shared" si="2"/>
        <v>0</v>
      </c>
      <c r="AG20" s="97">
        <v>0</v>
      </c>
      <c r="AH20" s="92">
        <v>0</v>
      </c>
      <c r="AI20" s="98">
        <f t="shared" si="3"/>
        <v>0</v>
      </c>
      <c r="AJ20" s="99">
        <f t="shared" si="1"/>
        <v>0</v>
      </c>
      <c r="AK20" s="102" t="str">
        <f>+IF(X20+W20+AJ20&lt;=0, "NO COMPRADOR", +IF(AJ20&lt;=0, "SIN COMPRA "&amp;+UPPER(TEXT('DINAMICA ENERO 26'!$C$2,"mmm 'yy")), "COMPRADOR"))</f>
        <v>SIN COMPRA FEB '26</v>
      </c>
      <c r="AM20" s="101"/>
    </row>
    <row r="21" spans="1:42" s="100" customFormat="1">
      <c r="A21" s="88" t="s">
        <v>85</v>
      </c>
      <c r="B21" s="89" t="s">
        <v>105</v>
      </c>
      <c r="C21" s="89" t="s">
        <v>60</v>
      </c>
      <c r="D21" s="103">
        <v>100080146</v>
      </c>
      <c r="E21" s="89" t="s">
        <v>66</v>
      </c>
      <c r="F21" s="89">
        <v>100067160</v>
      </c>
      <c r="G21" s="128" t="s">
        <v>107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 s="93">
        <v>40.799999999999997</v>
      </c>
      <c r="X21" s="129">
        <v>40.799999999999997</v>
      </c>
      <c r="Y21" s="93">
        <v>122.4</v>
      </c>
      <c r="Z21" s="129">
        <v>138.72</v>
      </c>
      <c r="AA21" s="155">
        <f t="shared" si="0"/>
        <v>81.599999999999994</v>
      </c>
      <c r="AB21" s="98">
        <f t="shared" si="0"/>
        <v>89.759999999999991</v>
      </c>
      <c r="AC21"/>
      <c r="AD21" s="97">
        <v>0</v>
      </c>
      <c r="AE21" s="92">
        <v>0</v>
      </c>
      <c r="AF21" s="98">
        <f t="shared" si="2"/>
        <v>0</v>
      </c>
      <c r="AG21" s="97">
        <v>0</v>
      </c>
      <c r="AH21" s="92">
        <v>0</v>
      </c>
      <c r="AI21" s="98">
        <f t="shared" si="3"/>
        <v>0</v>
      </c>
      <c r="AJ21" s="99">
        <f t="shared" si="1"/>
        <v>0</v>
      </c>
      <c r="AK21" s="102" t="str">
        <f>+IF(X21+W21+AJ21&lt;=0, "NO COMPRADOR", +IF(AJ21&lt;=0, "SIN COMPRA "&amp;+UPPER(TEXT('DINAMICA ENERO 26'!$C$2,"mmm 'yy")), "COMPRADOR"))</f>
        <v>SIN COMPRA FEB '26</v>
      </c>
      <c r="AM21" s="101"/>
    </row>
    <row r="22" spans="1:42" s="100" customFormat="1">
      <c r="A22" s="88" t="s">
        <v>85</v>
      </c>
      <c r="B22" s="89" t="s">
        <v>105</v>
      </c>
      <c r="C22" s="89" t="s">
        <v>60</v>
      </c>
      <c r="D22" s="103">
        <v>100080146</v>
      </c>
      <c r="E22" s="89" t="s">
        <v>66</v>
      </c>
      <c r="F22" s="89">
        <v>100001763</v>
      </c>
      <c r="G22" s="128" t="s">
        <v>108</v>
      </c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 s="93">
        <v>40.799999999999997</v>
      </c>
      <c r="X22" s="129">
        <v>48.96</v>
      </c>
      <c r="Y22" s="93">
        <v>81.599999999999994</v>
      </c>
      <c r="Z22" s="129">
        <v>81.599999999999994</v>
      </c>
      <c r="AA22" s="155">
        <f t="shared" si="0"/>
        <v>61.199999999999996</v>
      </c>
      <c r="AB22" s="98">
        <f t="shared" si="0"/>
        <v>65.28</v>
      </c>
      <c r="AC22"/>
      <c r="AD22" s="97">
        <v>0</v>
      </c>
      <c r="AE22" s="92">
        <v>0</v>
      </c>
      <c r="AF22" s="98">
        <f t="shared" si="2"/>
        <v>0</v>
      </c>
      <c r="AG22" s="97">
        <v>0</v>
      </c>
      <c r="AH22" s="92">
        <v>0</v>
      </c>
      <c r="AI22" s="98">
        <f t="shared" si="3"/>
        <v>0</v>
      </c>
      <c r="AJ22" s="99">
        <f t="shared" si="1"/>
        <v>0</v>
      </c>
      <c r="AK22" s="102" t="str">
        <f>+IF(X22+W22+AJ22&lt;=0, "NO COMPRADOR", +IF(AJ22&lt;=0, "SIN COMPRA "&amp;+UPPER(TEXT('DINAMICA ENERO 26'!$C$2,"mmm 'yy")), "COMPRADOR"))</f>
        <v>SIN COMPRA FEB '26</v>
      </c>
      <c r="AM22" s="101"/>
    </row>
    <row r="23" spans="1:42" s="100" customFormat="1">
      <c r="A23" s="88" t="s">
        <v>85</v>
      </c>
      <c r="B23" s="89" t="s">
        <v>105</v>
      </c>
      <c r="C23" s="89" t="s">
        <v>60</v>
      </c>
      <c r="D23" s="103">
        <v>100080146</v>
      </c>
      <c r="E23" s="89" t="s">
        <v>66</v>
      </c>
      <c r="F23" s="89">
        <v>100025425</v>
      </c>
      <c r="G23" s="128" t="s">
        <v>109</v>
      </c>
      <c r="H23">
        <v>0</v>
      </c>
      <c r="I23">
        <v>0</v>
      </c>
      <c r="J23">
        <v>0</v>
      </c>
      <c r="K23">
        <v>0</v>
      </c>
      <c r="L23"/>
      <c r="M23"/>
      <c r="N23"/>
      <c r="O23"/>
      <c r="P23"/>
      <c r="Q23"/>
      <c r="R23"/>
      <c r="S23"/>
      <c r="T23"/>
      <c r="U23"/>
      <c r="V23"/>
      <c r="W23" s="93">
        <v>0</v>
      </c>
      <c r="X23" s="129">
        <v>0</v>
      </c>
      <c r="Y23" s="93">
        <v>81.599999999999994</v>
      </c>
      <c r="Z23" s="129">
        <v>81.599999999999994</v>
      </c>
      <c r="AA23" s="155">
        <f t="shared" si="0"/>
        <v>40.799999999999997</v>
      </c>
      <c r="AB23" s="98">
        <f t="shared" si="0"/>
        <v>40.799999999999997</v>
      </c>
      <c r="AC23"/>
      <c r="AD23" s="97">
        <v>0</v>
      </c>
      <c r="AE23" s="92">
        <v>0</v>
      </c>
      <c r="AF23" s="98">
        <f t="shared" si="2"/>
        <v>0</v>
      </c>
      <c r="AG23" s="97">
        <v>0</v>
      </c>
      <c r="AH23" s="92">
        <v>0</v>
      </c>
      <c r="AI23" s="98">
        <f t="shared" si="3"/>
        <v>0</v>
      </c>
      <c r="AJ23" s="99">
        <f t="shared" si="1"/>
        <v>0</v>
      </c>
      <c r="AK23" s="102" t="str">
        <f>+IF(X23+W23+AJ23&lt;=0, "NO COMPRADOR", +IF(AJ23&lt;=0, "SIN COMPRA "&amp;+UPPER(TEXT('DINAMICA ENERO 26'!$C$2,"mmm 'yy")), "COMPRADOR"))</f>
        <v>NO COMPRADOR</v>
      </c>
      <c r="AM23" s="101"/>
    </row>
    <row r="24" spans="1:42" s="100" customFormat="1">
      <c r="A24" s="88" t="s">
        <v>85</v>
      </c>
      <c r="B24" s="89" t="s">
        <v>105</v>
      </c>
      <c r="C24" s="89" t="s">
        <v>60</v>
      </c>
      <c r="D24" s="103">
        <v>100068884</v>
      </c>
      <c r="E24" s="89" t="s">
        <v>61</v>
      </c>
      <c r="F24" s="89">
        <v>100079808</v>
      </c>
      <c r="G24" s="128" t="s">
        <v>110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 s="93">
        <v>807.84</v>
      </c>
      <c r="X24" s="129">
        <v>807.84</v>
      </c>
      <c r="Y24" s="93">
        <v>0</v>
      </c>
      <c r="Z24" s="129">
        <v>0</v>
      </c>
      <c r="AA24" s="155">
        <f t="shared" si="0"/>
        <v>403.92</v>
      </c>
      <c r="AB24" s="98">
        <f t="shared" si="0"/>
        <v>403.92</v>
      </c>
      <c r="AC24"/>
      <c r="AD24" s="97">
        <v>0</v>
      </c>
      <c r="AE24" s="92">
        <v>0</v>
      </c>
      <c r="AF24" s="98">
        <f t="shared" si="2"/>
        <v>0</v>
      </c>
      <c r="AG24" s="97">
        <v>0</v>
      </c>
      <c r="AH24" s="92">
        <v>0</v>
      </c>
      <c r="AI24" s="98">
        <f t="shared" si="3"/>
        <v>0</v>
      </c>
      <c r="AJ24" s="99">
        <f t="shared" si="1"/>
        <v>0</v>
      </c>
      <c r="AK24" s="102" t="str">
        <f>+IF(X24+W24+AJ24&lt;=0, "NO COMPRADOR", +IF(AJ24&lt;=0, "SIN COMPRA "&amp;+UPPER(TEXT('DINAMICA ENERO 26'!$C$2,"mmm 'yy")), "COMPRADOR"))</f>
        <v>SIN COMPRA FEB '26</v>
      </c>
      <c r="AM24" s="101"/>
    </row>
    <row r="25" spans="1:42" s="104" customFormat="1">
      <c r="A25" s="88" t="s">
        <v>85</v>
      </c>
      <c r="B25" s="89" t="s">
        <v>105</v>
      </c>
      <c r="C25" s="89" t="s">
        <v>60</v>
      </c>
      <c r="D25" s="103">
        <v>100068884</v>
      </c>
      <c r="E25" s="89" t="s">
        <v>61</v>
      </c>
      <c r="F25" s="89">
        <v>100069053</v>
      </c>
      <c r="G25" s="128" t="s">
        <v>111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 s="93">
        <v>89.76</v>
      </c>
      <c r="X25" s="129">
        <v>89.76</v>
      </c>
      <c r="Y25" s="93">
        <v>0</v>
      </c>
      <c r="Z25" s="129">
        <v>0</v>
      </c>
      <c r="AA25" s="155">
        <f t="shared" si="0"/>
        <v>44.88</v>
      </c>
      <c r="AB25" s="98">
        <f t="shared" si="0"/>
        <v>44.88</v>
      </c>
      <c r="AC25"/>
      <c r="AD25" s="97">
        <v>0</v>
      </c>
      <c r="AE25" s="92">
        <v>0</v>
      </c>
      <c r="AF25" s="98">
        <f t="shared" si="2"/>
        <v>0</v>
      </c>
      <c r="AG25" s="97">
        <v>0</v>
      </c>
      <c r="AH25" s="92">
        <v>0</v>
      </c>
      <c r="AI25" s="98">
        <f t="shared" si="3"/>
        <v>0</v>
      </c>
      <c r="AJ25" s="99">
        <f t="shared" si="1"/>
        <v>0</v>
      </c>
      <c r="AK25" s="102" t="str">
        <f>+IF(X25+W25+AJ25&lt;=0, "NO COMPRADOR", +IF(AJ25&lt;=0, "SIN COMPRA "&amp;+UPPER(TEXT('DINAMICA ENERO 26'!$C$2,"mmm 'yy")), "COMPRADOR"))</f>
        <v>SIN COMPRA FEB '26</v>
      </c>
      <c r="AL25" s="100"/>
      <c r="AM25" s="101"/>
      <c r="AN25" s="100"/>
      <c r="AO25" s="100"/>
      <c r="AP25" s="100"/>
    </row>
    <row r="26" spans="1:42" s="100" customFormat="1">
      <c r="A26" s="88" t="s">
        <v>85</v>
      </c>
      <c r="B26" s="89" t="s">
        <v>105</v>
      </c>
      <c r="C26" s="89" t="s">
        <v>60</v>
      </c>
      <c r="D26" s="103">
        <v>100068884</v>
      </c>
      <c r="E26" s="89" t="s">
        <v>61</v>
      </c>
      <c r="F26" s="89">
        <v>100061654</v>
      </c>
      <c r="G26" s="128" t="s">
        <v>112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 s="93">
        <v>89.76</v>
      </c>
      <c r="X26" s="129">
        <v>89.76</v>
      </c>
      <c r="Y26" s="93">
        <v>81.599999999999994</v>
      </c>
      <c r="Z26" s="129">
        <v>81.599999999999994</v>
      </c>
      <c r="AA26" s="155">
        <f t="shared" si="0"/>
        <v>85.68</v>
      </c>
      <c r="AB26" s="98">
        <f t="shared" si="0"/>
        <v>85.68</v>
      </c>
      <c r="AC26"/>
      <c r="AD26" s="97">
        <v>0</v>
      </c>
      <c r="AE26" s="92">
        <v>0</v>
      </c>
      <c r="AF26" s="98">
        <f t="shared" si="2"/>
        <v>0</v>
      </c>
      <c r="AG26" s="97">
        <v>0</v>
      </c>
      <c r="AH26" s="92">
        <v>0</v>
      </c>
      <c r="AI26" s="98">
        <f t="shared" si="3"/>
        <v>0</v>
      </c>
      <c r="AJ26" s="99">
        <f t="shared" si="1"/>
        <v>0</v>
      </c>
      <c r="AK26" s="102" t="str">
        <f>+IF(X26+W26+AJ26&lt;=0, "NO COMPRADOR", +IF(AJ26&lt;=0, "SIN COMPRA "&amp;+UPPER(TEXT('DINAMICA ENERO 26'!$C$2,"mmm 'yy")), "COMPRADOR"))</f>
        <v>SIN COMPRA FEB '26</v>
      </c>
      <c r="AM26" s="101"/>
    </row>
    <row r="27" spans="1:42" s="100" customFormat="1">
      <c r="A27" s="88" t="s">
        <v>85</v>
      </c>
      <c r="B27" s="89" t="s">
        <v>113</v>
      </c>
      <c r="C27" s="89" t="s">
        <v>60</v>
      </c>
      <c r="D27" s="103">
        <v>100088165</v>
      </c>
      <c r="E27" s="89" t="s">
        <v>62</v>
      </c>
      <c r="F27" s="89">
        <v>100000073</v>
      </c>
      <c r="G27" s="128" t="s">
        <v>114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 s="93">
        <v>807.84</v>
      </c>
      <c r="X27" s="129">
        <v>807.84</v>
      </c>
      <c r="Y27" s="93">
        <v>456.96000000000004</v>
      </c>
      <c r="Z27" s="129">
        <v>375.36</v>
      </c>
      <c r="AA27" s="155">
        <f t="shared" si="0"/>
        <v>632.40000000000009</v>
      </c>
      <c r="AB27" s="98">
        <f t="shared" si="0"/>
        <v>591.6</v>
      </c>
      <c r="AC27"/>
      <c r="AD27" s="97">
        <v>0</v>
      </c>
      <c r="AE27" s="92">
        <v>0</v>
      </c>
      <c r="AF27" s="98">
        <f t="shared" si="2"/>
        <v>0</v>
      </c>
      <c r="AG27" s="97">
        <v>0</v>
      </c>
      <c r="AH27" s="92">
        <v>0</v>
      </c>
      <c r="AI27" s="98">
        <f t="shared" si="3"/>
        <v>0</v>
      </c>
      <c r="AJ27" s="99">
        <f t="shared" si="1"/>
        <v>0</v>
      </c>
      <c r="AK27" s="102" t="str">
        <f>+IF(X27+W27+AJ27&lt;=0, "NO COMPRADOR", +IF(AJ27&lt;=0, "SIN COMPRA "&amp;+UPPER(TEXT('DINAMICA ENERO 26'!$C$2,"mmm 'yy")), "COMPRADOR"))</f>
        <v>SIN COMPRA FEB '26</v>
      </c>
      <c r="AM27" s="101"/>
    </row>
    <row r="28" spans="1:42" s="100" customFormat="1">
      <c r="A28" s="88" t="s">
        <v>85</v>
      </c>
      <c r="B28" s="89" t="s">
        <v>113</v>
      </c>
      <c r="C28" s="89" t="s">
        <v>60</v>
      </c>
      <c r="D28" s="103">
        <v>100088165</v>
      </c>
      <c r="E28" s="89" t="s">
        <v>62</v>
      </c>
      <c r="F28" s="89">
        <v>100078580</v>
      </c>
      <c r="G28" s="128" t="s">
        <v>115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 s="93">
        <v>32.64</v>
      </c>
      <c r="X28" s="129">
        <v>32.64</v>
      </c>
      <c r="Y28" s="93">
        <v>0</v>
      </c>
      <c r="Z28" s="129">
        <v>0</v>
      </c>
      <c r="AA28" s="155">
        <f t="shared" si="0"/>
        <v>16.32</v>
      </c>
      <c r="AB28" s="98">
        <f t="shared" si="0"/>
        <v>16.32</v>
      </c>
      <c r="AC28"/>
      <c r="AD28" s="97">
        <v>0</v>
      </c>
      <c r="AE28" s="92">
        <v>0</v>
      </c>
      <c r="AF28" s="98">
        <f t="shared" si="2"/>
        <v>0</v>
      </c>
      <c r="AG28" s="97">
        <v>0</v>
      </c>
      <c r="AH28" s="92">
        <v>0</v>
      </c>
      <c r="AI28" s="98">
        <f t="shared" si="3"/>
        <v>0</v>
      </c>
      <c r="AJ28" s="99">
        <f t="shared" si="1"/>
        <v>0</v>
      </c>
      <c r="AK28" s="102" t="str">
        <f>+IF(X28+W28+AJ28&lt;=0, "NO COMPRADOR", +IF(AJ28&lt;=0, "SIN COMPRA "&amp;+UPPER(TEXT('DINAMICA ENERO 26'!$C$2,"mmm 'yy")), "COMPRADOR"))</f>
        <v>SIN COMPRA FEB '26</v>
      </c>
      <c r="AM28" s="101"/>
    </row>
    <row r="29" spans="1:42" s="104" customFormat="1">
      <c r="A29" s="88" t="s">
        <v>85</v>
      </c>
      <c r="B29" s="89" t="s">
        <v>113</v>
      </c>
      <c r="C29" s="89" t="s">
        <v>60</v>
      </c>
      <c r="D29" s="103">
        <v>100088165</v>
      </c>
      <c r="E29" s="89" t="s">
        <v>62</v>
      </c>
      <c r="F29" s="89">
        <v>100080926</v>
      </c>
      <c r="G29" s="128" t="s">
        <v>116</v>
      </c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 s="93">
        <v>163.19999999999999</v>
      </c>
      <c r="X29" s="129">
        <v>163.19999999999999</v>
      </c>
      <c r="Y29" s="93">
        <v>244.8</v>
      </c>
      <c r="Z29" s="129">
        <v>244.8</v>
      </c>
      <c r="AA29" s="155">
        <f t="shared" si="0"/>
        <v>204</v>
      </c>
      <c r="AB29" s="98">
        <f t="shared" si="0"/>
        <v>204</v>
      </c>
      <c r="AC29"/>
      <c r="AD29" s="97">
        <v>0</v>
      </c>
      <c r="AE29" s="92">
        <v>0</v>
      </c>
      <c r="AF29" s="98">
        <f t="shared" si="2"/>
        <v>0</v>
      </c>
      <c r="AG29" s="97">
        <v>0</v>
      </c>
      <c r="AH29" s="92">
        <v>0</v>
      </c>
      <c r="AI29" s="98">
        <f t="shared" si="3"/>
        <v>0</v>
      </c>
      <c r="AJ29" s="99">
        <f t="shared" si="1"/>
        <v>0</v>
      </c>
      <c r="AK29" s="102" t="str">
        <f>+IF(X29+W29+AJ29&lt;=0, "NO COMPRADOR", +IF(AJ29&lt;=0, "SIN COMPRA "&amp;+UPPER(TEXT('DINAMICA ENERO 26'!$C$2,"mmm 'yy")), "COMPRADOR"))</f>
        <v>SIN COMPRA FEB '26</v>
      </c>
      <c r="AL29" s="100"/>
      <c r="AM29" s="101"/>
      <c r="AN29" s="100"/>
      <c r="AO29" s="100"/>
      <c r="AP29" s="100"/>
    </row>
    <row r="30" spans="1:42" s="100" customFormat="1">
      <c r="A30" s="88" t="s">
        <v>85</v>
      </c>
      <c r="B30" s="89" t="s">
        <v>113</v>
      </c>
      <c r="C30" s="89" t="s">
        <v>60</v>
      </c>
      <c r="D30" s="103">
        <v>100088165</v>
      </c>
      <c r="E30" s="89" t="s">
        <v>62</v>
      </c>
      <c r="F30" s="89">
        <v>100077115</v>
      </c>
      <c r="G30" s="128" t="s">
        <v>117</v>
      </c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 s="93">
        <v>0</v>
      </c>
      <c r="X30" s="129">
        <v>0</v>
      </c>
      <c r="Y30" s="93">
        <v>0</v>
      </c>
      <c r="Z30" s="129">
        <v>0</v>
      </c>
      <c r="AA30" s="155">
        <f t="shared" si="0"/>
        <v>0</v>
      </c>
      <c r="AB30" s="98">
        <f t="shared" si="0"/>
        <v>0</v>
      </c>
      <c r="AC30"/>
      <c r="AD30" s="97">
        <v>0</v>
      </c>
      <c r="AE30" s="92">
        <v>0</v>
      </c>
      <c r="AF30" s="98">
        <f t="shared" si="2"/>
        <v>0</v>
      </c>
      <c r="AG30" s="97">
        <v>0</v>
      </c>
      <c r="AH30" s="92">
        <v>0</v>
      </c>
      <c r="AI30" s="98">
        <f t="shared" si="3"/>
        <v>0</v>
      </c>
      <c r="AJ30" s="99">
        <f t="shared" si="1"/>
        <v>0</v>
      </c>
      <c r="AK30" s="102" t="str">
        <f>+IF(X30+W30+AJ30&lt;=0, "NO COMPRADOR", +IF(AJ30&lt;=0, "SIN COMPRA "&amp;+UPPER(TEXT('DINAMICA ENERO 26'!$C$2,"mmm 'yy")), "COMPRADOR"))</f>
        <v>NO COMPRADOR</v>
      </c>
      <c r="AM30" s="101"/>
    </row>
    <row r="31" spans="1:42" s="100" customFormat="1">
      <c r="A31" s="88" t="s">
        <v>85</v>
      </c>
      <c r="B31" s="89" t="s">
        <v>113</v>
      </c>
      <c r="C31" s="89" t="s">
        <v>60</v>
      </c>
      <c r="D31" s="103">
        <v>100088165</v>
      </c>
      <c r="E31" s="89" t="s">
        <v>62</v>
      </c>
      <c r="F31" s="89">
        <v>100078578</v>
      </c>
      <c r="G31" s="128" t="s">
        <v>118</v>
      </c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 s="93">
        <v>40.799999999999997</v>
      </c>
      <c r="X31" s="129">
        <v>40.799999999999997</v>
      </c>
      <c r="Y31" s="93">
        <v>24.48</v>
      </c>
      <c r="Z31" s="129">
        <v>8.16</v>
      </c>
      <c r="AA31" s="155">
        <f t="shared" si="0"/>
        <v>32.64</v>
      </c>
      <c r="AB31" s="98">
        <f t="shared" si="0"/>
        <v>24.479999999999997</v>
      </c>
      <c r="AC31"/>
      <c r="AD31" s="97">
        <v>0</v>
      </c>
      <c r="AE31" s="92">
        <v>0</v>
      </c>
      <c r="AF31" s="98">
        <f t="shared" si="2"/>
        <v>0</v>
      </c>
      <c r="AG31" s="97">
        <v>0</v>
      </c>
      <c r="AH31" s="92">
        <v>0</v>
      </c>
      <c r="AI31" s="98">
        <f t="shared" si="3"/>
        <v>0</v>
      </c>
      <c r="AJ31" s="99">
        <f t="shared" si="1"/>
        <v>0</v>
      </c>
      <c r="AK31" s="102" t="str">
        <f>+IF(X31+W31+AJ31&lt;=0, "NO COMPRADOR", +IF(AJ31&lt;=0, "SIN COMPRA "&amp;+UPPER(TEXT('DINAMICA ENERO 26'!$C$2,"mmm 'yy")), "COMPRADOR"))</f>
        <v>SIN COMPRA FEB '26</v>
      </c>
      <c r="AM31" s="101"/>
    </row>
    <row r="32" spans="1:42" s="104" customFormat="1">
      <c r="A32" s="88" t="s">
        <v>85</v>
      </c>
      <c r="B32" s="89" t="s">
        <v>113</v>
      </c>
      <c r="C32" s="89" t="s">
        <v>60</v>
      </c>
      <c r="D32" s="103">
        <v>100088165</v>
      </c>
      <c r="E32" s="89" t="s">
        <v>62</v>
      </c>
      <c r="F32" s="89">
        <v>100021337</v>
      </c>
      <c r="G32" s="128" t="s">
        <v>119</v>
      </c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 s="93">
        <v>244.8</v>
      </c>
      <c r="X32" s="129">
        <v>244.8</v>
      </c>
      <c r="Y32" s="93">
        <v>0</v>
      </c>
      <c r="Z32" s="129">
        <v>0</v>
      </c>
      <c r="AA32" s="155">
        <f t="shared" si="0"/>
        <v>122.4</v>
      </c>
      <c r="AB32" s="98">
        <f t="shared" si="0"/>
        <v>122.4</v>
      </c>
      <c r="AC32"/>
      <c r="AD32" s="97">
        <v>0</v>
      </c>
      <c r="AE32" s="92">
        <v>0</v>
      </c>
      <c r="AF32" s="98">
        <f t="shared" si="2"/>
        <v>0</v>
      </c>
      <c r="AG32" s="97">
        <v>0</v>
      </c>
      <c r="AH32" s="92">
        <v>0</v>
      </c>
      <c r="AI32" s="98">
        <f t="shared" si="3"/>
        <v>0</v>
      </c>
      <c r="AJ32" s="99">
        <f t="shared" si="1"/>
        <v>0</v>
      </c>
      <c r="AK32" s="102" t="str">
        <f>+IF(X32+W32+AJ32&lt;=0, "NO COMPRADOR", +IF(AJ32&lt;=0, "SIN COMPRA "&amp;+UPPER(TEXT('DINAMICA ENERO 26'!$C$2,"mmm 'yy")), "COMPRADOR"))</f>
        <v>SIN COMPRA FEB '26</v>
      </c>
      <c r="AL32" s="100"/>
      <c r="AM32" s="101"/>
      <c r="AN32" s="100"/>
      <c r="AO32" s="100"/>
      <c r="AP32" s="100"/>
    </row>
    <row r="33" spans="1:42" s="104" customFormat="1">
      <c r="A33" s="88" t="s">
        <v>85</v>
      </c>
      <c r="B33" s="89" t="s">
        <v>120</v>
      </c>
      <c r="C33" s="89" t="s">
        <v>52</v>
      </c>
      <c r="D33" s="103">
        <v>100088149</v>
      </c>
      <c r="E33" s="89" t="s">
        <v>56</v>
      </c>
      <c r="F33" s="89">
        <v>100002239</v>
      </c>
      <c r="G33" s="128" t="s">
        <v>121</v>
      </c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 s="93">
        <v>0</v>
      </c>
      <c r="X33" s="129">
        <v>0</v>
      </c>
      <c r="Y33" s="93">
        <v>0</v>
      </c>
      <c r="Z33" s="129">
        <v>0</v>
      </c>
      <c r="AA33" s="155">
        <f t="shared" si="0"/>
        <v>0</v>
      </c>
      <c r="AB33" s="98">
        <f t="shared" si="0"/>
        <v>0</v>
      </c>
      <c r="AC33"/>
      <c r="AD33" s="97">
        <v>0</v>
      </c>
      <c r="AE33" s="92">
        <v>0</v>
      </c>
      <c r="AF33" s="98">
        <f t="shared" si="2"/>
        <v>0</v>
      </c>
      <c r="AG33" s="97">
        <v>0</v>
      </c>
      <c r="AH33" s="92">
        <v>0</v>
      </c>
      <c r="AI33" s="98">
        <f t="shared" si="3"/>
        <v>0</v>
      </c>
      <c r="AJ33" s="99">
        <f t="shared" si="1"/>
        <v>0</v>
      </c>
      <c r="AK33" s="102" t="str">
        <f>+IF(X33+W33+AJ33&lt;=0, "NO COMPRADOR", +IF(AJ33&lt;=0, "SIN COMPRA "&amp;+UPPER(TEXT('DINAMICA ENERO 26'!$C$2,"mmm 'yy")), "COMPRADOR"))</f>
        <v>NO COMPRADOR</v>
      </c>
      <c r="AL33" s="100"/>
      <c r="AM33" s="101"/>
      <c r="AN33" s="100"/>
      <c r="AO33" s="100"/>
      <c r="AP33" s="100"/>
    </row>
    <row r="34" spans="1:42" s="100" customFormat="1">
      <c r="A34" s="88" t="s">
        <v>85</v>
      </c>
      <c r="B34" s="89" t="s">
        <v>120</v>
      </c>
      <c r="C34" s="89" t="s">
        <v>52</v>
      </c>
      <c r="D34" s="103">
        <v>100088149</v>
      </c>
      <c r="E34" s="89" t="s">
        <v>56</v>
      </c>
      <c r="F34" s="89">
        <v>100024103</v>
      </c>
      <c r="G34" s="128" t="s">
        <v>122</v>
      </c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 s="93">
        <v>0</v>
      </c>
      <c r="X34" s="129">
        <v>0</v>
      </c>
      <c r="Y34" s="93">
        <v>0</v>
      </c>
      <c r="Z34" s="129">
        <v>0</v>
      </c>
      <c r="AA34" s="155">
        <f t="shared" si="0"/>
        <v>0</v>
      </c>
      <c r="AB34" s="98">
        <f t="shared" si="0"/>
        <v>0</v>
      </c>
      <c r="AC34"/>
      <c r="AD34" s="97">
        <v>0</v>
      </c>
      <c r="AE34" s="92">
        <v>0</v>
      </c>
      <c r="AF34" s="98">
        <f t="shared" si="2"/>
        <v>0</v>
      </c>
      <c r="AG34" s="97">
        <v>0</v>
      </c>
      <c r="AH34" s="92">
        <v>0</v>
      </c>
      <c r="AI34" s="98">
        <f t="shared" si="3"/>
        <v>0</v>
      </c>
      <c r="AJ34" s="99">
        <f t="shared" si="1"/>
        <v>0</v>
      </c>
      <c r="AK34" s="102" t="str">
        <f>+IF(X34+W34+AJ34&lt;=0, "NO COMPRADOR", +IF(AJ34&lt;=0, "SIN COMPRA "&amp;+UPPER(TEXT('DINAMICA ENERO 26'!$C$2,"mmm 'yy")), "COMPRADOR"))</f>
        <v>NO COMPRADOR</v>
      </c>
      <c r="AM34" s="101"/>
    </row>
    <row r="35" spans="1:42" s="100" customFormat="1">
      <c r="A35" s="88" t="s">
        <v>85</v>
      </c>
      <c r="B35" s="89" t="s">
        <v>120</v>
      </c>
      <c r="C35" s="89" t="s">
        <v>52</v>
      </c>
      <c r="D35" s="103">
        <v>100088149</v>
      </c>
      <c r="E35" s="89" t="s">
        <v>56</v>
      </c>
      <c r="F35" s="89">
        <v>100086135</v>
      </c>
      <c r="G35" s="128" t="s">
        <v>123</v>
      </c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 s="93">
        <v>0</v>
      </c>
      <c r="X35" s="129">
        <v>0</v>
      </c>
      <c r="Y35" s="93">
        <v>73.44</v>
      </c>
      <c r="Z35" s="129">
        <v>114.24000000000001</v>
      </c>
      <c r="AA35" s="155">
        <f t="shared" si="0"/>
        <v>36.72</v>
      </c>
      <c r="AB35" s="98">
        <f t="shared" si="0"/>
        <v>57.120000000000005</v>
      </c>
      <c r="AC35"/>
      <c r="AD35" s="97">
        <v>89.76</v>
      </c>
      <c r="AE35" s="92">
        <v>0</v>
      </c>
      <c r="AF35" s="98">
        <f t="shared" si="2"/>
        <v>89.76</v>
      </c>
      <c r="AG35" s="97">
        <v>0</v>
      </c>
      <c r="AH35" s="92">
        <v>0</v>
      </c>
      <c r="AI35" s="98">
        <f t="shared" si="3"/>
        <v>0</v>
      </c>
      <c r="AJ35" s="99">
        <f t="shared" si="1"/>
        <v>89.76</v>
      </c>
      <c r="AK35" s="102" t="str">
        <f>+IF(X35+W35+AJ35&lt;=0, "NO COMPRADOR", +IF(AJ35&lt;=0, "SIN COMPRA "&amp;+UPPER(TEXT('DINAMICA ENERO 26'!$C$2,"mmm 'yy")), "COMPRADOR"))</f>
        <v>COMPRADOR</v>
      </c>
      <c r="AM35" s="101"/>
    </row>
    <row r="36" spans="1:42" s="100" customFormat="1">
      <c r="A36" s="88" t="s">
        <v>85</v>
      </c>
      <c r="B36" s="89" t="s">
        <v>120</v>
      </c>
      <c r="C36" s="89" t="s">
        <v>52</v>
      </c>
      <c r="D36" s="103">
        <v>100088149</v>
      </c>
      <c r="E36" s="89" t="s">
        <v>56</v>
      </c>
      <c r="F36" s="89">
        <v>100077830</v>
      </c>
      <c r="G36" s="128" t="s">
        <v>124</v>
      </c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 s="93">
        <v>40.799999999999997</v>
      </c>
      <c r="X36" s="129">
        <v>40.799999999999997</v>
      </c>
      <c r="Y36" s="93">
        <v>0</v>
      </c>
      <c r="Z36" s="129">
        <v>0</v>
      </c>
      <c r="AA36" s="155">
        <f t="shared" si="0"/>
        <v>20.399999999999999</v>
      </c>
      <c r="AB36" s="98">
        <f t="shared" si="0"/>
        <v>20.399999999999999</v>
      </c>
      <c r="AC36"/>
      <c r="AD36" s="97">
        <v>0</v>
      </c>
      <c r="AE36" s="92">
        <v>0</v>
      </c>
      <c r="AF36" s="98">
        <f t="shared" si="2"/>
        <v>0</v>
      </c>
      <c r="AG36" s="97">
        <v>0</v>
      </c>
      <c r="AH36" s="92">
        <v>0</v>
      </c>
      <c r="AI36" s="98">
        <f t="shared" si="3"/>
        <v>0</v>
      </c>
      <c r="AJ36" s="99">
        <f t="shared" si="1"/>
        <v>0</v>
      </c>
      <c r="AK36" s="102" t="str">
        <f>+IF(X36+W36+AJ36&lt;=0, "NO COMPRADOR", +IF(AJ36&lt;=0, "SIN COMPRA "&amp;+UPPER(TEXT('DINAMICA ENERO 26'!$C$2,"mmm 'yy")), "COMPRADOR"))</f>
        <v>SIN COMPRA FEB '26</v>
      </c>
      <c r="AM36" s="101"/>
    </row>
    <row r="37" spans="1:42" s="100" customFormat="1">
      <c r="A37" s="88" t="s">
        <v>85</v>
      </c>
      <c r="B37" s="89" t="s">
        <v>120</v>
      </c>
      <c r="C37" s="89" t="s">
        <v>52</v>
      </c>
      <c r="D37" s="103">
        <v>100088149</v>
      </c>
      <c r="E37" s="89" t="s">
        <v>56</v>
      </c>
      <c r="F37" s="89">
        <v>100066030</v>
      </c>
      <c r="G37" s="128" t="s">
        <v>125</v>
      </c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 s="93">
        <v>0</v>
      </c>
      <c r="X37" s="129">
        <v>0</v>
      </c>
      <c r="Y37" s="93">
        <v>0</v>
      </c>
      <c r="Z37" s="129">
        <v>0</v>
      </c>
      <c r="AA37" s="155">
        <f t="shared" si="0"/>
        <v>0</v>
      </c>
      <c r="AB37" s="98">
        <f t="shared" si="0"/>
        <v>0</v>
      </c>
      <c r="AC37"/>
      <c r="AD37" s="97">
        <v>0</v>
      </c>
      <c r="AE37" s="92">
        <v>0</v>
      </c>
      <c r="AF37" s="98">
        <f t="shared" si="2"/>
        <v>0</v>
      </c>
      <c r="AG37" s="97">
        <v>0</v>
      </c>
      <c r="AH37" s="92">
        <v>0</v>
      </c>
      <c r="AI37" s="98">
        <f t="shared" si="3"/>
        <v>0</v>
      </c>
      <c r="AJ37" s="99">
        <f t="shared" si="1"/>
        <v>0</v>
      </c>
      <c r="AK37" s="102" t="str">
        <f>+IF(X37+W37+AJ37&lt;=0, "NO COMPRADOR", +IF(AJ37&lt;=0, "SIN COMPRA "&amp;+UPPER(TEXT('DINAMICA ENERO 26'!$C$2,"mmm 'yy")), "COMPRADOR"))</f>
        <v>NO COMPRADOR</v>
      </c>
      <c r="AM37" s="101"/>
    </row>
    <row r="38" spans="1:42" s="100" customFormat="1">
      <c r="A38" s="88" t="s">
        <v>85</v>
      </c>
      <c r="B38" s="89" t="s">
        <v>120</v>
      </c>
      <c r="C38" s="89" t="s">
        <v>52</v>
      </c>
      <c r="D38" s="103">
        <v>100088149</v>
      </c>
      <c r="E38" s="89" t="s">
        <v>56</v>
      </c>
      <c r="F38" s="89">
        <v>100085622</v>
      </c>
      <c r="G38" s="128" t="s">
        <v>126</v>
      </c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 s="93">
        <v>8.16</v>
      </c>
      <c r="X38" s="129">
        <v>8.16</v>
      </c>
      <c r="Y38" s="93">
        <v>122.4</v>
      </c>
      <c r="Z38" s="129">
        <v>40.799999999999997</v>
      </c>
      <c r="AA38" s="155">
        <f t="shared" si="0"/>
        <v>65.28</v>
      </c>
      <c r="AB38" s="98">
        <f t="shared" si="0"/>
        <v>24.479999999999997</v>
      </c>
      <c r="AC38"/>
      <c r="AD38" s="97">
        <v>0</v>
      </c>
      <c r="AE38" s="92">
        <v>0</v>
      </c>
      <c r="AF38" s="98">
        <f t="shared" si="2"/>
        <v>0</v>
      </c>
      <c r="AG38" s="97">
        <v>0</v>
      </c>
      <c r="AH38" s="92">
        <v>0</v>
      </c>
      <c r="AI38" s="98">
        <f t="shared" si="3"/>
        <v>0</v>
      </c>
      <c r="AJ38" s="99">
        <f t="shared" si="1"/>
        <v>0</v>
      </c>
      <c r="AK38" s="102" t="str">
        <f>+IF(X38+W38+AJ38&lt;=0, "NO COMPRADOR", +IF(AJ38&lt;=0, "SIN COMPRA "&amp;+UPPER(TEXT('DINAMICA ENERO 26'!$C$2,"mmm 'yy")), "COMPRADOR"))</f>
        <v>SIN COMPRA FEB '26</v>
      </c>
      <c r="AM38" s="101"/>
    </row>
    <row r="39" spans="1:42" s="104" customFormat="1">
      <c r="A39" s="88" t="s">
        <v>85</v>
      </c>
      <c r="B39" s="89" t="s">
        <v>120</v>
      </c>
      <c r="C39" s="89" t="s">
        <v>52</v>
      </c>
      <c r="D39" s="103">
        <v>100088149</v>
      </c>
      <c r="E39" s="89" t="s">
        <v>56</v>
      </c>
      <c r="F39" s="89">
        <v>100079184</v>
      </c>
      <c r="G39" s="128" t="s">
        <v>127</v>
      </c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 s="93">
        <v>0</v>
      </c>
      <c r="X39" s="129">
        <v>0</v>
      </c>
      <c r="Y39" s="93">
        <v>0</v>
      </c>
      <c r="Z39" s="129">
        <v>0</v>
      </c>
      <c r="AA39" s="155">
        <f t="shared" si="0"/>
        <v>0</v>
      </c>
      <c r="AB39" s="98">
        <f t="shared" si="0"/>
        <v>0</v>
      </c>
      <c r="AC39"/>
      <c r="AD39" s="97">
        <v>0</v>
      </c>
      <c r="AE39" s="92">
        <v>0</v>
      </c>
      <c r="AF39" s="98">
        <f t="shared" si="2"/>
        <v>0</v>
      </c>
      <c r="AG39" s="97">
        <v>0</v>
      </c>
      <c r="AH39" s="92">
        <v>0</v>
      </c>
      <c r="AI39" s="98">
        <f t="shared" si="3"/>
        <v>0</v>
      </c>
      <c r="AJ39" s="99">
        <f t="shared" si="1"/>
        <v>0</v>
      </c>
      <c r="AK39" s="102" t="str">
        <f>+IF(X39+W39+AJ39&lt;=0, "NO COMPRADOR", +IF(AJ39&lt;=0, "SIN COMPRA "&amp;+UPPER(TEXT('DINAMICA ENERO 26'!$C$2,"mmm 'yy")), "COMPRADOR"))</f>
        <v>NO COMPRADOR</v>
      </c>
      <c r="AL39" s="100"/>
      <c r="AM39" s="101"/>
      <c r="AN39" s="100"/>
      <c r="AO39" s="100"/>
      <c r="AP39" s="100"/>
    </row>
    <row r="40" spans="1:42" s="104" customFormat="1">
      <c r="A40" s="88" t="s">
        <v>85</v>
      </c>
      <c r="B40" s="89" t="s">
        <v>120</v>
      </c>
      <c r="C40" s="89" t="s">
        <v>52</v>
      </c>
      <c r="D40" s="103">
        <v>100088149</v>
      </c>
      <c r="E40" s="89" t="s">
        <v>56</v>
      </c>
      <c r="F40" s="89">
        <v>100071982</v>
      </c>
      <c r="G40" s="128" t="s">
        <v>128</v>
      </c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 s="93">
        <v>40.799999999999997</v>
      </c>
      <c r="X40" s="129">
        <v>40.799999999999997</v>
      </c>
      <c r="Y40" s="93">
        <v>89.76</v>
      </c>
      <c r="Z40" s="129">
        <v>89.76</v>
      </c>
      <c r="AA40" s="155">
        <f t="shared" si="0"/>
        <v>65.28</v>
      </c>
      <c r="AB40" s="98">
        <f t="shared" si="0"/>
        <v>65.28</v>
      </c>
      <c r="AC40"/>
      <c r="AD40" s="97">
        <v>0</v>
      </c>
      <c r="AE40" s="92">
        <v>0</v>
      </c>
      <c r="AF40" s="98">
        <f t="shared" si="2"/>
        <v>0</v>
      </c>
      <c r="AG40" s="97">
        <v>0</v>
      </c>
      <c r="AH40" s="92">
        <v>0</v>
      </c>
      <c r="AI40" s="98">
        <f t="shared" si="3"/>
        <v>0</v>
      </c>
      <c r="AJ40" s="99">
        <f t="shared" si="1"/>
        <v>0</v>
      </c>
      <c r="AK40" s="102" t="str">
        <f>+IF(X40+W40+AJ40&lt;=0, "NO COMPRADOR", +IF(AJ40&lt;=0, "SIN COMPRA "&amp;+UPPER(TEXT('DINAMICA ENERO 26'!$C$2,"mmm 'yy")), "COMPRADOR"))</f>
        <v>SIN COMPRA FEB '26</v>
      </c>
      <c r="AL40" s="100"/>
      <c r="AM40" s="101"/>
      <c r="AN40" s="100"/>
      <c r="AO40" s="100"/>
      <c r="AP40" s="100"/>
    </row>
    <row r="41" spans="1:42" s="100" customFormat="1">
      <c r="A41" s="88" t="s">
        <v>85</v>
      </c>
      <c r="B41" s="89" t="s">
        <v>120</v>
      </c>
      <c r="C41" s="89" t="s">
        <v>52</v>
      </c>
      <c r="D41" s="103">
        <v>100088149</v>
      </c>
      <c r="E41" s="89" t="s">
        <v>56</v>
      </c>
      <c r="F41" s="89">
        <v>100001605</v>
      </c>
      <c r="G41" s="128" t="s">
        <v>129</v>
      </c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 s="93">
        <v>0</v>
      </c>
      <c r="X41" s="129">
        <v>0</v>
      </c>
      <c r="Y41" s="93">
        <v>32.64</v>
      </c>
      <c r="Z41" s="129">
        <v>0</v>
      </c>
      <c r="AA41" s="155">
        <f t="shared" si="0"/>
        <v>16.32</v>
      </c>
      <c r="AB41" s="98">
        <f t="shared" si="0"/>
        <v>0</v>
      </c>
      <c r="AC41"/>
      <c r="AD41" s="97">
        <v>0</v>
      </c>
      <c r="AE41" s="92">
        <v>0</v>
      </c>
      <c r="AF41" s="98">
        <f t="shared" si="2"/>
        <v>0</v>
      </c>
      <c r="AG41" s="97">
        <v>0</v>
      </c>
      <c r="AH41" s="92">
        <v>0</v>
      </c>
      <c r="AI41" s="98">
        <f t="shared" si="3"/>
        <v>0</v>
      </c>
      <c r="AJ41" s="99">
        <f t="shared" si="1"/>
        <v>0</v>
      </c>
      <c r="AK41" s="102" t="str">
        <f>+IF(X41+W41+AJ41&lt;=0, "NO COMPRADOR", +IF(AJ41&lt;=0, "SIN COMPRA "&amp;+UPPER(TEXT('DINAMICA ENERO 26'!$C$2,"mmm 'yy")), "COMPRADOR"))</f>
        <v>NO COMPRADOR</v>
      </c>
      <c r="AM41" s="101"/>
    </row>
    <row r="42" spans="1:42" s="100" customFormat="1">
      <c r="A42" s="88" t="s">
        <v>85</v>
      </c>
      <c r="B42" s="89" t="s">
        <v>120</v>
      </c>
      <c r="C42" s="89" t="s">
        <v>52</v>
      </c>
      <c r="D42" s="103">
        <v>100088149</v>
      </c>
      <c r="E42" s="89" t="s">
        <v>56</v>
      </c>
      <c r="F42" s="89">
        <v>100082658</v>
      </c>
      <c r="G42" s="128" t="s">
        <v>130</v>
      </c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 s="93">
        <v>0</v>
      </c>
      <c r="X42" s="129">
        <v>0</v>
      </c>
      <c r="Y42" s="93">
        <v>0</v>
      </c>
      <c r="Z42" s="129">
        <v>0</v>
      </c>
      <c r="AA42" s="155">
        <f t="shared" si="0"/>
        <v>0</v>
      </c>
      <c r="AB42" s="98">
        <f t="shared" si="0"/>
        <v>0</v>
      </c>
      <c r="AC42"/>
      <c r="AD42" s="97">
        <v>0</v>
      </c>
      <c r="AE42" s="92">
        <v>0</v>
      </c>
      <c r="AF42" s="98">
        <f t="shared" si="2"/>
        <v>0</v>
      </c>
      <c r="AG42" s="97">
        <v>0</v>
      </c>
      <c r="AH42" s="92">
        <v>0</v>
      </c>
      <c r="AI42" s="98">
        <f t="shared" si="3"/>
        <v>0</v>
      </c>
      <c r="AJ42" s="99">
        <f t="shared" si="1"/>
        <v>0</v>
      </c>
      <c r="AK42" s="102" t="str">
        <f>+IF(X42+W42+AJ42&lt;=0, "NO COMPRADOR", +IF(AJ42&lt;=0, "SIN COMPRA "&amp;+UPPER(TEXT('DINAMICA ENERO 26'!$C$2,"mmm 'yy")), "COMPRADOR"))</f>
        <v>NO COMPRADOR</v>
      </c>
      <c r="AM42" s="101"/>
    </row>
    <row r="43" spans="1:42" s="100" customFormat="1">
      <c r="A43" s="88" t="s">
        <v>85</v>
      </c>
      <c r="B43" s="89" t="s">
        <v>120</v>
      </c>
      <c r="C43" s="89" t="s">
        <v>52</v>
      </c>
      <c r="D43" s="103">
        <v>100088149</v>
      </c>
      <c r="E43" s="89" t="s">
        <v>56</v>
      </c>
      <c r="F43" s="89">
        <v>100060564</v>
      </c>
      <c r="G43" s="128" t="s">
        <v>131</v>
      </c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 s="93">
        <v>0</v>
      </c>
      <c r="X43" s="129">
        <v>0</v>
      </c>
      <c r="Y43" s="93">
        <v>0</v>
      </c>
      <c r="Z43" s="129">
        <v>0</v>
      </c>
      <c r="AA43" s="155">
        <f t="shared" si="0"/>
        <v>0</v>
      </c>
      <c r="AB43" s="98">
        <f t="shared" si="0"/>
        <v>0</v>
      </c>
      <c r="AC43"/>
      <c r="AD43" s="97">
        <v>0</v>
      </c>
      <c r="AE43" s="92">
        <v>0</v>
      </c>
      <c r="AF43" s="98">
        <f t="shared" si="2"/>
        <v>0</v>
      </c>
      <c r="AG43" s="97">
        <v>0</v>
      </c>
      <c r="AH43" s="92">
        <v>0</v>
      </c>
      <c r="AI43" s="98">
        <f t="shared" si="3"/>
        <v>0</v>
      </c>
      <c r="AJ43" s="99">
        <f t="shared" si="1"/>
        <v>0</v>
      </c>
      <c r="AK43" s="102" t="str">
        <f>+IF(X43+W43+AJ43&lt;=0, "NO COMPRADOR", +IF(AJ43&lt;=0, "SIN COMPRA "&amp;+UPPER(TEXT('DINAMICA ENERO 26'!$C$2,"mmm 'yy")), "COMPRADOR"))</f>
        <v>NO COMPRADOR</v>
      </c>
      <c r="AM43" s="101"/>
    </row>
    <row r="44" spans="1:42" s="100" customFormat="1">
      <c r="A44" s="88" t="s">
        <v>85</v>
      </c>
      <c r="B44" s="89" t="s">
        <v>120</v>
      </c>
      <c r="C44" s="89" t="s">
        <v>52</v>
      </c>
      <c r="D44" s="103">
        <v>100088149</v>
      </c>
      <c r="E44" s="89" t="s">
        <v>56</v>
      </c>
      <c r="F44" s="89">
        <v>100001635</v>
      </c>
      <c r="G44" s="128" t="s">
        <v>132</v>
      </c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 s="93">
        <v>16.32</v>
      </c>
      <c r="X44" s="129">
        <v>16.32</v>
      </c>
      <c r="Y44" s="93">
        <v>40.799999999999997</v>
      </c>
      <c r="Z44" s="129">
        <v>40.799999999999997</v>
      </c>
      <c r="AA44" s="155">
        <f t="shared" si="0"/>
        <v>28.56</v>
      </c>
      <c r="AB44" s="98">
        <f t="shared" si="0"/>
        <v>28.56</v>
      </c>
      <c r="AC44"/>
      <c r="AD44" s="97">
        <v>40.799999999999997</v>
      </c>
      <c r="AE44" s="92">
        <v>0</v>
      </c>
      <c r="AF44" s="98">
        <f t="shared" si="2"/>
        <v>40.799999999999997</v>
      </c>
      <c r="AG44" s="97">
        <v>40.799999999999997</v>
      </c>
      <c r="AH44" s="92">
        <v>0</v>
      </c>
      <c r="AI44" s="98">
        <f t="shared" si="3"/>
        <v>40.799999999999997</v>
      </c>
      <c r="AJ44" s="99">
        <f t="shared" si="1"/>
        <v>81.599999999999994</v>
      </c>
      <c r="AK44" s="102" t="str">
        <f>+IF(X44+W44+AJ44&lt;=0, "NO COMPRADOR", +IF(AJ44&lt;=0, "SIN COMPRA "&amp;+UPPER(TEXT('DINAMICA ENERO 26'!$C$2,"mmm 'yy")), "COMPRADOR"))</f>
        <v>COMPRADOR</v>
      </c>
      <c r="AM44" s="101"/>
    </row>
    <row r="45" spans="1:42" s="104" customFormat="1">
      <c r="A45" s="88" t="s">
        <v>85</v>
      </c>
      <c r="B45" s="89" t="s">
        <v>120</v>
      </c>
      <c r="C45" s="89" t="s">
        <v>52</v>
      </c>
      <c r="D45" s="103">
        <v>100088149</v>
      </c>
      <c r="E45" s="89" t="s">
        <v>56</v>
      </c>
      <c r="F45" s="89">
        <v>100001862</v>
      </c>
      <c r="G45" s="128" t="s">
        <v>133</v>
      </c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 s="93">
        <v>0</v>
      </c>
      <c r="X45" s="129">
        <v>0</v>
      </c>
      <c r="Y45" s="93">
        <v>40.799999999999997</v>
      </c>
      <c r="Z45" s="129">
        <v>0</v>
      </c>
      <c r="AA45" s="155">
        <f t="shared" si="0"/>
        <v>20.399999999999999</v>
      </c>
      <c r="AB45" s="98">
        <f t="shared" si="0"/>
        <v>0</v>
      </c>
      <c r="AC45"/>
      <c r="AD45" s="97">
        <v>0</v>
      </c>
      <c r="AE45" s="92">
        <v>0</v>
      </c>
      <c r="AF45" s="98">
        <f t="shared" si="2"/>
        <v>0</v>
      </c>
      <c r="AG45" s="97">
        <v>0</v>
      </c>
      <c r="AH45" s="92">
        <v>0</v>
      </c>
      <c r="AI45" s="98">
        <f t="shared" si="3"/>
        <v>0</v>
      </c>
      <c r="AJ45" s="99">
        <f t="shared" si="1"/>
        <v>0</v>
      </c>
      <c r="AK45" s="102" t="str">
        <f>+IF(X45+W45+AJ45&lt;=0, "NO COMPRADOR", +IF(AJ45&lt;=0, "SIN COMPRA "&amp;+UPPER(TEXT('DINAMICA ENERO 26'!$C$2,"mmm 'yy")), "COMPRADOR"))</f>
        <v>NO COMPRADOR</v>
      </c>
      <c r="AL45" s="100"/>
      <c r="AM45" s="101"/>
      <c r="AN45" s="100"/>
      <c r="AO45" s="100"/>
      <c r="AP45" s="100"/>
    </row>
    <row r="46" spans="1:42" s="100" customFormat="1">
      <c r="A46" s="88" t="s">
        <v>85</v>
      </c>
      <c r="B46" s="89" t="s">
        <v>120</v>
      </c>
      <c r="C46" s="89" t="s">
        <v>52</v>
      </c>
      <c r="D46" s="103">
        <v>100088149</v>
      </c>
      <c r="E46" s="89" t="s">
        <v>56</v>
      </c>
      <c r="F46" s="89">
        <v>100010026</v>
      </c>
      <c r="G46" s="128" t="s">
        <v>134</v>
      </c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 s="93">
        <v>40.799999999999997</v>
      </c>
      <c r="X46" s="129">
        <v>40.799999999999997</v>
      </c>
      <c r="Y46" s="93">
        <v>0</v>
      </c>
      <c r="Z46" s="129">
        <v>0</v>
      </c>
      <c r="AA46" s="155">
        <f t="shared" si="0"/>
        <v>20.399999999999999</v>
      </c>
      <c r="AB46" s="98">
        <f t="shared" si="0"/>
        <v>20.399999999999999</v>
      </c>
      <c r="AC46"/>
      <c r="AD46" s="97">
        <v>0</v>
      </c>
      <c r="AE46" s="92">
        <v>0</v>
      </c>
      <c r="AF46" s="98">
        <f t="shared" si="2"/>
        <v>0</v>
      </c>
      <c r="AG46" s="97">
        <v>0</v>
      </c>
      <c r="AH46" s="92">
        <v>0</v>
      </c>
      <c r="AI46" s="98">
        <f t="shared" si="3"/>
        <v>0</v>
      </c>
      <c r="AJ46" s="99">
        <f t="shared" si="1"/>
        <v>0</v>
      </c>
      <c r="AK46" s="102" t="str">
        <f>+IF(X46+W46+AJ46&lt;=0, "NO COMPRADOR", +IF(AJ46&lt;=0, "SIN COMPRA "&amp;+UPPER(TEXT('DINAMICA ENERO 26'!$C$2,"mmm 'yy")), "COMPRADOR"))</f>
        <v>SIN COMPRA FEB '26</v>
      </c>
      <c r="AM46" s="101"/>
    </row>
    <row r="47" spans="1:42" s="100" customFormat="1">
      <c r="A47" s="88" t="s">
        <v>85</v>
      </c>
      <c r="B47" s="89" t="s">
        <v>120</v>
      </c>
      <c r="C47" s="89" t="s">
        <v>52</v>
      </c>
      <c r="D47" s="103">
        <v>100088149</v>
      </c>
      <c r="E47" s="89" t="s">
        <v>56</v>
      </c>
      <c r="F47" s="89">
        <v>100064492</v>
      </c>
      <c r="G47" s="128" t="s">
        <v>135</v>
      </c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 s="93">
        <v>0</v>
      </c>
      <c r="X47" s="129">
        <v>0</v>
      </c>
      <c r="Y47" s="93">
        <v>0</v>
      </c>
      <c r="Z47" s="129">
        <v>0</v>
      </c>
      <c r="AA47" s="155">
        <f t="shared" si="0"/>
        <v>0</v>
      </c>
      <c r="AB47" s="98">
        <f t="shared" si="0"/>
        <v>0</v>
      </c>
      <c r="AC47"/>
      <c r="AD47" s="97">
        <v>0</v>
      </c>
      <c r="AE47" s="92">
        <v>0</v>
      </c>
      <c r="AF47" s="98">
        <f t="shared" si="2"/>
        <v>0</v>
      </c>
      <c r="AG47" s="97">
        <v>0</v>
      </c>
      <c r="AH47" s="92">
        <v>0</v>
      </c>
      <c r="AI47" s="98">
        <f t="shared" si="3"/>
        <v>0</v>
      </c>
      <c r="AJ47" s="99">
        <f t="shared" si="1"/>
        <v>0</v>
      </c>
      <c r="AK47" s="102" t="str">
        <f>+IF(X47+W47+AJ47&lt;=0, "NO COMPRADOR", +IF(AJ47&lt;=0, "SIN COMPRA "&amp;+UPPER(TEXT('DINAMICA ENERO 26'!$C$2,"mmm 'yy")), "COMPRADOR"))</f>
        <v>NO COMPRADOR</v>
      </c>
      <c r="AM47" s="101"/>
    </row>
    <row r="48" spans="1:42" s="100" customFormat="1">
      <c r="A48" s="88" t="s">
        <v>85</v>
      </c>
      <c r="B48" s="89" t="s">
        <v>120</v>
      </c>
      <c r="C48" s="89" t="s">
        <v>52</v>
      </c>
      <c r="D48" s="103">
        <v>100088149</v>
      </c>
      <c r="E48" s="89" t="s">
        <v>56</v>
      </c>
      <c r="F48" s="89">
        <v>100084428</v>
      </c>
      <c r="G48" s="128" t="s">
        <v>136</v>
      </c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 s="93">
        <v>40.799999999999997</v>
      </c>
      <c r="X48" s="129">
        <v>40.799999999999997</v>
      </c>
      <c r="Y48" s="93">
        <v>40.799999999999997</v>
      </c>
      <c r="Z48" s="129">
        <v>40.799999999999997</v>
      </c>
      <c r="AA48" s="155">
        <f t="shared" si="0"/>
        <v>40.799999999999997</v>
      </c>
      <c r="AB48" s="98">
        <f t="shared" si="0"/>
        <v>40.799999999999997</v>
      </c>
      <c r="AC48"/>
      <c r="AD48" s="97">
        <v>0</v>
      </c>
      <c r="AE48" s="92">
        <v>0</v>
      </c>
      <c r="AF48" s="98">
        <f t="shared" si="2"/>
        <v>0</v>
      </c>
      <c r="AG48" s="97">
        <v>0</v>
      </c>
      <c r="AH48" s="92">
        <v>0</v>
      </c>
      <c r="AI48" s="98">
        <f t="shared" si="3"/>
        <v>0</v>
      </c>
      <c r="AJ48" s="99">
        <f t="shared" si="1"/>
        <v>0</v>
      </c>
      <c r="AK48" s="102" t="str">
        <f>+IF(X48+W48+AJ48&lt;=0, "NO COMPRADOR", +IF(AJ48&lt;=0, "SIN COMPRA "&amp;+UPPER(TEXT('DINAMICA ENERO 26'!$C$2,"mmm 'yy")), "COMPRADOR"))</f>
        <v>SIN COMPRA FEB '26</v>
      </c>
      <c r="AM48" s="101"/>
    </row>
    <row r="49" spans="1:42" s="100" customFormat="1">
      <c r="A49" s="88" t="s">
        <v>85</v>
      </c>
      <c r="B49" s="89" t="s">
        <v>120</v>
      </c>
      <c r="C49" s="89" t="s">
        <v>52</v>
      </c>
      <c r="D49" s="103">
        <v>100088149</v>
      </c>
      <c r="E49" s="89" t="s">
        <v>56</v>
      </c>
      <c r="F49" s="89">
        <v>100088143</v>
      </c>
      <c r="G49" s="128" t="s">
        <v>137</v>
      </c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 s="93">
        <v>0</v>
      </c>
      <c r="X49" s="129">
        <v>0</v>
      </c>
      <c r="Y49" s="93">
        <v>0</v>
      </c>
      <c r="Z49" s="129">
        <v>0</v>
      </c>
      <c r="AA49" s="155">
        <f t="shared" si="0"/>
        <v>0</v>
      </c>
      <c r="AB49" s="98">
        <f t="shared" si="0"/>
        <v>0</v>
      </c>
      <c r="AC49"/>
      <c r="AD49" s="97">
        <v>0</v>
      </c>
      <c r="AE49" s="92">
        <v>0</v>
      </c>
      <c r="AF49" s="98">
        <f t="shared" si="2"/>
        <v>0</v>
      </c>
      <c r="AG49" s="97">
        <v>0</v>
      </c>
      <c r="AH49" s="92">
        <v>0</v>
      </c>
      <c r="AI49" s="98">
        <f t="shared" si="3"/>
        <v>0</v>
      </c>
      <c r="AJ49" s="99">
        <f t="shared" si="1"/>
        <v>0</v>
      </c>
      <c r="AK49" s="102" t="str">
        <f>+IF(X49+W49+AJ49&lt;=0, "NO COMPRADOR", +IF(AJ49&lt;=0, "SIN COMPRA "&amp;+UPPER(TEXT('DINAMICA ENERO 26'!$C$2,"mmm 'yy")), "COMPRADOR"))</f>
        <v>NO COMPRADOR</v>
      </c>
      <c r="AM49" s="101"/>
    </row>
    <row r="50" spans="1:42" s="100" customFormat="1">
      <c r="A50" s="88" t="s">
        <v>85</v>
      </c>
      <c r="B50" s="89" t="s">
        <v>120</v>
      </c>
      <c r="C50" s="89" t="s">
        <v>52</v>
      </c>
      <c r="D50" s="103">
        <v>100088149</v>
      </c>
      <c r="E50" s="89" t="s">
        <v>56</v>
      </c>
      <c r="F50" s="89">
        <v>100069360</v>
      </c>
      <c r="G50" s="128" t="s">
        <v>138</v>
      </c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 s="93">
        <v>8.16</v>
      </c>
      <c r="X50" s="129">
        <v>8.16</v>
      </c>
      <c r="Y50" s="93">
        <v>48.959999999999994</v>
      </c>
      <c r="Z50" s="129">
        <v>48.959999999999994</v>
      </c>
      <c r="AA50" s="155">
        <f t="shared" si="0"/>
        <v>28.559999999999995</v>
      </c>
      <c r="AB50" s="98">
        <f t="shared" si="0"/>
        <v>28.559999999999995</v>
      </c>
      <c r="AC50"/>
      <c r="AD50" s="97">
        <v>0</v>
      </c>
      <c r="AE50" s="92">
        <v>0</v>
      </c>
      <c r="AF50" s="98">
        <f t="shared" si="2"/>
        <v>0</v>
      </c>
      <c r="AG50" s="97">
        <v>0</v>
      </c>
      <c r="AH50" s="92">
        <v>0</v>
      </c>
      <c r="AI50" s="98">
        <f t="shared" si="3"/>
        <v>0</v>
      </c>
      <c r="AJ50" s="99">
        <f t="shared" si="1"/>
        <v>0</v>
      </c>
      <c r="AK50" s="102" t="str">
        <f>+IF(X50+W50+AJ50&lt;=0, "NO COMPRADOR", +IF(AJ50&lt;=0, "SIN COMPRA "&amp;+UPPER(TEXT('DINAMICA ENERO 26'!$C$2,"mmm 'yy")), "COMPRADOR"))</f>
        <v>SIN COMPRA FEB '26</v>
      </c>
      <c r="AM50" s="101"/>
    </row>
    <row r="51" spans="1:42" s="100" customFormat="1">
      <c r="A51" s="88" t="s">
        <v>85</v>
      </c>
      <c r="B51" s="89" t="s">
        <v>120</v>
      </c>
      <c r="C51" s="89" t="s">
        <v>52</v>
      </c>
      <c r="D51" s="103">
        <v>100088149</v>
      </c>
      <c r="E51" s="89" t="s">
        <v>56</v>
      </c>
      <c r="F51" s="89">
        <v>100022632</v>
      </c>
      <c r="G51" s="128" t="s">
        <v>139</v>
      </c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 s="93">
        <v>40.799999999999997</v>
      </c>
      <c r="X51" s="129">
        <v>40.799999999999997</v>
      </c>
      <c r="Y51" s="93">
        <v>0</v>
      </c>
      <c r="Z51" s="129">
        <v>0</v>
      </c>
      <c r="AA51" s="155">
        <f t="shared" si="0"/>
        <v>20.399999999999999</v>
      </c>
      <c r="AB51" s="98">
        <f t="shared" si="0"/>
        <v>20.399999999999999</v>
      </c>
      <c r="AC51"/>
      <c r="AD51" s="97">
        <v>0</v>
      </c>
      <c r="AE51" s="92">
        <v>0</v>
      </c>
      <c r="AF51" s="98">
        <f t="shared" si="2"/>
        <v>0</v>
      </c>
      <c r="AG51" s="97">
        <v>0</v>
      </c>
      <c r="AH51" s="92">
        <v>0</v>
      </c>
      <c r="AI51" s="98">
        <f t="shared" si="3"/>
        <v>0</v>
      </c>
      <c r="AJ51" s="99">
        <f t="shared" si="1"/>
        <v>0</v>
      </c>
      <c r="AK51" s="102" t="str">
        <f>+IF(X51+W51+AJ51&lt;=0, "NO COMPRADOR", +IF(AJ51&lt;=0, "SIN COMPRA "&amp;+UPPER(TEXT('DINAMICA ENERO 26'!$C$2,"mmm 'yy")), "COMPRADOR"))</f>
        <v>SIN COMPRA FEB '26</v>
      </c>
      <c r="AM51" s="101"/>
    </row>
    <row r="52" spans="1:42" s="104" customFormat="1">
      <c r="A52" s="88" t="s">
        <v>85</v>
      </c>
      <c r="B52" s="89" t="s">
        <v>120</v>
      </c>
      <c r="C52" s="89" t="s">
        <v>52</v>
      </c>
      <c r="D52" s="103">
        <v>100088149</v>
      </c>
      <c r="E52" s="89" t="s">
        <v>56</v>
      </c>
      <c r="F52" s="89">
        <v>100089326</v>
      </c>
      <c r="G52" s="128" t="s">
        <v>140</v>
      </c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 s="93">
        <v>179.52</v>
      </c>
      <c r="X52" s="129">
        <v>179.52</v>
      </c>
      <c r="Y52" s="93">
        <v>0</v>
      </c>
      <c r="Z52" s="129">
        <v>0</v>
      </c>
      <c r="AA52" s="155">
        <f t="shared" si="0"/>
        <v>89.76</v>
      </c>
      <c r="AB52" s="98">
        <f t="shared" si="0"/>
        <v>89.76</v>
      </c>
      <c r="AC52"/>
      <c r="AD52" s="97">
        <v>0</v>
      </c>
      <c r="AE52" s="92">
        <v>0</v>
      </c>
      <c r="AF52" s="98">
        <f t="shared" si="2"/>
        <v>0</v>
      </c>
      <c r="AG52" s="97">
        <v>0</v>
      </c>
      <c r="AH52" s="92">
        <v>0</v>
      </c>
      <c r="AI52" s="98">
        <f t="shared" si="3"/>
        <v>0</v>
      </c>
      <c r="AJ52" s="99">
        <f t="shared" si="1"/>
        <v>0</v>
      </c>
      <c r="AK52" s="102" t="str">
        <f>+IF(X52+W52+AJ52&lt;=0, "NO COMPRADOR", +IF(AJ52&lt;=0, "SIN COMPRA "&amp;+UPPER(TEXT('DINAMICA ENERO 26'!$C$2,"mmm 'yy")), "COMPRADOR"))</f>
        <v>SIN COMPRA FEB '26</v>
      </c>
      <c r="AL52" s="100"/>
      <c r="AM52" s="101"/>
      <c r="AN52" s="100"/>
      <c r="AO52" s="100"/>
      <c r="AP52" s="100"/>
    </row>
    <row r="53" spans="1:42" s="100" customFormat="1">
      <c r="A53" s="88" t="s">
        <v>85</v>
      </c>
      <c r="B53" s="89" t="s">
        <v>120</v>
      </c>
      <c r="C53" s="89" t="s">
        <v>52</v>
      </c>
      <c r="D53" s="103">
        <v>100088149</v>
      </c>
      <c r="E53" s="89" t="s">
        <v>56</v>
      </c>
      <c r="F53" s="89">
        <v>100001380</v>
      </c>
      <c r="G53" s="128" t="s">
        <v>141</v>
      </c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 s="93">
        <v>16.32</v>
      </c>
      <c r="X53" s="129">
        <v>16.32</v>
      </c>
      <c r="Y53" s="93">
        <v>16.32</v>
      </c>
      <c r="Z53" s="129">
        <v>48.96</v>
      </c>
      <c r="AA53" s="155">
        <f t="shared" si="0"/>
        <v>16.32</v>
      </c>
      <c r="AB53" s="98">
        <f t="shared" si="0"/>
        <v>32.64</v>
      </c>
      <c r="AC53"/>
      <c r="AD53" s="97">
        <v>0</v>
      </c>
      <c r="AE53" s="92">
        <v>0</v>
      </c>
      <c r="AF53" s="98">
        <f t="shared" si="2"/>
        <v>0</v>
      </c>
      <c r="AG53" s="97">
        <v>16.32</v>
      </c>
      <c r="AH53" s="92">
        <v>0</v>
      </c>
      <c r="AI53" s="98">
        <f t="shared" si="3"/>
        <v>16.32</v>
      </c>
      <c r="AJ53" s="99">
        <f t="shared" si="1"/>
        <v>16.32</v>
      </c>
      <c r="AK53" s="102" t="str">
        <f>+IF(X53+W53+AJ53&lt;=0, "NO COMPRADOR", +IF(AJ53&lt;=0, "SIN COMPRA "&amp;+UPPER(TEXT('DINAMICA ENERO 26'!$C$2,"mmm 'yy")), "COMPRADOR"))</f>
        <v>COMPRADOR</v>
      </c>
      <c r="AM53" s="101"/>
    </row>
    <row r="54" spans="1:42" s="100" customFormat="1">
      <c r="A54" s="88" t="s">
        <v>85</v>
      </c>
      <c r="B54" s="89" t="s">
        <v>120</v>
      </c>
      <c r="C54" s="89" t="s">
        <v>52</v>
      </c>
      <c r="D54" s="103">
        <v>100079515</v>
      </c>
      <c r="E54" s="89" t="s">
        <v>53</v>
      </c>
      <c r="F54" s="89">
        <v>100070470</v>
      </c>
      <c r="G54" s="128" t="s">
        <v>142</v>
      </c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 s="93">
        <v>89.759999999999991</v>
      </c>
      <c r="X54" s="129">
        <v>89.759999999999991</v>
      </c>
      <c r="Y54" s="93">
        <v>269.28000000000003</v>
      </c>
      <c r="Z54" s="129">
        <v>179.52</v>
      </c>
      <c r="AA54" s="155">
        <f t="shared" si="0"/>
        <v>179.52</v>
      </c>
      <c r="AB54" s="98">
        <f t="shared" si="0"/>
        <v>134.63999999999999</v>
      </c>
      <c r="AC54"/>
      <c r="AD54" s="97">
        <v>-16.32</v>
      </c>
      <c r="AE54" s="92">
        <v>0</v>
      </c>
      <c r="AF54" s="98">
        <f t="shared" si="2"/>
        <v>-16.32</v>
      </c>
      <c r="AG54" s="97">
        <v>0</v>
      </c>
      <c r="AH54" s="92">
        <v>0</v>
      </c>
      <c r="AI54" s="98">
        <f t="shared" si="3"/>
        <v>0</v>
      </c>
      <c r="AJ54" s="99">
        <f t="shared" si="1"/>
        <v>-16.32</v>
      </c>
      <c r="AK54" s="102" t="str">
        <f>+IF(X54+W54+AJ54&lt;=0, "NO COMPRADOR", +IF(AJ54&lt;=0, "SIN COMPRA "&amp;+UPPER(TEXT('DINAMICA ENERO 26'!$C$2,"mmm 'yy")), "COMPRADOR"))</f>
        <v>SIN COMPRA FEB '26</v>
      </c>
      <c r="AM54" s="101"/>
    </row>
    <row r="55" spans="1:42" s="104" customFormat="1">
      <c r="A55" s="88" t="s">
        <v>85</v>
      </c>
      <c r="B55" s="89" t="s">
        <v>120</v>
      </c>
      <c r="C55" s="89" t="s">
        <v>52</v>
      </c>
      <c r="D55" s="103">
        <v>100079515</v>
      </c>
      <c r="E55" s="89" t="s">
        <v>53</v>
      </c>
      <c r="F55" s="89">
        <v>100082270</v>
      </c>
      <c r="G55" s="128" t="s">
        <v>143</v>
      </c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 s="93">
        <v>40.799999999999997</v>
      </c>
      <c r="X55" s="129">
        <v>40.799999999999997</v>
      </c>
      <c r="Y55" s="93">
        <v>0</v>
      </c>
      <c r="Z55" s="129">
        <v>0</v>
      </c>
      <c r="AA55" s="155">
        <f t="shared" si="0"/>
        <v>20.399999999999999</v>
      </c>
      <c r="AB55" s="98">
        <f t="shared" si="0"/>
        <v>20.399999999999999</v>
      </c>
      <c r="AC55"/>
      <c r="AD55" s="97">
        <v>40.799999999999997</v>
      </c>
      <c r="AE55" s="92">
        <v>0</v>
      </c>
      <c r="AF55" s="98">
        <f t="shared" si="2"/>
        <v>40.799999999999997</v>
      </c>
      <c r="AG55" s="97">
        <v>40.799999999999997</v>
      </c>
      <c r="AH55" s="92">
        <v>0</v>
      </c>
      <c r="AI55" s="98">
        <f t="shared" si="3"/>
        <v>40.799999999999997</v>
      </c>
      <c r="AJ55" s="99">
        <f t="shared" si="1"/>
        <v>81.599999999999994</v>
      </c>
      <c r="AK55" s="102" t="str">
        <f>+IF(X55+W55+AJ55&lt;=0, "NO COMPRADOR", +IF(AJ55&lt;=0, "SIN COMPRA "&amp;+UPPER(TEXT('DINAMICA ENERO 26'!$C$2,"mmm 'yy")), "COMPRADOR"))</f>
        <v>COMPRADOR</v>
      </c>
      <c r="AL55" s="100"/>
      <c r="AM55" s="101"/>
      <c r="AN55" s="100"/>
      <c r="AO55" s="100"/>
      <c r="AP55" s="100"/>
    </row>
    <row r="56" spans="1:42" s="100" customFormat="1">
      <c r="A56" s="88" t="s">
        <v>85</v>
      </c>
      <c r="B56" s="89" t="s">
        <v>120</v>
      </c>
      <c r="C56" s="89" t="s">
        <v>52</v>
      </c>
      <c r="D56" s="103">
        <v>100079515</v>
      </c>
      <c r="E56" s="89" t="s">
        <v>53</v>
      </c>
      <c r="F56" s="89">
        <v>100080489</v>
      </c>
      <c r="G56" s="128" t="s">
        <v>144</v>
      </c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 s="93">
        <v>89.76</v>
      </c>
      <c r="X56" s="129">
        <v>89.76</v>
      </c>
      <c r="Y56" s="93">
        <v>179.52</v>
      </c>
      <c r="Z56" s="129">
        <v>179.52</v>
      </c>
      <c r="AA56" s="155">
        <f t="shared" si="0"/>
        <v>134.64000000000001</v>
      </c>
      <c r="AB56" s="98">
        <f t="shared" si="0"/>
        <v>134.64000000000001</v>
      </c>
      <c r="AC56"/>
      <c r="AD56" s="97">
        <v>0</v>
      </c>
      <c r="AE56" s="92">
        <v>0</v>
      </c>
      <c r="AF56" s="98">
        <f t="shared" si="2"/>
        <v>0</v>
      </c>
      <c r="AG56" s="97">
        <v>0</v>
      </c>
      <c r="AH56" s="92">
        <v>0</v>
      </c>
      <c r="AI56" s="98">
        <f t="shared" si="3"/>
        <v>0</v>
      </c>
      <c r="AJ56" s="99">
        <f t="shared" si="1"/>
        <v>0</v>
      </c>
      <c r="AK56" s="102" t="str">
        <f>+IF(X56+W56+AJ56&lt;=0, "NO COMPRADOR", +IF(AJ56&lt;=0, "SIN COMPRA "&amp;+UPPER(TEXT('DINAMICA ENERO 26'!$C$2,"mmm 'yy")), "COMPRADOR"))</f>
        <v>SIN COMPRA FEB '26</v>
      </c>
      <c r="AM56" s="101"/>
    </row>
    <row r="57" spans="1:42" s="104" customFormat="1">
      <c r="A57" s="88" t="s">
        <v>85</v>
      </c>
      <c r="B57" s="89" t="s">
        <v>120</v>
      </c>
      <c r="C57" s="89" t="s">
        <v>52</v>
      </c>
      <c r="D57" s="103">
        <v>100079515</v>
      </c>
      <c r="E57" s="89" t="s">
        <v>53</v>
      </c>
      <c r="F57" s="89">
        <v>100080370</v>
      </c>
      <c r="G57" s="128" t="s">
        <v>145</v>
      </c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 s="93">
        <v>8.16</v>
      </c>
      <c r="X57" s="129">
        <v>8.16</v>
      </c>
      <c r="Y57" s="93">
        <v>0</v>
      </c>
      <c r="Z57" s="129">
        <v>0</v>
      </c>
      <c r="AA57" s="155">
        <f t="shared" si="0"/>
        <v>4.08</v>
      </c>
      <c r="AB57" s="98">
        <f t="shared" si="0"/>
        <v>4.08</v>
      </c>
      <c r="AC57"/>
      <c r="AD57" s="97">
        <v>8.16</v>
      </c>
      <c r="AE57" s="92">
        <v>0</v>
      </c>
      <c r="AF57" s="98">
        <f t="shared" si="2"/>
        <v>8.16</v>
      </c>
      <c r="AG57" s="97">
        <v>8.16</v>
      </c>
      <c r="AH57" s="92">
        <v>0</v>
      </c>
      <c r="AI57" s="98">
        <f t="shared" si="3"/>
        <v>8.16</v>
      </c>
      <c r="AJ57" s="99">
        <f t="shared" si="1"/>
        <v>16.32</v>
      </c>
      <c r="AK57" s="102" t="str">
        <f>+IF(X57+W57+AJ57&lt;=0, "NO COMPRADOR", +IF(AJ57&lt;=0, "SIN COMPRA "&amp;+UPPER(TEXT('DINAMICA ENERO 26'!$C$2,"mmm 'yy")), "COMPRADOR"))</f>
        <v>COMPRADOR</v>
      </c>
      <c r="AL57" s="100"/>
      <c r="AM57" s="101"/>
      <c r="AN57" s="100"/>
      <c r="AO57" s="100"/>
      <c r="AP57" s="100"/>
    </row>
    <row r="58" spans="1:42" s="100" customFormat="1">
      <c r="A58" s="88" t="s">
        <v>85</v>
      </c>
      <c r="B58" s="89" t="s">
        <v>120</v>
      </c>
      <c r="C58" s="89" t="s">
        <v>52</v>
      </c>
      <c r="D58" s="103">
        <v>100079515</v>
      </c>
      <c r="E58" s="89" t="s">
        <v>53</v>
      </c>
      <c r="F58" s="89">
        <v>100083809</v>
      </c>
      <c r="G58" s="128" t="s">
        <v>146</v>
      </c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 s="93">
        <v>0</v>
      </c>
      <c r="X58" s="129">
        <v>0</v>
      </c>
      <c r="Y58" s="93">
        <v>0</v>
      </c>
      <c r="Z58" s="129">
        <v>0</v>
      </c>
      <c r="AA58" s="155">
        <f t="shared" si="0"/>
        <v>0</v>
      </c>
      <c r="AB58" s="98">
        <f t="shared" si="0"/>
        <v>0</v>
      </c>
      <c r="AC58"/>
      <c r="AD58" s="97">
        <v>0</v>
      </c>
      <c r="AE58" s="92">
        <v>0</v>
      </c>
      <c r="AF58" s="98">
        <f t="shared" si="2"/>
        <v>0</v>
      </c>
      <c r="AG58" s="97">
        <v>0</v>
      </c>
      <c r="AH58" s="92">
        <v>0</v>
      </c>
      <c r="AI58" s="98">
        <f t="shared" si="3"/>
        <v>0</v>
      </c>
      <c r="AJ58" s="99">
        <f t="shared" si="1"/>
        <v>0</v>
      </c>
      <c r="AK58" s="102" t="str">
        <f>+IF(X58+W58+AJ58&lt;=0, "NO COMPRADOR", +IF(AJ58&lt;=0, "SIN COMPRA "&amp;+UPPER(TEXT('DINAMICA ENERO 26'!$C$2,"mmm 'yy")), "COMPRADOR"))</f>
        <v>NO COMPRADOR</v>
      </c>
      <c r="AM58" s="101"/>
    </row>
    <row r="59" spans="1:42" s="100" customFormat="1">
      <c r="A59" s="88" t="s">
        <v>85</v>
      </c>
      <c r="B59" s="89" t="s">
        <v>120</v>
      </c>
      <c r="C59" s="89" t="s">
        <v>52</v>
      </c>
      <c r="D59" s="103">
        <v>100079515</v>
      </c>
      <c r="E59" s="89" t="s">
        <v>53</v>
      </c>
      <c r="F59" s="89">
        <v>100082448</v>
      </c>
      <c r="G59" s="128" t="s">
        <v>147</v>
      </c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 s="93">
        <v>0</v>
      </c>
      <c r="X59" s="129">
        <v>0</v>
      </c>
      <c r="Y59" s="93">
        <v>0</v>
      </c>
      <c r="Z59" s="129">
        <v>0</v>
      </c>
      <c r="AA59" s="155">
        <f t="shared" si="0"/>
        <v>0</v>
      </c>
      <c r="AB59" s="98">
        <f t="shared" si="0"/>
        <v>0</v>
      </c>
      <c r="AC59"/>
      <c r="AD59" s="97">
        <v>0</v>
      </c>
      <c r="AE59" s="92">
        <v>0</v>
      </c>
      <c r="AF59" s="98">
        <f t="shared" si="2"/>
        <v>0</v>
      </c>
      <c r="AG59" s="97">
        <v>0</v>
      </c>
      <c r="AH59" s="92">
        <v>0</v>
      </c>
      <c r="AI59" s="98">
        <f t="shared" si="3"/>
        <v>0</v>
      </c>
      <c r="AJ59" s="99">
        <f t="shared" si="1"/>
        <v>0</v>
      </c>
      <c r="AK59" s="102" t="str">
        <f>+IF(X59+W59+AJ59&lt;=0, "NO COMPRADOR", +IF(AJ59&lt;=0, "SIN COMPRA "&amp;+UPPER(TEXT('DINAMICA ENERO 26'!$C$2,"mmm 'yy")), "COMPRADOR"))</f>
        <v>NO COMPRADOR</v>
      </c>
      <c r="AM59" s="101"/>
    </row>
    <row r="60" spans="1:42" s="100" customFormat="1">
      <c r="A60" s="88" t="s">
        <v>85</v>
      </c>
      <c r="B60" s="89" t="s">
        <v>120</v>
      </c>
      <c r="C60" s="89" t="s">
        <v>52</v>
      </c>
      <c r="D60" s="103">
        <v>100079515</v>
      </c>
      <c r="E60" s="89" t="s">
        <v>53</v>
      </c>
      <c r="F60" s="89">
        <v>100079845</v>
      </c>
      <c r="G60" s="128" t="s">
        <v>148</v>
      </c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 s="93">
        <v>40.799999999999997</v>
      </c>
      <c r="X60" s="129">
        <v>40.799999999999997</v>
      </c>
      <c r="Y60" s="93">
        <v>65.28</v>
      </c>
      <c r="Z60" s="129">
        <v>81.599999999999994</v>
      </c>
      <c r="AA60" s="155">
        <f t="shared" si="0"/>
        <v>53.04</v>
      </c>
      <c r="AB60" s="98">
        <f t="shared" si="0"/>
        <v>61.199999999999996</v>
      </c>
      <c r="AC60"/>
      <c r="AD60" s="97">
        <v>0</v>
      </c>
      <c r="AE60" s="92">
        <v>0</v>
      </c>
      <c r="AF60" s="98">
        <f t="shared" si="2"/>
        <v>0</v>
      </c>
      <c r="AG60" s="97">
        <v>0</v>
      </c>
      <c r="AH60" s="92">
        <v>0</v>
      </c>
      <c r="AI60" s="98">
        <f t="shared" si="3"/>
        <v>0</v>
      </c>
      <c r="AJ60" s="99">
        <f t="shared" si="1"/>
        <v>0</v>
      </c>
      <c r="AK60" s="102" t="str">
        <f>+IF(X60+W60+AJ60&lt;=0, "NO COMPRADOR", +IF(AJ60&lt;=0, "SIN COMPRA "&amp;+UPPER(TEXT('DINAMICA ENERO 26'!$C$2,"mmm 'yy")), "COMPRADOR"))</f>
        <v>SIN COMPRA FEB '26</v>
      </c>
      <c r="AM60" s="101"/>
    </row>
    <row r="61" spans="1:42" s="100" customFormat="1">
      <c r="A61" s="88" t="s">
        <v>85</v>
      </c>
      <c r="B61" s="89" t="s">
        <v>120</v>
      </c>
      <c r="C61" s="89" t="s">
        <v>52</v>
      </c>
      <c r="D61" s="103">
        <v>100079515</v>
      </c>
      <c r="E61" s="89" t="s">
        <v>53</v>
      </c>
      <c r="F61" s="89">
        <v>100002289</v>
      </c>
      <c r="G61" s="128" t="s">
        <v>149</v>
      </c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 s="93">
        <v>24.48</v>
      </c>
      <c r="X61" s="129">
        <v>24.48</v>
      </c>
      <c r="Y61" s="93">
        <v>0</v>
      </c>
      <c r="Z61" s="129">
        <v>40.799999999999997</v>
      </c>
      <c r="AA61" s="155">
        <f t="shared" si="0"/>
        <v>12.24</v>
      </c>
      <c r="AB61" s="98">
        <f t="shared" si="0"/>
        <v>32.64</v>
      </c>
      <c r="AC61"/>
      <c r="AD61" s="97">
        <v>16.32</v>
      </c>
      <c r="AE61" s="92">
        <v>0</v>
      </c>
      <c r="AF61" s="98">
        <f t="shared" si="2"/>
        <v>16.32</v>
      </c>
      <c r="AG61" s="97">
        <v>32.64</v>
      </c>
      <c r="AH61" s="92">
        <v>0</v>
      </c>
      <c r="AI61" s="98">
        <f t="shared" si="3"/>
        <v>32.64</v>
      </c>
      <c r="AJ61" s="99">
        <f t="shared" si="1"/>
        <v>48.96</v>
      </c>
      <c r="AK61" s="102" t="str">
        <f>+IF(X61+W61+AJ61&lt;=0, "NO COMPRADOR", +IF(AJ61&lt;=0, "SIN COMPRA "&amp;+UPPER(TEXT('DINAMICA ENERO 26'!$C$2,"mmm 'yy")), "COMPRADOR"))</f>
        <v>COMPRADOR</v>
      </c>
      <c r="AM61" s="101"/>
    </row>
    <row r="62" spans="1:42" s="104" customFormat="1">
      <c r="A62" s="88" t="s">
        <v>85</v>
      </c>
      <c r="B62" s="89" t="s">
        <v>120</v>
      </c>
      <c r="C62" s="89" t="s">
        <v>52</v>
      </c>
      <c r="D62" s="103">
        <v>100079515</v>
      </c>
      <c r="E62" s="89" t="s">
        <v>53</v>
      </c>
      <c r="F62" s="89">
        <v>100078959</v>
      </c>
      <c r="G62" s="128" t="s">
        <v>150</v>
      </c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 s="93">
        <v>8.16</v>
      </c>
      <c r="X62" s="129">
        <v>8.16</v>
      </c>
      <c r="Y62" s="93">
        <v>89.759999999999991</v>
      </c>
      <c r="Z62" s="129">
        <v>48.96</v>
      </c>
      <c r="AA62" s="155">
        <f t="shared" si="0"/>
        <v>48.959999999999994</v>
      </c>
      <c r="AB62" s="98">
        <f t="shared" si="0"/>
        <v>28.560000000000002</v>
      </c>
      <c r="AC62"/>
      <c r="AD62" s="97">
        <v>0</v>
      </c>
      <c r="AE62" s="92">
        <v>0</v>
      </c>
      <c r="AF62" s="98">
        <f t="shared" si="2"/>
        <v>0</v>
      </c>
      <c r="AG62" s="97">
        <v>0</v>
      </c>
      <c r="AH62" s="92">
        <v>0</v>
      </c>
      <c r="AI62" s="98">
        <f t="shared" si="3"/>
        <v>0</v>
      </c>
      <c r="AJ62" s="99">
        <f t="shared" si="1"/>
        <v>0</v>
      </c>
      <c r="AK62" s="102" t="str">
        <f>+IF(X62+W62+AJ62&lt;=0, "NO COMPRADOR", +IF(AJ62&lt;=0, "SIN COMPRA "&amp;+UPPER(TEXT('DINAMICA ENERO 26'!$C$2,"mmm 'yy")), "COMPRADOR"))</f>
        <v>SIN COMPRA FEB '26</v>
      </c>
      <c r="AL62" s="100"/>
      <c r="AM62" s="101"/>
      <c r="AN62" s="100"/>
      <c r="AO62" s="100"/>
      <c r="AP62" s="100"/>
    </row>
    <row r="63" spans="1:42" s="100" customFormat="1">
      <c r="A63" s="88" t="s">
        <v>85</v>
      </c>
      <c r="B63" s="89" t="s">
        <v>120</v>
      </c>
      <c r="C63" s="89" t="s">
        <v>52</v>
      </c>
      <c r="D63" s="103">
        <v>100079515</v>
      </c>
      <c r="E63" s="89" t="s">
        <v>53</v>
      </c>
      <c r="F63" s="89">
        <v>100084977</v>
      </c>
      <c r="G63" s="128" t="s">
        <v>151</v>
      </c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 s="93">
        <v>40.799999999999997</v>
      </c>
      <c r="X63" s="129">
        <v>40.799999999999997</v>
      </c>
      <c r="Y63" s="93">
        <v>16.32</v>
      </c>
      <c r="Z63" s="129">
        <v>16.32</v>
      </c>
      <c r="AA63" s="155">
        <f t="shared" si="0"/>
        <v>28.56</v>
      </c>
      <c r="AB63" s="98">
        <f t="shared" si="0"/>
        <v>28.56</v>
      </c>
      <c r="AC63"/>
      <c r="AD63" s="97">
        <v>0</v>
      </c>
      <c r="AE63" s="92">
        <v>0</v>
      </c>
      <c r="AF63" s="98">
        <f t="shared" si="2"/>
        <v>0</v>
      </c>
      <c r="AG63" s="97">
        <v>0</v>
      </c>
      <c r="AH63" s="92">
        <v>0</v>
      </c>
      <c r="AI63" s="98">
        <f t="shared" si="3"/>
        <v>0</v>
      </c>
      <c r="AJ63" s="99">
        <f t="shared" si="1"/>
        <v>0</v>
      </c>
      <c r="AK63" s="102" t="str">
        <f>+IF(X63+W63+AJ63&lt;=0, "NO COMPRADOR", +IF(AJ63&lt;=0, "SIN COMPRA "&amp;+UPPER(TEXT('DINAMICA ENERO 26'!$C$2,"mmm 'yy")), "COMPRADOR"))</f>
        <v>SIN COMPRA FEB '26</v>
      </c>
      <c r="AM63" s="101"/>
    </row>
    <row r="64" spans="1:42" s="100" customFormat="1">
      <c r="A64" s="88" t="s">
        <v>85</v>
      </c>
      <c r="B64" s="89" t="s">
        <v>120</v>
      </c>
      <c r="C64" s="89" t="s">
        <v>52</v>
      </c>
      <c r="D64" s="103">
        <v>100079515</v>
      </c>
      <c r="E64" s="89" t="s">
        <v>53</v>
      </c>
      <c r="F64" s="89">
        <v>100074170</v>
      </c>
      <c r="G64" s="128" t="s">
        <v>152</v>
      </c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 s="93">
        <v>81.599999999999994</v>
      </c>
      <c r="X64" s="129">
        <v>81.599999999999994</v>
      </c>
      <c r="Y64" s="93">
        <v>0</v>
      </c>
      <c r="Z64" s="129">
        <v>0</v>
      </c>
      <c r="AA64" s="155">
        <f t="shared" si="0"/>
        <v>40.799999999999997</v>
      </c>
      <c r="AB64" s="98">
        <f t="shared" si="0"/>
        <v>40.799999999999997</v>
      </c>
      <c r="AC64"/>
      <c r="AD64" s="97">
        <v>0</v>
      </c>
      <c r="AE64" s="92">
        <v>0</v>
      </c>
      <c r="AF64" s="98">
        <f t="shared" si="2"/>
        <v>0</v>
      </c>
      <c r="AG64" s="97">
        <v>0</v>
      </c>
      <c r="AH64" s="92">
        <v>0</v>
      </c>
      <c r="AI64" s="98">
        <f t="shared" si="3"/>
        <v>0</v>
      </c>
      <c r="AJ64" s="99">
        <f t="shared" si="1"/>
        <v>0</v>
      </c>
      <c r="AK64" s="102" t="str">
        <f>+IF(X64+W64+AJ64&lt;=0, "NO COMPRADOR", +IF(AJ64&lt;=0, "SIN COMPRA "&amp;+UPPER(TEXT('DINAMICA ENERO 26'!$C$2,"mmm 'yy")), "COMPRADOR"))</f>
        <v>SIN COMPRA FEB '26</v>
      </c>
      <c r="AM64" s="101"/>
    </row>
    <row r="65" spans="1:42" s="104" customFormat="1">
      <c r="A65" s="88" t="s">
        <v>85</v>
      </c>
      <c r="B65" s="89" t="s">
        <v>120</v>
      </c>
      <c r="C65" s="89" t="s">
        <v>52</v>
      </c>
      <c r="D65" s="103">
        <v>100079515</v>
      </c>
      <c r="E65" s="89" t="s">
        <v>53</v>
      </c>
      <c r="F65" s="89">
        <v>100087942</v>
      </c>
      <c r="G65" s="128" t="s">
        <v>153</v>
      </c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 s="93">
        <v>8.16</v>
      </c>
      <c r="X65" s="129">
        <v>8.16</v>
      </c>
      <c r="Y65" s="93">
        <v>0</v>
      </c>
      <c r="Z65" s="129">
        <v>0</v>
      </c>
      <c r="AA65" s="155">
        <f t="shared" si="0"/>
        <v>4.08</v>
      </c>
      <c r="AB65" s="98">
        <f t="shared" si="0"/>
        <v>4.08</v>
      </c>
      <c r="AC65"/>
      <c r="AD65" s="97">
        <v>0</v>
      </c>
      <c r="AE65" s="92">
        <v>0</v>
      </c>
      <c r="AF65" s="98">
        <f t="shared" si="2"/>
        <v>0</v>
      </c>
      <c r="AG65" s="97">
        <v>0</v>
      </c>
      <c r="AH65" s="92">
        <v>0</v>
      </c>
      <c r="AI65" s="98">
        <f t="shared" si="3"/>
        <v>0</v>
      </c>
      <c r="AJ65" s="99">
        <f t="shared" si="1"/>
        <v>0</v>
      </c>
      <c r="AK65" s="102" t="str">
        <f>+IF(X65+W65+AJ65&lt;=0, "NO COMPRADOR", +IF(AJ65&lt;=0, "SIN COMPRA "&amp;+UPPER(TEXT('DINAMICA ENERO 26'!$C$2,"mmm 'yy")), "COMPRADOR"))</f>
        <v>SIN COMPRA FEB '26</v>
      </c>
      <c r="AL65" s="100"/>
      <c r="AM65" s="101"/>
      <c r="AN65" s="100"/>
      <c r="AO65" s="100"/>
      <c r="AP65" s="100"/>
    </row>
    <row r="66" spans="1:42" s="100" customFormat="1">
      <c r="A66" s="88" t="s">
        <v>85</v>
      </c>
      <c r="B66" s="89" t="s">
        <v>120</v>
      </c>
      <c r="C66" s="89" t="s">
        <v>52</v>
      </c>
      <c r="D66" s="103">
        <v>100079515</v>
      </c>
      <c r="E66" s="89" t="s">
        <v>53</v>
      </c>
      <c r="F66" s="89">
        <v>100068357</v>
      </c>
      <c r="G66" s="128" t="s">
        <v>154</v>
      </c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 s="93">
        <v>8.16</v>
      </c>
      <c r="X66" s="129">
        <v>8.16</v>
      </c>
      <c r="Y66" s="93">
        <v>0</v>
      </c>
      <c r="Z66" s="129">
        <v>0</v>
      </c>
      <c r="AA66" s="155">
        <f t="shared" si="0"/>
        <v>4.08</v>
      </c>
      <c r="AB66" s="98">
        <f t="shared" si="0"/>
        <v>4.08</v>
      </c>
      <c r="AC66"/>
      <c r="AD66" s="97">
        <v>0</v>
      </c>
      <c r="AE66" s="92">
        <v>0</v>
      </c>
      <c r="AF66" s="98">
        <f t="shared" si="2"/>
        <v>0</v>
      </c>
      <c r="AG66" s="97">
        <v>0</v>
      </c>
      <c r="AH66" s="92">
        <v>0</v>
      </c>
      <c r="AI66" s="98">
        <f t="shared" si="3"/>
        <v>0</v>
      </c>
      <c r="AJ66" s="99">
        <f t="shared" si="1"/>
        <v>0</v>
      </c>
      <c r="AK66" s="102" t="str">
        <f>+IF(X66+W66+AJ66&lt;=0, "NO COMPRADOR", +IF(AJ66&lt;=0, "SIN COMPRA "&amp;+UPPER(TEXT('DINAMICA ENERO 26'!$C$2,"mmm 'yy")), "COMPRADOR"))</f>
        <v>SIN COMPRA FEB '26</v>
      </c>
      <c r="AM66" s="101"/>
    </row>
    <row r="67" spans="1:42" s="104" customFormat="1">
      <c r="A67" s="88" t="s">
        <v>85</v>
      </c>
      <c r="B67" s="89" t="s">
        <v>120</v>
      </c>
      <c r="C67" s="89" t="s">
        <v>52</v>
      </c>
      <c r="D67" s="103">
        <v>100079515</v>
      </c>
      <c r="E67" s="89" t="s">
        <v>53</v>
      </c>
      <c r="F67" s="89">
        <v>100001391</v>
      </c>
      <c r="G67" s="128" t="s">
        <v>155</v>
      </c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 s="93">
        <v>0</v>
      </c>
      <c r="X67" s="129">
        <v>0</v>
      </c>
      <c r="Y67" s="93">
        <v>0</v>
      </c>
      <c r="Z67" s="129">
        <v>0</v>
      </c>
      <c r="AA67" s="155">
        <f t="shared" ref="AA67:AB130" si="4">+AVERAGE(W67,Y67)</f>
        <v>0</v>
      </c>
      <c r="AB67" s="98">
        <f t="shared" si="4"/>
        <v>0</v>
      </c>
      <c r="AC67"/>
      <c r="AD67" s="97">
        <v>0</v>
      </c>
      <c r="AE67" s="92">
        <v>0</v>
      </c>
      <c r="AF67" s="98">
        <f t="shared" si="2"/>
        <v>0</v>
      </c>
      <c r="AG67" s="97">
        <v>0</v>
      </c>
      <c r="AH67" s="92">
        <v>0</v>
      </c>
      <c r="AI67" s="98">
        <f t="shared" si="3"/>
        <v>0</v>
      </c>
      <c r="AJ67" s="99">
        <f t="shared" ref="AJ67:AJ130" si="5">+AF67+AI67</f>
        <v>0</v>
      </c>
      <c r="AK67" s="102" t="str">
        <f>+IF(X67+W67+AJ67&lt;=0, "NO COMPRADOR", +IF(AJ67&lt;=0, "SIN COMPRA "&amp;+UPPER(TEXT('DINAMICA ENERO 26'!$C$2,"mmm 'yy")), "COMPRADOR"))</f>
        <v>NO COMPRADOR</v>
      </c>
      <c r="AL67" s="100"/>
      <c r="AM67" s="101"/>
      <c r="AN67" s="100"/>
      <c r="AO67" s="100"/>
      <c r="AP67" s="100"/>
    </row>
    <row r="68" spans="1:42" s="100" customFormat="1">
      <c r="A68" s="88" t="s">
        <v>85</v>
      </c>
      <c r="B68" s="89" t="s">
        <v>120</v>
      </c>
      <c r="C68" s="89" t="s">
        <v>52</v>
      </c>
      <c r="D68" s="103">
        <v>100079515</v>
      </c>
      <c r="E68" s="89" t="s">
        <v>53</v>
      </c>
      <c r="F68" s="89">
        <v>100085149</v>
      </c>
      <c r="G68" s="128" t="s">
        <v>156</v>
      </c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 s="93">
        <v>0</v>
      </c>
      <c r="X68" s="129">
        <v>0</v>
      </c>
      <c r="Y68" s="93">
        <v>0</v>
      </c>
      <c r="Z68" s="129">
        <v>0</v>
      </c>
      <c r="AA68" s="155">
        <f t="shared" si="4"/>
        <v>0</v>
      </c>
      <c r="AB68" s="98">
        <f t="shared" si="4"/>
        <v>0</v>
      </c>
      <c r="AC68"/>
      <c r="AD68" s="97">
        <v>0</v>
      </c>
      <c r="AE68" s="92">
        <v>0</v>
      </c>
      <c r="AF68" s="98">
        <f t="shared" ref="AF68:AF131" si="6">+AD68+AE68</f>
        <v>0</v>
      </c>
      <c r="AG68" s="97">
        <v>0</v>
      </c>
      <c r="AH68" s="92">
        <v>0</v>
      </c>
      <c r="AI68" s="98">
        <f t="shared" ref="AI68:AI131" si="7">+AG68+AH68</f>
        <v>0</v>
      </c>
      <c r="AJ68" s="99">
        <f t="shared" si="5"/>
        <v>0</v>
      </c>
      <c r="AK68" s="102" t="str">
        <f>+IF(X68+W68+AJ68&lt;=0, "NO COMPRADOR", +IF(AJ68&lt;=0, "SIN COMPRA "&amp;+UPPER(TEXT('DINAMICA ENERO 26'!$C$2,"mmm 'yy")), "COMPRADOR"))</f>
        <v>NO COMPRADOR</v>
      </c>
      <c r="AM68" s="101"/>
    </row>
    <row r="69" spans="1:42" s="100" customFormat="1">
      <c r="A69" s="88" t="s">
        <v>85</v>
      </c>
      <c r="B69" s="89" t="s">
        <v>157</v>
      </c>
      <c r="C69" s="89" t="s">
        <v>52</v>
      </c>
      <c r="D69" s="103">
        <v>100079674</v>
      </c>
      <c r="E69" s="89" t="s">
        <v>57</v>
      </c>
      <c r="F69" s="89">
        <v>100079807</v>
      </c>
      <c r="G69" s="128" t="s">
        <v>158</v>
      </c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 s="93">
        <v>8.16</v>
      </c>
      <c r="X69" s="129">
        <v>8.16</v>
      </c>
      <c r="Y69" s="93">
        <v>8.16</v>
      </c>
      <c r="Z69" s="129">
        <v>8.16</v>
      </c>
      <c r="AA69" s="155">
        <f t="shared" si="4"/>
        <v>8.16</v>
      </c>
      <c r="AB69" s="98">
        <f t="shared" si="4"/>
        <v>8.16</v>
      </c>
      <c r="AC69"/>
      <c r="AD69" s="97">
        <v>0</v>
      </c>
      <c r="AE69" s="92">
        <v>0</v>
      </c>
      <c r="AF69" s="98">
        <f t="shared" si="6"/>
        <v>0</v>
      </c>
      <c r="AG69" s="97">
        <v>0</v>
      </c>
      <c r="AH69" s="92">
        <v>0</v>
      </c>
      <c r="AI69" s="98">
        <f t="shared" si="7"/>
        <v>0</v>
      </c>
      <c r="AJ69" s="99">
        <f t="shared" si="5"/>
        <v>0</v>
      </c>
      <c r="AK69" s="102" t="str">
        <f>+IF(X69+W69+AJ69&lt;=0, "NO COMPRADOR", +IF(AJ69&lt;=0, "SIN COMPRA "&amp;+UPPER(TEXT('DINAMICA ENERO 26'!$C$2,"mmm 'yy")), "COMPRADOR"))</f>
        <v>SIN COMPRA FEB '26</v>
      </c>
      <c r="AM69" s="101"/>
    </row>
    <row r="70" spans="1:42" s="100" customFormat="1">
      <c r="A70" s="88" t="s">
        <v>85</v>
      </c>
      <c r="B70" s="89" t="s">
        <v>157</v>
      </c>
      <c r="C70" s="89" t="s">
        <v>52</v>
      </c>
      <c r="D70" s="103">
        <v>100079674</v>
      </c>
      <c r="E70" s="89" t="s">
        <v>57</v>
      </c>
      <c r="F70" s="89">
        <v>100086113</v>
      </c>
      <c r="G70" s="128" t="s">
        <v>159</v>
      </c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 s="93">
        <v>0</v>
      </c>
      <c r="X70" s="129">
        <v>0</v>
      </c>
      <c r="Y70" s="93">
        <v>0</v>
      </c>
      <c r="Z70" s="129">
        <v>0</v>
      </c>
      <c r="AA70" s="155">
        <f t="shared" si="4"/>
        <v>0</v>
      </c>
      <c r="AB70" s="98">
        <f t="shared" si="4"/>
        <v>0</v>
      </c>
      <c r="AC70"/>
      <c r="AD70" s="97">
        <v>0</v>
      </c>
      <c r="AE70" s="92">
        <v>0</v>
      </c>
      <c r="AF70" s="98">
        <f t="shared" si="6"/>
        <v>0</v>
      </c>
      <c r="AG70" s="97">
        <v>0</v>
      </c>
      <c r="AH70" s="92">
        <v>0</v>
      </c>
      <c r="AI70" s="98">
        <f t="shared" si="7"/>
        <v>0</v>
      </c>
      <c r="AJ70" s="99">
        <f t="shared" si="5"/>
        <v>0</v>
      </c>
      <c r="AK70" s="102" t="str">
        <f>+IF(X70+W70+AJ70&lt;=0, "NO COMPRADOR", +IF(AJ70&lt;=0, "SIN COMPRA "&amp;+UPPER(TEXT('DINAMICA ENERO 26'!$C$2,"mmm 'yy")), "COMPRADOR"))</f>
        <v>NO COMPRADOR</v>
      </c>
      <c r="AM70" s="101"/>
    </row>
    <row r="71" spans="1:42" s="100" customFormat="1">
      <c r="A71" s="88" t="s">
        <v>85</v>
      </c>
      <c r="B71" s="89" t="s">
        <v>157</v>
      </c>
      <c r="C71" s="89" t="s">
        <v>52</v>
      </c>
      <c r="D71" s="103">
        <v>100079674</v>
      </c>
      <c r="E71" s="89" t="s">
        <v>57</v>
      </c>
      <c r="F71" s="89">
        <v>100086648</v>
      </c>
      <c r="G71" s="128" t="s">
        <v>160</v>
      </c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 s="93">
        <v>0</v>
      </c>
      <c r="X71" s="129">
        <v>0</v>
      </c>
      <c r="Y71" s="93">
        <v>8.16</v>
      </c>
      <c r="Z71" s="129">
        <v>8.16</v>
      </c>
      <c r="AA71" s="155">
        <f t="shared" si="4"/>
        <v>4.08</v>
      </c>
      <c r="AB71" s="98">
        <f t="shared" si="4"/>
        <v>4.08</v>
      </c>
      <c r="AC71"/>
      <c r="AD71" s="97">
        <v>0</v>
      </c>
      <c r="AE71" s="92">
        <v>0</v>
      </c>
      <c r="AF71" s="98">
        <f t="shared" si="6"/>
        <v>0</v>
      </c>
      <c r="AG71" s="97">
        <v>0</v>
      </c>
      <c r="AH71" s="92">
        <v>0</v>
      </c>
      <c r="AI71" s="98">
        <f t="shared" si="7"/>
        <v>0</v>
      </c>
      <c r="AJ71" s="99">
        <f t="shared" si="5"/>
        <v>0</v>
      </c>
      <c r="AK71" s="102" t="str">
        <f>+IF(X71+W71+AJ71&lt;=0, "NO COMPRADOR", +IF(AJ71&lt;=0, "SIN COMPRA "&amp;+UPPER(TEXT('DINAMICA ENERO 26'!$C$2,"mmm 'yy")), "COMPRADOR"))</f>
        <v>NO COMPRADOR</v>
      </c>
      <c r="AM71" s="101"/>
    </row>
    <row r="72" spans="1:42" s="100" customFormat="1">
      <c r="A72" s="88" t="s">
        <v>85</v>
      </c>
      <c r="B72" s="89" t="s">
        <v>157</v>
      </c>
      <c r="C72" s="89" t="s">
        <v>52</v>
      </c>
      <c r="D72" s="103">
        <v>100079674</v>
      </c>
      <c r="E72" s="89" t="s">
        <v>57</v>
      </c>
      <c r="F72" s="89">
        <v>100085802</v>
      </c>
      <c r="G72" s="128" t="s">
        <v>161</v>
      </c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 s="93">
        <v>0</v>
      </c>
      <c r="X72" s="129">
        <v>0</v>
      </c>
      <c r="Y72" s="93">
        <v>0</v>
      </c>
      <c r="Z72" s="129">
        <v>0</v>
      </c>
      <c r="AA72" s="155">
        <f t="shared" si="4"/>
        <v>0</v>
      </c>
      <c r="AB72" s="98">
        <f t="shared" si="4"/>
        <v>0</v>
      </c>
      <c r="AC72"/>
      <c r="AD72" s="97">
        <v>0</v>
      </c>
      <c r="AE72" s="92">
        <v>0</v>
      </c>
      <c r="AF72" s="98">
        <f t="shared" si="6"/>
        <v>0</v>
      </c>
      <c r="AG72" s="97">
        <v>0</v>
      </c>
      <c r="AH72" s="92">
        <v>0</v>
      </c>
      <c r="AI72" s="98">
        <f t="shared" si="7"/>
        <v>0</v>
      </c>
      <c r="AJ72" s="99">
        <f t="shared" si="5"/>
        <v>0</v>
      </c>
      <c r="AK72" s="102" t="str">
        <f>+IF(X72+W72+AJ72&lt;=0, "NO COMPRADOR", +IF(AJ72&lt;=0, "SIN COMPRA "&amp;+UPPER(TEXT('DINAMICA ENERO 26'!$C$2,"mmm 'yy")), "COMPRADOR"))</f>
        <v>NO COMPRADOR</v>
      </c>
      <c r="AM72" s="101"/>
    </row>
    <row r="73" spans="1:42" s="100" customFormat="1">
      <c r="A73" s="88" t="s">
        <v>85</v>
      </c>
      <c r="B73" s="89" t="s">
        <v>157</v>
      </c>
      <c r="C73" s="89" t="s">
        <v>52</v>
      </c>
      <c r="D73" s="103">
        <v>100079674</v>
      </c>
      <c r="E73" s="89" t="s">
        <v>57</v>
      </c>
      <c r="F73" s="89">
        <v>100079430</v>
      </c>
      <c r="G73" s="128" t="s">
        <v>162</v>
      </c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 s="93">
        <v>0</v>
      </c>
      <c r="X73" s="129">
        <v>0</v>
      </c>
      <c r="Y73" s="93">
        <v>0</v>
      </c>
      <c r="Z73" s="129">
        <v>0</v>
      </c>
      <c r="AA73" s="155">
        <f t="shared" si="4"/>
        <v>0</v>
      </c>
      <c r="AB73" s="98">
        <f t="shared" si="4"/>
        <v>0</v>
      </c>
      <c r="AC73"/>
      <c r="AD73" s="97">
        <v>0</v>
      </c>
      <c r="AE73" s="92">
        <v>0</v>
      </c>
      <c r="AF73" s="98">
        <f t="shared" si="6"/>
        <v>0</v>
      </c>
      <c r="AG73" s="97">
        <v>0</v>
      </c>
      <c r="AH73" s="92">
        <v>0</v>
      </c>
      <c r="AI73" s="98">
        <f t="shared" si="7"/>
        <v>0</v>
      </c>
      <c r="AJ73" s="99">
        <f t="shared" si="5"/>
        <v>0</v>
      </c>
      <c r="AK73" s="102" t="str">
        <f>+IF(X73+W73+AJ73&lt;=0, "NO COMPRADOR", +IF(AJ73&lt;=0, "SIN COMPRA "&amp;+UPPER(TEXT('DINAMICA ENERO 26'!$C$2,"mmm 'yy")), "COMPRADOR"))</f>
        <v>NO COMPRADOR</v>
      </c>
      <c r="AM73" s="101"/>
    </row>
    <row r="74" spans="1:42" s="100" customFormat="1">
      <c r="A74" s="88" t="s">
        <v>85</v>
      </c>
      <c r="B74" s="89" t="s">
        <v>157</v>
      </c>
      <c r="C74" s="89" t="s">
        <v>52</v>
      </c>
      <c r="D74" s="103">
        <v>100079674</v>
      </c>
      <c r="E74" s="89" t="s">
        <v>57</v>
      </c>
      <c r="F74" s="89">
        <v>100001212</v>
      </c>
      <c r="G74" s="128" t="s">
        <v>163</v>
      </c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 s="93">
        <v>0</v>
      </c>
      <c r="X74" s="129">
        <v>0</v>
      </c>
      <c r="Y74" s="93">
        <v>16.32</v>
      </c>
      <c r="Z74" s="129">
        <v>40.799999999999997</v>
      </c>
      <c r="AA74" s="155">
        <f t="shared" si="4"/>
        <v>8.16</v>
      </c>
      <c r="AB74" s="98">
        <f t="shared" si="4"/>
        <v>20.399999999999999</v>
      </c>
      <c r="AC74"/>
      <c r="AD74" s="97">
        <v>8.16</v>
      </c>
      <c r="AE74" s="92">
        <v>0</v>
      </c>
      <c r="AF74" s="98">
        <f t="shared" si="6"/>
        <v>8.16</v>
      </c>
      <c r="AG74" s="97">
        <v>8.16</v>
      </c>
      <c r="AH74" s="92">
        <v>0</v>
      </c>
      <c r="AI74" s="98">
        <f t="shared" si="7"/>
        <v>8.16</v>
      </c>
      <c r="AJ74" s="99">
        <f t="shared" si="5"/>
        <v>16.32</v>
      </c>
      <c r="AK74" s="102" t="str">
        <f>+IF(X74+W74+AJ74&lt;=0, "NO COMPRADOR", +IF(AJ74&lt;=0, "SIN COMPRA "&amp;+UPPER(TEXT('DINAMICA ENERO 26'!$C$2,"mmm 'yy")), "COMPRADOR"))</f>
        <v>COMPRADOR</v>
      </c>
      <c r="AM74" s="101"/>
    </row>
    <row r="75" spans="1:42" s="104" customFormat="1">
      <c r="A75" s="88" t="s">
        <v>85</v>
      </c>
      <c r="B75" s="89" t="s">
        <v>157</v>
      </c>
      <c r="C75" s="89" t="s">
        <v>52</v>
      </c>
      <c r="D75" s="103">
        <v>100079674</v>
      </c>
      <c r="E75" s="89" t="s">
        <v>57</v>
      </c>
      <c r="F75" s="89">
        <v>100001259</v>
      </c>
      <c r="G75" s="128" t="s">
        <v>164</v>
      </c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 s="93">
        <v>0</v>
      </c>
      <c r="X75" s="129">
        <v>0</v>
      </c>
      <c r="Y75" s="93">
        <v>0</v>
      </c>
      <c r="Z75" s="129">
        <v>0</v>
      </c>
      <c r="AA75" s="155">
        <f t="shared" si="4"/>
        <v>0</v>
      </c>
      <c r="AB75" s="98">
        <f t="shared" si="4"/>
        <v>0</v>
      </c>
      <c r="AC75"/>
      <c r="AD75" s="97">
        <v>0</v>
      </c>
      <c r="AE75" s="92">
        <v>0</v>
      </c>
      <c r="AF75" s="98">
        <f t="shared" si="6"/>
        <v>0</v>
      </c>
      <c r="AG75" s="97">
        <v>0</v>
      </c>
      <c r="AH75" s="92">
        <v>0</v>
      </c>
      <c r="AI75" s="98">
        <f t="shared" si="7"/>
        <v>0</v>
      </c>
      <c r="AJ75" s="99">
        <f t="shared" si="5"/>
        <v>0</v>
      </c>
      <c r="AK75" s="102" t="str">
        <f>+IF(X75+W75+AJ75&lt;=0, "NO COMPRADOR", +IF(AJ75&lt;=0, "SIN COMPRA "&amp;+UPPER(TEXT('DINAMICA ENERO 26'!$C$2,"mmm 'yy")), "COMPRADOR"))</f>
        <v>NO COMPRADOR</v>
      </c>
      <c r="AL75" s="100"/>
      <c r="AM75" s="101"/>
      <c r="AN75" s="100"/>
      <c r="AO75" s="100"/>
      <c r="AP75" s="100"/>
    </row>
    <row r="76" spans="1:42" s="104" customFormat="1">
      <c r="A76" s="88" t="s">
        <v>85</v>
      </c>
      <c r="B76" s="89" t="s">
        <v>157</v>
      </c>
      <c r="C76" s="89" t="s">
        <v>52</v>
      </c>
      <c r="D76" s="103">
        <v>100079674</v>
      </c>
      <c r="E76" s="89" t="s">
        <v>57</v>
      </c>
      <c r="F76" s="89">
        <v>100082864</v>
      </c>
      <c r="G76" s="128" t="s">
        <v>165</v>
      </c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 s="93">
        <v>0</v>
      </c>
      <c r="X76" s="129">
        <v>0</v>
      </c>
      <c r="Y76" s="93">
        <v>0</v>
      </c>
      <c r="Z76" s="129">
        <v>0</v>
      </c>
      <c r="AA76" s="155">
        <f t="shared" si="4"/>
        <v>0</v>
      </c>
      <c r="AB76" s="98">
        <f t="shared" si="4"/>
        <v>0</v>
      </c>
      <c r="AC76"/>
      <c r="AD76" s="97">
        <v>8.16</v>
      </c>
      <c r="AE76" s="92">
        <v>0</v>
      </c>
      <c r="AF76" s="98">
        <f t="shared" si="6"/>
        <v>8.16</v>
      </c>
      <c r="AG76" s="97">
        <v>8.16</v>
      </c>
      <c r="AH76" s="92">
        <v>0</v>
      </c>
      <c r="AI76" s="98">
        <f t="shared" si="7"/>
        <v>8.16</v>
      </c>
      <c r="AJ76" s="99">
        <f t="shared" si="5"/>
        <v>16.32</v>
      </c>
      <c r="AK76" s="102" t="str">
        <f>+IF(X76+W76+AJ76&lt;=0, "NO COMPRADOR", +IF(AJ76&lt;=0, "SIN COMPRA "&amp;+UPPER(TEXT('DINAMICA ENERO 26'!$C$2,"mmm 'yy")), "COMPRADOR"))</f>
        <v>COMPRADOR</v>
      </c>
      <c r="AL76" s="100"/>
      <c r="AM76" s="101"/>
      <c r="AN76" s="100"/>
      <c r="AO76" s="100"/>
      <c r="AP76" s="100"/>
    </row>
    <row r="77" spans="1:42" s="104" customFormat="1">
      <c r="A77" s="88" t="s">
        <v>85</v>
      </c>
      <c r="B77" s="89" t="s">
        <v>157</v>
      </c>
      <c r="C77" s="89" t="s">
        <v>52</v>
      </c>
      <c r="D77" s="103">
        <v>100079674</v>
      </c>
      <c r="E77" s="89" t="s">
        <v>57</v>
      </c>
      <c r="F77" s="89">
        <v>100073859</v>
      </c>
      <c r="G77" s="128" t="s">
        <v>166</v>
      </c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 s="93">
        <v>8.16</v>
      </c>
      <c r="X77" s="129">
        <v>8.16</v>
      </c>
      <c r="Y77" s="93">
        <v>40.799999999999997</v>
      </c>
      <c r="Z77" s="129">
        <v>40.799999999999997</v>
      </c>
      <c r="AA77" s="155">
        <f t="shared" si="4"/>
        <v>24.479999999999997</v>
      </c>
      <c r="AB77" s="98">
        <f t="shared" si="4"/>
        <v>24.479999999999997</v>
      </c>
      <c r="AC77"/>
      <c r="AD77" s="97">
        <v>0</v>
      </c>
      <c r="AE77" s="92">
        <v>0</v>
      </c>
      <c r="AF77" s="98">
        <f t="shared" si="6"/>
        <v>0</v>
      </c>
      <c r="AG77" s="97">
        <v>0</v>
      </c>
      <c r="AH77" s="92">
        <v>0</v>
      </c>
      <c r="AI77" s="98">
        <f t="shared" si="7"/>
        <v>0</v>
      </c>
      <c r="AJ77" s="99">
        <f t="shared" si="5"/>
        <v>0</v>
      </c>
      <c r="AK77" s="102" t="str">
        <f>+IF(X77+W77+AJ77&lt;=0, "NO COMPRADOR", +IF(AJ77&lt;=0, "SIN COMPRA "&amp;+UPPER(TEXT('DINAMICA ENERO 26'!$C$2,"mmm 'yy")), "COMPRADOR"))</f>
        <v>SIN COMPRA FEB '26</v>
      </c>
      <c r="AL77" s="100"/>
      <c r="AM77" s="101"/>
      <c r="AN77" s="100"/>
      <c r="AO77" s="100"/>
      <c r="AP77" s="100"/>
    </row>
    <row r="78" spans="1:42" s="104" customFormat="1">
      <c r="A78" s="88" t="s">
        <v>85</v>
      </c>
      <c r="B78" s="89" t="s">
        <v>157</v>
      </c>
      <c r="C78" s="89" t="s">
        <v>52</v>
      </c>
      <c r="D78" s="103">
        <v>100079674</v>
      </c>
      <c r="E78" s="89" t="s">
        <v>57</v>
      </c>
      <c r="F78" s="89">
        <v>100001941</v>
      </c>
      <c r="G78" s="128" t="s">
        <v>167</v>
      </c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 s="93">
        <v>0</v>
      </c>
      <c r="X78" s="129">
        <v>0</v>
      </c>
      <c r="Y78" s="93">
        <v>8.16</v>
      </c>
      <c r="Z78" s="129">
        <v>8.16</v>
      </c>
      <c r="AA78" s="155">
        <f t="shared" si="4"/>
        <v>4.08</v>
      </c>
      <c r="AB78" s="98">
        <f t="shared" si="4"/>
        <v>4.08</v>
      </c>
      <c r="AC78"/>
      <c r="AD78" s="97">
        <v>0</v>
      </c>
      <c r="AE78" s="92">
        <v>0</v>
      </c>
      <c r="AF78" s="98">
        <f t="shared" si="6"/>
        <v>0</v>
      </c>
      <c r="AG78" s="97">
        <v>0</v>
      </c>
      <c r="AH78" s="92">
        <v>0</v>
      </c>
      <c r="AI78" s="98">
        <f t="shared" si="7"/>
        <v>0</v>
      </c>
      <c r="AJ78" s="99">
        <f t="shared" si="5"/>
        <v>0</v>
      </c>
      <c r="AK78" s="102" t="str">
        <f>+IF(X78+W78+AJ78&lt;=0, "NO COMPRADOR", +IF(AJ78&lt;=0, "SIN COMPRA "&amp;+UPPER(TEXT('DINAMICA ENERO 26'!$C$2,"mmm 'yy")), "COMPRADOR"))</f>
        <v>NO COMPRADOR</v>
      </c>
      <c r="AL78" s="100"/>
      <c r="AM78" s="101"/>
      <c r="AN78" s="100"/>
      <c r="AO78" s="100"/>
      <c r="AP78" s="100"/>
    </row>
    <row r="79" spans="1:42" s="104" customFormat="1">
      <c r="A79" s="88" t="s">
        <v>85</v>
      </c>
      <c r="B79" s="89" t="s">
        <v>157</v>
      </c>
      <c r="C79" s="89" t="s">
        <v>52</v>
      </c>
      <c r="D79" s="103">
        <v>100079674</v>
      </c>
      <c r="E79" s="89" t="s">
        <v>57</v>
      </c>
      <c r="F79" s="89">
        <v>100005864</v>
      </c>
      <c r="G79" s="128" t="s">
        <v>168</v>
      </c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 s="93">
        <v>0</v>
      </c>
      <c r="X79" s="129">
        <v>0</v>
      </c>
      <c r="Y79" s="93">
        <v>0</v>
      </c>
      <c r="Z79" s="129">
        <v>0</v>
      </c>
      <c r="AA79" s="155">
        <f t="shared" si="4"/>
        <v>0</v>
      </c>
      <c r="AB79" s="98">
        <f t="shared" si="4"/>
        <v>0</v>
      </c>
      <c r="AC79"/>
      <c r="AD79" s="97">
        <v>0</v>
      </c>
      <c r="AE79" s="92">
        <v>0</v>
      </c>
      <c r="AF79" s="98">
        <f t="shared" si="6"/>
        <v>0</v>
      </c>
      <c r="AG79" s="97">
        <v>0</v>
      </c>
      <c r="AH79" s="92">
        <v>0</v>
      </c>
      <c r="AI79" s="98">
        <f t="shared" si="7"/>
        <v>0</v>
      </c>
      <c r="AJ79" s="99">
        <f t="shared" si="5"/>
        <v>0</v>
      </c>
      <c r="AK79" s="102" t="str">
        <f>+IF(X79+W79+AJ79&lt;=0, "NO COMPRADOR", +IF(AJ79&lt;=0, "SIN COMPRA "&amp;+UPPER(TEXT('DINAMICA ENERO 26'!$C$2,"mmm 'yy")), "COMPRADOR"))</f>
        <v>NO COMPRADOR</v>
      </c>
      <c r="AL79" s="100"/>
      <c r="AM79" s="101"/>
      <c r="AN79" s="100"/>
      <c r="AO79" s="100"/>
      <c r="AP79" s="100"/>
    </row>
    <row r="80" spans="1:42" s="100" customFormat="1">
      <c r="A80" s="88" t="s">
        <v>85</v>
      </c>
      <c r="B80" s="89" t="s">
        <v>157</v>
      </c>
      <c r="C80" s="89" t="s">
        <v>52</v>
      </c>
      <c r="D80" s="103">
        <v>100079674</v>
      </c>
      <c r="E80" s="89" t="s">
        <v>57</v>
      </c>
      <c r="F80" s="89">
        <v>100009067</v>
      </c>
      <c r="G80" s="128" t="s">
        <v>169</v>
      </c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 s="93">
        <v>0</v>
      </c>
      <c r="X80" s="129">
        <v>0</v>
      </c>
      <c r="Y80" s="93">
        <v>0</v>
      </c>
      <c r="Z80" s="129">
        <v>0</v>
      </c>
      <c r="AA80" s="155">
        <f t="shared" si="4"/>
        <v>0</v>
      </c>
      <c r="AB80" s="98">
        <f t="shared" si="4"/>
        <v>0</v>
      </c>
      <c r="AC80"/>
      <c r="AD80" s="97">
        <v>8.16</v>
      </c>
      <c r="AE80" s="92">
        <v>0</v>
      </c>
      <c r="AF80" s="98">
        <f t="shared" si="6"/>
        <v>8.16</v>
      </c>
      <c r="AG80" s="97">
        <v>8.16</v>
      </c>
      <c r="AH80" s="92">
        <v>0</v>
      </c>
      <c r="AI80" s="98">
        <f t="shared" si="7"/>
        <v>8.16</v>
      </c>
      <c r="AJ80" s="99">
        <f t="shared" si="5"/>
        <v>16.32</v>
      </c>
      <c r="AK80" s="102" t="str">
        <f>+IF(X80+W80+AJ80&lt;=0, "NO COMPRADOR", +IF(AJ80&lt;=0, "SIN COMPRA "&amp;+UPPER(TEXT('DINAMICA ENERO 26'!$C$2,"mmm 'yy")), "COMPRADOR"))</f>
        <v>COMPRADOR</v>
      </c>
      <c r="AM80" s="101"/>
    </row>
    <row r="81" spans="1:42" s="104" customFormat="1">
      <c r="A81" s="88" t="s">
        <v>85</v>
      </c>
      <c r="B81" s="89" t="s">
        <v>157</v>
      </c>
      <c r="C81" s="89" t="s">
        <v>52</v>
      </c>
      <c r="D81" s="103">
        <v>100079674</v>
      </c>
      <c r="E81" s="89" t="s">
        <v>57</v>
      </c>
      <c r="F81" s="89">
        <v>100059556</v>
      </c>
      <c r="G81" s="128" t="s">
        <v>170</v>
      </c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 s="93">
        <v>0</v>
      </c>
      <c r="X81" s="129">
        <v>0</v>
      </c>
      <c r="Y81" s="93">
        <v>8.16</v>
      </c>
      <c r="Z81" s="129">
        <v>8.16</v>
      </c>
      <c r="AA81" s="155">
        <f t="shared" si="4"/>
        <v>4.08</v>
      </c>
      <c r="AB81" s="98">
        <f t="shared" si="4"/>
        <v>4.08</v>
      </c>
      <c r="AC81"/>
      <c r="AD81" s="97">
        <v>0</v>
      </c>
      <c r="AE81" s="92">
        <v>0</v>
      </c>
      <c r="AF81" s="98">
        <f t="shared" si="6"/>
        <v>0</v>
      </c>
      <c r="AG81" s="97">
        <v>0</v>
      </c>
      <c r="AH81" s="92">
        <v>0</v>
      </c>
      <c r="AI81" s="98">
        <f t="shared" si="7"/>
        <v>0</v>
      </c>
      <c r="AJ81" s="99">
        <f t="shared" si="5"/>
        <v>0</v>
      </c>
      <c r="AK81" s="102" t="str">
        <f>+IF(X81+W81+AJ81&lt;=0, "NO COMPRADOR", +IF(AJ81&lt;=0, "SIN COMPRA "&amp;+UPPER(TEXT('DINAMICA ENERO 26'!$C$2,"mmm 'yy")), "COMPRADOR"))</f>
        <v>NO COMPRADOR</v>
      </c>
      <c r="AL81" s="100"/>
      <c r="AM81" s="101"/>
      <c r="AN81" s="100"/>
      <c r="AO81" s="100"/>
      <c r="AP81" s="100"/>
    </row>
    <row r="82" spans="1:42" s="104" customFormat="1">
      <c r="A82" s="88" t="s">
        <v>85</v>
      </c>
      <c r="B82" s="89" t="s">
        <v>157</v>
      </c>
      <c r="C82" s="89" t="s">
        <v>52</v>
      </c>
      <c r="D82" s="103">
        <v>100079674</v>
      </c>
      <c r="E82" s="89" t="s">
        <v>57</v>
      </c>
      <c r="F82" s="89">
        <v>100082635</v>
      </c>
      <c r="G82" s="128" t="s">
        <v>171</v>
      </c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 s="93">
        <v>0</v>
      </c>
      <c r="X82" s="129">
        <v>0</v>
      </c>
      <c r="Y82" s="93">
        <v>8.16</v>
      </c>
      <c r="Z82" s="129">
        <v>8.16</v>
      </c>
      <c r="AA82" s="155">
        <f t="shared" si="4"/>
        <v>4.08</v>
      </c>
      <c r="AB82" s="98">
        <f t="shared" si="4"/>
        <v>4.08</v>
      </c>
      <c r="AC82"/>
      <c r="AD82" s="97">
        <v>0</v>
      </c>
      <c r="AE82" s="92">
        <v>8.16</v>
      </c>
      <c r="AF82" s="98">
        <f t="shared" si="6"/>
        <v>8.16</v>
      </c>
      <c r="AG82" s="97">
        <v>0</v>
      </c>
      <c r="AH82" s="92">
        <v>8.16</v>
      </c>
      <c r="AI82" s="98">
        <f t="shared" si="7"/>
        <v>8.16</v>
      </c>
      <c r="AJ82" s="99">
        <f t="shared" si="5"/>
        <v>16.32</v>
      </c>
      <c r="AK82" s="102" t="str">
        <f>+IF(X82+W82+AJ82&lt;=0, "NO COMPRADOR", +IF(AJ82&lt;=0, "SIN COMPRA "&amp;+UPPER(TEXT('DINAMICA ENERO 26'!$C$2,"mmm 'yy")), "COMPRADOR"))</f>
        <v>COMPRADOR</v>
      </c>
      <c r="AL82" s="100"/>
      <c r="AM82" s="101"/>
      <c r="AN82" s="100"/>
      <c r="AO82" s="100"/>
      <c r="AP82" s="100"/>
    </row>
    <row r="83" spans="1:42" s="104" customFormat="1">
      <c r="A83" s="88" t="s">
        <v>85</v>
      </c>
      <c r="B83" s="89" t="s">
        <v>157</v>
      </c>
      <c r="C83" s="89" t="s">
        <v>52</v>
      </c>
      <c r="D83" s="103">
        <v>100079674</v>
      </c>
      <c r="E83" s="89" t="s">
        <v>57</v>
      </c>
      <c r="F83" s="89">
        <v>100087436</v>
      </c>
      <c r="G83" s="128" t="s">
        <v>172</v>
      </c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 s="93">
        <v>0</v>
      </c>
      <c r="X83" s="129">
        <v>0</v>
      </c>
      <c r="Y83" s="93">
        <v>8.16</v>
      </c>
      <c r="Z83" s="129">
        <v>8.16</v>
      </c>
      <c r="AA83" s="155">
        <f t="shared" si="4"/>
        <v>4.08</v>
      </c>
      <c r="AB83" s="98">
        <f t="shared" si="4"/>
        <v>4.08</v>
      </c>
      <c r="AC83"/>
      <c r="AD83" s="97">
        <v>32.64</v>
      </c>
      <c r="AE83" s="92">
        <v>0</v>
      </c>
      <c r="AF83" s="98">
        <f t="shared" si="6"/>
        <v>32.64</v>
      </c>
      <c r="AG83" s="97">
        <v>32.64</v>
      </c>
      <c r="AH83" s="92">
        <v>0</v>
      </c>
      <c r="AI83" s="98">
        <f t="shared" si="7"/>
        <v>32.64</v>
      </c>
      <c r="AJ83" s="99">
        <f t="shared" si="5"/>
        <v>65.28</v>
      </c>
      <c r="AK83" s="102" t="str">
        <f>+IF(X83+W83+AJ83&lt;=0, "NO COMPRADOR", +IF(AJ83&lt;=0, "SIN COMPRA "&amp;+UPPER(TEXT('DINAMICA ENERO 26'!$C$2,"mmm 'yy")), "COMPRADOR"))</f>
        <v>COMPRADOR</v>
      </c>
      <c r="AL83" s="100"/>
      <c r="AM83" s="101"/>
      <c r="AN83" s="100"/>
      <c r="AO83" s="100"/>
      <c r="AP83" s="100"/>
    </row>
    <row r="84" spans="1:42" s="100" customFormat="1">
      <c r="A84" s="88" t="s">
        <v>85</v>
      </c>
      <c r="B84" s="89" t="s">
        <v>157</v>
      </c>
      <c r="C84" s="89" t="s">
        <v>52</v>
      </c>
      <c r="D84" s="103">
        <v>100079674</v>
      </c>
      <c r="E84" s="89" t="s">
        <v>57</v>
      </c>
      <c r="F84" s="89">
        <v>100072236</v>
      </c>
      <c r="G84" s="128" t="s">
        <v>173</v>
      </c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 s="93">
        <v>0</v>
      </c>
      <c r="X84" s="129">
        <v>0</v>
      </c>
      <c r="Y84" s="93">
        <v>40.799999999999997</v>
      </c>
      <c r="Z84" s="129">
        <v>40.799999999999997</v>
      </c>
      <c r="AA84" s="155">
        <f t="shared" si="4"/>
        <v>20.399999999999999</v>
      </c>
      <c r="AB84" s="98">
        <f t="shared" si="4"/>
        <v>20.399999999999999</v>
      </c>
      <c r="AC84"/>
      <c r="AD84" s="97">
        <v>16.32</v>
      </c>
      <c r="AE84" s="92">
        <v>0</v>
      </c>
      <c r="AF84" s="98">
        <f t="shared" si="6"/>
        <v>16.32</v>
      </c>
      <c r="AG84" s="97">
        <v>16.32</v>
      </c>
      <c r="AH84" s="92">
        <v>0</v>
      </c>
      <c r="AI84" s="98">
        <f t="shared" si="7"/>
        <v>16.32</v>
      </c>
      <c r="AJ84" s="99">
        <f t="shared" si="5"/>
        <v>32.64</v>
      </c>
      <c r="AK84" s="102" t="str">
        <f>+IF(X84+W84+AJ84&lt;=0, "NO COMPRADOR", +IF(AJ84&lt;=0, "SIN COMPRA "&amp;+UPPER(TEXT('DINAMICA ENERO 26'!$C$2,"mmm 'yy")), "COMPRADOR"))</f>
        <v>COMPRADOR</v>
      </c>
      <c r="AM84" s="101"/>
    </row>
    <row r="85" spans="1:42" s="100" customFormat="1">
      <c r="A85" s="88" t="s">
        <v>85</v>
      </c>
      <c r="B85" s="89" t="s">
        <v>157</v>
      </c>
      <c r="C85" s="89" t="s">
        <v>52</v>
      </c>
      <c r="D85" s="103">
        <v>100079674</v>
      </c>
      <c r="E85" s="89" t="s">
        <v>57</v>
      </c>
      <c r="F85" s="89">
        <v>100087960</v>
      </c>
      <c r="G85" s="128" t="s">
        <v>174</v>
      </c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 s="93">
        <v>0</v>
      </c>
      <c r="X85" s="129">
        <v>0</v>
      </c>
      <c r="Y85" s="93">
        <v>0</v>
      </c>
      <c r="Z85" s="129">
        <v>0</v>
      </c>
      <c r="AA85" s="155">
        <f t="shared" si="4"/>
        <v>0</v>
      </c>
      <c r="AB85" s="98">
        <f t="shared" si="4"/>
        <v>0</v>
      </c>
      <c r="AC85"/>
      <c r="AD85" s="97">
        <v>0</v>
      </c>
      <c r="AE85" s="92">
        <v>0</v>
      </c>
      <c r="AF85" s="98">
        <f t="shared" si="6"/>
        <v>0</v>
      </c>
      <c r="AG85" s="97">
        <v>0</v>
      </c>
      <c r="AH85" s="92">
        <v>0</v>
      </c>
      <c r="AI85" s="98">
        <f t="shared" si="7"/>
        <v>0</v>
      </c>
      <c r="AJ85" s="99">
        <f t="shared" si="5"/>
        <v>0</v>
      </c>
      <c r="AK85" s="102" t="str">
        <f>+IF(X85+W85+AJ85&lt;=0, "NO COMPRADOR", +IF(AJ85&lt;=0, "SIN COMPRA "&amp;+UPPER(TEXT('DINAMICA ENERO 26'!$C$2,"mmm 'yy")), "COMPRADOR"))</f>
        <v>NO COMPRADOR</v>
      </c>
      <c r="AM85" s="101"/>
    </row>
    <row r="86" spans="1:42" s="104" customFormat="1">
      <c r="A86" s="88" t="s">
        <v>85</v>
      </c>
      <c r="B86" s="89" t="s">
        <v>157</v>
      </c>
      <c r="C86" s="89" t="s">
        <v>52</v>
      </c>
      <c r="D86" s="103">
        <v>100079674</v>
      </c>
      <c r="E86" s="89" t="s">
        <v>57</v>
      </c>
      <c r="F86" s="89">
        <v>100080270</v>
      </c>
      <c r="G86" s="128" t="s">
        <v>175</v>
      </c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 s="93">
        <v>8.16</v>
      </c>
      <c r="X86" s="129">
        <v>8.16</v>
      </c>
      <c r="Y86" s="93">
        <v>8.16</v>
      </c>
      <c r="Z86" s="129">
        <v>8.16</v>
      </c>
      <c r="AA86" s="155">
        <f t="shared" si="4"/>
        <v>8.16</v>
      </c>
      <c r="AB86" s="98">
        <f t="shared" si="4"/>
        <v>8.16</v>
      </c>
      <c r="AC86"/>
      <c r="AD86" s="97">
        <v>32.64</v>
      </c>
      <c r="AE86" s="92">
        <v>0</v>
      </c>
      <c r="AF86" s="98">
        <f t="shared" si="6"/>
        <v>32.64</v>
      </c>
      <c r="AG86" s="97">
        <v>32.64</v>
      </c>
      <c r="AH86" s="92">
        <v>0</v>
      </c>
      <c r="AI86" s="98">
        <f t="shared" si="7"/>
        <v>32.64</v>
      </c>
      <c r="AJ86" s="99">
        <f t="shared" si="5"/>
        <v>65.28</v>
      </c>
      <c r="AK86" s="102" t="str">
        <f>+IF(X86+W86+AJ86&lt;=0, "NO COMPRADOR", +IF(AJ86&lt;=0, "SIN COMPRA "&amp;+UPPER(TEXT('DINAMICA ENERO 26'!$C$2,"mmm 'yy")), "COMPRADOR"))</f>
        <v>COMPRADOR</v>
      </c>
      <c r="AL86" s="100"/>
      <c r="AM86" s="101"/>
      <c r="AN86" s="100"/>
      <c r="AO86" s="100"/>
      <c r="AP86" s="100"/>
    </row>
    <row r="87" spans="1:42">
      <c r="A87" s="88" t="s">
        <v>85</v>
      </c>
      <c r="B87" s="89" t="s">
        <v>157</v>
      </c>
      <c r="C87" s="89" t="s">
        <v>52</v>
      </c>
      <c r="D87" s="103">
        <v>100079674</v>
      </c>
      <c r="E87" s="89" t="s">
        <v>57</v>
      </c>
      <c r="F87" s="89">
        <v>100073740</v>
      </c>
      <c r="G87" s="128" t="s">
        <v>176</v>
      </c>
      <c r="W87" s="93">
        <v>0</v>
      </c>
      <c r="X87" s="129">
        <v>0</v>
      </c>
      <c r="Y87" s="93">
        <v>0</v>
      </c>
      <c r="Z87" s="129">
        <v>0</v>
      </c>
      <c r="AA87" s="155">
        <f t="shared" si="4"/>
        <v>0</v>
      </c>
      <c r="AB87" s="98">
        <f t="shared" si="4"/>
        <v>0</v>
      </c>
      <c r="AD87" s="97">
        <v>8.16</v>
      </c>
      <c r="AE87" s="92">
        <v>0</v>
      </c>
      <c r="AF87" s="98">
        <f t="shared" si="6"/>
        <v>8.16</v>
      </c>
      <c r="AG87" s="97">
        <v>8.16</v>
      </c>
      <c r="AH87" s="92">
        <v>0</v>
      </c>
      <c r="AI87" s="98">
        <f t="shared" si="7"/>
        <v>8.16</v>
      </c>
      <c r="AJ87" s="99">
        <f t="shared" si="5"/>
        <v>16.32</v>
      </c>
      <c r="AK87" s="102" t="str">
        <f>+IF(X87+W87+AJ87&lt;=0, "NO COMPRADOR", +IF(AJ87&lt;=0, "SIN COMPRA "&amp;+UPPER(TEXT('DINAMICA ENERO 26'!$C$2,"mmm 'yy")), "COMPRADOR"))</f>
        <v>COMPRADOR</v>
      </c>
      <c r="AL87" s="100"/>
      <c r="AM87" s="101"/>
      <c r="AN87" s="100"/>
      <c r="AO87" s="100"/>
      <c r="AP87" s="100"/>
    </row>
    <row r="88" spans="1:42" s="100" customFormat="1">
      <c r="A88" s="88" t="s">
        <v>85</v>
      </c>
      <c r="B88" s="89" t="s">
        <v>157</v>
      </c>
      <c r="C88" s="89" t="s">
        <v>52</v>
      </c>
      <c r="D88" s="103">
        <v>100079674</v>
      </c>
      <c r="E88" s="89" t="s">
        <v>57</v>
      </c>
      <c r="F88" s="89">
        <v>100073876</v>
      </c>
      <c r="G88" s="128" t="s">
        <v>177</v>
      </c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 s="93">
        <v>8.16</v>
      </c>
      <c r="X88" s="129">
        <v>8.16</v>
      </c>
      <c r="Y88" s="93">
        <v>8.16</v>
      </c>
      <c r="Z88" s="129">
        <v>8.16</v>
      </c>
      <c r="AA88" s="155">
        <f t="shared" si="4"/>
        <v>8.16</v>
      </c>
      <c r="AB88" s="98">
        <f t="shared" si="4"/>
        <v>8.16</v>
      </c>
      <c r="AC88"/>
      <c r="AD88" s="97">
        <v>8.16</v>
      </c>
      <c r="AE88" s="92">
        <v>0</v>
      </c>
      <c r="AF88" s="98">
        <f t="shared" si="6"/>
        <v>8.16</v>
      </c>
      <c r="AG88" s="97">
        <v>8.16</v>
      </c>
      <c r="AH88" s="92">
        <v>0</v>
      </c>
      <c r="AI88" s="98">
        <f t="shared" si="7"/>
        <v>8.16</v>
      </c>
      <c r="AJ88" s="99">
        <f t="shared" si="5"/>
        <v>16.32</v>
      </c>
      <c r="AK88" s="102" t="str">
        <f>+IF(X88+W88+AJ88&lt;=0, "NO COMPRADOR", +IF(AJ88&lt;=0, "SIN COMPRA "&amp;+UPPER(TEXT('DINAMICA ENERO 26'!$C$2,"mmm 'yy")), "COMPRADOR"))</f>
        <v>COMPRADOR</v>
      </c>
      <c r="AM88" s="101"/>
    </row>
    <row r="89" spans="1:42" s="100" customFormat="1">
      <c r="A89" s="88" t="s">
        <v>85</v>
      </c>
      <c r="B89" s="89" t="s">
        <v>157</v>
      </c>
      <c r="C89" s="89" t="s">
        <v>52</v>
      </c>
      <c r="D89" s="103">
        <v>100079674</v>
      </c>
      <c r="E89" s="89" t="s">
        <v>57</v>
      </c>
      <c r="F89" s="89">
        <v>100077196</v>
      </c>
      <c r="G89" s="128" t="s">
        <v>178</v>
      </c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 s="93">
        <v>0</v>
      </c>
      <c r="X89" s="129">
        <v>0</v>
      </c>
      <c r="Y89" s="93">
        <v>8.16</v>
      </c>
      <c r="Z89" s="129">
        <v>8.16</v>
      </c>
      <c r="AA89" s="155">
        <f t="shared" si="4"/>
        <v>4.08</v>
      </c>
      <c r="AB89" s="98">
        <f t="shared" si="4"/>
        <v>4.08</v>
      </c>
      <c r="AC89"/>
      <c r="AD89" s="97">
        <v>16.32</v>
      </c>
      <c r="AE89" s="92">
        <v>0</v>
      </c>
      <c r="AF89" s="98">
        <f t="shared" si="6"/>
        <v>16.32</v>
      </c>
      <c r="AG89" s="97">
        <v>16.32</v>
      </c>
      <c r="AH89" s="92">
        <v>0</v>
      </c>
      <c r="AI89" s="98">
        <f t="shared" si="7"/>
        <v>16.32</v>
      </c>
      <c r="AJ89" s="99">
        <f t="shared" si="5"/>
        <v>32.64</v>
      </c>
      <c r="AK89" s="102" t="str">
        <f>+IF(X89+W89+AJ89&lt;=0, "NO COMPRADOR", +IF(AJ89&lt;=0, "SIN COMPRA "&amp;+UPPER(TEXT('DINAMICA ENERO 26'!$C$2,"mmm 'yy")), "COMPRADOR"))</f>
        <v>COMPRADOR</v>
      </c>
      <c r="AM89" s="101"/>
    </row>
    <row r="90" spans="1:42" s="104" customFormat="1">
      <c r="A90" s="88" t="s">
        <v>85</v>
      </c>
      <c r="B90" s="89" t="s">
        <v>157</v>
      </c>
      <c r="C90" s="89" t="s">
        <v>52</v>
      </c>
      <c r="D90" s="103">
        <v>100079674</v>
      </c>
      <c r="E90" s="89" t="s">
        <v>57</v>
      </c>
      <c r="F90" s="89">
        <v>100063753</v>
      </c>
      <c r="G90" s="128" t="s">
        <v>179</v>
      </c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 s="93">
        <v>179.52</v>
      </c>
      <c r="X90" s="129">
        <v>179.52</v>
      </c>
      <c r="Y90" s="93">
        <v>8.16</v>
      </c>
      <c r="Z90" s="129">
        <v>8.16</v>
      </c>
      <c r="AA90" s="155">
        <f t="shared" si="4"/>
        <v>93.84</v>
      </c>
      <c r="AB90" s="98">
        <f t="shared" si="4"/>
        <v>93.84</v>
      </c>
      <c r="AC90"/>
      <c r="AD90" s="97">
        <v>48.959999999999994</v>
      </c>
      <c r="AE90" s="92">
        <v>0</v>
      </c>
      <c r="AF90" s="98">
        <f t="shared" si="6"/>
        <v>48.959999999999994</v>
      </c>
      <c r="AG90" s="97">
        <v>89.759999999999991</v>
      </c>
      <c r="AH90" s="92">
        <v>0</v>
      </c>
      <c r="AI90" s="98">
        <f t="shared" si="7"/>
        <v>89.759999999999991</v>
      </c>
      <c r="AJ90" s="99">
        <f t="shared" si="5"/>
        <v>138.71999999999997</v>
      </c>
      <c r="AK90" s="102" t="str">
        <f>+IF(X90+W90+AJ90&lt;=0, "NO COMPRADOR", +IF(AJ90&lt;=0, "SIN COMPRA "&amp;+UPPER(TEXT('DINAMICA ENERO 26'!$C$2,"mmm 'yy")), "COMPRADOR"))</f>
        <v>COMPRADOR</v>
      </c>
      <c r="AL90" s="100"/>
      <c r="AM90" s="101"/>
      <c r="AN90" s="100"/>
      <c r="AO90" s="100"/>
      <c r="AP90" s="100"/>
    </row>
    <row r="91" spans="1:42" s="100" customFormat="1">
      <c r="A91" s="88" t="s">
        <v>85</v>
      </c>
      <c r="B91" s="89" t="s">
        <v>157</v>
      </c>
      <c r="C91" s="89" t="s">
        <v>52</v>
      </c>
      <c r="D91" s="103">
        <v>100079674</v>
      </c>
      <c r="E91" s="89" t="s">
        <v>57</v>
      </c>
      <c r="F91" s="89">
        <v>100084198</v>
      </c>
      <c r="G91" s="128" t="s">
        <v>180</v>
      </c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 s="93">
        <v>8.16</v>
      </c>
      <c r="X91" s="129">
        <v>8.16</v>
      </c>
      <c r="Y91" s="93">
        <v>8.16</v>
      </c>
      <c r="Z91" s="129">
        <v>8.16</v>
      </c>
      <c r="AA91" s="155">
        <f t="shared" si="4"/>
        <v>8.16</v>
      </c>
      <c r="AB91" s="98">
        <f t="shared" si="4"/>
        <v>8.16</v>
      </c>
      <c r="AC91"/>
      <c r="AD91" s="97">
        <v>-8.16</v>
      </c>
      <c r="AE91" s="92">
        <v>0</v>
      </c>
      <c r="AF91" s="98">
        <f t="shared" si="6"/>
        <v>-8.16</v>
      </c>
      <c r="AG91" s="97">
        <v>-8.16</v>
      </c>
      <c r="AH91" s="92">
        <v>0</v>
      </c>
      <c r="AI91" s="98">
        <f t="shared" si="7"/>
        <v>-8.16</v>
      </c>
      <c r="AJ91" s="99">
        <f t="shared" si="5"/>
        <v>-16.32</v>
      </c>
      <c r="AK91" s="102" t="str">
        <f>+IF(X91+W91+AJ91&lt;=0, "NO COMPRADOR", +IF(AJ91&lt;=0, "SIN COMPRA "&amp;+UPPER(TEXT('DINAMICA ENERO 26'!$C$2,"mmm 'yy")), "COMPRADOR"))</f>
        <v>NO COMPRADOR</v>
      </c>
      <c r="AM91" s="101"/>
    </row>
    <row r="92" spans="1:42" s="100" customFormat="1">
      <c r="A92" s="88" t="s">
        <v>85</v>
      </c>
      <c r="B92" s="89" t="s">
        <v>157</v>
      </c>
      <c r="C92" s="89" t="s">
        <v>52</v>
      </c>
      <c r="D92" s="103">
        <v>100079674</v>
      </c>
      <c r="E92" s="89" t="s">
        <v>57</v>
      </c>
      <c r="F92" s="89">
        <v>100084321</v>
      </c>
      <c r="G92" s="128" t="s">
        <v>181</v>
      </c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 s="93">
        <v>8.16</v>
      </c>
      <c r="X92" s="129">
        <v>8.16</v>
      </c>
      <c r="Y92" s="93">
        <v>8.16</v>
      </c>
      <c r="Z92" s="129">
        <v>8.16</v>
      </c>
      <c r="AA92" s="155">
        <f t="shared" si="4"/>
        <v>8.16</v>
      </c>
      <c r="AB92" s="98">
        <f t="shared" si="4"/>
        <v>8.16</v>
      </c>
      <c r="AC92"/>
      <c r="AD92" s="97">
        <v>0</v>
      </c>
      <c r="AE92" s="92">
        <v>0</v>
      </c>
      <c r="AF92" s="98">
        <f t="shared" si="6"/>
        <v>0</v>
      </c>
      <c r="AG92" s="97">
        <v>0</v>
      </c>
      <c r="AH92" s="92">
        <v>0</v>
      </c>
      <c r="AI92" s="98">
        <f t="shared" si="7"/>
        <v>0</v>
      </c>
      <c r="AJ92" s="99">
        <f t="shared" si="5"/>
        <v>0</v>
      </c>
      <c r="AK92" s="102" t="str">
        <f>+IF(X92+W92+AJ92&lt;=0, "NO COMPRADOR", +IF(AJ92&lt;=0, "SIN COMPRA "&amp;+UPPER(TEXT('DINAMICA ENERO 26'!$C$2,"mmm 'yy")), "COMPRADOR"))</f>
        <v>SIN COMPRA FEB '26</v>
      </c>
      <c r="AM92" s="101"/>
    </row>
    <row r="93" spans="1:42" s="104" customFormat="1">
      <c r="A93" s="88" t="s">
        <v>85</v>
      </c>
      <c r="B93" s="89" t="s">
        <v>157</v>
      </c>
      <c r="C93" s="89" t="s">
        <v>52</v>
      </c>
      <c r="D93" s="103">
        <v>100079674</v>
      </c>
      <c r="E93" s="89" t="s">
        <v>57</v>
      </c>
      <c r="F93" s="89">
        <v>100088056</v>
      </c>
      <c r="G93" s="128" t="s">
        <v>182</v>
      </c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 s="93">
        <v>40.799999999999997</v>
      </c>
      <c r="X93" s="129">
        <v>40.799999999999997</v>
      </c>
      <c r="Y93" s="93">
        <v>8.16</v>
      </c>
      <c r="Z93" s="129">
        <v>8.16</v>
      </c>
      <c r="AA93" s="155">
        <f t="shared" si="4"/>
        <v>24.479999999999997</v>
      </c>
      <c r="AB93" s="98">
        <f t="shared" si="4"/>
        <v>24.479999999999997</v>
      </c>
      <c r="AC93"/>
      <c r="AD93" s="97">
        <v>8.16</v>
      </c>
      <c r="AE93" s="92">
        <v>0</v>
      </c>
      <c r="AF93" s="98">
        <f t="shared" si="6"/>
        <v>8.16</v>
      </c>
      <c r="AG93" s="97">
        <v>8.16</v>
      </c>
      <c r="AH93" s="92">
        <v>0</v>
      </c>
      <c r="AI93" s="98">
        <f t="shared" si="7"/>
        <v>8.16</v>
      </c>
      <c r="AJ93" s="99">
        <f t="shared" si="5"/>
        <v>16.32</v>
      </c>
      <c r="AK93" s="102" t="str">
        <f>+IF(X93+W93+AJ93&lt;=0, "NO COMPRADOR", +IF(AJ93&lt;=0, "SIN COMPRA "&amp;+UPPER(TEXT('DINAMICA ENERO 26'!$C$2,"mmm 'yy")), "COMPRADOR"))</f>
        <v>COMPRADOR</v>
      </c>
      <c r="AL93" s="100"/>
      <c r="AM93" s="101"/>
      <c r="AN93" s="100"/>
      <c r="AO93" s="100"/>
      <c r="AP93" s="100"/>
    </row>
    <row r="94" spans="1:42" s="100" customFormat="1">
      <c r="A94" s="88" t="s">
        <v>85</v>
      </c>
      <c r="B94" s="89" t="s">
        <v>157</v>
      </c>
      <c r="C94" s="89" t="s">
        <v>52</v>
      </c>
      <c r="D94" s="103">
        <v>100079674</v>
      </c>
      <c r="E94" s="89" t="s">
        <v>57</v>
      </c>
      <c r="F94" s="89">
        <v>100089829</v>
      </c>
      <c r="G94" s="128" t="s">
        <v>183</v>
      </c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 s="93">
        <v>16.32</v>
      </c>
      <c r="X94" s="129">
        <v>16.32</v>
      </c>
      <c r="Y94" s="93">
        <v>163.19999999999999</v>
      </c>
      <c r="Z94" s="129">
        <v>163.19999999999999</v>
      </c>
      <c r="AA94" s="155">
        <f t="shared" si="4"/>
        <v>89.759999999999991</v>
      </c>
      <c r="AB94" s="98">
        <f t="shared" si="4"/>
        <v>89.759999999999991</v>
      </c>
      <c r="AC94"/>
      <c r="AD94" s="97">
        <v>0</v>
      </c>
      <c r="AE94" s="92">
        <v>0</v>
      </c>
      <c r="AF94" s="98">
        <f t="shared" si="6"/>
        <v>0</v>
      </c>
      <c r="AG94" s="97">
        <v>0</v>
      </c>
      <c r="AH94" s="92">
        <v>0</v>
      </c>
      <c r="AI94" s="98">
        <f t="shared" si="7"/>
        <v>0</v>
      </c>
      <c r="AJ94" s="99">
        <f t="shared" si="5"/>
        <v>0</v>
      </c>
      <c r="AK94" s="102" t="str">
        <f>+IF(X94+W94+AJ94&lt;=0, "NO COMPRADOR", +IF(AJ94&lt;=0, "SIN COMPRA "&amp;+UPPER(TEXT('DINAMICA ENERO 26'!$C$2,"mmm 'yy")), "COMPRADOR"))</f>
        <v>SIN COMPRA FEB '26</v>
      </c>
      <c r="AM94" s="101"/>
    </row>
    <row r="95" spans="1:42" s="100" customFormat="1">
      <c r="A95" s="88" t="s">
        <v>85</v>
      </c>
      <c r="B95" s="89" t="s">
        <v>157</v>
      </c>
      <c r="C95" s="89" t="s">
        <v>52</v>
      </c>
      <c r="D95" s="103">
        <v>100066856</v>
      </c>
      <c r="E95" s="89" t="s">
        <v>54</v>
      </c>
      <c r="F95" s="89">
        <v>100080175</v>
      </c>
      <c r="G95" s="128" t="s">
        <v>184</v>
      </c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 s="93">
        <v>0</v>
      </c>
      <c r="X95" s="129">
        <v>0</v>
      </c>
      <c r="Y95" s="93">
        <v>0</v>
      </c>
      <c r="Z95" s="129">
        <v>0</v>
      </c>
      <c r="AA95" s="155">
        <f t="shared" si="4"/>
        <v>0</v>
      </c>
      <c r="AB95" s="98">
        <f t="shared" si="4"/>
        <v>0</v>
      </c>
      <c r="AC95"/>
      <c r="AD95" s="97">
        <v>0</v>
      </c>
      <c r="AE95" s="92">
        <v>0</v>
      </c>
      <c r="AF95" s="98">
        <f t="shared" si="6"/>
        <v>0</v>
      </c>
      <c r="AG95" s="97">
        <v>0</v>
      </c>
      <c r="AH95" s="92">
        <v>0</v>
      </c>
      <c r="AI95" s="98">
        <f t="shared" si="7"/>
        <v>0</v>
      </c>
      <c r="AJ95" s="99">
        <f t="shared" si="5"/>
        <v>0</v>
      </c>
      <c r="AK95" s="102" t="str">
        <f>+IF(X95+W95+AJ95&lt;=0, "NO COMPRADOR", +IF(AJ95&lt;=0, "SIN COMPRA "&amp;+UPPER(TEXT('DINAMICA ENERO 26'!$C$2,"mmm 'yy")), "COMPRADOR"))</f>
        <v>NO COMPRADOR</v>
      </c>
      <c r="AM95" s="101"/>
    </row>
    <row r="96" spans="1:42" s="100" customFormat="1">
      <c r="A96" s="88" t="s">
        <v>85</v>
      </c>
      <c r="B96" s="89" t="s">
        <v>157</v>
      </c>
      <c r="C96" s="89" t="s">
        <v>52</v>
      </c>
      <c r="D96" s="103">
        <v>100066856</v>
      </c>
      <c r="E96" s="89" t="s">
        <v>54</v>
      </c>
      <c r="F96" s="89">
        <v>100086921</v>
      </c>
      <c r="G96" s="128" t="s">
        <v>185</v>
      </c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 s="93">
        <v>8.16</v>
      </c>
      <c r="X96" s="129">
        <v>8.16</v>
      </c>
      <c r="Y96" s="93">
        <v>0</v>
      </c>
      <c r="Z96" s="129">
        <v>0</v>
      </c>
      <c r="AA96" s="155">
        <f t="shared" si="4"/>
        <v>4.08</v>
      </c>
      <c r="AB96" s="98">
        <f t="shared" si="4"/>
        <v>4.08</v>
      </c>
      <c r="AC96"/>
      <c r="AD96" s="97">
        <v>0</v>
      </c>
      <c r="AE96" s="92">
        <v>0</v>
      </c>
      <c r="AF96" s="98">
        <f t="shared" si="6"/>
        <v>0</v>
      </c>
      <c r="AG96" s="97">
        <v>0</v>
      </c>
      <c r="AH96" s="92">
        <v>0</v>
      </c>
      <c r="AI96" s="98">
        <f t="shared" si="7"/>
        <v>0</v>
      </c>
      <c r="AJ96" s="99">
        <f t="shared" si="5"/>
        <v>0</v>
      </c>
      <c r="AK96" s="102" t="str">
        <f>+IF(X96+W96+AJ96&lt;=0, "NO COMPRADOR", +IF(AJ96&lt;=0, "SIN COMPRA "&amp;+UPPER(TEXT('DINAMICA ENERO 26'!$C$2,"mmm 'yy")), "COMPRADOR"))</f>
        <v>SIN COMPRA FEB '26</v>
      </c>
      <c r="AM96" s="101"/>
    </row>
    <row r="97" spans="1:43" s="100" customFormat="1">
      <c r="A97" s="88" t="s">
        <v>85</v>
      </c>
      <c r="B97" s="89" t="s">
        <v>157</v>
      </c>
      <c r="C97" s="89" t="s">
        <v>52</v>
      </c>
      <c r="D97" s="103">
        <v>100066856</v>
      </c>
      <c r="E97" s="89" t="s">
        <v>54</v>
      </c>
      <c r="F97" s="89">
        <v>100063903</v>
      </c>
      <c r="G97" s="128" t="s">
        <v>186</v>
      </c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 s="93">
        <v>8.16</v>
      </c>
      <c r="X97" s="129">
        <v>8.16</v>
      </c>
      <c r="Y97" s="93">
        <v>0</v>
      </c>
      <c r="Z97" s="129">
        <v>0</v>
      </c>
      <c r="AA97" s="155">
        <f t="shared" si="4"/>
        <v>4.08</v>
      </c>
      <c r="AB97" s="98">
        <f t="shared" si="4"/>
        <v>4.08</v>
      </c>
      <c r="AC97"/>
      <c r="AD97" s="97">
        <v>8.16</v>
      </c>
      <c r="AE97" s="92">
        <v>0</v>
      </c>
      <c r="AF97" s="98">
        <f t="shared" si="6"/>
        <v>8.16</v>
      </c>
      <c r="AG97" s="97">
        <v>8.16</v>
      </c>
      <c r="AH97" s="92">
        <v>0</v>
      </c>
      <c r="AI97" s="98">
        <f t="shared" si="7"/>
        <v>8.16</v>
      </c>
      <c r="AJ97" s="99">
        <f t="shared" si="5"/>
        <v>16.32</v>
      </c>
      <c r="AK97" s="102" t="str">
        <f>+IF(X97+W97+AJ97&lt;=0, "NO COMPRADOR", +IF(AJ97&lt;=0, "SIN COMPRA "&amp;+UPPER(TEXT('DINAMICA ENERO 26'!$C$2,"mmm 'yy")), "COMPRADOR"))</f>
        <v>COMPRADOR</v>
      </c>
      <c r="AM97" s="101"/>
    </row>
    <row r="98" spans="1:43" s="104" customFormat="1">
      <c r="A98" s="88" t="s">
        <v>85</v>
      </c>
      <c r="B98" s="89" t="s">
        <v>157</v>
      </c>
      <c r="C98" s="89" t="s">
        <v>52</v>
      </c>
      <c r="D98" s="103">
        <v>100066856</v>
      </c>
      <c r="E98" s="89" t="s">
        <v>54</v>
      </c>
      <c r="F98" s="89">
        <v>100081047</v>
      </c>
      <c r="G98" s="128" t="s">
        <v>187</v>
      </c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 s="93">
        <v>24.48</v>
      </c>
      <c r="X98" s="129">
        <v>24.48</v>
      </c>
      <c r="Y98" s="93">
        <v>0</v>
      </c>
      <c r="Z98" s="129">
        <v>0</v>
      </c>
      <c r="AA98" s="155">
        <f t="shared" si="4"/>
        <v>12.24</v>
      </c>
      <c r="AB98" s="98">
        <f t="shared" si="4"/>
        <v>12.24</v>
      </c>
      <c r="AC98"/>
      <c r="AD98" s="97">
        <v>0</v>
      </c>
      <c r="AE98" s="92">
        <v>0</v>
      </c>
      <c r="AF98" s="98">
        <f t="shared" si="6"/>
        <v>0</v>
      </c>
      <c r="AG98" s="97">
        <v>0</v>
      </c>
      <c r="AH98" s="92">
        <v>0</v>
      </c>
      <c r="AI98" s="98">
        <f t="shared" si="7"/>
        <v>0</v>
      </c>
      <c r="AJ98" s="99">
        <f t="shared" si="5"/>
        <v>0</v>
      </c>
      <c r="AK98" s="102" t="str">
        <f>+IF(X98+W98+AJ98&lt;=0, "NO COMPRADOR", +IF(AJ98&lt;=0, "SIN COMPRA "&amp;+UPPER(TEXT('DINAMICA ENERO 26'!$C$2,"mmm 'yy")), "COMPRADOR"))</f>
        <v>SIN COMPRA FEB '26</v>
      </c>
      <c r="AL98" s="100"/>
      <c r="AM98" s="101"/>
      <c r="AN98" s="100"/>
      <c r="AO98" s="100"/>
      <c r="AP98" s="100"/>
    </row>
    <row r="99" spans="1:43" s="100" customFormat="1">
      <c r="A99" s="88" t="s">
        <v>85</v>
      </c>
      <c r="B99" s="89" t="s">
        <v>157</v>
      </c>
      <c r="C99" s="89" t="s">
        <v>52</v>
      </c>
      <c r="D99" s="103">
        <v>100066856</v>
      </c>
      <c r="E99" s="89" t="s">
        <v>54</v>
      </c>
      <c r="F99" s="89">
        <v>100081503</v>
      </c>
      <c r="G99" s="128" t="s">
        <v>188</v>
      </c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 s="93">
        <v>0</v>
      </c>
      <c r="X99" s="129">
        <v>0</v>
      </c>
      <c r="Y99" s="93">
        <v>0</v>
      </c>
      <c r="Z99" s="129">
        <v>0</v>
      </c>
      <c r="AA99" s="155">
        <f t="shared" si="4"/>
        <v>0</v>
      </c>
      <c r="AB99" s="98">
        <f t="shared" si="4"/>
        <v>0</v>
      </c>
      <c r="AC99"/>
      <c r="AD99" s="97">
        <v>0</v>
      </c>
      <c r="AE99" s="92">
        <v>0</v>
      </c>
      <c r="AF99" s="98">
        <f t="shared" si="6"/>
        <v>0</v>
      </c>
      <c r="AG99" s="97">
        <v>0</v>
      </c>
      <c r="AH99" s="92">
        <v>0</v>
      </c>
      <c r="AI99" s="98">
        <f t="shared" si="7"/>
        <v>0</v>
      </c>
      <c r="AJ99" s="99">
        <f t="shared" si="5"/>
        <v>0</v>
      </c>
      <c r="AK99" s="102" t="str">
        <f>+IF(X99+W99+AJ99&lt;=0, "NO COMPRADOR", +IF(AJ99&lt;=0, "SIN COMPRA "&amp;+UPPER(TEXT('DINAMICA ENERO 26'!$C$2,"mmm 'yy")), "COMPRADOR"))</f>
        <v>NO COMPRADOR</v>
      </c>
      <c r="AM99" s="101"/>
    </row>
    <row r="100" spans="1:43" s="104" customFormat="1">
      <c r="A100" s="88" t="s">
        <v>85</v>
      </c>
      <c r="B100" s="89" t="s">
        <v>157</v>
      </c>
      <c r="C100" s="89" t="s">
        <v>52</v>
      </c>
      <c r="D100" s="103">
        <v>100066856</v>
      </c>
      <c r="E100" s="89" t="s">
        <v>54</v>
      </c>
      <c r="F100" s="89">
        <v>100087607</v>
      </c>
      <c r="G100" s="128" t="s">
        <v>189</v>
      </c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 s="93">
        <v>57.12</v>
      </c>
      <c r="X100" s="129">
        <v>57.12</v>
      </c>
      <c r="Y100" s="93">
        <v>40.799999999999997</v>
      </c>
      <c r="Z100" s="129">
        <v>24.48</v>
      </c>
      <c r="AA100" s="155">
        <f t="shared" si="4"/>
        <v>48.959999999999994</v>
      </c>
      <c r="AB100" s="98">
        <f t="shared" si="4"/>
        <v>40.799999999999997</v>
      </c>
      <c r="AC100"/>
      <c r="AD100" s="97">
        <v>0</v>
      </c>
      <c r="AE100" s="92">
        <v>0</v>
      </c>
      <c r="AF100" s="98">
        <f t="shared" si="6"/>
        <v>0</v>
      </c>
      <c r="AG100" s="97">
        <v>0</v>
      </c>
      <c r="AH100" s="92">
        <v>0</v>
      </c>
      <c r="AI100" s="98">
        <f t="shared" si="7"/>
        <v>0</v>
      </c>
      <c r="AJ100" s="99">
        <f t="shared" si="5"/>
        <v>0</v>
      </c>
      <c r="AK100" s="102" t="str">
        <f>+IF(X100+W100+AJ100&lt;=0, "NO COMPRADOR", +IF(AJ100&lt;=0, "SIN COMPRA "&amp;+UPPER(TEXT('DINAMICA ENERO 26'!$C$2,"mmm 'yy")), "COMPRADOR"))</f>
        <v>SIN COMPRA FEB '26</v>
      </c>
      <c r="AL100" s="100"/>
      <c r="AM100" s="101"/>
      <c r="AN100" s="100"/>
      <c r="AO100" s="100"/>
      <c r="AP100" s="100"/>
    </row>
    <row r="101" spans="1:43" s="104" customFormat="1">
      <c r="A101" s="88" t="s">
        <v>85</v>
      </c>
      <c r="B101" s="89" t="s">
        <v>157</v>
      </c>
      <c r="C101" s="89" t="s">
        <v>52</v>
      </c>
      <c r="D101" s="103">
        <v>100066856</v>
      </c>
      <c r="E101" s="89" t="s">
        <v>54</v>
      </c>
      <c r="F101" s="89">
        <v>100088062</v>
      </c>
      <c r="G101" s="128" t="s">
        <v>190</v>
      </c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 s="93">
        <v>0</v>
      </c>
      <c r="X101" s="129">
        <v>0</v>
      </c>
      <c r="Y101" s="93">
        <v>8.16</v>
      </c>
      <c r="Z101" s="129">
        <v>8.16</v>
      </c>
      <c r="AA101" s="155">
        <f t="shared" si="4"/>
        <v>4.08</v>
      </c>
      <c r="AB101" s="98">
        <f t="shared" si="4"/>
        <v>4.08</v>
      </c>
      <c r="AC101"/>
      <c r="AD101" s="97">
        <v>-8.16</v>
      </c>
      <c r="AE101" s="92">
        <v>0</v>
      </c>
      <c r="AF101" s="98">
        <f t="shared" si="6"/>
        <v>-8.16</v>
      </c>
      <c r="AG101" s="97">
        <v>-8.16</v>
      </c>
      <c r="AH101" s="92">
        <v>0</v>
      </c>
      <c r="AI101" s="98">
        <f t="shared" si="7"/>
        <v>-8.16</v>
      </c>
      <c r="AJ101" s="99">
        <f t="shared" si="5"/>
        <v>-16.32</v>
      </c>
      <c r="AK101" s="102" t="str">
        <f>+IF(X101+W101+AJ101&lt;=0, "NO COMPRADOR", +IF(AJ101&lt;=0, "SIN COMPRA "&amp;+UPPER(TEXT('DINAMICA ENERO 26'!$C$2,"mmm 'yy")), "COMPRADOR"))</f>
        <v>NO COMPRADOR</v>
      </c>
      <c r="AL101" s="100"/>
      <c r="AM101" s="101"/>
      <c r="AN101" s="100"/>
      <c r="AO101" s="100"/>
      <c r="AP101" s="100"/>
    </row>
    <row r="102" spans="1:43" s="104" customFormat="1">
      <c r="A102" s="88" t="s">
        <v>85</v>
      </c>
      <c r="B102" s="89" t="s">
        <v>157</v>
      </c>
      <c r="C102" s="89" t="s">
        <v>52</v>
      </c>
      <c r="D102" s="103">
        <v>100066856</v>
      </c>
      <c r="E102" s="89" t="s">
        <v>54</v>
      </c>
      <c r="F102" s="89">
        <v>100087789</v>
      </c>
      <c r="G102" s="128" t="s">
        <v>191</v>
      </c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 s="93">
        <v>40.799999999999997</v>
      </c>
      <c r="X102" s="129">
        <v>40.799999999999997</v>
      </c>
      <c r="Y102" s="93">
        <v>57.11999999999999</v>
      </c>
      <c r="Z102" s="129">
        <v>57.11999999999999</v>
      </c>
      <c r="AA102" s="155">
        <f t="shared" si="4"/>
        <v>48.959999999999994</v>
      </c>
      <c r="AB102" s="98">
        <f t="shared" si="4"/>
        <v>48.959999999999994</v>
      </c>
      <c r="AC102"/>
      <c r="AD102" s="97">
        <v>24.48</v>
      </c>
      <c r="AE102" s="92">
        <v>0</v>
      </c>
      <c r="AF102" s="98">
        <f t="shared" si="6"/>
        <v>24.48</v>
      </c>
      <c r="AG102" s="97">
        <v>16.32</v>
      </c>
      <c r="AH102" s="92">
        <v>0</v>
      </c>
      <c r="AI102" s="98">
        <f t="shared" si="7"/>
        <v>16.32</v>
      </c>
      <c r="AJ102" s="99">
        <f t="shared" si="5"/>
        <v>40.799999999999997</v>
      </c>
      <c r="AK102" s="102" t="str">
        <f>+IF(X102+W102+AJ102&lt;=0, "NO COMPRADOR", +IF(AJ102&lt;=0, "SIN COMPRA "&amp;+UPPER(TEXT('DINAMICA ENERO 26'!$C$2,"mmm 'yy")), "COMPRADOR"))</f>
        <v>COMPRADOR</v>
      </c>
      <c r="AL102" s="100"/>
      <c r="AM102" s="101"/>
      <c r="AN102" s="100"/>
      <c r="AO102" s="100"/>
      <c r="AP102" s="100"/>
    </row>
    <row r="103" spans="1:43" s="104" customFormat="1">
      <c r="A103" s="88" t="s">
        <v>85</v>
      </c>
      <c r="B103" s="89" t="s">
        <v>157</v>
      </c>
      <c r="C103" s="89" t="s">
        <v>52</v>
      </c>
      <c r="D103" s="103">
        <v>100066856</v>
      </c>
      <c r="E103" s="89" t="s">
        <v>54</v>
      </c>
      <c r="F103" s="89">
        <v>100016352</v>
      </c>
      <c r="G103" s="128" t="s">
        <v>192</v>
      </c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 s="93">
        <v>8.16</v>
      </c>
      <c r="X103" s="129">
        <v>8.16</v>
      </c>
      <c r="Y103" s="93">
        <v>0</v>
      </c>
      <c r="Z103" s="129">
        <v>0</v>
      </c>
      <c r="AA103" s="155">
        <f t="shared" si="4"/>
        <v>4.08</v>
      </c>
      <c r="AB103" s="98">
        <f t="shared" si="4"/>
        <v>4.08</v>
      </c>
      <c r="AC103"/>
      <c r="AD103" s="97">
        <v>0</v>
      </c>
      <c r="AE103" s="92">
        <v>0</v>
      </c>
      <c r="AF103" s="98">
        <f t="shared" si="6"/>
        <v>0</v>
      </c>
      <c r="AG103" s="97">
        <v>0</v>
      </c>
      <c r="AH103" s="92">
        <v>0</v>
      </c>
      <c r="AI103" s="98">
        <f t="shared" si="7"/>
        <v>0</v>
      </c>
      <c r="AJ103" s="99">
        <f t="shared" si="5"/>
        <v>0</v>
      </c>
      <c r="AK103" s="102" t="str">
        <f>+IF(X103+W103+AJ103&lt;=0, "NO COMPRADOR", +IF(AJ103&lt;=0, "SIN COMPRA "&amp;+UPPER(TEXT('DINAMICA ENERO 26'!$C$2,"mmm 'yy")), "COMPRADOR"))</f>
        <v>SIN COMPRA FEB '26</v>
      </c>
      <c r="AL103" s="100"/>
      <c r="AM103" s="101"/>
      <c r="AN103" s="100"/>
      <c r="AO103" s="100"/>
      <c r="AP103" s="100"/>
    </row>
    <row r="104" spans="1:43" s="100" customFormat="1">
      <c r="A104" s="88" t="s">
        <v>85</v>
      </c>
      <c r="B104" s="89" t="s">
        <v>157</v>
      </c>
      <c r="C104" s="89" t="s">
        <v>52</v>
      </c>
      <c r="D104" s="103">
        <v>100066856</v>
      </c>
      <c r="E104" s="89" t="s">
        <v>54</v>
      </c>
      <c r="F104" s="89">
        <v>100083764</v>
      </c>
      <c r="G104" s="128" t="s">
        <v>193</v>
      </c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 s="93">
        <v>8.16</v>
      </c>
      <c r="X104" s="129">
        <v>8.16</v>
      </c>
      <c r="Y104" s="93">
        <v>-8.16</v>
      </c>
      <c r="Z104" s="129">
        <v>-8.16</v>
      </c>
      <c r="AA104" s="155">
        <f t="shared" si="4"/>
        <v>0</v>
      </c>
      <c r="AB104" s="98">
        <f t="shared" si="4"/>
        <v>0</v>
      </c>
      <c r="AC104"/>
      <c r="AD104" s="97">
        <v>0</v>
      </c>
      <c r="AE104" s="92">
        <v>0</v>
      </c>
      <c r="AF104" s="98">
        <f t="shared" si="6"/>
        <v>0</v>
      </c>
      <c r="AG104" s="97">
        <v>0</v>
      </c>
      <c r="AH104" s="92">
        <v>0</v>
      </c>
      <c r="AI104" s="98">
        <f t="shared" si="7"/>
        <v>0</v>
      </c>
      <c r="AJ104" s="99">
        <f t="shared" si="5"/>
        <v>0</v>
      </c>
      <c r="AK104" s="102" t="str">
        <f>+IF(X104+W104+AJ104&lt;=0, "NO COMPRADOR", +IF(AJ104&lt;=0, "SIN COMPRA "&amp;+UPPER(TEXT('DINAMICA ENERO 26'!$C$2,"mmm 'yy")), "COMPRADOR"))</f>
        <v>SIN COMPRA FEB '26</v>
      </c>
      <c r="AM104" s="101"/>
    </row>
    <row r="105" spans="1:43" s="100" customFormat="1">
      <c r="A105" s="88" t="s">
        <v>85</v>
      </c>
      <c r="B105" s="89" t="s">
        <v>157</v>
      </c>
      <c r="C105" s="89" t="s">
        <v>52</v>
      </c>
      <c r="D105" s="103">
        <v>100066856</v>
      </c>
      <c r="E105" s="89" t="s">
        <v>54</v>
      </c>
      <c r="F105" s="89">
        <v>100071616</v>
      </c>
      <c r="G105" s="128" t="s">
        <v>194</v>
      </c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 s="93">
        <v>24.48</v>
      </c>
      <c r="X105" s="129">
        <v>24.48</v>
      </c>
      <c r="Y105" s="93">
        <v>408</v>
      </c>
      <c r="Z105" s="129">
        <v>408</v>
      </c>
      <c r="AA105" s="155">
        <f t="shared" si="4"/>
        <v>216.24</v>
      </c>
      <c r="AB105" s="98">
        <f t="shared" si="4"/>
        <v>216.24</v>
      </c>
      <c r="AC105"/>
      <c r="AD105" s="97">
        <v>0</v>
      </c>
      <c r="AE105" s="92">
        <v>0</v>
      </c>
      <c r="AF105" s="98">
        <f t="shared" si="6"/>
        <v>0</v>
      </c>
      <c r="AG105" s="97">
        <v>0</v>
      </c>
      <c r="AH105" s="92">
        <v>0</v>
      </c>
      <c r="AI105" s="98">
        <f t="shared" si="7"/>
        <v>0</v>
      </c>
      <c r="AJ105" s="99">
        <f t="shared" si="5"/>
        <v>0</v>
      </c>
      <c r="AK105" s="102" t="str">
        <f>+IF(X105+W105+AJ105&lt;=0, "NO COMPRADOR", +IF(AJ105&lt;=0, "SIN COMPRA "&amp;+UPPER(TEXT('DINAMICA ENERO 26'!$C$2,"mmm 'yy")), "COMPRADOR"))</f>
        <v>SIN COMPRA FEB '26</v>
      </c>
      <c r="AM105" s="101"/>
    </row>
    <row r="106" spans="1:43" s="100" customFormat="1">
      <c r="A106" s="88" t="s">
        <v>85</v>
      </c>
      <c r="B106" s="89" t="s">
        <v>157</v>
      </c>
      <c r="C106" s="89" t="s">
        <v>52</v>
      </c>
      <c r="D106" s="103">
        <v>100066856</v>
      </c>
      <c r="E106" s="89" t="s">
        <v>54</v>
      </c>
      <c r="F106" s="89">
        <v>100011726</v>
      </c>
      <c r="G106" s="128" t="s">
        <v>195</v>
      </c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 s="93">
        <v>0</v>
      </c>
      <c r="X106" s="129">
        <v>0</v>
      </c>
      <c r="Y106" s="93">
        <v>0</v>
      </c>
      <c r="Z106" s="129">
        <v>0</v>
      </c>
      <c r="AA106" s="155">
        <f t="shared" si="4"/>
        <v>0</v>
      </c>
      <c r="AB106" s="98">
        <f t="shared" si="4"/>
        <v>0</v>
      </c>
      <c r="AC106"/>
      <c r="AD106" s="97">
        <v>0</v>
      </c>
      <c r="AE106" s="92">
        <v>0</v>
      </c>
      <c r="AF106" s="98">
        <f t="shared" si="6"/>
        <v>0</v>
      </c>
      <c r="AG106" s="97">
        <v>0</v>
      </c>
      <c r="AH106" s="92">
        <v>0</v>
      </c>
      <c r="AI106" s="98">
        <f t="shared" si="7"/>
        <v>0</v>
      </c>
      <c r="AJ106" s="99">
        <f t="shared" si="5"/>
        <v>0</v>
      </c>
      <c r="AK106" s="102" t="str">
        <f>+IF(X106+W106+AJ106&lt;=0, "NO COMPRADOR", +IF(AJ106&lt;=0, "SIN COMPRA "&amp;+UPPER(TEXT('DINAMICA ENERO 26'!$C$2,"mmm 'yy")), "COMPRADOR"))</f>
        <v>NO COMPRADOR</v>
      </c>
      <c r="AM106" s="101"/>
      <c r="AQ106" s="100" t="e">
        <f>+VLOOKUP(AO106,Veggies!X:Y,2,FALSE)</f>
        <v>#N/A</v>
      </c>
    </row>
    <row r="107" spans="1:43" s="100" customFormat="1">
      <c r="A107" s="88" t="s">
        <v>85</v>
      </c>
      <c r="B107" s="89" t="s">
        <v>157</v>
      </c>
      <c r="C107" s="89" t="s">
        <v>52</v>
      </c>
      <c r="D107" s="103">
        <v>100066856</v>
      </c>
      <c r="E107" s="89" t="s">
        <v>54</v>
      </c>
      <c r="F107" s="89">
        <v>100077612</v>
      </c>
      <c r="G107" s="128" t="s">
        <v>196</v>
      </c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 s="93">
        <v>8.16</v>
      </c>
      <c r="X107" s="129">
        <v>8.16</v>
      </c>
      <c r="Y107" s="93">
        <v>0</v>
      </c>
      <c r="Z107" s="129">
        <v>0</v>
      </c>
      <c r="AA107" s="155">
        <f t="shared" si="4"/>
        <v>4.08</v>
      </c>
      <c r="AB107" s="98">
        <f t="shared" si="4"/>
        <v>4.08</v>
      </c>
      <c r="AC107"/>
      <c r="AD107" s="97">
        <v>0</v>
      </c>
      <c r="AE107" s="92">
        <v>0</v>
      </c>
      <c r="AF107" s="98">
        <f t="shared" si="6"/>
        <v>0</v>
      </c>
      <c r="AG107" s="97">
        <v>0</v>
      </c>
      <c r="AH107" s="92">
        <v>0</v>
      </c>
      <c r="AI107" s="98">
        <f t="shared" si="7"/>
        <v>0</v>
      </c>
      <c r="AJ107" s="99">
        <f t="shared" si="5"/>
        <v>0</v>
      </c>
      <c r="AK107" s="102" t="str">
        <f>+IF(X107+W107+AJ107&lt;=0, "NO COMPRADOR", +IF(AJ107&lt;=0, "SIN COMPRA "&amp;+UPPER(TEXT('DINAMICA ENERO 26'!$C$2,"mmm 'yy")), "COMPRADOR"))</f>
        <v>SIN COMPRA FEB '26</v>
      </c>
      <c r="AM107" s="101"/>
      <c r="AQ107" s="100" t="e">
        <f>+VLOOKUP(AO107,Veggies!X:Y,2,FALSE)</f>
        <v>#N/A</v>
      </c>
    </row>
    <row r="108" spans="1:43" s="104" customFormat="1">
      <c r="A108" s="88" t="s">
        <v>85</v>
      </c>
      <c r="B108" s="89" t="s">
        <v>157</v>
      </c>
      <c r="C108" s="89" t="s">
        <v>52</v>
      </c>
      <c r="D108" s="103">
        <v>100066856</v>
      </c>
      <c r="E108" s="89" t="s">
        <v>54</v>
      </c>
      <c r="F108" s="89">
        <v>100073860</v>
      </c>
      <c r="G108" s="128" t="s">
        <v>197</v>
      </c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 s="93">
        <v>0</v>
      </c>
      <c r="X108" s="129">
        <v>0</v>
      </c>
      <c r="Y108" s="93">
        <v>0</v>
      </c>
      <c r="Z108" s="129">
        <v>0</v>
      </c>
      <c r="AA108" s="155">
        <f t="shared" si="4"/>
        <v>0</v>
      </c>
      <c r="AB108" s="98">
        <f t="shared" si="4"/>
        <v>0</v>
      </c>
      <c r="AC108"/>
      <c r="AD108" s="97">
        <v>0</v>
      </c>
      <c r="AE108" s="92">
        <v>0</v>
      </c>
      <c r="AF108" s="98">
        <f t="shared" si="6"/>
        <v>0</v>
      </c>
      <c r="AG108" s="97">
        <v>0</v>
      </c>
      <c r="AH108" s="92">
        <v>0</v>
      </c>
      <c r="AI108" s="98">
        <f t="shared" si="7"/>
        <v>0</v>
      </c>
      <c r="AJ108" s="99">
        <f t="shared" si="5"/>
        <v>0</v>
      </c>
      <c r="AK108" s="102" t="str">
        <f>+IF(X108+W108+AJ108&lt;=0, "NO COMPRADOR", +IF(AJ108&lt;=0, "SIN COMPRA "&amp;+UPPER(TEXT('DINAMICA ENERO 26'!$C$2,"mmm 'yy")), "COMPRADOR"))</f>
        <v>NO COMPRADOR</v>
      </c>
      <c r="AL108" s="100"/>
      <c r="AM108" s="101"/>
      <c r="AN108" s="100"/>
      <c r="AO108" s="100"/>
      <c r="AP108" s="100"/>
      <c r="AQ108" s="100" t="e">
        <f>+VLOOKUP(AO108,Veggies!X:Y,2,FALSE)</f>
        <v>#N/A</v>
      </c>
    </row>
    <row r="109" spans="1:43" s="100" customFormat="1">
      <c r="A109" s="88" t="s">
        <v>85</v>
      </c>
      <c r="B109" s="89" t="s">
        <v>157</v>
      </c>
      <c r="C109" s="89" t="s">
        <v>52</v>
      </c>
      <c r="D109" s="103">
        <v>100066856</v>
      </c>
      <c r="E109" s="89" t="s">
        <v>54</v>
      </c>
      <c r="F109" s="89">
        <v>100002246</v>
      </c>
      <c r="G109" s="128" t="s">
        <v>198</v>
      </c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 s="93">
        <v>0</v>
      </c>
      <c r="X109" s="129">
        <v>0</v>
      </c>
      <c r="Y109" s="93">
        <v>0</v>
      </c>
      <c r="Z109" s="129">
        <v>0</v>
      </c>
      <c r="AA109" s="155">
        <f t="shared" si="4"/>
        <v>0</v>
      </c>
      <c r="AB109" s="98">
        <f t="shared" si="4"/>
        <v>0</v>
      </c>
      <c r="AC109"/>
      <c r="AD109" s="97">
        <v>0</v>
      </c>
      <c r="AE109" s="92">
        <v>0</v>
      </c>
      <c r="AF109" s="98">
        <f t="shared" si="6"/>
        <v>0</v>
      </c>
      <c r="AG109" s="97">
        <v>0</v>
      </c>
      <c r="AH109" s="92">
        <v>0</v>
      </c>
      <c r="AI109" s="98">
        <f t="shared" si="7"/>
        <v>0</v>
      </c>
      <c r="AJ109" s="99">
        <f t="shared" si="5"/>
        <v>0</v>
      </c>
      <c r="AK109" s="102" t="str">
        <f>+IF(X109+W109+AJ109&lt;=0, "NO COMPRADOR", +IF(AJ109&lt;=0, "SIN COMPRA "&amp;+UPPER(TEXT('DINAMICA ENERO 26'!$C$2,"mmm 'yy")), "COMPRADOR"))</f>
        <v>NO COMPRADOR</v>
      </c>
      <c r="AM109" s="101"/>
      <c r="AQ109" s="100" t="e">
        <f>+VLOOKUP(AO109,Veggies!X:Y,2,FALSE)</f>
        <v>#N/A</v>
      </c>
    </row>
    <row r="110" spans="1:43" s="104" customFormat="1">
      <c r="A110" s="88" t="s">
        <v>85</v>
      </c>
      <c r="B110" s="89" t="s">
        <v>157</v>
      </c>
      <c r="C110" s="89" t="s">
        <v>52</v>
      </c>
      <c r="D110" s="103">
        <v>100066856</v>
      </c>
      <c r="E110" s="89" t="s">
        <v>54</v>
      </c>
      <c r="F110" s="89">
        <v>100071232</v>
      </c>
      <c r="G110" s="128" t="s">
        <v>199</v>
      </c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 s="93">
        <v>0</v>
      </c>
      <c r="X110" s="129">
        <v>0</v>
      </c>
      <c r="Y110" s="93">
        <v>0</v>
      </c>
      <c r="Z110" s="129">
        <v>0</v>
      </c>
      <c r="AA110" s="155">
        <f t="shared" si="4"/>
        <v>0</v>
      </c>
      <c r="AB110" s="98">
        <f t="shared" si="4"/>
        <v>0</v>
      </c>
      <c r="AC110"/>
      <c r="AD110" s="97">
        <v>0</v>
      </c>
      <c r="AE110" s="92">
        <v>0</v>
      </c>
      <c r="AF110" s="98">
        <f t="shared" si="6"/>
        <v>0</v>
      </c>
      <c r="AG110" s="97">
        <v>0</v>
      </c>
      <c r="AH110" s="92">
        <v>0</v>
      </c>
      <c r="AI110" s="98">
        <f t="shared" si="7"/>
        <v>0</v>
      </c>
      <c r="AJ110" s="99">
        <f t="shared" si="5"/>
        <v>0</v>
      </c>
      <c r="AK110" s="102" t="str">
        <f>+IF(X110+W110+AJ110&lt;=0, "NO COMPRADOR", +IF(AJ110&lt;=0, "SIN COMPRA "&amp;+UPPER(TEXT('DINAMICA ENERO 26'!$C$2,"mmm 'yy")), "COMPRADOR"))</f>
        <v>NO COMPRADOR</v>
      </c>
      <c r="AL110" s="100"/>
      <c r="AM110" s="101"/>
      <c r="AN110" s="100"/>
      <c r="AO110" s="100"/>
      <c r="AP110" s="100"/>
      <c r="AQ110" s="100" t="e">
        <f>+VLOOKUP(AO110,Veggies!X:Y,2,FALSE)</f>
        <v>#N/A</v>
      </c>
    </row>
    <row r="111" spans="1:43" s="104" customFormat="1">
      <c r="A111" s="88" t="s">
        <v>85</v>
      </c>
      <c r="B111" s="89" t="s">
        <v>157</v>
      </c>
      <c r="C111" s="89" t="s">
        <v>52</v>
      </c>
      <c r="D111" s="103">
        <v>100066856</v>
      </c>
      <c r="E111" s="89" t="s">
        <v>54</v>
      </c>
      <c r="F111" s="89">
        <v>100076868</v>
      </c>
      <c r="G111" s="128" t="s">
        <v>200</v>
      </c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 s="93">
        <v>16.32</v>
      </c>
      <c r="X111" s="129">
        <v>16.32</v>
      </c>
      <c r="Y111" s="93">
        <v>0</v>
      </c>
      <c r="Z111" s="129">
        <v>0</v>
      </c>
      <c r="AA111" s="155">
        <f t="shared" si="4"/>
        <v>8.16</v>
      </c>
      <c r="AB111" s="98">
        <f t="shared" si="4"/>
        <v>8.16</v>
      </c>
      <c r="AC111"/>
      <c r="AD111" s="97">
        <v>8.16</v>
      </c>
      <c r="AE111" s="92">
        <v>0</v>
      </c>
      <c r="AF111" s="98">
        <f t="shared" si="6"/>
        <v>8.16</v>
      </c>
      <c r="AG111" s="97">
        <v>8.16</v>
      </c>
      <c r="AH111" s="92">
        <v>0</v>
      </c>
      <c r="AI111" s="98">
        <f t="shared" si="7"/>
        <v>8.16</v>
      </c>
      <c r="AJ111" s="99">
        <f t="shared" si="5"/>
        <v>16.32</v>
      </c>
      <c r="AK111" s="102" t="str">
        <f>+IF(X111+W111+AJ111&lt;=0, "NO COMPRADOR", +IF(AJ111&lt;=0, "SIN COMPRA "&amp;+UPPER(TEXT('DINAMICA ENERO 26'!$C$2,"mmm 'yy")), "COMPRADOR"))</f>
        <v>COMPRADOR</v>
      </c>
      <c r="AL111" s="100"/>
      <c r="AM111" s="101"/>
      <c r="AN111" s="100"/>
      <c r="AO111" s="100"/>
      <c r="AP111" s="100"/>
      <c r="AQ111" s="100" t="e">
        <f>+VLOOKUP(AO111,Veggies!X:Y,2,FALSE)</f>
        <v>#N/A</v>
      </c>
    </row>
    <row r="112" spans="1:43" s="100" customFormat="1">
      <c r="A112" s="88" t="s">
        <v>85</v>
      </c>
      <c r="B112" s="89" t="s">
        <v>157</v>
      </c>
      <c r="C112" s="89" t="s">
        <v>52</v>
      </c>
      <c r="D112" s="103">
        <v>100066856</v>
      </c>
      <c r="E112" s="89" t="s">
        <v>54</v>
      </c>
      <c r="F112" s="89">
        <v>100007082</v>
      </c>
      <c r="G112" s="128" t="s">
        <v>201</v>
      </c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 s="93">
        <v>0</v>
      </c>
      <c r="X112" s="129">
        <v>0</v>
      </c>
      <c r="Y112" s="93">
        <v>0</v>
      </c>
      <c r="Z112" s="129">
        <v>0</v>
      </c>
      <c r="AA112" s="155">
        <f t="shared" si="4"/>
        <v>0</v>
      </c>
      <c r="AB112" s="98">
        <f t="shared" si="4"/>
        <v>0</v>
      </c>
      <c r="AC112"/>
      <c r="AD112" s="97">
        <v>0</v>
      </c>
      <c r="AE112" s="92">
        <v>0</v>
      </c>
      <c r="AF112" s="98">
        <f t="shared" si="6"/>
        <v>0</v>
      </c>
      <c r="AG112" s="97">
        <v>0</v>
      </c>
      <c r="AH112" s="92">
        <v>0</v>
      </c>
      <c r="AI112" s="98">
        <f t="shared" si="7"/>
        <v>0</v>
      </c>
      <c r="AJ112" s="99">
        <f t="shared" si="5"/>
        <v>0</v>
      </c>
      <c r="AK112" s="102" t="str">
        <f>+IF(X112+W112+AJ112&lt;=0, "NO COMPRADOR", +IF(AJ112&lt;=0, "SIN COMPRA "&amp;+UPPER(TEXT('DINAMICA ENERO 26'!$C$2,"mmm 'yy")), "COMPRADOR"))</f>
        <v>NO COMPRADOR</v>
      </c>
      <c r="AM112" s="101"/>
      <c r="AQ112" s="100" t="e">
        <f>+VLOOKUP(AO112,Veggies!X:Y,2,FALSE)</f>
        <v>#N/A</v>
      </c>
    </row>
    <row r="113" spans="1:43" s="100" customFormat="1">
      <c r="A113" s="88" t="s">
        <v>85</v>
      </c>
      <c r="B113" s="89" t="s">
        <v>157</v>
      </c>
      <c r="C113" s="89" t="s">
        <v>52</v>
      </c>
      <c r="D113" s="103">
        <v>100066856</v>
      </c>
      <c r="E113" s="89" t="s">
        <v>54</v>
      </c>
      <c r="F113" s="89">
        <v>100084941</v>
      </c>
      <c r="G113" s="128" t="s">
        <v>202</v>
      </c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 s="93">
        <v>0</v>
      </c>
      <c r="X113" s="129">
        <v>0</v>
      </c>
      <c r="Y113" s="93">
        <v>0</v>
      </c>
      <c r="Z113" s="129">
        <v>0</v>
      </c>
      <c r="AA113" s="155">
        <f t="shared" si="4"/>
        <v>0</v>
      </c>
      <c r="AB113" s="98">
        <f t="shared" si="4"/>
        <v>0</v>
      </c>
      <c r="AC113"/>
      <c r="AD113" s="97">
        <v>0</v>
      </c>
      <c r="AE113" s="92">
        <v>0</v>
      </c>
      <c r="AF113" s="98">
        <f t="shared" si="6"/>
        <v>0</v>
      </c>
      <c r="AG113" s="97">
        <v>0</v>
      </c>
      <c r="AH113" s="92">
        <v>0</v>
      </c>
      <c r="AI113" s="98">
        <f t="shared" si="7"/>
        <v>0</v>
      </c>
      <c r="AJ113" s="99">
        <f t="shared" si="5"/>
        <v>0</v>
      </c>
      <c r="AK113" s="102" t="str">
        <f>+IF(X113+W113+AJ113&lt;=0, "NO COMPRADOR", +IF(AJ113&lt;=0, "SIN COMPRA "&amp;+UPPER(TEXT('DINAMICA ENERO 26'!$C$2,"mmm 'yy")), "COMPRADOR"))</f>
        <v>NO COMPRADOR</v>
      </c>
      <c r="AM113" s="101"/>
      <c r="AQ113" s="100" t="e">
        <f>+VLOOKUP(AO113,Veggies!X:Y,2,FALSE)</f>
        <v>#N/A</v>
      </c>
    </row>
    <row r="114" spans="1:43" s="100" customFormat="1">
      <c r="A114" s="88" t="s">
        <v>85</v>
      </c>
      <c r="B114" s="89" t="s">
        <v>157</v>
      </c>
      <c r="C114" s="89" t="s">
        <v>52</v>
      </c>
      <c r="D114" s="103">
        <v>100066856</v>
      </c>
      <c r="E114" s="89" t="s">
        <v>54</v>
      </c>
      <c r="F114" s="89">
        <v>100071677</v>
      </c>
      <c r="G114" s="128" t="s">
        <v>203</v>
      </c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 s="93">
        <v>8.16</v>
      </c>
      <c r="X114" s="129">
        <v>8.16</v>
      </c>
      <c r="Y114" s="93">
        <v>0</v>
      </c>
      <c r="Z114" s="129">
        <v>24.48</v>
      </c>
      <c r="AA114" s="155">
        <f t="shared" si="4"/>
        <v>4.08</v>
      </c>
      <c r="AB114" s="98">
        <f t="shared" si="4"/>
        <v>16.32</v>
      </c>
      <c r="AC114"/>
      <c r="AD114" s="97">
        <v>0</v>
      </c>
      <c r="AE114" s="92">
        <v>0</v>
      </c>
      <c r="AF114" s="98">
        <f t="shared" si="6"/>
        <v>0</v>
      </c>
      <c r="AG114" s="97">
        <v>0</v>
      </c>
      <c r="AH114" s="92">
        <v>0</v>
      </c>
      <c r="AI114" s="98">
        <f t="shared" si="7"/>
        <v>0</v>
      </c>
      <c r="AJ114" s="99">
        <f t="shared" si="5"/>
        <v>0</v>
      </c>
      <c r="AK114" s="102" t="str">
        <f>+IF(X114+W114+AJ114&lt;=0, "NO COMPRADOR", +IF(AJ114&lt;=0, "SIN COMPRA "&amp;+UPPER(TEXT('DINAMICA ENERO 26'!$C$2,"mmm 'yy")), "COMPRADOR"))</f>
        <v>SIN COMPRA FEB '26</v>
      </c>
      <c r="AM114" s="101"/>
      <c r="AQ114" s="100" t="e">
        <f>+VLOOKUP(AO114,Veggies!X:Y,2,FALSE)</f>
        <v>#N/A</v>
      </c>
    </row>
    <row r="115" spans="1:43" s="100" customFormat="1">
      <c r="A115" s="88" t="s">
        <v>85</v>
      </c>
      <c r="B115" s="89" t="s">
        <v>204</v>
      </c>
      <c r="C115" s="89" t="s">
        <v>52</v>
      </c>
      <c r="D115" s="103">
        <v>100089701</v>
      </c>
      <c r="E115" s="89" t="s">
        <v>58</v>
      </c>
      <c r="F115" s="89">
        <v>100082346</v>
      </c>
      <c r="G115" s="128" t="s">
        <v>205</v>
      </c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 s="93">
        <v>40.799999999999997</v>
      </c>
      <c r="X115" s="129">
        <v>40.799999999999997</v>
      </c>
      <c r="Y115" s="93">
        <v>367.2</v>
      </c>
      <c r="Z115" s="129">
        <v>367.2</v>
      </c>
      <c r="AA115" s="155">
        <f t="shared" si="4"/>
        <v>204</v>
      </c>
      <c r="AB115" s="98">
        <f t="shared" si="4"/>
        <v>204</v>
      </c>
      <c r="AC115"/>
      <c r="AD115" s="97">
        <v>0</v>
      </c>
      <c r="AE115" s="92">
        <v>0</v>
      </c>
      <c r="AF115" s="98">
        <f t="shared" si="6"/>
        <v>0</v>
      </c>
      <c r="AG115" s="97">
        <v>0</v>
      </c>
      <c r="AH115" s="92">
        <v>0</v>
      </c>
      <c r="AI115" s="98">
        <f t="shared" si="7"/>
        <v>0</v>
      </c>
      <c r="AJ115" s="99">
        <f t="shared" si="5"/>
        <v>0</v>
      </c>
      <c r="AK115" s="102" t="str">
        <f>+IF(X115+W115+AJ115&lt;=0, "NO COMPRADOR", +IF(AJ115&lt;=0, "SIN COMPRA "&amp;+UPPER(TEXT('DINAMICA ENERO 26'!$C$2,"mmm 'yy")), "COMPRADOR"))</f>
        <v>SIN COMPRA FEB '26</v>
      </c>
      <c r="AM115" s="101"/>
    </row>
    <row r="116" spans="1:43" s="100" customFormat="1">
      <c r="A116" s="88" t="s">
        <v>85</v>
      </c>
      <c r="B116" s="89" t="s">
        <v>204</v>
      </c>
      <c r="C116" s="89" t="s">
        <v>52</v>
      </c>
      <c r="D116" s="103">
        <v>100089701</v>
      </c>
      <c r="E116" s="89" t="s">
        <v>58</v>
      </c>
      <c r="F116" s="89">
        <v>100009863</v>
      </c>
      <c r="G116" s="128" t="s">
        <v>206</v>
      </c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 s="93">
        <v>0</v>
      </c>
      <c r="X116" s="129">
        <v>0</v>
      </c>
      <c r="Y116" s="93">
        <v>0</v>
      </c>
      <c r="Z116" s="129">
        <v>0</v>
      </c>
      <c r="AA116" s="155">
        <f t="shared" si="4"/>
        <v>0</v>
      </c>
      <c r="AB116" s="98">
        <f t="shared" si="4"/>
        <v>0</v>
      </c>
      <c r="AC116"/>
      <c r="AD116" s="97">
        <v>0</v>
      </c>
      <c r="AE116" s="92">
        <v>0</v>
      </c>
      <c r="AF116" s="98">
        <f t="shared" si="6"/>
        <v>0</v>
      </c>
      <c r="AG116" s="97">
        <v>0</v>
      </c>
      <c r="AH116" s="92">
        <v>0</v>
      </c>
      <c r="AI116" s="98">
        <f t="shared" si="7"/>
        <v>0</v>
      </c>
      <c r="AJ116" s="99">
        <f t="shared" si="5"/>
        <v>0</v>
      </c>
      <c r="AK116" s="102" t="str">
        <f>+IF(X116+W116+AJ116&lt;=0, "NO COMPRADOR", +IF(AJ116&lt;=0, "SIN COMPRA "&amp;+UPPER(TEXT('DINAMICA ENERO 26'!$C$2,"mmm 'yy")), "COMPRADOR"))</f>
        <v>NO COMPRADOR</v>
      </c>
      <c r="AM116" s="101"/>
    </row>
    <row r="117" spans="1:43" s="104" customFormat="1">
      <c r="A117" s="88" t="s">
        <v>85</v>
      </c>
      <c r="B117" s="89" t="s">
        <v>204</v>
      </c>
      <c r="C117" s="89" t="s">
        <v>52</v>
      </c>
      <c r="D117" s="103">
        <v>100089701</v>
      </c>
      <c r="E117" s="89" t="s">
        <v>58</v>
      </c>
      <c r="F117" s="89">
        <v>100080357</v>
      </c>
      <c r="G117" s="128" t="s">
        <v>207</v>
      </c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 s="93">
        <v>8.16</v>
      </c>
      <c r="X117" s="129">
        <v>8.16</v>
      </c>
      <c r="Y117" s="93">
        <v>32.64</v>
      </c>
      <c r="Z117" s="129">
        <v>32.64</v>
      </c>
      <c r="AA117" s="155">
        <f t="shared" si="4"/>
        <v>20.399999999999999</v>
      </c>
      <c r="AB117" s="98">
        <f t="shared" si="4"/>
        <v>20.399999999999999</v>
      </c>
      <c r="AC117"/>
      <c r="AD117" s="97">
        <v>0</v>
      </c>
      <c r="AE117" s="92">
        <v>0</v>
      </c>
      <c r="AF117" s="98">
        <f t="shared" si="6"/>
        <v>0</v>
      </c>
      <c r="AG117" s="97">
        <v>0</v>
      </c>
      <c r="AH117" s="92">
        <v>0</v>
      </c>
      <c r="AI117" s="98">
        <f t="shared" si="7"/>
        <v>0</v>
      </c>
      <c r="AJ117" s="99">
        <f t="shared" si="5"/>
        <v>0</v>
      </c>
      <c r="AK117" s="102" t="str">
        <f>+IF(X117+W117+AJ117&lt;=0, "NO COMPRADOR", +IF(AJ117&lt;=0, "SIN COMPRA "&amp;+UPPER(TEXT('DINAMICA ENERO 26'!$C$2,"mmm 'yy")), "COMPRADOR"))</f>
        <v>SIN COMPRA FEB '26</v>
      </c>
      <c r="AL117" s="100"/>
      <c r="AM117" s="101"/>
      <c r="AN117" s="100"/>
      <c r="AO117" s="100"/>
      <c r="AP117" s="100"/>
    </row>
    <row r="118" spans="1:43" s="100" customFormat="1">
      <c r="A118" s="88" t="s">
        <v>85</v>
      </c>
      <c r="B118" s="89" t="s">
        <v>204</v>
      </c>
      <c r="C118" s="89" t="s">
        <v>52</v>
      </c>
      <c r="D118" s="103">
        <v>100089701</v>
      </c>
      <c r="E118" s="89" t="s">
        <v>58</v>
      </c>
      <c r="F118" s="89">
        <v>100046307</v>
      </c>
      <c r="G118" s="128" t="s">
        <v>208</v>
      </c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 s="93">
        <v>0</v>
      </c>
      <c r="X118" s="129">
        <v>8.16</v>
      </c>
      <c r="Y118" s="93">
        <v>0</v>
      </c>
      <c r="Z118" s="129">
        <v>48.96</v>
      </c>
      <c r="AA118" s="155">
        <f t="shared" si="4"/>
        <v>0</v>
      </c>
      <c r="AB118" s="98">
        <f t="shared" si="4"/>
        <v>28.560000000000002</v>
      </c>
      <c r="AC118"/>
      <c r="AD118" s="97">
        <v>40.799999999999997</v>
      </c>
      <c r="AE118" s="92">
        <v>0</v>
      </c>
      <c r="AF118" s="98">
        <f t="shared" si="6"/>
        <v>40.799999999999997</v>
      </c>
      <c r="AG118" s="97">
        <v>122.4</v>
      </c>
      <c r="AH118" s="92">
        <v>0</v>
      </c>
      <c r="AI118" s="98">
        <f t="shared" si="7"/>
        <v>122.4</v>
      </c>
      <c r="AJ118" s="99">
        <f t="shared" si="5"/>
        <v>163.19999999999999</v>
      </c>
      <c r="AK118" s="102" t="str">
        <f>+IF(X118+W118+AJ118&lt;=0, "NO COMPRADOR", +IF(AJ118&lt;=0, "SIN COMPRA "&amp;+UPPER(TEXT('DINAMICA ENERO 26'!$C$2,"mmm 'yy")), "COMPRADOR"))</f>
        <v>COMPRADOR</v>
      </c>
      <c r="AM118" s="101"/>
    </row>
    <row r="119" spans="1:43" s="104" customFormat="1">
      <c r="A119" s="88" t="s">
        <v>85</v>
      </c>
      <c r="B119" s="89" t="s">
        <v>204</v>
      </c>
      <c r="C119" s="89" t="s">
        <v>52</v>
      </c>
      <c r="D119" s="103">
        <v>100089701</v>
      </c>
      <c r="E119" s="89" t="s">
        <v>58</v>
      </c>
      <c r="F119" s="89">
        <v>100087065</v>
      </c>
      <c r="G119" s="128" t="s">
        <v>209</v>
      </c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 s="93">
        <v>0</v>
      </c>
      <c r="X119" s="129">
        <v>0</v>
      </c>
      <c r="Y119" s="93">
        <v>0</v>
      </c>
      <c r="Z119" s="129">
        <v>0</v>
      </c>
      <c r="AA119" s="155">
        <f t="shared" si="4"/>
        <v>0</v>
      </c>
      <c r="AB119" s="98">
        <f t="shared" si="4"/>
        <v>0</v>
      </c>
      <c r="AC119"/>
      <c r="AD119" s="97">
        <v>0</v>
      </c>
      <c r="AE119" s="92">
        <v>0</v>
      </c>
      <c r="AF119" s="98">
        <f t="shared" si="6"/>
        <v>0</v>
      </c>
      <c r="AG119" s="97">
        <v>0</v>
      </c>
      <c r="AH119" s="92">
        <v>0</v>
      </c>
      <c r="AI119" s="98">
        <f t="shared" si="7"/>
        <v>0</v>
      </c>
      <c r="AJ119" s="99">
        <f t="shared" si="5"/>
        <v>0</v>
      </c>
      <c r="AK119" s="102" t="str">
        <f>+IF(X119+W119+AJ119&lt;=0, "NO COMPRADOR", +IF(AJ119&lt;=0, "SIN COMPRA "&amp;+UPPER(TEXT('DINAMICA ENERO 26'!$C$2,"mmm 'yy")), "COMPRADOR"))</f>
        <v>NO COMPRADOR</v>
      </c>
      <c r="AL119" s="100"/>
      <c r="AM119" s="101"/>
      <c r="AN119" s="100"/>
      <c r="AO119" s="100"/>
      <c r="AP119" s="100"/>
    </row>
    <row r="120" spans="1:43" s="104" customFormat="1">
      <c r="A120" s="88" t="s">
        <v>85</v>
      </c>
      <c r="B120" s="89" t="s">
        <v>204</v>
      </c>
      <c r="C120" s="89" t="s">
        <v>52</v>
      </c>
      <c r="D120" s="103">
        <v>100089701</v>
      </c>
      <c r="E120" s="89" t="s">
        <v>58</v>
      </c>
      <c r="F120" s="89">
        <v>100087742</v>
      </c>
      <c r="G120" s="128" t="s">
        <v>210</v>
      </c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 s="93">
        <v>0</v>
      </c>
      <c r="X120" s="129">
        <v>0</v>
      </c>
      <c r="Y120" s="93">
        <v>0</v>
      </c>
      <c r="Z120" s="129">
        <v>0</v>
      </c>
      <c r="AA120" s="155">
        <f t="shared" si="4"/>
        <v>0</v>
      </c>
      <c r="AB120" s="98">
        <f t="shared" si="4"/>
        <v>0</v>
      </c>
      <c r="AC120"/>
      <c r="AD120" s="97">
        <v>0</v>
      </c>
      <c r="AE120" s="92">
        <v>0</v>
      </c>
      <c r="AF120" s="98">
        <f t="shared" si="6"/>
        <v>0</v>
      </c>
      <c r="AG120" s="97">
        <v>0</v>
      </c>
      <c r="AH120" s="92">
        <v>0</v>
      </c>
      <c r="AI120" s="98">
        <f t="shared" si="7"/>
        <v>0</v>
      </c>
      <c r="AJ120" s="99">
        <f t="shared" si="5"/>
        <v>0</v>
      </c>
      <c r="AK120" s="102" t="str">
        <f>+IF(X120+W120+AJ120&lt;=0, "NO COMPRADOR", +IF(AJ120&lt;=0, "SIN COMPRA "&amp;+UPPER(TEXT('DINAMICA ENERO 26'!$C$2,"mmm 'yy")), "COMPRADOR"))</f>
        <v>NO COMPRADOR</v>
      </c>
      <c r="AL120" s="100"/>
      <c r="AM120" s="101"/>
      <c r="AN120" s="100"/>
      <c r="AO120" s="100"/>
      <c r="AP120" s="100"/>
    </row>
    <row r="121" spans="1:43" s="104" customFormat="1">
      <c r="A121" s="88" t="s">
        <v>85</v>
      </c>
      <c r="B121" s="89" t="s">
        <v>204</v>
      </c>
      <c r="C121" s="89" t="s">
        <v>52</v>
      </c>
      <c r="D121" s="103">
        <v>100089701</v>
      </c>
      <c r="E121" s="89" t="s">
        <v>58</v>
      </c>
      <c r="F121" s="89">
        <v>100087748</v>
      </c>
      <c r="G121" s="128" t="s">
        <v>211</v>
      </c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 s="93">
        <v>0</v>
      </c>
      <c r="X121" s="129">
        <v>0</v>
      </c>
      <c r="Y121" s="93">
        <v>0</v>
      </c>
      <c r="Z121" s="129">
        <v>0</v>
      </c>
      <c r="AA121" s="155">
        <f t="shared" si="4"/>
        <v>0</v>
      </c>
      <c r="AB121" s="98">
        <f t="shared" si="4"/>
        <v>0</v>
      </c>
      <c r="AC121"/>
      <c r="AD121" s="97">
        <v>0</v>
      </c>
      <c r="AE121" s="92">
        <v>0</v>
      </c>
      <c r="AF121" s="98">
        <f t="shared" si="6"/>
        <v>0</v>
      </c>
      <c r="AG121" s="97">
        <v>0</v>
      </c>
      <c r="AH121" s="92">
        <v>0</v>
      </c>
      <c r="AI121" s="98">
        <f t="shared" si="7"/>
        <v>0</v>
      </c>
      <c r="AJ121" s="99">
        <f t="shared" si="5"/>
        <v>0</v>
      </c>
      <c r="AK121" s="102" t="str">
        <f>+IF(X121+W121+AJ121&lt;=0, "NO COMPRADOR", +IF(AJ121&lt;=0, "SIN COMPRA "&amp;+UPPER(TEXT('DINAMICA ENERO 26'!$C$2,"mmm 'yy")), "COMPRADOR"))</f>
        <v>NO COMPRADOR</v>
      </c>
      <c r="AL121" s="100"/>
      <c r="AM121" s="101"/>
      <c r="AN121" s="100"/>
      <c r="AO121" s="100"/>
      <c r="AP121" s="100"/>
    </row>
    <row r="122" spans="1:43" s="104" customFormat="1">
      <c r="A122" s="88" t="s">
        <v>85</v>
      </c>
      <c r="B122" s="89" t="s">
        <v>204</v>
      </c>
      <c r="C122" s="89" t="s">
        <v>52</v>
      </c>
      <c r="D122" s="103">
        <v>100089701</v>
      </c>
      <c r="E122" s="89" t="s">
        <v>58</v>
      </c>
      <c r="F122" s="89">
        <v>100022260</v>
      </c>
      <c r="G122" s="128" t="s">
        <v>212</v>
      </c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 s="93">
        <v>0</v>
      </c>
      <c r="X122" s="129">
        <v>8.16</v>
      </c>
      <c r="Y122" s="93">
        <v>0</v>
      </c>
      <c r="Z122" s="129">
        <v>0</v>
      </c>
      <c r="AA122" s="155">
        <f t="shared" si="4"/>
        <v>0</v>
      </c>
      <c r="AB122" s="98">
        <f t="shared" si="4"/>
        <v>4.08</v>
      </c>
      <c r="AC122"/>
      <c r="AD122" s="97">
        <v>0</v>
      </c>
      <c r="AE122" s="92">
        <v>0</v>
      </c>
      <c r="AF122" s="98">
        <f t="shared" si="6"/>
        <v>0</v>
      </c>
      <c r="AG122" s="97">
        <v>0</v>
      </c>
      <c r="AH122" s="92">
        <v>0</v>
      </c>
      <c r="AI122" s="98">
        <f t="shared" si="7"/>
        <v>0</v>
      </c>
      <c r="AJ122" s="99">
        <f t="shared" si="5"/>
        <v>0</v>
      </c>
      <c r="AK122" s="102" t="str">
        <f>+IF(X122+W122+AJ122&lt;=0, "NO COMPRADOR", +IF(AJ122&lt;=0, "SIN COMPRA "&amp;+UPPER(TEXT('DINAMICA ENERO 26'!$C$2,"mmm 'yy")), "COMPRADOR"))</f>
        <v>SIN COMPRA FEB '26</v>
      </c>
      <c r="AL122" s="100"/>
      <c r="AM122" s="101"/>
      <c r="AN122" s="100"/>
      <c r="AO122" s="100"/>
      <c r="AP122" s="100"/>
    </row>
    <row r="123" spans="1:43" s="104" customFormat="1">
      <c r="A123" s="88" t="s">
        <v>85</v>
      </c>
      <c r="B123" s="89" t="s">
        <v>204</v>
      </c>
      <c r="C123" s="89" t="s">
        <v>52</v>
      </c>
      <c r="D123" s="103">
        <v>100089701</v>
      </c>
      <c r="E123" s="89" t="s">
        <v>58</v>
      </c>
      <c r="F123" s="89">
        <v>100085159</v>
      </c>
      <c r="G123" s="128" t="s">
        <v>213</v>
      </c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 s="93">
        <v>0</v>
      </c>
      <c r="X123" s="129">
        <v>0</v>
      </c>
      <c r="Y123" s="93">
        <v>0</v>
      </c>
      <c r="Z123" s="129">
        <v>0</v>
      </c>
      <c r="AA123" s="155">
        <f t="shared" si="4"/>
        <v>0</v>
      </c>
      <c r="AB123" s="98">
        <f t="shared" si="4"/>
        <v>0</v>
      </c>
      <c r="AC123"/>
      <c r="AD123" s="97">
        <v>0</v>
      </c>
      <c r="AE123" s="92">
        <v>0</v>
      </c>
      <c r="AF123" s="98">
        <f t="shared" si="6"/>
        <v>0</v>
      </c>
      <c r="AG123" s="97">
        <v>0</v>
      </c>
      <c r="AH123" s="92">
        <v>0</v>
      </c>
      <c r="AI123" s="98">
        <f t="shared" si="7"/>
        <v>0</v>
      </c>
      <c r="AJ123" s="99">
        <f t="shared" si="5"/>
        <v>0</v>
      </c>
      <c r="AK123" s="102" t="str">
        <f>+IF(X123+W123+AJ123&lt;=0, "NO COMPRADOR", +IF(AJ123&lt;=0, "SIN COMPRA "&amp;+UPPER(TEXT('DINAMICA ENERO 26'!$C$2,"mmm 'yy")), "COMPRADOR"))</f>
        <v>NO COMPRADOR</v>
      </c>
      <c r="AL123" s="100"/>
      <c r="AM123" s="101"/>
      <c r="AN123" s="100"/>
      <c r="AO123" s="100"/>
      <c r="AP123" s="100"/>
    </row>
    <row r="124" spans="1:43" s="104" customFormat="1">
      <c r="A124" s="88" t="s">
        <v>85</v>
      </c>
      <c r="B124" s="89" t="s">
        <v>204</v>
      </c>
      <c r="C124" s="89" t="s">
        <v>52</v>
      </c>
      <c r="D124" s="103">
        <v>100089701</v>
      </c>
      <c r="E124" s="89" t="s">
        <v>58</v>
      </c>
      <c r="F124" s="89">
        <v>100087283</v>
      </c>
      <c r="G124" s="128" t="s">
        <v>214</v>
      </c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 s="93">
        <v>0</v>
      </c>
      <c r="X124" s="129">
        <v>0</v>
      </c>
      <c r="Y124" s="93">
        <v>0</v>
      </c>
      <c r="Z124" s="129">
        <v>0</v>
      </c>
      <c r="AA124" s="155">
        <f t="shared" si="4"/>
        <v>0</v>
      </c>
      <c r="AB124" s="98">
        <f t="shared" si="4"/>
        <v>0</v>
      </c>
      <c r="AC124"/>
      <c r="AD124" s="97">
        <v>32.64</v>
      </c>
      <c r="AE124" s="92">
        <v>0</v>
      </c>
      <c r="AF124" s="98">
        <f t="shared" si="6"/>
        <v>32.64</v>
      </c>
      <c r="AG124" s="97">
        <v>32.64</v>
      </c>
      <c r="AH124" s="92">
        <v>0</v>
      </c>
      <c r="AI124" s="98">
        <f t="shared" si="7"/>
        <v>32.64</v>
      </c>
      <c r="AJ124" s="99">
        <f t="shared" si="5"/>
        <v>65.28</v>
      </c>
      <c r="AK124" s="102" t="str">
        <f>+IF(X124+W124+AJ124&lt;=0, "NO COMPRADOR", +IF(AJ124&lt;=0, "SIN COMPRA "&amp;+UPPER(TEXT('DINAMICA ENERO 26'!$C$2,"mmm 'yy")), "COMPRADOR"))</f>
        <v>COMPRADOR</v>
      </c>
      <c r="AL124" s="100"/>
      <c r="AM124" s="101"/>
      <c r="AN124" s="100"/>
      <c r="AO124" s="100"/>
      <c r="AP124" s="100"/>
    </row>
    <row r="125" spans="1:43" s="104" customFormat="1">
      <c r="A125" s="88" t="s">
        <v>85</v>
      </c>
      <c r="B125" s="89" t="s">
        <v>204</v>
      </c>
      <c r="C125" s="89" t="s">
        <v>52</v>
      </c>
      <c r="D125" s="103">
        <v>100089701</v>
      </c>
      <c r="E125" s="89" t="s">
        <v>58</v>
      </c>
      <c r="F125" s="89">
        <v>100001601</v>
      </c>
      <c r="G125" s="128" t="s">
        <v>215</v>
      </c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 s="93">
        <v>0</v>
      </c>
      <c r="X125" s="129">
        <v>0</v>
      </c>
      <c r="Y125" s="93">
        <v>0</v>
      </c>
      <c r="Z125" s="129">
        <v>0</v>
      </c>
      <c r="AA125" s="155">
        <f t="shared" si="4"/>
        <v>0</v>
      </c>
      <c r="AB125" s="98">
        <f t="shared" si="4"/>
        <v>0</v>
      </c>
      <c r="AC125"/>
      <c r="AD125" s="97">
        <v>0</v>
      </c>
      <c r="AE125" s="92">
        <v>8.16</v>
      </c>
      <c r="AF125" s="98">
        <f t="shared" si="6"/>
        <v>8.16</v>
      </c>
      <c r="AG125" s="97">
        <v>0</v>
      </c>
      <c r="AH125" s="92">
        <v>8.16</v>
      </c>
      <c r="AI125" s="98">
        <f t="shared" si="7"/>
        <v>8.16</v>
      </c>
      <c r="AJ125" s="99">
        <f t="shared" si="5"/>
        <v>16.32</v>
      </c>
      <c r="AK125" s="102" t="str">
        <f>+IF(X125+W125+AJ125&lt;=0, "NO COMPRADOR", +IF(AJ125&lt;=0, "SIN COMPRA "&amp;+UPPER(TEXT('DINAMICA ENERO 26'!$C$2,"mmm 'yy")), "COMPRADOR"))</f>
        <v>COMPRADOR</v>
      </c>
      <c r="AL125" s="100"/>
      <c r="AM125" s="101"/>
      <c r="AN125" s="100"/>
      <c r="AO125" s="100"/>
      <c r="AP125" s="100"/>
    </row>
    <row r="126" spans="1:43" s="104" customFormat="1">
      <c r="A126" s="88" t="s">
        <v>85</v>
      </c>
      <c r="B126" s="89" t="s">
        <v>204</v>
      </c>
      <c r="C126" s="89" t="s">
        <v>52</v>
      </c>
      <c r="D126" s="103">
        <v>100089701</v>
      </c>
      <c r="E126" s="89" t="s">
        <v>58</v>
      </c>
      <c r="F126" s="89">
        <v>100081880</v>
      </c>
      <c r="G126" s="128" t="s">
        <v>216</v>
      </c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 s="93">
        <v>0</v>
      </c>
      <c r="X126" s="129">
        <v>0</v>
      </c>
      <c r="Y126" s="93">
        <v>0</v>
      </c>
      <c r="Z126" s="129">
        <v>0</v>
      </c>
      <c r="AA126" s="155">
        <f t="shared" si="4"/>
        <v>0</v>
      </c>
      <c r="AB126" s="98">
        <f t="shared" si="4"/>
        <v>0</v>
      </c>
      <c r="AC126"/>
      <c r="AD126" s="97">
        <v>0</v>
      </c>
      <c r="AE126" s="92">
        <v>0</v>
      </c>
      <c r="AF126" s="98">
        <f t="shared" si="6"/>
        <v>0</v>
      </c>
      <c r="AG126" s="97">
        <v>0</v>
      </c>
      <c r="AH126" s="92">
        <v>0</v>
      </c>
      <c r="AI126" s="98">
        <f t="shared" si="7"/>
        <v>0</v>
      </c>
      <c r="AJ126" s="99">
        <f t="shared" si="5"/>
        <v>0</v>
      </c>
      <c r="AK126" s="102" t="str">
        <f>+IF(X126+W126+AJ126&lt;=0, "NO COMPRADOR", +IF(AJ126&lt;=0, "SIN COMPRA "&amp;+UPPER(TEXT('DINAMICA ENERO 26'!$C$2,"mmm 'yy")), "COMPRADOR"))</f>
        <v>NO COMPRADOR</v>
      </c>
      <c r="AL126" s="100"/>
      <c r="AM126" s="101"/>
      <c r="AN126" s="100"/>
      <c r="AO126" s="100"/>
      <c r="AP126" s="100"/>
    </row>
    <row r="127" spans="1:43" s="104" customFormat="1">
      <c r="A127" s="88" t="s">
        <v>85</v>
      </c>
      <c r="B127" s="89" t="s">
        <v>204</v>
      </c>
      <c r="C127" s="89" t="s">
        <v>52</v>
      </c>
      <c r="D127" s="103">
        <v>100089701</v>
      </c>
      <c r="E127" s="89" t="s">
        <v>58</v>
      </c>
      <c r="F127" s="89">
        <v>100083522</v>
      </c>
      <c r="G127" s="128" t="s">
        <v>217</v>
      </c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 s="93">
        <v>8.16</v>
      </c>
      <c r="X127" s="129">
        <v>8.16</v>
      </c>
      <c r="Y127" s="93">
        <v>40.799999999999997</v>
      </c>
      <c r="Z127" s="129">
        <v>40.799999999999997</v>
      </c>
      <c r="AA127" s="155">
        <f t="shared" si="4"/>
        <v>24.479999999999997</v>
      </c>
      <c r="AB127" s="98">
        <f t="shared" si="4"/>
        <v>24.479999999999997</v>
      </c>
      <c r="AC127"/>
      <c r="AD127" s="97">
        <v>24.48</v>
      </c>
      <c r="AE127" s="92">
        <v>0</v>
      </c>
      <c r="AF127" s="98">
        <f t="shared" si="6"/>
        <v>24.48</v>
      </c>
      <c r="AG127" s="97">
        <v>16.32</v>
      </c>
      <c r="AH127" s="92">
        <v>0</v>
      </c>
      <c r="AI127" s="98">
        <f t="shared" si="7"/>
        <v>16.32</v>
      </c>
      <c r="AJ127" s="99">
        <f t="shared" si="5"/>
        <v>40.799999999999997</v>
      </c>
      <c r="AK127" s="102" t="str">
        <f>+IF(X127+W127+AJ127&lt;=0, "NO COMPRADOR", +IF(AJ127&lt;=0, "SIN COMPRA "&amp;+UPPER(TEXT('DINAMICA ENERO 26'!$C$2,"mmm 'yy")), "COMPRADOR"))</f>
        <v>COMPRADOR</v>
      </c>
      <c r="AL127" s="100"/>
      <c r="AM127" s="101"/>
      <c r="AN127" s="100"/>
      <c r="AO127" s="100"/>
      <c r="AP127" s="100"/>
      <c r="AQ127" s="100" t="e">
        <f>+VLOOKUP(AO127,Veggies!X:Y,2,FALSE)</f>
        <v>#N/A</v>
      </c>
    </row>
    <row r="128" spans="1:43" s="104" customFormat="1">
      <c r="A128" s="88" t="s">
        <v>85</v>
      </c>
      <c r="B128" s="89" t="s">
        <v>204</v>
      </c>
      <c r="C128" s="89" t="s">
        <v>52</v>
      </c>
      <c r="D128" s="103">
        <v>100089701</v>
      </c>
      <c r="E128" s="89" t="s">
        <v>58</v>
      </c>
      <c r="F128" s="89">
        <v>100073281</v>
      </c>
      <c r="G128" s="128" t="s">
        <v>218</v>
      </c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 s="93">
        <v>81.599999999999994</v>
      </c>
      <c r="X128" s="129">
        <v>81.599999999999994</v>
      </c>
      <c r="Y128" s="93">
        <v>16.32</v>
      </c>
      <c r="Z128" s="129">
        <v>16.32</v>
      </c>
      <c r="AA128" s="155">
        <f t="shared" si="4"/>
        <v>48.959999999999994</v>
      </c>
      <c r="AB128" s="98">
        <f t="shared" si="4"/>
        <v>48.959999999999994</v>
      </c>
      <c r="AC128"/>
      <c r="AD128" s="97">
        <v>40.799999999999997</v>
      </c>
      <c r="AE128" s="92">
        <v>0</v>
      </c>
      <c r="AF128" s="98">
        <f t="shared" si="6"/>
        <v>40.799999999999997</v>
      </c>
      <c r="AG128" s="97">
        <v>40.799999999999997</v>
      </c>
      <c r="AH128" s="92">
        <v>0</v>
      </c>
      <c r="AI128" s="98">
        <f t="shared" si="7"/>
        <v>40.799999999999997</v>
      </c>
      <c r="AJ128" s="99">
        <f t="shared" si="5"/>
        <v>81.599999999999994</v>
      </c>
      <c r="AK128" s="102" t="str">
        <f>+IF(X128+W128+AJ128&lt;=0, "NO COMPRADOR", +IF(AJ128&lt;=0, "SIN COMPRA "&amp;+UPPER(TEXT('DINAMICA ENERO 26'!$C$2,"mmm 'yy")), "COMPRADOR"))</f>
        <v>COMPRADOR</v>
      </c>
      <c r="AL128" s="100"/>
      <c r="AM128" s="101"/>
      <c r="AN128" s="100"/>
      <c r="AO128" s="100"/>
      <c r="AP128" s="100"/>
    </row>
    <row r="129" spans="1:42" s="104" customFormat="1">
      <c r="A129" s="88" t="s">
        <v>85</v>
      </c>
      <c r="B129" s="89" t="s">
        <v>204</v>
      </c>
      <c r="C129" s="89" t="s">
        <v>52</v>
      </c>
      <c r="D129" s="103">
        <v>100089701</v>
      </c>
      <c r="E129" s="89" t="s">
        <v>58</v>
      </c>
      <c r="F129" s="89">
        <v>100051099</v>
      </c>
      <c r="G129" s="128" t="s">
        <v>219</v>
      </c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 s="93">
        <v>0</v>
      </c>
      <c r="X129" s="129">
        <v>0</v>
      </c>
      <c r="Y129" s="93">
        <v>0</v>
      </c>
      <c r="Z129" s="129">
        <v>0</v>
      </c>
      <c r="AA129" s="155">
        <f t="shared" si="4"/>
        <v>0</v>
      </c>
      <c r="AB129" s="98">
        <f t="shared" si="4"/>
        <v>0</v>
      </c>
      <c r="AC129"/>
      <c r="AD129" s="97">
        <v>0</v>
      </c>
      <c r="AE129" s="92">
        <v>0</v>
      </c>
      <c r="AF129" s="98">
        <f t="shared" si="6"/>
        <v>0</v>
      </c>
      <c r="AG129" s="97">
        <v>0</v>
      </c>
      <c r="AH129" s="92">
        <v>0</v>
      </c>
      <c r="AI129" s="98">
        <f t="shared" si="7"/>
        <v>0</v>
      </c>
      <c r="AJ129" s="99">
        <f t="shared" si="5"/>
        <v>0</v>
      </c>
      <c r="AK129" s="102" t="str">
        <f>+IF(X129+W129+AJ129&lt;=0, "NO COMPRADOR", +IF(AJ129&lt;=0, "SIN COMPRA "&amp;+UPPER(TEXT('DINAMICA ENERO 26'!$C$2,"mmm 'yy")), "COMPRADOR"))</f>
        <v>NO COMPRADOR</v>
      </c>
      <c r="AL129" s="100"/>
      <c r="AM129" s="101"/>
      <c r="AN129" s="100"/>
      <c r="AO129" s="100"/>
      <c r="AP129" s="100"/>
    </row>
    <row r="130" spans="1:42" s="104" customFormat="1">
      <c r="A130" s="88" t="s">
        <v>85</v>
      </c>
      <c r="B130" s="89" t="s">
        <v>204</v>
      </c>
      <c r="C130" s="89" t="s">
        <v>52</v>
      </c>
      <c r="D130" s="103">
        <v>100089701</v>
      </c>
      <c r="E130" s="89" t="s">
        <v>58</v>
      </c>
      <c r="F130" s="89">
        <v>100087844</v>
      </c>
      <c r="G130" s="128" t="s">
        <v>220</v>
      </c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 s="93">
        <v>0</v>
      </c>
      <c r="X130" s="129">
        <v>0</v>
      </c>
      <c r="Y130" s="93">
        <v>24.48</v>
      </c>
      <c r="Z130" s="129">
        <v>24.48</v>
      </c>
      <c r="AA130" s="155">
        <f t="shared" si="4"/>
        <v>12.24</v>
      </c>
      <c r="AB130" s="98">
        <f t="shared" si="4"/>
        <v>12.24</v>
      </c>
      <c r="AC130"/>
      <c r="AD130" s="97">
        <v>0</v>
      </c>
      <c r="AE130" s="92">
        <v>81.599999999999994</v>
      </c>
      <c r="AF130" s="98">
        <f t="shared" si="6"/>
        <v>81.599999999999994</v>
      </c>
      <c r="AG130" s="97">
        <v>0</v>
      </c>
      <c r="AH130" s="92">
        <v>81.599999999999994</v>
      </c>
      <c r="AI130" s="98">
        <f t="shared" si="7"/>
        <v>81.599999999999994</v>
      </c>
      <c r="AJ130" s="99">
        <f t="shared" si="5"/>
        <v>163.19999999999999</v>
      </c>
      <c r="AK130" s="102" t="str">
        <f>+IF(X130+W130+AJ130&lt;=0, "NO COMPRADOR", +IF(AJ130&lt;=0, "SIN COMPRA "&amp;+UPPER(TEXT('DINAMICA ENERO 26'!$C$2,"mmm 'yy")), "COMPRADOR"))</f>
        <v>COMPRADOR</v>
      </c>
      <c r="AL130" s="100"/>
      <c r="AM130" s="101"/>
      <c r="AN130" s="100"/>
      <c r="AO130" s="100"/>
      <c r="AP130" s="100"/>
    </row>
    <row r="131" spans="1:42" s="104" customFormat="1">
      <c r="A131" s="88" t="s">
        <v>85</v>
      </c>
      <c r="B131" s="89" t="s">
        <v>204</v>
      </c>
      <c r="C131" s="89" t="s">
        <v>52</v>
      </c>
      <c r="D131" s="103">
        <v>100089701</v>
      </c>
      <c r="E131" s="89" t="s">
        <v>58</v>
      </c>
      <c r="F131" s="89">
        <v>100088156</v>
      </c>
      <c r="G131" s="128" t="s">
        <v>221</v>
      </c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 s="93">
        <v>0</v>
      </c>
      <c r="X131" s="129">
        <v>0</v>
      </c>
      <c r="Y131" s="93">
        <v>0</v>
      </c>
      <c r="Z131" s="129">
        <v>0</v>
      </c>
      <c r="AA131" s="155">
        <f t="shared" ref="AA131:AB194" si="8">+AVERAGE(W131,Y131)</f>
        <v>0</v>
      </c>
      <c r="AB131" s="98">
        <f t="shared" si="8"/>
        <v>0</v>
      </c>
      <c r="AC131"/>
      <c r="AD131" s="97">
        <v>0</v>
      </c>
      <c r="AE131" s="92">
        <v>0</v>
      </c>
      <c r="AF131" s="98">
        <f t="shared" si="6"/>
        <v>0</v>
      </c>
      <c r="AG131" s="97">
        <v>0</v>
      </c>
      <c r="AH131" s="92">
        <v>0</v>
      </c>
      <c r="AI131" s="98">
        <f t="shared" si="7"/>
        <v>0</v>
      </c>
      <c r="AJ131" s="99">
        <f t="shared" ref="AJ131:AJ194" si="9">+AF131+AI131</f>
        <v>0</v>
      </c>
      <c r="AK131" s="102" t="str">
        <f>+IF(X131+W131+AJ131&lt;=0, "NO COMPRADOR", +IF(AJ131&lt;=0, "SIN COMPRA "&amp;+UPPER(TEXT('DINAMICA ENERO 26'!$C$2,"mmm 'yy")), "COMPRADOR"))</f>
        <v>NO COMPRADOR</v>
      </c>
      <c r="AL131" s="100"/>
      <c r="AM131" s="101"/>
      <c r="AN131" s="100"/>
      <c r="AO131" s="100"/>
      <c r="AP131" s="100"/>
    </row>
    <row r="132" spans="1:42" s="104" customFormat="1">
      <c r="A132" s="88" t="s">
        <v>85</v>
      </c>
      <c r="B132" s="89" t="s">
        <v>204</v>
      </c>
      <c r="C132" s="89" t="s">
        <v>52</v>
      </c>
      <c r="D132" s="103">
        <v>100089701</v>
      </c>
      <c r="E132" s="89" t="s">
        <v>58</v>
      </c>
      <c r="F132" s="89">
        <v>100088609</v>
      </c>
      <c r="G132" s="128" t="s">
        <v>222</v>
      </c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 s="93">
        <v>0</v>
      </c>
      <c r="X132" s="129">
        <v>0</v>
      </c>
      <c r="Y132" s="93">
        <v>0</v>
      </c>
      <c r="Z132" s="129">
        <v>0</v>
      </c>
      <c r="AA132" s="155">
        <f t="shared" si="8"/>
        <v>0</v>
      </c>
      <c r="AB132" s="98">
        <f t="shared" si="8"/>
        <v>0</v>
      </c>
      <c r="AC132"/>
      <c r="AD132" s="97">
        <v>0</v>
      </c>
      <c r="AE132" s="92">
        <v>0</v>
      </c>
      <c r="AF132" s="98">
        <f t="shared" ref="AF132:AF195" si="10">+AD132+AE132</f>
        <v>0</v>
      </c>
      <c r="AG132" s="97">
        <v>0</v>
      </c>
      <c r="AH132" s="92">
        <v>0</v>
      </c>
      <c r="AI132" s="98">
        <f t="shared" ref="AI132:AI172" si="11">+AG132+AH132</f>
        <v>0</v>
      </c>
      <c r="AJ132" s="99">
        <f t="shared" si="9"/>
        <v>0</v>
      </c>
      <c r="AK132" s="102" t="str">
        <f>+IF(X132+W132+AJ132&lt;=0, "NO COMPRADOR", +IF(AJ132&lt;=0, "SIN COMPRA "&amp;+UPPER(TEXT('DINAMICA ENERO 26'!$C$2,"mmm 'yy")), "COMPRADOR"))</f>
        <v>NO COMPRADOR</v>
      </c>
      <c r="AL132" s="100"/>
      <c r="AM132" s="101"/>
      <c r="AN132" s="100"/>
      <c r="AO132" s="100"/>
      <c r="AP132" s="100"/>
    </row>
    <row r="133" spans="1:42" s="104" customFormat="1">
      <c r="A133" s="88" t="s">
        <v>85</v>
      </c>
      <c r="B133" s="89" t="s">
        <v>204</v>
      </c>
      <c r="C133" s="89" t="s">
        <v>52</v>
      </c>
      <c r="D133" s="103">
        <v>100073888</v>
      </c>
      <c r="E133" s="89" t="s">
        <v>55</v>
      </c>
      <c r="F133" s="89">
        <v>100001215</v>
      </c>
      <c r="G133" s="128" t="s">
        <v>223</v>
      </c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 s="93">
        <v>0</v>
      </c>
      <c r="X133" s="129">
        <v>0</v>
      </c>
      <c r="Y133" s="93">
        <v>0</v>
      </c>
      <c r="Z133" s="129">
        <v>0</v>
      </c>
      <c r="AA133" s="155">
        <f t="shared" si="8"/>
        <v>0</v>
      </c>
      <c r="AB133" s="98">
        <f t="shared" si="8"/>
        <v>0</v>
      </c>
      <c r="AC133"/>
      <c r="AD133" s="97">
        <v>0</v>
      </c>
      <c r="AE133" s="92">
        <v>0</v>
      </c>
      <c r="AF133" s="98">
        <f t="shared" si="10"/>
        <v>0</v>
      </c>
      <c r="AG133" s="97">
        <v>0</v>
      </c>
      <c r="AH133" s="92">
        <v>0</v>
      </c>
      <c r="AI133" s="98">
        <f t="shared" si="11"/>
        <v>0</v>
      </c>
      <c r="AJ133" s="99">
        <f t="shared" si="9"/>
        <v>0</v>
      </c>
      <c r="AK133" s="102" t="str">
        <f>+IF(X133+W133+AJ133&lt;=0, "NO COMPRADOR", +IF(AJ133&lt;=0, "SIN COMPRA "&amp;+UPPER(TEXT('DINAMICA ENERO 26'!$C$2,"mmm 'yy")), "COMPRADOR"))</f>
        <v>NO COMPRADOR</v>
      </c>
      <c r="AL133" s="100"/>
      <c r="AM133" s="101"/>
      <c r="AN133" s="100"/>
      <c r="AO133" s="100"/>
      <c r="AP133" s="100"/>
    </row>
    <row r="134" spans="1:42" s="104" customFormat="1">
      <c r="A134" s="88" t="s">
        <v>85</v>
      </c>
      <c r="B134" s="89" t="s">
        <v>204</v>
      </c>
      <c r="C134" s="89" t="s">
        <v>52</v>
      </c>
      <c r="D134" s="103">
        <v>100073888</v>
      </c>
      <c r="E134" s="89" t="s">
        <v>55</v>
      </c>
      <c r="F134" s="89">
        <v>100060702</v>
      </c>
      <c r="G134" s="128" t="s">
        <v>224</v>
      </c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 s="93">
        <v>0</v>
      </c>
      <c r="X134" s="129">
        <v>0</v>
      </c>
      <c r="Y134" s="93">
        <v>8.16</v>
      </c>
      <c r="Z134" s="129">
        <v>24.48</v>
      </c>
      <c r="AA134" s="155">
        <f t="shared" si="8"/>
        <v>4.08</v>
      </c>
      <c r="AB134" s="98">
        <f t="shared" si="8"/>
        <v>12.24</v>
      </c>
      <c r="AC134"/>
      <c r="AD134" s="97">
        <v>0</v>
      </c>
      <c r="AE134" s="92">
        <v>0</v>
      </c>
      <c r="AF134" s="98">
        <f t="shared" si="10"/>
        <v>0</v>
      </c>
      <c r="AG134" s="97">
        <v>0</v>
      </c>
      <c r="AH134" s="92">
        <v>0</v>
      </c>
      <c r="AI134" s="98">
        <f t="shared" si="11"/>
        <v>0</v>
      </c>
      <c r="AJ134" s="99">
        <f t="shared" si="9"/>
        <v>0</v>
      </c>
      <c r="AK134" s="102" t="str">
        <f>+IF(X134+W134+AJ134&lt;=0, "NO COMPRADOR", +IF(AJ134&lt;=0, "SIN COMPRA "&amp;+UPPER(TEXT('DINAMICA ENERO 26'!$C$2,"mmm 'yy")), "COMPRADOR"))</f>
        <v>NO COMPRADOR</v>
      </c>
      <c r="AL134" s="100"/>
      <c r="AM134" s="101"/>
      <c r="AN134" s="100"/>
      <c r="AO134" s="100"/>
      <c r="AP134" s="100"/>
    </row>
    <row r="135" spans="1:42" s="104" customFormat="1">
      <c r="A135" s="88" t="s">
        <v>85</v>
      </c>
      <c r="B135" s="89" t="s">
        <v>204</v>
      </c>
      <c r="C135" s="89" t="s">
        <v>52</v>
      </c>
      <c r="D135" s="103">
        <v>100073888</v>
      </c>
      <c r="E135" s="89" t="s">
        <v>55</v>
      </c>
      <c r="F135" s="89">
        <v>100086804</v>
      </c>
      <c r="G135" s="128" t="s">
        <v>225</v>
      </c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 s="93">
        <v>146.88</v>
      </c>
      <c r="X135" s="129">
        <v>146.88</v>
      </c>
      <c r="Y135" s="93">
        <v>146.88</v>
      </c>
      <c r="Z135" s="129">
        <v>146.88</v>
      </c>
      <c r="AA135" s="155">
        <f t="shared" si="8"/>
        <v>146.88</v>
      </c>
      <c r="AB135" s="98">
        <f t="shared" si="8"/>
        <v>146.88</v>
      </c>
      <c r="AC135"/>
      <c r="AD135" s="97">
        <v>0</v>
      </c>
      <c r="AE135" s="92">
        <v>0</v>
      </c>
      <c r="AF135" s="98">
        <f t="shared" si="10"/>
        <v>0</v>
      </c>
      <c r="AG135" s="97">
        <v>0</v>
      </c>
      <c r="AH135" s="92">
        <v>0</v>
      </c>
      <c r="AI135" s="98">
        <f t="shared" si="11"/>
        <v>0</v>
      </c>
      <c r="AJ135" s="99">
        <f t="shared" si="9"/>
        <v>0</v>
      </c>
      <c r="AK135" s="102" t="str">
        <f>+IF(X135+W135+AJ135&lt;=0, "NO COMPRADOR", +IF(AJ135&lt;=0, "SIN COMPRA "&amp;+UPPER(TEXT('DINAMICA ENERO 26'!$C$2,"mmm 'yy")), "COMPRADOR"))</f>
        <v>SIN COMPRA FEB '26</v>
      </c>
      <c r="AL135" s="100"/>
      <c r="AM135" s="101"/>
      <c r="AN135" s="100"/>
      <c r="AO135" s="100"/>
      <c r="AP135" s="100"/>
    </row>
    <row r="136" spans="1:42" s="104" customFormat="1">
      <c r="A136" s="88" t="s">
        <v>85</v>
      </c>
      <c r="B136" s="89" t="s">
        <v>204</v>
      </c>
      <c r="C136" s="89" t="s">
        <v>52</v>
      </c>
      <c r="D136" s="103">
        <v>100073888</v>
      </c>
      <c r="E136" s="89" t="s">
        <v>55</v>
      </c>
      <c r="F136" s="89">
        <v>100084349</v>
      </c>
      <c r="G136" s="128" t="s">
        <v>226</v>
      </c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 s="93">
        <v>0</v>
      </c>
      <c r="X136" s="129">
        <v>0</v>
      </c>
      <c r="Y136" s="93">
        <v>408</v>
      </c>
      <c r="Z136" s="129">
        <v>408</v>
      </c>
      <c r="AA136" s="155">
        <f t="shared" si="8"/>
        <v>204</v>
      </c>
      <c r="AB136" s="98">
        <f t="shared" si="8"/>
        <v>204</v>
      </c>
      <c r="AC136"/>
      <c r="AD136" s="97">
        <v>0</v>
      </c>
      <c r="AE136" s="92">
        <v>0</v>
      </c>
      <c r="AF136" s="98">
        <f t="shared" si="10"/>
        <v>0</v>
      </c>
      <c r="AG136" s="97">
        <v>0</v>
      </c>
      <c r="AH136" s="92">
        <v>0</v>
      </c>
      <c r="AI136" s="98">
        <f t="shared" si="11"/>
        <v>0</v>
      </c>
      <c r="AJ136" s="99">
        <f t="shared" si="9"/>
        <v>0</v>
      </c>
      <c r="AK136" s="102" t="str">
        <f>+IF(X136+W136+AJ136&lt;=0, "NO COMPRADOR", +IF(AJ136&lt;=0, "SIN COMPRA "&amp;+UPPER(TEXT('DINAMICA ENERO 26'!$C$2,"mmm 'yy")), "COMPRADOR"))</f>
        <v>NO COMPRADOR</v>
      </c>
      <c r="AL136" s="100"/>
      <c r="AM136" s="101"/>
      <c r="AN136" s="100"/>
      <c r="AO136" s="100"/>
      <c r="AP136" s="100"/>
    </row>
    <row r="137" spans="1:42" s="100" customFormat="1">
      <c r="A137" s="88" t="s">
        <v>85</v>
      </c>
      <c r="B137" s="89" t="s">
        <v>204</v>
      </c>
      <c r="C137" s="89" t="s">
        <v>52</v>
      </c>
      <c r="D137" s="103">
        <v>100073888</v>
      </c>
      <c r="E137" s="89" t="s">
        <v>55</v>
      </c>
      <c r="F137" s="89">
        <v>100001752</v>
      </c>
      <c r="G137" s="128" t="s">
        <v>227</v>
      </c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 s="93">
        <v>0</v>
      </c>
      <c r="X137" s="129">
        <v>0</v>
      </c>
      <c r="Y137" s="93">
        <v>16.32</v>
      </c>
      <c r="Z137" s="129">
        <v>16.32</v>
      </c>
      <c r="AA137" s="155">
        <f t="shared" si="8"/>
        <v>8.16</v>
      </c>
      <c r="AB137" s="98">
        <f t="shared" si="8"/>
        <v>8.16</v>
      </c>
      <c r="AC137"/>
      <c r="AD137" s="97">
        <v>0</v>
      </c>
      <c r="AE137" s="92">
        <v>0</v>
      </c>
      <c r="AF137" s="98">
        <f t="shared" si="10"/>
        <v>0</v>
      </c>
      <c r="AG137" s="97">
        <v>0</v>
      </c>
      <c r="AH137" s="92">
        <v>0</v>
      </c>
      <c r="AI137" s="98">
        <f t="shared" si="11"/>
        <v>0</v>
      </c>
      <c r="AJ137" s="99">
        <f t="shared" si="9"/>
        <v>0</v>
      </c>
      <c r="AK137" s="102" t="str">
        <f>+IF(X137+W137+AJ137&lt;=0, "NO COMPRADOR", +IF(AJ137&lt;=0, "SIN COMPRA "&amp;+UPPER(TEXT('DINAMICA ENERO 26'!$C$2,"mmm 'yy")), "COMPRADOR"))</f>
        <v>NO COMPRADOR</v>
      </c>
      <c r="AM137" s="101"/>
    </row>
    <row r="138" spans="1:42" s="100" customFormat="1">
      <c r="A138" s="88" t="s">
        <v>85</v>
      </c>
      <c r="B138" s="89" t="s">
        <v>204</v>
      </c>
      <c r="C138" s="89" t="s">
        <v>52</v>
      </c>
      <c r="D138" s="103">
        <v>100073888</v>
      </c>
      <c r="E138" s="89" t="s">
        <v>55</v>
      </c>
      <c r="F138" s="89">
        <v>100081166</v>
      </c>
      <c r="G138" s="128" t="s">
        <v>228</v>
      </c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 s="93">
        <v>0</v>
      </c>
      <c r="X138" s="129">
        <v>0</v>
      </c>
      <c r="Y138" s="93">
        <v>0</v>
      </c>
      <c r="Z138" s="129">
        <v>0</v>
      </c>
      <c r="AA138" s="155">
        <f t="shared" si="8"/>
        <v>0</v>
      </c>
      <c r="AB138" s="98">
        <f t="shared" si="8"/>
        <v>0</v>
      </c>
      <c r="AC138"/>
      <c r="AD138" s="97">
        <v>0</v>
      </c>
      <c r="AE138" s="92">
        <v>0</v>
      </c>
      <c r="AF138" s="98">
        <f t="shared" si="10"/>
        <v>0</v>
      </c>
      <c r="AG138" s="97">
        <v>0</v>
      </c>
      <c r="AH138" s="92">
        <v>0</v>
      </c>
      <c r="AI138" s="98">
        <f t="shared" si="11"/>
        <v>0</v>
      </c>
      <c r="AJ138" s="99">
        <f t="shared" si="9"/>
        <v>0</v>
      </c>
      <c r="AK138" s="102" t="str">
        <f>+IF(X138+W138+AJ138&lt;=0, "NO COMPRADOR", +IF(AJ138&lt;=0, "SIN COMPRA "&amp;+UPPER(TEXT('DINAMICA ENERO 26'!$C$2,"mmm 'yy")), "COMPRADOR"))</f>
        <v>NO COMPRADOR</v>
      </c>
      <c r="AM138" s="101"/>
    </row>
    <row r="139" spans="1:42" s="100" customFormat="1">
      <c r="A139" s="88" t="s">
        <v>85</v>
      </c>
      <c r="B139" s="89" t="s">
        <v>204</v>
      </c>
      <c r="C139" s="89" t="s">
        <v>52</v>
      </c>
      <c r="D139" s="103">
        <v>100073888</v>
      </c>
      <c r="E139" s="89" t="s">
        <v>55</v>
      </c>
      <c r="F139" s="89">
        <v>100064228</v>
      </c>
      <c r="G139" s="128" t="s">
        <v>229</v>
      </c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 s="93">
        <v>8.16</v>
      </c>
      <c r="X139" s="129">
        <v>0</v>
      </c>
      <c r="Y139" s="93">
        <v>0</v>
      </c>
      <c r="Z139" s="129">
        <v>16.32</v>
      </c>
      <c r="AA139" s="155">
        <f t="shared" si="8"/>
        <v>4.08</v>
      </c>
      <c r="AB139" s="98">
        <f t="shared" si="8"/>
        <v>8.16</v>
      </c>
      <c r="AC139"/>
      <c r="AD139" s="97">
        <v>0</v>
      </c>
      <c r="AE139" s="92">
        <v>0</v>
      </c>
      <c r="AF139" s="98">
        <f t="shared" si="10"/>
        <v>0</v>
      </c>
      <c r="AG139" s="97">
        <v>0</v>
      </c>
      <c r="AH139" s="92">
        <v>0</v>
      </c>
      <c r="AI139" s="98">
        <f t="shared" si="11"/>
        <v>0</v>
      </c>
      <c r="AJ139" s="99">
        <f t="shared" si="9"/>
        <v>0</v>
      </c>
      <c r="AK139" s="102" t="str">
        <f>+IF(X139+W139+AJ139&lt;=0, "NO COMPRADOR", +IF(AJ139&lt;=0, "SIN COMPRA "&amp;+UPPER(TEXT('DINAMICA ENERO 26'!$C$2,"mmm 'yy")), "COMPRADOR"))</f>
        <v>SIN COMPRA FEB '26</v>
      </c>
      <c r="AM139" s="101"/>
    </row>
    <row r="140" spans="1:42" s="100" customFormat="1">
      <c r="A140" s="88" t="s">
        <v>85</v>
      </c>
      <c r="B140" s="89" t="s">
        <v>204</v>
      </c>
      <c r="C140" s="89" t="s">
        <v>52</v>
      </c>
      <c r="D140" s="103">
        <v>100073888</v>
      </c>
      <c r="E140" s="89" t="s">
        <v>55</v>
      </c>
      <c r="F140" s="89">
        <v>100083588</v>
      </c>
      <c r="G140" s="128" t="s">
        <v>230</v>
      </c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 s="93">
        <v>0</v>
      </c>
      <c r="X140" s="129">
        <v>0</v>
      </c>
      <c r="Y140" s="93">
        <v>0</v>
      </c>
      <c r="Z140" s="129">
        <v>0</v>
      </c>
      <c r="AA140" s="155">
        <f t="shared" si="8"/>
        <v>0</v>
      </c>
      <c r="AB140" s="98">
        <f t="shared" si="8"/>
        <v>0</v>
      </c>
      <c r="AC140"/>
      <c r="AD140" s="97">
        <v>0</v>
      </c>
      <c r="AE140" s="92">
        <v>0</v>
      </c>
      <c r="AF140" s="98">
        <f t="shared" si="10"/>
        <v>0</v>
      </c>
      <c r="AG140" s="97">
        <v>0</v>
      </c>
      <c r="AH140" s="92">
        <v>0</v>
      </c>
      <c r="AI140" s="98">
        <f t="shared" si="11"/>
        <v>0</v>
      </c>
      <c r="AJ140" s="99">
        <f t="shared" si="9"/>
        <v>0</v>
      </c>
      <c r="AK140" s="102" t="str">
        <f>+IF(X140+W140+AJ140&lt;=0, "NO COMPRADOR", +IF(AJ140&lt;=0, "SIN COMPRA "&amp;+UPPER(TEXT('DINAMICA ENERO 26'!$C$2,"mmm 'yy")), "COMPRADOR"))</f>
        <v>NO COMPRADOR</v>
      </c>
      <c r="AM140" s="101"/>
    </row>
    <row r="141" spans="1:42" s="100" customFormat="1">
      <c r="A141" s="88" t="s">
        <v>85</v>
      </c>
      <c r="B141" s="89" t="s">
        <v>204</v>
      </c>
      <c r="C141" s="89" t="s">
        <v>52</v>
      </c>
      <c r="D141" s="103">
        <v>100073888</v>
      </c>
      <c r="E141" s="89" t="s">
        <v>55</v>
      </c>
      <c r="F141" s="89">
        <v>100010576</v>
      </c>
      <c r="G141" s="128" t="s">
        <v>231</v>
      </c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 s="93">
        <v>0</v>
      </c>
      <c r="X141" s="129">
        <v>0</v>
      </c>
      <c r="Y141" s="93">
        <v>0</v>
      </c>
      <c r="Z141" s="129">
        <v>0</v>
      </c>
      <c r="AA141" s="155">
        <f t="shared" si="8"/>
        <v>0</v>
      </c>
      <c r="AB141" s="98">
        <f t="shared" si="8"/>
        <v>0</v>
      </c>
      <c r="AC141"/>
      <c r="AD141" s="97">
        <v>0</v>
      </c>
      <c r="AE141" s="92">
        <v>0</v>
      </c>
      <c r="AF141" s="98">
        <f t="shared" si="10"/>
        <v>0</v>
      </c>
      <c r="AG141" s="97">
        <v>0</v>
      </c>
      <c r="AH141" s="92">
        <v>0</v>
      </c>
      <c r="AI141" s="98">
        <f t="shared" si="11"/>
        <v>0</v>
      </c>
      <c r="AJ141" s="99">
        <f t="shared" si="9"/>
        <v>0</v>
      </c>
      <c r="AK141" s="102" t="str">
        <f>+IF(X141+W141+AJ141&lt;=0, "NO COMPRADOR", +IF(AJ141&lt;=0, "SIN COMPRA "&amp;+UPPER(TEXT('DINAMICA ENERO 26'!$C$2,"mmm 'yy")), "COMPRADOR"))</f>
        <v>NO COMPRADOR</v>
      </c>
      <c r="AM141" s="101"/>
    </row>
    <row r="142" spans="1:42" s="100" customFormat="1">
      <c r="A142" s="88" t="s">
        <v>85</v>
      </c>
      <c r="B142" s="89" t="s">
        <v>204</v>
      </c>
      <c r="C142" s="89" t="s">
        <v>52</v>
      </c>
      <c r="D142" s="103">
        <v>100073888</v>
      </c>
      <c r="E142" s="89" t="s">
        <v>55</v>
      </c>
      <c r="F142" s="89">
        <v>100002203</v>
      </c>
      <c r="G142" s="128" t="s">
        <v>232</v>
      </c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 s="93">
        <v>0</v>
      </c>
      <c r="X142" s="129">
        <v>0</v>
      </c>
      <c r="Y142" s="93">
        <v>24.48</v>
      </c>
      <c r="Z142" s="129">
        <v>24.48</v>
      </c>
      <c r="AA142" s="155">
        <f t="shared" si="8"/>
        <v>12.24</v>
      </c>
      <c r="AB142" s="98">
        <f t="shared" si="8"/>
        <v>12.24</v>
      </c>
      <c r="AC142"/>
      <c r="AD142" s="97">
        <v>0</v>
      </c>
      <c r="AE142" s="92">
        <v>0</v>
      </c>
      <c r="AF142" s="98">
        <f t="shared" si="10"/>
        <v>0</v>
      </c>
      <c r="AG142" s="97">
        <v>0</v>
      </c>
      <c r="AH142" s="92">
        <v>0</v>
      </c>
      <c r="AI142" s="98">
        <f t="shared" si="11"/>
        <v>0</v>
      </c>
      <c r="AJ142" s="99">
        <f t="shared" si="9"/>
        <v>0</v>
      </c>
      <c r="AK142" s="102" t="str">
        <f>+IF(X142+W142+AJ142&lt;=0, "NO COMPRADOR", +IF(AJ142&lt;=0, "SIN COMPRA "&amp;+UPPER(TEXT('DINAMICA ENERO 26'!$C$2,"mmm 'yy")), "COMPRADOR"))</f>
        <v>NO COMPRADOR</v>
      </c>
      <c r="AM142" s="101"/>
    </row>
    <row r="143" spans="1:42" s="100" customFormat="1">
      <c r="A143" s="88" t="s">
        <v>85</v>
      </c>
      <c r="B143" s="89" t="s">
        <v>204</v>
      </c>
      <c r="C143" s="89" t="s">
        <v>52</v>
      </c>
      <c r="D143" s="103">
        <v>100073888</v>
      </c>
      <c r="E143" s="89" t="s">
        <v>55</v>
      </c>
      <c r="F143" s="89">
        <v>100001329</v>
      </c>
      <c r="G143" s="128" t="s">
        <v>233</v>
      </c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 s="93">
        <v>0</v>
      </c>
      <c r="X143" s="129">
        <v>0</v>
      </c>
      <c r="Y143" s="93">
        <v>0</v>
      </c>
      <c r="Z143" s="129">
        <v>0</v>
      </c>
      <c r="AA143" s="155">
        <f t="shared" si="8"/>
        <v>0</v>
      </c>
      <c r="AB143" s="98">
        <f t="shared" si="8"/>
        <v>0</v>
      </c>
      <c r="AC143"/>
      <c r="AD143" s="97">
        <v>0</v>
      </c>
      <c r="AE143" s="92">
        <v>0</v>
      </c>
      <c r="AF143" s="98">
        <f t="shared" si="10"/>
        <v>0</v>
      </c>
      <c r="AG143" s="97">
        <v>0</v>
      </c>
      <c r="AH143" s="92">
        <v>0</v>
      </c>
      <c r="AI143" s="98">
        <f t="shared" si="11"/>
        <v>0</v>
      </c>
      <c r="AJ143" s="99">
        <f t="shared" si="9"/>
        <v>0</v>
      </c>
      <c r="AK143" s="102" t="str">
        <f>+IF(X143+W143+AJ143&lt;=0, "NO COMPRADOR", +IF(AJ143&lt;=0, "SIN COMPRA "&amp;+UPPER(TEXT('DINAMICA ENERO 26'!$C$2,"mmm 'yy")), "COMPRADOR"))</f>
        <v>NO COMPRADOR</v>
      </c>
      <c r="AM143" s="101"/>
    </row>
    <row r="144" spans="1:42" s="100" customFormat="1">
      <c r="A144" s="88" t="s">
        <v>85</v>
      </c>
      <c r="B144" s="89" t="s">
        <v>204</v>
      </c>
      <c r="C144" s="89" t="s">
        <v>52</v>
      </c>
      <c r="D144" s="103">
        <v>100073888</v>
      </c>
      <c r="E144" s="89" t="s">
        <v>55</v>
      </c>
      <c r="F144" s="89">
        <v>100077493</v>
      </c>
      <c r="G144" s="128" t="s">
        <v>234</v>
      </c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 s="93">
        <v>0</v>
      </c>
      <c r="X144" s="129">
        <v>0</v>
      </c>
      <c r="Y144" s="93">
        <v>0</v>
      </c>
      <c r="Z144" s="129">
        <v>0</v>
      </c>
      <c r="AA144" s="155">
        <f t="shared" si="8"/>
        <v>0</v>
      </c>
      <c r="AB144" s="98">
        <f t="shared" si="8"/>
        <v>0</v>
      </c>
      <c r="AC144"/>
      <c r="AD144" s="97">
        <v>0</v>
      </c>
      <c r="AE144" s="92">
        <v>0</v>
      </c>
      <c r="AF144" s="98">
        <f t="shared" si="10"/>
        <v>0</v>
      </c>
      <c r="AG144" s="97">
        <v>0</v>
      </c>
      <c r="AH144" s="92">
        <v>0</v>
      </c>
      <c r="AI144" s="98">
        <f t="shared" si="11"/>
        <v>0</v>
      </c>
      <c r="AJ144" s="99">
        <f t="shared" si="9"/>
        <v>0</v>
      </c>
      <c r="AK144" s="102" t="str">
        <f>+IF(X144+W144+AJ144&lt;=0, "NO COMPRADOR", +IF(AJ144&lt;=0, "SIN COMPRA "&amp;+UPPER(TEXT('DINAMICA ENERO 26'!$C$2,"mmm 'yy")), "COMPRADOR"))</f>
        <v>NO COMPRADOR</v>
      </c>
      <c r="AM144" s="101"/>
    </row>
    <row r="145" spans="1:43" s="100" customFormat="1">
      <c r="A145" s="88" t="s">
        <v>85</v>
      </c>
      <c r="B145" s="89" t="s">
        <v>204</v>
      </c>
      <c r="C145" s="89" t="s">
        <v>52</v>
      </c>
      <c r="D145" s="103">
        <v>100073888</v>
      </c>
      <c r="E145" s="89" t="s">
        <v>55</v>
      </c>
      <c r="F145" s="89">
        <v>100084330</v>
      </c>
      <c r="G145" s="128" t="s">
        <v>235</v>
      </c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 s="93">
        <v>0</v>
      </c>
      <c r="X145" s="129">
        <v>0</v>
      </c>
      <c r="Y145" s="93">
        <v>0</v>
      </c>
      <c r="Z145" s="129">
        <v>0</v>
      </c>
      <c r="AA145" s="155">
        <f t="shared" si="8"/>
        <v>0</v>
      </c>
      <c r="AB145" s="98">
        <f t="shared" si="8"/>
        <v>0</v>
      </c>
      <c r="AC145"/>
      <c r="AD145" s="97">
        <v>0</v>
      </c>
      <c r="AE145" s="92">
        <v>0</v>
      </c>
      <c r="AF145" s="98">
        <f t="shared" si="10"/>
        <v>0</v>
      </c>
      <c r="AG145" s="97">
        <v>0</v>
      </c>
      <c r="AH145" s="92">
        <v>0</v>
      </c>
      <c r="AI145" s="98">
        <f t="shared" si="11"/>
        <v>0</v>
      </c>
      <c r="AJ145" s="99">
        <f t="shared" si="9"/>
        <v>0</v>
      </c>
      <c r="AK145" s="102" t="str">
        <f>+IF(X145+W145+AJ145&lt;=0, "NO COMPRADOR", +IF(AJ145&lt;=0, "SIN COMPRA "&amp;+UPPER(TEXT('DINAMICA ENERO 26'!$C$2,"mmm 'yy")), "COMPRADOR"))</f>
        <v>NO COMPRADOR</v>
      </c>
      <c r="AM145" s="101"/>
    </row>
    <row r="146" spans="1:43" s="100" customFormat="1">
      <c r="A146" s="88" t="s">
        <v>85</v>
      </c>
      <c r="B146" s="89" t="s">
        <v>236</v>
      </c>
      <c r="C146" s="89" t="s">
        <v>68</v>
      </c>
      <c r="D146" s="103">
        <v>100089354</v>
      </c>
      <c r="E146" s="89" t="s">
        <v>68</v>
      </c>
      <c r="F146" s="89">
        <v>100058447</v>
      </c>
      <c r="G146" s="128" t="s">
        <v>237</v>
      </c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 s="93">
        <v>0</v>
      </c>
      <c r="X146" s="129">
        <v>0</v>
      </c>
      <c r="Y146" s="93">
        <v>0</v>
      </c>
      <c r="Z146" s="129">
        <v>0</v>
      </c>
      <c r="AA146" s="155">
        <f t="shared" si="8"/>
        <v>0</v>
      </c>
      <c r="AB146" s="98">
        <f t="shared" si="8"/>
        <v>0</v>
      </c>
      <c r="AC146"/>
      <c r="AD146" s="97">
        <v>0</v>
      </c>
      <c r="AE146" s="92">
        <v>0</v>
      </c>
      <c r="AF146" s="98">
        <f t="shared" si="10"/>
        <v>0</v>
      </c>
      <c r="AG146" s="97">
        <v>0</v>
      </c>
      <c r="AH146" s="92">
        <v>0</v>
      </c>
      <c r="AI146" s="98">
        <f t="shared" si="11"/>
        <v>0</v>
      </c>
      <c r="AJ146" s="99">
        <f t="shared" si="9"/>
        <v>0</v>
      </c>
      <c r="AK146" s="102" t="str">
        <f>+IF(X146+W146+AJ146&lt;=0, "NO COMPRADOR", +IF(AJ146&lt;=0, "SIN COMPRA "&amp;+UPPER(TEXT('DINAMICA ENERO 26'!$C$2,"mmm 'yy")), "COMPRADOR"))</f>
        <v>NO COMPRADOR</v>
      </c>
      <c r="AM146" s="101"/>
    </row>
    <row r="147" spans="1:43" s="100" customFormat="1">
      <c r="A147" s="88" t="s">
        <v>85</v>
      </c>
      <c r="B147" s="89" t="s">
        <v>236</v>
      </c>
      <c r="C147" s="89" t="s">
        <v>68</v>
      </c>
      <c r="D147" s="103">
        <v>100089354</v>
      </c>
      <c r="E147" s="89" t="s">
        <v>68</v>
      </c>
      <c r="F147" s="89">
        <v>100079903</v>
      </c>
      <c r="G147" s="128" t="s">
        <v>238</v>
      </c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 s="93">
        <v>0</v>
      </c>
      <c r="X147" s="129">
        <v>0</v>
      </c>
      <c r="Y147" s="93">
        <v>0</v>
      </c>
      <c r="Z147" s="129">
        <v>0</v>
      </c>
      <c r="AA147" s="155">
        <f t="shared" si="8"/>
        <v>0</v>
      </c>
      <c r="AB147" s="98">
        <f t="shared" si="8"/>
        <v>0</v>
      </c>
      <c r="AC147"/>
      <c r="AD147" s="97">
        <v>0</v>
      </c>
      <c r="AE147" s="92">
        <v>0</v>
      </c>
      <c r="AF147" s="98">
        <f t="shared" si="10"/>
        <v>0</v>
      </c>
      <c r="AG147" s="97">
        <v>0</v>
      </c>
      <c r="AH147" s="92">
        <v>0</v>
      </c>
      <c r="AI147" s="98">
        <f t="shared" si="11"/>
        <v>0</v>
      </c>
      <c r="AJ147" s="99">
        <f t="shared" si="9"/>
        <v>0</v>
      </c>
      <c r="AK147" s="102" t="str">
        <f>+IF(X147+W147+AJ147&lt;=0, "NO COMPRADOR", +IF(AJ147&lt;=0, "SIN COMPRA "&amp;+UPPER(TEXT('DINAMICA ENERO 26'!$C$2,"mmm 'yy")), "COMPRADOR"))</f>
        <v>NO COMPRADOR</v>
      </c>
      <c r="AM147" s="101"/>
    </row>
    <row r="148" spans="1:43" s="104" customFormat="1">
      <c r="A148" s="88" t="s">
        <v>85</v>
      </c>
      <c r="B148" s="89" t="s">
        <v>236</v>
      </c>
      <c r="C148" s="89" t="s">
        <v>68</v>
      </c>
      <c r="D148" s="103">
        <v>100089354</v>
      </c>
      <c r="E148" s="89" t="s">
        <v>68</v>
      </c>
      <c r="F148" s="89">
        <v>100083681</v>
      </c>
      <c r="G148" s="128" t="s">
        <v>239</v>
      </c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 s="93">
        <v>0</v>
      </c>
      <c r="X148" s="129">
        <v>0</v>
      </c>
      <c r="Y148" s="93">
        <v>0</v>
      </c>
      <c r="Z148" s="129">
        <v>0</v>
      </c>
      <c r="AA148" s="155">
        <f t="shared" si="8"/>
        <v>0</v>
      </c>
      <c r="AB148" s="98">
        <f t="shared" si="8"/>
        <v>0</v>
      </c>
      <c r="AC148"/>
      <c r="AD148" s="97">
        <v>0</v>
      </c>
      <c r="AE148" s="92">
        <v>0</v>
      </c>
      <c r="AF148" s="98">
        <f t="shared" si="10"/>
        <v>0</v>
      </c>
      <c r="AG148" s="97">
        <v>0</v>
      </c>
      <c r="AH148" s="92">
        <v>0</v>
      </c>
      <c r="AI148" s="98">
        <f t="shared" si="11"/>
        <v>0</v>
      </c>
      <c r="AJ148" s="99">
        <f t="shared" si="9"/>
        <v>0</v>
      </c>
      <c r="AK148" s="102" t="str">
        <f>+IF(X148+W148+AJ148&lt;=0, "NO COMPRADOR", +IF(AJ148&lt;=0, "SIN COMPRA "&amp;+UPPER(TEXT('DINAMICA ENERO 26'!$C$2,"mmm 'yy")), "COMPRADOR"))</f>
        <v>NO COMPRADOR</v>
      </c>
      <c r="AL148" s="100"/>
      <c r="AM148" s="101"/>
      <c r="AN148" s="100"/>
      <c r="AO148" s="100"/>
      <c r="AP148" s="100"/>
    </row>
    <row r="149" spans="1:43" s="100" customFormat="1">
      <c r="A149" s="88" t="s">
        <v>85</v>
      </c>
      <c r="B149" s="89" t="s">
        <v>236</v>
      </c>
      <c r="C149" s="89" t="s">
        <v>68</v>
      </c>
      <c r="D149" s="103">
        <v>100031199</v>
      </c>
      <c r="E149" s="89" t="s">
        <v>69</v>
      </c>
      <c r="F149" s="89">
        <v>100088905</v>
      </c>
      <c r="G149" s="128" t="s">
        <v>240</v>
      </c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 s="93">
        <v>0</v>
      </c>
      <c r="X149" s="129">
        <v>0</v>
      </c>
      <c r="Y149" s="93">
        <v>0</v>
      </c>
      <c r="Z149" s="129">
        <v>0</v>
      </c>
      <c r="AA149" s="155">
        <f t="shared" si="8"/>
        <v>0</v>
      </c>
      <c r="AB149" s="98">
        <f t="shared" si="8"/>
        <v>0</v>
      </c>
      <c r="AC149"/>
      <c r="AD149" s="97">
        <v>0</v>
      </c>
      <c r="AE149" s="92">
        <v>0</v>
      </c>
      <c r="AF149" s="98">
        <f t="shared" si="10"/>
        <v>0</v>
      </c>
      <c r="AG149" s="97">
        <v>0</v>
      </c>
      <c r="AH149" s="92">
        <v>0</v>
      </c>
      <c r="AI149" s="98">
        <f t="shared" si="11"/>
        <v>0</v>
      </c>
      <c r="AJ149" s="99">
        <f t="shared" si="9"/>
        <v>0</v>
      </c>
      <c r="AK149" s="102" t="str">
        <f>+IF(X149+W149+AJ149&lt;=0, "NO COMPRADOR", +IF(AJ149&lt;=0, "SIN COMPRA "&amp;+UPPER(TEXT('DINAMICA ENERO 26'!$C$2,"mmm 'yy")), "COMPRADOR"))</f>
        <v>NO COMPRADOR</v>
      </c>
      <c r="AM149" s="101"/>
    </row>
    <row r="150" spans="1:43" s="104" customFormat="1">
      <c r="A150" s="88" t="s">
        <v>85</v>
      </c>
      <c r="B150" s="89" t="s">
        <v>236</v>
      </c>
      <c r="C150" s="89" t="s">
        <v>68</v>
      </c>
      <c r="D150" s="103">
        <v>100031199</v>
      </c>
      <c r="E150" s="89" t="s">
        <v>69</v>
      </c>
      <c r="F150" s="89">
        <v>100087340</v>
      </c>
      <c r="G150" s="128" t="s">
        <v>241</v>
      </c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 s="93">
        <v>0</v>
      </c>
      <c r="X150" s="129">
        <v>0</v>
      </c>
      <c r="Y150" s="93">
        <v>0</v>
      </c>
      <c r="Z150" s="129">
        <v>0</v>
      </c>
      <c r="AA150" s="155">
        <f t="shared" si="8"/>
        <v>0</v>
      </c>
      <c r="AB150" s="98">
        <f t="shared" si="8"/>
        <v>0</v>
      </c>
      <c r="AC150"/>
      <c r="AD150" s="97">
        <v>0</v>
      </c>
      <c r="AE150" s="92">
        <v>0</v>
      </c>
      <c r="AF150" s="98">
        <f t="shared" si="10"/>
        <v>0</v>
      </c>
      <c r="AG150" s="97">
        <v>0</v>
      </c>
      <c r="AH150" s="92">
        <v>0</v>
      </c>
      <c r="AI150" s="98">
        <f t="shared" si="11"/>
        <v>0</v>
      </c>
      <c r="AJ150" s="99">
        <f t="shared" si="9"/>
        <v>0</v>
      </c>
      <c r="AK150" s="102" t="str">
        <f>+IF(X150+W150+AJ150&lt;=0, "NO COMPRADOR", +IF(AJ150&lt;=0, "SIN COMPRA "&amp;+UPPER(TEXT('DINAMICA ENERO 26'!$C$2,"mmm 'yy")), "COMPRADOR"))</f>
        <v>NO COMPRADOR</v>
      </c>
      <c r="AL150" s="100"/>
      <c r="AM150" s="101"/>
      <c r="AN150" s="100"/>
      <c r="AO150" s="100"/>
      <c r="AP150" s="100"/>
    </row>
    <row r="151" spans="1:43" s="100" customFormat="1">
      <c r="A151" s="88" t="s">
        <v>85</v>
      </c>
      <c r="B151" s="89" t="s">
        <v>236</v>
      </c>
      <c r="C151" s="89" t="s">
        <v>68</v>
      </c>
      <c r="D151" s="103">
        <v>100031199</v>
      </c>
      <c r="E151" s="89" t="s">
        <v>69</v>
      </c>
      <c r="F151" s="89">
        <v>100087098</v>
      </c>
      <c r="G151" s="128" t="s">
        <v>242</v>
      </c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 s="93">
        <v>0</v>
      </c>
      <c r="X151" s="129">
        <v>0</v>
      </c>
      <c r="Y151" s="93">
        <v>0</v>
      </c>
      <c r="Z151" s="129">
        <v>0</v>
      </c>
      <c r="AA151" s="155">
        <f t="shared" si="8"/>
        <v>0</v>
      </c>
      <c r="AB151" s="98">
        <f t="shared" si="8"/>
        <v>0</v>
      </c>
      <c r="AC151"/>
      <c r="AD151" s="97">
        <v>0</v>
      </c>
      <c r="AE151" s="92">
        <v>0</v>
      </c>
      <c r="AF151" s="98">
        <f t="shared" si="10"/>
        <v>0</v>
      </c>
      <c r="AG151" s="97">
        <v>0</v>
      </c>
      <c r="AH151" s="92">
        <v>0</v>
      </c>
      <c r="AI151" s="98">
        <f t="shared" si="11"/>
        <v>0</v>
      </c>
      <c r="AJ151" s="99">
        <f t="shared" si="9"/>
        <v>0</v>
      </c>
      <c r="AK151" s="102" t="str">
        <f>+IF(X151+W151+AJ151&lt;=0, "NO COMPRADOR", +IF(AJ151&lt;=0, "SIN COMPRA "&amp;+UPPER(TEXT('DINAMICA ENERO 26'!$C$2,"mmm 'yy")), "COMPRADOR"))</f>
        <v>NO COMPRADOR</v>
      </c>
      <c r="AM151" s="101"/>
    </row>
    <row r="152" spans="1:43" s="104" customFormat="1">
      <c r="A152" s="88" t="s">
        <v>85</v>
      </c>
      <c r="B152" s="89" t="s">
        <v>236</v>
      </c>
      <c r="C152" s="89" t="s">
        <v>68</v>
      </c>
      <c r="D152" s="103">
        <v>100031199</v>
      </c>
      <c r="E152" s="89" t="s">
        <v>69</v>
      </c>
      <c r="F152" s="89">
        <v>100085167</v>
      </c>
      <c r="G152" s="128" t="s">
        <v>243</v>
      </c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 s="93">
        <v>0</v>
      </c>
      <c r="X152" s="129">
        <v>0</v>
      </c>
      <c r="Y152" s="93">
        <v>0</v>
      </c>
      <c r="Z152" s="129">
        <v>0</v>
      </c>
      <c r="AA152" s="155">
        <f t="shared" si="8"/>
        <v>0</v>
      </c>
      <c r="AB152" s="98">
        <f t="shared" si="8"/>
        <v>0</v>
      </c>
      <c r="AC152"/>
      <c r="AD152" s="97">
        <v>0</v>
      </c>
      <c r="AE152" s="92">
        <v>0</v>
      </c>
      <c r="AF152" s="98">
        <f t="shared" si="10"/>
        <v>0</v>
      </c>
      <c r="AG152" s="97">
        <v>0</v>
      </c>
      <c r="AH152" s="92">
        <v>0</v>
      </c>
      <c r="AI152" s="98">
        <f t="shared" si="11"/>
        <v>0</v>
      </c>
      <c r="AJ152" s="99">
        <f t="shared" si="9"/>
        <v>0</v>
      </c>
      <c r="AK152" s="102" t="str">
        <f>+IF(X152+W152+AJ152&lt;=0, "NO COMPRADOR", +IF(AJ152&lt;=0, "SIN COMPRA "&amp;+UPPER(TEXT('DINAMICA ENERO 26'!$C$2,"mmm 'yy")), "COMPRADOR"))</f>
        <v>NO COMPRADOR</v>
      </c>
      <c r="AL152" s="100"/>
      <c r="AM152" s="101"/>
      <c r="AN152" s="100"/>
      <c r="AO152" s="100"/>
      <c r="AP152" s="100"/>
    </row>
    <row r="153" spans="1:43" s="104" customFormat="1">
      <c r="A153" s="88" t="s">
        <v>85</v>
      </c>
      <c r="B153" s="89" t="s">
        <v>236</v>
      </c>
      <c r="C153" s="89" t="s">
        <v>68</v>
      </c>
      <c r="D153" s="103">
        <v>100031199</v>
      </c>
      <c r="E153" s="89" t="s">
        <v>69</v>
      </c>
      <c r="F153" s="89">
        <v>100085481</v>
      </c>
      <c r="G153" s="128" t="s">
        <v>244</v>
      </c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 s="93">
        <v>0</v>
      </c>
      <c r="X153" s="129">
        <v>0</v>
      </c>
      <c r="Y153" s="93">
        <v>0</v>
      </c>
      <c r="Z153" s="129">
        <v>0</v>
      </c>
      <c r="AA153" s="155">
        <f t="shared" si="8"/>
        <v>0</v>
      </c>
      <c r="AB153" s="98">
        <f t="shared" si="8"/>
        <v>0</v>
      </c>
      <c r="AC153"/>
      <c r="AD153" s="97">
        <v>0</v>
      </c>
      <c r="AE153" s="92">
        <v>0</v>
      </c>
      <c r="AF153" s="98">
        <f t="shared" si="10"/>
        <v>0</v>
      </c>
      <c r="AG153" s="97">
        <v>0</v>
      </c>
      <c r="AH153" s="92">
        <v>0</v>
      </c>
      <c r="AI153" s="98">
        <f t="shared" si="11"/>
        <v>0</v>
      </c>
      <c r="AJ153" s="99">
        <f t="shared" si="9"/>
        <v>0</v>
      </c>
      <c r="AK153" s="102" t="str">
        <f>+IF(X153+W153+AJ153&lt;=0, "NO COMPRADOR", +IF(AJ153&lt;=0, "SIN COMPRA "&amp;+UPPER(TEXT('DINAMICA ENERO 26'!$C$2,"mmm 'yy")), "COMPRADOR"))</f>
        <v>NO COMPRADOR</v>
      </c>
      <c r="AL153" s="100"/>
      <c r="AM153" s="101"/>
      <c r="AN153" s="100"/>
      <c r="AO153" s="100"/>
      <c r="AP153" s="100"/>
    </row>
    <row r="154" spans="1:43" s="100" customFormat="1">
      <c r="A154" s="88" t="s">
        <v>85</v>
      </c>
      <c r="B154" s="89" t="s">
        <v>236</v>
      </c>
      <c r="C154" s="89" t="s">
        <v>68</v>
      </c>
      <c r="D154" s="103">
        <v>100031199</v>
      </c>
      <c r="E154" s="89" t="s">
        <v>69</v>
      </c>
      <c r="F154" s="89">
        <v>100008613</v>
      </c>
      <c r="G154" s="128" t="s">
        <v>245</v>
      </c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 s="93">
        <v>0</v>
      </c>
      <c r="X154" s="129">
        <v>0</v>
      </c>
      <c r="Y154" s="93">
        <v>0</v>
      </c>
      <c r="Z154" s="129">
        <v>0</v>
      </c>
      <c r="AA154" s="155">
        <f t="shared" si="8"/>
        <v>0</v>
      </c>
      <c r="AB154" s="98">
        <f t="shared" si="8"/>
        <v>0</v>
      </c>
      <c r="AC154"/>
      <c r="AD154" s="97">
        <v>0</v>
      </c>
      <c r="AE154" s="92">
        <v>0</v>
      </c>
      <c r="AF154" s="98">
        <f t="shared" si="10"/>
        <v>0</v>
      </c>
      <c r="AG154" s="97">
        <v>0</v>
      </c>
      <c r="AH154" s="92">
        <v>0</v>
      </c>
      <c r="AI154" s="98">
        <f t="shared" si="11"/>
        <v>0</v>
      </c>
      <c r="AJ154" s="99">
        <f t="shared" si="9"/>
        <v>0</v>
      </c>
      <c r="AK154" s="102" t="str">
        <f>+IF(X154+W154+AJ154&lt;=0, "NO COMPRADOR", +IF(AJ154&lt;=0, "SIN COMPRA "&amp;+UPPER(TEXT('DINAMICA ENERO 26'!$C$2,"mmm 'yy")), "COMPRADOR"))</f>
        <v>NO COMPRADOR</v>
      </c>
      <c r="AM154" s="101"/>
    </row>
    <row r="155" spans="1:43" s="100" customFormat="1">
      <c r="A155" s="88" t="s">
        <v>85</v>
      </c>
      <c r="B155" s="89" t="s">
        <v>236</v>
      </c>
      <c r="C155" s="89" t="s">
        <v>68</v>
      </c>
      <c r="D155" s="103">
        <v>100031199</v>
      </c>
      <c r="E155" s="89" t="s">
        <v>69</v>
      </c>
      <c r="F155" s="89">
        <v>100002250</v>
      </c>
      <c r="G155" s="128" t="s">
        <v>246</v>
      </c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 s="93">
        <v>0</v>
      </c>
      <c r="X155" s="129">
        <v>0</v>
      </c>
      <c r="Y155" s="93">
        <v>0</v>
      </c>
      <c r="Z155" s="129">
        <v>0</v>
      </c>
      <c r="AA155" s="155">
        <f t="shared" si="8"/>
        <v>0</v>
      </c>
      <c r="AB155" s="98">
        <f t="shared" si="8"/>
        <v>0</v>
      </c>
      <c r="AC155"/>
      <c r="AD155" s="97">
        <v>0</v>
      </c>
      <c r="AE155" s="92">
        <v>0</v>
      </c>
      <c r="AF155" s="98">
        <f t="shared" si="10"/>
        <v>0</v>
      </c>
      <c r="AG155" s="97">
        <v>0</v>
      </c>
      <c r="AH155" s="92">
        <v>0</v>
      </c>
      <c r="AI155" s="98">
        <f t="shared" si="11"/>
        <v>0</v>
      </c>
      <c r="AJ155" s="99">
        <f t="shared" si="9"/>
        <v>0</v>
      </c>
      <c r="AK155" s="102" t="str">
        <f>+IF(X155+W155+AJ155&lt;=0, "NO COMPRADOR", +IF(AJ155&lt;=0, "SIN COMPRA "&amp;+UPPER(TEXT('DINAMICA ENERO 26'!$C$2,"mmm 'yy")), "COMPRADOR"))</f>
        <v>NO COMPRADOR</v>
      </c>
      <c r="AM155" s="101"/>
    </row>
    <row r="156" spans="1:43" s="104" customFormat="1">
      <c r="A156" s="88" t="s">
        <v>85</v>
      </c>
      <c r="B156" s="89" t="s">
        <v>236</v>
      </c>
      <c r="C156" s="89" t="s">
        <v>68</v>
      </c>
      <c r="D156" s="103">
        <v>100031199</v>
      </c>
      <c r="E156" s="89" t="s">
        <v>69</v>
      </c>
      <c r="F156" s="89">
        <v>100002229</v>
      </c>
      <c r="G156" s="128" t="s">
        <v>247</v>
      </c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 s="93">
        <v>0</v>
      </c>
      <c r="X156" s="129">
        <v>0</v>
      </c>
      <c r="Y156" s="93">
        <v>0</v>
      </c>
      <c r="Z156" s="129">
        <v>0</v>
      </c>
      <c r="AA156" s="155">
        <f t="shared" si="8"/>
        <v>0</v>
      </c>
      <c r="AB156" s="98">
        <f t="shared" si="8"/>
        <v>0</v>
      </c>
      <c r="AC156"/>
      <c r="AD156" s="97">
        <v>0</v>
      </c>
      <c r="AE156" s="92">
        <v>0</v>
      </c>
      <c r="AF156" s="98">
        <f t="shared" si="10"/>
        <v>0</v>
      </c>
      <c r="AG156" s="97">
        <v>0</v>
      </c>
      <c r="AH156" s="92">
        <v>0</v>
      </c>
      <c r="AI156" s="98">
        <f t="shared" si="11"/>
        <v>0</v>
      </c>
      <c r="AJ156" s="99">
        <f t="shared" si="9"/>
        <v>0</v>
      </c>
      <c r="AK156" s="102" t="str">
        <f>+IF(X156+W156+AJ156&lt;=0, "NO COMPRADOR", +IF(AJ156&lt;=0, "SIN COMPRA "&amp;+UPPER(TEXT('DINAMICA ENERO 26'!$C$2,"mmm 'yy")), "COMPRADOR"))</f>
        <v>NO COMPRADOR</v>
      </c>
      <c r="AL156" s="100"/>
      <c r="AM156" s="101"/>
      <c r="AN156" s="100"/>
      <c r="AO156" s="100"/>
      <c r="AP156" s="100"/>
    </row>
    <row r="157" spans="1:43" s="100" customFormat="1">
      <c r="A157" s="88" t="s">
        <v>85</v>
      </c>
      <c r="B157" s="89" t="s">
        <v>236</v>
      </c>
      <c r="C157" s="89" t="s">
        <v>68</v>
      </c>
      <c r="D157" s="103">
        <v>100031199</v>
      </c>
      <c r="E157" s="89" t="s">
        <v>69</v>
      </c>
      <c r="F157" s="89">
        <v>100022327</v>
      </c>
      <c r="G157" s="128" t="s">
        <v>248</v>
      </c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 s="93">
        <v>0</v>
      </c>
      <c r="X157" s="129">
        <v>0</v>
      </c>
      <c r="Y157" s="93">
        <v>0</v>
      </c>
      <c r="Z157" s="129">
        <v>0</v>
      </c>
      <c r="AA157" s="155">
        <f t="shared" si="8"/>
        <v>0</v>
      </c>
      <c r="AB157" s="98">
        <f t="shared" si="8"/>
        <v>0</v>
      </c>
      <c r="AC157"/>
      <c r="AD157" s="97">
        <v>0</v>
      </c>
      <c r="AE157" s="92">
        <v>0</v>
      </c>
      <c r="AF157" s="98">
        <f t="shared" si="10"/>
        <v>0</v>
      </c>
      <c r="AG157" s="97">
        <v>0</v>
      </c>
      <c r="AH157" s="92">
        <v>0</v>
      </c>
      <c r="AI157" s="98">
        <f t="shared" si="11"/>
        <v>0</v>
      </c>
      <c r="AJ157" s="99">
        <f t="shared" si="9"/>
        <v>0</v>
      </c>
      <c r="AK157" s="102" t="str">
        <f>+IF(X157+W157+AJ157&lt;=0, "NO COMPRADOR", +IF(AJ157&lt;=0, "SIN COMPRA "&amp;+UPPER(TEXT('DINAMICA ENERO 26'!$C$2,"mmm 'yy")), "COMPRADOR"))</f>
        <v>NO COMPRADOR</v>
      </c>
      <c r="AM157" s="101"/>
    </row>
    <row r="158" spans="1:43" s="100" customFormat="1">
      <c r="A158" s="88" t="s">
        <v>85</v>
      </c>
      <c r="B158" s="89" t="s">
        <v>236</v>
      </c>
      <c r="C158" s="89" t="s">
        <v>68</v>
      </c>
      <c r="D158" s="103">
        <v>100031199</v>
      </c>
      <c r="E158" s="89" t="s">
        <v>69</v>
      </c>
      <c r="F158" s="89">
        <v>100002225</v>
      </c>
      <c r="G158" s="128" t="s">
        <v>249</v>
      </c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 s="93">
        <v>0</v>
      </c>
      <c r="X158" s="129">
        <v>0</v>
      </c>
      <c r="Y158" s="93">
        <v>0</v>
      </c>
      <c r="Z158" s="129">
        <v>0</v>
      </c>
      <c r="AA158" s="155">
        <f t="shared" si="8"/>
        <v>0</v>
      </c>
      <c r="AB158" s="98">
        <f t="shared" si="8"/>
        <v>0</v>
      </c>
      <c r="AC158"/>
      <c r="AD158" s="97">
        <v>0</v>
      </c>
      <c r="AE158" s="92">
        <v>0</v>
      </c>
      <c r="AF158" s="98">
        <f t="shared" si="10"/>
        <v>0</v>
      </c>
      <c r="AG158" s="97">
        <v>0</v>
      </c>
      <c r="AH158" s="92">
        <v>0</v>
      </c>
      <c r="AI158" s="98">
        <f t="shared" si="11"/>
        <v>0</v>
      </c>
      <c r="AJ158" s="99">
        <f t="shared" si="9"/>
        <v>0</v>
      </c>
      <c r="AK158" s="102" t="str">
        <f>+IF(X158+W158+AJ158&lt;=0, "NO COMPRADOR", +IF(AJ158&lt;=0, "SIN COMPRA "&amp;+UPPER(TEXT('DINAMICA ENERO 26'!$C$2,"mmm 'yy")), "COMPRADOR"))</f>
        <v>NO COMPRADOR</v>
      </c>
      <c r="AM158" s="101"/>
    </row>
    <row r="159" spans="1:43" s="100" customFormat="1">
      <c r="A159" s="88" t="s">
        <v>85</v>
      </c>
      <c r="B159" s="89" t="s">
        <v>236</v>
      </c>
      <c r="C159" s="89" t="s">
        <v>68</v>
      </c>
      <c r="D159" s="103">
        <v>100031199</v>
      </c>
      <c r="E159" s="89" t="s">
        <v>69</v>
      </c>
      <c r="F159" s="89">
        <v>100071477</v>
      </c>
      <c r="G159" s="128" t="s">
        <v>250</v>
      </c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 s="93">
        <v>0</v>
      </c>
      <c r="X159" s="129">
        <v>0</v>
      </c>
      <c r="Y159" s="93">
        <v>0</v>
      </c>
      <c r="Z159" s="129">
        <v>0</v>
      </c>
      <c r="AA159" s="155">
        <f t="shared" si="8"/>
        <v>0</v>
      </c>
      <c r="AB159" s="98">
        <f t="shared" si="8"/>
        <v>0</v>
      </c>
      <c r="AC159"/>
      <c r="AD159" s="97">
        <v>0</v>
      </c>
      <c r="AE159" s="92">
        <v>0</v>
      </c>
      <c r="AF159" s="98">
        <f>+AD159+AE159</f>
        <v>0</v>
      </c>
      <c r="AG159" s="97">
        <v>0</v>
      </c>
      <c r="AH159" s="92">
        <v>0</v>
      </c>
      <c r="AI159" s="98">
        <f>+AG159+AH159</f>
        <v>0</v>
      </c>
      <c r="AJ159" s="99">
        <f t="shared" si="9"/>
        <v>0</v>
      </c>
      <c r="AK159" s="102" t="str">
        <f>+IF(X159+W159+AJ159&lt;=0, "NO COMPRADOR", +IF(AJ159&lt;=0, "SIN COMPRA "&amp;+UPPER(TEXT('DINAMICA ENERO 26'!$C$2,"mmm 'yy")), "COMPRADOR"))</f>
        <v>NO COMPRADOR</v>
      </c>
      <c r="AM159" s="101"/>
    </row>
    <row r="160" spans="1:43" s="100" customFormat="1">
      <c r="A160" s="88" t="s">
        <v>85</v>
      </c>
      <c r="B160" s="89" t="s">
        <v>236</v>
      </c>
      <c r="C160" s="89" t="s">
        <v>68</v>
      </c>
      <c r="D160" s="103">
        <v>100031199</v>
      </c>
      <c r="E160" s="89" t="s">
        <v>69</v>
      </c>
      <c r="F160" s="89">
        <v>100073868</v>
      </c>
      <c r="G160" s="128" t="s">
        <v>251</v>
      </c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 s="93">
        <v>0</v>
      </c>
      <c r="X160" s="129">
        <v>0</v>
      </c>
      <c r="Y160" s="93">
        <v>0</v>
      </c>
      <c r="Z160" s="129">
        <v>0</v>
      </c>
      <c r="AA160" s="155">
        <f t="shared" si="8"/>
        <v>0</v>
      </c>
      <c r="AB160" s="98">
        <f t="shared" si="8"/>
        <v>0</v>
      </c>
      <c r="AC160"/>
      <c r="AD160" s="97">
        <v>0</v>
      </c>
      <c r="AE160" s="92">
        <v>0</v>
      </c>
      <c r="AF160" s="98">
        <f t="shared" si="10"/>
        <v>0</v>
      </c>
      <c r="AG160" s="97">
        <v>0</v>
      </c>
      <c r="AH160" s="92">
        <v>0</v>
      </c>
      <c r="AI160" s="98">
        <f t="shared" ref="AI160:AI165" si="12">+AG160+AH160</f>
        <v>0</v>
      </c>
      <c r="AJ160" s="99">
        <f t="shared" si="9"/>
        <v>0</v>
      </c>
      <c r="AK160" s="102" t="str">
        <f>+IF(X160+W160+AJ160&lt;=0, "NO COMPRADOR", +IF(AJ160&lt;=0, "SIN COMPRA "&amp;+UPPER(TEXT('DINAMICA ENERO 26'!$C$2,"mmm 'yy")), "COMPRADOR"))</f>
        <v>NO COMPRADOR</v>
      </c>
      <c r="AM160" s="101"/>
      <c r="AQ160" s="100" t="e">
        <f>+VLOOKUP(AO160,Veggies!X:Y,2,FALSE)</f>
        <v>#N/A</v>
      </c>
    </row>
    <row r="161" spans="1:43" s="100" customFormat="1">
      <c r="A161" s="88" t="s">
        <v>85</v>
      </c>
      <c r="B161" s="89" t="s">
        <v>236</v>
      </c>
      <c r="C161" s="89" t="s">
        <v>68</v>
      </c>
      <c r="D161" s="103">
        <v>100031199</v>
      </c>
      <c r="E161" s="89" t="s">
        <v>69</v>
      </c>
      <c r="F161" s="89">
        <v>100040021</v>
      </c>
      <c r="G161" s="128" t="s">
        <v>252</v>
      </c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 s="93">
        <v>0</v>
      </c>
      <c r="X161" s="129">
        <v>0</v>
      </c>
      <c r="Y161" s="93">
        <v>0</v>
      </c>
      <c r="Z161" s="129">
        <v>0</v>
      </c>
      <c r="AA161" s="155">
        <f t="shared" si="8"/>
        <v>0</v>
      </c>
      <c r="AB161" s="98">
        <f t="shared" si="8"/>
        <v>0</v>
      </c>
      <c r="AC161"/>
      <c r="AD161" s="97">
        <v>0</v>
      </c>
      <c r="AE161" s="92">
        <v>0</v>
      </c>
      <c r="AF161" s="98">
        <f t="shared" si="10"/>
        <v>0</v>
      </c>
      <c r="AG161" s="97">
        <v>0</v>
      </c>
      <c r="AH161" s="92">
        <v>0</v>
      </c>
      <c r="AI161" s="98">
        <f t="shared" si="12"/>
        <v>0</v>
      </c>
      <c r="AJ161" s="99">
        <f t="shared" si="9"/>
        <v>0</v>
      </c>
      <c r="AK161" s="102" t="str">
        <f>+IF(X161+W161+AJ161&lt;=0, "NO COMPRADOR", +IF(AJ161&lt;=0, "SIN COMPRA "&amp;+UPPER(TEXT('DINAMICA ENERO 26'!$C$2,"mmm 'yy")), "COMPRADOR"))</f>
        <v>NO COMPRADOR</v>
      </c>
      <c r="AM161" s="101"/>
      <c r="AQ161" s="100" t="e">
        <f>+VLOOKUP(AO161,Veggies!X:Y,2,FALSE)</f>
        <v>#N/A</v>
      </c>
    </row>
    <row r="162" spans="1:43" s="100" customFormat="1">
      <c r="A162" s="88" t="s">
        <v>85</v>
      </c>
      <c r="B162" s="89" t="s">
        <v>236</v>
      </c>
      <c r="C162" s="89" t="s">
        <v>68</v>
      </c>
      <c r="D162" s="103">
        <v>100031199</v>
      </c>
      <c r="E162" s="89" t="s">
        <v>69</v>
      </c>
      <c r="F162" s="89">
        <v>100019451</v>
      </c>
      <c r="G162" s="128" t="s">
        <v>253</v>
      </c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 s="93">
        <v>0</v>
      </c>
      <c r="X162" s="129">
        <v>0</v>
      </c>
      <c r="Y162" s="93">
        <v>0</v>
      </c>
      <c r="Z162" s="129">
        <v>0</v>
      </c>
      <c r="AA162" s="155">
        <f t="shared" si="8"/>
        <v>0</v>
      </c>
      <c r="AB162" s="98">
        <f t="shared" si="8"/>
        <v>0</v>
      </c>
      <c r="AC162"/>
      <c r="AD162" s="97">
        <v>0</v>
      </c>
      <c r="AE162" s="92">
        <v>0</v>
      </c>
      <c r="AF162" s="98">
        <f t="shared" si="10"/>
        <v>0</v>
      </c>
      <c r="AG162" s="97">
        <v>0</v>
      </c>
      <c r="AH162" s="92">
        <v>0</v>
      </c>
      <c r="AI162" s="98">
        <f t="shared" si="12"/>
        <v>0</v>
      </c>
      <c r="AJ162" s="99">
        <f t="shared" si="9"/>
        <v>0</v>
      </c>
      <c r="AK162" s="102" t="str">
        <f>+IF(X162+W162+AJ162&lt;=0, "NO COMPRADOR", +IF(AJ162&lt;=0, "SIN COMPRA "&amp;+UPPER(TEXT('DINAMICA ENERO 26'!$C$2,"mmm 'yy")), "COMPRADOR"))</f>
        <v>NO COMPRADOR</v>
      </c>
      <c r="AM162" s="101"/>
      <c r="AQ162" s="100" t="e">
        <f>+VLOOKUP(AO162,Veggies!X:Y,2,FALSE)</f>
        <v>#N/A</v>
      </c>
    </row>
    <row r="163" spans="1:43" s="100" customFormat="1">
      <c r="A163" s="88" t="s">
        <v>85</v>
      </c>
      <c r="B163" s="89" t="s">
        <v>236</v>
      </c>
      <c r="C163" s="89" t="s">
        <v>68</v>
      </c>
      <c r="D163" s="103">
        <v>100031199</v>
      </c>
      <c r="E163" s="89" t="s">
        <v>69</v>
      </c>
      <c r="F163" s="89">
        <v>100066048</v>
      </c>
      <c r="G163" s="128" t="s">
        <v>254</v>
      </c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 s="93">
        <v>0</v>
      </c>
      <c r="X163" s="129">
        <v>0</v>
      </c>
      <c r="Y163" s="93">
        <v>0</v>
      </c>
      <c r="Z163" s="129">
        <v>0</v>
      </c>
      <c r="AA163" s="155">
        <f t="shared" si="8"/>
        <v>0</v>
      </c>
      <c r="AB163" s="98">
        <f t="shared" si="8"/>
        <v>0</v>
      </c>
      <c r="AC163"/>
      <c r="AD163" s="97">
        <v>0</v>
      </c>
      <c r="AE163" s="92">
        <v>0</v>
      </c>
      <c r="AF163" s="98">
        <f t="shared" si="10"/>
        <v>0</v>
      </c>
      <c r="AG163" s="97">
        <v>0</v>
      </c>
      <c r="AH163" s="92">
        <v>0</v>
      </c>
      <c r="AI163" s="98">
        <f t="shared" si="12"/>
        <v>0</v>
      </c>
      <c r="AJ163" s="99">
        <f t="shared" si="9"/>
        <v>0</v>
      </c>
      <c r="AK163" s="102" t="str">
        <f>+IF(X163+W163+AJ163&lt;=0, "NO COMPRADOR", +IF(AJ163&lt;=0, "SIN COMPRA "&amp;+UPPER(TEXT('DINAMICA ENERO 26'!$C$2,"mmm 'yy")), "COMPRADOR"))</f>
        <v>NO COMPRADOR</v>
      </c>
      <c r="AM163" s="101"/>
      <c r="AQ163" s="100" t="e">
        <f>+VLOOKUP(AO163,Veggies!X:Y,2,FALSE)</f>
        <v>#N/A</v>
      </c>
    </row>
    <row r="164" spans="1:43" s="100" customFormat="1">
      <c r="A164" s="88" t="s">
        <v>85</v>
      </c>
      <c r="B164" s="89" t="s">
        <v>236</v>
      </c>
      <c r="C164" s="89" t="s">
        <v>68</v>
      </c>
      <c r="D164" s="103">
        <v>100031199</v>
      </c>
      <c r="E164" s="89" t="s">
        <v>69</v>
      </c>
      <c r="F164" s="89">
        <v>100086078</v>
      </c>
      <c r="G164" s="128" t="s">
        <v>255</v>
      </c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 s="93">
        <v>0</v>
      </c>
      <c r="X164" s="129">
        <v>0</v>
      </c>
      <c r="Y164" s="93">
        <v>0</v>
      </c>
      <c r="Z164" s="129">
        <v>0</v>
      </c>
      <c r="AA164" s="155">
        <f t="shared" si="8"/>
        <v>0</v>
      </c>
      <c r="AB164" s="98">
        <f t="shared" si="8"/>
        <v>0</v>
      </c>
      <c r="AC164"/>
      <c r="AD164" s="97">
        <v>0</v>
      </c>
      <c r="AE164" s="92">
        <v>0</v>
      </c>
      <c r="AF164" s="98">
        <f t="shared" si="10"/>
        <v>0</v>
      </c>
      <c r="AG164" s="97">
        <v>0</v>
      </c>
      <c r="AH164" s="92">
        <v>0</v>
      </c>
      <c r="AI164" s="98">
        <f t="shared" si="12"/>
        <v>0</v>
      </c>
      <c r="AJ164" s="99">
        <f t="shared" si="9"/>
        <v>0</v>
      </c>
      <c r="AK164" s="102" t="str">
        <f>+IF(X164+W164+AJ164&lt;=0, "NO COMPRADOR", +IF(AJ164&lt;=0, "SIN COMPRA "&amp;+UPPER(TEXT('DINAMICA ENERO 26'!$C$2,"mmm 'yy")), "COMPRADOR"))</f>
        <v>NO COMPRADOR</v>
      </c>
      <c r="AM164" s="101"/>
    </row>
    <row r="165" spans="1:43" s="100" customFormat="1">
      <c r="A165" s="88" t="s">
        <v>85</v>
      </c>
      <c r="B165" s="89" t="s">
        <v>236</v>
      </c>
      <c r="C165" s="89" t="s">
        <v>68</v>
      </c>
      <c r="D165" s="103">
        <v>100031199</v>
      </c>
      <c r="E165" s="89" t="s">
        <v>69</v>
      </c>
      <c r="F165" s="89">
        <v>100089860</v>
      </c>
      <c r="G165" s="128" t="s">
        <v>256</v>
      </c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 s="93">
        <v>0</v>
      </c>
      <c r="X165" s="129">
        <v>0</v>
      </c>
      <c r="Y165" s="93">
        <v>0</v>
      </c>
      <c r="Z165" s="129">
        <v>0</v>
      </c>
      <c r="AA165" s="155">
        <f t="shared" si="8"/>
        <v>0</v>
      </c>
      <c r="AB165" s="98">
        <f t="shared" si="8"/>
        <v>0</v>
      </c>
      <c r="AC165"/>
      <c r="AD165" s="97">
        <v>0</v>
      </c>
      <c r="AE165" s="92">
        <v>0</v>
      </c>
      <c r="AF165" s="98">
        <f t="shared" si="10"/>
        <v>0</v>
      </c>
      <c r="AG165" s="97">
        <v>0</v>
      </c>
      <c r="AH165" s="92">
        <v>0</v>
      </c>
      <c r="AI165" s="98">
        <f t="shared" si="12"/>
        <v>0</v>
      </c>
      <c r="AJ165" s="99">
        <f t="shared" si="9"/>
        <v>0</v>
      </c>
      <c r="AK165" s="102" t="str">
        <f>+IF(X165+W165+AJ165&lt;=0, "NO COMPRADOR", +IF(AJ165&lt;=0, "SIN COMPRA "&amp;+UPPER(TEXT('DINAMICA ENERO 26'!$C$2,"mmm 'yy")), "COMPRADOR"))</f>
        <v>NO COMPRADOR</v>
      </c>
      <c r="AM165" s="101"/>
      <c r="AQ165" s="100" t="e">
        <f>+VLOOKUP(AO165,Veggies!X:Y,2,FALSE)</f>
        <v>#N/A</v>
      </c>
    </row>
    <row r="166" spans="1:43" s="100" customFormat="1">
      <c r="A166" s="88" t="s">
        <v>85</v>
      </c>
      <c r="B166" s="89" t="s">
        <v>257</v>
      </c>
      <c r="C166" s="89" t="s">
        <v>43</v>
      </c>
      <c r="D166" s="103">
        <v>100088690</v>
      </c>
      <c r="E166" s="89" t="s">
        <v>45</v>
      </c>
      <c r="F166" s="89">
        <v>100080700</v>
      </c>
      <c r="G166" s="128" t="s">
        <v>258</v>
      </c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 s="93">
        <v>0</v>
      </c>
      <c r="X166" s="129">
        <v>0</v>
      </c>
      <c r="Y166" s="93">
        <v>8.16</v>
      </c>
      <c r="Z166" s="129">
        <v>8.16</v>
      </c>
      <c r="AA166" s="155">
        <f t="shared" si="8"/>
        <v>4.08</v>
      </c>
      <c r="AB166" s="98">
        <f t="shared" si="8"/>
        <v>4.08</v>
      </c>
      <c r="AC166"/>
      <c r="AD166" s="97">
        <v>0</v>
      </c>
      <c r="AE166" s="92">
        <v>0</v>
      </c>
      <c r="AF166" s="98">
        <f>+AD166+AE166</f>
        <v>0</v>
      </c>
      <c r="AG166" s="97">
        <v>0</v>
      </c>
      <c r="AH166" s="92">
        <v>0</v>
      </c>
      <c r="AI166" s="98">
        <f>+AG166+AH166</f>
        <v>0</v>
      </c>
      <c r="AJ166" s="99">
        <f t="shared" si="9"/>
        <v>0</v>
      </c>
      <c r="AK166" s="102" t="str">
        <f>+IF(X166+W166+AJ166&lt;=0, "NO COMPRADOR", +IF(AJ166&lt;=0, "SIN COMPRA "&amp;+UPPER(TEXT('DINAMICA ENERO 26'!$C$2,"mmm 'yy")), "COMPRADOR"))</f>
        <v>NO COMPRADOR</v>
      </c>
      <c r="AM166" s="101"/>
    </row>
    <row r="167" spans="1:43" s="104" customFormat="1">
      <c r="A167" s="88" t="s">
        <v>85</v>
      </c>
      <c r="B167" s="89" t="s">
        <v>257</v>
      </c>
      <c r="C167" s="89" t="s">
        <v>43</v>
      </c>
      <c r="D167" s="103">
        <v>100088690</v>
      </c>
      <c r="E167" s="89" t="s">
        <v>45</v>
      </c>
      <c r="F167" s="89">
        <v>100082871</v>
      </c>
      <c r="G167" s="128" t="s">
        <v>259</v>
      </c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 s="93">
        <v>0</v>
      </c>
      <c r="X167" s="129">
        <v>0</v>
      </c>
      <c r="Y167" s="93">
        <v>0</v>
      </c>
      <c r="Z167" s="129">
        <v>0</v>
      </c>
      <c r="AA167" s="155">
        <f t="shared" si="8"/>
        <v>0</v>
      </c>
      <c r="AB167" s="98">
        <f t="shared" si="8"/>
        <v>0</v>
      </c>
      <c r="AC167"/>
      <c r="AD167" s="97">
        <v>0</v>
      </c>
      <c r="AE167" s="92">
        <v>0</v>
      </c>
      <c r="AF167" s="98">
        <f t="shared" si="10"/>
        <v>0</v>
      </c>
      <c r="AG167" s="97">
        <v>0</v>
      </c>
      <c r="AH167" s="92">
        <v>0</v>
      </c>
      <c r="AI167" s="98">
        <f t="shared" ref="AI167:AI230" si="13">+AG167+AH167</f>
        <v>0</v>
      </c>
      <c r="AJ167" s="99">
        <f t="shared" si="9"/>
        <v>0</v>
      </c>
      <c r="AK167" s="102" t="str">
        <f>+IF(X167+W167+AJ167&lt;=0, "NO COMPRADOR", +IF(AJ167&lt;=0, "SIN COMPRA "&amp;+UPPER(TEXT('DINAMICA ENERO 26'!$C$2,"mmm 'yy")), "COMPRADOR"))</f>
        <v>NO COMPRADOR</v>
      </c>
      <c r="AL167" s="100"/>
      <c r="AM167" s="101"/>
      <c r="AN167" s="100"/>
      <c r="AO167" s="100"/>
      <c r="AP167" s="100"/>
    </row>
    <row r="168" spans="1:43" s="104" customFormat="1">
      <c r="A168" s="88" t="s">
        <v>85</v>
      </c>
      <c r="B168" s="89" t="s">
        <v>257</v>
      </c>
      <c r="C168" s="89" t="s">
        <v>43</v>
      </c>
      <c r="D168" s="103">
        <v>100088690</v>
      </c>
      <c r="E168" s="89" t="s">
        <v>45</v>
      </c>
      <c r="F168" s="89">
        <v>100001500</v>
      </c>
      <c r="G168" s="128" t="s">
        <v>260</v>
      </c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 s="93">
        <v>0</v>
      </c>
      <c r="X168" s="129">
        <v>0</v>
      </c>
      <c r="Y168" s="93">
        <v>8.16</v>
      </c>
      <c r="Z168" s="129">
        <v>0</v>
      </c>
      <c r="AA168" s="155">
        <f t="shared" si="8"/>
        <v>4.08</v>
      </c>
      <c r="AB168" s="98">
        <f t="shared" si="8"/>
        <v>0</v>
      </c>
      <c r="AC168"/>
      <c r="AD168" s="97">
        <v>0</v>
      </c>
      <c r="AE168" s="92">
        <v>0</v>
      </c>
      <c r="AF168" s="98">
        <f t="shared" si="10"/>
        <v>0</v>
      </c>
      <c r="AG168" s="97">
        <v>0</v>
      </c>
      <c r="AH168" s="92">
        <v>0</v>
      </c>
      <c r="AI168" s="98">
        <f t="shared" si="13"/>
        <v>0</v>
      </c>
      <c r="AJ168" s="99">
        <f t="shared" si="9"/>
        <v>0</v>
      </c>
      <c r="AK168" s="102" t="str">
        <f>+IF(X168+W168+AJ168&lt;=0, "NO COMPRADOR", +IF(AJ168&lt;=0, "SIN COMPRA "&amp;+UPPER(TEXT('DINAMICA ENERO 26'!$C$2,"mmm 'yy")), "COMPRADOR"))</f>
        <v>NO COMPRADOR</v>
      </c>
      <c r="AL168" s="100"/>
      <c r="AM168" s="101"/>
      <c r="AN168" s="100"/>
      <c r="AO168" s="100"/>
      <c r="AP168" s="100"/>
    </row>
    <row r="169" spans="1:43" s="104" customFormat="1">
      <c r="A169" s="88" t="s">
        <v>85</v>
      </c>
      <c r="B169" s="89" t="s">
        <v>257</v>
      </c>
      <c r="C169" s="89" t="s">
        <v>43</v>
      </c>
      <c r="D169" s="103">
        <v>100088690</v>
      </c>
      <c r="E169" s="89" t="s">
        <v>45</v>
      </c>
      <c r="F169" s="89">
        <v>100026401</v>
      </c>
      <c r="G169" s="128" t="s">
        <v>261</v>
      </c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 s="93">
        <v>0</v>
      </c>
      <c r="X169" s="129">
        <v>0</v>
      </c>
      <c r="Y169" s="93">
        <v>163.19999999999999</v>
      </c>
      <c r="Z169" s="129">
        <v>155.04</v>
      </c>
      <c r="AA169" s="155">
        <f t="shared" si="8"/>
        <v>81.599999999999994</v>
      </c>
      <c r="AB169" s="98">
        <f t="shared" si="8"/>
        <v>77.52</v>
      </c>
      <c r="AC169"/>
      <c r="AD169" s="97">
        <v>40.799999999999997</v>
      </c>
      <c r="AE169" s="92">
        <v>0</v>
      </c>
      <c r="AF169" s="98">
        <f t="shared" si="10"/>
        <v>40.799999999999997</v>
      </c>
      <c r="AG169" s="97">
        <v>24.48</v>
      </c>
      <c r="AH169" s="92">
        <v>0</v>
      </c>
      <c r="AI169" s="98">
        <f t="shared" si="13"/>
        <v>24.48</v>
      </c>
      <c r="AJ169" s="99">
        <f t="shared" si="9"/>
        <v>65.28</v>
      </c>
      <c r="AK169" s="102" t="str">
        <f>+IF(X169+W169+AJ169&lt;=0, "NO COMPRADOR", +IF(AJ169&lt;=0, "SIN COMPRA "&amp;+UPPER(TEXT('DINAMICA ENERO 26'!$C$2,"mmm 'yy")), "COMPRADOR"))</f>
        <v>COMPRADOR</v>
      </c>
      <c r="AL169" s="100"/>
      <c r="AM169" s="101"/>
      <c r="AN169" s="100"/>
      <c r="AO169" s="100"/>
      <c r="AP169" s="100"/>
    </row>
    <row r="170" spans="1:43" s="100" customFormat="1">
      <c r="A170" s="88" t="s">
        <v>85</v>
      </c>
      <c r="B170" s="89" t="s">
        <v>257</v>
      </c>
      <c r="C170" s="89" t="s">
        <v>43</v>
      </c>
      <c r="D170" s="103">
        <v>100088690</v>
      </c>
      <c r="E170" s="89" t="s">
        <v>45</v>
      </c>
      <c r="F170" s="89">
        <v>100067627</v>
      </c>
      <c r="G170" s="128" t="s">
        <v>262</v>
      </c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 s="93">
        <v>0</v>
      </c>
      <c r="X170" s="129">
        <v>0</v>
      </c>
      <c r="Y170" s="93">
        <v>0</v>
      </c>
      <c r="Z170" s="129">
        <v>0</v>
      </c>
      <c r="AA170" s="155">
        <f t="shared" si="8"/>
        <v>0</v>
      </c>
      <c r="AB170" s="98">
        <f t="shared" si="8"/>
        <v>0</v>
      </c>
      <c r="AC170"/>
      <c r="AD170" s="97">
        <v>0</v>
      </c>
      <c r="AE170" s="92">
        <v>0</v>
      </c>
      <c r="AF170" s="98">
        <f t="shared" si="10"/>
        <v>0</v>
      </c>
      <c r="AG170" s="97">
        <v>0</v>
      </c>
      <c r="AH170" s="92">
        <v>0</v>
      </c>
      <c r="AI170" s="98">
        <f t="shared" si="13"/>
        <v>0</v>
      </c>
      <c r="AJ170" s="99">
        <f t="shared" si="9"/>
        <v>0</v>
      </c>
      <c r="AK170" s="102" t="str">
        <f>+IF(X170+W170+AJ170&lt;=0, "NO COMPRADOR", +IF(AJ170&lt;=0, "SIN COMPRA "&amp;+UPPER(TEXT('DINAMICA ENERO 26'!$C$2,"mmm 'yy")), "COMPRADOR"))</f>
        <v>NO COMPRADOR</v>
      </c>
      <c r="AM170" s="101"/>
    </row>
    <row r="171" spans="1:43" s="100" customFormat="1">
      <c r="A171" s="88" t="s">
        <v>85</v>
      </c>
      <c r="B171" s="89" t="s">
        <v>257</v>
      </c>
      <c r="C171" s="89" t="s">
        <v>43</v>
      </c>
      <c r="D171" s="103">
        <v>100088690</v>
      </c>
      <c r="E171" s="89" t="s">
        <v>45</v>
      </c>
      <c r="F171" s="89">
        <v>100072066</v>
      </c>
      <c r="G171" s="128" t="s">
        <v>263</v>
      </c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 s="93">
        <v>16.32</v>
      </c>
      <c r="X171" s="129">
        <v>16.32</v>
      </c>
      <c r="Y171" s="93">
        <v>57.120000000000005</v>
      </c>
      <c r="Z171" s="129">
        <v>57.120000000000005</v>
      </c>
      <c r="AA171" s="155">
        <f t="shared" si="8"/>
        <v>36.72</v>
      </c>
      <c r="AB171" s="98">
        <f t="shared" si="8"/>
        <v>36.72</v>
      </c>
      <c r="AC171"/>
      <c r="AD171" s="97">
        <v>32.64</v>
      </c>
      <c r="AE171" s="92">
        <v>0</v>
      </c>
      <c r="AF171" s="98">
        <f t="shared" si="10"/>
        <v>32.64</v>
      </c>
      <c r="AG171" s="97">
        <v>40.799999999999997</v>
      </c>
      <c r="AH171" s="92">
        <v>0</v>
      </c>
      <c r="AI171" s="98">
        <f t="shared" si="13"/>
        <v>40.799999999999997</v>
      </c>
      <c r="AJ171" s="99">
        <f t="shared" si="9"/>
        <v>73.44</v>
      </c>
      <c r="AK171" s="102" t="str">
        <f>+IF(X171+W171+AJ171&lt;=0, "NO COMPRADOR", +IF(AJ171&lt;=0, "SIN COMPRA "&amp;+UPPER(TEXT('DINAMICA ENERO 26'!$C$2,"mmm 'yy")), "COMPRADOR"))</f>
        <v>COMPRADOR</v>
      </c>
      <c r="AM171" s="101"/>
    </row>
    <row r="172" spans="1:43" s="100" customFormat="1">
      <c r="A172" s="88" t="s">
        <v>85</v>
      </c>
      <c r="B172" s="89" t="s">
        <v>257</v>
      </c>
      <c r="C172" s="89" t="s">
        <v>43</v>
      </c>
      <c r="D172" s="103">
        <v>100088690</v>
      </c>
      <c r="E172" s="89" t="s">
        <v>45</v>
      </c>
      <c r="F172" s="89">
        <v>100081814</v>
      </c>
      <c r="G172" s="128" t="s">
        <v>264</v>
      </c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 s="93">
        <v>0</v>
      </c>
      <c r="X172" s="129">
        <v>0</v>
      </c>
      <c r="Y172" s="93">
        <v>0</v>
      </c>
      <c r="Z172" s="129">
        <v>0</v>
      </c>
      <c r="AA172" s="155">
        <f t="shared" si="8"/>
        <v>0</v>
      </c>
      <c r="AB172" s="98">
        <f t="shared" si="8"/>
        <v>0</v>
      </c>
      <c r="AC172"/>
      <c r="AD172" s="97">
        <v>0</v>
      </c>
      <c r="AE172" s="92">
        <v>0</v>
      </c>
      <c r="AF172" s="98">
        <f t="shared" si="10"/>
        <v>0</v>
      </c>
      <c r="AG172" s="97">
        <v>0</v>
      </c>
      <c r="AH172" s="92">
        <v>0</v>
      </c>
      <c r="AI172" s="98">
        <f t="shared" si="13"/>
        <v>0</v>
      </c>
      <c r="AJ172" s="99">
        <f t="shared" si="9"/>
        <v>0</v>
      </c>
      <c r="AK172" s="102" t="str">
        <f>+IF(X172+W172+AJ172&lt;=0, "NO COMPRADOR", +IF(AJ172&lt;=0, "SIN COMPRA "&amp;+UPPER(TEXT('DINAMICA ENERO 26'!$C$2,"mmm 'yy")), "COMPRADOR"))</f>
        <v>NO COMPRADOR</v>
      </c>
      <c r="AM172" s="101"/>
    </row>
    <row r="173" spans="1:43" s="100" customFormat="1">
      <c r="A173" s="88" t="s">
        <v>85</v>
      </c>
      <c r="B173" s="89" t="s">
        <v>257</v>
      </c>
      <c r="C173" s="89" t="s">
        <v>43</v>
      </c>
      <c r="D173" s="103">
        <v>100088690</v>
      </c>
      <c r="E173" s="89" t="s">
        <v>45</v>
      </c>
      <c r="F173" s="89">
        <v>100072064</v>
      </c>
      <c r="G173" s="128" t="s">
        <v>265</v>
      </c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 s="93">
        <v>8.16</v>
      </c>
      <c r="X173" s="129">
        <v>8.16</v>
      </c>
      <c r="Y173" s="93">
        <v>163.19999999999999</v>
      </c>
      <c r="Z173" s="129">
        <v>163.19999999999999</v>
      </c>
      <c r="AA173" s="155">
        <f t="shared" si="8"/>
        <v>85.679999999999993</v>
      </c>
      <c r="AB173" s="98">
        <f t="shared" si="8"/>
        <v>85.679999999999993</v>
      </c>
      <c r="AC173"/>
      <c r="AD173" s="97">
        <v>0</v>
      </c>
      <c r="AE173" s="92">
        <v>0</v>
      </c>
      <c r="AF173" s="98">
        <f t="shared" si="10"/>
        <v>0</v>
      </c>
      <c r="AG173" s="97">
        <v>0</v>
      </c>
      <c r="AH173" s="92">
        <v>0</v>
      </c>
      <c r="AI173" s="98">
        <f t="shared" si="13"/>
        <v>0</v>
      </c>
      <c r="AJ173" s="99">
        <f t="shared" si="9"/>
        <v>0</v>
      </c>
      <c r="AK173" s="102" t="str">
        <f>+IF(X173+W173+AJ173&lt;=0, "NO COMPRADOR", +IF(AJ173&lt;=0, "SIN COMPRA "&amp;+UPPER(TEXT('DINAMICA ENERO 26'!$C$2,"mmm 'yy")), "COMPRADOR"))</f>
        <v>SIN COMPRA FEB '26</v>
      </c>
      <c r="AM173" s="101"/>
    </row>
    <row r="174" spans="1:43" s="100" customFormat="1">
      <c r="A174" s="88" t="s">
        <v>85</v>
      </c>
      <c r="B174" s="89" t="s">
        <v>257</v>
      </c>
      <c r="C174" s="89" t="s">
        <v>43</v>
      </c>
      <c r="D174" s="103">
        <v>100088690</v>
      </c>
      <c r="E174" s="89" t="s">
        <v>45</v>
      </c>
      <c r="F174" s="89">
        <v>100080445</v>
      </c>
      <c r="G174" s="128" t="s">
        <v>266</v>
      </c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 s="93">
        <v>0</v>
      </c>
      <c r="X174" s="129">
        <v>0</v>
      </c>
      <c r="Y174" s="93">
        <v>16.32</v>
      </c>
      <c r="Z174" s="129">
        <v>16.32</v>
      </c>
      <c r="AA174" s="155">
        <f t="shared" si="8"/>
        <v>8.16</v>
      </c>
      <c r="AB174" s="98">
        <f t="shared" si="8"/>
        <v>8.16</v>
      </c>
      <c r="AC174"/>
      <c r="AD174" s="97">
        <v>0</v>
      </c>
      <c r="AE174" s="92">
        <v>0</v>
      </c>
      <c r="AF174" s="98">
        <f t="shared" si="10"/>
        <v>0</v>
      </c>
      <c r="AG174" s="97">
        <v>0</v>
      </c>
      <c r="AH174" s="92">
        <v>0</v>
      </c>
      <c r="AI174" s="98">
        <f t="shared" si="13"/>
        <v>0</v>
      </c>
      <c r="AJ174" s="99">
        <f t="shared" si="9"/>
        <v>0</v>
      </c>
      <c r="AK174" s="102" t="str">
        <f>+IF(X174+W174+AJ174&lt;=0, "NO COMPRADOR", +IF(AJ174&lt;=0, "SIN COMPRA "&amp;+UPPER(TEXT('DINAMICA ENERO 26'!$C$2,"mmm 'yy")), "COMPRADOR"))</f>
        <v>NO COMPRADOR</v>
      </c>
      <c r="AM174" s="101"/>
    </row>
    <row r="175" spans="1:43" s="100" customFormat="1">
      <c r="A175" s="88" t="s">
        <v>85</v>
      </c>
      <c r="B175" s="89" t="s">
        <v>257</v>
      </c>
      <c r="C175" s="89" t="s">
        <v>43</v>
      </c>
      <c r="D175" s="103">
        <v>100088690</v>
      </c>
      <c r="E175" s="89" t="s">
        <v>45</v>
      </c>
      <c r="F175" s="89">
        <v>100018910</v>
      </c>
      <c r="G175" s="128" t="s">
        <v>267</v>
      </c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 s="93">
        <v>40.799999999999997</v>
      </c>
      <c r="X175" s="129">
        <v>40.799999999999997</v>
      </c>
      <c r="Y175" s="93">
        <v>0</v>
      </c>
      <c r="Z175" s="129">
        <v>0</v>
      </c>
      <c r="AA175" s="155">
        <f t="shared" si="8"/>
        <v>20.399999999999999</v>
      </c>
      <c r="AB175" s="98">
        <f t="shared" si="8"/>
        <v>20.399999999999999</v>
      </c>
      <c r="AC175"/>
      <c r="AD175" s="97">
        <v>8.16</v>
      </c>
      <c r="AE175" s="92">
        <v>0</v>
      </c>
      <c r="AF175" s="98">
        <f t="shared" si="10"/>
        <v>8.16</v>
      </c>
      <c r="AG175" s="97">
        <v>0</v>
      </c>
      <c r="AH175" s="92">
        <v>0</v>
      </c>
      <c r="AI175" s="98">
        <f t="shared" si="13"/>
        <v>0</v>
      </c>
      <c r="AJ175" s="99">
        <f t="shared" si="9"/>
        <v>8.16</v>
      </c>
      <c r="AK175" s="102" t="str">
        <f>+IF(X175+W175+AJ175&lt;=0, "NO COMPRADOR", +IF(AJ175&lt;=0, "SIN COMPRA "&amp;+UPPER(TEXT('DINAMICA ENERO 26'!$C$2,"mmm 'yy")), "COMPRADOR"))</f>
        <v>COMPRADOR</v>
      </c>
      <c r="AM175" s="101"/>
    </row>
    <row r="176" spans="1:43" s="100" customFormat="1">
      <c r="A176" s="88" t="s">
        <v>85</v>
      </c>
      <c r="B176" s="89" t="s">
        <v>257</v>
      </c>
      <c r="C176" s="89" t="s">
        <v>43</v>
      </c>
      <c r="D176" s="103">
        <v>100088690</v>
      </c>
      <c r="E176" s="89" t="s">
        <v>45</v>
      </c>
      <c r="F176" s="89">
        <v>100072065</v>
      </c>
      <c r="G176" s="128" t="s">
        <v>268</v>
      </c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 s="93">
        <v>40.799999999999997</v>
      </c>
      <c r="X176" s="129">
        <v>40.799999999999997</v>
      </c>
      <c r="Y176" s="93">
        <v>40.799999999999997</v>
      </c>
      <c r="Z176" s="129">
        <v>40.799999999999997</v>
      </c>
      <c r="AA176" s="155">
        <f t="shared" si="8"/>
        <v>40.799999999999997</v>
      </c>
      <c r="AB176" s="98">
        <f t="shared" si="8"/>
        <v>40.799999999999997</v>
      </c>
      <c r="AC176"/>
      <c r="AD176" s="97">
        <v>40.799999999999997</v>
      </c>
      <c r="AE176" s="92">
        <v>0</v>
      </c>
      <c r="AF176" s="98">
        <f t="shared" si="10"/>
        <v>40.799999999999997</v>
      </c>
      <c r="AG176" s="97">
        <v>8.16</v>
      </c>
      <c r="AH176" s="92">
        <v>0</v>
      </c>
      <c r="AI176" s="98">
        <f t="shared" si="13"/>
        <v>8.16</v>
      </c>
      <c r="AJ176" s="99">
        <f t="shared" si="9"/>
        <v>48.959999999999994</v>
      </c>
      <c r="AK176" s="102" t="str">
        <f>+IF(X176+W176+AJ176&lt;=0, "NO COMPRADOR", +IF(AJ176&lt;=0, "SIN COMPRA "&amp;+UPPER(TEXT('DINAMICA ENERO 26'!$C$2,"mmm 'yy")), "COMPRADOR"))</f>
        <v>COMPRADOR</v>
      </c>
      <c r="AM176" s="101"/>
    </row>
    <row r="177" spans="1:43" s="104" customFormat="1">
      <c r="A177" s="88" t="s">
        <v>85</v>
      </c>
      <c r="B177" s="89" t="s">
        <v>257</v>
      </c>
      <c r="C177" s="89" t="s">
        <v>43</v>
      </c>
      <c r="D177" s="103">
        <v>100088690</v>
      </c>
      <c r="E177" s="89" t="s">
        <v>45</v>
      </c>
      <c r="F177" s="89">
        <v>100068677</v>
      </c>
      <c r="G177" s="128" t="s">
        <v>269</v>
      </c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 s="93">
        <v>0</v>
      </c>
      <c r="X177" s="129">
        <v>0</v>
      </c>
      <c r="Y177" s="93">
        <v>0</v>
      </c>
      <c r="Z177" s="129">
        <v>0</v>
      </c>
      <c r="AA177" s="155">
        <f t="shared" si="8"/>
        <v>0</v>
      </c>
      <c r="AB177" s="98">
        <f t="shared" si="8"/>
        <v>0</v>
      </c>
      <c r="AC177"/>
      <c r="AD177" s="97">
        <v>0</v>
      </c>
      <c r="AE177" s="92">
        <v>0</v>
      </c>
      <c r="AF177" s="98">
        <f t="shared" si="10"/>
        <v>0</v>
      </c>
      <c r="AG177" s="97">
        <v>0</v>
      </c>
      <c r="AH177" s="92">
        <v>0</v>
      </c>
      <c r="AI177" s="98">
        <f t="shared" si="13"/>
        <v>0</v>
      </c>
      <c r="AJ177" s="99">
        <f t="shared" si="9"/>
        <v>0</v>
      </c>
      <c r="AK177" s="102" t="str">
        <f>+IF(X177+W177+AJ177&lt;=0, "NO COMPRADOR", +IF(AJ177&lt;=0, "SIN COMPRA "&amp;+UPPER(TEXT('DINAMICA ENERO 26'!$C$2,"mmm 'yy")), "COMPRADOR"))</f>
        <v>NO COMPRADOR</v>
      </c>
      <c r="AL177" s="100"/>
      <c r="AM177" s="101"/>
      <c r="AN177" s="100"/>
      <c r="AO177" s="100"/>
      <c r="AP177" s="100"/>
    </row>
    <row r="178" spans="1:43" s="100" customFormat="1">
      <c r="A178" s="88" t="s">
        <v>85</v>
      </c>
      <c r="B178" s="89" t="s">
        <v>257</v>
      </c>
      <c r="C178" s="89" t="s">
        <v>43</v>
      </c>
      <c r="D178" s="103">
        <v>100088690</v>
      </c>
      <c r="E178" s="89" t="s">
        <v>45</v>
      </c>
      <c r="F178" s="89">
        <v>100017754</v>
      </c>
      <c r="G178" s="128" t="s">
        <v>270</v>
      </c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 s="93">
        <v>0</v>
      </c>
      <c r="X178" s="129">
        <v>0</v>
      </c>
      <c r="Y178" s="93">
        <v>0</v>
      </c>
      <c r="Z178" s="129">
        <v>0</v>
      </c>
      <c r="AA178" s="155">
        <f t="shared" si="8"/>
        <v>0</v>
      </c>
      <c r="AB178" s="98">
        <f t="shared" si="8"/>
        <v>0</v>
      </c>
      <c r="AC178"/>
      <c r="AD178" s="97">
        <v>0</v>
      </c>
      <c r="AE178" s="92">
        <v>0</v>
      </c>
      <c r="AF178" s="98">
        <f t="shared" si="10"/>
        <v>0</v>
      </c>
      <c r="AG178" s="97">
        <v>0</v>
      </c>
      <c r="AH178" s="92">
        <v>0</v>
      </c>
      <c r="AI178" s="98">
        <f t="shared" si="13"/>
        <v>0</v>
      </c>
      <c r="AJ178" s="99">
        <f t="shared" si="9"/>
        <v>0</v>
      </c>
      <c r="AK178" s="102" t="str">
        <f>+IF(X178+W178+AJ178&lt;=0, "NO COMPRADOR", +IF(AJ178&lt;=0, "SIN COMPRA "&amp;+UPPER(TEXT('DINAMICA ENERO 26'!$C$2,"mmm 'yy")), "COMPRADOR"))</f>
        <v>NO COMPRADOR</v>
      </c>
      <c r="AM178" s="101"/>
    </row>
    <row r="179" spans="1:43" s="104" customFormat="1">
      <c r="A179" s="88" t="s">
        <v>85</v>
      </c>
      <c r="B179" s="89" t="s">
        <v>257</v>
      </c>
      <c r="C179" s="89" t="s">
        <v>43</v>
      </c>
      <c r="D179" s="103">
        <v>100088690</v>
      </c>
      <c r="E179" s="89" t="s">
        <v>45</v>
      </c>
      <c r="F179" s="89">
        <v>100024126</v>
      </c>
      <c r="G179" s="128" t="s">
        <v>271</v>
      </c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 s="93">
        <v>24.48</v>
      </c>
      <c r="X179" s="129">
        <v>24.48</v>
      </c>
      <c r="Y179" s="93">
        <v>0</v>
      </c>
      <c r="Z179" s="129">
        <v>0</v>
      </c>
      <c r="AA179" s="155">
        <f t="shared" si="8"/>
        <v>12.24</v>
      </c>
      <c r="AB179" s="98">
        <f t="shared" si="8"/>
        <v>12.24</v>
      </c>
      <c r="AC179"/>
      <c r="AD179" s="97">
        <v>0</v>
      </c>
      <c r="AE179" s="92">
        <v>0</v>
      </c>
      <c r="AF179" s="98">
        <f t="shared" si="10"/>
        <v>0</v>
      </c>
      <c r="AG179" s="97">
        <v>0</v>
      </c>
      <c r="AH179" s="92">
        <v>0</v>
      </c>
      <c r="AI179" s="98">
        <f t="shared" si="13"/>
        <v>0</v>
      </c>
      <c r="AJ179" s="99">
        <f t="shared" si="9"/>
        <v>0</v>
      </c>
      <c r="AK179" s="102" t="str">
        <f>+IF(X179+W179+AJ179&lt;=0, "NO COMPRADOR", +IF(AJ179&lt;=0, "SIN COMPRA "&amp;+UPPER(TEXT('DINAMICA ENERO 26'!$C$2,"mmm 'yy")), "COMPRADOR"))</f>
        <v>SIN COMPRA FEB '26</v>
      </c>
      <c r="AL179" s="100"/>
      <c r="AM179" s="101"/>
      <c r="AN179" s="100"/>
      <c r="AO179" s="100"/>
      <c r="AP179" s="100"/>
    </row>
    <row r="180" spans="1:43" s="100" customFormat="1">
      <c r="A180" s="88" t="s">
        <v>85</v>
      </c>
      <c r="B180" s="89" t="s">
        <v>257</v>
      </c>
      <c r="C180" s="89" t="s">
        <v>43</v>
      </c>
      <c r="D180" s="103">
        <v>100088690</v>
      </c>
      <c r="E180" s="89" t="s">
        <v>45</v>
      </c>
      <c r="F180" s="89">
        <v>100071480</v>
      </c>
      <c r="G180" s="128" t="s">
        <v>272</v>
      </c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 s="93">
        <v>0</v>
      </c>
      <c r="X180" s="129">
        <v>0</v>
      </c>
      <c r="Y180" s="93">
        <v>8.16</v>
      </c>
      <c r="Z180" s="129">
        <v>8.16</v>
      </c>
      <c r="AA180" s="155">
        <f t="shared" si="8"/>
        <v>4.08</v>
      </c>
      <c r="AB180" s="98">
        <f t="shared" si="8"/>
        <v>4.08</v>
      </c>
      <c r="AC180"/>
      <c r="AD180" s="97">
        <v>0</v>
      </c>
      <c r="AE180" s="92">
        <v>0</v>
      </c>
      <c r="AF180" s="98">
        <f t="shared" si="10"/>
        <v>0</v>
      </c>
      <c r="AG180" s="97">
        <v>0</v>
      </c>
      <c r="AH180" s="92">
        <v>0</v>
      </c>
      <c r="AI180" s="98">
        <f t="shared" si="13"/>
        <v>0</v>
      </c>
      <c r="AJ180" s="99">
        <f t="shared" si="9"/>
        <v>0</v>
      </c>
      <c r="AK180" s="102" t="str">
        <f>+IF(X180+W180+AJ180&lt;=0, "NO COMPRADOR", +IF(AJ180&lt;=0, "SIN COMPRA "&amp;+UPPER(TEXT('DINAMICA ENERO 26'!$C$2,"mmm 'yy")), "COMPRADOR"))</f>
        <v>NO COMPRADOR</v>
      </c>
      <c r="AM180" s="101"/>
    </row>
    <row r="181" spans="1:43" s="104" customFormat="1">
      <c r="A181" s="88" t="s">
        <v>85</v>
      </c>
      <c r="B181" s="89" t="s">
        <v>257</v>
      </c>
      <c r="C181" s="89" t="s">
        <v>43</v>
      </c>
      <c r="D181" s="103">
        <v>100088690</v>
      </c>
      <c r="E181" s="89" t="s">
        <v>45</v>
      </c>
      <c r="F181" s="89">
        <v>100063075</v>
      </c>
      <c r="G181" s="128" t="s">
        <v>273</v>
      </c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 s="93">
        <v>0</v>
      </c>
      <c r="X181" s="129">
        <v>0</v>
      </c>
      <c r="Y181" s="93">
        <v>0</v>
      </c>
      <c r="Z181" s="129">
        <v>0</v>
      </c>
      <c r="AA181" s="155">
        <f t="shared" si="8"/>
        <v>0</v>
      </c>
      <c r="AB181" s="98">
        <f t="shared" si="8"/>
        <v>0</v>
      </c>
      <c r="AC181"/>
      <c r="AD181" s="97">
        <v>0</v>
      </c>
      <c r="AE181" s="92">
        <v>0</v>
      </c>
      <c r="AF181" s="98">
        <f t="shared" si="10"/>
        <v>0</v>
      </c>
      <c r="AG181" s="97">
        <v>0</v>
      </c>
      <c r="AH181" s="92">
        <v>0</v>
      </c>
      <c r="AI181" s="98">
        <f t="shared" si="13"/>
        <v>0</v>
      </c>
      <c r="AJ181" s="99">
        <f t="shared" si="9"/>
        <v>0</v>
      </c>
      <c r="AK181" s="102" t="str">
        <f>+IF(X181+W181+AJ181&lt;=0, "NO COMPRADOR", +IF(AJ181&lt;=0, "SIN COMPRA "&amp;+UPPER(TEXT('DINAMICA ENERO 26'!$C$2,"mmm 'yy")), "COMPRADOR"))</f>
        <v>NO COMPRADOR</v>
      </c>
      <c r="AL181" s="100"/>
      <c r="AM181" s="101"/>
      <c r="AN181" s="100"/>
      <c r="AO181" s="100"/>
      <c r="AP181" s="100"/>
    </row>
    <row r="182" spans="1:43" s="104" customFormat="1">
      <c r="A182" s="88" t="s">
        <v>85</v>
      </c>
      <c r="B182" s="89" t="s">
        <v>257</v>
      </c>
      <c r="C182" s="89" t="s">
        <v>43</v>
      </c>
      <c r="D182" s="103">
        <v>100088690</v>
      </c>
      <c r="E182" s="89" t="s">
        <v>45</v>
      </c>
      <c r="F182" s="89">
        <v>100072084</v>
      </c>
      <c r="G182" s="128" t="s">
        <v>274</v>
      </c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 s="93">
        <v>0</v>
      </c>
      <c r="X182" s="129">
        <v>0</v>
      </c>
      <c r="Y182" s="93">
        <v>204</v>
      </c>
      <c r="Z182" s="129">
        <v>204</v>
      </c>
      <c r="AA182" s="155">
        <f t="shared" si="8"/>
        <v>102</v>
      </c>
      <c r="AB182" s="98">
        <f t="shared" si="8"/>
        <v>102</v>
      </c>
      <c r="AC182"/>
      <c r="AD182" s="97">
        <v>0</v>
      </c>
      <c r="AE182" s="92">
        <v>0</v>
      </c>
      <c r="AF182" s="98">
        <f t="shared" si="10"/>
        <v>0</v>
      </c>
      <c r="AG182" s="97">
        <v>0</v>
      </c>
      <c r="AH182" s="92">
        <v>0</v>
      </c>
      <c r="AI182" s="98">
        <f t="shared" si="13"/>
        <v>0</v>
      </c>
      <c r="AJ182" s="99">
        <f t="shared" si="9"/>
        <v>0</v>
      </c>
      <c r="AK182" s="102" t="str">
        <f>+IF(X182+W182+AJ182&lt;=0, "NO COMPRADOR", +IF(AJ182&lt;=0, "SIN COMPRA "&amp;+UPPER(TEXT('DINAMICA ENERO 26'!$C$2,"mmm 'yy")), "COMPRADOR"))</f>
        <v>NO COMPRADOR</v>
      </c>
      <c r="AL182" s="100"/>
      <c r="AM182" s="101"/>
      <c r="AN182" s="100"/>
      <c r="AO182" s="100"/>
      <c r="AP182" s="100"/>
      <c r="AQ182" s="100" t="e">
        <f>+VLOOKUP(AO182,Veggies!X:Y,2,FALSE)</f>
        <v>#N/A</v>
      </c>
    </row>
    <row r="183" spans="1:43" s="100" customFormat="1">
      <c r="A183" s="88" t="s">
        <v>85</v>
      </c>
      <c r="B183" s="89" t="s">
        <v>257</v>
      </c>
      <c r="C183" s="89" t="s">
        <v>43</v>
      </c>
      <c r="D183" s="103">
        <v>100088690</v>
      </c>
      <c r="E183" s="89" t="s">
        <v>45</v>
      </c>
      <c r="F183" s="89">
        <v>100000283</v>
      </c>
      <c r="G183" s="128" t="s">
        <v>275</v>
      </c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 s="93">
        <v>24.48</v>
      </c>
      <c r="X183" s="129">
        <v>24.48</v>
      </c>
      <c r="Y183" s="93">
        <v>40.799999999999997</v>
      </c>
      <c r="Z183" s="129">
        <v>32.64</v>
      </c>
      <c r="AA183" s="155">
        <f t="shared" si="8"/>
        <v>32.64</v>
      </c>
      <c r="AB183" s="98">
        <f t="shared" si="8"/>
        <v>28.560000000000002</v>
      </c>
      <c r="AC183"/>
      <c r="AD183" s="97">
        <v>16.32</v>
      </c>
      <c r="AE183" s="92">
        <v>0</v>
      </c>
      <c r="AF183" s="98">
        <f t="shared" si="10"/>
        <v>16.32</v>
      </c>
      <c r="AG183" s="97">
        <v>16.32</v>
      </c>
      <c r="AH183" s="92">
        <v>0</v>
      </c>
      <c r="AI183" s="98">
        <f t="shared" si="13"/>
        <v>16.32</v>
      </c>
      <c r="AJ183" s="99">
        <f t="shared" si="9"/>
        <v>32.64</v>
      </c>
      <c r="AK183" s="102" t="str">
        <f>+IF(X183+W183+AJ183&lt;=0, "NO COMPRADOR", +IF(AJ183&lt;=0, "SIN COMPRA "&amp;+UPPER(TEXT('DINAMICA ENERO 26'!$C$2,"mmm 'yy")), "COMPRADOR"))</f>
        <v>COMPRADOR</v>
      </c>
      <c r="AM183" s="101"/>
    </row>
    <row r="184" spans="1:43" s="104" customFormat="1">
      <c r="A184" s="88" t="s">
        <v>85</v>
      </c>
      <c r="B184" s="89" t="s">
        <v>257</v>
      </c>
      <c r="C184" s="89" t="s">
        <v>43</v>
      </c>
      <c r="D184" s="103">
        <v>100088690</v>
      </c>
      <c r="E184" s="89" t="s">
        <v>45</v>
      </c>
      <c r="F184" s="89">
        <v>100001254</v>
      </c>
      <c r="G184" s="128" t="s">
        <v>276</v>
      </c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 s="93">
        <v>0</v>
      </c>
      <c r="X184" s="129">
        <v>0</v>
      </c>
      <c r="Y184" s="93">
        <v>0</v>
      </c>
      <c r="Z184" s="129">
        <v>0</v>
      </c>
      <c r="AA184" s="155">
        <f t="shared" si="8"/>
        <v>0</v>
      </c>
      <c r="AB184" s="98">
        <f t="shared" si="8"/>
        <v>0</v>
      </c>
      <c r="AC184"/>
      <c r="AD184" s="97">
        <v>0</v>
      </c>
      <c r="AE184" s="92">
        <v>0</v>
      </c>
      <c r="AF184" s="98">
        <f t="shared" si="10"/>
        <v>0</v>
      </c>
      <c r="AG184" s="97">
        <v>0</v>
      </c>
      <c r="AH184" s="92">
        <v>0</v>
      </c>
      <c r="AI184" s="98">
        <f t="shared" si="13"/>
        <v>0</v>
      </c>
      <c r="AJ184" s="99">
        <f t="shared" si="9"/>
        <v>0</v>
      </c>
      <c r="AK184" s="102" t="str">
        <f>+IF(X184+W184+AJ184&lt;=0, "NO COMPRADOR", +IF(AJ184&lt;=0, "SIN COMPRA "&amp;+UPPER(TEXT('DINAMICA ENERO 26'!$C$2,"mmm 'yy")), "COMPRADOR"))</f>
        <v>NO COMPRADOR</v>
      </c>
      <c r="AL184" s="100"/>
      <c r="AM184" s="101"/>
      <c r="AN184" s="100"/>
      <c r="AO184" s="100"/>
      <c r="AP184" s="100"/>
    </row>
    <row r="185" spans="1:43" s="104" customFormat="1">
      <c r="A185" s="88" t="s">
        <v>85</v>
      </c>
      <c r="B185" s="89" t="s">
        <v>257</v>
      </c>
      <c r="C185" s="89" t="s">
        <v>43</v>
      </c>
      <c r="D185" s="103">
        <v>100088690</v>
      </c>
      <c r="E185" s="89" t="s">
        <v>45</v>
      </c>
      <c r="F185" s="89">
        <v>100088794</v>
      </c>
      <c r="G185" s="128" t="s">
        <v>277</v>
      </c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 s="93">
        <v>0</v>
      </c>
      <c r="X185" s="129">
        <v>0</v>
      </c>
      <c r="Y185" s="93">
        <v>0</v>
      </c>
      <c r="Z185" s="129">
        <v>0</v>
      </c>
      <c r="AA185" s="155">
        <f t="shared" si="8"/>
        <v>0</v>
      </c>
      <c r="AB185" s="98">
        <f t="shared" si="8"/>
        <v>0</v>
      </c>
      <c r="AC185"/>
      <c r="AD185" s="97">
        <v>0</v>
      </c>
      <c r="AE185" s="92">
        <v>0</v>
      </c>
      <c r="AF185" s="98">
        <f t="shared" si="10"/>
        <v>0</v>
      </c>
      <c r="AG185" s="97">
        <v>0</v>
      </c>
      <c r="AH185" s="92">
        <v>0</v>
      </c>
      <c r="AI185" s="98">
        <f t="shared" si="13"/>
        <v>0</v>
      </c>
      <c r="AJ185" s="99">
        <f t="shared" si="9"/>
        <v>0</v>
      </c>
      <c r="AK185" s="102" t="str">
        <f>+IF(X185+W185+AJ185&lt;=0, "NO COMPRADOR", +IF(AJ185&lt;=0, "SIN COMPRA "&amp;+UPPER(TEXT('DINAMICA ENERO 26'!$C$2,"mmm 'yy")), "COMPRADOR"))</f>
        <v>NO COMPRADOR</v>
      </c>
      <c r="AL185" s="100"/>
      <c r="AM185" s="101"/>
      <c r="AN185" s="100"/>
      <c r="AO185" s="100"/>
      <c r="AP185" s="100"/>
    </row>
    <row r="186" spans="1:43" s="100" customFormat="1">
      <c r="A186" s="88" t="s">
        <v>85</v>
      </c>
      <c r="B186" s="89" t="s">
        <v>257</v>
      </c>
      <c r="C186" s="89" t="s">
        <v>43</v>
      </c>
      <c r="D186" s="103">
        <v>100088690</v>
      </c>
      <c r="E186" s="89" t="s">
        <v>45</v>
      </c>
      <c r="F186" s="89">
        <v>100088316</v>
      </c>
      <c r="G186" s="128" t="s">
        <v>278</v>
      </c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 s="93">
        <v>0</v>
      </c>
      <c r="X186" s="129">
        <v>0</v>
      </c>
      <c r="Y186" s="93">
        <v>24.48</v>
      </c>
      <c r="Z186" s="129">
        <v>24.48</v>
      </c>
      <c r="AA186" s="155">
        <f t="shared" si="8"/>
        <v>12.24</v>
      </c>
      <c r="AB186" s="98">
        <f t="shared" si="8"/>
        <v>12.24</v>
      </c>
      <c r="AC186"/>
      <c r="AD186" s="97">
        <v>8.16</v>
      </c>
      <c r="AE186" s="92">
        <v>0</v>
      </c>
      <c r="AF186" s="98">
        <f t="shared" si="10"/>
        <v>8.16</v>
      </c>
      <c r="AG186" s="97">
        <v>0</v>
      </c>
      <c r="AH186" s="92">
        <v>0</v>
      </c>
      <c r="AI186" s="98">
        <f t="shared" si="13"/>
        <v>0</v>
      </c>
      <c r="AJ186" s="99">
        <f t="shared" si="9"/>
        <v>8.16</v>
      </c>
      <c r="AK186" s="102" t="str">
        <f>+IF(X186+W186+AJ186&lt;=0, "NO COMPRADOR", +IF(AJ186&lt;=0, "SIN COMPRA "&amp;+UPPER(TEXT('DINAMICA ENERO 26'!$C$2,"mmm 'yy")), "COMPRADOR"))</f>
        <v>COMPRADOR</v>
      </c>
      <c r="AM186" s="101"/>
    </row>
    <row r="187" spans="1:43" s="100" customFormat="1">
      <c r="A187" s="88" t="s">
        <v>85</v>
      </c>
      <c r="B187" s="89" t="s">
        <v>257</v>
      </c>
      <c r="C187" s="89" t="s">
        <v>43</v>
      </c>
      <c r="D187" s="103">
        <v>100088690</v>
      </c>
      <c r="E187" s="89" t="s">
        <v>45</v>
      </c>
      <c r="F187" s="89">
        <v>100089468</v>
      </c>
      <c r="G187" s="128" t="s">
        <v>279</v>
      </c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 s="93">
        <v>0</v>
      </c>
      <c r="X187" s="129">
        <v>0</v>
      </c>
      <c r="Y187" s="93">
        <v>0</v>
      </c>
      <c r="Z187" s="129">
        <v>0</v>
      </c>
      <c r="AA187" s="155">
        <f t="shared" si="8"/>
        <v>0</v>
      </c>
      <c r="AB187" s="98">
        <f t="shared" si="8"/>
        <v>0</v>
      </c>
      <c r="AC187"/>
      <c r="AD187" s="97">
        <v>0</v>
      </c>
      <c r="AE187" s="92">
        <v>0</v>
      </c>
      <c r="AF187" s="98">
        <f t="shared" si="10"/>
        <v>0</v>
      </c>
      <c r="AG187" s="97">
        <v>0</v>
      </c>
      <c r="AH187" s="92">
        <v>0</v>
      </c>
      <c r="AI187" s="98">
        <f t="shared" si="13"/>
        <v>0</v>
      </c>
      <c r="AJ187" s="99">
        <f t="shared" si="9"/>
        <v>0</v>
      </c>
      <c r="AK187" s="102" t="str">
        <f>+IF(X187+W187+AJ187&lt;=0, "NO COMPRADOR", +IF(AJ187&lt;=0, "SIN COMPRA "&amp;+UPPER(TEXT('DINAMICA ENERO 26'!$C$2,"mmm 'yy")), "COMPRADOR"))</f>
        <v>NO COMPRADOR</v>
      </c>
      <c r="AM187" s="101"/>
    </row>
    <row r="188" spans="1:43" s="100" customFormat="1">
      <c r="A188" s="88" t="s">
        <v>85</v>
      </c>
      <c r="B188" s="89" t="s">
        <v>257</v>
      </c>
      <c r="C188" s="89" t="s">
        <v>43</v>
      </c>
      <c r="D188" s="103">
        <v>100089856</v>
      </c>
      <c r="E188" s="89" t="s">
        <v>49</v>
      </c>
      <c r="F188" s="89">
        <v>100001543</v>
      </c>
      <c r="G188" s="128" t="s">
        <v>280</v>
      </c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 s="93">
        <v>0</v>
      </c>
      <c r="X188" s="129">
        <v>0</v>
      </c>
      <c r="Y188" s="93">
        <v>24.48</v>
      </c>
      <c r="Z188" s="129">
        <v>0</v>
      </c>
      <c r="AA188" s="155">
        <f t="shared" si="8"/>
        <v>12.24</v>
      </c>
      <c r="AB188" s="98">
        <f t="shared" si="8"/>
        <v>0</v>
      </c>
      <c r="AC188"/>
      <c r="AD188" s="97">
        <v>0</v>
      </c>
      <c r="AE188" s="92">
        <v>0</v>
      </c>
      <c r="AF188" s="98">
        <f t="shared" si="10"/>
        <v>0</v>
      </c>
      <c r="AG188" s="97">
        <v>0</v>
      </c>
      <c r="AH188" s="92">
        <v>0</v>
      </c>
      <c r="AI188" s="98">
        <f t="shared" si="13"/>
        <v>0</v>
      </c>
      <c r="AJ188" s="99">
        <f t="shared" si="9"/>
        <v>0</v>
      </c>
      <c r="AK188" s="102" t="str">
        <f>+IF(X188+W188+AJ188&lt;=0, "NO COMPRADOR", +IF(AJ188&lt;=0, "SIN COMPRA "&amp;+UPPER(TEXT('DINAMICA ENERO 26'!$C$2,"mmm 'yy")), "COMPRADOR"))</f>
        <v>NO COMPRADOR</v>
      </c>
      <c r="AM188" s="101"/>
    </row>
    <row r="189" spans="1:43" s="104" customFormat="1">
      <c r="A189" s="88" t="s">
        <v>85</v>
      </c>
      <c r="B189" s="89" t="s">
        <v>257</v>
      </c>
      <c r="C189" s="89" t="s">
        <v>43</v>
      </c>
      <c r="D189" s="103">
        <v>100089856</v>
      </c>
      <c r="E189" s="89" t="s">
        <v>49</v>
      </c>
      <c r="F189" s="89">
        <v>100066164</v>
      </c>
      <c r="G189" s="128" t="s">
        <v>281</v>
      </c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 s="93">
        <v>359.04</v>
      </c>
      <c r="X189" s="129">
        <v>448.8</v>
      </c>
      <c r="Y189" s="93">
        <v>448.8</v>
      </c>
      <c r="Z189" s="129">
        <v>359.04</v>
      </c>
      <c r="AA189" s="155">
        <f t="shared" si="8"/>
        <v>403.92</v>
      </c>
      <c r="AB189" s="98">
        <f t="shared" si="8"/>
        <v>403.92</v>
      </c>
      <c r="AC189"/>
      <c r="AD189" s="97">
        <v>0</v>
      </c>
      <c r="AE189" s="92">
        <v>0</v>
      </c>
      <c r="AF189" s="98">
        <f t="shared" si="10"/>
        <v>0</v>
      </c>
      <c r="AG189" s="97">
        <v>0</v>
      </c>
      <c r="AH189" s="92">
        <v>0</v>
      </c>
      <c r="AI189" s="98">
        <f t="shared" si="13"/>
        <v>0</v>
      </c>
      <c r="AJ189" s="99">
        <f t="shared" si="9"/>
        <v>0</v>
      </c>
      <c r="AK189" s="102" t="str">
        <f>+IF(X189+W189+AJ189&lt;=0, "NO COMPRADOR", +IF(AJ189&lt;=0, "SIN COMPRA "&amp;+UPPER(TEXT('DINAMICA ENERO 26'!$C$2,"mmm 'yy")), "COMPRADOR"))</f>
        <v>SIN COMPRA FEB '26</v>
      </c>
      <c r="AL189" s="100"/>
      <c r="AM189" s="101"/>
      <c r="AN189" s="100"/>
      <c r="AO189" s="100"/>
      <c r="AP189" s="100"/>
    </row>
    <row r="190" spans="1:43" s="104" customFormat="1">
      <c r="A190" s="88" t="s">
        <v>85</v>
      </c>
      <c r="B190" s="89" t="s">
        <v>257</v>
      </c>
      <c r="C190" s="89" t="s">
        <v>43</v>
      </c>
      <c r="D190" s="103">
        <v>100089856</v>
      </c>
      <c r="E190" s="89" t="s">
        <v>49</v>
      </c>
      <c r="F190" s="89">
        <v>100034611</v>
      </c>
      <c r="G190" s="128" t="s">
        <v>282</v>
      </c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 s="93">
        <v>0</v>
      </c>
      <c r="X190" s="129">
        <v>0</v>
      </c>
      <c r="Y190" s="93">
        <v>0</v>
      </c>
      <c r="Z190" s="129">
        <v>0</v>
      </c>
      <c r="AA190" s="155">
        <f t="shared" si="8"/>
        <v>0</v>
      </c>
      <c r="AB190" s="98">
        <f t="shared" si="8"/>
        <v>0</v>
      </c>
      <c r="AC190"/>
      <c r="AD190" s="97">
        <v>0</v>
      </c>
      <c r="AE190" s="92">
        <v>0</v>
      </c>
      <c r="AF190" s="98">
        <f t="shared" si="10"/>
        <v>0</v>
      </c>
      <c r="AG190" s="97">
        <v>0</v>
      </c>
      <c r="AH190" s="92">
        <v>0</v>
      </c>
      <c r="AI190" s="98">
        <f t="shared" si="13"/>
        <v>0</v>
      </c>
      <c r="AJ190" s="99">
        <f t="shared" si="9"/>
        <v>0</v>
      </c>
      <c r="AK190" s="102" t="str">
        <f>+IF(X190+W190+AJ190&lt;=0, "NO COMPRADOR", +IF(AJ190&lt;=0, "SIN COMPRA "&amp;+UPPER(TEXT('DINAMICA ENERO 26'!$C$2,"mmm 'yy")), "COMPRADOR"))</f>
        <v>NO COMPRADOR</v>
      </c>
      <c r="AL190" s="100"/>
      <c r="AM190" s="101"/>
      <c r="AN190" s="100"/>
      <c r="AO190" s="100"/>
      <c r="AP190" s="100"/>
    </row>
    <row r="191" spans="1:43" s="104" customFormat="1">
      <c r="A191" s="88" t="s">
        <v>85</v>
      </c>
      <c r="B191" s="89" t="s">
        <v>257</v>
      </c>
      <c r="C191" s="89" t="s">
        <v>43</v>
      </c>
      <c r="D191" s="103">
        <v>100089856</v>
      </c>
      <c r="E191" s="89" t="s">
        <v>49</v>
      </c>
      <c r="F191" s="89">
        <v>100001907</v>
      </c>
      <c r="G191" s="128" t="s">
        <v>283</v>
      </c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 s="93">
        <v>0</v>
      </c>
      <c r="X191" s="129">
        <v>0</v>
      </c>
      <c r="Y191" s="93">
        <v>359.04</v>
      </c>
      <c r="Z191" s="129">
        <v>367.2</v>
      </c>
      <c r="AA191" s="155">
        <f t="shared" si="8"/>
        <v>179.52</v>
      </c>
      <c r="AB191" s="98">
        <f t="shared" si="8"/>
        <v>183.6</v>
      </c>
      <c r="AC191"/>
      <c r="AD191" s="97">
        <v>40.799999999999997</v>
      </c>
      <c r="AE191" s="92">
        <v>0</v>
      </c>
      <c r="AF191" s="98">
        <f t="shared" si="10"/>
        <v>40.799999999999997</v>
      </c>
      <c r="AG191" s="97">
        <v>40.799999999999997</v>
      </c>
      <c r="AH191" s="92">
        <v>0</v>
      </c>
      <c r="AI191" s="98">
        <f t="shared" si="13"/>
        <v>40.799999999999997</v>
      </c>
      <c r="AJ191" s="99">
        <f t="shared" si="9"/>
        <v>81.599999999999994</v>
      </c>
      <c r="AK191" s="102" t="str">
        <f>+IF(X191+W191+AJ191&lt;=0, "NO COMPRADOR", +IF(AJ191&lt;=0, "SIN COMPRA "&amp;+UPPER(TEXT('DINAMICA ENERO 26'!$C$2,"mmm 'yy")), "COMPRADOR"))</f>
        <v>COMPRADOR</v>
      </c>
      <c r="AL191" s="100"/>
      <c r="AM191" s="101"/>
      <c r="AN191" s="100"/>
      <c r="AO191" s="100"/>
      <c r="AP191" s="100"/>
    </row>
    <row r="192" spans="1:43" s="104" customFormat="1">
      <c r="A192" s="88" t="s">
        <v>85</v>
      </c>
      <c r="B192" s="89" t="s">
        <v>257</v>
      </c>
      <c r="C192" s="89" t="s">
        <v>43</v>
      </c>
      <c r="D192" s="103">
        <v>100089856</v>
      </c>
      <c r="E192" s="89" t="s">
        <v>49</v>
      </c>
      <c r="F192" s="89">
        <v>100068177</v>
      </c>
      <c r="G192" s="128" t="s">
        <v>284</v>
      </c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 s="93">
        <v>0</v>
      </c>
      <c r="X192" s="129">
        <v>0</v>
      </c>
      <c r="Y192" s="93">
        <v>16.32</v>
      </c>
      <c r="Z192" s="129">
        <v>16.32</v>
      </c>
      <c r="AA192" s="155">
        <f t="shared" si="8"/>
        <v>8.16</v>
      </c>
      <c r="AB192" s="98">
        <f t="shared" si="8"/>
        <v>8.16</v>
      </c>
      <c r="AC192"/>
      <c r="AD192" s="97">
        <v>0</v>
      </c>
      <c r="AE192" s="92">
        <v>0</v>
      </c>
      <c r="AF192" s="98">
        <f t="shared" si="10"/>
        <v>0</v>
      </c>
      <c r="AG192" s="97">
        <v>0</v>
      </c>
      <c r="AH192" s="92">
        <v>0</v>
      </c>
      <c r="AI192" s="98">
        <f t="shared" si="13"/>
        <v>0</v>
      </c>
      <c r="AJ192" s="99">
        <f t="shared" si="9"/>
        <v>0</v>
      </c>
      <c r="AK192" s="102" t="str">
        <f>+IF(X192+W192+AJ192&lt;=0, "NO COMPRADOR", +IF(AJ192&lt;=0, "SIN COMPRA "&amp;+UPPER(TEXT('DINAMICA ENERO 26'!$C$2,"mmm 'yy")), "COMPRADOR"))</f>
        <v>NO COMPRADOR</v>
      </c>
      <c r="AL192" s="100"/>
      <c r="AM192" s="101"/>
      <c r="AN192" s="100"/>
      <c r="AO192" s="100"/>
      <c r="AP192" s="100"/>
    </row>
    <row r="193" spans="1:42" s="100" customFormat="1">
      <c r="A193" s="88" t="s">
        <v>85</v>
      </c>
      <c r="B193" s="89" t="s">
        <v>257</v>
      </c>
      <c r="C193" s="89" t="s">
        <v>43</v>
      </c>
      <c r="D193" s="103">
        <v>100089856</v>
      </c>
      <c r="E193" s="89" t="s">
        <v>49</v>
      </c>
      <c r="F193" s="89">
        <v>100062882</v>
      </c>
      <c r="G193" s="128" t="s">
        <v>285</v>
      </c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 s="93">
        <v>0</v>
      </c>
      <c r="X193" s="129">
        <v>0</v>
      </c>
      <c r="Y193" s="93">
        <v>0</v>
      </c>
      <c r="Z193" s="129">
        <v>0</v>
      </c>
      <c r="AA193" s="155">
        <f t="shared" si="8"/>
        <v>0</v>
      </c>
      <c r="AB193" s="98">
        <f t="shared" si="8"/>
        <v>0</v>
      </c>
      <c r="AC193"/>
      <c r="AD193" s="97">
        <v>0</v>
      </c>
      <c r="AE193" s="92">
        <v>0</v>
      </c>
      <c r="AF193" s="98">
        <f t="shared" si="10"/>
        <v>0</v>
      </c>
      <c r="AG193" s="97">
        <v>0</v>
      </c>
      <c r="AH193" s="92">
        <v>0</v>
      </c>
      <c r="AI193" s="98">
        <f t="shared" si="13"/>
        <v>0</v>
      </c>
      <c r="AJ193" s="99">
        <f t="shared" si="9"/>
        <v>0</v>
      </c>
      <c r="AK193" s="102" t="str">
        <f>+IF(X193+W193+AJ193&lt;=0, "NO COMPRADOR", +IF(AJ193&lt;=0, "SIN COMPRA "&amp;+UPPER(TEXT('DINAMICA ENERO 26'!$C$2,"mmm 'yy")), "COMPRADOR"))</f>
        <v>NO COMPRADOR</v>
      </c>
      <c r="AM193" s="101"/>
    </row>
    <row r="194" spans="1:42" s="104" customFormat="1">
      <c r="A194" s="88" t="s">
        <v>85</v>
      </c>
      <c r="B194" s="89" t="s">
        <v>257</v>
      </c>
      <c r="C194" s="89" t="s">
        <v>43</v>
      </c>
      <c r="D194" s="103">
        <v>100089856</v>
      </c>
      <c r="E194" s="89" t="s">
        <v>49</v>
      </c>
      <c r="F194" s="89">
        <v>100001936</v>
      </c>
      <c r="G194" s="128" t="s">
        <v>286</v>
      </c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 s="93">
        <v>0</v>
      </c>
      <c r="X194" s="129">
        <v>0</v>
      </c>
      <c r="Y194" s="93">
        <v>0</v>
      </c>
      <c r="Z194" s="129">
        <v>0</v>
      </c>
      <c r="AA194" s="155">
        <f t="shared" si="8"/>
        <v>0</v>
      </c>
      <c r="AB194" s="98">
        <f t="shared" si="8"/>
        <v>0</v>
      </c>
      <c r="AC194"/>
      <c r="AD194" s="97">
        <v>0</v>
      </c>
      <c r="AE194" s="92">
        <v>0</v>
      </c>
      <c r="AF194" s="98">
        <f t="shared" si="10"/>
        <v>0</v>
      </c>
      <c r="AG194" s="97">
        <v>0</v>
      </c>
      <c r="AH194" s="92">
        <v>0</v>
      </c>
      <c r="AI194" s="98">
        <f t="shared" si="13"/>
        <v>0</v>
      </c>
      <c r="AJ194" s="99">
        <f t="shared" si="9"/>
        <v>0</v>
      </c>
      <c r="AK194" s="102" t="str">
        <f>+IF(X194+W194+AJ194&lt;=0, "NO COMPRADOR", +IF(AJ194&lt;=0, "SIN COMPRA "&amp;+UPPER(TEXT('DINAMICA ENERO 26'!$C$2,"mmm 'yy")), "COMPRADOR"))</f>
        <v>NO COMPRADOR</v>
      </c>
      <c r="AL194" s="100"/>
      <c r="AM194" s="101"/>
      <c r="AN194" s="100"/>
      <c r="AO194" s="100"/>
      <c r="AP194" s="100"/>
    </row>
    <row r="195" spans="1:42" s="104" customFormat="1">
      <c r="A195" s="88" t="s">
        <v>85</v>
      </c>
      <c r="B195" s="89" t="s">
        <v>257</v>
      </c>
      <c r="C195" s="89" t="s">
        <v>43</v>
      </c>
      <c r="D195" s="103">
        <v>100089856</v>
      </c>
      <c r="E195" s="89" t="s">
        <v>49</v>
      </c>
      <c r="F195" s="89">
        <v>100001513</v>
      </c>
      <c r="G195" s="128" t="s">
        <v>287</v>
      </c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 s="93">
        <v>0</v>
      </c>
      <c r="X195" s="129">
        <v>0</v>
      </c>
      <c r="Y195" s="93">
        <v>0</v>
      </c>
      <c r="Z195" s="129">
        <v>0</v>
      </c>
      <c r="AA195" s="155">
        <f t="shared" ref="AA195:AB258" si="14">+AVERAGE(W195,Y195)</f>
        <v>0</v>
      </c>
      <c r="AB195" s="98">
        <f t="shared" si="14"/>
        <v>0</v>
      </c>
      <c r="AC195"/>
      <c r="AD195" s="97">
        <v>0</v>
      </c>
      <c r="AE195" s="92">
        <v>0</v>
      </c>
      <c r="AF195" s="98">
        <f t="shared" si="10"/>
        <v>0</v>
      </c>
      <c r="AG195" s="97">
        <v>0</v>
      </c>
      <c r="AH195" s="92">
        <v>0</v>
      </c>
      <c r="AI195" s="98">
        <f t="shared" si="13"/>
        <v>0</v>
      </c>
      <c r="AJ195" s="99">
        <f t="shared" ref="AJ195:AJ258" si="15">+AF195+AI195</f>
        <v>0</v>
      </c>
      <c r="AK195" s="102" t="str">
        <f>+IF(X195+W195+AJ195&lt;=0, "NO COMPRADOR", +IF(AJ195&lt;=0, "SIN COMPRA "&amp;+UPPER(TEXT('DINAMICA ENERO 26'!$C$2,"mmm 'yy")), "COMPRADOR"))</f>
        <v>NO COMPRADOR</v>
      </c>
      <c r="AL195" s="100"/>
      <c r="AM195" s="101"/>
      <c r="AN195" s="100"/>
      <c r="AO195" s="100"/>
      <c r="AP195" s="100"/>
    </row>
    <row r="196" spans="1:42" s="104" customFormat="1">
      <c r="A196" s="88" t="s">
        <v>85</v>
      </c>
      <c r="B196" s="89" t="s">
        <v>257</v>
      </c>
      <c r="C196" s="89" t="s">
        <v>43</v>
      </c>
      <c r="D196" s="103">
        <v>100089856</v>
      </c>
      <c r="E196" s="89" t="s">
        <v>49</v>
      </c>
      <c r="F196" s="89">
        <v>100059754</v>
      </c>
      <c r="G196" s="128" t="s">
        <v>288</v>
      </c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 s="93">
        <v>0</v>
      </c>
      <c r="X196" s="129">
        <v>0</v>
      </c>
      <c r="Y196" s="93">
        <v>0</v>
      </c>
      <c r="Z196" s="129">
        <v>0</v>
      </c>
      <c r="AA196" s="155">
        <f t="shared" si="14"/>
        <v>0</v>
      </c>
      <c r="AB196" s="98">
        <f t="shared" si="14"/>
        <v>0</v>
      </c>
      <c r="AC196"/>
      <c r="AD196" s="97">
        <v>0</v>
      </c>
      <c r="AE196" s="92">
        <v>0</v>
      </c>
      <c r="AF196" s="98">
        <f t="shared" ref="AF196:AF259" si="16">+AD196+AE196</f>
        <v>0</v>
      </c>
      <c r="AG196" s="97">
        <v>0</v>
      </c>
      <c r="AH196" s="92">
        <v>0</v>
      </c>
      <c r="AI196" s="98">
        <f t="shared" si="13"/>
        <v>0</v>
      </c>
      <c r="AJ196" s="99">
        <f t="shared" si="15"/>
        <v>0</v>
      </c>
      <c r="AK196" s="102" t="str">
        <f>+IF(X196+W196+AJ196&lt;=0, "NO COMPRADOR", +IF(AJ196&lt;=0, "SIN COMPRA "&amp;+UPPER(TEXT('DINAMICA ENERO 26'!$C$2,"mmm 'yy")), "COMPRADOR"))</f>
        <v>NO COMPRADOR</v>
      </c>
      <c r="AL196" s="100"/>
      <c r="AM196" s="101"/>
      <c r="AN196" s="100"/>
      <c r="AO196" s="100"/>
      <c r="AP196" s="100"/>
    </row>
    <row r="197" spans="1:42" s="100" customFormat="1">
      <c r="A197" s="88" t="s">
        <v>85</v>
      </c>
      <c r="B197" s="89" t="s">
        <v>257</v>
      </c>
      <c r="C197" s="89" t="s">
        <v>43</v>
      </c>
      <c r="D197" s="103">
        <v>100089856</v>
      </c>
      <c r="E197" s="89" t="s">
        <v>49</v>
      </c>
      <c r="F197" s="89">
        <v>100064962</v>
      </c>
      <c r="G197" s="128" t="s">
        <v>289</v>
      </c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 s="93">
        <v>0</v>
      </c>
      <c r="X197" s="129">
        <v>0</v>
      </c>
      <c r="Y197" s="93">
        <v>0</v>
      </c>
      <c r="Z197" s="129">
        <v>0</v>
      </c>
      <c r="AA197" s="155">
        <f t="shared" si="14"/>
        <v>0</v>
      </c>
      <c r="AB197" s="98">
        <f t="shared" si="14"/>
        <v>0</v>
      </c>
      <c r="AC197"/>
      <c r="AD197" s="97">
        <v>0</v>
      </c>
      <c r="AE197" s="92">
        <v>0</v>
      </c>
      <c r="AF197" s="98">
        <f t="shared" si="16"/>
        <v>0</v>
      </c>
      <c r="AG197" s="97">
        <v>0</v>
      </c>
      <c r="AH197" s="92">
        <v>0</v>
      </c>
      <c r="AI197" s="98">
        <f t="shared" si="13"/>
        <v>0</v>
      </c>
      <c r="AJ197" s="99">
        <f t="shared" si="15"/>
        <v>0</v>
      </c>
      <c r="AK197" s="102" t="str">
        <f>+IF(X197+W197+AJ197&lt;=0, "NO COMPRADOR", +IF(AJ197&lt;=0, "SIN COMPRA "&amp;+UPPER(TEXT('DINAMICA ENERO 26'!$C$2,"mmm 'yy")), "COMPRADOR"))</f>
        <v>NO COMPRADOR</v>
      </c>
      <c r="AM197" s="101"/>
    </row>
    <row r="198" spans="1:42" s="100" customFormat="1">
      <c r="A198" s="88" t="s">
        <v>85</v>
      </c>
      <c r="B198" s="89" t="s">
        <v>257</v>
      </c>
      <c r="C198" s="89" t="s">
        <v>43</v>
      </c>
      <c r="D198" s="103">
        <v>100067806</v>
      </c>
      <c r="E198" s="89" t="s">
        <v>50</v>
      </c>
      <c r="F198" s="89">
        <v>100001979</v>
      </c>
      <c r="G198" s="128" t="s">
        <v>290</v>
      </c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 s="93">
        <v>0</v>
      </c>
      <c r="X198" s="129">
        <v>0</v>
      </c>
      <c r="Y198" s="93">
        <v>0</v>
      </c>
      <c r="Z198" s="129">
        <v>0</v>
      </c>
      <c r="AA198" s="155">
        <f t="shared" si="14"/>
        <v>0</v>
      </c>
      <c r="AB198" s="98">
        <f t="shared" si="14"/>
        <v>0</v>
      </c>
      <c r="AC198"/>
      <c r="AD198" s="97">
        <v>0</v>
      </c>
      <c r="AE198" s="92">
        <v>0</v>
      </c>
      <c r="AF198" s="98">
        <f t="shared" si="16"/>
        <v>0</v>
      </c>
      <c r="AG198" s="97">
        <v>0</v>
      </c>
      <c r="AH198" s="92">
        <v>0</v>
      </c>
      <c r="AI198" s="98">
        <f t="shared" si="13"/>
        <v>0</v>
      </c>
      <c r="AJ198" s="99">
        <f t="shared" si="15"/>
        <v>0</v>
      </c>
      <c r="AK198" s="102" t="str">
        <f>+IF(X198+W198+AJ198&lt;=0, "NO COMPRADOR", +IF(AJ198&lt;=0, "SIN COMPRA "&amp;+UPPER(TEXT('DINAMICA ENERO 26'!$C$2,"mmm 'yy")), "COMPRADOR"))</f>
        <v>NO COMPRADOR</v>
      </c>
      <c r="AM198" s="101"/>
    </row>
    <row r="199" spans="1:42" s="104" customFormat="1">
      <c r="A199" s="88" t="s">
        <v>85</v>
      </c>
      <c r="B199" s="89" t="s">
        <v>257</v>
      </c>
      <c r="C199" s="89" t="s">
        <v>43</v>
      </c>
      <c r="D199" s="103">
        <v>100067806</v>
      </c>
      <c r="E199" s="89" t="s">
        <v>50</v>
      </c>
      <c r="F199" s="89">
        <v>100002252</v>
      </c>
      <c r="G199" s="128" t="s">
        <v>291</v>
      </c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 s="93">
        <v>0</v>
      </c>
      <c r="X199" s="129">
        <v>0</v>
      </c>
      <c r="Y199" s="93">
        <v>0</v>
      </c>
      <c r="Z199" s="129">
        <v>0</v>
      </c>
      <c r="AA199" s="155">
        <f t="shared" si="14"/>
        <v>0</v>
      </c>
      <c r="AB199" s="98">
        <f t="shared" si="14"/>
        <v>0</v>
      </c>
      <c r="AC199"/>
      <c r="AD199" s="97">
        <v>0</v>
      </c>
      <c r="AE199" s="92">
        <v>0</v>
      </c>
      <c r="AF199" s="98">
        <f t="shared" si="16"/>
        <v>0</v>
      </c>
      <c r="AG199" s="97">
        <v>0</v>
      </c>
      <c r="AH199" s="92">
        <v>0</v>
      </c>
      <c r="AI199" s="98">
        <f t="shared" si="13"/>
        <v>0</v>
      </c>
      <c r="AJ199" s="99">
        <f t="shared" si="15"/>
        <v>0</v>
      </c>
      <c r="AK199" s="102" t="str">
        <f>+IF(X199+W199+AJ199&lt;=0, "NO COMPRADOR", +IF(AJ199&lt;=0, "SIN COMPRA "&amp;+UPPER(TEXT('DINAMICA ENERO 26'!$C$2,"mmm 'yy")), "COMPRADOR"))</f>
        <v>NO COMPRADOR</v>
      </c>
      <c r="AL199" s="100"/>
      <c r="AM199" s="101"/>
      <c r="AN199" s="100"/>
      <c r="AO199" s="100"/>
      <c r="AP199" s="100"/>
    </row>
    <row r="200" spans="1:42" s="100" customFormat="1">
      <c r="A200" s="88" t="s">
        <v>85</v>
      </c>
      <c r="B200" s="89" t="s">
        <v>257</v>
      </c>
      <c r="C200" s="89" t="s">
        <v>43</v>
      </c>
      <c r="D200" s="103">
        <v>100067806</v>
      </c>
      <c r="E200" s="89" t="s">
        <v>50</v>
      </c>
      <c r="F200" s="89">
        <v>100085225</v>
      </c>
      <c r="G200" s="128" t="s">
        <v>292</v>
      </c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 s="93">
        <v>0</v>
      </c>
      <c r="X200" s="129">
        <v>0</v>
      </c>
      <c r="Y200" s="93">
        <v>24.48</v>
      </c>
      <c r="Z200" s="129">
        <v>24.48</v>
      </c>
      <c r="AA200" s="155">
        <f t="shared" si="14"/>
        <v>12.24</v>
      </c>
      <c r="AB200" s="98">
        <f t="shared" si="14"/>
        <v>12.24</v>
      </c>
      <c r="AC200"/>
      <c r="AD200" s="97">
        <v>0</v>
      </c>
      <c r="AE200" s="92">
        <v>0</v>
      </c>
      <c r="AF200" s="98">
        <f t="shared" si="16"/>
        <v>0</v>
      </c>
      <c r="AG200" s="97">
        <v>0</v>
      </c>
      <c r="AH200" s="92">
        <v>0</v>
      </c>
      <c r="AI200" s="98">
        <f t="shared" si="13"/>
        <v>0</v>
      </c>
      <c r="AJ200" s="99">
        <f t="shared" si="15"/>
        <v>0</v>
      </c>
      <c r="AK200" s="102" t="str">
        <f>+IF(X200+W200+AJ200&lt;=0, "NO COMPRADOR", +IF(AJ200&lt;=0, "SIN COMPRA "&amp;+UPPER(TEXT('DINAMICA ENERO 26'!$C$2,"mmm 'yy")), "COMPRADOR"))</f>
        <v>NO COMPRADOR</v>
      </c>
      <c r="AM200" s="101"/>
    </row>
    <row r="201" spans="1:42" s="100" customFormat="1">
      <c r="A201" s="88" t="s">
        <v>85</v>
      </c>
      <c r="B201" s="89" t="s">
        <v>257</v>
      </c>
      <c r="C201" s="89" t="s">
        <v>43</v>
      </c>
      <c r="D201" s="103">
        <v>100067806</v>
      </c>
      <c r="E201" s="89" t="s">
        <v>50</v>
      </c>
      <c r="F201" s="89">
        <v>100001891</v>
      </c>
      <c r="G201" s="128" t="s">
        <v>293</v>
      </c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 s="93">
        <v>0</v>
      </c>
      <c r="X201" s="129">
        <v>0</v>
      </c>
      <c r="Y201" s="93">
        <v>122.39999999999999</v>
      </c>
      <c r="Z201" s="129">
        <v>122.39999999999999</v>
      </c>
      <c r="AA201" s="155">
        <f t="shared" si="14"/>
        <v>61.199999999999996</v>
      </c>
      <c r="AB201" s="98">
        <f t="shared" si="14"/>
        <v>61.199999999999996</v>
      </c>
      <c r="AC201"/>
      <c r="AD201" s="97">
        <v>0</v>
      </c>
      <c r="AE201" s="92">
        <v>0</v>
      </c>
      <c r="AF201" s="98">
        <f t="shared" si="16"/>
        <v>0</v>
      </c>
      <c r="AG201" s="97">
        <v>0</v>
      </c>
      <c r="AH201" s="92">
        <v>0</v>
      </c>
      <c r="AI201" s="98">
        <f t="shared" si="13"/>
        <v>0</v>
      </c>
      <c r="AJ201" s="99">
        <f t="shared" si="15"/>
        <v>0</v>
      </c>
      <c r="AK201" s="102" t="str">
        <f>+IF(X201+W201+AJ201&lt;=0, "NO COMPRADOR", +IF(AJ201&lt;=0, "SIN COMPRA "&amp;+UPPER(TEXT('DINAMICA ENERO 26'!$C$2,"mmm 'yy")), "COMPRADOR"))</f>
        <v>NO COMPRADOR</v>
      </c>
      <c r="AM201" s="101"/>
    </row>
    <row r="202" spans="1:42" s="100" customFormat="1">
      <c r="A202" s="88" t="s">
        <v>85</v>
      </c>
      <c r="B202" s="89" t="s">
        <v>257</v>
      </c>
      <c r="C202" s="89" t="s">
        <v>43</v>
      </c>
      <c r="D202" s="103">
        <v>100067806</v>
      </c>
      <c r="E202" s="89" t="s">
        <v>50</v>
      </c>
      <c r="F202" s="89">
        <v>100001593</v>
      </c>
      <c r="G202" s="128" t="s">
        <v>294</v>
      </c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 s="93">
        <v>8.16</v>
      </c>
      <c r="X202" s="129">
        <v>8.16</v>
      </c>
      <c r="Y202" s="93">
        <v>8.16</v>
      </c>
      <c r="Z202" s="129">
        <v>8.16</v>
      </c>
      <c r="AA202" s="155">
        <f t="shared" si="14"/>
        <v>8.16</v>
      </c>
      <c r="AB202" s="98">
        <f t="shared" si="14"/>
        <v>8.16</v>
      </c>
      <c r="AC202"/>
      <c r="AD202" s="97">
        <v>0</v>
      </c>
      <c r="AE202" s="92">
        <v>0</v>
      </c>
      <c r="AF202" s="98">
        <f t="shared" si="16"/>
        <v>0</v>
      </c>
      <c r="AG202" s="97">
        <v>0</v>
      </c>
      <c r="AH202" s="92">
        <v>0</v>
      </c>
      <c r="AI202" s="98">
        <f t="shared" si="13"/>
        <v>0</v>
      </c>
      <c r="AJ202" s="99">
        <f t="shared" si="15"/>
        <v>0</v>
      </c>
      <c r="AK202" s="102" t="str">
        <f>+IF(X202+W202+AJ202&lt;=0, "NO COMPRADOR", +IF(AJ202&lt;=0, "SIN COMPRA "&amp;+UPPER(TEXT('DINAMICA ENERO 26'!$C$2,"mmm 'yy")), "COMPRADOR"))</f>
        <v>SIN COMPRA FEB '26</v>
      </c>
      <c r="AM202" s="101"/>
    </row>
    <row r="203" spans="1:42" s="104" customFormat="1">
      <c r="A203" s="88" t="s">
        <v>85</v>
      </c>
      <c r="B203" s="89" t="s">
        <v>257</v>
      </c>
      <c r="C203" s="89" t="s">
        <v>43</v>
      </c>
      <c r="D203" s="103">
        <v>100067806</v>
      </c>
      <c r="E203" s="89" t="s">
        <v>50</v>
      </c>
      <c r="F203" s="89">
        <v>100081330</v>
      </c>
      <c r="G203" s="128" t="s">
        <v>295</v>
      </c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 s="93">
        <v>0</v>
      </c>
      <c r="X203" s="129">
        <v>0</v>
      </c>
      <c r="Y203" s="93">
        <v>40.799999999999997</v>
      </c>
      <c r="Z203" s="129">
        <v>40.799999999999997</v>
      </c>
      <c r="AA203" s="155">
        <f t="shared" si="14"/>
        <v>20.399999999999999</v>
      </c>
      <c r="AB203" s="98">
        <f t="shared" si="14"/>
        <v>20.399999999999999</v>
      </c>
      <c r="AC203"/>
      <c r="AD203" s="97">
        <v>0</v>
      </c>
      <c r="AE203" s="92">
        <v>0</v>
      </c>
      <c r="AF203" s="98">
        <f t="shared" si="16"/>
        <v>0</v>
      </c>
      <c r="AG203" s="97">
        <v>0</v>
      </c>
      <c r="AH203" s="92">
        <v>0</v>
      </c>
      <c r="AI203" s="98">
        <f t="shared" si="13"/>
        <v>0</v>
      </c>
      <c r="AJ203" s="99">
        <f t="shared" si="15"/>
        <v>0</v>
      </c>
      <c r="AK203" s="102" t="str">
        <f>+IF(X203+W203+AJ203&lt;=0, "NO COMPRADOR", +IF(AJ203&lt;=0, "SIN COMPRA "&amp;+UPPER(TEXT('DINAMICA ENERO 26'!$C$2,"mmm 'yy")), "COMPRADOR"))</f>
        <v>NO COMPRADOR</v>
      </c>
      <c r="AL203" s="100"/>
      <c r="AM203" s="101"/>
      <c r="AN203" s="100"/>
      <c r="AO203" s="100"/>
      <c r="AP203" s="100"/>
    </row>
    <row r="204" spans="1:42" s="100" customFormat="1">
      <c r="A204" s="88" t="s">
        <v>85</v>
      </c>
      <c r="B204" s="89" t="s">
        <v>257</v>
      </c>
      <c r="C204" s="89" t="s">
        <v>43</v>
      </c>
      <c r="D204" s="103">
        <v>100067806</v>
      </c>
      <c r="E204" s="89" t="s">
        <v>50</v>
      </c>
      <c r="F204" s="89">
        <v>100079383</v>
      </c>
      <c r="G204" s="128" t="s">
        <v>296</v>
      </c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 s="93">
        <v>0</v>
      </c>
      <c r="X204" s="129">
        <v>0</v>
      </c>
      <c r="Y204" s="93">
        <v>0</v>
      </c>
      <c r="Z204" s="129">
        <v>0</v>
      </c>
      <c r="AA204" s="155">
        <f t="shared" si="14"/>
        <v>0</v>
      </c>
      <c r="AB204" s="98">
        <f t="shared" si="14"/>
        <v>0</v>
      </c>
      <c r="AC204"/>
      <c r="AD204" s="97">
        <v>0</v>
      </c>
      <c r="AE204" s="92">
        <v>0</v>
      </c>
      <c r="AF204" s="98">
        <f t="shared" si="16"/>
        <v>0</v>
      </c>
      <c r="AG204" s="97">
        <v>0</v>
      </c>
      <c r="AH204" s="92">
        <v>0</v>
      </c>
      <c r="AI204" s="98">
        <f t="shared" si="13"/>
        <v>0</v>
      </c>
      <c r="AJ204" s="99">
        <f t="shared" si="15"/>
        <v>0</v>
      </c>
      <c r="AK204" s="102" t="str">
        <f>+IF(X204+W204+AJ204&lt;=0, "NO COMPRADOR", +IF(AJ204&lt;=0, "SIN COMPRA "&amp;+UPPER(TEXT('DINAMICA ENERO 26'!$C$2,"mmm 'yy")), "COMPRADOR"))</f>
        <v>NO COMPRADOR</v>
      </c>
      <c r="AM204" s="101"/>
    </row>
    <row r="205" spans="1:42" s="100" customFormat="1">
      <c r="A205" s="88" t="s">
        <v>85</v>
      </c>
      <c r="B205" s="89" t="s">
        <v>257</v>
      </c>
      <c r="C205" s="89" t="s">
        <v>43</v>
      </c>
      <c r="D205" s="103">
        <v>100067806</v>
      </c>
      <c r="E205" s="89" t="s">
        <v>50</v>
      </c>
      <c r="F205" s="89">
        <v>100079030</v>
      </c>
      <c r="G205" s="128" t="s">
        <v>297</v>
      </c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 s="93">
        <v>16.32</v>
      </c>
      <c r="X205" s="129">
        <v>0</v>
      </c>
      <c r="Y205" s="93">
        <v>0</v>
      </c>
      <c r="Z205" s="129">
        <v>0</v>
      </c>
      <c r="AA205" s="155">
        <f t="shared" si="14"/>
        <v>8.16</v>
      </c>
      <c r="AB205" s="98">
        <f t="shared" si="14"/>
        <v>0</v>
      </c>
      <c r="AC205"/>
      <c r="AD205" s="97">
        <v>0</v>
      </c>
      <c r="AE205" s="92">
        <v>0</v>
      </c>
      <c r="AF205" s="98">
        <f t="shared" si="16"/>
        <v>0</v>
      </c>
      <c r="AG205" s="97">
        <v>0</v>
      </c>
      <c r="AH205" s="92">
        <v>0</v>
      </c>
      <c r="AI205" s="98">
        <f t="shared" si="13"/>
        <v>0</v>
      </c>
      <c r="AJ205" s="99">
        <f t="shared" si="15"/>
        <v>0</v>
      </c>
      <c r="AK205" s="102" t="str">
        <f>+IF(X205+W205+AJ205&lt;=0, "NO COMPRADOR", +IF(AJ205&lt;=0, "SIN COMPRA "&amp;+UPPER(TEXT('DINAMICA ENERO 26'!$C$2,"mmm 'yy")), "COMPRADOR"))</f>
        <v>SIN COMPRA FEB '26</v>
      </c>
      <c r="AM205" s="101"/>
    </row>
    <row r="206" spans="1:42" s="100" customFormat="1">
      <c r="A206" s="88" t="s">
        <v>85</v>
      </c>
      <c r="B206" s="89" t="s">
        <v>257</v>
      </c>
      <c r="C206" s="89" t="s">
        <v>43</v>
      </c>
      <c r="D206" s="103">
        <v>100067806</v>
      </c>
      <c r="E206" s="89" t="s">
        <v>50</v>
      </c>
      <c r="F206" s="89">
        <v>100024035</v>
      </c>
      <c r="G206" s="128" t="s">
        <v>298</v>
      </c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 s="93">
        <v>8.16</v>
      </c>
      <c r="X206" s="129">
        <v>8.16</v>
      </c>
      <c r="Y206" s="93">
        <v>0</v>
      </c>
      <c r="Z206" s="129">
        <v>0</v>
      </c>
      <c r="AA206" s="155">
        <f t="shared" si="14"/>
        <v>4.08</v>
      </c>
      <c r="AB206" s="98">
        <f t="shared" si="14"/>
        <v>4.08</v>
      </c>
      <c r="AC206"/>
      <c r="AD206" s="97">
        <v>0</v>
      </c>
      <c r="AE206" s="92">
        <v>0</v>
      </c>
      <c r="AF206" s="98">
        <f t="shared" si="16"/>
        <v>0</v>
      </c>
      <c r="AG206" s="97">
        <v>0</v>
      </c>
      <c r="AH206" s="92">
        <v>0</v>
      </c>
      <c r="AI206" s="98">
        <f t="shared" si="13"/>
        <v>0</v>
      </c>
      <c r="AJ206" s="99">
        <f t="shared" si="15"/>
        <v>0</v>
      </c>
      <c r="AK206" s="102" t="str">
        <f>+IF(X206+W206+AJ206&lt;=0, "NO COMPRADOR", +IF(AJ206&lt;=0, "SIN COMPRA "&amp;+UPPER(TEXT('DINAMICA ENERO 26'!$C$2,"mmm 'yy")), "COMPRADOR"))</f>
        <v>SIN COMPRA FEB '26</v>
      </c>
      <c r="AM206" s="101"/>
    </row>
    <row r="207" spans="1:42" s="104" customFormat="1">
      <c r="A207" s="88" t="s">
        <v>85</v>
      </c>
      <c r="B207" s="89" t="s">
        <v>257</v>
      </c>
      <c r="C207" s="89" t="s">
        <v>43</v>
      </c>
      <c r="D207" s="103">
        <v>100067806</v>
      </c>
      <c r="E207" s="89" t="s">
        <v>50</v>
      </c>
      <c r="F207" s="89">
        <v>100054056</v>
      </c>
      <c r="G207" s="128" t="s">
        <v>299</v>
      </c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 s="93">
        <v>0</v>
      </c>
      <c r="X207" s="129">
        <v>0</v>
      </c>
      <c r="Y207" s="93">
        <v>81.599999999999994</v>
      </c>
      <c r="Z207" s="129">
        <v>81.599999999999994</v>
      </c>
      <c r="AA207" s="155">
        <f t="shared" si="14"/>
        <v>40.799999999999997</v>
      </c>
      <c r="AB207" s="98">
        <f t="shared" si="14"/>
        <v>40.799999999999997</v>
      </c>
      <c r="AC207"/>
      <c r="AD207" s="97">
        <v>0</v>
      </c>
      <c r="AE207" s="92">
        <v>0</v>
      </c>
      <c r="AF207" s="98">
        <f t="shared" si="16"/>
        <v>0</v>
      </c>
      <c r="AG207" s="97">
        <v>0</v>
      </c>
      <c r="AH207" s="92">
        <v>0</v>
      </c>
      <c r="AI207" s="98">
        <f t="shared" si="13"/>
        <v>0</v>
      </c>
      <c r="AJ207" s="99">
        <f t="shared" si="15"/>
        <v>0</v>
      </c>
      <c r="AK207" s="102" t="str">
        <f>+IF(X207+W207+AJ207&lt;=0, "NO COMPRADOR", +IF(AJ207&lt;=0, "SIN COMPRA "&amp;+UPPER(TEXT('DINAMICA ENERO 26'!$C$2,"mmm 'yy")), "COMPRADOR"))</f>
        <v>NO COMPRADOR</v>
      </c>
      <c r="AL207" s="100"/>
      <c r="AM207" s="101"/>
      <c r="AN207" s="100"/>
      <c r="AO207" s="100"/>
      <c r="AP207" s="100"/>
    </row>
    <row r="208" spans="1:42" s="100" customFormat="1">
      <c r="A208" s="88" t="s">
        <v>85</v>
      </c>
      <c r="B208" s="89" t="s">
        <v>257</v>
      </c>
      <c r="C208" s="89" t="s">
        <v>43</v>
      </c>
      <c r="D208" s="103">
        <v>100067806</v>
      </c>
      <c r="E208" s="89" t="s">
        <v>50</v>
      </c>
      <c r="F208" s="89">
        <v>100076315</v>
      </c>
      <c r="G208" s="128" t="s">
        <v>300</v>
      </c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 s="93">
        <v>0</v>
      </c>
      <c r="X208" s="129">
        <v>0</v>
      </c>
      <c r="Y208" s="93">
        <v>0</v>
      </c>
      <c r="Z208" s="129">
        <v>8.16</v>
      </c>
      <c r="AA208" s="155">
        <f t="shared" si="14"/>
        <v>0</v>
      </c>
      <c r="AB208" s="98">
        <f t="shared" si="14"/>
        <v>4.08</v>
      </c>
      <c r="AC208"/>
      <c r="AD208" s="97">
        <v>0</v>
      </c>
      <c r="AE208" s="92">
        <v>40.799999999999997</v>
      </c>
      <c r="AF208" s="98">
        <f t="shared" si="16"/>
        <v>40.799999999999997</v>
      </c>
      <c r="AG208" s="97">
        <v>0</v>
      </c>
      <c r="AH208" s="92">
        <v>40.799999999999997</v>
      </c>
      <c r="AI208" s="98">
        <f t="shared" si="13"/>
        <v>40.799999999999997</v>
      </c>
      <c r="AJ208" s="99">
        <f t="shared" si="15"/>
        <v>81.599999999999994</v>
      </c>
      <c r="AK208" s="102" t="str">
        <f>+IF(X208+W208+AJ208&lt;=0, "NO COMPRADOR", +IF(AJ208&lt;=0, "SIN COMPRA "&amp;+UPPER(TEXT('DINAMICA ENERO 26'!$C$2,"mmm 'yy")), "COMPRADOR"))</f>
        <v>COMPRADOR</v>
      </c>
      <c r="AM208" s="101"/>
    </row>
    <row r="209" spans="1:42" s="100" customFormat="1">
      <c r="A209" s="88" t="s">
        <v>85</v>
      </c>
      <c r="B209" s="89" t="s">
        <v>257</v>
      </c>
      <c r="C209" s="89" t="s">
        <v>43</v>
      </c>
      <c r="D209" s="103">
        <v>100067806</v>
      </c>
      <c r="E209" s="89" t="s">
        <v>50</v>
      </c>
      <c r="F209" s="89">
        <v>100002218</v>
      </c>
      <c r="G209" s="128" t="s">
        <v>301</v>
      </c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 s="93">
        <v>0</v>
      </c>
      <c r="X209" s="129">
        <v>0</v>
      </c>
      <c r="Y209" s="93">
        <v>0</v>
      </c>
      <c r="Z209" s="129">
        <v>0</v>
      </c>
      <c r="AA209" s="155">
        <f t="shared" si="14"/>
        <v>0</v>
      </c>
      <c r="AB209" s="98">
        <f t="shared" si="14"/>
        <v>0</v>
      </c>
      <c r="AC209"/>
      <c r="AD209" s="97">
        <v>0</v>
      </c>
      <c r="AE209" s="92">
        <v>0</v>
      </c>
      <c r="AF209" s="98">
        <f t="shared" si="16"/>
        <v>0</v>
      </c>
      <c r="AG209" s="97">
        <v>0</v>
      </c>
      <c r="AH209" s="92">
        <v>0</v>
      </c>
      <c r="AI209" s="98">
        <f t="shared" si="13"/>
        <v>0</v>
      </c>
      <c r="AJ209" s="99">
        <f t="shared" si="15"/>
        <v>0</v>
      </c>
      <c r="AK209" s="102" t="str">
        <f>+IF(X209+W209+AJ209&lt;=0, "NO COMPRADOR", +IF(AJ209&lt;=0, "SIN COMPRA "&amp;+UPPER(TEXT('DINAMICA ENERO 26'!$C$2,"mmm 'yy")), "COMPRADOR"))</f>
        <v>NO COMPRADOR</v>
      </c>
      <c r="AM209" s="101"/>
    </row>
    <row r="210" spans="1:42" s="100" customFormat="1">
      <c r="A210" s="88" t="s">
        <v>85</v>
      </c>
      <c r="B210" s="89" t="s">
        <v>257</v>
      </c>
      <c r="C210" s="89" t="s">
        <v>43</v>
      </c>
      <c r="D210" s="103">
        <v>100067806</v>
      </c>
      <c r="E210" s="89" t="s">
        <v>50</v>
      </c>
      <c r="F210" s="89">
        <v>100076218</v>
      </c>
      <c r="G210" s="128" t="s">
        <v>302</v>
      </c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 s="93">
        <v>8.16</v>
      </c>
      <c r="X210" s="129">
        <v>8.16</v>
      </c>
      <c r="Y210" s="93">
        <v>-8.16</v>
      </c>
      <c r="Z210" s="129">
        <v>-8.16</v>
      </c>
      <c r="AA210" s="155">
        <f t="shared" si="14"/>
        <v>0</v>
      </c>
      <c r="AB210" s="98">
        <f t="shared" si="14"/>
        <v>0</v>
      </c>
      <c r="AC210"/>
      <c r="AD210" s="97">
        <v>0</v>
      </c>
      <c r="AE210" s="92">
        <v>0</v>
      </c>
      <c r="AF210" s="98">
        <f t="shared" si="16"/>
        <v>0</v>
      </c>
      <c r="AG210" s="97">
        <v>0</v>
      </c>
      <c r="AH210" s="92">
        <v>0</v>
      </c>
      <c r="AI210" s="98">
        <f t="shared" si="13"/>
        <v>0</v>
      </c>
      <c r="AJ210" s="99">
        <f t="shared" si="15"/>
        <v>0</v>
      </c>
      <c r="AK210" s="102" t="str">
        <f>+IF(X210+W210+AJ210&lt;=0, "NO COMPRADOR", +IF(AJ210&lt;=0, "SIN COMPRA "&amp;+UPPER(TEXT('DINAMICA ENERO 26'!$C$2,"mmm 'yy")), "COMPRADOR"))</f>
        <v>SIN COMPRA FEB '26</v>
      </c>
      <c r="AM210" s="101"/>
    </row>
    <row r="211" spans="1:42" s="100" customFormat="1">
      <c r="A211" s="88" t="s">
        <v>85</v>
      </c>
      <c r="B211" s="89" t="s">
        <v>257</v>
      </c>
      <c r="C211" s="89" t="s">
        <v>43</v>
      </c>
      <c r="D211" s="103">
        <v>100067806</v>
      </c>
      <c r="E211" s="89" t="s">
        <v>50</v>
      </c>
      <c r="F211" s="89">
        <v>100071903</v>
      </c>
      <c r="G211" s="128" t="s">
        <v>303</v>
      </c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 s="93">
        <v>0</v>
      </c>
      <c r="X211" s="129">
        <v>0</v>
      </c>
      <c r="Y211" s="93">
        <v>0</v>
      </c>
      <c r="Z211" s="129">
        <v>0</v>
      </c>
      <c r="AA211" s="155">
        <f t="shared" si="14"/>
        <v>0</v>
      </c>
      <c r="AB211" s="98">
        <f t="shared" si="14"/>
        <v>0</v>
      </c>
      <c r="AC211"/>
      <c r="AD211" s="97">
        <v>163.19999999999999</v>
      </c>
      <c r="AE211" s="92">
        <v>0</v>
      </c>
      <c r="AF211" s="98">
        <f t="shared" si="16"/>
        <v>163.19999999999999</v>
      </c>
      <c r="AG211" s="97">
        <v>163.19999999999999</v>
      </c>
      <c r="AH211" s="92">
        <v>0</v>
      </c>
      <c r="AI211" s="98">
        <f t="shared" si="13"/>
        <v>163.19999999999999</v>
      </c>
      <c r="AJ211" s="99">
        <f t="shared" si="15"/>
        <v>326.39999999999998</v>
      </c>
      <c r="AK211" s="102" t="str">
        <f>+IF(X211+W211+AJ211&lt;=0, "NO COMPRADOR", +IF(AJ211&lt;=0, "SIN COMPRA "&amp;+UPPER(TEXT('DINAMICA ENERO 26'!$C$2,"mmm 'yy")), "COMPRADOR"))</f>
        <v>COMPRADOR</v>
      </c>
      <c r="AM211" s="101"/>
    </row>
    <row r="212" spans="1:42" s="104" customFormat="1">
      <c r="A212" s="88" t="s">
        <v>85</v>
      </c>
      <c r="B212" s="89" t="s">
        <v>257</v>
      </c>
      <c r="C212" s="89" t="s">
        <v>43</v>
      </c>
      <c r="D212" s="103">
        <v>100067806</v>
      </c>
      <c r="E212" s="89" t="s">
        <v>50</v>
      </c>
      <c r="F212" s="89">
        <v>100080254</v>
      </c>
      <c r="G212" s="128" t="s">
        <v>304</v>
      </c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 s="93">
        <v>0</v>
      </c>
      <c r="X212" s="129">
        <v>0</v>
      </c>
      <c r="Y212" s="93">
        <v>0</v>
      </c>
      <c r="Z212" s="129">
        <v>0</v>
      </c>
      <c r="AA212" s="155">
        <f t="shared" si="14"/>
        <v>0</v>
      </c>
      <c r="AB212" s="98">
        <f t="shared" si="14"/>
        <v>0</v>
      </c>
      <c r="AC212"/>
      <c r="AD212" s="97">
        <v>0</v>
      </c>
      <c r="AE212" s="92">
        <v>0</v>
      </c>
      <c r="AF212" s="98">
        <f t="shared" si="16"/>
        <v>0</v>
      </c>
      <c r="AG212" s="97">
        <v>0</v>
      </c>
      <c r="AH212" s="92">
        <v>0</v>
      </c>
      <c r="AI212" s="98">
        <f t="shared" si="13"/>
        <v>0</v>
      </c>
      <c r="AJ212" s="99">
        <f t="shared" si="15"/>
        <v>0</v>
      </c>
      <c r="AK212" s="102" t="str">
        <f>+IF(X212+W212+AJ212&lt;=0, "NO COMPRADOR", +IF(AJ212&lt;=0, "SIN COMPRA "&amp;+UPPER(TEXT('DINAMICA ENERO 26'!$C$2,"mmm 'yy")), "COMPRADOR"))</f>
        <v>NO COMPRADOR</v>
      </c>
      <c r="AL212" s="100"/>
      <c r="AM212" s="101"/>
      <c r="AN212" s="100"/>
      <c r="AO212" s="100"/>
      <c r="AP212" s="100"/>
    </row>
    <row r="213" spans="1:42" s="104" customFormat="1">
      <c r="A213" s="88" t="s">
        <v>85</v>
      </c>
      <c r="B213" s="89" t="s">
        <v>257</v>
      </c>
      <c r="C213" s="89" t="s">
        <v>43</v>
      </c>
      <c r="D213" s="103">
        <v>100067806</v>
      </c>
      <c r="E213" s="89" t="s">
        <v>50</v>
      </c>
      <c r="F213" s="89">
        <v>100080176</v>
      </c>
      <c r="G213" s="128" t="s">
        <v>305</v>
      </c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 s="93">
        <v>0</v>
      </c>
      <c r="X213" s="129">
        <v>0</v>
      </c>
      <c r="Y213" s="93">
        <v>8.16</v>
      </c>
      <c r="Z213" s="129">
        <v>8.16</v>
      </c>
      <c r="AA213" s="155">
        <f t="shared" si="14"/>
        <v>4.08</v>
      </c>
      <c r="AB213" s="98">
        <f t="shared" si="14"/>
        <v>4.08</v>
      </c>
      <c r="AC213"/>
      <c r="AD213" s="97">
        <v>0</v>
      </c>
      <c r="AE213" s="92">
        <v>0</v>
      </c>
      <c r="AF213" s="98">
        <f t="shared" si="16"/>
        <v>0</v>
      </c>
      <c r="AG213" s="97">
        <v>0</v>
      </c>
      <c r="AH213" s="92">
        <v>0</v>
      </c>
      <c r="AI213" s="98">
        <f t="shared" si="13"/>
        <v>0</v>
      </c>
      <c r="AJ213" s="99">
        <f t="shared" si="15"/>
        <v>0</v>
      </c>
      <c r="AK213" s="102" t="str">
        <f>+IF(X213+W213+AJ213&lt;=0, "NO COMPRADOR", +IF(AJ213&lt;=0, "SIN COMPRA "&amp;+UPPER(TEXT('DINAMICA ENERO 26'!$C$2,"mmm 'yy")), "COMPRADOR"))</f>
        <v>NO COMPRADOR</v>
      </c>
      <c r="AL213" s="100"/>
      <c r="AM213" s="101"/>
      <c r="AN213" s="100"/>
      <c r="AO213" s="100"/>
      <c r="AP213" s="100"/>
    </row>
    <row r="214" spans="1:42" s="100" customFormat="1">
      <c r="A214" s="88" t="s">
        <v>85</v>
      </c>
      <c r="B214" s="89" t="s">
        <v>257</v>
      </c>
      <c r="C214" s="89" t="s">
        <v>43</v>
      </c>
      <c r="D214" s="103">
        <v>100067806</v>
      </c>
      <c r="E214" s="89" t="s">
        <v>50</v>
      </c>
      <c r="F214" s="89">
        <v>100085312</v>
      </c>
      <c r="G214" s="128" t="s">
        <v>306</v>
      </c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 s="93">
        <v>0</v>
      </c>
      <c r="X214" s="129">
        <v>0</v>
      </c>
      <c r="Y214" s="93">
        <v>0</v>
      </c>
      <c r="Z214" s="129">
        <v>0</v>
      </c>
      <c r="AA214" s="155">
        <f t="shared" si="14"/>
        <v>0</v>
      </c>
      <c r="AB214" s="98">
        <f t="shared" si="14"/>
        <v>0</v>
      </c>
      <c r="AC214"/>
      <c r="AD214" s="97">
        <v>0</v>
      </c>
      <c r="AE214" s="92">
        <v>0</v>
      </c>
      <c r="AF214" s="98">
        <f t="shared" si="16"/>
        <v>0</v>
      </c>
      <c r="AG214" s="97">
        <v>0</v>
      </c>
      <c r="AH214" s="92">
        <v>0</v>
      </c>
      <c r="AI214" s="98">
        <f t="shared" si="13"/>
        <v>0</v>
      </c>
      <c r="AJ214" s="99">
        <f t="shared" si="15"/>
        <v>0</v>
      </c>
      <c r="AK214" s="102" t="str">
        <f>+IF(X214+W214+AJ214&lt;=0, "NO COMPRADOR", +IF(AJ214&lt;=0, "SIN COMPRA "&amp;+UPPER(TEXT('DINAMICA ENERO 26'!$C$2,"mmm 'yy")), "COMPRADOR"))</f>
        <v>NO COMPRADOR</v>
      </c>
      <c r="AM214" s="101"/>
    </row>
    <row r="215" spans="1:42" s="100" customFormat="1">
      <c r="A215" s="88" t="s">
        <v>85</v>
      </c>
      <c r="B215" s="89" t="s">
        <v>257</v>
      </c>
      <c r="C215" s="89" t="s">
        <v>43</v>
      </c>
      <c r="D215" s="103">
        <v>100067806</v>
      </c>
      <c r="E215" s="89" t="s">
        <v>50</v>
      </c>
      <c r="F215" s="89">
        <v>100076730</v>
      </c>
      <c r="G215" s="128" t="s">
        <v>307</v>
      </c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 s="93">
        <v>0</v>
      </c>
      <c r="X215" s="129">
        <v>0</v>
      </c>
      <c r="Y215" s="93">
        <v>0</v>
      </c>
      <c r="Z215" s="129">
        <v>0</v>
      </c>
      <c r="AA215" s="155">
        <f t="shared" si="14"/>
        <v>0</v>
      </c>
      <c r="AB215" s="98">
        <f t="shared" si="14"/>
        <v>0</v>
      </c>
      <c r="AC215"/>
      <c r="AD215" s="97">
        <v>0</v>
      </c>
      <c r="AE215" s="92">
        <v>0</v>
      </c>
      <c r="AF215" s="98">
        <f t="shared" si="16"/>
        <v>0</v>
      </c>
      <c r="AG215" s="97">
        <v>0</v>
      </c>
      <c r="AH215" s="92">
        <v>0</v>
      </c>
      <c r="AI215" s="98">
        <f t="shared" si="13"/>
        <v>0</v>
      </c>
      <c r="AJ215" s="99">
        <f t="shared" si="15"/>
        <v>0</v>
      </c>
      <c r="AK215" s="102" t="str">
        <f>+IF(X215+W215+AJ215&lt;=0, "NO COMPRADOR", +IF(AJ215&lt;=0, "SIN COMPRA "&amp;+UPPER(TEXT('DINAMICA ENERO 26'!$C$2,"mmm 'yy")), "COMPRADOR"))</f>
        <v>NO COMPRADOR</v>
      </c>
      <c r="AM215" s="101"/>
    </row>
    <row r="216" spans="1:42" s="100" customFormat="1">
      <c r="A216" s="88" t="s">
        <v>85</v>
      </c>
      <c r="B216" s="89" t="s">
        <v>257</v>
      </c>
      <c r="C216" s="89" t="s">
        <v>43</v>
      </c>
      <c r="D216" s="103">
        <v>100067806</v>
      </c>
      <c r="E216" s="89" t="s">
        <v>50</v>
      </c>
      <c r="F216" s="89">
        <v>100009892</v>
      </c>
      <c r="G216" s="128" t="s">
        <v>308</v>
      </c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 s="93">
        <v>0</v>
      </c>
      <c r="X216" s="129">
        <v>0</v>
      </c>
      <c r="Y216" s="93">
        <v>0</v>
      </c>
      <c r="Z216" s="129">
        <v>0</v>
      </c>
      <c r="AA216" s="155">
        <f t="shared" si="14"/>
        <v>0</v>
      </c>
      <c r="AB216" s="98">
        <f t="shared" si="14"/>
        <v>0</v>
      </c>
      <c r="AC216"/>
      <c r="AD216" s="97">
        <v>0</v>
      </c>
      <c r="AE216" s="92">
        <v>0</v>
      </c>
      <c r="AF216" s="98">
        <f t="shared" si="16"/>
        <v>0</v>
      </c>
      <c r="AG216" s="97">
        <v>0</v>
      </c>
      <c r="AH216" s="92">
        <v>0</v>
      </c>
      <c r="AI216" s="98">
        <f t="shared" si="13"/>
        <v>0</v>
      </c>
      <c r="AJ216" s="99">
        <f t="shared" si="15"/>
        <v>0</v>
      </c>
      <c r="AK216" s="102" t="str">
        <f>+IF(X216+W216+AJ216&lt;=0, "NO COMPRADOR", +IF(AJ216&lt;=0, "SIN COMPRA "&amp;+UPPER(TEXT('DINAMICA ENERO 26'!$C$2,"mmm 'yy")), "COMPRADOR"))</f>
        <v>NO COMPRADOR</v>
      </c>
      <c r="AM216" s="101"/>
    </row>
    <row r="217" spans="1:42" s="104" customFormat="1">
      <c r="A217" s="88" t="s">
        <v>85</v>
      </c>
      <c r="B217" s="89" t="s">
        <v>257</v>
      </c>
      <c r="C217" s="89" t="s">
        <v>43</v>
      </c>
      <c r="D217" s="103">
        <v>100067806</v>
      </c>
      <c r="E217" s="89" t="s">
        <v>50</v>
      </c>
      <c r="F217" s="89">
        <v>100063728</v>
      </c>
      <c r="G217" s="128" t="s">
        <v>309</v>
      </c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 s="93">
        <v>89.759999999999991</v>
      </c>
      <c r="X217" s="129">
        <v>89.759999999999991</v>
      </c>
      <c r="Y217" s="93">
        <v>163.19999999999999</v>
      </c>
      <c r="Z217" s="129">
        <v>0</v>
      </c>
      <c r="AA217" s="155">
        <f t="shared" si="14"/>
        <v>126.47999999999999</v>
      </c>
      <c r="AB217" s="98">
        <f t="shared" si="14"/>
        <v>44.879999999999995</v>
      </c>
      <c r="AC217"/>
      <c r="AD217" s="97">
        <v>0</v>
      </c>
      <c r="AE217" s="92">
        <v>0</v>
      </c>
      <c r="AF217" s="98">
        <f t="shared" si="16"/>
        <v>0</v>
      </c>
      <c r="AG217" s="97">
        <v>0</v>
      </c>
      <c r="AH217" s="92">
        <v>0</v>
      </c>
      <c r="AI217" s="98">
        <f t="shared" si="13"/>
        <v>0</v>
      </c>
      <c r="AJ217" s="99">
        <f t="shared" si="15"/>
        <v>0</v>
      </c>
      <c r="AK217" s="102" t="str">
        <f>+IF(X217+W217+AJ217&lt;=0, "NO COMPRADOR", +IF(AJ217&lt;=0, "SIN COMPRA "&amp;+UPPER(TEXT('DINAMICA ENERO 26'!$C$2,"mmm 'yy")), "COMPRADOR"))</f>
        <v>SIN COMPRA FEB '26</v>
      </c>
      <c r="AL217" s="100"/>
      <c r="AM217" s="101"/>
      <c r="AN217" s="100"/>
      <c r="AO217" s="100"/>
      <c r="AP217" s="100"/>
    </row>
    <row r="218" spans="1:42" s="100" customFormat="1">
      <c r="A218" s="88" t="s">
        <v>85</v>
      </c>
      <c r="B218" s="89" t="s">
        <v>257</v>
      </c>
      <c r="C218" s="89" t="s">
        <v>43</v>
      </c>
      <c r="D218" s="103">
        <v>100067806</v>
      </c>
      <c r="E218" s="89" t="s">
        <v>50</v>
      </c>
      <c r="F218" s="89">
        <v>100084491</v>
      </c>
      <c r="G218" s="128" t="s">
        <v>310</v>
      </c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 s="93">
        <v>0</v>
      </c>
      <c r="X218" s="129">
        <v>0</v>
      </c>
      <c r="Y218" s="93">
        <v>0</v>
      </c>
      <c r="Z218" s="129">
        <v>0</v>
      </c>
      <c r="AA218" s="155">
        <f t="shared" si="14"/>
        <v>0</v>
      </c>
      <c r="AB218" s="98">
        <f t="shared" si="14"/>
        <v>0</v>
      </c>
      <c r="AC218"/>
      <c r="AD218" s="97">
        <v>0</v>
      </c>
      <c r="AE218" s="92">
        <v>0</v>
      </c>
      <c r="AF218" s="98">
        <f t="shared" si="16"/>
        <v>0</v>
      </c>
      <c r="AG218" s="97">
        <v>0</v>
      </c>
      <c r="AH218" s="92">
        <v>0</v>
      </c>
      <c r="AI218" s="98">
        <f t="shared" si="13"/>
        <v>0</v>
      </c>
      <c r="AJ218" s="99">
        <f t="shared" si="15"/>
        <v>0</v>
      </c>
      <c r="AK218" s="102" t="str">
        <f>+IF(X218+W218+AJ218&lt;=0, "NO COMPRADOR", +IF(AJ218&lt;=0, "SIN COMPRA "&amp;+UPPER(TEXT('DINAMICA ENERO 26'!$C$2,"mmm 'yy")), "COMPRADOR"))</f>
        <v>NO COMPRADOR</v>
      </c>
      <c r="AM218" s="101"/>
    </row>
    <row r="219" spans="1:42" s="100" customFormat="1">
      <c r="A219" s="88" t="s">
        <v>85</v>
      </c>
      <c r="B219" s="89" t="s">
        <v>257</v>
      </c>
      <c r="C219" s="89" t="s">
        <v>43</v>
      </c>
      <c r="D219" s="103">
        <v>100067806</v>
      </c>
      <c r="E219" s="89" t="s">
        <v>50</v>
      </c>
      <c r="F219" s="89">
        <v>100062883</v>
      </c>
      <c r="G219" s="128" t="s">
        <v>311</v>
      </c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 s="93">
        <v>0</v>
      </c>
      <c r="X219" s="129">
        <v>0</v>
      </c>
      <c r="Y219" s="93">
        <v>0</v>
      </c>
      <c r="Z219" s="129">
        <v>0</v>
      </c>
      <c r="AA219" s="155">
        <f t="shared" si="14"/>
        <v>0</v>
      </c>
      <c r="AB219" s="98">
        <f t="shared" si="14"/>
        <v>0</v>
      </c>
      <c r="AC219"/>
      <c r="AD219" s="97">
        <v>0</v>
      </c>
      <c r="AE219" s="92">
        <v>0</v>
      </c>
      <c r="AF219" s="98">
        <f t="shared" si="16"/>
        <v>0</v>
      </c>
      <c r="AG219" s="97">
        <v>0</v>
      </c>
      <c r="AH219" s="92">
        <v>0</v>
      </c>
      <c r="AI219" s="98">
        <f t="shared" si="13"/>
        <v>0</v>
      </c>
      <c r="AJ219" s="99">
        <f t="shared" si="15"/>
        <v>0</v>
      </c>
      <c r="AK219" s="102" t="str">
        <f>+IF(X219+W219+AJ219&lt;=0, "NO COMPRADOR", +IF(AJ219&lt;=0, "SIN COMPRA "&amp;+UPPER(TEXT('DINAMICA ENERO 26'!$C$2,"mmm 'yy")), "COMPRADOR"))</f>
        <v>NO COMPRADOR</v>
      </c>
      <c r="AM219" s="101"/>
    </row>
    <row r="220" spans="1:42" s="100" customFormat="1">
      <c r="A220" s="88" t="s">
        <v>85</v>
      </c>
      <c r="B220" s="89" t="s">
        <v>257</v>
      </c>
      <c r="C220" s="89" t="s">
        <v>43</v>
      </c>
      <c r="D220" s="103">
        <v>100067806</v>
      </c>
      <c r="E220" s="89" t="s">
        <v>50</v>
      </c>
      <c r="F220" s="89">
        <v>100014014</v>
      </c>
      <c r="G220" s="128" t="s">
        <v>312</v>
      </c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 s="93">
        <v>0</v>
      </c>
      <c r="X220" s="129">
        <v>0</v>
      </c>
      <c r="Y220" s="93">
        <v>0</v>
      </c>
      <c r="Z220" s="129">
        <v>0</v>
      </c>
      <c r="AA220" s="155">
        <f t="shared" si="14"/>
        <v>0</v>
      </c>
      <c r="AB220" s="98">
        <f t="shared" si="14"/>
        <v>0</v>
      </c>
      <c r="AC220"/>
      <c r="AD220" s="97">
        <v>0</v>
      </c>
      <c r="AE220" s="92">
        <v>0</v>
      </c>
      <c r="AF220" s="98">
        <f t="shared" si="16"/>
        <v>0</v>
      </c>
      <c r="AG220" s="97">
        <v>0</v>
      </c>
      <c r="AH220" s="92">
        <v>0</v>
      </c>
      <c r="AI220" s="98">
        <f t="shared" si="13"/>
        <v>0</v>
      </c>
      <c r="AJ220" s="99">
        <f t="shared" si="15"/>
        <v>0</v>
      </c>
      <c r="AK220" s="102" t="str">
        <f>+IF(X220+W220+AJ220&lt;=0, "NO COMPRADOR", +IF(AJ220&lt;=0, "SIN COMPRA "&amp;+UPPER(TEXT('DINAMICA ENERO 26'!$C$2,"mmm 'yy")), "COMPRADOR"))</f>
        <v>NO COMPRADOR</v>
      </c>
      <c r="AM220" s="101"/>
    </row>
    <row r="221" spans="1:42" s="104" customFormat="1">
      <c r="A221" s="88" t="s">
        <v>85</v>
      </c>
      <c r="B221" s="89" t="s">
        <v>257</v>
      </c>
      <c r="C221" s="89" t="s">
        <v>43</v>
      </c>
      <c r="D221" s="103">
        <v>100067806</v>
      </c>
      <c r="E221" s="89" t="s">
        <v>50</v>
      </c>
      <c r="F221" s="89">
        <v>100088613</v>
      </c>
      <c r="G221" s="128" t="s">
        <v>313</v>
      </c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 s="93">
        <v>0</v>
      </c>
      <c r="X221" s="129">
        <v>0</v>
      </c>
      <c r="Y221" s="93">
        <v>0</v>
      </c>
      <c r="Z221" s="129">
        <v>0</v>
      </c>
      <c r="AA221" s="155">
        <f t="shared" si="14"/>
        <v>0</v>
      </c>
      <c r="AB221" s="98">
        <f t="shared" si="14"/>
        <v>0</v>
      </c>
      <c r="AC221"/>
      <c r="AD221" s="97">
        <v>0</v>
      </c>
      <c r="AE221" s="92">
        <v>0</v>
      </c>
      <c r="AF221" s="98">
        <f t="shared" si="16"/>
        <v>0</v>
      </c>
      <c r="AG221" s="97">
        <v>0</v>
      </c>
      <c r="AH221" s="92">
        <v>0</v>
      </c>
      <c r="AI221" s="98">
        <f t="shared" si="13"/>
        <v>0</v>
      </c>
      <c r="AJ221" s="99">
        <f t="shared" si="15"/>
        <v>0</v>
      </c>
      <c r="AK221" s="102" t="str">
        <f>+IF(X221+W221+AJ221&lt;=0, "NO COMPRADOR", +IF(AJ221&lt;=0, "SIN COMPRA "&amp;+UPPER(TEXT('DINAMICA ENERO 26'!$C$2,"mmm 'yy")), "COMPRADOR"))</f>
        <v>NO COMPRADOR</v>
      </c>
      <c r="AL221" s="100"/>
      <c r="AM221" s="101"/>
      <c r="AN221" s="100"/>
      <c r="AO221" s="100"/>
      <c r="AP221" s="100"/>
    </row>
    <row r="222" spans="1:42" s="104" customFormat="1">
      <c r="A222" s="88" t="s">
        <v>85</v>
      </c>
      <c r="B222" s="89" t="s">
        <v>257</v>
      </c>
      <c r="C222" s="89" t="s">
        <v>43</v>
      </c>
      <c r="D222" s="103">
        <v>100067806</v>
      </c>
      <c r="E222" s="89" t="s">
        <v>50</v>
      </c>
      <c r="F222" s="89">
        <v>100001513</v>
      </c>
      <c r="G222" s="128" t="s">
        <v>287</v>
      </c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 s="93">
        <v>0</v>
      </c>
      <c r="X222" s="129">
        <v>0</v>
      </c>
      <c r="Y222" s="93">
        <v>0</v>
      </c>
      <c r="Z222" s="129">
        <v>0</v>
      </c>
      <c r="AA222" s="155">
        <f t="shared" si="14"/>
        <v>0</v>
      </c>
      <c r="AB222" s="98">
        <f t="shared" si="14"/>
        <v>0</v>
      </c>
      <c r="AC222"/>
      <c r="AD222" s="97">
        <v>0</v>
      </c>
      <c r="AE222" s="92">
        <v>0</v>
      </c>
      <c r="AF222" s="98">
        <f t="shared" si="16"/>
        <v>0</v>
      </c>
      <c r="AG222" s="97">
        <v>0</v>
      </c>
      <c r="AH222" s="92">
        <v>0</v>
      </c>
      <c r="AI222" s="98">
        <f t="shared" si="13"/>
        <v>0</v>
      </c>
      <c r="AJ222" s="99">
        <f t="shared" si="15"/>
        <v>0</v>
      </c>
      <c r="AK222" s="102" t="str">
        <f>+IF(X222+W222+AJ222&lt;=0, "NO COMPRADOR", +IF(AJ222&lt;=0, "SIN COMPRA "&amp;+UPPER(TEXT('DINAMICA ENERO 26'!$C$2,"mmm 'yy")), "COMPRADOR"))</f>
        <v>NO COMPRADOR</v>
      </c>
      <c r="AL222" s="100"/>
      <c r="AM222" s="101"/>
      <c r="AN222" s="100"/>
      <c r="AO222" s="100"/>
      <c r="AP222" s="100"/>
    </row>
    <row r="223" spans="1:42" s="100" customFormat="1">
      <c r="A223" s="88" t="s">
        <v>85</v>
      </c>
      <c r="B223" s="89" t="s">
        <v>257</v>
      </c>
      <c r="C223" s="89" t="s">
        <v>43</v>
      </c>
      <c r="D223" s="103">
        <v>100067806</v>
      </c>
      <c r="E223" s="89" t="s">
        <v>50</v>
      </c>
      <c r="F223" s="89">
        <v>100001295</v>
      </c>
      <c r="G223" s="128" t="s">
        <v>314</v>
      </c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 s="93">
        <v>0</v>
      </c>
      <c r="X223" s="129">
        <v>0</v>
      </c>
      <c r="Y223" s="93">
        <v>0</v>
      </c>
      <c r="Z223" s="129">
        <v>8.16</v>
      </c>
      <c r="AA223" s="155">
        <f t="shared" si="14"/>
        <v>0</v>
      </c>
      <c r="AB223" s="98">
        <f t="shared" si="14"/>
        <v>4.08</v>
      </c>
      <c r="AC223"/>
      <c r="AD223" s="97">
        <v>0</v>
      </c>
      <c r="AE223" s="92">
        <v>0</v>
      </c>
      <c r="AF223" s="98">
        <f t="shared" si="16"/>
        <v>0</v>
      </c>
      <c r="AG223" s="97">
        <v>0</v>
      </c>
      <c r="AH223" s="92">
        <v>0</v>
      </c>
      <c r="AI223" s="98">
        <f t="shared" si="13"/>
        <v>0</v>
      </c>
      <c r="AJ223" s="99">
        <f t="shared" si="15"/>
        <v>0</v>
      </c>
      <c r="AK223" s="102" t="str">
        <f>+IF(X223+W223+AJ223&lt;=0, "NO COMPRADOR", +IF(AJ223&lt;=0, "SIN COMPRA "&amp;+UPPER(TEXT('DINAMICA ENERO 26'!$C$2,"mmm 'yy")), "COMPRADOR"))</f>
        <v>NO COMPRADOR</v>
      </c>
      <c r="AM223" s="101"/>
    </row>
    <row r="224" spans="1:42" s="100" customFormat="1">
      <c r="A224" s="88" t="s">
        <v>85</v>
      </c>
      <c r="B224" s="89" t="s">
        <v>315</v>
      </c>
      <c r="C224" s="89" t="s">
        <v>43</v>
      </c>
      <c r="D224" s="103">
        <v>100063546</v>
      </c>
      <c r="E224" s="89" t="s">
        <v>46</v>
      </c>
      <c r="F224" s="89">
        <v>100001979</v>
      </c>
      <c r="G224" s="128" t="s">
        <v>290</v>
      </c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 s="93">
        <v>0</v>
      </c>
      <c r="X224" s="129">
        <v>0</v>
      </c>
      <c r="Y224" s="93">
        <v>0</v>
      </c>
      <c r="Z224" s="129">
        <v>0</v>
      </c>
      <c r="AA224" s="155">
        <f t="shared" si="14"/>
        <v>0</v>
      </c>
      <c r="AB224" s="98">
        <f t="shared" si="14"/>
        <v>0</v>
      </c>
      <c r="AC224"/>
      <c r="AD224" s="97">
        <v>0</v>
      </c>
      <c r="AE224" s="92">
        <v>0</v>
      </c>
      <c r="AF224" s="98">
        <f t="shared" si="16"/>
        <v>0</v>
      </c>
      <c r="AG224" s="97">
        <v>0</v>
      </c>
      <c r="AH224" s="92">
        <v>0</v>
      </c>
      <c r="AI224" s="98">
        <f t="shared" si="13"/>
        <v>0</v>
      </c>
      <c r="AJ224" s="99">
        <f t="shared" si="15"/>
        <v>0</v>
      </c>
      <c r="AK224" s="102" t="str">
        <f>+IF(X224+W224+AJ224&lt;=0, "NO COMPRADOR", +IF(AJ224&lt;=0, "SIN COMPRA "&amp;+UPPER(TEXT('DINAMICA ENERO 26'!$C$2,"mmm 'yy")), "COMPRADOR"))</f>
        <v>NO COMPRADOR</v>
      </c>
      <c r="AM224" s="101"/>
    </row>
    <row r="225" spans="1:42" s="100" customFormat="1">
      <c r="A225" s="88" t="s">
        <v>85</v>
      </c>
      <c r="B225" s="89" t="s">
        <v>315</v>
      </c>
      <c r="C225" s="89" t="s">
        <v>43</v>
      </c>
      <c r="D225" s="103">
        <v>100063546</v>
      </c>
      <c r="E225" s="89" t="s">
        <v>46</v>
      </c>
      <c r="F225" s="89">
        <v>100001709</v>
      </c>
      <c r="G225" s="128" t="s">
        <v>316</v>
      </c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 s="93">
        <v>0</v>
      </c>
      <c r="X225" s="129">
        <v>0</v>
      </c>
      <c r="Y225" s="93">
        <v>8.16</v>
      </c>
      <c r="Z225" s="129">
        <v>8.16</v>
      </c>
      <c r="AA225" s="155">
        <f t="shared" si="14"/>
        <v>4.08</v>
      </c>
      <c r="AB225" s="98">
        <f t="shared" si="14"/>
        <v>4.08</v>
      </c>
      <c r="AC225"/>
      <c r="AD225" s="97">
        <v>0</v>
      </c>
      <c r="AE225" s="92">
        <v>489.6</v>
      </c>
      <c r="AF225" s="98">
        <f t="shared" si="16"/>
        <v>489.6</v>
      </c>
      <c r="AG225" s="97">
        <v>0</v>
      </c>
      <c r="AH225" s="92">
        <v>163.19999999999999</v>
      </c>
      <c r="AI225" s="98">
        <f t="shared" si="13"/>
        <v>163.19999999999999</v>
      </c>
      <c r="AJ225" s="99">
        <f t="shared" si="15"/>
        <v>652.79999999999995</v>
      </c>
      <c r="AK225" s="102" t="str">
        <f>+IF(X225+W225+AJ225&lt;=0, "NO COMPRADOR", +IF(AJ225&lt;=0, "SIN COMPRA "&amp;+UPPER(TEXT('DINAMICA ENERO 26'!$C$2,"mmm 'yy")), "COMPRADOR"))</f>
        <v>COMPRADOR</v>
      </c>
      <c r="AM225" s="101"/>
    </row>
    <row r="226" spans="1:42" s="100" customFormat="1">
      <c r="A226" s="88" t="s">
        <v>85</v>
      </c>
      <c r="B226" s="89" t="s">
        <v>315</v>
      </c>
      <c r="C226" s="89" t="s">
        <v>43</v>
      </c>
      <c r="D226" s="103">
        <v>100063546</v>
      </c>
      <c r="E226" s="89" t="s">
        <v>46</v>
      </c>
      <c r="F226" s="89">
        <v>100001939</v>
      </c>
      <c r="G226" s="128" t="s">
        <v>317</v>
      </c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 s="93">
        <v>0</v>
      </c>
      <c r="X226" s="129">
        <v>0</v>
      </c>
      <c r="Y226" s="93">
        <v>0</v>
      </c>
      <c r="Z226" s="129">
        <v>0</v>
      </c>
      <c r="AA226" s="155">
        <f t="shared" si="14"/>
        <v>0</v>
      </c>
      <c r="AB226" s="98">
        <f t="shared" si="14"/>
        <v>0</v>
      </c>
      <c r="AC226"/>
      <c r="AD226" s="97">
        <v>0</v>
      </c>
      <c r="AE226" s="92">
        <v>807.84</v>
      </c>
      <c r="AF226" s="98">
        <f t="shared" si="16"/>
        <v>807.84</v>
      </c>
      <c r="AG226" s="97">
        <v>0</v>
      </c>
      <c r="AH226" s="92">
        <v>807.84</v>
      </c>
      <c r="AI226" s="98">
        <f t="shared" si="13"/>
        <v>807.84</v>
      </c>
      <c r="AJ226" s="99">
        <f t="shared" si="15"/>
        <v>1615.68</v>
      </c>
      <c r="AK226" s="102" t="str">
        <f>+IF(X226+W226+AJ226&lt;=0, "NO COMPRADOR", +IF(AJ226&lt;=0, "SIN COMPRA "&amp;+UPPER(TEXT('DINAMICA ENERO 26'!$C$2,"mmm 'yy")), "COMPRADOR"))</f>
        <v>COMPRADOR</v>
      </c>
      <c r="AM226" s="101"/>
    </row>
    <row r="227" spans="1:42" s="100" customFormat="1">
      <c r="A227" s="88" t="s">
        <v>85</v>
      </c>
      <c r="B227" s="89" t="s">
        <v>315</v>
      </c>
      <c r="C227" s="89" t="s">
        <v>43</v>
      </c>
      <c r="D227" s="103">
        <v>100063546</v>
      </c>
      <c r="E227" s="89" t="s">
        <v>46</v>
      </c>
      <c r="F227" s="89">
        <v>100065432</v>
      </c>
      <c r="G227" s="128" t="s">
        <v>318</v>
      </c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 s="93">
        <v>0</v>
      </c>
      <c r="X227" s="129">
        <v>0</v>
      </c>
      <c r="Y227" s="93">
        <v>8.16</v>
      </c>
      <c r="Z227" s="129">
        <v>8.16</v>
      </c>
      <c r="AA227" s="155">
        <f t="shared" si="14"/>
        <v>4.08</v>
      </c>
      <c r="AB227" s="98">
        <f t="shared" si="14"/>
        <v>4.08</v>
      </c>
      <c r="AC227"/>
      <c r="AD227" s="97">
        <v>0</v>
      </c>
      <c r="AE227" s="92">
        <v>0</v>
      </c>
      <c r="AF227" s="98">
        <f t="shared" si="16"/>
        <v>0</v>
      </c>
      <c r="AG227" s="97">
        <v>0</v>
      </c>
      <c r="AH227" s="92">
        <v>0</v>
      </c>
      <c r="AI227" s="98">
        <f t="shared" si="13"/>
        <v>0</v>
      </c>
      <c r="AJ227" s="99">
        <f t="shared" si="15"/>
        <v>0</v>
      </c>
      <c r="AK227" s="102" t="str">
        <f>+IF(X227+W227+AJ227&lt;=0, "NO COMPRADOR", +IF(AJ227&lt;=0, "SIN COMPRA "&amp;+UPPER(TEXT('DINAMICA ENERO 26'!$C$2,"mmm 'yy")), "COMPRADOR"))</f>
        <v>NO COMPRADOR</v>
      </c>
      <c r="AM227" s="101"/>
    </row>
    <row r="228" spans="1:42" s="100" customFormat="1">
      <c r="A228" s="88" t="s">
        <v>85</v>
      </c>
      <c r="B228" s="89" t="s">
        <v>315</v>
      </c>
      <c r="C228" s="89" t="s">
        <v>43</v>
      </c>
      <c r="D228" s="103">
        <v>100063546</v>
      </c>
      <c r="E228" s="89" t="s">
        <v>46</v>
      </c>
      <c r="F228" s="89">
        <v>100084929</v>
      </c>
      <c r="G228" s="128" t="s">
        <v>319</v>
      </c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 s="93">
        <v>0</v>
      </c>
      <c r="X228" s="129">
        <v>0</v>
      </c>
      <c r="Y228" s="93">
        <v>0</v>
      </c>
      <c r="Z228" s="129">
        <v>0</v>
      </c>
      <c r="AA228" s="155">
        <f t="shared" si="14"/>
        <v>0</v>
      </c>
      <c r="AB228" s="98">
        <f t="shared" si="14"/>
        <v>0</v>
      </c>
      <c r="AC228"/>
      <c r="AD228" s="97">
        <v>0</v>
      </c>
      <c r="AE228" s="92">
        <v>0</v>
      </c>
      <c r="AF228" s="98">
        <f t="shared" si="16"/>
        <v>0</v>
      </c>
      <c r="AG228" s="97">
        <v>0</v>
      </c>
      <c r="AH228" s="92">
        <v>0</v>
      </c>
      <c r="AI228" s="98">
        <f t="shared" si="13"/>
        <v>0</v>
      </c>
      <c r="AJ228" s="99">
        <f t="shared" si="15"/>
        <v>0</v>
      </c>
      <c r="AK228" s="102" t="str">
        <f>+IF(X228+W228+AJ228&lt;=0, "NO COMPRADOR", +IF(AJ228&lt;=0, "SIN COMPRA "&amp;+UPPER(TEXT('DINAMICA ENERO 26'!$C$2,"mmm 'yy")), "COMPRADOR"))</f>
        <v>NO COMPRADOR</v>
      </c>
      <c r="AM228" s="101"/>
    </row>
    <row r="229" spans="1:42" s="104" customFormat="1">
      <c r="A229" s="88" t="s">
        <v>85</v>
      </c>
      <c r="B229" s="89" t="s">
        <v>315</v>
      </c>
      <c r="C229" s="89" t="s">
        <v>43</v>
      </c>
      <c r="D229" s="103">
        <v>100063546</v>
      </c>
      <c r="E229" s="89" t="s">
        <v>46</v>
      </c>
      <c r="F229" s="89">
        <v>100001196</v>
      </c>
      <c r="G229" s="128" t="s">
        <v>320</v>
      </c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 s="93">
        <v>0</v>
      </c>
      <c r="X229" s="129">
        <v>0</v>
      </c>
      <c r="Y229" s="93">
        <v>0</v>
      </c>
      <c r="Z229" s="129">
        <v>0</v>
      </c>
      <c r="AA229" s="155">
        <f t="shared" si="14"/>
        <v>0</v>
      </c>
      <c r="AB229" s="98">
        <f t="shared" si="14"/>
        <v>0</v>
      </c>
      <c r="AC229"/>
      <c r="AD229" s="97">
        <v>0</v>
      </c>
      <c r="AE229" s="92">
        <v>0</v>
      </c>
      <c r="AF229" s="98">
        <f t="shared" si="16"/>
        <v>0</v>
      </c>
      <c r="AG229" s="97">
        <v>0</v>
      </c>
      <c r="AH229" s="92">
        <v>0</v>
      </c>
      <c r="AI229" s="98">
        <f t="shared" si="13"/>
        <v>0</v>
      </c>
      <c r="AJ229" s="99">
        <f t="shared" si="15"/>
        <v>0</v>
      </c>
      <c r="AK229" s="102" t="str">
        <f>+IF(X229+W229+AJ229&lt;=0, "NO COMPRADOR", +IF(AJ229&lt;=0, "SIN COMPRA "&amp;+UPPER(TEXT('DINAMICA ENERO 26'!$C$2,"mmm 'yy")), "COMPRADOR"))</f>
        <v>NO COMPRADOR</v>
      </c>
      <c r="AL229" s="100"/>
      <c r="AM229" s="101"/>
      <c r="AN229" s="100"/>
      <c r="AO229" s="100"/>
      <c r="AP229" s="100"/>
    </row>
    <row r="230" spans="1:42" s="100" customFormat="1">
      <c r="A230" s="88" t="s">
        <v>85</v>
      </c>
      <c r="B230" s="89" t="s">
        <v>315</v>
      </c>
      <c r="C230" s="89" t="s">
        <v>43</v>
      </c>
      <c r="D230" s="103">
        <v>100063546</v>
      </c>
      <c r="E230" s="89" t="s">
        <v>46</v>
      </c>
      <c r="F230" s="89">
        <v>100005901</v>
      </c>
      <c r="G230" s="128" t="s">
        <v>321</v>
      </c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 s="93">
        <v>0</v>
      </c>
      <c r="X230" s="129">
        <v>0</v>
      </c>
      <c r="Y230" s="93">
        <v>310.07999999999993</v>
      </c>
      <c r="Z230" s="129">
        <v>310.07999999999993</v>
      </c>
      <c r="AA230" s="155">
        <f t="shared" si="14"/>
        <v>155.03999999999996</v>
      </c>
      <c r="AB230" s="98">
        <f t="shared" si="14"/>
        <v>155.03999999999996</v>
      </c>
      <c r="AC230"/>
      <c r="AD230" s="97">
        <v>-40.799999999999997</v>
      </c>
      <c r="AE230" s="92">
        <v>0</v>
      </c>
      <c r="AF230" s="98">
        <f t="shared" si="16"/>
        <v>-40.799999999999997</v>
      </c>
      <c r="AG230" s="97">
        <v>-40.799999999999997</v>
      </c>
      <c r="AH230" s="92">
        <v>0</v>
      </c>
      <c r="AI230" s="98">
        <f t="shared" si="13"/>
        <v>-40.799999999999997</v>
      </c>
      <c r="AJ230" s="99">
        <f t="shared" si="15"/>
        <v>-81.599999999999994</v>
      </c>
      <c r="AK230" s="102" t="str">
        <f>+IF(X230+W230+AJ230&lt;=0, "NO COMPRADOR", +IF(AJ230&lt;=0, "SIN COMPRA "&amp;+UPPER(TEXT('DINAMICA ENERO 26'!$C$2,"mmm 'yy")), "COMPRADOR"))</f>
        <v>NO COMPRADOR</v>
      </c>
      <c r="AM230" s="101"/>
    </row>
    <row r="231" spans="1:42" s="100" customFormat="1">
      <c r="A231" s="88" t="s">
        <v>85</v>
      </c>
      <c r="B231" s="89" t="s">
        <v>315</v>
      </c>
      <c r="C231" s="89" t="s">
        <v>43</v>
      </c>
      <c r="D231" s="103">
        <v>100063546</v>
      </c>
      <c r="E231" s="89" t="s">
        <v>46</v>
      </c>
      <c r="F231" s="89">
        <v>100015382</v>
      </c>
      <c r="G231" s="128" t="s">
        <v>322</v>
      </c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 s="93">
        <v>0</v>
      </c>
      <c r="X231" s="129">
        <v>0</v>
      </c>
      <c r="Y231" s="93">
        <v>0</v>
      </c>
      <c r="Z231" s="129">
        <v>0</v>
      </c>
      <c r="AA231" s="155">
        <f t="shared" si="14"/>
        <v>0</v>
      </c>
      <c r="AB231" s="98">
        <f t="shared" si="14"/>
        <v>0</v>
      </c>
      <c r="AC231"/>
      <c r="AD231" s="97">
        <v>0</v>
      </c>
      <c r="AE231" s="92">
        <v>0</v>
      </c>
      <c r="AF231" s="98">
        <f t="shared" si="16"/>
        <v>0</v>
      </c>
      <c r="AG231" s="97">
        <v>0</v>
      </c>
      <c r="AH231" s="92">
        <v>0</v>
      </c>
      <c r="AI231" s="98">
        <f t="shared" ref="AI231:AI294" si="17">+AG231+AH231</f>
        <v>0</v>
      </c>
      <c r="AJ231" s="99">
        <f t="shared" si="15"/>
        <v>0</v>
      </c>
      <c r="AK231" s="102" t="str">
        <f>+IF(X231+W231+AJ231&lt;=0, "NO COMPRADOR", +IF(AJ231&lt;=0, "SIN COMPRA "&amp;+UPPER(TEXT('DINAMICA ENERO 26'!$C$2,"mmm 'yy")), "COMPRADOR"))</f>
        <v>NO COMPRADOR</v>
      </c>
      <c r="AM231" s="101"/>
    </row>
    <row r="232" spans="1:42" s="104" customFormat="1">
      <c r="A232" s="88" t="s">
        <v>85</v>
      </c>
      <c r="B232" s="89" t="s">
        <v>315</v>
      </c>
      <c r="C232" s="89" t="s">
        <v>43</v>
      </c>
      <c r="D232" s="103">
        <v>100063546</v>
      </c>
      <c r="E232" s="89" t="s">
        <v>46</v>
      </c>
      <c r="F232" s="89">
        <v>100001715</v>
      </c>
      <c r="G232" s="128" t="s">
        <v>323</v>
      </c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 s="93">
        <v>0</v>
      </c>
      <c r="X232" s="129">
        <v>326.39999999999998</v>
      </c>
      <c r="Y232" s="93">
        <v>0</v>
      </c>
      <c r="Z232" s="129">
        <v>0</v>
      </c>
      <c r="AA232" s="155">
        <f t="shared" si="14"/>
        <v>0</v>
      </c>
      <c r="AB232" s="98">
        <f t="shared" si="14"/>
        <v>163.19999999999999</v>
      </c>
      <c r="AC232"/>
      <c r="AD232" s="97">
        <v>0</v>
      </c>
      <c r="AE232" s="92">
        <v>0</v>
      </c>
      <c r="AF232" s="98">
        <f t="shared" si="16"/>
        <v>0</v>
      </c>
      <c r="AG232" s="97">
        <v>0</v>
      </c>
      <c r="AH232" s="92">
        <v>0</v>
      </c>
      <c r="AI232" s="98">
        <f t="shared" si="17"/>
        <v>0</v>
      </c>
      <c r="AJ232" s="99">
        <f t="shared" si="15"/>
        <v>0</v>
      </c>
      <c r="AK232" s="102" t="str">
        <f>+IF(X232+W232+AJ232&lt;=0, "NO COMPRADOR", +IF(AJ232&lt;=0, "SIN COMPRA "&amp;+UPPER(TEXT('DINAMICA ENERO 26'!$C$2,"mmm 'yy")), "COMPRADOR"))</f>
        <v>SIN COMPRA FEB '26</v>
      </c>
      <c r="AL232" s="100"/>
      <c r="AM232" s="101"/>
      <c r="AN232" s="100"/>
      <c r="AO232" s="100"/>
      <c r="AP232" s="100"/>
    </row>
    <row r="233" spans="1:42" s="100" customFormat="1">
      <c r="A233" s="88" t="s">
        <v>85</v>
      </c>
      <c r="B233" s="89" t="s">
        <v>315</v>
      </c>
      <c r="C233" s="89" t="s">
        <v>43</v>
      </c>
      <c r="D233" s="103">
        <v>100063546</v>
      </c>
      <c r="E233" s="89" t="s">
        <v>46</v>
      </c>
      <c r="F233" s="89">
        <v>100001825</v>
      </c>
      <c r="G233" s="128" t="s">
        <v>324</v>
      </c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 s="93">
        <v>0</v>
      </c>
      <c r="X233" s="129">
        <v>0</v>
      </c>
      <c r="Y233" s="93">
        <v>0</v>
      </c>
      <c r="Z233" s="129">
        <v>0</v>
      </c>
      <c r="AA233" s="155">
        <f t="shared" si="14"/>
        <v>0</v>
      </c>
      <c r="AB233" s="98">
        <f t="shared" si="14"/>
        <v>0</v>
      </c>
      <c r="AC233"/>
      <c r="AD233" s="97">
        <v>0</v>
      </c>
      <c r="AE233" s="92">
        <v>0</v>
      </c>
      <c r="AF233" s="98">
        <f t="shared" si="16"/>
        <v>0</v>
      </c>
      <c r="AG233" s="97">
        <v>0</v>
      </c>
      <c r="AH233" s="92">
        <v>0</v>
      </c>
      <c r="AI233" s="98">
        <f t="shared" si="17"/>
        <v>0</v>
      </c>
      <c r="AJ233" s="99">
        <f t="shared" si="15"/>
        <v>0</v>
      </c>
      <c r="AK233" s="102" t="str">
        <f>+IF(X233+W233+AJ233&lt;=0, "NO COMPRADOR", +IF(AJ233&lt;=0, "SIN COMPRA "&amp;+UPPER(TEXT('DINAMICA ENERO 26'!$C$2,"mmm 'yy")), "COMPRADOR"))</f>
        <v>NO COMPRADOR</v>
      </c>
      <c r="AM233" s="101"/>
    </row>
    <row r="234" spans="1:42" s="100" customFormat="1">
      <c r="A234" s="88" t="s">
        <v>85</v>
      </c>
      <c r="B234" s="89" t="s">
        <v>315</v>
      </c>
      <c r="C234" s="89" t="s">
        <v>43</v>
      </c>
      <c r="D234" s="103">
        <v>100063546</v>
      </c>
      <c r="E234" s="89" t="s">
        <v>46</v>
      </c>
      <c r="F234" s="89">
        <v>100071034</v>
      </c>
      <c r="G234" s="128" t="s">
        <v>325</v>
      </c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 s="93">
        <v>0</v>
      </c>
      <c r="X234" s="129">
        <v>0</v>
      </c>
      <c r="Y234" s="93">
        <v>0</v>
      </c>
      <c r="Z234" s="129">
        <v>0</v>
      </c>
      <c r="AA234" s="155">
        <f t="shared" si="14"/>
        <v>0</v>
      </c>
      <c r="AB234" s="98">
        <f t="shared" si="14"/>
        <v>0</v>
      </c>
      <c r="AC234"/>
      <c r="AD234" s="97">
        <v>0</v>
      </c>
      <c r="AE234" s="92">
        <v>0</v>
      </c>
      <c r="AF234" s="98">
        <f t="shared" si="16"/>
        <v>0</v>
      </c>
      <c r="AG234" s="97">
        <v>0</v>
      </c>
      <c r="AH234" s="92">
        <v>0</v>
      </c>
      <c r="AI234" s="98">
        <f t="shared" si="17"/>
        <v>0</v>
      </c>
      <c r="AJ234" s="99">
        <f t="shared" si="15"/>
        <v>0</v>
      </c>
      <c r="AK234" s="102" t="str">
        <f>+IF(X234+W234+AJ234&lt;=0, "NO COMPRADOR", +IF(AJ234&lt;=0, "SIN COMPRA "&amp;+UPPER(TEXT('DINAMICA ENERO 26'!$C$2,"mmm 'yy")), "COMPRADOR"))</f>
        <v>NO COMPRADOR</v>
      </c>
      <c r="AM234" s="101"/>
    </row>
    <row r="235" spans="1:42" s="100" customFormat="1">
      <c r="A235" s="88" t="s">
        <v>85</v>
      </c>
      <c r="B235" s="89" t="s">
        <v>315</v>
      </c>
      <c r="C235" s="89" t="s">
        <v>43</v>
      </c>
      <c r="D235" s="103">
        <v>100063546</v>
      </c>
      <c r="E235" s="89" t="s">
        <v>46</v>
      </c>
      <c r="F235" s="89">
        <v>100001510</v>
      </c>
      <c r="G235" s="128" t="s">
        <v>326</v>
      </c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 s="93">
        <v>0</v>
      </c>
      <c r="X235" s="129">
        <v>0</v>
      </c>
      <c r="Y235" s="93">
        <v>0</v>
      </c>
      <c r="Z235" s="129">
        <v>0</v>
      </c>
      <c r="AA235" s="155">
        <f t="shared" si="14"/>
        <v>0</v>
      </c>
      <c r="AB235" s="98">
        <f t="shared" si="14"/>
        <v>0</v>
      </c>
      <c r="AC235"/>
      <c r="AD235" s="97">
        <v>0</v>
      </c>
      <c r="AE235" s="92">
        <v>0</v>
      </c>
      <c r="AF235" s="98">
        <f t="shared" si="16"/>
        <v>0</v>
      </c>
      <c r="AG235" s="97">
        <v>0</v>
      </c>
      <c r="AH235" s="92">
        <v>0</v>
      </c>
      <c r="AI235" s="98">
        <f t="shared" si="17"/>
        <v>0</v>
      </c>
      <c r="AJ235" s="99">
        <f t="shared" si="15"/>
        <v>0</v>
      </c>
      <c r="AK235" s="102" t="str">
        <f>+IF(X235+W235+AJ235&lt;=0, "NO COMPRADOR", +IF(AJ235&lt;=0, "SIN COMPRA "&amp;+UPPER(TEXT('DINAMICA ENERO 26'!$C$2,"mmm 'yy")), "COMPRADOR"))</f>
        <v>NO COMPRADOR</v>
      </c>
      <c r="AM235" s="101"/>
    </row>
    <row r="236" spans="1:42" s="104" customFormat="1">
      <c r="A236" s="88" t="s">
        <v>85</v>
      </c>
      <c r="B236" s="89" t="s">
        <v>315</v>
      </c>
      <c r="C236" s="89" t="s">
        <v>43</v>
      </c>
      <c r="D236" s="103">
        <v>100063546</v>
      </c>
      <c r="E236" s="89" t="s">
        <v>46</v>
      </c>
      <c r="F236" s="89">
        <v>100086920</v>
      </c>
      <c r="G236" s="128" t="s">
        <v>327</v>
      </c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 s="93">
        <v>0</v>
      </c>
      <c r="X236" s="129">
        <v>0</v>
      </c>
      <c r="Y236" s="93">
        <v>0</v>
      </c>
      <c r="Z236" s="129">
        <v>0</v>
      </c>
      <c r="AA236" s="155">
        <f t="shared" si="14"/>
        <v>0</v>
      </c>
      <c r="AB236" s="98">
        <f t="shared" si="14"/>
        <v>0</v>
      </c>
      <c r="AC236"/>
      <c r="AD236" s="97">
        <v>0</v>
      </c>
      <c r="AE236" s="92">
        <v>0</v>
      </c>
      <c r="AF236" s="98">
        <f t="shared" si="16"/>
        <v>0</v>
      </c>
      <c r="AG236" s="97">
        <v>0</v>
      </c>
      <c r="AH236" s="92">
        <v>0</v>
      </c>
      <c r="AI236" s="98">
        <f t="shared" si="17"/>
        <v>0</v>
      </c>
      <c r="AJ236" s="99">
        <f t="shared" si="15"/>
        <v>0</v>
      </c>
      <c r="AK236" s="102" t="str">
        <f>+IF(X236+W236+AJ236&lt;=0, "NO COMPRADOR", +IF(AJ236&lt;=0, "SIN COMPRA "&amp;+UPPER(TEXT('DINAMICA ENERO 26'!$C$2,"mmm 'yy")), "COMPRADOR"))</f>
        <v>NO COMPRADOR</v>
      </c>
      <c r="AL236" s="100"/>
      <c r="AM236" s="101"/>
      <c r="AN236" s="100"/>
      <c r="AO236" s="100"/>
      <c r="AP236" s="100"/>
    </row>
    <row r="237" spans="1:42" s="100" customFormat="1">
      <c r="A237" s="88" t="s">
        <v>85</v>
      </c>
      <c r="B237" s="89" t="s">
        <v>315</v>
      </c>
      <c r="C237" s="89" t="s">
        <v>43</v>
      </c>
      <c r="D237" s="103">
        <v>100063546</v>
      </c>
      <c r="E237" s="89" t="s">
        <v>46</v>
      </c>
      <c r="F237" s="89">
        <v>100076015</v>
      </c>
      <c r="G237" s="128" t="s">
        <v>328</v>
      </c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 s="93">
        <v>0</v>
      </c>
      <c r="X237" s="129">
        <v>0</v>
      </c>
      <c r="Y237" s="93">
        <v>8.16</v>
      </c>
      <c r="Z237" s="129">
        <v>8.16</v>
      </c>
      <c r="AA237" s="155">
        <f t="shared" si="14"/>
        <v>4.08</v>
      </c>
      <c r="AB237" s="98">
        <f t="shared" si="14"/>
        <v>4.08</v>
      </c>
      <c r="AC237"/>
      <c r="AD237" s="97">
        <v>24.48</v>
      </c>
      <c r="AE237" s="92">
        <v>0</v>
      </c>
      <c r="AF237" s="98">
        <f t="shared" si="16"/>
        <v>24.48</v>
      </c>
      <c r="AG237" s="97">
        <v>8.16</v>
      </c>
      <c r="AH237" s="92">
        <v>0</v>
      </c>
      <c r="AI237" s="98">
        <f t="shared" si="17"/>
        <v>8.16</v>
      </c>
      <c r="AJ237" s="99">
        <f t="shared" si="15"/>
        <v>32.64</v>
      </c>
      <c r="AK237" s="102" t="str">
        <f>+IF(X237+W237+AJ237&lt;=0, "NO COMPRADOR", +IF(AJ237&lt;=0, "SIN COMPRA "&amp;+UPPER(TEXT('DINAMICA ENERO 26'!$C$2,"mmm 'yy")), "COMPRADOR"))</f>
        <v>COMPRADOR</v>
      </c>
      <c r="AM237" s="101"/>
    </row>
    <row r="238" spans="1:42" s="104" customFormat="1">
      <c r="A238" s="88" t="s">
        <v>85</v>
      </c>
      <c r="B238" s="89" t="s">
        <v>315</v>
      </c>
      <c r="C238" s="89" t="s">
        <v>43</v>
      </c>
      <c r="D238" s="103">
        <v>100063546</v>
      </c>
      <c r="E238" s="89" t="s">
        <v>46</v>
      </c>
      <c r="F238" s="89">
        <v>100071319</v>
      </c>
      <c r="G238" s="128" t="s">
        <v>329</v>
      </c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 s="93">
        <v>0</v>
      </c>
      <c r="X238" s="129">
        <v>0</v>
      </c>
      <c r="Y238" s="93">
        <v>0</v>
      </c>
      <c r="Z238" s="129">
        <v>0</v>
      </c>
      <c r="AA238" s="155">
        <f t="shared" si="14"/>
        <v>0</v>
      </c>
      <c r="AB238" s="98">
        <f t="shared" si="14"/>
        <v>0</v>
      </c>
      <c r="AC238"/>
      <c r="AD238" s="97">
        <v>0</v>
      </c>
      <c r="AE238" s="92">
        <v>0</v>
      </c>
      <c r="AF238" s="98">
        <f t="shared" si="16"/>
        <v>0</v>
      </c>
      <c r="AG238" s="97">
        <v>0</v>
      </c>
      <c r="AH238" s="92">
        <v>0</v>
      </c>
      <c r="AI238" s="98">
        <f t="shared" si="17"/>
        <v>0</v>
      </c>
      <c r="AJ238" s="99">
        <f t="shared" si="15"/>
        <v>0</v>
      </c>
      <c r="AK238" s="102" t="str">
        <f>+IF(X238+W238+AJ238&lt;=0, "NO COMPRADOR", +IF(AJ238&lt;=0, "SIN COMPRA "&amp;+UPPER(TEXT('DINAMICA ENERO 26'!$C$2,"mmm 'yy")), "COMPRADOR"))</f>
        <v>NO COMPRADOR</v>
      </c>
      <c r="AL238" s="100"/>
      <c r="AM238" s="101"/>
      <c r="AN238" s="100"/>
      <c r="AO238" s="100"/>
      <c r="AP238" s="100"/>
    </row>
    <row r="239" spans="1:42" s="100" customFormat="1">
      <c r="A239" s="88" t="s">
        <v>85</v>
      </c>
      <c r="B239" s="89" t="s">
        <v>315</v>
      </c>
      <c r="C239" s="89" t="s">
        <v>43</v>
      </c>
      <c r="D239" s="103">
        <v>100063546</v>
      </c>
      <c r="E239" s="89" t="s">
        <v>46</v>
      </c>
      <c r="F239" s="89">
        <v>100069083</v>
      </c>
      <c r="G239" s="128" t="s">
        <v>330</v>
      </c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 s="93">
        <v>0</v>
      </c>
      <c r="X239" s="129">
        <v>0</v>
      </c>
      <c r="Y239" s="93">
        <v>0</v>
      </c>
      <c r="Z239" s="129">
        <v>8.16</v>
      </c>
      <c r="AA239" s="155">
        <f t="shared" si="14"/>
        <v>0</v>
      </c>
      <c r="AB239" s="98">
        <f t="shared" si="14"/>
        <v>4.08</v>
      </c>
      <c r="AC239"/>
      <c r="AD239" s="97">
        <v>0</v>
      </c>
      <c r="AE239" s="92">
        <v>0</v>
      </c>
      <c r="AF239" s="98">
        <f t="shared" si="16"/>
        <v>0</v>
      </c>
      <c r="AG239" s="97">
        <v>0</v>
      </c>
      <c r="AH239" s="92">
        <v>0</v>
      </c>
      <c r="AI239" s="98">
        <f t="shared" si="17"/>
        <v>0</v>
      </c>
      <c r="AJ239" s="99">
        <f t="shared" si="15"/>
        <v>0</v>
      </c>
      <c r="AK239" s="102" t="str">
        <f>+IF(X239+W239+AJ239&lt;=0, "NO COMPRADOR", +IF(AJ239&lt;=0, "SIN COMPRA "&amp;+UPPER(TEXT('DINAMICA ENERO 26'!$C$2,"mmm 'yy")), "COMPRADOR"))</f>
        <v>NO COMPRADOR</v>
      </c>
      <c r="AM239" s="101"/>
    </row>
    <row r="240" spans="1:42" s="100" customFormat="1">
      <c r="A240" s="88" t="s">
        <v>85</v>
      </c>
      <c r="B240" s="89" t="s">
        <v>315</v>
      </c>
      <c r="C240" s="89" t="s">
        <v>43</v>
      </c>
      <c r="D240" s="103">
        <v>100063546</v>
      </c>
      <c r="E240" s="89" t="s">
        <v>46</v>
      </c>
      <c r="F240" s="89">
        <v>100072087</v>
      </c>
      <c r="G240" s="128" t="s">
        <v>331</v>
      </c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 s="93">
        <v>0</v>
      </c>
      <c r="X240" s="129">
        <v>0</v>
      </c>
      <c r="Y240" s="93">
        <v>8.16</v>
      </c>
      <c r="Z240" s="129">
        <v>8.16</v>
      </c>
      <c r="AA240" s="155">
        <f t="shared" si="14"/>
        <v>4.08</v>
      </c>
      <c r="AB240" s="98">
        <f t="shared" si="14"/>
        <v>4.08</v>
      </c>
      <c r="AC240"/>
      <c r="AD240" s="97">
        <v>16.32</v>
      </c>
      <c r="AE240" s="92">
        <v>0</v>
      </c>
      <c r="AF240" s="98">
        <f t="shared" si="16"/>
        <v>16.32</v>
      </c>
      <c r="AG240" s="97">
        <v>16.32</v>
      </c>
      <c r="AH240" s="92">
        <v>0</v>
      </c>
      <c r="AI240" s="98">
        <f t="shared" si="17"/>
        <v>16.32</v>
      </c>
      <c r="AJ240" s="99">
        <f t="shared" si="15"/>
        <v>32.64</v>
      </c>
      <c r="AK240" s="102" t="str">
        <f>+IF(X240+W240+AJ240&lt;=0, "NO COMPRADOR", +IF(AJ240&lt;=0, "SIN COMPRA "&amp;+UPPER(TEXT('DINAMICA ENERO 26'!$C$2,"mmm 'yy")), "COMPRADOR"))</f>
        <v>COMPRADOR</v>
      </c>
      <c r="AM240" s="101"/>
    </row>
    <row r="241" spans="1:42" s="100" customFormat="1">
      <c r="A241" s="88" t="s">
        <v>85</v>
      </c>
      <c r="B241" s="89" t="s">
        <v>315</v>
      </c>
      <c r="C241" s="89" t="s">
        <v>43</v>
      </c>
      <c r="D241" s="103">
        <v>100063546</v>
      </c>
      <c r="E241" s="89" t="s">
        <v>46</v>
      </c>
      <c r="F241" s="89">
        <v>100078525</v>
      </c>
      <c r="G241" s="128" t="s">
        <v>332</v>
      </c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 s="93">
        <v>8.16</v>
      </c>
      <c r="X241" s="129">
        <v>8.16</v>
      </c>
      <c r="Y241" s="93">
        <v>0</v>
      </c>
      <c r="Z241" s="129">
        <v>0</v>
      </c>
      <c r="AA241" s="155">
        <f t="shared" si="14"/>
        <v>4.08</v>
      </c>
      <c r="AB241" s="98">
        <f t="shared" si="14"/>
        <v>4.08</v>
      </c>
      <c r="AC241"/>
      <c r="AD241" s="97">
        <v>0</v>
      </c>
      <c r="AE241" s="92">
        <v>0</v>
      </c>
      <c r="AF241" s="98">
        <f t="shared" si="16"/>
        <v>0</v>
      </c>
      <c r="AG241" s="97">
        <v>0</v>
      </c>
      <c r="AH241" s="92">
        <v>0</v>
      </c>
      <c r="AI241" s="98">
        <f t="shared" si="17"/>
        <v>0</v>
      </c>
      <c r="AJ241" s="99">
        <f t="shared" si="15"/>
        <v>0</v>
      </c>
      <c r="AK241" s="102" t="str">
        <f>+IF(X241+W241+AJ241&lt;=0, "NO COMPRADOR", +IF(AJ241&lt;=0, "SIN COMPRA "&amp;+UPPER(TEXT('DINAMICA ENERO 26'!$C$2,"mmm 'yy")), "COMPRADOR"))</f>
        <v>SIN COMPRA FEB '26</v>
      </c>
      <c r="AM241" s="101"/>
    </row>
    <row r="242" spans="1:42" s="100" customFormat="1">
      <c r="A242" s="88" t="s">
        <v>85</v>
      </c>
      <c r="B242" s="89" t="s">
        <v>315</v>
      </c>
      <c r="C242" s="89" t="s">
        <v>43</v>
      </c>
      <c r="D242" s="103">
        <v>100063546</v>
      </c>
      <c r="E242" s="89" t="s">
        <v>46</v>
      </c>
      <c r="F242" s="89">
        <v>100078986</v>
      </c>
      <c r="G242" s="128" t="s">
        <v>333</v>
      </c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 s="93">
        <v>0</v>
      </c>
      <c r="X242" s="129">
        <v>0</v>
      </c>
      <c r="Y242" s="93">
        <v>0</v>
      </c>
      <c r="Z242" s="129">
        <v>0</v>
      </c>
      <c r="AA242" s="155">
        <f t="shared" si="14"/>
        <v>0</v>
      </c>
      <c r="AB242" s="98">
        <f t="shared" si="14"/>
        <v>0</v>
      </c>
      <c r="AC242"/>
      <c r="AD242" s="97">
        <v>0</v>
      </c>
      <c r="AE242" s="92">
        <v>0</v>
      </c>
      <c r="AF242" s="98">
        <f t="shared" si="16"/>
        <v>0</v>
      </c>
      <c r="AG242" s="97">
        <v>0</v>
      </c>
      <c r="AH242" s="92">
        <v>0</v>
      </c>
      <c r="AI242" s="98">
        <f t="shared" si="17"/>
        <v>0</v>
      </c>
      <c r="AJ242" s="99">
        <f t="shared" si="15"/>
        <v>0</v>
      </c>
      <c r="AK242" s="102" t="str">
        <f>+IF(X242+W242+AJ242&lt;=0, "NO COMPRADOR", +IF(AJ242&lt;=0, "SIN COMPRA "&amp;+UPPER(TEXT('DINAMICA ENERO 26'!$C$2,"mmm 'yy")), "COMPRADOR"))</f>
        <v>NO COMPRADOR</v>
      </c>
      <c r="AM242" s="101"/>
    </row>
    <row r="243" spans="1:42" s="104" customFormat="1">
      <c r="A243" s="88" t="s">
        <v>85</v>
      </c>
      <c r="B243" s="89" t="s">
        <v>315</v>
      </c>
      <c r="C243" s="89" t="s">
        <v>43</v>
      </c>
      <c r="D243" s="103">
        <v>100063546</v>
      </c>
      <c r="E243" s="89" t="s">
        <v>46</v>
      </c>
      <c r="F243" s="89">
        <v>100053840</v>
      </c>
      <c r="G243" s="128" t="s">
        <v>334</v>
      </c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 s="93">
        <v>0</v>
      </c>
      <c r="X243" s="129">
        <v>0</v>
      </c>
      <c r="Y243" s="93">
        <v>8.16</v>
      </c>
      <c r="Z243" s="129">
        <v>8.16</v>
      </c>
      <c r="AA243" s="155">
        <f t="shared" si="14"/>
        <v>4.08</v>
      </c>
      <c r="AB243" s="98">
        <f t="shared" si="14"/>
        <v>4.08</v>
      </c>
      <c r="AC243"/>
      <c r="AD243" s="97">
        <v>-8.16</v>
      </c>
      <c r="AE243" s="92">
        <v>0</v>
      </c>
      <c r="AF243" s="98">
        <f t="shared" si="16"/>
        <v>-8.16</v>
      </c>
      <c r="AG243" s="97">
        <v>-8.16</v>
      </c>
      <c r="AH243" s="92">
        <v>0</v>
      </c>
      <c r="AI243" s="98">
        <f t="shared" si="17"/>
        <v>-8.16</v>
      </c>
      <c r="AJ243" s="99">
        <f t="shared" si="15"/>
        <v>-16.32</v>
      </c>
      <c r="AK243" s="102" t="str">
        <f>+IF(X243+W243+AJ243&lt;=0, "NO COMPRADOR", +IF(AJ243&lt;=0, "SIN COMPRA "&amp;+UPPER(TEXT('DINAMICA ENERO 26'!$C$2,"mmm 'yy")), "COMPRADOR"))</f>
        <v>NO COMPRADOR</v>
      </c>
      <c r="AL243" s="100"/>
      <c r="AM243" s="101"/>
      <c r="AN243" s="100"/>
      <c r="AO243" s="100"/>
      <c r="AP243" s="100"/>
    </row>
    <row r="244" spans="1:42" s="100" customFormat="1">
      <c r="A244" s="88" t="s">
        <v>85</v>
      </c>
      <c r="B244" s="89" t="s">
        <v>315</v>
      </c>
      <c r="C244" s="89" t="s">
        <v>43</v>
      </c>
      <c r="D244" s="103">
        <v>100063546</v>
      </c>
      <c r="E244" s="89" t="s">
        <v>46</v>
      </c>
      <c r="F244" s="89">
        <v>100084699</v>
      </c>
      <c r="G244" s="128" t="s">
        <v>335</v>
      </c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 s="93">
        <v>0</v>
      </c>
      <c r="X244" s="129">
        <v>0</v>
      </c>
      <c r="Y244" s="93">
        <v>8.16</v>
      </c>
      <c r="Z244" s="129">
        <v>8.16</v>
      </c>
      <c r="AA244" s="155">
        <f t="shared" si="14"/>
        <v>4.08</v>
      </c>
      <c r="AB244" s="98">
        <f t="shared" si="14"/>
        <v>4.08</v>
      </c>
      <c r="AC244"/>
      <c r="AD244" s="97">
        <v>0</v>
      </c>
      <c r="AE244" s="92">
        <v>0</v>
      </c>
      <c r="AF244" s="98">
        <f t="shared" si="16"/>
        <v>0</v>
      </c>
      <c r="AG244" s="97">
        <v>0</v>
      </c>
      <c r="AH244" s="92">
        <v>0</v>
      </c>
      <c r="AI244" s="98">
        <f t="shared" si="17"/>
        <v>0</v>
      </c>
      <c r="AJ244" s="99">
        <f t="shared" si="15"/>
        <v>0</v>
      </c>
      <c r="AK244" s="102" t="str">
        <f>+IF(X244+W244+AJ244&lt;=0, "NO COMPRADOR", +IF(AJ244&lt;=0, "SIN COMPRA "&amp;+UPPER(TEXT('DINAMICA ENERO 26'!$C$2,"mmm 'yy")), "COMPRADOR"))</f>
        <v>NO COMPRADOR</v>
      </c>
      <c r="AM244" s="101"/>
    </row>
    <row r="245" spans="1:42" s="104" customFormat="1">
      <c r="A245" s="88" t="s">
        <v>85</v>
      </c>
      <c r="B245" s="89" t="s">
        <v>315</v>
      </c>
      <c r="C245" s="89" t="s">
        <v>43</v>
      </c>
      <c r="D245" s="103">
        <v>100063546</v>
      </c>
      <c r="E245" s="89" t="s">
        <v>46</v>
      </c>
      <c r="F245" s="89">
        <v>100080253</v>
      </c>
      <c r="G245" s="128" t="s">
        <v>336</v>
      </c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 s="93">
        <v>0</v>
      </c>
      <c r="X245" s="129">
        <v>0</v>
      </c>
      <c r="Y245" s="93">
        <v>8.16</v>
      </c>
      <c r="Z245" s="129">
        <v>8.16</v>
      </c>
      <c r="AA245" s="155">
        <f t="shared" si="14"/>
        <v>4.08</v>
      </c>
      <c r="AB245" s="98">
        <f t="shared" si="14"/>
        <v>4.08</v>
      </c>
      <c r="AC245"/>
      <c r="AD245" s="97">
        <v>0</v>
      </c>
      <c r="AE245" s="92">
        <v>0</v>
      </c>
      <c r="AF245" s="98">
        <f t="shared" si="16"/>
        <v>0</v>
      </c>
      <c r="AG245" s="97">
        <v>0</v>
      </c>
      <c r="AH245" s="92">
        <v>0</v>
      </c>
      <c r="AI245" s="98">
        <f t="shared" si="17"/>
        <v>0</v>
      </c>
      <c r="AJ245" s="99">
        <f t="shared" si="15"/>
        <v>0</v>
      </c>
      <c r="AK245" s="102" t="str">
        <f>+IF(X245+W245+AJ245&lt;=0, "NO COMPRADOR", +IF(AJ245&lt;=0, "SIN COMPRA "&amp;+UPPER(TEXT('DINAMICA ENERO 26'!$C$2,"mmm 'yy")), "COMPRADOR"))</f>
        <v>NO COMPRADOR</v>
      </c>
      <c r="AL245" s="100"/>
      <c r="AM245" s="101"/>
      <c r="AN245" s="100"/>
      <c r="AO245" s="100"/>
      <c r="AP245" s="100"/>
    </row>
    <row r="246" spans="1:42" s="104" customFormat="1">
      <c r="A246" s="88" t="s">
        <v>85</v>
      </c>
      <c r="B246" s="89" t="s">
        <v>315</v>
      </c>
      <c r="C246" s="89" t="s">
        <v>43</v>
      </c>
      <c r="D246" s="103">
        <v>100063546</v>
      </c>
      <c r="E246" s="89" t="s">
        <v>46</v>
      </c>
      <c r="F246" s="89">
        <v>100089146</v>
      </c>
      <c r="G246" s="128" t="s">
        <v>337</v>
      </c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 s="93">
        <v>0</v>
      </c>
      <c r="X246" s="129">
        <v>0</v>
      </c>
      <c r="Y246" s="93">
        <v>0</v>
      </c>
      <c r="Z246" s="129">
        <v>0</v>
      </c>
      <c r="AA246" s="155">
        <f t="shared" si="14"/>
        <v>0</v>
      </c>
      <c r="AB246" s="98">
        <f t="shared" si="14"/>
        <v>0</v>
      </c>
      <c r="AC246"/>
      <c r="AD246" s="97">
        <v>0</v>
      </c>
      <c r="AE246" s="92">
        <v>0</v>
      </c>
      <c r="AF246" s="98">
        <f t="shared" si="16"/>
        <v>0</v>
      </c>
      <c r="AG246" s="97">
        <v>0</v>
      </c>
      <c r="AH246" s="92">
        <v>0</v>
      </c>
      <c r="AI246" s="98">
        <f t="shared" si="17"/>
        <v>0</v>
      </c>
      <c r="AJ246" s="99">
        <f t="shared" si="15"/>
        <v>0</v>
      </c>
      <c r="AK246" s="102" t="str">
        <f>+IF(X246+W246+AJ246&lt;=0, "NO COMPRADOR", +IF(AJ246&lt;=0, "SIN COMPRA "&amp;+UPPER(TEXT('DINAMICA ENERO 26'!$C$2,"mmm 'yy")), "COMPRADOR"))</f>
        <v>NO COMPRADOR</v>
      </c>
      <c r="AL246" s="100"/>
      <c r="AM246" s="101"/>
      <c r="AN246" s="100"/>
      <c r="AO246" s="100"/>
      <c r="AP246" s="100"/>
    </row>
    <row r="247" spans="1:42" s="100" customFormat="1">
      <c r="A247" s="88" t="s">
        <v>85</v>
      </c>
      <c r="B247" s="89" t="s">
        <v>315</v>
      </c>
      <c r="C247" s="89" t="s">
        <v>43</v>
      </c>
      <c r="D247" s="103">
        <v>100087724</v>
      </c>
      <c r="E247" s="89" t="s">
        <v>44</v>
      </c>
      <c r="F247" s="89">
        <v>100001196</v>
      </c>
      <c r="G247" s="128" t="s">
        <v>320</v>
      </c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 s="93">
        <v>0</v>
      </c>
      <c r="X247" s="129">
        <v>0</v>
      </c>
      <c r="Y247" s="93">
        <v>0</v>
      </c>
      <c r="Z247" s="129">
        <v>0</v>
      </c>
      <c r="AA247" s="155">
        <f t="shared" si="14"/>
        <v>0</v>
      </c>
      <c r="AB247" s="98">
        <f t="shared" si="14"/>
        <v>0</v>
      </c>
      <c r="AC247"/>
      <c r="AD247" s="97">
        <v>0</v>
      </c>
      <c r="AE247" s="92">
        <v>0</v>
      </c>
      <c r="AF247" s="98">
        <f t="shared" si="16"/>
        <v>0</v>
      </c>
      <c r="AG247" s="97">
        <v>0</v>
      </c>
      <c r="AH247" s="92">
        <v>0</v>
      </c>
      <c r="AI247" s="98">
        <f t="shared" si="17"/>
        <v>0</v>
      </c>
      <c r="AJ247" s="99">
        <f t="shared" si="15"/>
        <v>0</v>
      </c>
      <c r="AK247" s="102" t="str">
        <f>+IF(X247+W247+AJ247&lt;=0, "NO COMPRADOR", +IF(AJ247&lt;=0, "SIN COMPRA "&amp;+UPPER(TEXT('DINAMICA ENERO 26'!$C$2,"mmm 'yy")), "COMPRADOR"))</f>
        <v>NO COMPRADOR</v>
      </c>
      <c r="AM247" s="101"/>
    </row>
    <row r="248" spans="1:42" s="104" customFormat="1">
      <c r="A248" s="88" t="s">
        <v>85</v>
      </c>
      <c r="B248" s="89" t="s">
        <v>315</v>
      </c>
      <c r="C248" s="89" t="s">
        <v>43</v>
      </c>
      <c r="D248" s="103">
        <v>100087724</v>
      </c>
      <c r="E248" s="89" t="s">
        <v>44</v>
      </c>
      <c r="F248" s="89">
        <v>100001979</v>
      </c>
      <c r="G248" s="128" t="s">
        <v>290</v>
      </c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 s="93">
        <v>0</v>
      </c>
      <c r="X248" s="129">
        <v>0</v>
      </c>
      <c r="Y248" s="93">
        <v>0</v>
      </c>
      <c r="Z248" s="129">
        <v>0</v>
      </c>
      <c r="AA248" s="155">
        <f t="shared" si="14"/>
        <v>0</v>
      </c>
      <c r="AB248" s="98">
        <f t="shared" si="14"/>
        <v>0</v>
      </c>
      <c r="AC248"/>
      <c r="AD248" s="97">
        <v>0</v>
      </c>
      <c r="AE248" s="92">
        <v>0</v>
      </c>
      <c r="AF248" s="98">
        <f t="shared" si="16"/>
        <v>0</v>
      </c>
      <c r="AG248" s="97">
        <v>0</v>
      </c>
      <c r="AH248" s="92">
        <v>0</v>
      </c>
      <c r="AI248" s="98">
        <f t="shared" si="17"/>
        <v>0</v>
      </c>
      <c r="AJ248" s="99">
        <f t="shared" si="15"/>
        <v>0</v>
      </c>
      <c r="AK248" s="102" t="str">
        <f>+IF(X248+W248+AJ248&lt;=0, "NO COMPRADOR", +IF(AJ248&lt;=0, "SIN COMPRA "&amp;+UPPER(TEXT('DINAMICA ENERO 26'!$C$2,"mmm 'yy")), "COMPRADOR"))</f>
        <v>NO COMPRADOR</v>
      </c>
      <c r="AL248" s="100"/>
      <c r="AM248" s="101"/>
      <c r="AN248" s="100"/>
      <c r="AO248" s="100"/>
      <c r="AP248" s="100"/>
    </row>
    <row r="249" spans="1:42" s="100" customFormat="1">
      <c r="A249" s="88" t="s">
        <v>85</v>
      </c>
      <c r="B249" s="89" t="s">
        <v>315</v>
      </c>
      <c r="C249" s="89" t="s">
        <v>43</v>
      </c>
      <c r="D249" s="103">
        <v>100087724</v>
      </c>
      <c r="E249" s="89" t="s">
        <v>44</v>
      </c>
      <c r="F249" s="89">
        <v>100002471</v>
      </c>
      <c r="G249" s="128" t="s">
        <v>338</v>
      </c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 s="93">
        <v>0</v>
      </c>
      <c r="X249" s="129">
        <v>0</v>
      </c>
      <c r="Y249" s="93">
        <v>0</v>
      </c>
      <c r="Z249" s="129">
        <v>0</v>
      </c>
      <c r="AA249" s="155">
        <f t="shared" si="14"/>
        <v>0</v>
      </c>
      <c r="AB249" s="98">
        <f t="shared" si="14"/>
        <v>0</v>
      </c>
      <c r="AC249"/>
      <c r="AD249" s="97">
        <v>0</v>
      </c>
      <c r="AE249" s="92">
        <v>0</v>
      </c>
      <c r="AF249" s="98">
        <f t="shared" si="16"/>
        <v>0</v>
      </c>
      <c r="AG249" s="97">
        <v>0</v>
      </c>
      <c r="AH249" s="92">
        <v>0</v>
      </c>
      <c r="AI249" s="98">
        <f t="shared" si="17"/>
        <v>0</v>
      </c>
      <c r="AJ249" s="99">
        <f t="shared" si="15"/>
        <v>0</v>
      </c>
      <c r="AK249" s="102" t="str">
        <f>+IF(X249+W249+AJ249&lt;=0, "NO COMPRADOR", +IF(AJ249&lt;=0, "SIN COMPRA "&amp;+UPPER(TEXT('DINAMICA ENERO 26'!$C$2,"mmm 'yy")), "COMPRADOR"))</f>
        <v>NO COMPRADOR</v>
      </c>
      <c r="AM249" s="101"/>
    </row>
    <row r="250" spans="1:42" s="100" customFormat="1">
      <c r="A250" s="88" t="s">
        <v>85</v>
      </c>
      <c r="B250" s="89" t="s">
        <v>315</v>
      </c>
      <c r="C250" s="89" t="s">
        <v>43</v>
      </c>
      <c r="D250" s="103">
        <v>100087724</v>
      </c>
      <c r="E250" s="89" t="s">
        <v>44</v>
      </c>
      <c r="F250" s="89">
        <v>100005866</v>
      </c>
      <c r="G250" s="128" t="s">
        <v>339</v>
      </c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 s="93">
        <v>0</v>
      </c>
      <c r="X250" s="129">
        <v>0</v>
      </c>
      <c r="Y250" s="93">
        <v>0</v>
      </c>
      <c r="Z250" s="129">
        <v>0</v>
      </c>
      <c r="AA250" s="155">
        <f t="shared" si="14"/>
        <v>0</v>
      </c>
      <c r="AB250" s="98">
        <f t="shared" si="14"/>
        <v>0</v>
      </c>
      <c r="AC250"/>
      <c r="AD250" s="97">
        <v>0</v>
      </c>
      <c r="AE250" s="92">
        <v>0</v>
      </c>
      <c r="AF250" s="98">
        <f t="shared" si="16"/>
        <v>0</v>
      </c>
      <c r="AG250" s="97">
        <v>0</v>
      </c>
      <c r="AH250" s="92">
        <v>0</v>
      </c>
      <c r="AI250" s="98">
        <f t="shared" si="17"/>
        <v>0</v>
      </c>
      <c r="AJ250" s="99">
        <f t="shared" si="15"/>
        <v>0</v>
      </c>
      <c r="AK250" s="102" t="str">
        <f>+IF(X250+W250+AJ250&lt;=0, "NO COMPRADOR", +IF(AJ250&lt;=0, "SIN COMPRA "&amp;+UPPER(TEXT('DINAMICA ENERO 26'!$C$2,"mmm 'yy")), "COMPRADOR"))</f>
        <v>NO COMPRADOR</v>
      </c>
      <c r="AM250" s="101"/>
    </row>
    <row r="251" spans="1:42" s="100" customFormat="1">
      <c r="A251" s="88" t="s">
        <v>85</v>
      </c>
      <c r="B251" s="89" t="s">
        <v>315</v>
      </c>
      <c r="C251" s="89" t="s">
        <v>43</v>
      </c>
      <c r="D251" s="103">
        <v>100087724</v>
      </c>
      <c r="E251" s="89" t="s">
        <v>44</v>
      </c>
      <c r="F251" s="89">
        <v>100025209</v>
      </c>
      <c r="G251" s="128" t="s">
        <v>340</v>
      </c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 s="93">
        <v>163.19999999999999</v>
      </c>
      <c r="X251" s="129">
        <v>163.19999999999999</v>
      </c>
      <c r="Y251" s="93">
        <v>0</v>
      </c>
      <c r="Z251" s="129">
        <v>0</v>
      </c>
      <c r="AA251" s="155">
        <f t="shared" si="14"/>
        <v>81.599999999999994</v>
      </c>
      <c r="AB251" s="98">
        <f t="shared" si="14"/>
        <v>81.599999999999994</v>
      </c>
      <c r="AC251"/>
      <c r="AD251" s="97">
        <v>244.8</v>
      </c>
      <c r="AE251" s="92">
        <v>0</v>
      </c>
      <c r="AF251" s="98">
        <f t="shared" si="16"/>
        <v>244.8</v>
      </c>
      <c r="AG251" s="97">
        <v>408</v>
      </c>
      <c r="AH251" s="92">
        <v>0</v>
      </c>
      <c r="AI251" s="98">
        <f t="shared" si="17"/>
        <v>408</v>
      </c>
      <c r="AJ251" s="99">
        <f t="shared" si="15"/>
        <v>652.79999999999995</v>
      </c>
      <c r="AK251" s="102" t="str">
        <f>+IF(X251+W251+AJ251&lt;=0, "NO COMPRADOR", +IF(AJ251&lt;=0, "SIN COMPRA "&amp;+UPPER(TEXT('DINAMICA ENERO 26'!$C$2,"mmm 'yy")), "COMPRADOR"))</f>
        <v>COMPRADOR</v>
      </c>
      <c r="AM251" s="101"/>
    </row>
    <row r="252" spans="1:42" s="100" customFormat="1">
      <c r="A252" s="88" t="s">
        <v>85</v>
      </c>
      <c r="B252" s="89" t="s">
        <v>315</v>
      </c>
      <c r="C252" s="89" t="s">
        <v>43</v>
      </c>
      <c r="D252" s="103">
        <v>100087724</v>
      </c>
      <c r="E252" s="89" t="s">
        <v>44</v>
      </c>
      <c r="F252" s="89">
        <v>100087941</v>
      </c>
      <c r="G252" s="128" t="s">
        <v>341</v>
      </c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 s="93">
        <v>0</v>
      </c>
      <c r="X252" s="129">
        <v>0</v>
      </c>
      <c r="Y252" s="93">
        <v>0</v>
      </c>
      <c r="Z252" s="129">
        <v>16.32</v>
      </c>
      <c r="AA252" s="155">
        <f t="shared" si="14"/>
        <v>0</v>
      </c>
      <c r="AB252" s="98">
        <f t="shared" si="14"/>
        <v>8.16</v>
      </c>
      <c r="AC252"/>
      <c r="AD252" s="97">
        <v>0</v>
      </c>
      <c r="AE252" s="92">
        <v>0</v>
      </c>
      <c r="AF252" s="98">
        <f t="shared" si="16"/>
        <v>0</v>
      </c>
      <c r="AG252" s="97">
        <v>16.32</v>
      </c>
      <c r="AH252" s="92">
        <v>0</v>
      </c>
      <c r="AI252" s="98">
        <f t="shared" si="17"/>
        <v>16.32</v>
      </c>
      <c r="AJ252" s="99">
        <f t="shared" si="15"/>
        <v>16.32</v>
      </c>
      <c r="AK252" s="102" t="str">
        <f>+IF(X252+W252+AJ252&lt;=0, "NO COMPRADOR", +IF(AJ252&lt;=0, "SIN COMPRA "&amp;+UPPER(TEXT('DINAMICA ENERO 26'!$C$2,"mmm 'yy")), "COMPRADOR"))</f>
        <v>COMPRADOR</v>
      </c>
      <c r="AM252" s="101"/>
    </row>
    <row r="253" spans="1:42" s="104" customFormat="1">
      <c r="A253" s="88" t="s">
        <v>85</v>
      </c>
      <c r="B253" s="89" t="s">
        <v>315</v>
      </c>
      <c r="C253" s="89" t="s">
        <v>43</v>
      </c>
      <c r="D253" s="103">
        <v>100087724</v>
      </c>
      <c r="E253" s="89" t="s">
        <v>44</v>
      </c>
      <c r="F253" s="89">
        <v>100067528</v>
      </c>
      <c r="G253" s="128" t="s">
        <v>342</v>
      </c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 s="93">
        <v>8.16</v>
      </c>
      <c r="X253" s="129">
        <v>16.32</v>
      </c>
      <c r="Y253" s="93">
        <v>-8.16</v>
      </c>
      <c r="Z253" s="129">
        <v>-8.16</v>
      </c>
      <c r="AA253" s="155">
        <f t="shared" si="14"/>
        <v>0</v>
      </c>
      <c r="AB253" s="98">
        <f t="shared" si="14"/>
        <v>4.08</v>
      </c>
      <c r="AC253"/>
      <c r="AD253" s="97">
        <v>0</v>
      </c>
      <c r="AE253" s="92">
        <v>0</v>
      </c>
      <c r="AF253" s="98">
        <f t="shared" si="16"/>
        <v>0</v>
      </c>
      <c r="AG253" s="97">
        <v>0</v>
      </c>
      <c r="AH253" s="92">
        <v>0</v>
      </c>
      <c r="AI253" s="98">
        <f t="shared" si="17"/>
        <v>0</v>
      </c>
      <c r="AJ253" s="99">
        <f t="shared" si="15"/>
        <v>0</v>
      </c>
      <c r="AK253" s="102" t="str">
        <f>+IF(X253+W253+AJ253&lt;=0, "NO COMPRADOR", +IF(AJ253&lt;=0, "SIN COMPRA "&amp;+UPPER(TEXT('DINAMICA ENERO 26'!$C$2,"mmm 'yy")), "COMPRADOR"))</f>
        <v>SIN COMPRA FEB '26</v>
      </c>
      <c r="AL253" s="100"/>
      <c r="AM253" s="101"/>
      <c r="AN253" s="100"/>
      <c r="AO253" s="100"/>
      <c r="AP253" s="100"/>
    </row>
    <row r="254" spans="1:42" s="104" customFormat="1">
      <c r="A254" s="88" t="s">
        <v>85</v>
      </c>
      <c r="B254" s="89" t="s">
        <v>315</v>
      </c>
      <c r="C254" s="89" t="s">
        <v>43</v>
      </c>
      <c r="D254" s="103">
        <v>100087724</v>
      </c>
      <c r="E254" s="89" t="s">
        <v>44</v>
      </c>
      <c r="F254" s="89">
        <v>100087924</v>
      </c>
      <c r="G254" s="128" t="s">
        <v>343</v>
      </c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 s="93">
        <v>0</v>
      </c>
      <c r="X254" s="129">
        <v>0</v>
      </c>
      <c r="Y254" s="93">
        <v>0</v>
      </c>
      <c r="Z254" s="129">
        <v>0</v>
      </c>
      <c r="AA254" s="155">
        <f t="shared" si="14"/>
        <v>0</v>
      </c>
      <c r="AB254" s="98">
        <f t="shared" si="14"/>
        <v>0</v>
      </c>
      <c r="AC254"/>
      <c r="AD254" s="97">
        <v>0</v>
      </c>
      <c r="AE254" s="92">
        <v>0</v>
      </c>
      <c r="AF254" s="98">
        <f t="shared" si="16"/>
        <v>0</v>
      </c>
      <c r="AG254" s="97">
        <v>0</v>
      </c>
      <c r="AH254" s="92">
        <v>0</v>
      </c>
      <c r="AI254" s="98">
        <f t="shared" si="17"/>
        <v>0</v>
      </c>
      <c r="AJ254" s="99">
        <f t="shared" si="15"/>
        <v>0</v>
      </c>
      <c r="AK254" s="102" t="str">
        <f>+IF(X254+W254+AJ254&lt;=0, "NO COMPRADOR", +IF(AJ254&lt;=0, "SIN COMPRA "&amp;+UPPER(TEXT('DINAMICA ENERO 26'!$C$2,"mmm 'yy")), "COMPRADOR"))</f>
        <v>NO COMPRADOR</v>
      </c>
      <c r="AL254" s="100"/>
      <c r="AM254" s="101"/>
      <c r="AN254" s="100"/>
      <c r="AO254" s="100"/>
      <c r="AP254" s="100"/>
    </row>
    <row r="255" spans="1:42" s="104" customFormat="1">
      <c r="A255" s="88" t="s">
        <v>85</v>
      </c>
      <c r="B255" s="89" t="s">
        <v>315</v>
      </c>
      <c r="C255" s="89" t="s">
        <v>43</v>
      </c>
      <c r="D255" s="103">
        <v>100087724</v>
      </c>
      <c r="E255" s="89" t="s">
        <v>44</v>
      </c>
      <c r="F255" s="89">
        <v>100069181</v>
      </c>
      <c r="G255" s="128" t="s">
        <v>344</v>
      </c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 s="93">
        <v>8.16</v>
      </c>
      <c r="X255" s="129">
        <v>8.16</v>
      </c>
      <c r="Y255" s="93">
        <v>0</v>
      </c>
      <c r="Z255" s="129">
        <v>8.16</v>
      </c>
      <c r="AA255" s="155">
        <f t="shared" si="14"/>
        <v>4.08</v>
      </c>
      <c r="AB255" s="98">
        <f t="shared" si="14"/>
        <v>8.16</v>
      </c>
      <c r="AC255"/>
      <c r="AD255" s="97">
        <v>8.16</v>
      </c>
      <c r="AE255" s="92">
        <v>0</v>
      </c>
      <c r="AF255" s="98">
        <f t="shared" si="16"/>
        <v>8.16</v>
      </c>
      <c r="AG255" s="97">
        <v>8.16</v>
      </c>
      <c r="AH255" s="92">
        <v>0</v>
      </c>
      <c r="AI255" s="98">
        <f t="shared" si="17"/>
        <v>8.16</v>
      </c>
      <c r="AJ255" s="99">
        <f t="shared" si="15"/>
        <v>16.32</v>
      </c>
      <c r="AK255" s="102" t="str">
        <f>+IF(X255+W255+AJ255&lt;=0, "NO COMPRADOR", +IF(AJ255&lt;=0, "SIN COMPRA "&amp;+UPPER(TEXT('DINAMICA ENERO 26'!$C$2,"mmm 'yy")), "COMPRADOR"))</f>
        <v>COMPRADOR</v>
      </c>
      <c r="AL255" s="100"/>
      <c r="AM255" s="101"/>
      <c r="AN255" s="100"/>
      <c r="AO255" s="100"/>
      <c r="AP255" s="100"/>
    </row>
    <row r="256" spans="1:42" s="100" customFormat="1">
      <c r="A256" s="88" t="s">
        <v>85</v>
      </c>
      <c r="B256" s="89" t="s">
        <v>315</v>
      </c>
      <c r="C256" s="89" t="s">
        <v>43</v>
      </c>
      <c r="D256" s="103">
        <v>100087724</v>
      </c>
      <c r="E256" s="89" t="s">
        <v>44</v>
      </c>
      <c r="F256" s="89">
        <v>100070616</v>
      </c>
      <c r="G256" s="128" t="s">
        <v>345</v>
      </c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 s="93">
        <v>0</v>
      </c>
      <c r="X256" s="129">
        <v>8.16</v>
      </c>
      <c r="Y256" s="93">
        <v>0</v>
      </c>
      <c r="Z256" s="129">
        <v>48.96</v>
      </c>
      <c r="AA256" s="155">
        <f t="shared" si="14"/>
        <v>0</v>
      </c>
      <c r="AB256" s="98">
        <f t="shared" si="14"/>
        <v>28.560000000000002</v>
      </c>
      <c r="AC256"/>
      <c r="AD256" s="97">
        <v>0</v>
      </c>
      <c r="AE256" s="92">
        <v>0</v>
      </c>
      <c r="AF256" s="98">
        <f t="shared" si="16"/>
        <v>0</v>
      </c>
      <c r="AG256" s="97">
        <v>0</v>
      </c>
      <c r="AH256" s="92">
        <v>0</v>
      </c>
      <c r="AI256" s="98">
        <f t="shared" si="17"/>
        <v>0</v>
      </c>
      <c r="AJ256" s="99">
        <f t="shared" si="15"/>
        <v>0</v>
      </c>
      <c r="AK256" s="102" t="str">
        <f>+IF(X256+W256+AJ256&lt;=0, "NO COMPRADOR", +IF(AJ256&lt;=0, "SIN COMPRA "&amp;+UPPER(TEXT('DINAMICA ENERO 26'!$C$2,"mmm 'yy")), "COMPRADOR"))</f>
        <v>SIN COMPRA FEB '26</v>
      </c>
      <c r="AM256" s="101"/>
    </row>
    <row r="257" spans="1:42" s="100" customFormat="1">
      <c r="A257" s="88" t="s">
        <v>85</v>
      </c>
      <c r="B257" s="89" t="s">
        <v>315</v>
      </c>
      <c r="C257" s="89" t="s">
        <v>43</v>
      </c>
      <c r="D257" s="103">
        <v>100087724</v>
      </c>
      <c r="E257" s="89" t="s">
        <v>44</v>
      </c>
      <c r="F257" s="89">
        <v>100079876</v>
      </c>
      <c r="G257" s="128" t="s">
        <v>346</v>
      </c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 s="93">
        <v>0</v>
      </c>
      <c r="X257" s="129">
        <v>0</v>
      </c>
      <c r="Y257" s="93">
        <v>0</v>
      </c>
      <c r="Z257" s="129">
        <v>0</v>
      </c>
      <c r="AA257" s="155">
        <f t="shared" si="14"/>
        <v>0</v>
      </c>
      <c r="AB257" s="98">
        <f t="shared" si="14"/>
        <v>0</v>
      </c>
      <c r="AC257"/>
      <c r="AD257" s="97">
        <v>0</v>
      </c>
      <c r="AE257" s="92">
        <v>0</v>
      </c>
      <c r="AF257" s="98">
        <f t="shared" si="16"/>
        <v>0</v>
      </c>
      <c r="AG257" s="97">
        <v>0</v>
      </c>
      <c r="AH257" s="92">
        <v>0</v>
      </c>
      <c r="AI257" s="98">
        <f t="shared" si="17"/>
        <v>0</v>
      </c>
      <c r="AJ257" s="99">
        <f t="shared" si="15"/>
        <v>0</v>
      </c>
      <c r="AK257" s="102" t="str">
        <f>+IF(X257+W257+AJ257&lt;=0, "NO COMPRADOR", +IF(AJ257&lt;=0, "SIN COMPRA "&amp;+UPPER(TEXT('DINAMICA ENERO 26'!$C$2,"mmm 'yy")), "COMPRADOR"))</f>
        <v>NO COMPRADOR</v>
      </c>
      <c r="AM257" s="101"/>
    </row>
    <row r="258" spans="1:42" s="104" customFormat="1">
      <c r="A258" s="88" t="s">
        <v>85</v>
      </c>
      <c r="B258" s="89" t="s">
        <v>315</v>
      </c>
      <c r="C258" s="89" t="s">
        <v>43</v>
      </c>
      <c r="D258" s="103">
        <v>100087724</v>
      </c>
      <c r="E258" s="89" t="s">
        <v>44</v>
      </c>
      <c r="F258" s="89">
        <v>100081157</v>
      </c>
      <c r="G258" s="128" t="s">
        <v>347</v>
      </c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 s="93">
        <v>0</v>
      </c>
      <c r="X258" s="129">
        <v>0</v>
      </c>
      <c r="Y258" s="93">
        <v>0</v>
      </c>
      <c r="Z258" s="129">
        <v>8.16</v>
      </c>
      <c r="AA258" s="155">
        <f t="shared" si="14"/>
        <v>0</v>
      </c>
      <c r="AB258" s="98">
        <f t="shared" si="14"/>
        <v>4.08</v>
      </c>
      <c r="AC258"/>
      <c r="AD258" s="97">
        <v>0</v>
      </c>
      <c r="AE258" s="92">
        <v>0</v>
      </c>
      <c r="AF258" s="98">
        <f t="shared" si="16"/>
        <v>0</v>
      </c>
      <c r="AG258" s="97">
        <v>0</v>
      </c>
      <c r="AH258" s="92">
        <v>0</v>
      </c>
      <c r="AI258" s="98">
        <f t="shared" si="17"/>
        <v>0</v>
      </c>
      <c r="AJ258" s="99">
        <f t="shared" si="15"/>
        <v>0</v>
      </c>
      <c r="AK258" s="102" t="str">
        <f>+IF(X258+W258+AJ258&lt;=0, "NO COMPRADOR", +IF(AJ258&lt;=0, "SIN COMPRA "&amp;+UPPER(TEXT('DINAMICA ENERO 26'!$C$2,"mmm 'yy")), "COMPRADOR"))</f>
        <v>NO COMPRADOR</v>
      </c>
      <c r="AL258" s="100"/>
      <c r="AM258" s="101"/>
      <c r="AN258" s="100"/>
      <c r="AO258" s="100"/>
      <c r="AP258" s="100"/>
    </row>
    <row r="259" spans="1:42" s="100" customFormat="1">
      <c r="A259" s="88" t="s">
        <v>85</v>
      </c>
      <c r="B259" s="89" t="s">
        <v>315</v>
      </c>
      <c r="C259" s="89" t="s">
        <v>43</v>
      </c>
      <c r="D259" s="103">
        <v>100087724</v>
      </c>
      <c r="E259" s="89" t="s">
        <v>44</v>
      </c>
      <c r="F259" s="89">
        <v>100083001</v>
      </c>
      <c r="G259" s="128" t="s">
        <v>348</v>
      </c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 s="93">
        <v>8.16</v>
      </c>
      <c r="X259" s="129">
        <v>8.16</v>
      </c>
      <c r="Y259" s="93">
        <v>0</v>
      </c>
      <c r="Z259" s="129">
        <v>8.16</v>
      </c>
      <c r="AA259" s="155">
        <f t="shared" ref="AA259:AB322" si="18">+AVERAGE(W259,Y259)</f>
        <v>4.08</v>
      </c>
      <c r="AB259" s="98">
        <f t="shared" si="18"/>
        <v>8.16</v>
      </c>
      <c r="AC259"/>
      <c r="AD259" s="97">
        <v>0</v>
      </c>
      <c r="AE259" s="92">
        <v>0</v>
      </c>
      <c r="AF259" s="98">
        <f t="shared" si="16"/>
        <v>0</v>
      </c>
      <c r="AG259" s="97">
        <v>-8.16</v>
      </c>
      <c r="AH259" s="92">
        <v>0</v>
      </c>
      <c r="AI259" s="98">
        <f t="shared" si="17"/>
        <v>-8.16</v>
      </c>
      <c r="AJ259" s="99">
        <f t="shared" ref="AJ259:AJ322" si="19">+AF259+AI259</f>
        <v>-8.16</v>
      </c>
      <c r="AK259" s="102" t="str">
        <f>+IF(X259+W259+AJ259&lt;=0, "NO COMPRADOR", +IF(AJ259&lt;=0, "SIN COMPRA "&amp;+UPPER(TEXT('DINAMICA ENERO 26'!$C$2,"mmm 'yy")), "COMPRADOR"))</f>
        <v>SIN COMPRA FEB '26</v>
      </c>
      <c r="AM259" s="101"/>
    </row>
    <row r="260" spans="1:42" s="104" customFormat="1">
      <c r="A260" s="88" t="s">
        <v>85</v>
      </c>
      <c r="B260" s="89" t="s">
        <v>315</v>
      </c>
      <c r="C260" s="89" t="s">
        <v>43</v>
      </c>
      <c r="D260" s="103">
        <v>100087724</v>
      </c>
      <c r="E260" s="89" t="s">
        <v>44</v>
      </c>
      <c r="F260" s="89">
        <v>100084045</v>
      </c>
      <c r="G260" s="128" t="s">
        <v>349</v>
      </c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 s="93">
        <v>16.32</v>
      </c>
      <c r="X260" s="129">
        <v>16.32</v>
      </c>
      <c r="Y260" s="93">
        <v>0</v>
      </c>
      <c r="Z260" s="129">
        <v>0</v>
      </c>
      <c r="AA260" s="155">
        <f t="shared" si="18"/>
        <v>8.16</v>
      </c>
      <c r="AB260" s="98">
        <f t="shared" si="18"/>
        <v>8.16</v>
      </c>
      <c r="AC260"/>
      <c r="AD260" s="97">
        <v>0</v>
      </c>
      <c r="AE260" s="92">
        <v>0</v>
      </c>
      <c r="AF260" s="98">
        <f t="shared" ref="AF260:AF323" si="20">+AD260+AE260</f>
        <v>0</v>
      </c>
      <c r="AG260" s="97">
        <v>0</v>
      </c>
      <c r="AH260" s="92">
        <v>0</v>
      </c>
      <c r="AI260" s="98">
        <f t="shared" si="17"/>
        <v>0</v>
      </c>
      <c r="AJ260" s="99">
        <f t="shared" si="19"/>
        <v>0</v>
      </c>
      <c r="AK260" s="102" t="str">
        <f>+IF(X260+W260+AJ260&lt;=0, "NO COMPRADOR", +IF(AJ260&lt;=0, "SIN COMPRA "&amp;+UPPER(TEXT('DINAMICA ENERO 26'!$C$2,"mmm 'yy")), "COMPRADOR"))</f>
        <v>SIN COMPRA FEB '26</v>
      </c>
      <c r="AL260" s="100"/>
      <c r="AM260" s="101"/>
      <c r="AN260" s="100"/>
      <c r="AO260" s="100"/>
      <c r="AP260" s="100"/>
    </row>
    <row r="261" spans="1:42" s="100" customFormat="1">
      <c r="A261" s="88" t="s">
        <v>85</v>
      </c>
      <c r="B261" s="89" t="s">
        <v>315</v>
      </c>
      <c r="C261" s="89" t="s">
        <v>43</v>
      </c>
      <c r="D261" s="103">
        <v>100087724</v>
      </c>
      <c r="E261" s="89" t="s">
        <v>44</v>
      </c>
      <c r="F261" s="89">
        <v>100087681</v>
      </c>
      <c r="G261" s="128" t="s">
        <v>350</v>
      </c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 s="93">
        <v>0</v>
      </c>
      <c r="X261" s="129">
        <v>0</v>
      </c>
      <c r="Y261" s="93">
        <v>65.28</v>
      </c>
      <c r="Z261" s="129">
        <v>65.28</v>
      </c>
      <c r="AA261" s="155">
        <f t="shared" si="18"/>
        <v>32.64</v>
      </c>
      <c r="AB261" s="98">
        <f t="shared" si="18"/>
        <v>32.64</v>
      </c>
      <c r="AC261"/>
      <c r="AD261" s="97">
        <v>0</v>
      </c>
      <c r="AE261" s="92">
        <v>0</v>
      </c>
      <c r="AF261" s="98">
        <f t="shared" si="20"/>
        <v>0</v>
      </c>
      <c r="AG261" s="97">
        <v>0</v>
      </c>
      <c r="AH261" s="92">
        <v>0</v>
      </c>
      <c r="AI261" s="98">
        <f t="shared" si="17"/>
        <v>0</v>
      </c>
      <c r="AJ261" s="99">
        <f t="shared" si="19"/>
        <v>0</v>
      </c>
      <c r="AK261" s="102" t="str">
        <f>+IF(X261+W261+AJ261&lt;=0, "NO COMPRADOR", +IF(AJ261&lt;=0, "SIN COMPRA "&amp;+UPPER(TEXT('DINAMICA ENERO 26'!$C$2,"mmm 'yy")), "COMPRADOR"))</f>
        <v>NO COMPRADOR</v>
      </c>
      <c r="AM261" s="101"/>
    </row>
    <row r="262" spans="1:42" s="104" customFormat="1">
      <c r="A262" s="88" t="s">
        <v>85</v>
      </c>
      <c r="B262" s="89" t="s">
        <v>351</v>
      </c>
      <c r="C262" s="89" t="s">
        <v>43</v>
      </c>
      <c r="D262" s="103">
        <v>100070275</v>
      </c>
      <c r="E262" s="89" t="s">
        <v>47</v>
      </c>
      <c r="F262" s="89">
        <v>100079420</v>
      </c>
      <c r="G262" s="128" t="s">
        <v>352</v>
      </c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 s="93">
        <v>0</v>
      </c>
      <c r="X262" s="129">
        <v>0</v>
      </c>
      <c r="Y262" s="93">
        <v>0</v>
      </c>
      <c r="Z262" s="129">
        <v>0</v>
      </c>
      <c r="AA262" s="155">
        <f t="shared" si="18"/>
        <v>0</v>
      </c>
      <c r="AB262" s="98">
        <f t="shared" si="18"/>
        <v>0</v>
      </c>
      <c r="AC262"/>
      <c r="AD262" s="97">
        <v>0</v>
      </c>
      <c r="AE262" s="92">
        <v>0</v>
      </c>
      <c r="AF262" s="98">
        <f t="shared" si="20"/>
        <v>0</v>
      </c>
      <c r="AG262" s="97">
        <v>0</v>
      </c>
      <c r="AH262" s="92">
        <v>0</v>
      </c>
      <c r="AI262" s="98">
        <f t="shared" si="17"/>
        <v>0</v>
      </c>
      <c r="AJ262" s="99">
        <f t="shared" si="19"/>
        <v>0</v>
      </c>
      <c r="AK262" s="102" t="str">
        <f>+IF(X262+W262+AJ262&lt;=0, "NO COMPRADOR", +IF(AJ262&lt;=0, "SIN COMPRA "&amp;+UPPER(TEXT('DINAMICA ENERO 26'!$C$2,"mmm 'yy")), "COMPRADOR"))</f>
        <v>NO COMPRADOR</v>
      </c>
      <c r="AL262" s="100"/>
      <c r="AM262" s="101"/>
      <c r="AN262" s="100"/>
      <c r="AO262" s="100"/>
      <c r="AP262" s="100"/>
    </row>
    <row r="263" spans="1:42" s="104" customFormat="1">
      <c r="A263" s="88" t="s">
        <v>85</v>
      </c>
      <c r="B263" s="89" t="s">
        <v>351</v>
      </c>
      <c r="C263" s="89" t="s">
        <v>43</v>
      </c>
      <c r="D263" s="103">
        <v>100070275</v>
      </c>
      <c r="E263" s="89" t="s">
        <v>47</v>
      </c>
      <c r="F263" s="89">
        <v>100078680</v>
      </c>
      <c r="G263" s="128" t="s">
        <v>353</v>
      </c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 s="93">
        <v>0</v>
      </c>
      <c r="X263" s="129">
        <v>0</v>
      </c>
      <c r="Y263" s="93">
        <v>0</v>
      </c>
      <c r="Z263" s="129">
        <v>0</v>
      </c>
      <c r="AA263" s="155">
        <f t="shared" si="18"/>
        <v>0</v>
      </c>
      <c r="AB263" s="98">
        <f t="shared" si="18"/>
        <v>0</v>
      </c>
      <c r="AC263"/>
      <c r="AD263" s="97">
        <v>0</v>
      </c>
      <c r="AE263" s="92">
        <v>0</v>
      </c>
      <c r="AF263" s="98">
        <f t="shared" si="20"/>
        <v>0</v>
      </c>
      <c r="AG263" s="97">
        <v>0</v>
      </c>
      <c r="AH263" s="92">
        <v>0</v>
      </c>
      <c r="AI263" s="98">
        <f t="shared" si="17"/>
        <v>0</v>
      </c>
      <c r="AJ263" s="99">
        <f t="shared" si="19"/>
        <v>0</v>
      </c>
      <c r="AK263" s="102" t="str">
        <f>+IF(X263+W263+AJ263&lt;=0, "NO COMPRADOR", +IF(AJ263&lt;=0, "SIN COMPRA "&amp;+UPPER(TEXT('DINAMICA ENERO 26'!$C$2,"mmm 'yy")), "COMPRADOR"))</f>
        <v>NO COMPRADOR</v>
      </c>
      <c r="AL263" s="100"/>
      <c r="AM263" s="101"/>
      <c r="AN263" s="100"/>
      <c r="AO263" s="100"/>
      <c r="AP263" s="100"/>
    </row>
    <row r="264" spans="1:42" s="104" customFormat="1">
      <c r="A264" s="88" t="s">
        <v>85</v>
      </c>
      <c r="B264" s="89" t="s">
        <v>351</v>
      </c>
      <c r="C264" s="89" t="s">
        <v>43</v>
      </c>
      <c r="D264" s="103">
        <v>100070275</v>
      </c>
      <c r="E264" s="89" t="s">
        <v>47</v>
      </c>
      <c r="F264" s="89">
        <v>100064271</v>
      </c>
      <c r="G264" s="128" t="s">
        <v>354</v>
      </c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 s="93">
        <v>0</v>
      </c>
      <c r="X264" s="129">
        <v>0</v>
      </c>
      <c r="Y264" s="93">
        <v>0</v>
      </c>
      <c r="Z264" s="129">
        <v>0</v>
      </c>
      <c r="AA264" s="155">
        <f t="shared" si="18"/>
        <v>0</v>
      </c>
      <c r="AB264" s="98">
        <f t="shared" si="18"/>
        <v>0</v>
      </c>
      <c r="AC264"/>
      <c r="AD264" s="97">
        <v>8.16</v>
      </c>
      <c r="AE264" s="92">
        <v>0</v>
      </c>
      <c r="AF264" s="98">
        <f t="shared" si="20"/>
        <v>8.16</v>
      </c>
      <c r="AG264" s="97">
        <v>0</v>
      </c>
      <c r="AH264" s="92">
        <v>0</v>
      </c>
      <c r="AI264" s="98">
        <f t="shared" si="17"/>
        <v>0</v>
      </c>
      <c r="AJ264" s="99">
        <f t="shared" si="19"/>
        <v>8.16</v>
      </c>
      <c r="AK264" s="102" t="str">
        <f>+IF(X264+W264+AJ264&lt;=0, "NO COMPRADOR", +IF(AJ264&lt;=0, "SIN COMPRA "&amp;+UPPER(TEXT('DINAMICA ENERO 26'!$C$2,"mmm 'yy")), "COMPRADOR"))</f>
        <v>COMPRADOR</v>
      </c>
      <c r="AL264" s="100"/>
      <c r="AM264" s="101"/>
      <c r="AN264" s="100"/>
      <c r="AO264" s="100"/>
      <c r="AP264" s="100"/>
    </row>
    <row r="265" spans="1:42" s="104" customFormat="1">
      <c r="A265" s="88" t="s">
        <v>85</v>
      </c>
      <c r="B265" s="89" t="s">
        <v>351</v>
      </c>
      <c r="C265" s="89" t="s">
        <v>43</v>
      </c>
      <c r="D265" s="103">
        <v>100070275</v>
      </c>
      <c r="E265" s="89" t="s">
        <v>47</v>
      </c>
      <c r="F265" s="89">
        <v>100069359</v>
      </c>
      <c r="G265" s="128" t="s">
        <v>355</v>
      </c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 s="93">
        <v>0</v>
      </c>
      <c r="X265" s="129">
        <v>0</v>
      </c>
      <c r="Y265" s="93">
        <v>0</v>
      </c>
      <c r="Z265" s="129">
        <v>0</v>
      </c>
      <c r="AA265" s="155">
        <f t="shared" si="18"/>
        <v>0</v>
      </c>
      <c r="AB265" s="98">
        <f t="shared" si="18"/>
        <v>0</v>
      </c>
      <c r="AC265"/>
      <c r="AD265" s="97">
        <v>0</v>
      </c>
      <c r="AE265" s="92">
        <v>0</v>
      </c>
      <c r="AF265" s="98">
        <f t="shared" si="20"/>
        <v>0</v>
      </c>
      <c r="AG265" s="97">
        <v>0</v>
      </c>
      <c r="AH265" s="92">
        <v>0</v>
      </c>
      <c r="AI265" s="98">
        <f t="shared" si="17"/>
        <v>0</v>
      </c>
      <c r="AJ265" s="99">
        <f t="shared" si="19"/>
        <v>0</v>
      </c>
      <c r="AK265" s="102" t="str">
        <f>+IF(X265+W265+AJ265&lt;=0, "NO COMPRADOR", +IF(AJ265&lt;=0, "SIN COMPRA "&amp;+UPPER(TEXT('DINAMICA ENERO 26'!$C$2,"mmm 'yy")), "COMPRADOR"))</f>
        <v>NO COMPRADOR</v>
      </c>
      <c r="AL265" s="100"/>
      <c r="AM265" s="101"/>
      <c r="AN265" s="100"/>
      <c r="AO265" s="100"/>
      <c r="AP265" s="100"/>
    </row>
    <row r="266" spans="1:42" s="100" customFormat="1">
      <c r="A266" s="88" t="s">
        <v>85</v>
      </c>
      <c r="B266" s="89" t="s">
        <v>351</v>
      </c>
      <c r="C266" s="89" t="s">
        <v>43</v>
      </c>
      <c r="D266" s="103">
        <v>100070275</v>
      </c>
      <c r="E266" s="89" t="s">
        <v>47</v>
      </c>
      <c r="F266" s="89">
        <v>100078132</v>
      </c>
      <c r="G266" s="128" t="s">
        <v>356</v>
      </c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 s="93">
        <v>16.32</v>
      </c>
      <c r="X266" s="129">
        <v>16.32</v>
      </c>
      <c r="Y266" s="93">
        <v>0</v>
      </c>
      <c r="Z266" s="129">
        <v>0</v>
      </c>
      <c r="AA266" s="155">
        <f t="shared" si="18"/>
        <v>8.16</v>
      </c>
      <c r="AB266" s="98">
        <f t="shared" si="18"/>
        <v>8.16</v>
      </c>
      <c r="AC266"/>
      <c r="AD266" s="97">
        <v>0</v>
      </c>
      <c r="AE266" s="92">
        <v>0</v>
      </c>
      <c r="AF266" s="98">
        <f t="shared" si="20"/>
        <v>0</v>
      </c>
      <c r="AG266" s="97">
        <v>0</v>
      </c>
      <c r="AH266" s="92">
        <v>0</v>
      </c>
      <c r="AI266" s="98">
        <f t="shared" si="17"/>
        <v>0</v>
      </c>
      <c r="AJ266" s="99">
        <f t="shared" si="19"/>
        <v>0</v>
      </c>
      <c r="AK266" s="102" t="str">
        <f>+IF(X266+W266+AJ266&lt;=0, "NO COMPRADOR", +IF(AJ266&lt;=0, "SIN COMPRA "&amp;+UPPER(TEXT('DINAMICA ENERO 26'!$C$2,"mmm 'yy")), "COMPRADOR"))</f>
        <v>SIN COMPRA FEB '26</v>
      </c>
      <c r="AM266" s="101"/>
    </row>
    <row r="267" spans="1:42" s="104" customFormat="1">
      <c r="A267" s="88" t="s">
        <v>85</v>
      </c>
      <c r="B267" s="89" t="s">
        <v>351</v>
      </c>
      <c r="C267" s="89" t="s">
        <v>43</v>
      </c>
      <c r="D267" s="103">
        <v>100070275</v>
      </c>
      <c r="E267" s="89" t="s">
        <v>47</v>
      </c>
      <c r="F267" s="89">
        <v>100023921</v>
      </c>
      <c r="G267" s="128" t="s">
        <v>357</v>
      </c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 s="93">
        <v>0</v>
      </c>
      <c r="X267" s="129">
        <v>0</v>
      </c>
      <c r="Y267" s="93">
        <v>0</v>
      </c>
      <c r="Z267" s="129">
        <v>0</v>
      </c>
      <c r="AA267" s="155">
        <f t="shared" si="18"/>
        <v>0</v>
      </c>
      <c r="AB267" s="98">
        <f t="shared" si="18"/>
        <v>0</v>
      </c>
      <c r="AC267"/>
      <c r="AD267" s="97">
        <v>-8.16</v>
      </c>
      <c r="AE267" s="92">
        <v>0</v>
      </c>
      <c r="AF267" s="98">
        <f t="shared" si="20"/>
        <v>-8.16</v>
      </c>
      <c r="AG267" s="97">
        <v>0</v>
      </c>
      <c r="AH267" s="92">
        <v>0</v>
      </c>
      <c r="AI267" s="98">
        <f t="shared" si="17"/>
        <v>0</v>
      </c>
      <c r="AJ267" s="99">
        <f t="shared" si="19"/>
        <v>-8.16</v>
      </c>
      <c r="AK267" s="102" t="str">
        <f>+IF(X267+W267+AJ267&lt;=0, "NO COMPRADOR", +IF(AJ267&lt;=0, "SIN COMPRA "&amp;+UPPER(TEXT('DINAMICA ENERO 26'!$C$2,"mmm 'yy")), "COMPRADOR"))</f>
        <v>NO COMPRADOR</v>
      </c>
      <c r="AL267" s="100"/>
      <c r="AM267" s="101"/>
      <c r="AN267" s="100"/>
      <c r="AO267" s="100"/>
      <c r="AP267" s="100"/>
    </row>
    <row r="268" spans="1:42">
      <c r="A268" s="88" t="s">
        <v>85</v>
      </c>
      <c r="B268" s="89" t="s">
        <v>351</v>
      </c>
      <c r="C268" s="89" t="s">
        <v>43</v>
      </c>
      <c r="D268" s="103">
        <v>100070275</v>
      </c>
      <c r="E268" s="89" t="s">
        <v>47</v>
      </c>
      <c r="F268" s="89">
        <v>100082844</v>
      </c>
      <c r="G268" s="128" t="s">
        <v>358</v>
      </c>
      <c r="W268" s="93">
        <v>0</v>
      </c>
      <c r="X268" s="129">
        <v>0</v>
      </c>
      <c r="Y268" s="93">
        <v>0</v>
      </c>
      <c r="Z268" s="129">
        <v>0</v>
      </c>
      <c r="AA268" s="155">
        <f t="shared" si="18"/>
        <v>0</v>
      </c>
      <c r="AB268" s="98">
        <f t="shared" si="18"/>
        <v>0</v>
      </c>
      <c r="AD268" s="97">
        <v>-8.16</v>
      </c>
      <c r="AE268" s="92">
        <v>0</v>
      </c>
      <c r="AF268" s="98">
        <f t="shared" si="20"/>
        <v>-8.16</v>
      </c>
      <c r="AG268" s="97">
        <v>0</v>
      </c>
      <c r="AH268" s="92">
        <v>0</v>
      </c>
      <c r="AI268" s="98">
        <f t="shared" si="17"/>
        <v>0</v>
      </c>
      <c r="AJ268" s="99">
        <f t="shared" si="19"/>
        <v>-8.16</v>
      </c>
      <c r="AK268" s="102" t="str">
        <f>+IF(X268+W268+AJ268&lt;=0, "NO COMPRADOR", +IF(AJ268&lt;=0, "SIN COMPRA "&amp;+UPPER(TEXT('DINAMICA ENERO 26'!$C$2,"mmm 'yy")), "COMPRADOR"))</f>
        <v>NO COMPRADOR</v>
      </c>
      <c r="AL268" s="100"/>
      <c r="AM268" s="101"/>
      <c r="AN268" s="100"/>
      <c r="AO268" s="100"/>
      <c r="AP268" s="100"/>
    </row>
    <row r="269" spans="1:42">
      <c r="A269" s="88" t="s">
        <v>85</v>
      </c>
      <c r="B269" s="89" t="s">
        <v>351</v>
      </c>
      <c r="C269" s="89" t="s">
        <v>43</v>
      </c>
      <c r="D269" s="103">
        <v>100070275</v>
      </c>
      <c r="E269" s="89" t="s">
        <v>47</v>
      </c>
      <c r="F269" s="89">
        <v>100001577</v>
      </c>
      <c r="G269" s="128" t="s">
        <v>359</v>
      </c>
      <c r="W269" s="93">
        <v>0</v>
      </c>
      <c r="X269" s="129">
        <v>0</v>
      </c>
      <c r="Y269" s="93">
        <v>81.599999999999994</v>
      </c>
      <c r="Z269" s="129">
        <v>81.599999999999994</v>
      </c>
      <c r="AA269" s="155">
        <f t="shared" si="18"/>
        <v>40.799999999999997</v>
      </c>
      <c r="AB269" s="98">
        <f t="shared" si="18"/>
        <v>40.799999999999997</v>
      </c>
      <c r="AD269" s="97">
        <v>0</v>
      </c>
      <c r="AE269" s="92">
        <v>0</v>
      </c>
      <c r="AF269" s="98">
        <f t="shared" si="20"/>
        <v>0</v>
      </c>
      <c r="AG269" s="97">
        <v>0</v>
      </c>
      <c r="AH269" s="92">
        <v>0</v>
      </c>
      <c r="AI269" s="98">
        <f t="shared" si="17"/>
        <v>0</v>
      </c>
      <c r="AJ269" s="99">
        <f t="shared" si="19"/>
        <v>0</v>
      </c>
      <c r="AK269" s="102" t="str">
        <f>+IF(X269+W269+AJ269&lt;=0, "NO COMPRADOR", +IF(AJ269&lt;=0, "SIN COMPRA "&amp;+UPPER(TEXT('DINAMICA ENERO 26'!$C$2,"mmm 'yy")), "COMPRADOR"))</f>
        <v>NO COMPRADOR</v>
      </c>
      <c r="AL269" s="100"/>
      <c r="AM269" s="101"/>
      <c r="AN269" s="100"/>
      <c r="AO269" s="100"/>
      <c r="AP269" s="100"/>
    </row>
    <row r="270" spans="1:42">
      <c r="A270" s="88" t="s">
        <v>85</v>
      </c>
      <c r="B270" s="89" t="s">
        <v>351</v>
      </c>
      <c r="C270" s="89" t="s">
        <v>43</v>
      </c>
      <c r="D270" s="103">
        <v>100070275</v>
      </c>
      <c r="E270" s="89" t="s">
        <v>47</v>
      </c>
      <c r="F270" s="89">
        <v>100078048</v>
      </c>
      <c r="G270" s="128" t="s">
        <v>360</v>
      </c>
      <c r="W270" s="93">
        <v>81.599999999999994</v>
      </c>
      <c r="X270" s="129">
        <v>81.599999999999994</v>
      </c>
      <c r="Y270" s="93">
        <v>0</v>
      </c>
      <c r="Z270" s="129">
        <v>0</v>
      </c>
      <c r="AA270" s="155">
        <f t="shared" si="18"/>
        <v>40.799999999999997</v>
      </c>
      <c r="AB270" s="98">
        <f t="shared" si="18"/>
        <v>40.799999999999997</v>
      </c>
      <c r="AD270" s="97">
        <v>0</v>
      </c>
      <c r="AE270" s="92">
        <v>0</v>
      </c>
      <c r="AF270" s="98">
        <f t="shared" si="20"/>
        <v>0</v>
      </c>
      <c r="AG270" s="97">
        <v>0</v>
      </c>
      <c r="AH270" s="92">
        <v>0</v>
      </c>
      <c r="AI270" s="98">
        <f t="shared" si="17"/>
        <v>0</v>
      </c>
      <c r="AJ270" s="99">
        <f t="shared" si="19"/>
        <v>0</v>
      </c>
      <c r="AK270" s="102" t="str">
        <f>+IF(X270+W270+AJ270&lt;=0, "NO COMPRADOR", +IF(AJ270&lt;=0, "SIN COMPRA "&amp;+UPPER(TEXT('DINAMICA ENERO 26'!$C$2,"mmm 'yy")), "COMPRADOR"))</f>
        <v>SIN COMPRA FEB '26</v>
      </c>
      <c r="AL270" s="100"/>
      <c r="AM270" s="101"/>
      <c r="AN270" s="100"/>
      <c r="AO270" s="100"/>
      <c r="AP270" s="100"/>
    </row>
    <row r="271" spans="1:42" s="100" customFormat="1">
      <c r="A271" s="88" t="s">
        <v>85</v>
      </c>
      <c r="B271" s="89" t="s">
        <v>351</v>
      </c>
      <c r="C271" s="89" t="s">
        <v>43</v>
      </c>
      <c r="D271" s="103">
        <v>100070275</v>
      </c>
      <c r="E271" s="89" t="s">
        <v>47</v>
      </c>
      <c r="F271" s="89">
        <v>100001301</v>
      </c>
      <c r="G271" s="128" t="s">
        <v>361</v>
      </c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 s="93">
        <v>0</v>
      </c>
      <c r="X271" s="129">
        <v>0</v>
      </c>
      <c r="Y271" s="93">
        <v>0</v>
      </c>
      <c r="Z271" s="129">
        <v>0</v>
      </c>
      <c r="AA271" s="155">
        <f t="shared" si="18"/>
        <v>0</v>
      </c>
      <c r="AB271" s="98">
        <f t="shared" si="18"/>
        <v>0</v>
      </c>
      <c r="AC271"/>
      <c r="AD271" s="97">
        <v>0</v>
      </c>
      <c r="AE271" s="92">
        <v>0</v>
      </c>
      <c r="AF271" s="98">
        <f t="shared" si="20"/>
        <v>0</v>
      </c>
      <c r="AG271" s="97">
        <v>0</v>
      </c>
      <c r="AH271" s="92">
        <v>0</v>
      </c>
      <c r="AI271" s="98">
        <f t="shared" si="17"/>
        <v>0</v>
      </c>
      <c r="AJ271" s="99">
        <f t="shared" si="19"/>
        <v>0</v>
      </c>
      <c r="AK271" s="102" t="str">
        <f>+IF(X271+W271+AJ271&lt;=0, "NO COMPRADOR", +IF(AJ271&lt;=0, "SIN COMPRA "&amp;+UPPER(TEXT('DINAMICA ENERO 26'!$C$2,"mmm 'yy")), "COMPRADOR"))</f>
        <v>NO COMPRADOR</v>
      </c>
      <c r="AM271" s="101"/>
    </row>
    <row r="272" spans="1:42" s="104" customFormat="1">
      <c r="A272" s="88" t="s">
        <v>85</v>
      </c>
      <c r="B272" s="89" t="s">
        <v>351</v>
      </c>
      <c r="C272" s="89" t="s">
        <v>43</v>
      </c>
      <c r="D272" s="103">
        <v>100070275</v>
      </c>
      <c r="E272" s="89" t="s">
        <v>47</v>
      </c>
      <c r="F272" s="89">
        <v>100002071</v>
      </c>
      <c r="G272" s="128" t="s">
        <v>362</v>
      </c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 s="93">
        <v>81.599999999999994</v>
      </c>
      <c r="X272" s="129">
        <v>81.599999999999994</v>
      </c>
      <c r="Y272" s="93">
        <v>40.799999999999997</v>
      </c>
      <c r="Z272" s="129">
        <v>40.799999999999997</v>
      </c>
      <c r="AA272" s="155">
        <f t="shared" si="18"/>
        <v>61.199999999999996</v>
      </c>
      <c r="AB272" s="98">
        <f t="shared" si="18"/>
        <v>61.199999999999996</v>
      </c>
      <c r="AC272"/>
      <c r="AD272" s="97">
        <v>0</v>
      </c>
      <c r="AE272" s="92">
        <v>0</v>
      </c>
      <c r="AF272" s="98">
        <f t="shared" si="20"/>
        <v>0</v>
      </c>
      <c r="AG272" s="97">
        <v>0</v>
      </c>
      <c r="AH272" s="92">
        <v>0</v>
      </c>
      <c r="AI272" s="98">
        <f t="shared" si="17"/>
        <v>0</v>
      </c>
      <c r="AJ272" s="99">
        <f t="shared" si="19"/>
        <v>0</v>
      </c>
      <c r="AK272" s="102" t="str">
        <f>+IF(X272+W272+AJ272&lt;=0, "NO COMPRADOR", +IF(AJ272&lt;=0, "SIN COMPRA "&amp;+UPPER(TEXT('DINAMICA ENERO 26'!$C$2,"mmm 'yy")), "COMPRADOR"))</f>
        <v>SIN COMPRA FEB '26</v>
      </c>
      <c r="AL272" s="100"/>
      <c r="AM272" s="101"/>
      <c r="AN272" s="100"/>
      <c r="AO272" s="100"/>
      <c r="AP272" s="100"/>
    </row>
    <row r="273" spans="1:42" s="100" customFormat="1">
      <c r="A273" s="88" t="s">
        <v>85</v>
      </c>
      <c r="B273" s="89" t="s">
        <v>351</v>
      </c>
      <c r="C273" s="89" t="s">
        <v>43</v>
      </c>
      <c r="D273" s="103">
        <v>100070275</v>
      </c>
      <c r="E273" s="89" t="s">
        <v>47</v>
      </c>
      <c r="F273" s="89">
        <v>100001979</v>
      </c>
      <c r="G273" s="128" t="s">
        <v>290</v>
      </c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 s="93">
        <v>0</v>
      </c>
      <c r="X273" s="129">
        <v>0</v>
      </c>
      <c r="Y273" s="93">
        <v>0</v>
      </c>
      <c r="Z273" s="129">
        <v>0</v>
      </c>
      <c r="AA273" s="155">
        <f t="shared" si="18"/>
        <v>0</v>
      </c>
      <c r="AB273" s="98">
        <f t="shared" si="18"/>
        <v>0</v>
      </c>
      <c r="AC273"/>
      <c r="AD273" s="97">
        <v>0</v>
      </c>
      <c r="AE273" s="92">
        <v>0</v>
      </c>
      <c r="AF273" s="98">
        <f t="shared" si="20"/>
        <v>0</v>
      </c>
      <c r="AG273" s="97">
        <v>0</v>
      </c>
      <c r="AH273" s="92">
        <v>0</v>
      </c>
      <c r="AI273" s="98">
        <f t="shared" si="17"/>
        <v>0</v>
      </c>
      <c r="AJ273" s="99">
        <f t="shared" si="19"/>
        <v>0</v>
      </c>
      <c r="AK273" s="102" t="str">
        <f>+IF(X273+W273+AJ273&lt;=0, "NO COMPRADOR", +IF(AJ273&lt;=0, "SIN COMPRA "&amp;+UPPER(TEXT('DINAMICA ENERO 26'!$C$2,"mmm 'yy")), "COMPRADOR"))</f>
        <v>NO COMPRADOR</v>
      </c>
      <c r="AM273" s="101"/>
    </row>
    <row r="274" spans="1:42" s="104" customFormat="1">
      <c r="A274" s="88" t="s">
        <v>85</v>
      </c>
      <c r="B274" s="89" t="s">
        <v>351</v>
      </c>
      <c r="C274" s="89" t="s">
        <v>43</v>
      </c>
      <c r="D274" s="103">
        <v>100070275</v>
      </c>
      <c r="E274" s="89" t="s">
        <v>47</v>
      </c>
      <c r="F274" s="89">
        <v>100001679</v>
      </c>
      <c r="G274" s="128" t="s">
        <v>363</v>
      </c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 s="93">
        <v>0</v>
      </c>
      <c r="X274" s="129">
        <v>0</v>
      </c>
      <c r="Y274" s="93">
        <v>0</v>
      </c>
      <c r="Z274" s="129">
        <v>0</v>
      </c>
      <c r="AA274" s="155">
        <f t="shared" si="18"/>
        <v>0</v>
      </c>
      <c r="AB274" s="98">
        <f t="shared" si="18"/>
        <v>0</v>
      </c>
      <c r="AC274"/>
      <c r="AD274" s="97">
        <v>0</v>
      </c>
      <c r="AE274" s="92">
        <v>0</v>
      </c>
      <c r="AF274" s="98">
        <f t="shared" si="20"/>
        <v>0</v>
      </c>
      <c r="AG274" s="97">
        <v>0</v>
      </c>
      <c r="AH274" s="92">
        <v>0</v>
      </c>
      <c r="AI274" s="98">
        <f t="shared" si="17"/>
        <v>0</v>
      </c>
      <c r="AJ274" s="99">
        <f t="shared" si="19"/>
        <v>0</v>
      </c>
      <c r="AK274" s="102" t="str">
        <f>+IF(X274+W274+AJ274&lt;=0, "NO COMPRADOR", +IF(AJ274&lt;=0, "SIN COMPRA "&amp;+UPPER(TEXT('DINAMICA ENERO 26'!$C$2,"mmm 'yy")), "COMPRADOR"))</f>
        <v>NO COMPRADOR</v>
      </c>
      <c r="AL274" s="100"/>
      <c r="AM274" s="101"/>
      <c r="AN274" s="100"/>
      <c r="AO274" s="100"/>
      <c r="AP274" s="100"/>
    </row>
    <row r="275" spans="1:42" s="100" customFormat="1">
      <c r="A275" s="88" t="s">
        <v>85</v>
      </c>
      <c r="B275" s="89" t="s">
        <v>351</v>
      </c>
      <c r="C275" s="89" t="s">
        <v>43</v>
      </c>
      <c r="D275" s="103">
        <v>100070275</v>
      </c>
      <c r="E275" s="89" t="s">
        <v>47</v>
      </c>
      <c r="F275" s="89">
        <v>100001246</v>
      </c>
      <c r="G275" s="128" t="s">
        <v>364</v>
      </c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 s="93">
        <v>0</v>
      </c>
      <c r="X275" s="129">
        <v>0</v>
      </c>
      <c r="Y275" s="93">
        <v>32.64</v>
      </c>
      <c r="Z275" s="129">
        <v>40.799999999999997</v>
      </c>
      <c r="AA275" s="155">
        <f t="shared" si="18"/>
        <v>16.32</v>
      </c>
      <c r="AB275" s="98">
        <f t="shared" si="18"/>
        <v>20.399999999999999</v>
      </c>
      <c r="AC275"/>
      <c r="AD275" s="97">
        <v>40.799999999999997</v>
      </c>
      <c r="AE275" s="92">
        <v>0</v>
      </c>
      <c r="AF275" s="98">
        <f t="shared" si="20"/>
        <v>40.799999999999997</v>
      </c>
      <c r="AG275" s="97">
        <v>0</v>
      </c>
      <c r="AH275" s="92">
        <v>0</v>
      </c>
      <c r="AI275" s="98">
        <f t="shared" si="17"/>
        <v>0</v>
      </c>
      <c r="AJ275" s="99">
        <f t="shared" si="19"/>
        <v>40.799999999999997</v>
      </c>
      <c r="AK275" s="102" t="str">
        <f>+IF(X275+W275+AJ275&lt;=0, "NO COMPRADOR", +IF(AJ275&lt;=0, "SIN COMPRA "&amp;+UPPER(TEXT('DINAMICA ENERO 26'!$C$2,"mmm 'yy")), "COMPRADOR"))</f>
        <v>COMPRADOR</v>
      </c>
      <c r="AM275" s="101"/>
    </row>
    <row r="276" spans="1:42" s="100" customFormat="1">
      <c r="A276" s="88" t="s">
        <v>85</v>
      </c>
      <c r="B276" s="89" t="s">
        <v>351</v>
      </c>
      <c r="C276" s="89" t="s">
        <v>43</v>
      </c>
      <c r="D276" s="103">
        <v>100070275</v>
      </c>
      <c r="E276" s="89" t="s">
        <v>47</v>
      </c>
      <c r="F276" s="89">
        <v>100083239</v>
      </c>
      <c r="G276" s="128" t="s">
        <v>365</v>
      </c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 s="93">
        <v>0</v>
      </c>
      <c r="X276" s="129">
        <v>0</v>
      </c>
      <c r="Y276" s="93">
        <v>0</v>
      </c>
      <c r="Z276" s="129">
        <v>0</v>
      </c>
      <c r="AA276" s="155">
        <f t="shared" si="18"/>
        <v>0</v>
      </c>
      <c r="AB276" s="98">
        <f t="shared" si="18"/>
        <v>0</v>
      </c>
      <c r="AC276"/>
      <c r="AD276" s="97">
        <v>0</v>
      </c>
      <c r="AE276" s="92">
        <v>0</v>
      </c>
      <c r="AF276" s="98">
        <f t="shared" si="20"/>
        <v>0</v>
      </c>
      <c r="AG276" s="97">
        <v>0</v>
      </c>
      <c r="AH276" s="92">
        <v>0</v>
      </c>
      <c r="AI276" s="98">
        <f t="shared" si="17"/>
        <v>0</v>
      </c>
      <c r="AJ276" s="99">
        <f t="shared" si="19"/>
        <v>0</v>
      </c>
      <c r="AK276" s="102" t="str">
        <f>+IF(X276+W276+AJ276&lt;=0, "NO COMPRADOR", +IF(AJ276&lt;=0, "SIN COMPRA "&amp;+UPPER(TEXT('DINAMICA ENERO 26'!$C$2,"mmm 'yy")), "COMPRADOR"))</f>
        <v>NO COMPRADOR</v>
      </c>
      <c r="AM276" s="101"/>
    </row>
    <row r="277" spans="1:42" s="100" customFormat="1">
      <c r="A277" s="88" t="s">
        <v>85</v>
      </c>
      <c r="B277" s="89" t="s">
        <v>351</v>
      </c>
      <c r="C277" s="89" t="s">
        <v>43</v>
      </c>
      <c r="D277" s="103">
        <v>100070275</v>
      </c>
      <c r="E277" s="89" t="s">
        <v>47</v>
      </c>
      <c r="F277" s="89">
        <v>100066082</v>
      </c>
      <c r="G277" s="128" t="s">
        <v>366</v>
      </c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 s="93">
        <v>0</v>
      </c>
      <c r="X277" s="129">
        <v>0</v>
      </c>
      <c r="Y277" s="93">
        <v>0</v>
      </c>
      <c r="Z277" s="129">
        <v>0</v>
      </c>
      <c r="AA277" s="155">
        <f t="shared" si="18"/>
        <v>0</v>
      </c>
      <c r="AB277" s="98">
        <f t="shared" si="18"/>
        <v>0</v>
      </c>
      <c r="AC277"/>
      <c r="AD277" s="97">
        <v>0</v>
      </c>
      <c r="AE277" s="92">
        <v>0</v>
      </c>
      <c r="AF277" s="98">
        <f t="shared" si="20"/>
        <v>0</v>
      </c>
      <c r="AG277" s="97">
        <v>0</v>
      </c>
      <c r="AH277" s="92">
        <v>0</v>
      </c>
      <c r="AI277" s="98">
        <f t="shared" si="17"/>
        <v>0</v>
      </c>
      <c r="AJ277" s="99">
        <f t="shared" si="19"/>
        <v>0</v>
      </c>
      <c r="AK277" s="102" t="str">
        <f>+IF(X277+W277+AJ277&lt;=0, "NO COMPRADOR", +IF(AJ277&lt;=0, "SIN COMPRA "&amp;+UPPER(TEXT('DINAMICA ENERO 26'!$C$2,"mmm 'yy")), "COMPRADOR"))</f>
        <v>NO COMPRADOR</v>
      </c>
      <c r="AM277" s="101"/>
    </row>
    <row r="278" spans="1:42" s="104" customFormat="1">
      <c r="A278" s="88" t="s">
        <v>85</v>
      </c>
      <c r="B278" s="89" t="s">
        <v>351</v>
      </c>
      <c r="C278" s="89" t="s">
        <v>43</v>
      </c>
      <c r="D278" s="103">
        <v>100075073</v>
      </c>
      <c r="E278" s="89" t="s">
        <v>48</v>
      </c>
      <c r="F278" s="89">
        <v>100001979</v>
      </c>
      <c r="G278" s="128" t="s">
        <v>290</v>
      </c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 s="93">
        <v>0</v>
      </c>
      <c r="X278" s="129">
        <v>0</v>
      </c>
      <c r="Y278" s="93">
        <v>0</v>
      </c>
      <c r="Z278" s="129">
        <v>0</v>
      </c>
      <c r="AA278" s="155">
        <f t="shared" si="18"/>
        <v>0</v>
      </c>
      <c r="AB278" s="98">
        <f t="shared" si="18"/>
        <v>0</v>
      </c>
      <c r="AC278"/>
      <c r="AD278" s="97">
        <v>0</v>
      </c>
      <c r="AE278" s="92">
        <v>0</v>
      </c>
      <c r="AF278" s="98">
        <f t="shared" si="20"/>
        <v>0</v>
      </c>
      <c r="AG278" s="97">
        <v>0</v>
      </c>
      <c r="AH278" s="92">
        <v>0</v>
      </c>
      <c r="AI278" s="98">
        <f t="shared" si="17"/>
        <v>0</v>
      </c>
      <c r="AJ278" s="99">
        <f t="shared" si="19"/>
        <v>0</v>
      </c>
      <c r="AK278" s="102" t="str">
        <f>+IF(X278+W278+AJ278&lt;=0, "NO COMPRADOR", +IF(AJ278&lt;=0, "SIN COMPRA "&amp;+UPPER(TEXT('DINAMICA ENERO 26'!$C$2,"mmm 'yy")), "COMPRADOR"))</f>
        <v>NO COMPRADOR</v>
      </c>
      <c r="AL278" s="100"/>
      <c r="AM278" s="101"/>
      <c r="AN278" s="100"/>
      <c r="AO278" s="100"/>
      <c r="AP278" s="100"/>
    </row>
    <row r="279" spans="1:42" s="104" customFormat="1">
      <c r="A279" s="88" t="s">
        <v>85</v>
      </c>
      <c r="B279" s="89" t="s">
        <v>351</v>
      </c>
      <c r="C279" s="89" t="s">
        <v>43</v>
      </c>
      <c r="D279" s="103">
        <v>100075073</v>
      </c>
      <c r="E279" s="89" t="s">
        <v>48</v>
      </c>
      <c r="F279" s="89">
        <v>100014590</v>
      </c>
      <c r="G279" s="128" t="s">
        <v>367</v>
      </c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 s="93">
        <v>0</v>
      </c>
      <c r="X279" s="129">
        <v>0</v>
      </c>
      <c r="Y279" s="93">
        <v>0</v>
      </c>
      <c r="Z279" s="129">
        <v>0</v>
      </c>
      <c r="AA279" s="155">
        <f t="shared" si="18"/>
        <v>0</v>
      </c>
      <c r="AB279" s="98">
        <f t="shared" si="18"/>
        <v>0</v>
      </c>
      <c r="AC279"/>
      <c r="AD279" s="97">
        <v>0</v>
      </c>
      <c r="AE279" s="92">
        <v>0</v>
      </c>
      <c r="AF279" s="98">
        <f t="shared" si="20"/>
        <v>0</v>
      </c>
      <c r="AG279" s="97">
        <v>0</v>
      </c>
      <c r="AH279" s="92">
        <v>0</v>
      </c>
      <c r="AI279" s="98">
        <f t="shared" si="17"/>
        <v>0</v>
      </c>
      <c r="AJ279" s="99">
        <f t="shared" si="19"/>
        <v>0</v>
      </c>
      <c r="AK279" s="102" t="str">
        <f>+IF(X279+W279+AJ279&lt;=0, "NO COMPRADOR", +IF(AJ279&lt;=0, "SIN COMPRA "&amp;+UPPER(TEXT('DINAMICA ENERO 26'!$C$2,"mmm 'yy")), "COMPRADOR"))</f>
        <v>NO COMPRADOR</v>
      </c>
      <c r="AL279" s="100"/>
      <c r="AM279" s="101"/>
      <c r="AN279" s="100"/>
      <c r="AO279" s="100"/>
      <c r="AP279" s="100"/>
    </row>
    <row r="280" spans="1:42" s="104" customFormat="1">
      <c r="A280" s="88" t="s">
        <v>85</v>
      </c>
      <c r="B280" s="89" t="s">
        <v>351</v>
      </c>
      <c r="C280" s="89" t="s">
        <v>43</v>
      </c>
      <c r="D280" s="103">
        <v>100075073</v>
      </c>
      <c r="E280" s="89" t="s">
        <v>48</v>
      </c>
      <c r="F280" s="89">
        <v>100001197</v>
      </c>
      <c r="G280" s="128" t="s">
        <v>368</v>
      </c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 s="93">
        <v>0</v>
      </c>
      <c r="X280" s="129">
        <v>0</v>
      </c>
      <c r="Y280" s="93">
        <v>16.32</v>
      </c>
      <c r="Z280" s="129">
        <v>16.32</v>
      </c>
      <c r="AA280" s="155">
        <f t="shared" si="18"/>
        <v>8.16</v>
      </c>
      <c r="AB280" s="98">
        <f t="shared" si="18"/>
        <v>8.16</v>
      </c>
      <c r="AC280"/>
      <c r="AD280" s="97">
        <v>0</v>
      </c>
      <c r="AE280" s="92">
        <v>0</v>
      </c>
      <c r="AF280" s="98">
        <f t="shared" si="20"/>
        <v>0</v>
      </c>
      <c r="AG280" s="97">
        <v>0</v>
      </c>
      <c r="AH280" s="92">
        <v>0</v>
      </c>
      <c r="AI280" s="98">
        <f t="shared" si="17"/>
        <v>0</v>
      </c>
      <c r="AJ280" s="99">
        <f t="shared" si="19"/>
        <v>0</v>
      </c>
      <c r="AK280" s="102" t="str">
        <f>+IF(X280+W280+AJ280&lt;=0, "NO COMPRADOR", +IF(AJ280&lt;=0, "SIN COMPRA "&amp;+UPPER(TEXT('DINAMICA ENERO 26'!$C$2,"mmm 'yy")), "COMPRADOR"))</f>
        <v>NO COMPRADOR</v>
      </c>
      <c r="AL280" s="100"/>
      <c r="AM280" s="101"/>
      <c r="AN280" s="100"/>
      <c r="AO280" s="100"/>
      <c r="AP280" s="100"/>
    </row>
    <row r="281" spans="1:42">
      <c r="A281" s="88" t="s">
        <v>85</v>
      </c>
      <c r="B281" s="89" t="s">
        <v>351</v>
      </c>
      <c r="C281" s="89" t="s">
        <v>43</v>
      </c>
      <c r="D281" s="103">
        <v>100075073</v>
      </c>
      <c r="E281" s="89" t="s">
        <v>48</v>
      </c>
      <c r="F281" s="89">
        <v>100087851</v>
      </c>
      <c r="G281" s="128" t="s">
        <v>369</v>
      </c>
      <c r="W281" s="93">
        <v>0</v>
      </c>
      <c r="X281" s="129">
        <v>0</v>
      </c>
      <c r="Y281" s="93">
        <v>0</v>
      </c>
      <c r="Z281" s="129">
        <v>0</v>
      </c>
      <c r="AA281" s="155">
        <f t="shared" si="18"/>
        <v>0</v>
      </c>
      <c r="AB281" s="98">
        <f t="shared" si="18"/>
        <v>0</v>
      </c>
      <c r="AD281" s="97">
        <v>16.32</v>
      </c>
      <c r="AE281" s="92">
        <v>0</v>
      </c>
      <c r="AF281" s="98">
        <f t="shared" si="20"/>
        <v>16.32</v>
      </c>
      <c r="AG281" s="97">
        <v>8.16</v>
      </c>
      <c r="AH281" s="92">
        <v>0</v>
      </c>
      <c r="AI281" s="98">
        <f t="shared" si="17"/>
        <v>8.16</v>
      </c>
      <c r="AJ281" s="99">
        <f t="shared" si="19"/>
        <v>24.48</v>
      </c>
      <c r="AK281" s="102" t="str">
        <f>+IF(X281+W281+AJ281&lt;=0, "NO COMPRADOR", +IF(AJ281&lt;=0, "SIN COMPRA "&amp;+UPPER(TEXT('DINAMICA ENERO 26'!$C$2,"mmm 'yy")), "COMPRADOR"))</f>
        <v>COMPRADOR</v>
      </c>
      <c r="AL281" s="100"/>
      <c r="AM281" s="101"/>
      <c r="AN281" s="100"/>
      <c r="AO281" s="100"/>
      <c r="AP281" s="100"/>
    </row>
    <row r="282" spans="1:42">
      <c r="A282" s="88" t="s">
        <v>85</v>
      </c>
      <c r="B282" s="89" t="s">
        <v>351</v>
      </c>
      <c r="C282" s="89" t="s">
        <v>43</v>
      </c>
      <c r="D282" s="103">
        <v>100075073</v>
      </c>
      <c r="E282" s="89" t="s">
        <v>48</v>
      </c>
      <c r="F282" s="89">
        <v>100001807</v>
      </c>
      <c r="G282" s="128" t="s">
        <v>370</v>
      </c>
      <c r="W282" s="93">
        <v>122.39999999999999</v>
      </c>
      <c r="X282" s="129">
        <v>122.39999999999999</v>
      </c>
      <c r="Y282" s="93">
        <v>0</v>
      </c>
      <c r="Z282" s="129">
        <v>0</v>
      </c>
      <c r="AA282" s="155">
        <f t="shared" si="18"/>
        <v>61.199999999999996</v>
      </c>
      <c r="AB282" s="98">
        <f t="shared" si="18"/>
        <v>61.199999999999996</v>
      </c>
      <c r="AD282" s="97">
        <v>0</v>
      </c>
      <c r="AE282" s="92">
        <v>0</v>
      </c>
      <c r="AF282" s="98">
        <f t="shared" si="20"/>
        <v>0</v>
      </c>
      <c r="AG282" s="97">
        <v>0</v>
      </c>
      <c r="AH282" s="92">
        <v>0</v>
      </c>
      <c r="AI282" s="98">
        <f t="shared" si="17"/>
        <v>0</v>
      </c>
      <c r="AJ282" s="99">
        <f t="shared" si="19"/>
        <v>0</v>
      </c>
      <c r="AK282" s="102" t="str">
        <f>+IF(X282+W282+AJ282&lt;=0, "NO COMPRADOR", +IF(AJ282&lt;=0, "SIN COMPRA "&amp;+UPPER(TEXT('DINAMICA ENERO 26'!$C$2,"mmm 'yy")), "COMPRADOR"))</f>
        <v>SIN COMPRA FEB '26</v>
      </c>
      <c r="AL282" s="100"/>
      <c r="AM282" s="101"/>
      <c r="AN282" s="100"/>
      <c r="AO282" s="100"/>
      <c r="AP282" s="100"/>
    </row>
    <row r="283" spans="1:42">
      <c r="A283" s="88" t="s">
        <v>85</v>
      </c>
      <c r="B283" s="89" t="s">
        <v>351</v>
      </c>
      <c r="C283" s="89" t="s">
        <v>43</v>
      </c>
      <c r="D283" s="103">
        <v>100075073</v>
      </c>
      <c r="E283" s="89" t="s">
        <v>48</v>
      </c>
      <c r="F283" s="89">
        <v>100001935</v>
      </c>
      <c r="G283" s="128" t="s">
        <v>371</v>
      </c>
      <c r="W283" s="93">
        <v>0</v>
      </c>
      <c r="X283" s="129">
        <v>0</v>
      </c>
      <c r="Y283" s="93">
        <v>0</v>
      </c>
      <c r="Z283" s="129">
        <v>0</v>
      </c>
      <c r="AA283" s="155">
        <f t="shared" si="18"/>
        <v>0</v>
      </c>
      <c r="AB283" s="98">
        <f t="shared" si="18"/>
        <v>0</v>
      </c>
      <c r="AD283" s="97">
        <v>0</v>
      </c>
      <c r="AE283" s="92">
        <v>0</v>
      </c>
      <c r="AF283" s="98">
        <f t="shared" si="20"/>
        <v>0</v>
      </c>
      <c r="AG283" s="97">
        <v>0</v>
      </c>
      <c r="AH283" s="92">
        <v>0</v>
      </c>
      <c r="AI283" s="98">
        <f t="shared" si="17"/>
        <v>0</v>
      </c>
      <c r="AJ283" s="99">
        <f t="shared" si="19"/>
        <v>0</v>
      </c>
      <c r="AK283" s="102" t="str">
        <f>+IF(X283+W283+AJ283&lt;=0, "NO COMPRADOR", +IF(AJ283&lt;=0, "SIN COMPRA "&amp;+UPPER(TEXT('DINAMICA ENERO 26'!$C$2,"mmm 'yy")), "COMPRADOR"))</f>
        <v>NO COMPRADOR</v>
      </c>
      <c r="AL283" s="100"/>
      <c r="AM283" s="101"/>
      <c r="AN283" s="100"/>
      <c r="AO283" s="100"/>
      <c r="AP283" s="100"/>
    </row>
    <row r="284" spans="1:42">
      <c r="A284" s="88" t="s">
        <v>85</v>
      </c>
      <c r="B284" s="89" t="s">
        <v>351</v>
      </c>
      <c r="C284" s="89" t="s">
        <v>43</v>
      </c>
      <c r="D284" s="103">
        <v>100075073</v>
      </c>
      <c r="E284" s="89" t="s">
        <v>48</v>
      </c>
      <c r="F284" s="89">
        <v>100082353</v>
      </c>
      <c r="G284" s="128" t="s">
        <v>372</v>
      </c>
      <c r="W284" s="93">
        <v>0</v>
      </c>
      <c r="X284" s="129">
        <v>0</v>
      </c>
      <c r="Y284" s="93">
        <v>24.48</v>
      </c>
      <c r="Z284" s="129">
        <v>24.48</v>
      </c>
      <c r="AA284" s="155">
        <f t="shared" si="18"/>
        <v>12.24</v>
      </c>
      <c r="AB284" s="98">
        <f t="shared" si="18"/>
        <v>12.24</v>
      </c>
      <c r="AD284" s="97">
        <v>0</v>
      </c>
      <c r="AE284" s="92">
        <v>0</v>
      </c>
      <c r="AF284" s="98">
        <f t="shared" si="20"/>
        <v>0</v>
      </c>
      <c r="AG284" s="97">
        <v>0</v>
      </c>
      <c r="AH284" s="92">
        <v>0</v>
      </c>
      <c r="AI284" s="98">
        <f t="shared" si="17"/>
        <v>0</v>
      </c>
      <c r="AJ284" s="99">
        <f t="shared" si="19"/>
        <v>0</v>
      </c>
      <c r="AK284" s="102" t="str">
        <f>+IF(X284+W284+AJ284&lt;=0, "NO COMPRADOR", +IF(AJ284&lt;=0, "SIN COMPRA "&amp;+UPPER(TEXT('DINAMICA ENERO 26'!$C$2,"mmm 'yy")), "COMPRADOR"))</f>
        <v>NO COMPRADOR</v>
      </c>
      <c r="AL284" s="100"/>
      <c r="AM284" s="101"/>
      <c r="AN284" s="100"/>
      <c r="AO284" s="100"/>
      <c r="AP284" s="100"/>
    </row>
    <row r="285" spans="1:42">
      <c r="A285" s="88" t="s">
        <v>85</v>
      </c>
      <c r="B285" s="89" t="s">
        <v>351</v>
      </c>
      <c r="C285" s="89" t="s">
        <v>43</v>
      </c>
      <c r="D285" s="103">
        <v>100075073</v>
      </c>
      <c r="E285" s="89" t="s">
        <v>48</v>
      </c>
      <c r="F285" s="89">
        <v>100075136</v>
      </c>
      <c r="G285" s="128" t="s">
        <v>373</v>
      </c>
      <c r="W285" s="93">
        <v>489.6</v>
      </c>
      <c r="X285" s="129">
        <v>326.39999999999998</v>
      </c>
      <c r="Y285" s="93">
        <v>0</v>
      </c>
      <c r="Z285" s="129">
        <v>0</v>
      </c>
      <c r="AA285" s="155">
        <f t="shared" si="18"/>
        <v>244.8</v>
      </c>
      <c r="AB285" s="98">
        <f t="shared" si="18"/>
        <v>163.19999999999999</v>
      </c>
      <c r="AD285" s="97">
        <v>0</v>
      </c>
      <c r="AE285" s="92">
        <v>0</v>
      </c>
      <c r="AF285" s="98">
        <f t="shared" si="20"/>
        <v>0</v>
      </c>
      <c r="AG285" s="97">
        <v>0</v>
      </c>
      <c r="AH285" s="92">
        <v>0</v>
      </c>
      <c r="AI285" s="98">
        <f t="shared" si="17"/>
        <v>0</v>
      </c>
      <c r="AJ285" s="99">
        <f t="shared" si="19"/>
        <v>0</v>
      </c>
      <c r="AK285" s="102" t="str">
        <f>+IF(X285+W285+AJ285&lt;=0, "NO COMPRADOR", +IF(AJ285&lt;=0, "SIN COMPRA "&amp;+UPPER(TEXT('DINAMICA ENERO 26'!$C$2,"mmm 'yy")), "COMPRADOR"))</f>
        <v>SIN COMPRA FEB '26</v>
      </c>
      <c r="AL285" s="100"/>
      <c r="AM285" s="101"/>
      <c r="AN285" s="100"/>
      <c r="AO285" s="100"/>
      <c r="AP285" s="100"/>
    </row>
    <row r="286" spans="1:42">
      <c r="A286" s="88" t="s">
        <v>85</v>
      </c>
      <c r="B286" s="89" t="s">
        <v>351</v>
      </c>
      <c r="C286" s="89" t="s">
        <v>43</v>
      </c>
      <c r="D286" s="103">
        <v>100075073</v>
      </c>
      <c r="E286" s="89" t="s">
        <v>48</v>
      </c>
      <c r="F286" s="89">
        <v>100002420</v>
      </c>
      <c r="G286" s="128" t="s">
        <v>374</v>
      </c>
      <c r="W286" s="93">
        <v>0</v>
      </c>
      <c r="X286" s="129">
        <v>0</v>
      </c>
      <c r="Y286" s="93">
        <v>0</v>
      </c>
      <c r="Z286" s="129">
        <v>0</v>
      </c>
      <c r="AA286" s="155">
        <f t="shared" si="18"/>
        <v>0</v>
      </c>
      <c r="AB286" s="98">
        <f t="shared" si="18"/>
        <v>0</v>
      </c>
      <c r="AD286" s="97">
        <v>0</v>
      </c>
      <c r="AE286" s="92">
        <v>0</v>
      </c>
      <c r="AF286" s="98">
        <f t="shared" si="20"/>
        <v>0</v>
      </c>
      <c r="AG286" s="97">
        <v>0</v>
      </c>
      <c r="AH286" s="92">
        <v>0</v>
      </c>
      <c r="AI286" s="98">
        <f t="shared" si="17"/>
        <v>0</v>
      </c>
      <c r="AJ286" s="99">
        <f t="shared" si="19"/>
        <v>0</v>
      </c>
      <c r="AK286" s="102" t="str">
        <f>+IF(X286+W286+AJ286&lt;=0, "NO COMPRADOR", +IF(AJ286&lt;=0, "SIN COMPRA "&amp;+UPPER(TEXT('DINAMICA ENERO 26'!$C$2,"mmm 'yy")), "COMPRADOR"))</f>
        <v>NO COMPRADOR</v>
      </c>
      <c r="AL286" s="100"/>
      <c r="AM286" s="101"/>
      <c r="AN286" s="100"/>
      <c r="AO286" s="100"/>
      <c r="AP286" s="100"/>
    </row>
    <row r="287" spans="1:42">
      <c r="A287" s="88" t="s">
        <v>85</v>
      </c>
      <c r="B287" s="89" t="s">
        <v>351</v>
      </c>
      <c r="C287" s="89" t="s">
        <v>43</v>
      </c>
      <c r="D287" s="103">
        <v>100075073</v>
      </c>
      <c r="E287" s="89" t="s">
        <v>48</v>
      </c>
      <c r="F287" s="89">
        <v>100064325</v>
      </c>
      <c r="G287" s="128" t="s">
        <v>375</v>
      </c>
      <c r="W287" s="93">
        <v>0</v>
      </c>
      <c r="X287" s="129">
        <v>0</v>
      </c>
      <c r="Y287" s="93">
        <v>0</v>
      </c>
      <c r="Z287" s="129">
        <v>0</v>
      </c>
      <c r="AA287" s="155">
        <f t="shared" si="18"/>
        <v>0</v>
      </c>
      <c r="AB287" s="98">
        <f t="shared" si="18"/>
        <v>0</v>
      </c>
      <c r="AD287" s="97">
        <v>0</v>
      </c>
      <c r="AE287" s="92">
        <v>0</v>
      </c>
      <c r="AF287" s="98">
        <f t="shared" si="20"/>
        <v>0</v>
      </c>
      <c r="AG287" s="97">
        <v>0</v>
      </c>
      <c r="AH287" s="92">
        <v>0</v>
      </c>
      <c r="AI287" s="98">
        <f t="shared" si="17"/>
        <v>0</v>
      </c>
      <c r="AJ287" s="99">
        <f t="shared" si="19"/>
        <v>0</v>
      </c>
      <c r="AK287" s="102" t="str">
        <f>+IF(X287+W287+AJ287&lt;=0, "NO COMPRADOR", +IF(AJ287&lt;=0, "SIN COMPRA "&amp;+UPPER(TEXT('DINAMICA ENERO 26'!$C$2,"mmm 'yy")), "COMPRADOR"))</f>
        <v>NO COMPRADOR</v>
      </c>
      <c r="AL287" s="100"/>
      <c r="AM287" s="101"/>
      <c r="AN287" s="100"/>
      <c r="AO287" s="100"/>
      <c r="AP287" s="100"/>
    </row>
    <row r="288" spans="1:42">
      <c r="A288" s="88" t="s">
        <v>85</v>
      </c>
      <c r="B288" s="89" t="s">
        <v>351</v>
      </c>
      <c r="C288" s="89" t="s">
        <v>43</v>
      </c>
      <c r="D288" s="103">
        <v>100075073</v>
      </c>
      <c r="E288" s="89" t="s">
        <v>48</v>
      </c>
      <c r="F288" s="89">
        <v>100085596</v>
      </c>
      <c r="G288" s="128" t="s">
        <v>376</v>
      </c>
      <c r="W288" s="93">
        <v>0</v>
      </c>
      <c r="X288" s="129">
        <v>0</v>
      </c>
      <c r="Y288" s="93">
        <v>0</v>
      </c>
      <c r="Z288" s="129">
        <v>0</v>
      </c>
      <c r="AA288" s="155">
        <f t="shared" si="18"/>
        <v>0</v>
      </c>
      <c r="AB288" s="98">
        <f t="shared" si="18"/>
        <v>0</v>
      </c>
      <c r="AD288" s="97">
        <v>0</v>
      </c>
      <c r="AE288" s="92">
        <v>0</v>
      </c>
      <c r="AF288" s="98">
        <f t="shared" si="20"/>
        <v>0</v>
      </c>
      <c r="AG288" s="97">
        <v>0</v>
      </c>
      <c r="AH288" s="92">
        <v>0</v>
      </c>
      <c r="AI288" s="98">
        <f t="shared" si="17"/>
        <v>0</v>
      </c>
      <c r="AJ288" s="99">
        <f t="shared" si="19"/>
        <v>0</v>
      </c>
      <c r="AK288" s="102" t="str">
        <f>+IF(X288+W288+AJ288&lt;=0, "NO COMPRADOR", +IF(AJ288&lt;=0, "SIN COMPRA "&amp;+UPPER(TEXT('DINAMICA ENERO 26'!$C$2,"mmm 'yy")), "COMPRADOR"))</f>
        <v>NO COMPRADOR</v>
      </c>
      <c r="AL288" s="100"/>
      <c r="AM288" s="101"/>
      <c r="AN288" s="100"/>
      <c r="AO288" s="100"/>
      <c r="AP288" s="100"/>
    </row>
    <row r="289" spans="1:42">
      <c r="A289" s="88" t="s">
        <v>85</v>
      </c>
      <c r="B289" s="89" t="s">
        <v>351</v>
      </c>
      <c r="C289" s="89" t="s">
        <v>43</v>
      </c>
      <c r="D289" s="103">
        <v>100075073</v>
      </c>
      <c r="E289" s="89" t="s">
        <v>48</v>
      </c>
      <c r="F289" s="89">
        <v>100001738</v>
      </c>
      <c r="G289" s="128" t="s">
        <v>377</v>
      </c>
      <c r="W289" s="93">
        <v>0</v>
      </c>
      <c r="X289" s="129">
        <v>0</v>
      </c>
      <c r="Y289" s="93">
        <v>0</v>
      </c>
      <c r="Z289" s="129">
        <v>0</v>
      </c>
      <c r="AA289" s="155">
        <f t="shared" si="18"/>
        <v>0</v>
      </c>
      <c r="AB289" s="98">
        <f t="shared" si="18"/>
        <v>0</v>
      </c>
      <c r="AD289" s="97">
        <v>0</v>
      </c>
      <c r="AE289" s="92">
        <v>0</v>
      </c>
      <c r="AF289" s="98">
        <f t="shared" si="20"/>
        <v>0</v>
      </c>
      <c r="AG289" s="97">
        <v>0</v>
      </c>
      <c r="AH289" s="92">
        <v>0</v>
      </c>
      <c r="AI289" s="98">
        <f t="shared" si="17"/>
        <v>0</v>
      </c>
      <c r="AJ289" s="99">
        <f t="shared" si="19"/>
        <v>0</v>
      </c>
      <c r="AK289" s="102" t="str">
        <f>+IF(X289+W289+AJ289&lt;=0, "NO COMPRADOR", +IF(AJ289&lt;=0, "SIN COMPRA "&amp;+UPPER(TEXT('DINAMICA ENERO 26'!$C$2,"mmm 'yy")), "COMPRADOR"))</f>
        <v>NO COMPRADOR</v>
      </c>
      <c r="AL289" s="100"/>
      <c r="AM289" s="101"/>
      <c r="AN289" s="100"/>
      <c r="AO289" s="100"/>
      <c r="AP289" s="100"/>
    </row>
    <row r="290" spans="1:42">
      <c r="A290" s="88" t="s">
        <v>85</v>
      </c>
      <c r="B290" s="89" t="s">
        <v>351</v>
      </c>
      <c r="C290" s="89" t="s">
        <v>43</v>
      </c>
      <c r="D290" s="103">
        <v>100075073</v>
      </c>
      <c r="E290" s="89" t="s">
        <v>48</v>
      </c>
      <c r="F290" s="89">
        <v>100088892</v>
      </c>
      <c r="G290" s="128" t="s">
        <v>378</v>
      </c>
      <c r="W290" s="93">
        <v>0</v>
      </c>
      <c r="X290" s="129">
        <v>0</v>
      </c>
      <c r="Y290" s="93">
        <v>0</v>
      </c>
      <c r="Z290" s="129">
        <v>0</v>
      </c>
      <c r="AA290" s="155">
        <f t="shared" si="18"/>
        <v>0</v>
      </c>
      <c r="AB290" s="98">
        <f t="shared" si="18"/>
        <v>0</v>
      </c>
      <c r="AD290" s="97">
        <v>0</v>
      </c>
      <c r="AE290" s="92">
        <v>0</v>
      </c>
      <c r="AF290" s="98">
        <f t="shared" si="20"/>
        <v>0</v>
      </c>
      <c r="AG290" s="97">
        <v>0</v>
      </c>
      <c r="AH290" s="92">
        <v>0</v>
      </c>
      <c r="AI290" s="98">
        <f t="shared" si="17"/>
        <v>0</v>
      </c>
      <c r="AJ290" s="99">
        <f t="shared" si="19"/>
        <v>0</v>
      </c>
      <c r="AK290" s="102" t="str">
        <f>+IF(X290+W290+AJ290&lt;=0, "NO COMPRADOR", +IF(AJ290&lt;=0, "SIN COMPRA "&amp;+UPPER(TEXT('DINAMICA ENERO 26'!$C$2,"mmm 'yy")), "COMPRADOR"))</f>
        <v>NO COMPRADOR</v>
      </c>
      <c r="AL290" s="100"/>
      <c r="AM290" s="101"/>
      <c r="AN290" s="100"/>
      <c r="AO290" s="100"/>
      <c r="AP290" s="100"/>
    </row>
    <row r="291" spans="1:42">
      <c r="A291" s="88" t="s">
        <v>379</v>
      </c>
      <c r="B291" s="89" t="s">
        <v>380</v>
      </c>
      <c r="C291" s="89" t="s">
        <v>38</v>
      </c>
      <c r="D291" s="103">
        <v>100050090</v>
      </c>
      <c r="E291" s="89" t="s">
        <v>39</v>
      </c>
      <c r="F291" s="89">
        <v>100001434</v>
      </c>
      <c r="G291" s="128" t="s">
        <v>381</v>
      </c>
      <c r="W291" s="93">
        <v>0</v>
      </c>
      <c r="X291" s="129">
        <v>0</v>
      </c>
      <c r="Y291" s="93">
        <v>0</v>
      </c>
      <c r="Z291" s="129">
        <v>0</v>
      </c>
      <c r="AA291" s="155">
        <f t="shared" si="18"/>
        <v>0</v>
      </c>
      <c r="AB291" s="98">
        <f t="shared" si="18"/>
        <v>0</v>
      </c>
      <c r="AD291" s="97">
        <v>0</v>
      </c>
      <c r="AE291" s="92">
        <v>0</v>
      </c>
      <c r="AF291" s="98">
        <f t="shared" si="20"/>
        <v>0</v>
      </c>
      <c r="AG291" s="97">
        <v>0</v>
      </c>
      <c r="AH291" s="92">
        <v>0</v>
      </c>
      <c r="AI291" s="98">
        <f t="shared" si="17"/>
        <v>0</v>
      </c>
      <c r="AJ291" s="99">
        <f t="shared" si="19"/>
        <v>0</v>
      </c>
      <c r="AK291" s="102" t="str">
        <f>+IF(X291+W291+AJ291&lt;=0, "NO COMPRADOR", +IF(AJ291&lt;=0, "SIN COMPRA "&amp;+UPPER(TEXT('DINAMICA ENERO 26'!$C$2,"mmm 'yy")), "COMPRADOR"))</f>
        <v>NO COMPRADOR</v>
      </c>
      <c r="AM291" s="101"/>
      <c r="AN291" s="100"/>
      <c r="AO291" s="100"/>
      <c r="AP291" s="100"/>
    </row>
    <row r="292" spans="1:42">
      <c r="A292" s="88" t="s">
        <v>379</v>
      </c>
      <c r="B292" s="89" t="s">
        <v>380</v>
      </c>
      <c r="C292" s="89" t="s">
        <v>38</v>
      </c>
      <c r="D292" s="103">
        <v>100050090</v>
      </c>
      <c r="E292" s="89" t="s">
        <v>39</v>
      </c>
      <c r="F292" s="89">
        <v>100014442</v>
      </c>
      <c r="G292" s="128" t="s">
        <v>382</v>
      </c>
      <c r="W292" s="93">
        <v>0</v>
      </c>
      <c r="X292" s="129">
        <v>0</v>
      </c>
      <c r="Y292" s="93">
        <v>0</v>
      </c>
      <c r="Z292" s="129">
        <v>0</v>
      </c>
      <c r="AA292" s="155">
        <f t="shared" si="18"/>
        <v>0</v>
      </c>
      <c r="AB292" s="98">
        <f t="shared" si="18"/>
        <v>0</v>
      </c>
      <c r="AD292" s="97">
        <v>0</v>
      </c>
      <c r="AE292" s="92">
        <v>0</v>
      </c>
      <c r="AF292" s="98">
        <f t="shared" si="20"/>
        <v>0</v>
      </c>
      <c r="AG292" s="97">
        <v>0</v>
      </c>
      <c r="AH292" s="92">
        <v>0</v>
      </c>
      <c r="AI292" s="98">
        <f t="shared" si="17"/>
        <v>0</v>
      </c>
      <c r="AJ292" s="99">
        <f t="shared" si="19"/>
        <v>0</v>
      </c>
      <c r="AK292" s="102" t="str">
        <f>+IF(X292+W292+AJ292&lt;=0, "NO COMPRADOR", +IF(AJ292&lt;=0, "SIN COMPRA "&amp;+UPPER(TEXT('DINAMICA ENERO 26'!$C$2,"mmm 'yy")), "COMPRADOR"))</f>
        <v>NO COMPRADOR</v>
      </c>
      <c r="AM292" s="101"/>
      <c r="AN292" s="100"/>
      <c r="AO292" s="100"/>
      <c r="AP292" s="100"/>
    </row>
    <row r="293" spans="1:42">
      <c r="A293" s="88" t="s">
        <v>379</v>
      </c>
      <c r="B293" s="89" t="s">
        <v>380</v>
      </c>
      <c r="C293" s="89" t="s">
        <v>38</v>
      </c>
      <c r="D293" s="103">
        <v>100050090</v>
      </c>
      <c r="E293" s="89" t="s">
        <v>39</v>
      </c>
      <c r="F293" s="89">
        <v>100018913</v>
      </c>
      <c r="G293" s="128" t="s">
        <v>383</v>
      </c>
      <c r="W293" s="93">
        <v>0</v>
      </c>
      <c r="X293" s="129">
        <v>0</v>
      </c>
      <c r="Y293" s="93">
        <v>0</v>
      </c>
      <c r="Z293" s="129">
        <v>0</v>
      </c>
      <c r="AA293" s="155">
        <f t="shared" si="18"/>
        <v>0</v>
      </c>
      <c r="AB293" s="98">
        <f t="shared" si="18"/>
        <v>0</v>
      </c>
      <c r="AD293" s="97">
        <v>0</v>
      </c>
      <c r="AE293" s="92">
        <v>0</v>
      </c>
      <c r="AF293" s="98">
        <f t="shared" si="20"/>
        <v>0</v>
      </c>
      <c r="AG293" s="97">
        <v>0</v>
      </c>
      <c r="AH293" s="92">
        <v>0</v>
      </c>
      <c r="AI293" s="98">
        <f t="shared" si="17"/>
        <v>0</v>
      </c>
      <c r="AJ293" s="99">
        <f t="shared" si="19"/>
        <v>0</v>
      </c>
      <c r="AK293" s="102" t="str">
        <f>+IF(X293+W293+AJ293&lt;=0, "NO COMPRADOR", +IF(AJ293&lt;=0, "SIN COMPRA "&amp;+UPPER(TEXT('DINAMICA ENERO 26'!$C$2,"mmm 'yy")), "COMPRADOR"))</f>
        <v>NO COMPRADOR</v>
      </c>
      <c r="AM293" s="101"/>
      <c r="AN293" s="100"/>
      <c r="AO293" s="100"/>
      <c r="AP293" s="100"/>
    </row>
    <row r="294" spans="1:42">
      <c r="A294" s="88" t="s">
        <v>379</v>
      </c>
      <c r="B294" s="89" t="s">
        <v>380</v>
      </c>
      <c r="C294" s="89" t="s">
        <v>38</v>
      </c>
      <c r="D294" s="103">
        <v>100050090</v>
      </c>
      <c r="E294" s="89" t="s">
        <v>39</v>
      </c>
      <c r="F294" s="89">
        <v>100015167</v>
      </c>
      <c r="G294" s="128" t="s">
        <v>384</v>
      </c>
      <c r="W294" s="93">
        <v>0</v>
      </c>
      <c r="X294" s="129">
        <v>0</v>
      </c>
      <c r="Y294" s="93">
        <v>40.799999999999997</v>
      </c>
      <c r="Z294" s="129">
        <v>40.799999999999997</v>
      </c>
      <c r="AA294" s="155">
        <f t="shared" si="18"/>
        <v>20.399999999999999</v>
      </c>
      <c r="AB294" s="98">
        <f t="shared" si="18"/>
        <v>20.399999999999999</v>
      </c>
      <c r="AD294" s="97">
        <v>0</v>
      </c>
      <c r="AE294" s="92">
        <v>0</v>
      </c>
      <c r="AF294" s="98">
        <f t="shared" si="20"/>
        <v>0</v>
      </c>
      <c r="AG294" s="97">
        <v>0</v>
      </c>
      <c r="AH294" s="92">
        <v>0</v>
      </c>
      <c r="AI294" s="98">
        <f t="shared" si="17"/>
        <v>0</v>
      </c>
      <c r="AJ294" s="99">
        <f t="shared" si="19"/>
        <v>0</v>
      </c>
      <c r="AK294" s="102" t="str">
        <f>+IF(X294+W294+AJ294&lt;=0, "NO COMPRADOR", +IF(AJ294&lt;=0, "SIN COMPRA "&amp;+UPPER(TEXT('DINAMICA ENERO 26'!$C$2,"mmm 'yy")), "COMPRADOR"))</f>
        <v>NO COMPRADOR</v>
      </c>
      <c r="AM294" s="101"/>
      <c r="AN294" s="100"/>
      <c r="AO294" s="100"/>
      <c r="AP294" s="100"/>
    </row>
    <row r="295" spans="1:42">
      <c r="A295" s="88" t="s">
        <v>379</v>
      </c>
      <c r="B295" s="89" t="s">
        <v>380</v>
      </c>
      <c r="C295" s="89" t="s">
        <v>38</v>
      </c>
      <c r="D295" s="103">
        <v>100050090</v>
      </c>
      <c r="E295" s="89" t="s">
        <v>39</v>
      </c>
      <c r="F295" s="89">
        <v>100001979</v>
      </c>
      <c r="G295" s="128" t="s">
        <v>290</v>
      </c>
      <c r="W295" s="93">
        <v>0</v>
      </c>
      <c r="X295" s="129">
        <v>0</v>
      </c>
      <c r="Y295" s="93">
        <v>0</v>
      </c>
      <c r="Z295" s="129">
        <v>0</v>
      </c>
      <c r="AA295" s="155">
        <f t="shared" si="18"/>
        <v>0</v>
      </c>
      <c r="AB295" s="98">
        <f t="shared" si="18"/>
        <v>0</v>
      </c>
      <c r="AD295" s="97">
        <v>0</v>
      </c>
      <c r="AE295" s="92">
        <v>0</v>
      </c>
      <c r="AF295" s="98">
        <f t="shared" si="20"/>
        <v>0</v>
      </c>
      <c r="AG295" s="97">
        <v>0</v>
      </c>
      <c r="AH295" s="92">
        <v>0</v>
      </c>
      <c r="AI295" s="98">
        <f t="shared" ref="AI295:AI358" si="21">+AG295+AH295</f>
        <v>0</v>
      </c>
      <c r="AJ295" s="99">
        <f t="shared" si="19"/>
        <v>0</v>
      </c>
      <c r="AK295" s="102" t="str">
        <f>+IF(X295+W295+AJ295&lt;=0, "NO COMPRADOR", +IF(AJ295&lt;=0, "SIN COMPRA "&amp;+UPPER(TEXT('DINAMICA ENERO 26'!$C$2,"mmm 'yy")), "COMPRADOR"))</f>
        <v>NO COMPRADOR</v>
      </c>
      <c r="AO295" s="100"/>
      <c r="AP295" s="100"/>
    </row>
    <row r="296" spans="1:42">
      <c r="A296" s="88" t="s">
        <v>379</v>
      </c>
      <c r="B296" s="89" t="s">
        <v>380</v>
      </c>
      <c r="C296" s="89" t="s">
        <v>38</v>
      </c>
      <c r="D296" s="103">
        <v>100050090</v>
      </c>
      <c r="E296" s="89" t="s">
        <v>39</v>
      </c>
      <c r="F296" s="89">
        <v>100000650</v>
      </c>
      <c r="G296" s="128" t="s">
        <v>385</v>
      </c>
      <c r="W296" s="93">
        <v>0</v>
      </c>
      <c r="X296" s="129">
        <v>0</v>
      </c>
      <c r="Y296" s="93">
        <v>0</v>
      </c>
      <c r="Z296" s="129">
        <v>0</v>
      </c>
      <c r="AA296" s="155">
        <f t="shared" si="18"/>
        <v>0</v>
      </c>
      <c r="AB296" s="98">
        <f t="shared" si="18"/>
        <v>0</v>
      </c>
      <c r="AD296" s="97">
        <v>0</v>
      </c>
      <c r="AE296" s="92">
        <v>0</v>
      </c>
      <c r="AF296" s="98">
        <f t="shared" si="20"/>
        <v>0</v>
      </c>
      <c r="AG296" s="97">
        <v>0</v>
      </c>
      <c r="AH296" s="92">
        <v>0</v>
      </c>
      <c r="AI296" s="98">
        <f t="shared" si="21"/>
        <v>0</v>
      </c>
      <c r="AJ296" s="99">
        <f t="shared" si="19"/>
        <v>0</v>
      </c>
      <c r="AK296" s="102" t="str">
        <f>+IF(X296+W296+AJ296&lt;=0, "NO COMPRADOR", +IF(AJ296&lt;=0, "SIN COMPRA "&amp;+UPPER(TEXT('DINAMICA ENERO 26'!$C$2,"mmm 'yy")), "COMPRADOR"))</f>
        <v>NO COMPRADOR</v>
      </c>
      <c r="AO296" s="100"/>
      <c r="AP296" s="100"/>
    </row>
    <row r="297" spans="1:42">
      <c r="A297" s="88" t="s">
        <v>379</v>
      </c>
      <c r="B297" s="89" t="s">
        <v>380</v>
      </c>
      <c r="C297" s="89" t="s">
        <v>38</v>
      </c>
      <c r="D297" s="103">
        <v>100050090</v>
      </c>
      <c r="E297" s="89" t="s">
        <v>39</v>
      </c>
      <c r="F297" s="89">
        <v>100001938</v>
      </c>
      <c r="G297" s="128" t="s">
        <v>386</v>
      </c>
      <c r="W297" s="93">
        <v>0</v>
      </c>
      <c r="X297" s="129">
        <v>0</v>
      </c>
      <c r="Y297" s="93">
        <v>0</v>
      </c>
      <c r="Z297" s="129">
        <v>0</v>
      </c>
      <c r="AA297" s="155">
        <f t="shared" si="18"/>
        <v>0</v>
      </c>
      <c r="AB297" s="98">
        <f t="shared" si="18"/>
        <v>0</v>
      </c>
      <c r="AD297" s="97">
        <v>0</v>
      </c>
      <c r="AE297" s="92">
        <v>0</v>
      </c>
      <c r="AF297" s="98">
        <f t="shared" si="20"/>
        <v>0</v>
      </c>
      <c r="AG297" s="97">
        <v>0</v>
      </c>
      <c r="AH297" s="92">
        <v>0</v>
      </c>
      <c r="AI297" s="98">
        <f t="shared" si="21"/>
        <v>0</v>
      </c>
      <c r="AJ297" s="99">
        <f t="shared" si="19"/>
        <v>0</v>
      </c>
      <c r="AK297" s="102" t="str">
        <f>+IF(X297+W297+AJ297&lt;=0, "NO COMPRADOR", +IF(AJ297&lt;=0, "SIN COMPRA "&amp;+UPPER(TEXT('DINAMICA ENERO 26'!$C$2,"mmm 'yy")), "COMPRADOR"))</f>
        <v>NO COMPRADOR</v>
      </c>
      <c r="AO297" s="100"/>
      <c r="AP297" s="100"/>
    </row>
    <row r="298" spans="1:42">
      <c r="A298" s="88" t="s">
        <v>379</v>
      </c>
      <c r="B298" s="89" t="s">
        <v>380</v>
      </c>
      <c r="C298" s="89" t="s">
        <v>38</v>
      </c>
      <c r="D298" s="103">
        <v>100050090</v>
      </c>
      <c r="E298" s="89" t="s">
        <v>39</v>
      </c>
      <c r="F298" s="89">
        <v>100001342</v>
      </c>
      <c r="G298" s="128" t="s">
        <v>387</v>
      </c>
      <c r="W298" s="93">
        <v>0</v>
      </c>
      <c r="X298" s="129">
        <v>0</v>
      </c>
      <c r="Y298" s="93">
        <v>0</v>
      </c>
      <c r="Z298" s="129">
        <v>0</v>
      </c>
      <c r="AA298" s="155">
        <f t="shared" si="18"/>
        <v>0</v>
      </c>
      <c r="AB298" s="98">
        <f t="shared" si="18"/>
        <v>0</v>
      </c>
      <c r="AD298" s="97">
        <v>0</v>
      </c>
      <c r="AE298" s="92">
        <v>0</v>
      </c>
      <c r="AF298" s="98">
        <f t="shared" si="20"/>
        <v>0</v>
      </c>
      <c r="AG298" s="97">
        <v>0</v>
      </c>
      <c r="AH298" s="92">
        <v>0</v>
      </c>
      <c r="AI298" s="98">
        <f t="shared" si="21"/>
        <v>0</v>
      </c>
      <c r="AJ298" s="99">
        <f t="shared" si="19"/>
        <v>0</v>
      </c>
      <c r="AK298" s="102" t="str">
        <f>+IF(X298+W298+AJ298&lt;=0, "NO COMPRADOR", +IF(AJ298&lt;=0, "SIN COMPRA "&amp;+UPPER(TEXT('DINAMICA ENERO 26'!$C$2,"mmm 'yy")), "COMPRADOR"))</f>
        <v>NO COMPRADOR</v>
      </c>
      <c r="AO298" s="100"/>
      <c r="AP298" s="100"/>
    </row>
    <row r="299" spans="1:42">
      <c r="A299" s="88" t="s">
        <v>379</v>
      </c>
      <c r="B299" s="89" t="s">
        <v>380</v>
      </c>
      <c r="C299" s="89" t="s">
        <v>38</v>
      </c>
      <c r="D299" s="103">
        <v>100075114</v>
      </c>
      <c r="E299" s="89" t="s">
        <v>40</v>
      </c>
      <c r="F299" s="89">
        <v>100001342</v>
      </c>
      <c r="G299" s="128" t="s">
        <v>387</v>
      </c>
      <c r="W299" s="93">
        <v>0</v>
      </c>
      <c r="X299" s="129">
        <v>0</v>
      </c>
      <c r="Y299" s="93">
        <v>0</v>
      </c>
      <c r="Z299" s="129">
        <v>0</v>
      </c>
      <c r="AA299" s="155">
        <f t="shared" si="18"/>
        <v>0</v>
      </c>
      <c r="AB299" s="98">
        <f t="shared" si="18"/>
        <v>0</v>
      </c>
      <c r="AD299" s="97">
        <v>0</v>
      </c>
      <c r="AE299" s="92">
        <v>0</v>
      </c>
      <c r="AF299" s="98">
        <f t="shared" si="20"/>
        <v>0</v>
      </c>
      <c r="AG299" s="97">
        <v>0</v>
      </c>
      <c r="AH299" s="92">
        <v>0</v>
      </c>
      <c r="AI299" s="98">
        <f t="shared" si="21"/>
        <v>0</v>
      </c>
      <c r="AJ299" s="99">
        <f t="shared" si="19"/>
        <v>0</v>
      </c>
      <c r="AK299" s="102" t="str">
        <f>+IF(X299+W299+AJ299&lt;=0, "NO COMPRADOR", +IF(AJ299&lt;=0, "SIN COMPRA "&amp;+UPPER(TEXT('DINAMICA ENERO 26'!$C$2,"mmm 'yy")), "COMPRADOR"))</f>
        <v>NO COMPRADOR</v>
      </c>
      <c r="AO299" s="100"/>
      <c r="AP299" s="100"/>
    </row>
    <row r="300" spans="1:42">
      <c r="A300" s="88" t="s">
        <v>379</v>
      </c>
      <c r="B300" s="89" t="s">
        <v>380</v>
      </c>
      <c r="C300" s="89" t="s">
        <v>38</v>
      </c>
      <c r="D300" s="103">
        <v>100075114</v>
      </c>
      <c r="E300" s="89" t="s">
        <v>40</v>
      </c>
      <c r="F300" s="89">
        <v>100001850</v>
      </c>
      <c r="G300" s="128" t="s">
        <v>388</v>
      </c>
      <c r="W300" s="93">
        <v>0</v>
      </c>
      <c r="X300" s="129">
        <v>0</v>
      </c>
      <c r="Y300" s="93">
        <v>8.16</v>
      </c>
      <c r="Z300" s="129">
        <v>8.16</v>
      </c>
      <c r="AA300" s="155">
        <f t="shared" si="18"/>
        <v>4.08</v>
      </c>
      <c r="AB300" s="98">
        <f t="shared" si="18"/>
        <v>4.08</v>
      </c>
      <c r="AD300" s="97">
        <v>399.84000000000003</v>
      </c>
      <c r="AE300" s="92">
        <v>0</v>
      </c>
      <c r="AF300" s="98">
        <f t="shared" si="20"/>
        <v>399.84000000000003</v>
      </c>
      <c r="AG300" s="97">
        <v>318.24</v>
      </c>
      <c r="AH300" s="92">
        <v>0</v>
      </c>
      <c r="AI300" s="98">
        <f t="shared" si="21"/>
        <v>318.24</v>
      </c>
      <c r="AJ300" s="99">
        <f t="shared" si="19"/>
        <v>718.08</v>
      </c>
      <c r="AK300" s="102" t="str">
        <f>+IF(X300+W300+AJ300&lt;=0, "NO COMPRADOR", +IF(AJ300&lt;=0, "SIN COMPRA "&amp;+UPPER(TEXT('DINAMICA ENERO 26'!$C$2,"mmm 'yy")), "COMPRADOR"))</f>
        <v>COMPRADOR</v>
      </c>
      <c r="AO300" s="100"/>
      <c r="AP300" s="100"/>
    </row>
    <row r="301" spans="1:42">
      <c r="A301" s="88" t="s">
        <v>379</v>
      </c>
      <c r="B301" s="89" t="s">
        <v>380</v>
      </c>
      <c r="C301" s="89" t="s">
        <v>38</v>
      </c>
      <c r="D301" s="103">
        <v>100075114</v>
      </c>
      <c r="E301" s="89" t="s">
        <v>40</v>
      </c>
      <c r="F301" s="89">
        <v>100002199</v>
      </c>
      <c r="G301" s="128" t="s">
        <v>389</v>
      </c>
      <c r="W301" s="93">
        <v>24.48</v>
      </c>
      <c r="X301" s="129">
        <v>24.48</v>
      </c>
      <c r="Y301" s="93">
        <v>807.84</v>
      </c>
      <c r="Z301" s="129">
        <v>807.84</v>
      </c>
      <c r="AA301" s="155">
        <f t="shared" si="18"/>
        <v>416.16</v>
      </c>
      <c r="AB301" s="98">
        <f t="shared" si="18"/>
        <v>416.16</v>
      </c>
      <c r="AD301" s="97">
        <v>0</v>
      </c>
      <c r="AE301" s="92">
        <v>0</v>
      </c>
      <c r="AF301" s="98">
        <f t="shared" si="20"/>
        <v>0</v>
      </c>
      <c r="AG301" s="97">
        <v>0</v>
      </c>
      <c r="AH301" s="92">
        <v>0</v>
      </c>
      <c r="AI301" s="98">
        <f t="shared" si="21"/>
        <v>0</v>
      </c>
      <c r="AJ301" s="99">
        <f t="shared" si="19"/>
        <v>0</v>
      </c>
      <c r="AK301" s="102" t="str">
        <f>+IF(X301+W301+AJ301&lt;=0, "NO COMPRADOR", +IF(AJ301&lt;=0, "SIN COMPRA "&amp;+UPPER(TEXT('DINAMICA ENERO 26'!$C$2,"mmm 'yy")), "COMPRADOR"))</f>
        <v>SIN COMPRA FEB '26</v>
      </c>
      <c r="AO301" s="100"/>
      <c r="AP301" s="100"/>
    </row>
    <row r="302" spans="1:42">
      <c r="A302" s="88" t="s">
        <v>379</v>
      </c>
      <c r="B302" s="89" t="s">
        <v>380</v>
      </c>
      <c r="C302" s="89" t="s">
        <v>38</v>
      </c>
      <c r="D302" s="103">
        <v>100075114</v>
      </c>
      <c r="E302" s="89" t="s">
        <v>40</v>
      </c>
      <c r="F302" s="89">
        <v>100001583</v>
      </c>
      <c r="G302" s="128" t="s">
        <v>390</v>
      </c>
      <c r="W302" s="93">
        <v>0</v>
      </c>
      <c r="X302" s="129">
        <v>0</v>
      </c>
      <c r="Y302" s="93">
        <v>0</v>
      </c>
      <c r="Z302" s="129">
        <v>0</v>
      </c>
      <c r="AA302" s="155">
        <f t="shared" si="18"/>
        <v>0</v>
      </c>
      <c r="AB302" s="98">
        <f t="shared" si="18"/>
        <v>0</v>
      </c>
      <c r="AD302" s="97">
        <v>0</v>
      </c>
      <c r="AE302" s="92">
        <v>0</v>
      </c>
      <c r="AF302" s="98">
        <f t="shared" si="20"/>
        <v>0</v>
      </c>
      <c r="AG302" s="97">
        <v>0</v>
      </c>
      <c r="AH302" s="92">
        <v>0</v>
      </c>
      <c r="AI302" s="98">
        <f t="shared" si="21"/>
        <v>0</v>
      </c>
      <c r="AJ302" s="99">
        <f t="shared" si="19"/>
        <v>0</v>
      </c>
      <c r="AK302" s="102" t="str">
        <f>+IF(X302+W302+AJ302&lt;=0, "NO COMPRADOR", +IF(AJ302&lt;=0, "SIN COMPRA "&amp;+UPPER(TEXT('DINAMICA ENERO 26'!$C$2,"mmm 'yy")), "COMPRADOR"))</f>
        <v>NO COMPRADOR</v>
      </c>
      <c r="AO302" s="100"/>
      <c r="AP302" s="100"/>
    </row>
    <row r="303" spans="1:42">
      <c r="A303" s="88" t="s">
        <v>379</v>
      </c>
      <c r="B303" s="89" t="s">
        <v>380</v>
      </c>
      <c r="C303" s="89" t="s">
        <v>38</v>
      </c>
      <c r="D303" s="103">
        <v>100075114</v>
      </c>
      <c r="E303" s="89" t="s">
        <v>40</v>
      </c>
      <c r="F303" s="89">
        <v>100001186</v>
      </c>
      <c r="G303" s="128" t="s">
        <v>391</v>
      </c>
      <c r="W303" s="93">
        <v>0</v>
      </c>
      <c r="X303" s="129">
        <v>0</v>
      </c>
      <c r="Y303" s="93">
        <v>8.16</v>
      </c>
      <c r="Z303" s="129">
        <v>8.16</v>
      </c>
      <c r="AA303" s="155">
        <f t="shared" si="18"/>
        <v>4.08</v>
      </c>
      <c r="AB303" s="98">
        <f t="shared" si="18"/>
        <v>4.08</v>
      </c>
      <c r="AD303" s="97">
        <v>-8.16</v>
      </c>
      <c r="AE303" s="92">
        <v>0</v>
      </c>
      <c r="AF303" s="98">
        <f t="shared" si="20"/>
        <v>-8.16</v>
      </c>
      <c r="AG303" s="97">
        <v>-8.16</v>
      </c>
      <c r="AH303" s="92">
        <v>0</v>
      </c>
      <c r="AI303" s="98">
        <f t="shared" si="21"/>
        <v>-8.16</v>
      </c>
      <c r="AJ303" s="99">
        <f t="shared" si="19"/>
        <v>-16.32</v>
      </c>
      <c r="AK303" s="102" t="str">
        <f>+IF(X303+W303+AJ303&lt;=0, "NO COMPRADOR", +IF(AJ303&lt;=0, "SIN COMPRA "&amp;+UPPER(TEXT('DINAMICA ENERO 26'!$C$2,"mmm 'yy")), "COMPRADOR"))</f>
        <v>NO COMPRADOR</v>
      </c>
      <c r="AO303" s="100"/>
      <c r="AP303" s="100"/>
    </row>
    <row r="304" spans="1:42">
      <c r="A304" s="88" t="s">
        <v>379</v>
      </c>
      <c r="B304" s="89" t="s">
        <v>380</v>
      </c>
      <c r="C304" s="89" t="s">
        <v>38</v>
      </c>
      <c r="D304" s="103">
        <v>100075114</v>
      </c>
      <c r="E304" s="89" t="s">
        <v>40</v>
      </c>
      <c r="F304" s="89">
        <v>100001979</v>
      </c>
      <c r="G304" s="128" t="s">
        <v>290</v>
      </c>
      <c r="W304" s="93">
        <v>0</v>
      </c>
      <c r="X304" s="129">
        <v>0</v>
      </c>
      <c r="Y304" s="93">
        <v>0</v>
      </c>
      <c r="Z304" s="129">
        <v>0</v>
      </c>
      <c r="AA304" s="155">
        <f t="shared" si="18"/>
        <v>0</v>
      </c>
      <c r="AB304" s="98">
        <f t="shared" si="18"/>
        <v>0</v>
      </c>
      <c r="AD304" s="97">
        <v>0</v>
      </c>
      <c r="AE304" s="92">
        <v>0</v>
      </c>
      <c r="AF304" s="98">
        <f t="shared" si="20"/>
        <v>0</v>
      </c>
      <c r="AG304" s="97">
        <v>0</v>
      </c>
      <c r="AH304" s="92">
        <v>0</v>
      </c>
      <c r="AI304" s="98">
        <f t="shared" si="21"/>
        <v>0</v>
      </c>
      <c r="AJ304" s="99">
        <f t="shared" si="19"/>
        <v>0</v>
      </c>
      <c r="AK304" s="102" t="str">
        <f>+IF(X304+W304+AJ304&lt;=0, "NO COMPRADOR", +IF(AJ304&lt;=0, "SIN COMPRA "&amp;+UPPER(TEXT('DINAMICA ENERO 26'!$C$2,"mmm 'yy")), "COMPRADOR"))</f>
        <v>NO COMPRADOR</v>
      </c>
      <c r="AO304" s="100"/>
      <c r="AP304" s="100"/>
    </row>
    <row r="305" spans="1:42">
      <c r="A305" s="88" t="s">
        <v>379</v>
      </c>
      <c r="B305" s="89" t="s">
        <v>380</v>
      </c>
      <c r="C305" s="89" t="s">
        <v>38</v>
      </c>
      <c r="D305" s="103">
        <v>100075114</v>
      </c>
      <c r="E305" s="89" t="s">
        <v>40</v>
      </c>
      <c r="F305" s="89">
        <v>100002075</v>
      </c>
      <c r="G305" s="128" t="s">
        <v>392</v>
      </c>
      <c r="W305" s="93">
        <v>0</v>
      </c>
      <c r="X305" s="129">
        <v>0</v>
      </c>
      <c r="Y305" s="93">
        <v>881.28</v>
      </c>
      <c r="Z305" s="129">
        <v>881.28</v>
      </c>
      <c r="AA305" s="155">
        <f t="shared" si="18"/>
        <v>440.64</v>
      </c>
      <c r="AB305" s="98">
        <f t="shared" si="18"/>
        <v>440.64</v>
      </c>
      <c r="AD305" s="97">
        <v>0</v>
      </c>
      <c r="AE305" s="92">
        <v>0</v>
      </c>
      <c r="AF305" s="98">
        <f t="shared" si="20"/>
        <v>0</v>
      </c>
      <c r="AG305" s="97">
        <v>0</v>
      </c>
      <c r="AH305" s="92">
        <v>0</v>
      </c>
      <c r="AI305" s="98">
        <f t="shared" si="21"/>
        <v>0</v>
      </c>
      <c r="AJ305" s="99">
        <f t="shared" si="19"/>
        <v>0</v>
      </c>
      <c r="AK305" s="102" t="str">
        <f>+IF(X305+W305+AJ305&lt;=0, "NO COMPRADOR", +IF(AJ305&lt;=0, "SIN COMPRA "&amp;+UPPER(TEXT('DINAMICA ENERO 26'!$C$2,"mmm 'yy")), "COMPRADOR"))</f>
        <v>NO COMPRADOR</v>
      </c>
      <c r="AO305" s="100"/>
      <c r="AP305" s="100"/>
    </row>
    <row r="306" spans="1:42">
      <c r="A306" s="88" t="s">
        <v>379</v>
      </c>
      <c r="B306" s="89" t="s">
        <v>380</v>
      </c>
      <c r="C306" s="89" t="s">
        <v>38</v>
      </c>
      <c r="D306" s="103">
        <v>100075114</v>
      </c>
      <c r="E306" s="89" t="s">
        <v>40</v>
      </c>
      <c r="F306" s="89">
        <v>100001434</v>
      </c>
      <c r="G306" s="128" t="s">
        <v>381</v>
      </c>
      <c r="W306" s="93">
        <v>0</v>
      </c>
      <c r="X306" s="129">
        <v>0</v>
      </c>
      <c r="Y306" s="93">
        <v>0</v>
      </c>
      <c r="Z306" s="129">
        <v>0</v>
      </c>
      <c r="AA306" s="155">
        <f t="shared" si="18"/>
        <v>0</v>
      </c>
      <c r="AB306" s="98">
        <f t="shared" si="18"/>
        <v>0</v>
      </c>
      <c r="AD306" s="97">
        <v>0</v>
      </c>
      <c r="AE306" s="92">
        <v>0</v>
      </c>
      <c r="AF306" s="98">
        <f t="shared" si="20"/>
        <v>0</v>
      </c>
      <c r="AG306" s="97">
        <v>0</v>
      </c>
      <c r="AH306" s="92">
        <v>0</v>
      </c>
      <c r="AI306" s="98">
        <f t="shared" si="21"/>
        <v>0</v>
      </c>
      <c r="AJ306" s="99">
        <f t="shared" si="19"/>
        <v>0</v>
      </c>
      <c r="AK306" s="102" t="str">
        <f>+IF(X306+W306+AJ306&lt;=0, "NO COMPRADOR", +IF(AJ306&lt;=0, "SIN COMPRA "&amp;+UPPER(TEXT('DINAMICA ENERO 26'!$C$2,"mmm 'yy")), "COMPRADOR"))</f>
        <v>NO COMPRADOR</v>
      </c>
      <c r="AO306" s="100"/>
      <c r="AP306" s="100"/>
    </row>
    <row r="307" spans="1:42">
      <c r="A307" s="88" t="s">
        <v>379</v>
      </c>
      <c r="B307" s="89" t="s">
        <v>380</v>
      </c>
      <c r="C307" s="89" t="s">
        <v>38</v>
      </c>
      <c r="D307" s="103">
        <v>100071290</v>
      </c>
      <c r="E307" s="89" t="s">
        <v>41</v>
      </c>
      <c r="F307" s="89">
        <v>100002075</v>
      </c>
      <c r="G307" s="128" t="s">
        <v>392</v>
      </c>
      <c r="W307" s="93">
        <v>0</v>
      </c>
      <c r="X307" s="129">
        <v>0</v>
      </c>
      <c r="Y307" s="93">
        <v>146.88</v>
      </c>
      <c r="Z307" s="129">
        <v>146.88</v>
      </c>
      <c r="AA307" s="155">
        <f t="shared" si="18"/>
        <v>73.44</v>
      </c>
      <c r="AB307" s="98">
        <f t="shared" si="18"/>
        <v>73.44</v>
      </c>
      <c r="AD307" s="97">
        <v>0</v>
      </c>
      <c r="AE307" s="92">
        <v>0</v>
      </c>
      <c r="AF307" s="98">
        <f t="shared" si="20"/>
        <v>0</v>
      </c>
      <c r="AG307" s="97">
        <v>0</v>
      </c>
      <c r="AH307" s="92">
        <v>0</v>
      </c>
      <c r="AI307" s="98">
        <f t="shared" si="21"/>
        <v>0</v>
      </c>
      <c r="AJ307" s="99">
        <f t="shared" si="19"/>
        <v>0</v>
      </c>
      <c r="AK307" s="102" t="str">
        <f>+IF(X307+W307+AJ307&lt;=0, "NO COMPRADOR", +IF(AJ307&lt;=0, "SIN COMPRA "&amp;+UPPER(TEXT('DINAMICA ENERO 26'!$C$2,"mmm 'yy")), "COMPRADOR"))</f>
        <v>NO COMPRADOR</v>
      </c>
      <c r="AO307" s="100"/>
      <c r="AP307" s="100"/>
    </row>
    <row r="308" spans="1:42">
      <c r="A308" s="88" t="s">
        <v>379</v>
      </c>
      <c r="B308" s="89" t="s">
        <v>380</v>
      </c>
      <c r="C308" s="89" t="s">
        <v>38</v>
      </c>
      <c r="D308" s="103">
        <v>100071290</v>
      </c>
      <c r="E308" s="89" t="s">
        <v>41</v>
      </c>
      <c r="F308" s="89">
        <v>100001272</v>
      </c>
      <c r="G308" s="128" t="s">
        <v>393</v>
      </c>
      <c r="W308" s="93">
        <v>0</v>
      </c>
      <c r="X308" s="129">
        <v>0</v>
      </c>
      <c r="Y308" s="93">
        <v>538.56000000000006</v>
      </c>
      <c r="Z308" s="129">
        <v>538.56000000000006</v>
      </c>
      <c r="AA308" s="155">
        <f t="shared" si="18"/>
        <v>269.28000000000003</v>
      </c>
      <c r="AB308" s="98">
        <f t="shared" si="18"/>
        <v>269.28000000000003</v>
      </c>
      <c r="AD308" s="97">
        <v>0</v>
      </c>
      <c r="AE308" s="92">
        <v>0</v>
      </c>
      <c r="AF308" s="98">
        <f t="shared" si="20"/>
        <v>0</v>
      </c>
      <c r="AG308" s="97">
        <v>0</v>
      </c>
      <c r="AH308" s="92">
        <v>0</v>
      </c>
      <c r="AI308" s="98">
        <f t="shared" si="21"/>
        <v>0</v>
      </c>
      <c r="AJ308" s="99">
        <f t="shared" si="19"/>
        <v>0</v>
      </c>
      <c r="AK308" s="102" t="str">
        <f>+IF(X308+W308+AJ308&lt;=0, "NO COMPRADOR", +IF(AJ308&lt;=0, "SIN COMPRA "&amp;+UPPER(TEXT('DINAMICA ENERO 26'!$C$2,"mmm 'yy")), "COMPRADOR"))</f>
        <v>NO COMPRADOR</v>
      </c>
      <c r="AO308" s="100"/>
      <c r="AP308" s="100"/>
    </row>
    <row r="309" spans="1:42">
      <c r="A309" s="88" t="s">
        <v>379</v>
      </c>
      <c r="B309" s="89" t="s">
        <v>380</v>
      </c>
      <c r="C309" s="89" t="s">
        <v>38</v>
      </c>
      <c r="D309" s="103">
        <v>100071290</v>
      </c>
      <c r="E309" s="89" t="s">
        <v>41</v>
      </c>
      <c r="F309" s="89">
        <v>100001342</v>
      </c>
      <c r="G309" s="128" t="s">
        <v>387</v>
      </c>
      <c r="W309" s="93">
        <v>0</v>
      </c>
      <c r="X309" s="129">
        <v>0</v>
      </c>
      <c r="Y309" s="93">
        <v>0</v>
      </c>
      <c r="Z309" s="129">
        <v>0</v>
      </c>
      <c r="AA309" s="155">
        <f t="shared" si="18"/>
        <v>0</v>
      </c>
      <c r="AB309" s="98">
        <f t="shared" si="18"/>
        <v>0</v>
      </c>
      <c r="AD309" s="97">
        <v>0</v>
      </c>
      <c r="AE309" s="92">
        <v>0</v>
      </c>
      <c r="AF309" s="98">
        <f t="shared" si="20"/>
        <v>0</v>
      </c>
      <c r="AG309" s="97">
        <v>0</v>
      </c>
      <c r="AH309" s="92">
        <v>0</v>
      </c>
      <c r="AI309" s="98">
        <f t="shared" si="21"/>
        <v>0</v>
      </c>
      <c r="AJ309" s="99">
        <f t="shared" si="19"/>
        <v>0</v>
      </c>
      <c r="AK309" s="102" t="str">
        <f>+IF(X309+W309+AJ309&lt;=0, "NO COMPRADOR", +IF(AJ309&lt;=0, "SIN COMPRA "&amp;+UPPER(TEXT('DINAMICA ENERO 26'!$C$2,"mmm 'yy")), "COMPRADOR"))</f>
        <v>NO COMPRADOR</v>
      </c>
      <c r="AO309" s="100"/>
      <c r="AP309" s="100"/>
    </row>
    <row r="310" spans="1:42">
      <c r="A310" s="88" t="s">
        <v>379</v>
      </c>
      <c r="B310" s="89" t="s">
        <v>380</v>
      </c>
      <c r="C310" s="89" t="s">
        <v>38</v>
      </c>
      <c r="D310" s="103">
        <v>100071290</v>
      </c>
      <c r="E310" s="89" t="s">
        <v>41</v>
      </c>
      <c r="F310" s="89">
        <v>100001526</v>
      </c>
      <c r="G310" s="128" t="s">
        <v>394</v>
      </c>
      <c r="W310" s="93">
        <v>0</v>
      </c>
      <c r="X310" s="129">
        <v>0</v>
      </c>
      <c r="Y310" s="93">
        <v>334.56</v>
      </c>
      <c r="Z310" s="129">
        <v>252.96</v>
      </c>
      <c r="AA310" s="155">
        <f t="shared" si="18"/>
        <v>167.28</v>
      </c>
      <c r="AB310" s="98">
        <f t="shared" si="18"/>
        <v>126.48</v>
      </c>
      <c r="AD310" s="97">
        <v>0</v>
      </c>
      <c r="AE310" s="92">
        <v>0</v>
      </c>
      <c r="AF310" s="98">
        <f t="shared" si="20"/>
        <v>0</v>
      </c>
      <c r="AG310" s="97">
        <v>-8.16</v>
      </c>
      <c r="AH310" s="92">
        <v>0</v>
      </c>
      <c r="AI310" s="98">
        <f t="shared" si="21"/>
        <v>-8.16</v>
      </c>
      <c r="AJ310" s="99">
        <f t="shared" si="19"/>
        <v>-8.16</v>
      </c>
      <c r="AK310" s="102" t="str">
        <f>+IF(X310+W310+AJ310&lt;=0, "NO COMPRADOR", +IF(AJ310&lt;=0, "SIN COMPRA "&amp;+UPPER(TEXT('DINAMICA ENERO 26'!$C$2,"mmm 'yy")), "COMPRADOR"))</f>
        <v>NO COMPRADOR</v>
      </c>
      <c r="AO310" s="100"/>
      <c r="AP310" s="100"/>
    </row>
    <row r="311" spans="1:42">
      <c r="A311" s="88" t="s">
        <v>379</v>
      </c>
      <c r="B311" s="89" t="s">
        <v>380</v>
      </c>
      <c r="C311" s="89" t="s">
        <v>38</v>
      </c>
      <c r="D311" s="103">
        <v>100071290</v>
      </c>
      <c r="E311" s="89" t="s">
        <v>41</v>
      </c>
      <c r="F311" s="89">
        <v>100001979</v>
      </c>
      <c r="G311" s="128" t="s">
        <v>290</v>
      </c>
      <c r="W311" s="93">
        <v>0</v>
      </c>
      <c r="X311" s="129">
        <v>0</v>
      </c>
      <c r="Y311" s="93">
        <v>0</v>
      </c>
      <c r="Z311" s="129">
        <v>0</v>
      </c>
      <c r="AA311" s="155">
        <f t="shared" si="18"/>
        <v>0</v>
      </c>
      <c r="AB311" s="98">
        <f t="shared" si="18"/>
        <v>0</v>
      </c>
      <c r="AD311" s="97">
        <v>0</v>
      </c>
      <c r="AE311" s="92">
        <v>0</v>
      </c>
      <c r="AF311" s="98">
        <f t="shared" si="20"/>
        <v>0</v>
      </c>
      <c r="AG311" s="97">
        <v>0</v>
      </c>
      <c r="AH311" s="92">
        <v>0</v>
      </c>
      <c r="AI311" s="98">
        <f t="shared" si="21"/>
        <v>0</v>
      </c>
      <c r="AJ311" s="99">
        <f t="shared" si="19"/>
        <v>0</v>
      </c>
      <c r="AK311" s="102" t="str">
        <f>+IF(X311+W311+AJ311&lt;=0, "NO COMPRADOR", +IF(AJ311&lt;=0, "SIN COMPRA "&amp;+UPPER(TEXT('DINAMICA ENERO 26'!$C$2,"mmm 'yy")), "COMPRADOR"))</f>
        <v>NO COMPRADOR</v>
      </c>
      <c r="AO311" s="100"/>
      <c r="AP311" s="100"/>
    </row>
    <row r="312" spans="1:42">
      <c r="A312" s="88" t="s">
        <v>379</v>
      </c>
      <c r="B312" s="89" t="s">
        <v>380</v>
      </c>
      <c r="C312" s="89" t="s">
        <v>38</v>
      </c>
      <c r="D312" s="103">
        <v>100071290</v>
      </c>
      <c r="E312" s="89" t="s">
        <v>41</v>
      </c>
      <c r="F312" s="89">
        <v>100063475</v>
      </c>
      <c r="G312" s="128" t="s">
        <v>395</v>
      </c>
      <c r="W312" s="93">
        <v>0</v>
      </c>
      <c r="X312" s="129">
        <v>0</v>
      </c>
      <c r="Y312" s="93">
        <v>122.4</v>
      </c>
      <c r="Z312" s="129">
        <v>122.4</v>
      </c>
      <c r="AA312" s="155">
        <f t="shared" si="18"/>
        <v>61.2</v>
      </c>
      <c r="AB312" s="98">
        <f t="shared" si="18"/>
        <v>61.2</v>
      </c>
      <c r="AD312" s="97">
        <v>0</v>
      </c>
      <c r="AE312" s="92">
        <v>0</v>
      </c>
      <c r="AF312" s="98">
        <f t="shared" si="20"/>
        <v>0</v>
      </c>
      <c r="AG312" s="97">
        <v>0</v>
      </c>
      <c r="AH312" s="92">
        <v>0</v>
      </c>
      <c r="AI312" s="98">
        <f t="shared" si="21"/>
        <v>0</v>
      </c>
      <c r="AJ312" s="99">
        <f t="shared" si="19"/>
        <v>0</v>
      </c>
      <c r="AK312" s="102" t="str">
        <f>+IF(X312+W312+AJ312&lt;=0, "NO COMPRADOR", +IF(AJ312&lt;=0, "SIN COMPRA "&amp;+UPPER(TEXT('DINAMICA ENERO 26'!$C$2,"mmm 'yy")), "COMPRADOR"))</f>
        <v>NO COMPRADOR</v>
      </c>
      <c r="AO312" s="100"/>
      <c r="AP312" s="100"/>
    </row>
    <row r="313" spans="1:42">
      <c r="A313" s="88" t="s">
        <v>379</v>
      </c>
      <c r="B313" s="89" t="s">
        <v>380</v>
      </c>
      <c r="C313" s="89" t="s">
        <v>38</v>
      </c>
      <c r="D313" s="103">
        <v>100071290</v>
      </c>
      <c r="E313" s="89" t="s">
        <v>41</v>
      </c>
      <c r="F313" s="89">
        <v>100001583</v>
      </c>
      <c r="G313" s="128" t="s">
        <v>390</v>
      </c>
      <c r="W313" s="93">
        <v>0</v>
      </c>
      <c r="X313" s="129">
        <v>0</v>
      </c>
      <c r="Y313" s="93">
        <v>0</v>
      </c>
      <c r="Z313" s="129">
        <v>0</v>
      </c>
      <c r="AA313" s="155">
        <f t="shared" si="18"/>
        <v>0</v>
      </c>
      <c r="AB313" s="98">
        <f t="shared" si="18"/>
        <v>0</v>
      </c>
      <c r="AD313" s="97">
        <v>0</v>
      </c>
      <c r="AE313" s="92">
        <v>0</v>
      </c>
      <c r="AF313" s="98">
        <f t="shared" si="20"/>
        <v>0</v>
      </c>
      <c r="AG313" s="97">
        <v>0</v>
      </c>
      <c r="AH313" s="92">
        <v>0</v>
      </c>
      <c r="AI313" s="98">
        <f t="shared" si="21"/>
        <v>0</v>
      </c>
      <c r="AJ313" s="99">
        <f t="shared" si="19"/>
        <v>0</v>
      </c>
      <c r="AK313" s="102" t="str">
        <f>+IF(X313+W313+AJ313&lt;=0, "NO COMPRADOR", +IF(AJ313&lt;=0, "SIN COMPRA "&amp;+UPPER(TEXT('DINAMICA ENERO 26'!$C$2,"mmm 'yy")), "COMPRADOR"))</f>
        <v>NO COMPRADOR</v>
      </c>
      <c r="AO313" s="100"/>
      <c r="AP313" s="100"/>
    </row>
    <row r="314" spans="1:42">
      <c r="A314" s="88" t="s">
        <v>379</v>
      </c>
      <c r="B314" s="89" t="s">
        <v>380</v>
      </c>
      <c r="C314" s="89" t="s">
        <v>38</v>
      </c>
      <c r="D314" s="103">
        <v>100071290</v>
      </c>
      <c r="E314" s="89" t="s">
        <v>41</v>
      </c>
      <c r="F314" s="89">
        <v>100002003</v>
      </c>
      <c r="G314" s="128" t="s">
        <v>396</v>
      </c>
      <c r="W314" s="93">
        <v>16.32</v>
      </c>
      <c r="X314" s="129">
        <v>16.32</v>
      </c>
      <c r="Y314" s="93">
        <v>81.599999999999994</v>
      </c>
      <c r="Z314" s="129">
        <v>81.599999999999994</v>
      </c>
      <c r="AA314" s="155">
        <f t="shared" si="18"/>
        <v>48.959999999999994</v>
      </c>
      <c r="AB314" s="98">
        <f t="shared" si="18"/>
        <v>48.959999999999994</v>
      </c>
      <c r="AD314" s="97">
        <v>0</v>
      </c>
      <c r="AE314" s="92">
        <v>0</v>
      </c>
      <c r="AF314" s="98">
        <f t="shared" si="20"/>
        <v>0</v>
      </c>
      <c r="AG314" s="97">
        <v>0</v>
      </c>
      <c r="AH314" s="92">
        <v>0</v>
      </c>
      <c r="AI314" s="98">
        <f t="shared" si="21"/>
        <v>0</v>
      </c>
      <c r="AJ314" s="99">
        <f t="shared" si="19"/>
        <v>0</v>
      </c>
      <c r="AK314" s="102" t="str">
        <f>+IF(X314+W314+AJ314&lt;=0, "NO COMPRADOR", +IF(AJ314&lt;=0, "SIN COMPRA "&amp;+UPPER(TEXT('DINAMICA ENERO 26'!$C$2,"mmm 'yy")), "COMPRADOR"))</f>
        <v>SIN COMPRA FEB '26</v>
      </c>
      <c r="AO314" s="100"/>
      <c r="AP314" s="100"/>
    </row>
    <row r="315" spans="1:42">
      <c r="A315" s="88" t="s">
        <v>379</v>
      </c>
      <c r="B315" s="89" t="s">
        <v>380</v>
      </c>
      <c r="C315" s="89" t="s">
        <v>38</v>
      </c>
      <c r="D315" s="103">
        <v>100071290</v>
      </c>
      <c r="E315" s="89" t="s">
        <v>41</v>
      </c>
      <c r="F315" s="89">
        <v>100002411</v>
      </c>
      <c r="G315" s="128" t="s">
        <v>397</v>
      </c>
      <c r="W315" s="93">
        <v>0</v>
      </c>
      <c r="X315" s="129">
        <v>0</v>
      </c>
      <c r="Y315" s="93">
        <v>0</v>
      </c>
      <c r="Z315" s="129">
        <v>0</v>
      </c>
      <c r="AA315" s="155">
        <f t="shared" si="18"/>
        <v>0</v>
      </c>
      <c r="AB315" s="98">
        <f t="shared" si="18"/>
        <v>0</v>
      </c>
      <c r="AD315" s="97">
        <v>0</v>
      </c>
      <c r="AE315" s="92">
        <v>0</v>
      </c>
      <c r="AF315" s="98">
        <f t="shared" si="20"/>
        <v>0</v>
      </c>
      <c r="AG315" s="97">
        <v>0</v>
      </c>
      <c r="AH315" s="92">
        <v>0</v>
      </c>
      <c r="AI315" s="98">
        <f t="shared" si="21"/>
        <v>0</v>
      </c>
      <c r="AJ315" s="99">
        <f t="shared" si="19"/>
        <v>0</v>
      </c>
      <c r="AK315" s="102" t="str">
        <f>+IF(X315+W315+AJ315&lt;=0, "NO COMPRADOR", +IF(AJ315&lt;=0, "SIN COMPRA "&amp;+UPPER(TEXT('DINAMICA ENERO 26'!$C$2,"mmm 'yy")), "COMPRADOR"))</f>
        <v>NO COMPRADOR</v>
      </c>
      <c r="AO315" s="100"/>
      <c r="AP315" s="100"/>
    </row>
    <row r="316" spans="1:42">
      <c r="A316" s="88" t="s">
        <v>379</v>
      </c>
      <c r="B316" s="89" t="s">
        <v>380</v>
      </c>
      <c r="C316" s="89" t="s">
        <v>38</v>
      </c>
      <c r="D316" s="103">
        <v>100071290</v>
      </c>
      <c r="E316" s="89" t="s">
        <v>41</v>
      </c>
      <c r="F316" s="89">
        <v>100002069</v>
      </c>
      <c r="G316" s="128" t="s">
        <v>398</v>
      </c>
      <c r="W316" s="93">
        <v>0</v>
      </c>
      <c r="X316" s="129">
        <v>0</v>
      </c>
      <c r="Y316" s="93">
        <v>0</v>
      </c>
      <c r="Z316" s="129">
        <v>0</v>
      </c>
      <c r="AA316" s="155">
        <f t="shared" si="18"/>
        <v>0</v>
      </c>
      <c r="AB316" s="98">
        <f t="shared" si="18"/>
        <v>0</v>
      </c>
      <c r="AD316" s="97">
        <v>0</v>
      </c>
      <c r="AE316" s="92">
        <v>0</v>
      </c>
      <c r="AF316" s="98">
        <f t="shared" si="20"/>
        <v>0</v>
      </c>
      <c r="AG316" s="97">
        <v>0</v>
      </c>
      <c r="AH316" s="92">
        <v>0</v>
      </c>
      <c r="AI316" s="98">
        <f t="shared" si="21"/>
        <v>0</v>
      </c>
      <c r="AJ316" s="99">
        <f t="shared" si="19"/>
        <v>0</v>
      </c>
      <c r="AK316" s="102" t="str">
        <f>+IF(X316+W316+AJ316&lt;=0, "NO COMPRADOR", +IF(AJ316&lt;=0, "SIN COMPRA "&amp;+UPPER(TEXT('DINAMICA ENERO 26'!$C$2,"mmm 'yy")), "COMPRADOR"))</f>
        <v>NO COMPRADOR</v>
      </c>
      <c r="AO316" s="100"/>
      <c r="AP316" s="100"/>
    </row>
    <row r="317" spans="1:42">
      <c r="A317" s="88" t="s">
        <v>379</v>
      </c>
      <c r="B317" s="89" t="s">
        <v>380</v>
      </c>
      <c r="C317" s="89" t="s">
        <v>38</v>
      </c>
      <c r="D317" s="103">
        <v>100071290</v>
      </c>
      <c r="E317" s="89" t="s">
        <v>41</v>
      </c>
      <c r="F317" s="89">
        <v>100002068</v>
      </c>
      <c r="G317" s="128" t="s">
        <v>399</v>
      </c>
      <c r="W317" s="93">
        <v>0</v>
      </c>
      <c r="X317" s="129">
        <v>0</v>
      </c>
      <c r="Y317" s="93">
        <v>0</v>
      </c>
      <c r="Z317" s="129">
        <v>0</v>
      </c>
      <c r="AA317" s="155">
        <f t="shared" si="18"/>
        <v>0</v>
      </c>
      <c r="AB317" s="98">
        <f t="shared" si="18"/>
        <v>0</v>
      </c>
      <c r="AD317" s="97">
        <v>0</v>
      </c>
      <c r="AE317" s="92">
        <v>0</v>
      </c>
      <c r="AF317" s="98">
        <f t="shared" si="20"/>
        <v>0</v>
      </c>
      <c r="AG317" s="97">
        <v>0</v>
      </c>
      <c r="AH317" s="92">
        <v>0</v>
      </c>
      <c r="AI317" s="98">
        <f t="shared" si="21"/>
        <v>0</v>
      </c>
      <c r="AJ317" s="99">
        <f t="shared" si="19"/>
        <v>0</v>
      </c>
      <c r="AK317" s="102" t="str">
        <f>+IF(X317+W317+AJ317&lt;=0, "NO COMPRADOR", +IF(AJ317&lt;=0, "SIN COMPRA "&amp;+UPPER(TEXT('DINAMICA ENERO 26'!$C$2,"mmm 'yy")), "COMPRADOR"))</f>
        <v>NO COMPRADOR</v>
      </c>
      <c r="AO317" s="100"/>
      <c r="AP317" s="100"/>
    </row>
    <row r="318" spans="1:42">
      <c r="A318" s="88" t="s">
        <v>379</v>
      </c>
      <c r="B318" s="89" t="s">
        <v>380</v>
      </c>
      <c r="C318" s="89" t="s">
        <v>38</v>
      </c>
      <c r="D318" s="103">
        <v>100071290</v>
      </c>
      <c r="E318" s="89" t="s">
        <v>41</v>
      </c>
      <c r="F318" s="89">
        <v>100008576</v>
      </c>
      <c r="G318" s="128" t="s">
        <v>400</v>
      </c>
      <c r="W318" s="93">
        <v>0</v>
      </c>
      <c r="X318" s="129">
        <v>0</v>
      </c>
      <c r="Y318" s="93">
        <v>0</v>
      </c>
      <c r="Z318" s="129">
        <v>0</v>
      </c>
      <c r="AA318" s="155">
        <f t="shared" si="18"/>
        <v>0</v>
      </c>
      <c r="AB318" s="98">
        <f t="shared" si="18"/>
        <v>0</v>
      </c>
      <c r="AD318" s="97">
        <v>0</v>
      </c>
      <c r="AE318" s="92">
        <v>408</v>
      </c>
      <c r="AF318" s="98">
        <f t="shared" si="20"/>
        <v>408</v>
      </c>
      <c r="AG318" s="97">
        <v>0</v>
      </c>
      <c r="AH318" s="92">
        <v>408</v>
      </c>
      <c r="AI318" s="98">
        <f t="shared" si="21"/>
        <v>408</v>
      </c>
      <c r="AJ318" s="99">
        <f t="shared" si="19"/>
        <v>816</v>
      </c>
      <c r="AK318" s="102" t="str">
        <f>+IF(X318+W318+AJ318&lt;=0, "NO COMPRADOR", +IF(AJ318&lt;=0, "SIN COMPRA "&amp;+UPPER(TEXT('DINAMICA ENERO 26'!$C$2,"mmm 'yy")), "COMPRADOR"))</f>
        <v>COMPRADOR</v>
      </c>
      <c r="AO318" s="100"/>
      <c r="AP318" s="100"/>
    </row>
    <row r="319" spans="1:42">
      <c r="A319" s="88" t="s">
        <v>379</v>
      </c>
      <c r="B319" s="89" t="s">
        <v>401</v>
      </c>
      <c r="C319" s="89" t="s">
        <v>60</v>
      </c>
      <c r="D319" s="103">
        <v>100088964</v>
      </c>
      <c r="E319" s="89" t="s">
        <v>64</v>
      </c>
      <c r="F319" s="89">
        <v>100001342</v>
      </c>
      <c r="G319" s="128" t="s">
        <v>387</v>
      </c>
      <c r="W319" s="93">
        <v>0</v>
      </c>
      <c r="X319" s="129">
        <v>0</v>
      </c>
      <c r="Y319" s="93">
        <v>0</v>
      </c>
      <c r="Z319" s="129">
        <v>0</v>
      </c>
      <c r="AA319" s="155">
        <f t="shared" si="18"/>
        <v>0</v>
      </c>
      <c r="AB319" s="98">
        <f t="shared" si="18"/>
        <v>0</v>
      </c>
      <c r="AD319" s="97">
        <v>0</v>
      </c>
      <c r="AE319" s="92">
        <v>0</v>
      </c>
      <c r="AF319" s="98">
        <f t="shared" si="20"/>
        <v>0</v>
      </c>
      <c r="AG319" s="97">
        <v>0</v>
      </c>
      <c r="AH319" s="92">
        <v>0</v>
      </c>
      <c r="AI319" s="98">
        <f t="shared" si="21"/>
        <v>0</v>
      </c>
      <c r="AJ319" s="99">
        <f t="shared" si="19"/>
        <v>0</v>
      </c>
      <c r="AK319" s="102" t="str">
        <f>+IF(X319+W319+AJ319&lt;=0, "NO COMPRADOR", +IF(AJ319&lt;=0, "SIN COMPRA "&amp;+UPPER(TEXT('DINAMICA ENERO 26'!$C$2,"mmm 'yy")), "COMPRADOR"))</f>
        <v>NO COMPRADOR</v>
      </c>
      <c r="AO319" s="100"/>
      <c r="AP319" s="100"/>
    </row>
    <row r="320" spans="1:42">
      <c r="A320" s="88" t="s">
        <v>379</v>
      </c>
      <c r="B320" s="89" t="s">
        <v>401</v>
      </c>
      <c r="C320" s="89" t="s">
        <v>60</v>
      </c>
      <c r="D320" s="103">
        <v>100088964</v>
      </c>
      <c r="E320" s="89" t="s">
        <v>64</v>
      </c>
      <c r="F320" s="89">
        <v>100001434</v>
      </c>
      <c r="G320" s="128" t="s">
        <v>381</v>
      </c>
      <c r="W320" s="93">
        <v>0</v>
      </c>
      <c r="X320" s="129">
        <v>0</v>
      </c>
      <c r="Y320" s="93">
        <v>0</v>
      </c>
      <c r="Z320" s="129">
        <v>0</v>
      </c>
      <c r="AA320" s="155">
        <f t="shared" si="18"/>
        <v>0</v>
      </c>
      <c r="AB320" s="98">
        <f t="shared" si="18"/>
        <v>0</v>
      </c>
      <c r="AD320" s="97">
        <v>0</v>
      </c>
      <c r="AE320" s="92">
        <v>0</v>
      </c>
      <c r="AF320" s="98">
        <f t="shared" si="20"/>
        <v>0</v>
      </c>
      <c r="AG320" s="97">
        <v>0</v>
      </c>
      <c r="AH320" s="92">
        <v>0</v>
      </c>
      <c r="AI320" s="98">
        <f t="shared" si="21"/>
        <v>0</v>
      </c>
      <c r="AJ320" s="99">
        <f t="shared" si="19"/>
        <v>0</v>
      </c>
      <c r="AK320" s="102" t="str">
        <f>+IF(X320+W320+AJ320&lt;=0, "NO COMPRADOR", +IF(AJ320&lt;=0, "SIN COMPRA "&amp;+UPPER(TEXT('DINAMICA ENERO 26'!$C$2,"mmm 'yy")), "COMPRADOR"))</f>
        <v>NO COMPRADOR</v>
      </c>
      <c r="AO320" s="100"/>
      <c r="AP320" s="100"/>
    </row>
    <row r="321" spans="1:42">
      <c r="A321" s="88" t="s">
        <v>379</v>
      </c>
      <c r="B321" s="89" t="s">
        <v>401</v>
      </c>
      <c r="C321" s="89" t="s">
        <v>60</v>
      </c>
      <c r="D321" s="103">
        <v>100088964</v>
      </c>
      <c r="E321" s="89" t="s">
        <v>64</v>
      </c>
      <c r="F321" s="89">
        <v>100001507</v>
      </c>
      <c r="G321" s="128" t="s">
        <v>402</v>
      </c>
      <c r="W321" s="93">
        <v>0</v>
      </c>
      <c r="X321" s="129">
        <v>0</v>
      </c>
      <c r="Y321" s="93">
        <v>0</v>
      </c>
      <c r="Z321" s="129">
        <v>0</v>
      </c>
      <c r="AA321" s="155">
        <f t="shared" si="18"/>
        <v>0</v>
      </c>
      <c r="AB321" s="98">
        <f t="shared" si="18"/>
        <v>0</v>
      </c>
      <c r="AD321" s="97">
        <v>0</v>
      </c>
      <c r="AE321" s="92">
        <v>0</v>
      </c>
      <c r="AF321" s="98">
        <f t="shared" si="20"/>
        <v>0</v>
      </c>
      <c r="AG321" s="97">
        <v>0</v>
      </c>
      <c r="AH321" s="92">
        <v>0</v>
      </c>
      <c r="AI321" s="98">
        <f t="shared" si="21"/>
        <v>0</v>
      </c>
      <c r="AJ321" s="99">
        <f t="shared" si="19"/>
        <v>0</v>
      </c>
      <c r="AK321" s="102" t="str">
        <f>+IF(X321+W321+AJ321&lt;=0, "NO COMPRADOR", +IF(AJ321&lt;=0, "SIN COMPRA "&amp;+UPPER(TEXT('DINAMICA ENERO 26'!$C$2,"mmm 'yy")), "COMPRADOR"))</f>
        <v>NO COMPRADOR</v>
      </c>
      <c r="AO321" s="100"/>
      <c r="AP321" s="100"/>
    </row>
    <row r="322" spans="1:42">
      <c r="A322" s="88" t="s">
        <v>379</v>
      </c>
      <c r="B322" s="89" t="s">
        <v>401</v>
      </c>
      <c r="C322" s="89" t="s">
        <v>60</v>
      </c>
      <c r="D322" s="103">
        <v>100088964</v>
      </c>
      <c r="E322" s="89" t="s">
        <v>64</v>
      </c>
      <c r="F322" s="89">
        <v>100074147</v>
      </c>
      <c r="G322" s="128" t="s">
        <v>403</v>
      </c>
      <c r="W322" s="93">
        <v>0</v>
      </c>
      <c r="X322" s="129">
        <v>0</v>
      </c>
      <c r="Y322" s="93">
        <v>8.16</v>
      </c>
      <c r="Z322" s="129">
        <v>8.16</v>
      </c>
      <c r="AA322" s="155">
        <f t="shared" si="18"/>
        <v>4.08</v>
      </c>
      <c r="AB322" s="98">
        <f t="shared" si="18"/>
        <v>4.08</v>
      </c>
      <c r="AD322" s="97">
        <v>0</v>
      </c>
      <c r="AE322" s="92">
        <v>0</v>
      </c>
      <c r="AF322" s="98">
        <f t="shared" si="20"/>
        <v>0</v>
      </c>
      <c r="AG322" s="97">
        <v>0</v>
      </c>
      <c r="AH322" s="92">
        <v>0</v>
      </c>
      <c r="AI322" s="98">
        <f t="shared" si="21"/>
        <v>0</v>
      </c>
      <c r="AJ322" s="99">
        <f t="shared" si="19"/>
        <v>0</v>
      </c>
      <c r="AK322" s="102" t="str">
        <f>+IF(X322+W322+AJ322&lt;=0, "NO COMPRADOR", +IF(AJ322&lt;=0, "SIN COMPRA "&amp;+UPPER(TEXT('DINAMICA ENERO 26'!$C$2,"mmm 'yy")), "COMPRADOR"))</f>
        <v>NO COMPRADOR</v>
      </c>
      <c r="AO322" s="100"/>
      <c r="AP322" s="100"/>
    </row>
    <row r="323" spans="1:42">
      <c r="A323" s="88" t="s">
        <v>379</v>
      </c>
      <c r="B323" s="89" t="s">
        <v>401</v>
      </c>
      <c r="C323" s="89" t="s">
        <v>60</v>
      </c>
      <c r="D323" s="103">
        <v>100088964</v>
      </c>
      <c r="E323" s="89" t="s">
        <v>64</v>
      </c>
      <c r="F323" s="89">
        <v>100071913</v>
      </c>
      <c r="G323" s="128" t="s">
        <v>404</v>
      </c>
      <c r="W323" s="93">
        <v>0</v>
      </c>
      <c r="X323" s="129">
        <v>0</v>
      </c>
      <c r="Y323" s="93">
        <v>0</v>
      </c>
      <c r="Z323" s="129">
        <v>0</v>
      </c>
      <c r="AA323" s="155">
        <f t="shared" ref="AA323:AB366" si="22">+AVERAGE(W323,Y323)</f>
        <v>0</v>
      </c>
      <c r="AB323" s="98">
        <f t="shared" si="22"/>
        <v>0</v>
      </c>
      <c r="AD323" s="97">
        <v>0</v>
      </c>
      <c r="AE323" s="92">
        <v>0</v>
      </c>
      <c r="AF323" s="98">
        <f t="shared" si="20"/>
        <v>0</v>
      </c>
      <c r="AG323" s="97">
        <v>0</v>
      </c>
      <c r="AH323" s="92">
        <v>0</v>
      </c>
      <c r="AI323" s="98">
        <f t="shared" si="21"/>
        <v>0</v>
      </c>
      <c r="AJ323" s="99">
        <f t="shared" ref="AJ323:AJ371" si="23">+AF323+AI323</f>
        <v>0</v>
      </c>
      <c r="AK323" s="102" t="str">
        <f>+IF(X323+W323+AJ323&lt;=0, "NO COMPRADOR", +IF(AJ323&lt;=0, "SIN COMPRA "&amp;+UPPER(TEXT('DINAMICA ENERO 26'!$C$2,"mmm 'yy")), "COMPRADOR"))</f>
        <v>NO COMPRADOR</v>
      </c>
      <c r="AO323" s="100"/>
      <c r="AP323" s="100"/>
    </row>
    <row r="324" spans="1:42">
      <c r="A324" s="88" t="s">
        <v>379</v>
      </c>
      <c r="B324" s="89" t="s">
        <v>405</v>
      </c>
      <c r="C324" s="89" t="s">
        <v>32</v>
      </c>
      <c r="D324" s="103">
        <v>100089882</v>
      </c>
      <c r="E324" s="89" t="s">
        <v>36</v>
      </c>
      <c r="F324" s="89">
        <v>100001979</v>
      </c>
      <c r="G324" s="128" t="s">
        <v>290</v>
      </c>
      <c r="W324" s="93">
        <v>0</v>
      </c>
      <c r="X324" s="129">
        <v>0</v>
      </c>
      <c r="Y324" s="93">
        <v>0</v>
      </c>
      <c r="Z324" s="129">
        <v>0</v>
      </c>
      <c r="AA324" s="155">
        <f t="shared" si="22"/>
        <v>0</v>
      </c>
      <c r="AB324" s="98">
        <f t="shared" si="22"/>
        <v>0</v>
      </c>
      <c r="AD324" s="97">
        <v>0</v>
      </c>
      <c r="AE324" s="92">
        <v>0</v>
      </c>
      <c r="AF324" s="98">
        <f t="shared" ref="AF324:AF372" si="24">+AD324+AE324</f>
        <v>0</v>
      </c>
      <c r="AG324" s="97">
        <v>0</v>
      </c>
      <c r="AH324" s="92">
        <v>0</v>
      </c>
      <c r="AI324" s="98">
        <f t="shared" si="21"/>
        <v>0</v>
      </c>
      <c r="AJ324" s="99">
        <f t="shared" si="23"/>
        <v>0</v>
      </c>
      <c r="AK324" s="102" t="str">
        <f>+IF(X324+W324+AJ324&lt;=0, "NO COMPRADOR", +IF(AJ324&lt;=0, "SIN COMPRA "&amp;+UPPER(TEXT('DINAMICA ENERO 26'!$C$2,"mmm 'yy")), "COMPRADOR"))</f>
        <v>NO COMPRADOR</v>
      </c>
      <c r="AO324" s="100"/>
      <c r="AP324" s="100"/>
    </row>
    <row r="325" spans="1:42">
      <c r="A325" s="88" t="s">
        <v>379</v>
      </c>
      <c r="B325" s="89" t="s">
        <v>405</v>
      </c>
      <c r="C325" s="89" t="s">
        <v>32</v>
      </c>
      <c r="D325" s="103">
        <v>100089882</v>
      </c>
      <c r="E325" s="89" t="s">
        <v>36</v>
      </c>
      <c r="F325" s="89">
        <v>100001914</v>
      </c>
      <c r="G325" s="128" t="s">
        <v>406</v>
      </c>
      <c r="W325" s="93">
        <v>0</v>
      </c>
      <c r="X325" s="129">
        <v>0</v>
      </c>
      <c r="Y325" s="93">
        <v>0</v>
      </c>
      <c r="Z325" s="129">
        <v>0</v>
      </c>
      <c r="AA325" s="155">
        <f t="shared" si="22"/>
        <v>0</v>
      </c>
      <c r="AB325" s="98">
        <f t="shared" si="22"/>
        <v>0</v>
      </c>
      <c r="AD325" s="97">
        <v>0</v>
      </c>
      <c r="AE325" s="92">
        <v>0</v>
      </c>
      <c r="AF325" s="98">
        <f t="shared" si="24"/>
        <v>0</v>
      </c>
      <c r="AG325" s="97">
        <v>0</v>
      </c>
      <c r="AH325" s="92">
        <v>0</v>
      </c>
      <c r="AI325" s="98">
        <f t="shared" si="21"/>
        <v>0</v>
      </c>
      <c r="AJ325" s="99">
        <f t="shared" si="23"/>
        <v>0</v>
      </c>
      <c r="AK325" s="102" t="str">
        <f>+IF(X325+W325+AJ325&lt;=0, "NO COMPRADOR", +IF(AJ325&lt;=0, "SIN COMPRA "&amp;+UPPER(TEXT('DINAMICA ENERO 26'!$C$2,"mmm 'yy")), "COMPRADOR"))</f>
        <v>NO COMPRADOR</v>
      </c>
      <c r="AO325" s="100"/>
      <c r="AP325" s="100"/>
    </row>
    <row r="326" spans="1:42">
      <c r="A326" s="88" t="s">
        <v>407</v>
      </c>
      <c r="B326" s="89" t="s">
        <v>407</v>
      </c>
      <c r="C326" s="89" t="s">
        <v>32</v>
      </c>
      <c r="D326" s="103">
        <v>100066387</v>
      </c>
      <c r="E326" s="89" t="s">
        <v>34</v>
      </c>
      <c r="F326" s="89">
        <v>100002258</v>
      </c>
      <c r="G326" s="128" t="s">
        <v>408</v>
      </c>
      <c r="W326" s="93">
        <v>0</v>
      </c>
      <c r="X326" s="129">
        <v>0</v>
      </c>
      <c r="Y326" s="93">
        <v>0</v>
      </c>
      <c r="Z326" s="129">
        <v>0</v>
      </c>
      <c r="AA326" s="155">
        <f t="shared" si="22"/>
        <v>0</v>
      </c>
      <c r="AB326" s="98">
        <f t="shared" si="22"/>
        <v>0</v>
      </c>
      <c r="AD326" s="97">
        <v>0</v>
      </c>
      <c r="AE326" s="92">
        <v>0</v>
      </c>
      <c r="AF326" s="98">
        <f t="shared" si="24"/>
        <v>0</v>
      </c>
      <c r="AG326" s="97">
        <v>0</v>
      </c>
      <c r="AH326" s="92">
        <v>0</v>
      </c>
      <c r="AI326" s="98">
        <f t="shared" si="21"/>
        <v>0</v>
      </c>
      <c r="AJ326" s="99">
        <f t="shared" si="23"/>
        <v>0</v>
      </c>
      <c r="AK326" s="102" t="str">
        <f>+IF(X326+W326+AJ326&lt;=0, "NO COMPRADOR", +IF(AJ326&lt;=0, "SIN COMPRA "&amp;+UPPER(TEXT('DINAMICA ENERO 26'!$C$2,"mmm 'yy")), "COMPRADOR"))</f>
        <v>NO COMPRADOR</v>
      </c>
      <c r="AO326" s="100"/>
      <c r="AP326" s="100"/>
    </row>
    <row r="327" spans="1:42">
      <c r="A327" s="88" t="s">
        <v>407</v>
      </c>
      <c r="B327" s="89" t="s">
        <v>407</v>
      </c>
      <c r="C327" s="89" t="s">
        <v>32</v>
      </c>
      <c r="D327" s="103">
        <v>100087600</v>
      </c>
      <c r="E327" s="89" t="s">
        <v>33</v>
      </c>
      <c r="F327" s="89">
        <v>100002545</v>
      </c>
      <c r="G327" s="128" t="s">
        <v>409</v>
      </c>
      <c r="W327" s="93">
        <v>0</v>
      </c>
      <c r="X327" s="129">
        <v>0</v>
      </c>
      <c r="Y327" s="93">
        <v>0</v>
      </c>
      <c r="Z327" s="129">
        <v>0</v>
      </c>
      <c r="AA327" s="155">
        <f t="shared" si="22"/>
        <v>0</v>
      </c>
      <c r="AB327" s="98">
        <f t="shared" si="22"/>
        <v>0</v>
      </c>
      <c r="AD327" s="97">
        <v>0</v>
      </c>
      <c r="AE327" s="92">
        <v>0</v>
      </c>
      <c r="AF327" s="98">
        <f t="shared" si="24"/>
        <v>0</v>
      </c>
      <c r="AG327" s="97">
        <v>0</v>
      </c>
      <c r="AH327" s="92">
        <v>0</v>
      </c>
      <c r="AI327" s="98">
        <f t="shared" si="21"/>
        <v>0</v>
      </c>
      <c r="AJ327" s="99">
        <f t="shared" si="23"/>
        <v>0</v>
      </c>
      <c r="AK327" s="102" t="str">
        <f>+IF(X327+W327+AJ327&lt;=0, "NO COMPRADOR", +IF(AJ327&lt;=0, "SIN COMPRA "&amp;+UPPER(TEXT('DINAMICA ENERO 26'!$C$2,"mmm 'yy")), "COMPRADOR"))</f>
        <v>NO COMPRADOR</v>
      </c>
      <c r="AO327" s="100"/>
      <c r="AP327" s="100"/>
    </row>
    <row r="328" spans="1:42">
      <c r="A328" s="88" t="s">
        <v>407</v>
      </c>
      <c r="B328" s="89" t="s">
        <v>407</v>
      </c>
      <c r="C328" s="89" t="s">
        <v>32</v>
      </c>
      <c r="D328" s="103">
        <v>100087600</v>
      </c>
      <c r="E328" s="89" t="s">
        <v>33</v>
      </c>
      <c r="F328" s="89">
        <v>100002424</v>
      </c>
      <c r="G328" s="128" t="s">
        <v>410</v>
      </c>
      <c r="W328" s="93">
        <v>0</v>
      </c>
      <c r="X328" s="129">
        <v>0</v>
      </c>
      <c r="Y328" s="93">
        <v>0</v>
      </c>
      <c r="Z328" s="129">
        <v>0</v>
      </c>
      <c r="AA328" s="155">
        <f t="shared" si="22"/>
        <v>0</v>
      </c>
      <c r="AB328" s="98">
        <f t="shared" si="22"/>
        <v>0</v>
      </c>
      <c r="AD328" s="97">
        <v>0</v>
      </c>
      <c r="AE328" s="92">
        <v>0</v>
      </c>
      <c r="AF328" s="98">
        <f t="shared" si="24"/>
        <v>0</v>
      </c>
      <c r="AG328" s="97">
        <v>0</v>
      </c>
      <c r="AH328" s="92">
        <v>0</v>
      </c>
      <c r="AI328" s="98">
        <f t="shared" si="21"/>
        <v>0</v>
      </c>
      <c r="AJ328" s="99">
        <f t="shared" si="23"/>
        <v>0</v>
      </c>
      <c r="AK328" s="102" t="str">
        <f>+IF(X328+W328+AJ328&lt;=0, "NO COMPRADOR", +IF(AJ328&lt;=0, "SIN COMPRA "&amp;+UPPER(TEXT('DINAMICA ENERO 26'!$C$2,"mmm 'yy")), "COMPRADOR"))</f>
        <v>NO COMPRADOR</v>
      </c>
      <c r="AO328" s="100"/>
      <c r="AP328" s="100"/>
    </row>
    <row r="329" spans="1:42">
      <c r="A329" s="88" t="s">
        <v>407</v>
      </c>
      <c r="B329" s="89" t="s">
        <v>407</v>
      </c>
      <c r="C329" s="89" t="s">
        <v>32</v>
      </c>
      <c r="D329" s="103">
        <v>100087600</v>
      </c>
      <c r="E329" s="89" t="s">
        <v>33</v>
      </c>
      <c r="F329" s="89">
        <v>100002055</v>
      </c>
      <c r="G329" s="128" t="s">
        <v>411</v>
      </c>
      <c r="W329" s="93">
        <v>0</v>
      </c>
      <c r="X329" s="129">
        <v>0</v>
      </c>
      <c r="Y329" s="93">
        <v>0</v>
      </c>
      <c r="Z329" s="129">
        <v>0</v>
      </c>
      <c r="AA329" s="155">
        <f t="shared" si="22"/>
        <v>0</v>
      </c>
      <c r="AB329" s="98">
        <f t="shared" si="22"/>
        <v>0</v>
      </c>
      <c r="AD329" s="97">
        <v>0</v>
      </c>
      <c r="AE329" s="92">
        <v>0</v>
      </c>
      <c r="AF329" s="98">
        <f t="shared" si="24"/>
        <v>0</v>
      </c>
      <c r="AG329" s="97">
        <v>0</v>
      </c>
      <c r="AH329" s="92">
        <v>0</v>
      </c>
      <c r="AI329" s="98">
        <f t="shared" si="21"/>
        <v>0</v>
      </c>
      <c r="AJ329" s="99">
        <f t="shared" si="23"/>
        <v>0</v>
      </c>
      <c r="AK329" s="102" t="str">
        <f>+IF(X329+W329+AJ329&lt;=0, "NO COMPRADOR", +IF(AJ329&lt;=0, "SIN COMPRA "&amp;+UPPER(TEXT('DINAMICA ENERO 26'!$C$2,"mmm 'yy")), "COMPRADOR"))</f>
        <v>NO COMPRADOR</v>
      </c>
      <c r="AO329" s="100"/>
      <c r="AP329" s="100"/>
    </row>
    <row r="330" spans="1:42">
      <c r="A330" s="88" t="s">
        <v>407</v>
      </c>
      <c r="B330" s="89" t="s">
        <v>407</v>
      </c>
      <c r="C330" s="89" t="s">
        <v>32</v>
      </c>
      <c r="D330" s="103">
        <v>100087600</v>
      </c>
      <c r="E330" s="89" t="s">
        <v>33</v>
      </c>
      <c r="F330" s="89">
        <v>100002054</v>
      </c>
      <c r="G330" s="128" t="s">
        <v>412</v>
      </c>
      <c r="W330" s="93">
        <v>0</v>
      </c>
      <c r="X330" s="129">
        <v>0</v>
      </c>
      <c r="Y330" s="93">
        <v>0</v>
      </c>
      <c r="Z330" s="129">
        <v>0</v>
      </c>
      <c r="AA330" s="155">
        <f t="shared" si="22"/>
        <v>0</v>
      </c>
      <c r="AB330" s="98">
        <f t="shared" si="22"/>
        <v>0</v>
      </c>
      <c r="AD330" s="97">
        <v>0</v>
      </c>
      <c r="AE330" s="92">
        <v>0</v>
      </c>
      <c r="AF330" s="98">
        <f t="shared" si="24"/>
        <v>0</v>
      </c>
      <c r="AG330" s="97">
        <v>0</v>
      </c>
      <c r="AH330" s="92">
        <v>0</v>
      </c>
      <c r="AI330" s="98">
        <f t="shared" si="21"/>
        <v>0</v>
      </c>
      <c r="AJ330" s="99">
        <f t="shared" si="23"/>
        <v>0</v>
      </c>
      <c r="AK330" s="102" t="str">
        <f>+IF(X330+W330+AJ330&lt;=0, "NO COMPRADOR", +IF(AJ330&lt;=0, "SIN COMPRA "&amp;+UPPER(TEXT('DINAMICA ENERO 26'!$C$2,"mmm 'yy")), "COMPRADOR"))</f>
        <v>NO COMPRADOR</v>
      </c>
      <c r="AO330" s="100"/>
      <c r="AP330" s="100"/>
    </row>
    <row r="331" spans="1:42">
      <c r="A331" s="88" t="s">
        <v>407</v>
      </c>
      <c r="B331" s="89" t="s">
        <v>407</v>
      </c>
      <c r="C331" s="89" t="s">
        <v>32</v>
      </c>
      <c r="D331" s="103">
        <v>100087600</v>
      </c>
      <c r="E331" s="89" t="s">
        <v>33</v>
      </c>
      <c r="F331" s="89">
        <v>100001241</v>
      </c>
      <c r="G331" s="128" t="s">
        <v>413</v>
      </c>
      <c r="W331" s="93">
        <v>0</v>
      </c>
      <c r="X331" s="129">
        <v>0</v>
      </c>
      <c r="Y331" s="93">
        <v>0</v>
      </c>
      <c r="Z331" s="129">
        <v>0</v>
      </c>
      <c r="AA331" s="155">
        <f t="shared" si="22"/>
        <v>0</v>
      </c>
      <c r="AB331" s="98">
        <f t="shared" si="22"/>
        <v>0</v>
      </c>
      <c r="AD331" s="97">
        <v>0</v>
      </c>
      <c r="AE331" s="92">
        <v>0</v>
      </c>
      <c r="AF331" s="98">
        <f t="shared" si="24"/>
        <v>0</v>
      </c>
      <c r="AG331" s="97">
        <v>0</v>
      </c>
      <c r="AH331" s="92">
        <v>0</v>
      </c>
      <c r="AI331" s="98">
        <f t="shared" si="21"/>
        <v>0</v>
      </c>
      <c r="AJ331" s="99">
        <f t="shared" si="23"/>
        <v>0</v>
      </c>
      <c r="AK331" s="102" t="str">
        <f>+IF(X331+W331+AJ331&lt;=0, "NO COMPRADOR", +IF(AJ331&lt;=0, "SIN COMPRA "&amp;+UPPER(TEXT('DINAMICA ENERO 26'!$C$2,"mmm 'yy")), "COMPRADOR"))</f>
        <v>NO COMPRADOR</v>
      </c>
      <c r="AO331" s="100"/>
      <c r="AP331" s="100"/>
    </row>
    <row r="332" spans="1:42">
      <c r="A332" s="88" t="s">
        <v>379</v>
      </c>
      <c r="B332" s="89" t="s">
        <v>405</v>
      </c>
      <c r="C332" s="89" t="s">
        <v>32</v>
      </c>
      <c r="D332" s="103">
        <v>100066387</v>
      </c>
      <c r="E332" s="89" t="s">
        <v>34</v>
      </c>
      <c r="F332" s="89">
        <v>100086833</v>
      </c>
      <c r="G332" s="128" t="s">
        <v>414</v>
      </c>
      <c r="W332" s="93">
        <v>0</v>
      </c>
      <c r="X332" s="129">
        <v>0</v>
      </c>
      <c r="Y332" s="93">
        <v>0</v>
      </c>
      <c r="Z332" s="129">
        <v>0</v>
      </c>
      <c r="AA332" s="155">
        <f t="shared" si="22"/>
        <v>0</v>
      </c>
      <c r="AB332" s="98">
        <f t="shared" si="22"/>
        <v>0</v>
      </c>
      <c r="AD332" s="97">
        <v>0</v>
      </c>
      <c r="AE332" s="92">
        <v>0</v>
      </c>
      <c r="AF332" s="98">
        <f t="shared" si="24"/>
        <v>0</v>
      </c>
      <c r="AG332" s="97">
        <v>0</v>
      </c>
      <c r="AH332" s="92">
        <v>0</v>
      </c>
      <c r="AI332" s="98">
        <f t="shared" si="21"/>
        <v>0</v>
      </c>
      <c r="AJ332" s="99">
        <f t="shared" si="23"/>
        <v>0</v>
      </c>
      <c r="AK332" s="102" t="str">
        <f>+IF(X332+W332+AJ332&lt;=0, "NO COMPRADOR", +IF(AJ332&lt;=0, "SIN COMPRA "&amp;+UPPER(TEXT('DINAMICA ENERO 26'!$C$2,"mmm 'yy")), "COMPRADOR"))</f>
        <v>NO COMPRADOR</v>
      </c>
      <c r="AO332" s="100"/>
      <c r="AP332" s="100"/>
    </row>
    <row r="333" spans="1:42">
      <c r="A333" s="88" t="s">
        <v>379</v>
      </c>
      <c r="B333" s="89" t="s">
        <v>415</v>
      </c>
      <c r="C333" s="89" t="s">
        <v>32</v>
      </c>
      <c r="D333" s="110">
        <v>100066387</v>
      </c>
      <c r="E333" s="110" t="s">
        <v>34</v>
      </c>
      <c r="F333" s="89">
        <v>100001434</v>
      </c>
      <c r="G333" s="128" t="s">
        <v>381</v>
      </c>
      <c r="W333" s="93">
        <v>0</v>
      </c>
      <c r="X333" s="129">
        <v>0</v>
      </c>
      <c r="Y333" s="93">
        <v>0</v>
      </c>
      <c r="Z333" s="129">
        <v>0</v>
      </c>
      <c r="AA333" s="155">
        <f t="shared" si="22"/>
        <v>0</v>
      </c>
      <c r="AB333" s="98">
        <f t="shared" si="22"/>
        <v>0</v>
      </c>
      <c r="AD333" s="97">
        <v>0</v>
      </c>
      <c r="AE333" s="92">
        <v>0</v>
      </c>
      <c r="AF333" s="98">
        <f t="shared" si="24"/>
        <v>0</v>
      </c>
      <c r="AG333" s="97">
        <v>0</v>
      </c>
      <c r="AH333" s="92">
        <v>0</v>
      </c>
      <c r="AI333" s="98">
        <f t="shared" si="21"/>
        <v>0</v>
      </c>
      <c r="AJ333" s="99">
        <f t="shared" si="23"/>
        <v>0</v>
      </c>
      <c r="AK333" s="102" t="str">
        <f>+IF(X333+W333+AJ333&lt;=0, "NO COMPRADOR", +IF(AJ333&lt;=0, "SIN COMPRA "&amp;+UPPER(TEXT('DINAMICA ENERO 26'!$C$2,"mmm 'yy")), "COMPRADOR"))</f>
        <v>NO COMPRADOR</v>
      </c>
      <c r="AO333" s="100"/>
      <c r="AP333" s="100"/>
    </row>
    <row r="334" spans="1:42">
      <c r="A334" s="88" t="s">
        <v>379</v>
      </c>
      <c r="B334" s="89" t="s">
        <v>415</v>
      </c>
      <c r="C334" s="89" t="s">
        <v>32</v>
      </c>
      <c r="D334" s="110">
        <v>100089882</v>
      </c>
      <c r="E334" s="110" t="s">
        <v>36</v>
      </c>
      <c r="F334" s="89">
        <v>100002273</v>
      </c>
      <c r="G334" s="128" t="s">
        <v>416</v>
      </c>
      <c r="W334" s="93">
        <v>0</v>
      </c>
      <c r="X334" s="129">
        <v>0</v>
      </c>
      <c r="Y334" s="93">
        <v>0</v>
      </c>
      <c r="Z334" s="129">
        <v>0</v>
      </c>
      <c r="AA334" s="155">
        <f t="shared" si="22"/>
        <v>0</v>
      </c>
      <c r="AB334" s="98">
        <f t="shared" si="22"/>
        <v>0</v>
      </c>
      <c r="AD334" s="97">
        <v>0</v>
      </c>
      <c r="AE334" s="92">
        <v>0</v>
      </c>
      <c r="AF334" s="98">
        <f t="shared" si="24"/>
        <v>0</v>
      </c>
      <c r="AG334" s="97">
        <v>0</v>
      </c>
      <c r="AH334" s="92">
        <v>0</v>
      </c>
      <c r="AI334" s="98">
        <f t="shared" si="21"/>
        <v>0</v>
      </c>
      <c r="AJ334" s="99">
        <f t="shared" si="23"/>
        <v>0</v>
      </c>
      <c r="AK334" s="102" t="str">
        <f>+IF(X334+W334+AJ334&lt;=0, "NO COMPRADOR", +IF(AJ334&lt;=0, "SIN COMPRA "&amp;+UPPER(TEXT('DINAMICA ENERO 26'!$C$2,"mmm 'yy")), "COMPRADOR"))</f>
        <v>NO COMPRADOR</v>
      </c>
      <c r="AO334" s="100"/>
      <c r="AP334" s="100"/>
    </row>
    <row r="335" spans="1:42">
      <c r="A335" s="88" t="s">
        <v>379</v>
      </c>
      <c r="B335" s="89" t="s">
        <v>415</v>
      </c>
      <c r="C335" s="89" t="s">
        <v>32</v>
      </c>
      <c r="D335" s="110">
        <v>100002748</v>
      </c>
      <c r="E335" s="110" t="s">
        <v>35</v>
      </c>
      <c r="F335" s="89">
        <v>100005896</v>
      </c>
      <c r="G335" s="128" t="s">
        <v>417</v>
      </c>
      <c r="W335" s="93">
        <v>0</v>
      </c>
      <c r="X335" s="129">
        <v>0</v>
      </c>
      <c r="Y335" s="93">
        <v>0</v>
      </c>
      <c r="Z335" s="129">
        <v>0</v>
      </c>
      <c r="AA335" s="155">
        <f t="shared" si="22"/>
        <v>0</v>
      </c>
      <c r="AB335" s="98">
        <f t="shared" si="22"/>
        <v>0</v>
      </c>
      <c r="AD335" s="97">
        <v>0</v>
      </c>
      <c r="AE335" s="92">
        <v>0</v>
      </c>
      <c r="AF335" s="98">
        <f t="shared" si="24"/>
        <v>0</v>
      </c>
      <c r="AG335" s="97">
        <v>0</v>
      </c>
      <c r="AH335" s="92">
        <v>0</v>
      </c>
      <c r="AI335" s="98">
        <f t="shared" si="21"/>
        <v>0</v>
      </c>
      <c r="AJ335" s="99">
        <f t="shared" si="23"/>
        <v>0</v>
      </c>
      <c r="AK335" s="102" t="str">
        <f>+IF(X335+W335+AJ335&lt;=0, "NO COMPRADOR", +IF(AJ335&lt;=0, "SIN COMPRA "&amp;+UPPER(TEXT('DINAMICA ENERO 26'!$C$2,"mmm 'yy")), "COMPRADOR"))</f>
        <v>NO COMPRADOR</v>
      </c>
      <c r="AO335" s="100"/>
      <c r="AP335" s="100"/>
    </row>
    <row r="336" spans="1:42">
      <c r="A336" s="88" t="s">
        <v>379</v>
      </c>
      <c r="B336" s="89" t="s">
        <v>415</v>
      </c>
      <c r="C336" s="89" t="s">
        <v>32</v>
      </c>
      <c r="D336" s="110">
        <v>100002748</v>
      </c>
      <c r="E336" s="110" t="s">
        <v>35</v>
      </c>
      <c r="F336" s="89">
        <v>100001550</v>
      </c>
      <c r="G336" s="128" t="s">
        <v>418</v>
      </c>
      <c r="W336" s="93">
        <v>0</v>
      </c>
      <c r="X336" s="129">
        <v>0</v>
      </c>
      <c r="Y336" s="93">
        <v>0</v>
      </c>
      <c r="Z336" s="129">
        <v>0</v>
      </c>
      <c r="AA336" s="155">
        <f t="shared" si="22"/>
        <v>0</v>
      </c>
      <c r="AB336" s="98">
        <f t="shared" si="22"/>
        <v>0</v>
      </c>
      <c r="AD336" s="97">
        <v>0</v>
      </c>
      <c r="AE336" s="92">
        <v>0</v>
      </c>
      <c r="AF336" s="98">
        <f t="shared" si="24"/>
        <v>0</v>
      </c>
      <c r="AG336" s="97">
        <v>0</v>
      </c>
      <c r="AH336" s="92">
        <v>0</v>
      </c>
      <c r="AI336" s="98">
        <f t="shared" si="21"/>
        <v>0</v>
      </c>
      <c r="AJ336" s="99">
        <f t="shared" si="23"/>
        <v>0</v>
      </c>
      <c r="AK336" s="102" t="str">
        <f>+IF(X336+W336+AJ336&lt;=0, "NO COMPRADOR", +IF(AJ336&lt;=0, "SIN COMPRA "&amp;+UPPER(TEXT('DINAMICA ENERO 26'!$C$2,"mmm 'yy")), "COMPRADOR"))</f>
        <v>NO COMPRADOR</v>
      </c>
      <c r="AO336" s="100"/>
      <c r="AP336" s="100"/>
    </row>
    <row r="337" spans="1:42">
      <c r="A337" s="88" t="s">
        <v>379</v>
      </c>
      <c r="B337" s="89" t="s">
        <v>415</v>
      </c>
      <c r="C337" s="89" t="s">
        <v>32</v>
      </c>
      <c r="D337" s="110">
        <v>100089882</v>
      </c>
      <c r="E337" s="110" t="s">
        <v>36</v>
      </c>
      <c r="F337" s="89">
        <v>100002492</v>
      </c>
      <c r="G337" s="128" t="s">
        <v>419</v>
      </c>
      <c r="W337" s="93">
        <v>0</v>
      </c>
      <c r="X337" s="129">
        <v>0</v>
      </c>
      <c r="Y337" s="93">
        <v>0</v>
      </c>
      <c r="Z337" s="129">
        <v>0</v>
      </c>
      <c r="AA337" s="155">
        <f t="shared" si="22"/>
        <v>0</v>
      </c>
      <c r="AB337" s="98">
        <f t="shared" si="22"/>
        <v>0</v>
      </c>
      <c r="AD337" s="97">
        <v>0</v>
      </c>
      <c r="AE337" s="92">
        <v>0</v>
      </c>
      <c r="AF337" s="98">
        <f t="shared" si="24"/>
        <v>0</v>
      </c>
      <c r="AG337" s="97">
        <v>0</v>
      </c>
      <c r="AH337" s="92">
        <v>0</v>
      </c>
      <c r="AI337" s="98">
        <f t="shared" si="21"/>
        <v>0</v>
      </c>
      <c r="AJ337" s="99">
        <f t="shared" si="23"/>
        <v>0</v>
      </c>
      <c r="AK337" s="102" t="str">
        <f>+IF(X337+W337+AJ337&lt;=0, "NO COMPRADOR", +IF(AJ337&lt;=0, "SIN COMPRA "&amp;+UPPER(TEXT('DINAMICA ENERO 26'!$C$2,"mmm 'yy")), "COMPRADOR"))</f>
        <v>NO COMPRADOR</v>
      </c>
      <c r="AO337" s="100"/>
      <c r="AP337" s="100"/>
    </row>
    <row r="338" spans="1:42">
      <c r="A338" s="88" t="s">
        <v>379</v>
      </c>
      <c r="B338" s="89" t="s">
        <v>415</v>
      </c>
      <c r="C338" s="89" t="s">
        <v>32</v>
      </c>
      <c r="D338" s="110">
        <v>100066387</v>
      </c>
      <c r="E338" s="110" t="s">
        <v>34</v>
      </c>
      <c r="F338" s="89">
        <v>100001342</v>
      </c>
      <c r="G338" s="128" t="s">
        <v>387</v>
      </c>
      <c r="W338" s="93">
        <v>0</v>
      </c>
      <c r="X338" s="129">
        <v>0</v>
      </c>
      <c r="Y338" s="93">
        <v>0</v>
      </c>
      <c r="Z338" s="129">
        <v>0</v>
      </c>
      <c r="AA338" s="155">
        <f t="shared" si="22"/>
        <v>0</v>
      </c>
      <c r="AB338" s="98">
        <f t="shared" si="22"/>
        <v>0</v>
      </c>
      <c r="AD338" s="97">
        <v>0</v>
      </c>
      <c r="AE338" s="92">
        <v>0</v>
      </c>
      <c r="AF338" s="98">
        <f t="shared" si="24"/>
        <v>0</v>
      </c>
      <c r="AG338" s="97">
        <v>0</v>
      </c>
      <c r="AH338" s="92">
        <v>0</v>
      </c>
      <c r="AI338" s="98">
        <f t="shared" si="21"/>
        <v>0</v>
      </c>
      <c r="AJ338" s="99">
        <f t="shared" si="23"/>
        <v>0</v>
      </c>
      <c r="AK338" s="102" t="str">
        <f>+IF(X338+W338+AJ338&lt;=0, "NO COMPRADOR", +IF(AJ338&lt;=0, "SIN COMPRA "&amp;+UPPER(TEXT('DINAMICA ENERO 26'!$C$2,"mmm 'yy")), "COMPRADOR"))</f>
        <v>NO COMPRADOR</v>
      </c>
      <c r="AO338" s="100"/>
      <c r="AP338" s="100"/>
    </row>
    <row r="339" spans="1:42">
      <c r="A339" s="88" t="s">
        <v>85</v>
      </c>
      <c r="B339" s="89" t="s">
        <v>120</v>
      </c>
      <c r="C339" s="89" t="s">
        <v>52</v>
      </c>
      <c r="D339" s="110">
        <v>100088149</v>
      </c>
      <c r="E339" s="110" t="s">
        <v>56</v>
      </c>
      <c r="F339" s="89">
        <v>100089849</v>
      </c>
      <c r="G339" s="128" t="s">
        <v>420</v>
      </c>
      <c r="H339">
        <v>0</v>
      </c>
      <c r="I339">
        <v>0</v>
      </c>
      <c r="J339">
        <v>0</v>
      </c>
      <c r="K339">
        <v>0</v>
      </c>
      <c r="W339" s="93">
        <v>0</v>
      </c>
      <c r="X339" s="129">
        <v>0</v>
      </c>
      <c r="Y339" s="93">
        <v>0</v>
      </c>
      <c r="Z339" s="129">
        <v>0</v>
      </c>
      <c r="AA339" s="155">
        <f t="shared" si="22"/>
        <v>0</v>
      </c>
      <c r="AB339" s="98">
        <f t="shared" si="22"/>
        <v>0</v>
      </c>
      <c r="AD339" s="97">
        <v>0</v>
      </c>
      <c r="AE339" s="92">
        <v>0</v>
      </c>
      <c r="AF339" s="98">
        <f t="shared" si="24"/>
        <v>0</v>
      </c>
      <c r="AG339" s="97">
        <v>0</v>
      </c>
      <c r="AH339" s="92">
        <v>0</v>
      </c>
      <c r="AI339" s="98">
        <f t="shared" si="21"/>
        <v>0</v>
      </c>
      <c r="AJ339" s="99">
        <f t="shared" si="23"/>
        <v>0</v>
      </c>
      <c r="AK339" s="102" t="str">
        <f>+IF(X339+W339+AJ339&lt;=0, "NO COMPRADOR", +IF(AJ339&lt;=0, "SIN COMPRA "&amp;+UPPER(TEXT('DINAMICA ENERO 26'!$C$2,"mmm 'yy")), "COMPRADOR"))</f>
        <v>NO COMPRADOR</v>
      </c>
      <c r="AO339" s="100"/>
      <c r="AP339" s="100"/>
    </row>
    <row r="340" spans="1:42">
      <c r="A340" s="88" t="s">
        <v>85</v>
      </c>
      <c r="B340" s="89" t="s">
        <v>120</v>
      </c>
      <c r="C340" s="89" t="s">
        <v>52</v>
      </c>
      <c r="D340" s="110">
        <v>100079515</v>
      </c>
      <c r="E340" s="110" t="s">
        <v>53</v>
      </c>
      <c r="F340" s="89">
        <v>100025640</v>
      </c>
      <c r="G340" s="128" t="s">
        <v>421</v>
      </c>
      <c r="H340">
        <v>0</v>
      </c>
      <c r="I340">
        <v>0</v>
      </c>
      <c r="J340">
        <v>0</v>
      </c>
      <c r="K340">
        <v>0</v>
      </c>
      <c r="W340" s="93">
        <v>0</v>
      </c>
      <c r="X340" s="129">
        <v>0</v>
      </c>
      <c r="Y340" s="93">
        <v>0</v>
      </c>
      <c r="Z340" s="129">
        <v>0</v>
      </c>
      <c r="AA340" s="155">
        <f t="shared" si="22"/>
        <v>0</v>
      </c>
      <c r="AB340" s="98">
        <f t="shared" si="22"/>
        <v>0</v>
      </c>
      <c r="AD340" s="97">
        <v>0</v>
      </c>
      <c r="AE340" s="92">
        <v>0</v>
      </c>
      <c r="AF340" s="98">
        <f t="shared" si="24"/>
        <v>0</v>
      </c>
      <c r="AG340" s="97">
        <v>0</v>
      </c>
      <c r="AH340" s="92">
        <v>0</v>
      </c>
      <c r="AI340" s="98">
        <f t="shared" si="21"/>
        <v>0</v>
      </c>
      <c r="AJ340" s="99">
        <f t="shared" si="23"/>
        <v>0</v>
      </c>
      <c r="AK340" s="102" t="str">
        <f>+IF(X340+W340+AJ340&lt;=0, "NO COMPRADOR", +IF(AJ340&lt;=0, "SIN COMPRA "&amp;+UPPER(TEXT('DINAMICA ENERO 26'!$C$2,"mmm 'yy")), "COMPRADOR"))</f>
        <v>NO COMPRADOR</v>
      </c>
      <c r="AO340" s="100"/>
      <c r="AP340" s="100"/>
    </row>
    <row r="341" spans="1:42">
      <c r="A341" s="88" t="s">
        <v>85</v>
      </c>
      <c r="B341" s="89" t="s">
        <v>157</v>
      </c>
      <c r="C341" s="89" t="s">
        <v>52</v>
      </c>
      <c r="D341" s="110">
        <v>100079674</v>
      </c>
      <c r="E341" s="110" t="s">
        <v>57</v>
      </c>
      <c r="F341" s="89">
        <v>100080761</v>
      </c>
      <c r="G341" s="128" t="s">
        <v>422</v>
      </c>
      <c r="H341">
        <v>0</v>
      </c>
      <c r="I341">
        <v>0</v>
      </c>
      <c r="J341">
        <v>0</v>
      </c>
      <c r="K341">
        <v>0</v>
      </c>
      <c r="W341" s="93">
        <v>0</v>
      </c>
      <c r="X341" s="129">
        <v>0</v>
      </c>
      <c r="Y341" s="93">
        <v>24.48</v>
      </c>
      <c r="Z341" s="129">
        <v>24.48</v>
      </c>
      <c r="AA341" s="155">
        <f t="shared" si="22"/>
        <v>12.24</v>
      </c>
      <c r="AB341" s="98">
        <f t="shared" si="22"/>
        <v>12.24</v>
      </c>
      <c r="AD341" s="97">
        <v>0</v>
      </c>
      <c r="AE341" s="92">
        <v>0</v>
      </c>
      <c r="AF341" s="98">
        <f t="shared" si="24"/>
        <v>0</v>
      </c>
      <c r="AG341" s="97">
        <v>0</v>
      </c>
      <c r="AH341" s="92">
        <v>0</v>
      </c>
      <c r="AI341" s="98">
        <f t="shared" si="21"/>
        <v>0</v>
      </c>
      <c r="AJ341" s="99">
        <f t="shared" si="23"/>
        <v>0</v>
      </c>
      <c r="AK341" s="102" t="str">
        <f>+IF(X341+W341+AJ341&lt;=0, "NO COMPRADOR", +IF(AJ341&lt;=0, "SIN COMPRA "&amp;+UPPER(TEXT('DINAMICA ENERO 26'!$C$2,"mmm 'yy")), "COMPRADOR"))</f>
        <v>NO COMPRADOR</v>
      </c>
      <c r="AO341" s="100"/>
      <c r="AP341" s="100"/>
    </row>
    <row r="342" spans="1:42">
      <c r="A342" s="88" t="s">
        <v>85</v>
      </c>
      <c r="B342" s="89" t="s">
        <v>157</v>
      </c>
      <c r="C342" s="89" t="s">
        <v>52</v>
      </c>
      <c r="D342" s="110">
        <v>100079674</v>
      </c>
      <c r="E342" s="110" t="s">
        <v>57</v>
      </c>
      <c r="F342" s="89">
        <v>100001878</v>
      </c>
      <c r="G342" s="128" t="s">
        <v>423</v>
      </c>
      <c r="H342">
        <v>0</v>
      </c>
      <c r="I342">
        <v>0</v>
      </c>
      <c r="J342">
        <v>0</v>
      </c>
      <c r="K342">
        <v>0</v>
      </c>
      <c r="W342" s="93">
        <v>0</v>
      </c>
      <c r="X342" s="129">
        <v>0</v>
      </c>
      <c r="Y342" s="93">
        <v>0</v>
      </c>
      <c r="Z342" s="129">
        <v>0</v>
      </c>
      <c r="AA342" s="155">
        <f t="shared" si="22"/>
        <v>0</v>
      </c>
      <c r="AB342" s="98">
        <f t="shared" si="22"/>
        <v>0</v>
      </c>
      <c r="AD342" s="97">
        <v>0</v>
      </c>
      <c r="AE342" s="92">
        <v>0</v>
      </c>
      <c r="AF342" s="98">
        <f t="shared" si="24"/>
        <v>0</v>
      </c>
      <c r="AG342" s="97">
        <v>0</v>
      </c>
      <c r="AH342" s="92">
        <v>0</v>
      </c>
      <c r="AI342" s="98">
        <f t="shared" si="21"/>
        <v>0</v>
      </c>
      <c r="AJ342" s="99">
        <f t="shared" si="23"/>
        <v>0</v>
      </c>
      <c r="AK342" s="102" t="str">
        <f>+IF(X342+W342+AJ342&lt;=0, "NO COMPRADOR", +IF(AJ342&lt;=0, "SIN COMPRA "&amp;+UPPER(TEXT('DINAMICA ENERO 26'!$C$2,"mmm 'yy")), "COMPRADOR"))</f>
        <v>NO COMPRADOR</v>
      </c>
      <c r="AO342" s="100"/>
      <c r="AP342" s="100"/>
    </row>
    <row r="343" spans="1:42">
      <c r="A343" s="88" t="s">
        <v>85</v>
      </c>
      <c r="B343" s="89" t="s">
        <v>157</v>
      </c>
      <c r="C343" s="89" t="s">
        <v>52</v>
      </c>
      <c r="D343" s="110">
        <v>100079674</v>
      </c>
      <c r="E343" s="110" t="s">
        <v>57</v>
      </c>
      <c r="F343" s="89">
        <v>100085464</v>
      </c>
      <c r="G343" s="128" t="s">
        <v>424</v>
      </c>
      <c r="H343">
        <v>0</v>
      </c>
      <c r="I343">
        <v>0</v>
      </c>
      <c r="J343">
        <v>0</v>
      </c>
      <c r="K343">
        <v>0</v>
      </c>
      <c r="W343" s="93">
        <v>0</v>
      </c>
      <c r="X343" s="129">
        <v>0</v>
      </c>
      <c r="Y343" s="93">
        <v>0</v>
      </c>
      <c r="Z343" s="129">
        <v>0</v>
      </c>
      <c r="AA343" s="155">
        <f t="shared" si="22"/>
        <v>0</v>
      </c>
      <c r="AB343" s="98">
        <f t="shared" si="22"/>
        <v>0</v>
      </c>
      <c r="AD343" s="97">
        <v>0</v>
      </c>
      <c r="AE343" s="92">
        <v>0</v>
      </c>
      <c r="AF343" s="98">
        <f t="shared" si="24"/>
        <v>0</v>
      </c>
      <c r="AG343" s="97">
        <v>0</v>
      </c>
      <c r="AH343" s="92">
        <v>0</v>
      </c>
      <c r="AI343" s="98">
        <f t="shared" si="21"/>
        <v>0</v>
      </c>
      <c r="AJ343" s="99">
        <f t="shared" si="23"/>
        <v>0</v>
      </c>
      <c r="AK343" s="102" t="str">
        <f>+IF(X343+W343+AJ343&lt;=0, "NO COMPRADOR", +IF(AJ343&lt;=0, "SIN COMPRA "&amp;+UPPER(TEXT('DINAMICA ENERO 26'!$C$2,"mmm 'yy")), "COMPRADOR"))</f>
        <v>NO COMPRADOR</v>
      </c>
      <c r="AO343" s="100"/>
      <c r="AP343" s="100"/>
    </row>
    <row r="344" spans="1:42">
      <c r="A344" s="88" t="s">
        <v>85</v>
      </c>
      <c r="B344" s="89" t="s">
        <v>157</v>
      </c>
      <c r="C344" s="89" t="s">
        <v>52</v>
      </c>
      <c r="D344" s="110">
        <v>100066856</v>
      </c>
      <c r="E344" s="110" t="s">
        <v>54</v>
      </c>
      <c r="F344" s="89">
        <v>100080160</v>
      </c>
      <c r="G344" s="128" t="s">
        <v>425</v>
      </c>
      <c r="H344">
        <v>0</v>
      </c>
      <c r="I344">
        <v>0</v>
      </c>
      <c r="J344">
        <v>0</v>
      </c>
      <c r="K344">
        <v>0</v>
      </c>
      <c r="W344" s="93">
        <v>8.16</v>
      </c>
      <c r="X344" s="129">
        <v>8.16</v>
      </c>
      <c r="Y344" s="93">
        <v>-8.16</v>
      </c>
      <c r="Z344" s="129">
        <v>-8.16</v>
      </c>
      <c r="AA344" s="155">
        <f t="shared" si="22"/>
        <v>0</v>
      </c>
      <c r="AB344" s="98">
        <f t="shared" si="22"/>
        <v>0</v>
      </c>
      <c r="AD344" s="97">
        <v>0</v>
      </c>
      <c r="AE344" s="92">
        <v>0</v>
      </c>
      <c r="AF344" s="98">
        <f t="shared" si="24"/>
        <v>0</v>
      </c>
      <c r="AG344" s="97">
        <v>0</v>
      </c>
      <c r="AH344" s="92">
        <v>0</v>
      </c>
      <c r="AI344" s="98">
        <f t="shared" si="21"/>
        <v>0</v>
      </c>
      <c r="AJ344" s="99">
        <f t="shared" si="23"/>
        <v>0</v>
      </c>
      <c r="AK344" s="102" t="str">
        <f>+IF(X344+W344+AJ344&lt;=0, "NO COMPRADOR", +IF(AJ344&lt;=0, "SIN COMPRA "&amp;+UPPER(TEXT('DINAMICA ENERO 26'!$C$2,"mmm 'yy")), "COMPRADOR"))</f>
        <v>SIN COMPRA FEB '26</v>
      </c>
      <c r="AO344" s="100"/>
      <c r="AP344" s="100"/>
    </row>
    <row r="345" spans="1:42">
      <c r="A345" s="88" t="s">
        <v>85</v>
      </c>
      <c r="B345" s="89" t="s">
        <v>157</v>
      </c>
      <c r="C345" s="89" t="s">
        <v>52</v>
      </c>
      <c r="D345" s="110">
        <v>100066856</v>
      </c>
      <c r="E345" s="110" t="s">
        <v>54</v>
      </c>
      <c r="F345" s="89">
        <v>100077613</v>
      </c>
      <c r="G345" s="128" t="s">
        <v>426</v>
      </c>
      <c r="H345">
        <v>0</v>
      </c>
      <c r="I345">
        <v>0</v>
      </c>
      <c r="J345">
        <v>0</v>
      </c>
      <c r="K345">
        <v>0</v>
      </c>
      <c r="W345" s="93">
        <v>16.32</v>
      </c>
      <c r="X345" s="129">
        <v>16.32</v>
      </c>
      <c r="Y345" s="93">
        <v>0</v>
      </c>
      <c r="Z345" s="129">
        <v>0</v>
      </c>
      <c r="AA345" s="155">
        <f t="shared" si="22"/>
        <v>8.16</v>
      </c>
      <c r="AB345" s="98">
        <f t="shared" si="22"/>
        <v>8.16</v>
      </c>
      <c r="AD345" s="97">
        <v>0</v>
      </c>
      <c r="AE345" s="92">
        <v>81.599999999999994</v>
      </c>
      <c r="AF345" s="98">
        <f t="shared" si="24"/>
        <v>81.599999999999994</v>
      </c>
      <c r="AG345" s="97">
        <v>0</v>
      </c>
      <c r="AH345" s="92">
        <v>81.599999999999994</v>
      </c>
      <c r="AI345" s="98">
        <f t="shared" si="21"/>
        <v>81.599999999999994</v>
      </c>
      <c r="AJ345" s="99">
        <f t="shared" si="23"/>
        <v>163.19999999999999</v>
      </c>
      <c r="AK345" s="102" t="str">
        <f>+IF(X345+W345+AJ345&lt;=0, "NO COMPRADOR", +IF(AJ345&lt;=0, "SIN COMPRA "&amp;+UPPER(TEXT('DINAMICA ENERO 26'!$C$2,"mmm 'yy")), "COMPRADOR"))</f>
        <v>COMPRADOR</v>
      </c>
      <c r="AO345" s="100"/>
      <c r="AP345" s="100"/>
    </row>
    <row r="346" spans="1:42">
      <c r="A346" s="88" t="s">
        <v>85</v>
      </c>
      <c r="B346" s="89" t="s">
        <v>157</v>
      </c>
      <c r="C346" s="89" t="s">
        <v>52</v>
      </c>
      <c r="D346" s="110">
        <v>100066856</v>
      </c>
      <c r="E346" s="110" t="s">
        <v>54</v>
      </c>
      <c r="F346" s="89">
        <v>100082823</v>
      </c>
      <c r="G346" s="128" t="s">
        <v>427</v>
      </c>
      <c r="H346">
        <v>0</v>
      </c>
      <c r="I346">
        <v>0</v>
      </c>
      <c r="J346">
        <v>0</v>
      </c>
      <c r="K346">
        <v>0</v>
      </c>
      <c r="W346" s="93">
        <v>0</v>
      </c>
      <c r="X346" s="129">
        <v>0</v>
      </c>
      <c r="Y346" s="93">
        <v>0</v>
      </c>
      <c r="Z346" s="129">
        <v>0</v>
      </c>
      <c r="AA346" s="155">
        <f t="shared" si="22"/>
        <v>0</v>
      </c>
      <c r="AB346" s="98">
        <f t="shared" si="22"/>
        <v>0</v>
      </c>
      <c r="AD346" s="97">
        <v>0</v>
      </c>
      <c r="AE346" s="92">
        <v>0</v>
      </c>
      <c r="AF346" s="98">
        <f t="shared" si="24"/>
        <v>0</v>
      </c>
      <c r="AG346" s="97">
        <v>0</v>
      </c>
      <c r="AH346" s="92">
        <v>0</v>
      </c>
      <c r="AI346" s="98">
        <f t="shared" si="21"/>
        <v>0</v>
      </c>
      <c r="AJ346" s="99">
        <f t="shared" si="23"/>
        <v>0</v>
      </c>
      <c r="AK346" s="102" t="str">
        <f>+IF(X346+W346+AJ346&lt;=0, "NO COMPRADOR", +IF(AJ346&lt;=0, "SIN COMPRA "&amp;+UPPER(TEXT('DINAMICA ENERO 26'!$C$2,"mmm 'yy")), "COMPRADOR"))</f>
        <v>NO COMPRADOR</v>
      </c>
      <c r="AO346" s="100"/>
      <c r="AP346" s="100"/>
    </row>
    <row r="347" spans="1:42">
      <c r="A347" s="88" t="s">
        <v>85</v>
      </c>
      <c r="B347" s="89" t="s">
        <v>204</v>
      </c>
      <c r="C347" s="89" t="s">
        <v>52</v>
      </c>
      <c r="D347" s="110">
        <v>100089701</v>
      </c>
      <c r="E347" s="110" t="s">
        <v>58</v>
      </c>
      <c r="F347" s="89">
        <v>100079045</v>
      </c>
      <c r="G347" s="128" t="s">
        <v>428</v>
      </c>
      <c r="H347">
        <v>0</v>
      </c>
      <c r="I347">
        <v>0</v>
      </c>
      <c r="J347">
        <v>0</v>
      </c>
      <c r="K347">
        <v>0</v>
      </c>
      <c r="W347" s="93">
        <v>0</v>
      </c>
      <c r="X347" s="129">
        <v>0</v>
      </c>
      <c r="Y347" s="93">
        <v>0</v>
      </c>
      <c r="Z347" s="129">
        <v>0</v>
      </c>
      <c r="AA347" s="155">
        <f t="shared" si="22"/>
        <v>0</v>
      </c>
      <c r="AB347" s="98">
        <f t="shared" si="22"/>
        <v>0</v>
      </c>
      <c r="AD347" s="97">
        <v>0</v>
      </c>
      <c r="AE347" s="92">
        <v>0</v>
      </c>
      <c r="AF347" s="98">
        <f t="shared" si="24"/>
        <v>0</v>
      </c>
      <c r="AG347" s="97">
        <v>0</v>
      </c>
      <c r="AH347" s="92">
        <v>0</v>
      </c>
      <c r="AI347" s="98">
        <f t="shared" si="21"/>
        <v>0</v>
      </c>
      <c r="AJ347" s="99">
        <f t="shared" si="23"/>
        <v>0</v>
      </c>
      <c r="AK347" s="102" t="str">
        <f>+IF(X347+W347+AJ347&lt;=0, "NO COMPRADOR", +IF(AJ347&lt;=0, "SIN COMPRA "&amp;+UPPER(TEXT('DINAMICA ENERO 26'!$C$2,"mmm 'yy")), "COMPRADOR"))</f>
        <v>NO COMPRADOR</v>
      </c>
      <c r="AO347" s="100"/>
      <c r="AP347" s="100"/>
    </row>
    <row r="348" spans="1:42">
      <c r="A348" s="88" t="s">
        <v>85</v>
      </c>
      <c r="B348" s="89" t="s">
        <v>204</v>
      </c>
      <c r="C348" s="89" t="s">
        <v>52</v>
      </c>
      <c r="D348" s="110">
        <v>100089701</v>
      </c>
      <c r="E348" s="110" t="s">
        <v>58</v>
      </c>
      <c r="F348" s="89">
        <v>100011496</v>
      </c>
      <c r="G348" s="128" t="s">
        <v>429</v>
      </c>
      <c r="H348">
        <v>0</v>
      </c>
      <c r="I348">
        <v>0</v>
      </c>
      <c r="J348">
        <v>0</v>
      </c>
      <c r="K348">
        <v>0</v>
      </c>
      <c r="W348" s="93">
        <v>0</v>
      </c>
      <c r="X348" s="129">
        <v>0</v>
      </c>
      <c r="Y348" s="93">
        <v>0</v>
      </c>
      <c r="Z348" s="129">
        <v>0</v>
      </c>
      <c r="AA348" s="155">
        <f t="shared" si="22"/>
        <v>0</v>
      </c>
      <c r="AB348" s="98">
        <f t="shared" si="22"/>
        <v>0</v>
      </c>
      <c r="AD348" s="97">
        <v>0</v>
      </c>
      <c r="AE348" s="92">
        <v>0</v>
      </c>
      <c r="AF348" s="98">
        <f t="shared" si="24"/>
        <v>0</v>
      </c>
      <c r="AG348" s="97">
        <v>0</v>
      </c>
      <c r="AH348" s="92">
        <v>0</v>
      </c>
      <c r="AI348" s="98">
        <f t="shared" si="21"/>
        <v>0</v>
      </c>
      <c r="AJ348" s="99">
        <f t="shared" si="23"/>
        <v>0</v>
      </c>
      <c r="AK348" s="102" t="str">
        <f>+IF(X348+W348+AJ348&lt;=0, "NO COMPRADOR", +IF(AJ348&lt;=0, "SIN COMPRA "&amp;+UPPER(TEXT('DINAMICA ENERO 26'!$C$2,"mmm 'yy")), "COMPRADOR"))</f>
        <v>NO COMPRADOR</v>
      </c>
      <c r="AO348" s="100"/>
      <c r="AP348" s="100"/>
    </row>
    <row r="349" spans="1:42">
      <c r="A349" s="88" t="s">
        <v>85</v>
      </c>
      <c r="B349" s="89" t="s">
        <v>204</v>
      </c>
      <c r="C349" s="89" t="s">
        <v>52</v>
      </c>
      <c r="D349" s="110">
        <v>100073888</v>
      </c>
      <c r="E349" s="110" t="s">
        <v>55</v>
      </c>
      <c r="F349" s="89">
        <v>100001404</v>
      </c>
      <c r="G349" s="128" t="s">
        <v>430</v>
      </c>
      <c r="H349">
        <v>0</v>
      </c>
      <c r="I349">
        <v>0</v>
      </c>
      <c r="J349">
        <v>0</v>
      </c>
      <c r="K349">
        <v>0</v>
      </c>
      <c r="W349" s="93">
        <v>0</v>
      </c>
      <c r="X349" s="129">
        <v>0</v>
      </c>
      <c r="Y349" s="93">
        <v>0</v>
      </c>
      <c r="Z349" s="129">
        <v>0</v>
      </c>
      <c r="AA349" s="155">
        <f t="shared" si="22"/>
        <v>0</v>
      </c>
      <c r="AB349" s="98">
        <f t="shared" si="22"/>
        <v>0</v>
      </c>
      <c r="AD349" s="97">
        <v>0</v>
      </c>
      <c r="AE349" s="92">
        <v>0</v>
      </c>
      <c r="AF349" s="98">
        <f t="shared" si="24"/>
        <v>0</v>
      </c>
      <c r="AG349" s="97">
        <v>0</v>
      </c>
      <c r="AH349" s="92">
        <v>0</v>
      </c>
      <c r="AI349" s="98">
        <f t="shared" si="21"/>
        <v>0</v>
      </c>
      <c r="AJ349" s="99">
        <f t="shared" si="23"/>
        <v>0</v>
      </c>
      <c r="AK349" s="102" t="str">
        <f>+IF(X349+W349+AJ349&lt;=0, "NO COMPRADOR", +IF(AJ349&lt;=0, "SIN COMPRA "&amp;+UPPER(TEXT('DINAMICA ENERO 26'!$C$2,"mmm 'yy")), "COMPRADOR"))</f>
        <v>NO COMPRADOR</v>
      </c>
      <c r="AO349" s="100"/>
      <c r="AP349" s="100"/>
    </row>
    <row r="350" spans="1:42">
      <c r="A350" s="88" t="s">
        <v>85</v>
      </c>
      <c r="B350" s="89" t="s">
        <v>204</v>
      </c>
      <c r="C350" s="89" t="s">
        <v>52</v>
      </c>
      <c r="D350" s="110">
        <v>100073888</v>
      </c>
      <c r="E350" s="110" t="s">
        <v>55</v>
      </c>
      <c r="F350" s="89">
        <v>100002253</v>
      </c>
      <c r="G350" s="128" t="s">
        <v>431</v>
      </c>
      <c r="H350">
        <v>0</v>
      </c>
      <c r="I350">
        <v>0</v>
      </c>
      <c r="J350">
        <v>0</v>
      </c>
      <c r="K350">
        <v>0</v>
      </c>
      <c r="W350" s="93">
        <v>807.84</v>
      </c>
      <c r="X350" s="129">
        <v>807.84</v>
      </c>
      <c r="Y350" s="93">
        <v>0</v>
      </c>
      <c r="Z350" s="129">
        <v>0</v>
      </c>
      <c r="AA350" s="155">
        <f t="shared" si="22"/>
        <v>403.92</v>
      </c>
      <c r="AB350" s="98">
        <f t="shared" si="22"/>
        <v>403.92</v>
      </c>
      <c r="AD350" s="97">
        <v>0</v>
      </c>
      <c r="AE350" s="92">
        <v>0</v>
      </c>
      <c r="AF350" s="98">
        <f t="shared" si="24"/>
        <v>0</v>
      </c>
      <c r="AG350" s="97">
        <v>0</v>
      </c>
      <c r="AH350" s="92">
        <v>0</v>
      </c>
      <c r="AI350" s="98">
        <f t="shared" si="21"/>
        <v>0</v>
      </c>
      <c r="AJ350" s="99">
        <f t="shared" si="23"/>
        <v>0</v>
      </c>
      <c r="AK350" s="102" t="str">
        <f>+IF(X350+W350+AJ350&lt;=0, "NO COMPRADOR", +IF(AJ350&lt;=0, "SIN COMPRA "&amp;+UPPER(TEXT('DINAMICA ENERO 26'!$C$2,"mmm 'yy")), "COMPRADOR"))</f>
        <v>SIN COMPRA FEB '26</v>
      </c>
      <c r="AO350" s="100"/>
      <c r="AP350" s="100"/>
    </row>
    <row r="351" spans="1:42">
      <c r="A351" s="88" t="s">
        <v>85</v>
      </c>
      <c r="B351" s="89" t="s">
        <v>236</v>
      </c>
      <c r="C351" s="89" t="s">
        <v>68</v>
      </c>
      <c r="D351" s="110">
        <v>100031199</v>
      </c>
      <c r="E351" s="110" t="s">
        <v>69</v>
      </c>
      <c r="F351" s="89">
        <v>100089970</v>
      </c>
      <c r="G351" s="128" t="s">
        <v>432</v>
      </c>
      <c r="H351">
        <v>0</v>
      </c>
      <c r="I351">
        <v>0</v>
      </c>
      <c r="J351">
        <v>0</v>
      </c>
      <c r="K351">
        <v>0</v>
      </c>
      <c r="W351" s="93">
        <v>0</v>
      </c>
      <c r="X351" s="129">
        <v>0</v>
      </c>
      <c r="Y351" s="93">
        <v>0</v>
      </c>
      <c r="Z351" s="129">
        <v>0</v>
      </c>
      <c r="AA351" s="155">
        <f t="shared" si="22"/>
        <v>0</v>
      </c>
      <c r="AB351" s="98">
        <f t="shared" si="22"/>
        <v>0</v>
      </c>
      <c r="AD351" s="97">
        <v>0</v>
      </c>
      <c r="AE351" s="92">
        <v>0</v>
      </c>
      <c r="AF351" s="98">
        <f t="shared" si="24"/>
        <v>0</v>
      </c>
      <c r="AG351" s="97">
        <v>0</v>
      </c>
      <c r="AH351" s="92">
        <v>0</v>
      </c>
      <c r="AI351" s="98">
        <f t="shared" si="21"/>
        <v>0</v>
      </c>
      <c r="AJ351" s="99">
        <f t="shared" si="23"/>
        <v>0</v>
      </c>
      <c r="AK351" s="102" t="str">
        <f>+IF(X351+W351+AJ351&lt;=0, "NO COMPRADOR", +IF(AJ351&lt;=0, "SIN COMPRA "&amp;+UPPER(TEXT('DINAMICA ENERO 26'!$C$2,"mmm 'yy")), "COMPRADOR"))</f>
        <v>NO COMPRADOR</v>
      </c>
      <c r="AO351" s="100"/>
      <c r="AP351" s="100"/>
    </row>
    <row r="352" spans="1:42">
      <c r="A352" s="88" t="s">
        <v>85</v>
      </c>
      <c r="B352" s="89" t="s">
        <v>257</v>
      </c>
      <c r="C352" s="89" t="s">
        <v>43</v>
      </c>
      <c r="D352" s="110">
        <v>100088690</v>
      </c>
      <c r="E352" s="110" t="s">
        <v>45</v>
      </c>
      <c r="F352" s="89">
        <v>100002208</v>
      </c>
      <c r="G352" s="128" t="s">
        <v>433</v>
      </c>
      <c r="H352">
        <v>0</v>
      </c>
      <c r="I352">
        <v>0</v>
      </c>
      <c r="J352">
        <v>0</v>
      </c>
      <c r="K352">
        <v>0</v>
      </c>
      <c r="W352" s="93">
        <v>0</v>
      </c>
      <c r="X352" s="129">
        <v>0</v>
      </c>
      <c r="Y352" s="93">
        <v>0</v>
      </c>
      <c r="Z352" s="129">
        <v>0</v>
      </c>
      <c r="AA352" s="155">
        <f t="shared" si="22"/>
        <v>0</v>
      </c>
      <c r="AB352" s="98">
        <f t="shared" si="22"/>
        <v>0</v>
      </c>
      <c r="AD352" s="97">
        <v>0</v>
      </c>
      <c r="AE352" s="92">
        <v>0</v>
      </c>
      <c r="AF352" s="98">
        <f t="shared" si="24"/>
        <v>0</v>
      </c>
      <c r="AG352" s="97">
        <v>0</v>
      </c>
      <c r="AH352" s="92">
        <v>0</v>
      </c>
      <c r="AI352" s="98">
        <f t="shared" si="21"/>
        <v>0</v>
      </c>
      <c r="AJ352" s="99">
        <f t="shared" si="23"/>
        <v>0</v>
      </c>
      <c r="AK352" s="102" t="str">
        <f>+IF(X352+W352+AJ352&lt;=0, "NO COMPRADOR", +IF(AJ352&lt;=0, "SIN COMPRA "&amp;+UPPER(TEXT('DINAMICA ENERO 26'!$C$2,"mmm 'yy")), "COMPRADOR"))</f>
        <v>NO COMPRADOR</v>
      </c>
      <c r="AO352" s="100"/>
      <c r="AP352" s="100"/>
    </row>
    <row r="353" spans="1:42">
      <c r="A353" s="88" t="s">
        <v>85</v>
      </c>
      <c r="B353" s="89" t="s">
        <v>257</v>
      </c>
      <c r="C353" s="89" t="s">
        <v>43</v>
      </c>
      <c r="D353" s="110">
        <v>100088690</v>
      </c>
      <c r="E353" s="110" t="s">
        <v>45</v>
      </c>
      <c r="F353" s="89">
        <v>100001513</v>
      </c>
      <c r="G353" s="128" t="s">
        <v>287</v>
      </c>
      <c r="H353">
        <v>0</v>
      </c>
      <c r="I353">
        <v>0</v>
      </c>
      <c r="J353">
        <v>0</v>
      </c>
      <c r="K353">
        <v>0</v>
      </c>
      <c r="W353" s="93">
        <v>0</v>
      </c>
      <c r="X353" s="129">
        <v>0</v>
      </c>
      <c r="Y353" s="93">
        <v>0</v>
      </c>
      <c r="Z353" s="129">
        <v>0</v>
      </c>
      <c r="AA353" s="155">
        <f t="shared" si="22"/>
        <v>0</v>
      </c>
      <c r="AB353" s="98">
        <f t="shared" si="22"/>
        <v>0</v>
      </c>
      <c r="AD353" s="97">
        <v>0</v>
      </c>
      <c r="AE353" s="92">
        <v>0</v>
      </c>
      <c r="AF353" s="98">
        <f t="shared" si="24"/>
        <v>0</v>
      </c>
      <c r="AG353" s="97">
        <v>0</v>
      </c>
      <c r="AH353" s="92">
        <v>0</v>
      </c>
      <c r="AI353" s="98">
        <f t="shared" si="21"/>
        <v>0</v>
      </c>
      <c r="AJ353" s="99">
        <f t="shared" si="23"/>
        <v>0</v>
      </c>
      <c r="AK353" s="102" t="str">
        <f>+IF(X353+W353+AJ353&lt;=0, "NO COMPRADOR", +IF(AJ353&lt;=0, "SIN COMPRA "&amp;+UPPER(TEXT('DINAMICA ENERO 26'!$C$2,"mmm 'yy")), "COMPRADOR"))</f>
        <v>NO COMPRADOR</v>
      </c>
      <c r="AO353" s="100"/>
      <c r="AP353" s="100"/>
    </row>
    <row r="354" spans="1:42">
      <c r="A354" s="88" t="s">
        <v>85</v>
      </c>
      <c r="B354" s="89" t="s">
        <v>257</v>
      </c>
      <c r="C354" s="89" t="s">
        <v>43</v>
      </c>
      <c r="D354" s="110">
        <v>100088690</v>
      </c>
      <c r="E354" s="110" t="s">
        <v>45</v>
      </c>
      <c r="F354" s="89">
        <v>100015740</v>
      </c>
      <c r="G354" s="128" t="s">
        <v>434</v>
      </c>
      <c r="H354">
        <v>0</v>
      </c>
      <c r="I354">
        <v>0</v>
      </c>
      <c r="J354">
        <v>0</v>
      </c>
      <c r="K354">
        <v>0</v>
      </c>
      <c r="W354" s="93">
        <v>0</v>
      </c>
      <c r="X354" s="129">
        <v>0</v>
      </c>
      <c r="Y354" s="93">
        <v>0</v>
      </c>
      <c r="Z354" s="129">
        <v>0</v>
      </c>
      <c r="AA354" s="155">
        <f t="shared" si="22"/>
        <v>0</v>
      </c>
      <c r="AB354" s="98">
        <f t="shared" si="22"/>
        <v>0</v>
      </c>
      <c r="AD354" s="97">
        <v>0</v>
      </c>
      <c r="AE354" s="92">
        <v>0</v>
      </c>
      <c r="AF354" s="98">
        <f t="shared" si="24"/>
        <v>0</v>
      </c>
      <c r="AG354" s="97">
        <v>0</v>
      </c>
      <c r="AH354" s="92">
        <v>0</v>
      </c>
      <c r="AI354" s="98">
        <f t="shared" si="21"/>
        <v>0</v>
      </c>
      <c r="AJ354" s="99">
        <f t="shared" si="23"/>
        <v>0</v>
      </c>
      <c r="AK354" s="102" t="str">
        <f>+IF(X354+W354+AJ354&lt;=0, "NO COMPRADOR", +IF(AJ354&lt;=0, "SIN COMPRA "&amp;+UPPER(TEXT('DINAMICA ENERO 26'!$C$2,"mmm 'yy")), "COMPRADOR"))</f>
        <v>NO COMPRADOR</v>
      </c>
      <c r="AO354" s="100"/>
      <c r="AP354" s="100"/>
    </row>
    <row r="355" spans="1:42">
      <c r="A355" s="88" t="s">
        <v>85</v>
      </c>
      <c r="B355" s="89" t="s">
        <v>257</v>
      </c>
      <c r="C355" s="89" t="s">
        <v>43</v>
      </c>
      <c r="D355" s="110">
        <v>100089856</v>
      </c>
      <c r="E355" s="110" t="s">
        <v>49</v>
      </c>
      <c r="F355" s="89">
        <v>100013280</v>
      </c>
      <c r="G355" s="128" t="s">
        <v>435</v>
      </c>
      <c r="H355">
        <v>0</v>
      </c>
      <c r="I355">
        <v>0</v>
      </c>
      <c r="J355">
        <v>0</v>
      </c>
      <c r="K355">
        <v>0</v>
      </c>
      <c r="W355" s="93">
        <v>0</v>
      </c>
      <c r="X355" s="129">
        <v>0</v>
      </c>
      <c r="Y355" s="93">
        <v>0</v>
      </c>
      <c r="Z355" s="129">
        <v>0</v>
      </c>
      <c r="AA355" s="155">
        <f t="shared" si="22"/>
        <v>0</v>
      </c>
      <c r="AB355" s="98">
        <f t="shared" si="22"/>
        <v>0</v>
      </c>
      <c r="AD355" s="97">
        <v>0</v>
      </c>
      <c r="AE355" s="92">
        <v>0</v>
      </c>
      <c r="AF355" s="98">
        <f t="shared" si="24"/>
        <v>0</v>
      </c>
      <c r="AG355" s="97">
        <v>0</v>
      </c>
      <c r="AH355" s="92">
        <v>0</v>
      </c>
      <c r="AI355" s="98">
        <f t="shared" si="21"/>
        <v>0</v>
      </c>
      <c r="AJ355" s="99">
        <f t="shared" si="23"/>
        <v>0</v>
      </c>
      <c r="AK355" s="102" t="str">
        <f>+IF(X355+W355+AJ355&lt;=0, "NO COMPRADOR", +IF(AJ355&lt;=0, "SIN COMPRA "&amp;+UPPER(TEXT('DINAMICA ENERO 26'!$C$2,"mmm 'yy")), "COMPRADOR"))</f>
        <v>NO COMPRADOR</v>
      </c>
      <c r="AO355" s="100"/>
      <c r="AP355" s="100"/>
    </row>
    <row r="356" spans="1:42">
      <c r="A356" s="88" t="s">
        <v>85</v>
      </c>
      <c r="B356" s="89" t="s">
        <v>257</v>
      </c>
      <c r="C356" s="89" t="s">
        <v>43</v>
      </c>
      <c r="D356" s="110">
        <v>100089856</v>
      </c>
      <c r="E356" s="110" t="s">
        <v>49</v>
      </c>
      <c r="F356" s="89">
        <v>100081920</v>
      </c>
      <c r="G356" s="128" t="s">
        <v>436</v>
      </c>
      <c r="H356">
        <v>0</v>
      </c>
      <c r="I356">
        <v>0</v>
      </c>
      <c r="J356">
        <v>0</v>
      </c>
      <c r="K356">
        <v>0</v>
      </c>
      <c r="W356" s="93">
        <v>0</v>
      </c>
      <c r="X356" s="129">
        <v>0</v>
      </c>
      <c r="Y356" s="93">
        <v>334.56</v>
      </c>
      <c r="Z356" s="129">
        <v>595.68000000000006</v>
      </c>
      <c r="AA356" s="155">
        <f t="shared" si="22"/>
        <v>167.28</v>
      </c>
      <c r="AB356" s="98">
        <f t="shared" si="22"/>
        <v>297.84000000000003</v>
      </c>
      <c r="AD356" s="97">
        <v>0</v>
      </c>
      <c r="AE356" s="92">
        <v>0</v>
      </c>
      <c r="AF356" s="98">
        <f t="shared" si="24"/>
        <v>0</v>
      </c>
      <c r="AG356" s="97">
        <v>0</v>
      </c>
      <c r="AH356" s="92">
        <v>0</v>
      </c>
      <c r="AI356" s="98">
        <f t="shared" si="21"/>
        <v>0</v>
      </c>
      <c r="AJ356" s="99">
        <f t="shared" si="23"/>
        <v>0</v>
      </c>
      <c r="AK356" s="102" t="str">
        <f>+IF(X356+W356+AJ356&lt;=0, "NO COMPRADOR", +IF(AJ356&lt;=0, "SIN COMPRA "&amp;+UPPER(TEXT('DINAMICA ENERO 26'!$C$2,"mmm 'yy")), "COMPRADOR"))</f>
        <v>NO COMPRADOR</v>
      </c>
      <c r="AO356" s="100"/>
      <c r="AP356" s="100"/>
    </row>
    <row r="357" spans="1:42">
      <c r="A357" s="88" t="s">
        <v>85</v>
      </c>
      <c r="B357" s="89" t="s">
        <v>257</v>
      </c>
      <c r="C357" s="89" t="s">
        <v>43</v>
      </c>
      <c r="D357" s="110">
        <v>100089856</v>
      </c>
      <c r="E357" s="110" t="s">
        <v>49</v>
      </c>
      <c r="F357" s="89">
        <v>100087806</v>
      </c>
      <c r="G357" s="128" t="s">
        <v>437</v>
      </c>
      <c r="H357">
        <v>0</v>
      </c>
      <c r="I357">
        <v>0</v>
      </c>
      <c r="J357">
        <v>0</v>
      </c>
      <c r="K357">
        <v>0</v>
      </c>
      <c r="W357" s="93">
        <v>0</v>
      </c>
      <c r="X357" s="129">
        <v>0</v>
      </c>
      <c r="Y357" s="93">
        <v>0</v>
      </c>
      <c r="Z357" s="129">
        <v>0</v>
      </c>
      <c r="AA357" s="155">
        <f t="shared" si="22"/>
        <v>0</v>
      </c>
      <c r="AB357" s="98">
        <f t="shared" si="22"/>
        <v>0</v>
      </c>
      <c r="AD357" s="97">
        <v>0</v>
      </c>
      <c r="AE357" s="92">
        <v>0</v>
      </c>
      <c r="AF357" s="98">
        <f t="shared" si="24"/>
        <v>0</v>
      </c>
      <c r="AG357" s="97">
        <v>0</v>
      </c>
      <c r="AH357" s="92">
        <v>0</v>
      </c>
      <c r="AI357" s="98">
        <f t="shared" si="21"/>
        <v>0</v>
      </c>
      <c r="AJ357" s="99">
        <f t="shared" si="23"/>
        <v>0</v>
      </c>
      <c r="AK357" s="102" t="str">
        <f>+IF(X357+W357+AJ357&lt;=0, "NO COMPRADOR", +IF(AJ357&lt;=0, "SIN COMPRA "&amp;+UPPER(TEXT('DINAMICA ENERO 26'!$C$2,"mmm 'yy")), "COMPRADOR"))</f>
        <v>NO COMPRADOR</v>
      </c>
      <c r="AO357" s="100"/>
      <c r="AP357" s="100"/>
    </row>
    <row r="358" spans="1:42">
      <c r="A358" s="88" t="s">
        <v>85</v>
      </c>
      <c r="B358" s="89" t="s">
        <v>257</v>
      </c>
      <c r="C358" s="89" t="s">
        <v>43</v>
      </c>
      <c r="D358" s="110">
        <v>100089856</v>
      </c>
      <c r="E358" s="110" t="s">
        <v>49</v>
      </c>
      <c r="F358" s="89">
        <v>100061574</v>
      </c>
      <c r="G358" s="128" t="s">
        <v>438</v>
      </c>
      <c r="H358">
        <v>0</v>
      </c>
      <c r="I358">
        <v>0</v>
      </c>
      <c r="J358">
        <v>0</v>
      </c>
      <c r="K358">
        <v>0</v>
      </c>
      <c r="W358" s="93">
        <v>0</v>
      </c>
      <c r="X358" s="129">
        <v>0</v>
      </c>
      <c r="Y358" s="93">
        <v>0</v>
      </c>
      <c r="Z358" s="129">
        <v>0</v>
      </c>
      <c r="AA358" s="155">
        <f t="shared" si="22"/>
        <v>0</v>
      </c>
      <c r="AB358" s="98">
        <f t="shared" si="22"/>
        <v>0</v>
      </c>
      <c r="AD358" s="97">
        <v>0</v>
      </c>
      <c r="AE358" s="92">
        <v>0</v>
      </c>
      <c r="AF358" s="98">
        <f t="shared" si="24"/>
        <v>0</v>
      </c>
      <c r="AG358" s="97">
        <v>0</v>
      </c>
      <c r="AH358" s="92">
        <v>0</v>
      </c>
      <c r="AI358" s="98">
        <f t="shared" si="21"/>
        <v>0</v>
      </c>
      <c r="AJ358" s="99">
        <f t="shared" si="23"/>
        <v>0</v>
      </c>
      <c r="AK358" s="102" t="str">
        <f>+IF(X358+W358+AJ358&lt;=0, "NO COMPRADOR", +IF(AJ358&lt;=0, "SIN COMPRA "&amp;+UPPER(TEXT('DINAMICA ENERO 26'!$C$2,"mmm 'yy")), "COMPRADOR"))</f>
        <v>NO COMPRADOR</v>
      </c>
      <c r="AO358" s="100"/>
      <c r="AP358" s="100"/>
    </row>
    <row r="359" spans="1:42">
      <c r="A359" s="88" t="s">
        <v>85</v>
      </c>
      <c r="B359" s="89" t="s">
        <v>257</v>
      </c>
      <c r="C359" s="89" t="s">
        <v>43</v>
      </c>
      <c r="D359" s="110">
        <v>100089856</v>
      </c>
      <c r="E359" s="110" t="s">
        <v>49</v>
      </c>
      <c r="F359" s="89">
        <v>100005860</v>
      </c>
      <c r="G359" s="128" t="s">
        <v>439</v>
      </c>
      <c r="H359">
        <v>0</v>
      </c>
      <c r="I359">
        <v>0</v>
      </c>
      <c r="J359">
        <v>0</v>
      </c>
      <c r="K359">
        <v>0</v>
      </c>
      <c r="W359" s="93">
        <v>0</v>
      </c>
      <c r="X359" s="129">
        <v>0</v>
      </c>
      <c r="Y359" s="93">
        <v>0</v>
      </c>
      <c r="Z359" s="129">
        <v>0</v>
      </c>
      <c r="AA359" s="155">
        <f t="shared" si="22"/>
        <v>0</v>
      </c>
      <c r="AB359" s="98">
        <f t="shared" si="22"/>
        <v>0</v>
      </c>
      <c r="AD359" s="97">
        <v>0</v>
      </c>
      <c r="AE359" s="92">
        <v>0</v>
      </c>
      <c r="AF359" s="98">
        <f t="shared" si="24"/>
        <v>0</v>
      </c>
      <c r="AG359" s="97">
        <v>0</v>
      </c>
      <c r="AH359" s="92">
        <v>0</v>
      </c>
      <c r="AI359" s="98">
        <f t="shared" ref="AI359:AI386" si="25">+AG359+AH359</f>
        <v>0</v>
      </c>
      <c r="AJ359" s="99">
        <f t="shared" si="23"/>
        <v>0</v>
      </c>
      <c r="AK359" s="102" t="str">
        <f>+IF(X359+W359+AJ359&lt;=0, "NO COMPRADOR", +IF(AJ359&lt;=0, "SIN COMPRA "&amp;+UPPER(TEXT('DINAMICA ENERO 26'!$C$2,"mmm 'yy")), "COMPRADOR"))</f>
        <v>NO COMPRADOR</v>
      </c>
      <c r="AO359" s="100"/>
      <c r="AP359" s="100"/>
    </row>
    <row r="360" spans="1:42">
      <c r="A360" s="88" t="s">
        <v>85</v>
      </c>
      <c r="B360" s="89" t="s">
        <v>257</v>
      </c>
      <c r="C360" s="89" t="s">
        <v>43</v>
      </c>
      <c r="D360" s="103">
        <v>100067806</v>
      </c>
      <c r="E360" s="110" t="s">
        <v>50</v>
      </c>
      <c r="F360" s="89">
        <v>100086144</v>
      </c>
      <c r="G360" s="128" t="s">
        <v>440</v>
      </c>
      <c r="H360">
        <v>0</v>
      </c>
      <c r="I360">
        <v>0</v>
      </c>
      <c r="J360">
        <v>0</v>
      </c>
      <c r="K360">
        <v>0</v>
      </c>
      <c r="W360" s="93">
        <v>0</v>
      </c>
      <c r="X360" s="129">
        <v>0</v>
      </c>
      <c r="Y360" s="93">
        <v>0</v>
      </c>
      <c r="Z360" s="129">
        <v>0</v>
      </c>
      <c r="AA360" s="155">
        <f t="shared" si="22"/>
        <v>0</v>
      </c>
      <c r="AB360" s="98">
        <f t="shared" si="22"/>
        <v>0</v>
      </c>
      <c r="AD360" s="97">
        <v>0</v>
      </c>
      <c r="AE360" s="92">
        <v>0</v>
      </c>
      <c r="AF360" s="98">
        <f t="shared" si="24"/>
        <v>0</v>
      </c>
      <c r="AG360" s="97">
        <v>0</v>
      </c>
      <c r="AH360" s="92">
        <v>0</v>
      </c>
      <c r="AI360" s="98">
        <f t="shared" si="25"/>
        <v>0</v>
      </c>
      <c r="AJ360" s="99">
        <f t="shared" si="23"/>
        <v>0</v>
      </c>
      <c r="AK360" s="102" t="str">
        <f>+IF(X360+W360+AJ360&lt;=0, "NO COMPRADOR", +IF(AJ360&lt;=0, "SIN COMPRA "&amp;+UPPER(TEXT('DINAMICA ENERO 26'!$C$2,"mmm 'yy")), "COMPRADOR"))</f>
        <v>NO COMPRADOR</v>
      </c>
      <c r="AO360" s="100"/>
      <c r="AP360" s="100"/>
    </row>
    <row r="361" spans="1:42">
      <c r="A361" s="88" t="s">
        <v>85</v>
      </c>
      <c r="B361" s="89" t="s">
        <v>257</v>
      </c>
      <c r="C361" s="89" t="s">
        <v>43</v>
      </c>
      <c r="D361" s="110">
        <v>100067806</v>
      </c>
      <c r="E361" s="110" t="s">
        <v>50</v>
      </c>
      <c r="F361" s="89">
        <v>100001431</v>
      </c>
      <c r="G361" s="128" t="s">
        <v>441</v>
      </c>
      <c r="H361">
        <v>0</v>
      </c>
      <c r="I361">
        <v>0</v>
      </c>
      <c r="J361">
        <v>0</v>
      </c>
      <c r="K361">
        <v>0</v>
      </c>
      <c r="W361" s="93">
        <v>0</v>
      </c>
      <c r="X361" s="129">
        <v>0</v>
      </c>
      <c r="Y361" s="93">
        <v>0</v>
      </c>
      <c r="Z361" s="129">
        <v>0</v>
      </c>
      <c r="AA361" s="155">
        <f t="shared" si="22"/>
        <v>0</v>
      </c>
      <c r="AB361" s="98">
        <f t="shared" si="22"/>
        <v>0</v>
      </c>
      <c r="AD361" s="97">
        <v>0</v>
      </c>
      <c r="AE361" s="92">
        <v>0</v>
      </c>
      <c r="AF361" s="98">
        <f t="shared" si="24"/>
        <v>0</v>
      </c>
      <c r="AG361" s="97">
        <v>0</v>
      </c>
      <c r="AH361" s="92">
        <v>0</v>
      </c>
      <c r="AI361" s="98">
        <f t="shared" si="25"/>
        <v>0</v>
      </c>
      <c r="AJ361" s="99">
        <f t="shared" si="23"/>
        <v>0</v>
      </c>
      <c r="AK361" s="102" t="str">
        <f>+IF(X361+W361+AJ361&lt;=0, "NO COMPRADOR", +IF(AJ361&lt;=0, "SIN COMPRA "&amp;+UPPER(TEXT('DINAMICA ENERO 26'!$C$2,"mmm 'yy")), "COMPRADOR"))</f>
        <v>NO COMPRADOR</v>
      </c>
      <c r="AO361" s="100"/>
      <c r="AP361" s="100"/>
    </row>
    <row r="362" spans="1:42">
      <c r="A362" s="88" t="s">
        <v>85</v>
      </c>
      <c r="B362" s="89" t="s">
        <v>315</v>
      </c>
      <c r="C362" s="89" t="s">
        <v>43</v>
      </c>
      <c r="D362" s="110">
        <v>100063546</v>
      </c>
      <c r="E362" s="110" t="s">
        <v>46</v>
      </c>
      <c r="F362" s="89">
        <v>100083281</v>
      </c>
      <c r="G362" s="128" t="s">
        <v>442</v>
      </c>
      <c r="H362">
        <v>0</v>
      </c>
      <c r="I362">
        <v>0</v>
      </c>
      <c r="J362">
        <v>0</v>
      </c>
      <c r="K362">
        <v>0</v>
      </c>
      <c r="W362" s="93">
        <v>0</v>
      </c>
      <c r="X362" s="129">
        <v>0</v>
      </c>
      <c r="Y362" s="93">
        <v>0</v>
      </c>
      <c r="Z362" s="129">
        <v>0</v>
      </c>
      <c r="AA362" s="155">
        <f t="shared" si="22"/>
        <v>0</v>
      </c>
      <c r="AB362" s="98">
        <f t="shared" si="22"/>
        <v>0</v>
      </c>
      <c r="AD362" s="97">
        <v>0</v>
      </c>
      <c r="AE362" s="92">
        <v>8.16</v>
      </c>
      <c r="AF362" s="98">
        <f t="shared" si="24"/>
        <v>8.16</v>
      </c>
      <c r="AG362" s="97">
        <v>0</v>
      </c>
      <c r="AH362" s="92">
        <v>8.16</v>
      </c>
      <c r="AI362" s="98">
        <f t="shared" si="25"/>
        <v>8.16</v>
      </c>
      <c r="AJ362" s="99">
        <f t="shared" si="23"/>
        <v>16.32</v>
      </c>
      <c r="AK362" s="102" t="str">
        <f>+IF(X362+W362+AJ362&lt;=0, "NO COMPRADOR", +IF(AJ362&lt;=0, "SIN COMPRA "&amp;+UPPER(TEXT('DINAMICA ENERO 26'!$C$2,"mmm 'yy")), "COMPRADOR"))</f>
        <v>COMPRADOR</v>
      </c>
      <c r="AO362" s="100"/>
      <c r="AP362" s="100"/>
    </row>
    <row r="363" spans="1:42">
      <c r="A363" s="88" t="s">
        <v>85</v>
      </c>
      <c r="B363" s="89" t="s">
        <v>351</v>
      </c>
      <c r="C363" s="89" t="s">
        <v>43</v>
      </c>
      <c r="D363" s="110">
        <v>100070275</v>
      </c>
      <c r="E363" s="110" t="s">
        <v>47</v>
      </c>
      <c r="F363" s="89">
        <v>100086676</v>
      </c>
      <c r="G363" s="128" t="s">
        <v>443</v>
      </c>
      <c r="H363">
        <v>0</v>
      </c>
      <c r="I363">
        <v>0</v>
      </c>
      <c r="J363">
        <v>0</v>
      </c>
      <c r="K363">
        <v>0</v>
      </c>
      <c r="W363" s="93">
        <v>0</v>
      </c>
      <c r="X363" s="129">
        <v>0</v>
      </c>
      <c r="Y363" s="93">
        <v>0</v>
      </c>
      <c r="Z363" s="129">
        <v>0</v>
      </c>
      <c r="AA363" s="155">
        <f t="shared" si="22"/>
        <v>0</v>
      </c>
      <c r="AB363" s="98">
        <f t="shared" si="22"/>
        <v>0</v>
      </c>
      <c r="AD363" s="97">
        <v>0</v>
      </c>
      <c r="AE363" s="92">
        <v>0</v>
      </c>
      <c r="AF363" s="98">
        <f t="shared" si="24"/>
        <v>0</v>
      </c>
      <c r="AG363" s="97">
        <v>0</v>
      </c>
      <c r="AH363" s="92">
        <v>0</v>
      </c>
      <c r="AI363" s="98">
        <f t="shared" si="25"/>
        <v>0</v>
      </c>
      <c r="AJ363" s="99">
        <f t="shared" si="23"/>
        <v>0</v>
      </c>
      <c r="AK363" s="102" t="str">
        <f>+IF(X363+W363+AJ363&lt;=0, "NO COMPRADOR", +IF(AJ363&lt;=0, "SIN COMPRA "&amp;+UPPER(TEXT('DINAMICA ENERO 26'!$C$2,"mmm 'yy")), "COMPRADOR"))</f>
        <v>NO COMPRADOR</v>
      </c>
      <c r="AO363" s="100"/>
      <c r="AP363" s="100"/>
    </row>
    <row r="364" spans="1:42">
      <c r="A364" s="88" t="s">
        <v>85</v>
      </c>
      <c r="B364" s="89" t="s">
        <v>351</v>
      </c>
      <c r="C364" s="89" t="s">
        <v>43</v>
      </c>
      <c r="D364" s="110">
        <v>100070275</v>
      </c>
      <c r="E364" s="110" t="s">
        <v>47</v>
      </c>
      <c r="F364" s="89">
        <v>100001521</v>
      </c>
      <c r="G364" s="128" t="s">
        <v>444</v>
      </c>
      <c r="H364">
        <v>0</v>
      </c>
      <c r="I364">
        <v>0</v>
      </c>
      <c r="J364">
        <v>0</v>
      </c>
      <c r="K364">
        <v>0</v>
      </c>
      <c r="W364" s="93">
        <v>0</v>
      </c>
      <c r="X364" s="129">
        <v>0</v>
      </c>
      <c r="Y364" s="93">
        <v>0</v>
      </c>
      <c r="Z364" s="129">
        <v>0</v>
      </c>
      <c r="AA364" s="155">
        <f t="shared" si="22"/>
        <v>0</v>
      </c>
      <c r="AB364" s="98">
        <f t="shared" si="22"/>
        <v>0</v>
      </c>
      <c r="AD364" s="97">
        <v>0</v>
      </c>
      <c r="AE364" s="92">
        <v>0</v>
      </c>
      <c r="AF364" s="98">
        <f t="shared" si="24"/>
        <v>0</v>
      </c>
      <c r="AG364" s="97">
        <v>0</v>
      </c>
      <c r="AH364" s="92">
        <v>0</v>
      </c>
      <c r="AI364" s="98">
        <f t="shared" si="25"/>
        <v>0</v>
      </c>
      <c r="AJ364" s="99">
        <f t="shared" si="23"/>
        <v>0</v>
      </c>
      <c r="AK364" s="102" t="str">
        <f>+IF(X364+W364+AJ364&lt;=0, "NO COMPRADOR", +IF(AJ364&lt;=0, "SIN COMPRA "&amp;+UPPER(TEXT('DINAMICA ENERO 26'!$C$2,"mmm 'yy")), "COMPRADOR"))</f>
        <v>NO COMPRADOR</v>
      </c>
      <c r="AO364" s="100"/>
      <c r="AP364" s="100"/>
    </row>
    <row r="365" spans="1:42">
      <c r="A365" s="88" t="s">
        <v>85</v>
      </c>
      <c r="B365" s="89" t="s">
        <v>351</v>
      </c>
      <c r="C365" s="89" t="s">
        <v>43</v>
      </c>
      <c r="D365" s="110">
        <v>100070276</v>
      </c>
      <c r="E365" s="110" t="s">
        <v>47</v>
      </c>
      <c r="F365" s="89">
        <v>100088142</v>
      </c>
      <c r="G365" s="128" t="s">
        <v>445</v>
      </c>
      <c r="H365">
        <v>0</v>
      </c>
      <c r="I365">
        <v>0</v>
      </c>
      <c r="J365">
        <v>0</v>
      </c>
      <c r="K365">
        <v>0</v>
      </c>
      <c r="W365" s="93">
        <v>0</v>
      </c>
      <c r="X365" s="129">
        <v>0</v>
      </c>
      <c r="Y365" s="93">
        <v>0</v>
      </c>
      <c r="Z365" s="129">
        <v>0</v>
      </c>
      <c r="AA365" s="155">
        <f t="shared" si="22"/>
        <v>0</v>
      </c>
      <c r="AB365" s="98">
        <f t="shared" si="22"/>
        <v>0</v>
      </c>
      <c r="AD365" s="97">
        <v>0</v>
      </c>
      <c r="AE365" s="92">
        <v>0</v>
      </c>
      <c r="AF365" s="98">
        <f t="shared" si="24"/>
        <v>0</v>
      </c>
      <c r="AG365" s="97">
        <v>0</v>
      </c>
      <c r="AH365" s="92">
        <v>0</v>
      </c>
      <c r="AI365" s="98">
        <f t="shared" si="25"/>
        <v>0</v>
      </c>
      <c r="AJ365" s="99">
        <f t="shared" si="23"/>
        <v>0</v>
      </c>
      <c r="AK365" s="102" t="str">
        <f>+IF(X365+W365+AJ365&lt;=0, "NO COMPRADOR", +IF(AJ365&lt;=0, "SIN COMPRA "&amp;+UPPER(TEXT('DINAMICA ENERO 26'!$C$2,"mmm 'yy")), "COMPRADOR"))</f>
        <v>NO COMPRADOR</v>
      </c>
      <c r="AO365" s="100"/>
      <c r="AP365" s="100"/>
    </row>
    <row r="366" spans="1:42">
      <c r="A366" s="88" t="s">
        <v>85</v>
      </c>
      <c r="B366" s="89" t="s">
        <v>351</v>
      </c>
      <c r="C366" s="89" t="s">
        <v>43</v>
      </c>
      <c r="D366" s="110">
        <v>100075073</v>
      </c>
      <c r="E366" s="110" t="s">
        <v>48</v>
      </c>
      <c r="F366" s="89">
        <v>100001336</v>
      </c>
      <c r="G366" s="128" t="s">
        <v>446</v>
      </c>
      <c r="H366">
        <v>0</v>
      </c>
      <c r="I366">
        <v>0</v>
      </c>
      <c r="J366">
        <v>0</v>
      </c>
      <c r="K366">
        <v>0</v>
      </c>
      <c r="W366" s="93">
        <v>0</v>
      </c>
      <c r="X366" s="129">
        <v>0</v>
      </c>
      <c r="Y366" s="93">
        <v>0</v>
      </c>
      <c r="Z366" s="129">
        <v>0</v>
      </c>
      <c r="AA366" s="155">
        <f t="shared" si="22"/>
        <v>0</v>
      </c>
      <c r="AB366" s="98">
        <f t="shared" si="22"/>
        <v>0</v>
      </c>
      <c r="AD366" s="97">
        <v>0</v>
      </c>
      <c r="AE366" s="92">
        <v>0</v>
      </c>
      <c r="AF366" s="98">
        <f t="shared" si="24"/>
        <v>0</v>
      </c>
      <c r="AG366" s="97">
        <v>0</v>
      </c>
      <c r="AH366" s="92">
        <v>0</v>
      </c>
      <c r="AI366" s="98">
        <f t="shared" si="25"/>
        <v>0</v>
      </c>
      <c r="AJ366" s="99">
        <f t="shared" si="23"/>
        <v>0</v>
      </c>
      <c r="AK366" s="102" t="str">
        <f>+IF(X366+W366+AJ366&lt;=0, "NO COMPRADOR", +IF(AJ366&lt;=0, "SIN COMPRA "&amp;+UPPER(TEXT('DINAMICA ENERO 26'!$C$2,"mmm 'yy")), "COMPRADOR"))</f>
        <v>NO COMPRADOR</v>
      </c>
      <c r="AO366" s="100"/>
      <c r="AP366" s="100"/>
    </row>
  </sheetData>
  <autoFilter ref="A2:AP366" xr:uid="{00000000-0009-0000-0000-000004000000}"/>
  <mergeCells count="6">
    <mergeCell ref="A1:G1"/>
    <mergeCell ref="W1:X1"/>
    <mergeCell ref="Y1:Z1"/>
    <mergeCell ref="AA1:AB1"/>
    <mergeCell ref="AD1:AF1"/>
    <mergeCell ref="AG1:AI1"/>
  </mergeCells>
  <conditionalFormatting sqref="AA3:AB366 AF3:AF366 AI3:AJ366">
    <cfRule type="cellIs" dxfId="2" priority="1" operator="less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70266-5AF0-4B58-BFE6-9336CE390021}">
  <sheetPr>
    <tabColor theme="5" tint="-0.499984740745262"/>
  </sheetPr>
  <dimension ref="A1:AX366"/>
  <sheetViews>
    <sheetView showGridLines="0" topLeftCell="E1" zoomScale="70" zoomScaleNormal="70" workbookViewId="0">
      <selection activeCell="J12" sqref="J12"/>
    </sheetView>
  </sheetViews>
  <sheetFormatPr baseColWidth="10" defaultColWidth="10.90625" defaultRowHeight="14.5"/>
  <cols>
    <col min="1" max="1" width="10.90625" style="73"/>
    <col min="2" max="2" width="14" style="73" bestFit="1" customWidth="1"/>
    <col min="3" max="3" width="26.7265625" style="73" bestFit="1" customWidth="1"/>
    <col min="4" max="4" width="17.90625" style="133" customWidth="1"/>
    <col min="5" max="5" width="31.90625" style="73" bestFit="1" customWidth="1"/>
    <col min="6" max="6" width="21.90625" style="73" customWidth="1"/>
    <col min="7" max="7" width="49.453125" style="156" customWidth="1"/>
    <col min="8" max="9" width="10.453125" style="73" hidden="1" customWidth="1"/>
    <col min="10" max="16" width="10.36328125" style="73" hidden="1" customWidth="1"/>
    <col min="17" max="17" width="11.6328125" style="73" customWidth="1"/>
    <col min="18" max="18" width="10.36328125" style="73" customWidth="1"/>
    <col min="19" max="19" width="12.453125" style="73" customWidth="1"/>
    <col min="20" max="28" width="10.36328125" style="73" customWidth="1"/>
    <col min="29" max="29" width="2.453125" customWidth="1"/>
    <col min="30" max="30" width="10.90625" style="73" bestFit="1" customWidth="1"/>
    <col min="31" max="31" width="10.90625" style="73" customWidth="1"/>
    <col min="32" max="32" width="9.6328125" style="73" customWidth="1"/>
    <col min="33" max="33" width="10.36328125" style="73" customWidth="1"/>
    <col min="34" max="36" width="9.6328125" style="73" customWidth="1"/>
    <col min="37" max="37" width="16.7265625" style="73" bestFit="1" customWidth="1"/>
    <col min="38" max="38" width="3.54296875" customWidth="1"/>
    <col min="39" max="40" width="10.90625" style="73" hidden="1" customWidth="1"/>
    <col min="41" max="41" width="0" style="73" hidden="1" customWidth="1"/>
    <col min="42" max="42" width="17.26953125" bestFit="1" customWidth="1"/>
    <col min="43" max="50" width="11" customWidth="1"/>
    <col min="51" max="16384" width="10.90625" style="73"/>
  </cols>
  <sheetData>
    <row r="1" spans="1:50" ht="19" thickBot="1">
      <c r="A1" s="138" t="s">
        <v>450</v>
      </c>
      <c r="B1" s="138"/>
      <c r="C1" s="138"/>
      <c r="D1" s="138"/>
      <c r="E1" s="138"/>
      <c r="F1" s="138"/>
      <c r="G1" s="138"/>
      <c r="H1" s="123"/>
      <c r="I1" s="123"/>
      <c r="J1" s="123"/>
      <c r="K1" s="123"/>
      <c r="L1" s="123"/>
      <c r="M1" s="123"/>
      <c r="N1" s="123"/>
      <c r="O1" s="123"/>
      <c r="P1" s="123"/>
      <c r="Q1" s="139" t="s">
        <v>78</v>
      </c>
      <c r="R1" s="140"/>
      <c r="S1" s="139" t="s">
        <v>79</v>
      </c>
      <c r="T1" s="140"/>
      <c r="U1" s="139" t="s">
        <v>452</v>
      </c>
      <c r="V1" s="140"/>
      <c r="W1" s="139" t="s">
        <v>453</v>
      </c>
      <c r="X1" s="140"/>
      <c r="Y1" s="139" t="s">
        <v>454</v>
      </c>
      <c r="Z1" s="140"/>
      <c r="AA1" s="141" t="s">
        <v>455</v>
      </c>
      <c r="AB1" s="142"/>
      <c r="AD1" s="143" t="s">
        <v>462</v>
      </c>
      <c r="AE1" s="144"/>
      <c r="AF1" s="144"/>
      <c r="AG1" s="144" t="s">
        <v>463</v>
      </c>
      <c r="AH1" s="144"/>
      <c r="AI1" s="144"/>
      <c r="AJ1" s="145"/>
      <c r="AK1" s="146"/>
      <c r="AM1" s="135">
        <v>100522130</v>
      </c>
      <c r="AN1" s="135">
        <v>100521357</v>
      </c>
      <c r="AO1" s="135">
        <v>100521663</v>
      </c>
    </row>
    <row r="2" spans="1:50" s="127" customFormat="1" ht="39.5" thickBot="1">
      <c r="A2" s="74" t="s">
        <v>73</v>
      </c>
      <c r="B2" s="75" t="s">
        <v>74</v>
      </c>
      <c r="C2" s="75" t="s">
        <v>8</v>
      </c>
      <c r="D2" s="75" t="s">
        <v>75</v>
      </c>
      <c r="E2" s="75" t="s">
        <v>9</v>
      </c>
      <c r="F2" s="75" t="s">
        <v>76</v>
      </c>
      <c r="G2" s="124" t="s">
        <v>10</v>
      </c>
      <c r="H2" s="159" t="s">
        <v>464</v>
      </c>
      <c r="I2" s="160" t="s">
        <v>465</v>
      </c>
      <c r="J2" s="161" t="s">
        <v>466</v>
      </c>
      <c r="K2" s="161" t="s">
        <v>467</v>
      </c>
      <c r="L2" s="161" t="s">
        <v>468</v>
      </c>
      <c r="M2" s="161" t="s">
        <v>469</v>
      </c>
      <c r="N2" s="161" t="s">
        <v>470</v>
      </c>
      <c r="O2" s="162" t="s">
        <v>77</v>
      </c>
      <c r="P2" s="163" t="s">
        <v>83</v>
      </c>
      <c r="Q2" s="147" t="s">
        <v>462</v>
      </c>
      <c r="R2" s="149" t="s">
        <v>463</v>
      </c>
      <c r="S2" s="147" t="s">
        <v>462</v>
      </c>
      <c r="T2" s="149" t="s">
        <v>463</v>
      </c>
      <c r="U2" s="147" t="s">
        <v>462</v>
      </c>
      <c r="V2" s="149" t="s">
        <v>463</v>
      </c>
      <c r="W2" s="147" t="s">
        <v>462</v>
      </c>
      <c r="X2" s="149" t="s">
        <v>463</v>
      </c>
      <c r="Y2" s="147" t="s">
        <v>462</v>
      </c>
      <c r="Z2" s="149" t="s">
        <v>463</v>
      </c>
      <c r="AA2" s="147" t="s">
        <v>462</v>
      </c>
      <c r="AB2" s="149" t="s">
        <v>463</v>
      </c>
      <c r="AC2"/>
      <c r="AD2" s="83" t="str">
        <f>+UPPER(TEXT('DINAMICA ENERO 26'!$C$2,"mmm 'yy"))&amp;" FACT"</f>
        <v>FEB '26 FACT</v>
      </c>
      <c r="AE2" s="84" t="str">
        <f>+UPPER(TEXT('DINAMICA ENERO 26'!$C$2,"mmm 'yy"))&amp;" PEND."</f>
        <v>FEB '26 PEND.</v>
      </c>
      <c r="AF2" s="85" t="str">
        <f>+UPPER(TEXT('DINAMICA ENERO 26'!$C$2,"mmm 'yy"))&amp;" TOTAL"</f>
        <v>FEB '26 TOTAL</v>
      </c>
      <c r="AG2" s="83" t="str">
        <f>+UPPER(TEXT('DINAMICA ENERO 26'!$C$2,"mmm 'yy"))&amp;" FACT"</f>
        <v>FEB '26 FACT</v>
      </c>
      <c r="AH2" s="84" t="str">
        <f>+UPPER(TEXT('DINAMICA ENERO 26'!$C$2,"mmm 'yy"))&amp;" PEND."</f>
        <v>FEB '26 PEND.</v>
      </c>
      <c r="AI2" s="85" t="str">
        <f>+UPPER(TEXT('DINAMICA ENERO 26'!$C$2,"mmm 'yy"))&amp;" TOTAL"</f>
        <v>FEB '26 TOTAL</v>
      </c>
      <c r="AJ2" s="157" t="s">
        <v>458</v>
      </c>
      <c r="AK2" s="151" t="s">
        <v>84</v>
      </c>
      <c r="AL2"/>
      <c r="AP2"/>
      <c r="AQ2"/>
      <c r="AR2"/>
      <c r="AS2"/>
      <c r="AT2"/>
      <c r="AU2"/>
      <c r="AV2"/>
      <c r="AW2"/>
      <c r="AX2"/>
    </row>
    <row r="3" spans="1:50" s="100" customFormat="1">
      <c r="A3" s="88" t="s">
        <v>85</v>
      </c>
      <c r="B3" s="89" t="s">
        <v>86</v>
      </c>
      <c r="C3" s="89" t="s">
        <v>60</v>
      </c>
      <c r="D3" s="89">
        <v>100077477</v>
      </c>
      <c r="E3" s="89" t="s">
        <v>65</v>
      </c>
      <c r="F3" s="89">
        <v>100086577</v>
      </c>
      <c r="G3" s="128" t="s">
        <v>87</v>
      </c>
      <c r="H3" s="164"/>
      <c r="I3" s="131"/>
      <c r="J3" s="131"/>
      <c r="K3" s="131"/>
      <c r="L3" s="131"/>
      <c r="M3" s="136"/>
      <c r="N3" s="136"/>
      <c r="O3" s="137"/>
      <c r="P3" s="165" t="e">
        <f t="shared" ref="P3:P66" si="0">+AVERAGE(L3:N3)</f>
        <v>#DIV/0!</v>
      </c>
      <c r="Q3" s="152">
        <v>480</v>
      </c>
      <c r="R3" s="137">
        <v>0</v>
      </c>
      <c r="S3" s="152">
        <v>244.8</v>
      </c>
      <c r="T3" s="137">
        <v>0</v>
      </c>
      <c r="U3" s="158">
        <v>0</v>
      </c>
      <c r="V3" s="137">
        <v>0</v>
      </c>
      <c r="W3" s="158">
        <v>312</v>
      </c>
      <c r="X3" s="137">
        <v>68.399999999999991</v>
      </c>
      <c r="Y3" s="158">
        <v>0</v>
      </c>
      <c r="Z3" s="137">
        <v>0</v>
      </c>
      <c r="AA3" s="153">
        <f t="shared" ref="AA3:AB18" si="1">+AVERAGE(U3,W3,Y3)</f>
        <v>104</v>
      </c>
      <c r="AB3" s="132">
        <f t="shared" si="1"/>
        <v>22.799999999999997</v>
      </c>
      <c r="AC3"/>
      <c r="AD3" s="130">
        <v>0</v>
      </c>
      <c r="AE3" s="131">
        <v>0</v>
      </c>
      <c r="AF3" s="132">
        <f>+AD3+AE3</f>
        <v>0</v>
      </c>
      <c r="AG3" s="130">
        <v>0</v>
      </c>
      <c r="AH3" s="131">
        <v>0</v>
      </c>
      <c r="AI3" s="132">
        <f>+AG3+AH3</f>
        <v>0</v>
      </c>
      <c r="AJ3" s="132">
        <f t="shared" ref="AJ3:AJ66" si="2">+AF3+AI3</f>
        <v>0</v>
      </c>
      <c r="AK3" s="96" t="str">
        <f>+IF(AB3+AA3+AJ3&lt;=0, "NO COMPRADOR", +IF(AJ3&lt;=0, "SIN COMPRA "&amp;+UPPER(TEXT('DINAMICA ENERO 26'!$C$2,"mmm 'yy")), "COMPRADOR"))</f>
        <v>SIN COMPRA FEB '26</v>
      </c>
      <c r="AL3"/>
      <c r="AN3" s="101"/>
      <c r="AP3"/>
      <c r="AQ3"/>
      <c r="AR3"/>
      <c r="AS3"/>
      <c r="AT3"/>
      <c r="AU3"/>
      <c r="AV3"/>
      <c r="AW3"/>
      <c r="AX3"/>
    </row>
    <row r="4" spans="1:50" s="100" customFormat="1">
      <c r="A4" s="88" t="s">
        <v>85</v>
      </c>
      <c r="B4" s="89" t="s">
        <v>86</v>
      </c>
      <c r="C4" s="89" t="s">
        <v>60</v>
      </c>
      <c r="D4" s="89">
        <v>100077477</v>
      </c>
      <c r="E4" s="89" t="s">
        <v>65</v>
      </c>
      <c r="F4" s="89">
        <v>100065731</v>
      </c>
      <c r="G4" s="128" t="s">
        <v>88</v>
      </c>
      <c r="H4" s="166"/>
      <c r="I4" s="92"/>
      <c r="J4" s="92"/>
      <c r="K4" s="92"/>
      <c r="L4" s="92"/>
      <c r="M4" s="94"/>
      <c r="N4" s="94"/>
      <c r="O4" s="129"/>
      <c r="P4" s="167" t="e">
        <f t="shared" si="0"/>
        <v>#DIV/0!</v>
      </c>
      <c r="Q4" s="91">
        <v>0</v>
      </c>
      <c r="R4" s="129">
        <v>0</v>
      </c>
      <c r="S4" s="91">
        <v>0</v>
      </c>
      <c r="T4" s="129">
        <v>0</v>
      </c>
      <c r="U4" s="93">
        <v>0</v>
      </c>
      <c r="V4" s="129">
        <v>0</v>
      </c>
      <c r="W4" s="93">
        <v>0</v>
      </c>
      <c r="X4" s="129">
        <v>0</v>
      </c>
      <c r="Y4" s="93">
        <v>0</v>
      </c>
      <c r="Z4" s="129">
        <v>0</v>
      </c>
      <c r="AA4" s="155">
        <f t="shared" si="1"/>
        <v>0</v>
      </c>
      <c r="AB4" s="98">
        <f t="shared" si="1"/>
        <v>0</v>
      </c>
      <c r="AC4"/>
      <c r="AD4" s="97">
        <v>0</v>
      </c>
      <c r="AE4" s="92">
        <v>0</v>
      </c>
      <c r="AF4" s="98">
        <f t="shared" ref="AF4:AF67" si="3">+AD4+AE4</f>
        <v>0</v>
      </c>
      <c r="AG4" s="97">
        <v>0</v>
      </c>
      <c r="AH4" s="92">
        <v>0</v>
      </c>
      <c r="AI4" s="98">
        <f t="shared" ref="AI4:AI67" si="4">+AG4+AH4</f>
        <v>0</v>
      </c>
      <c r="AJ4" s="98">
        <f t="shared" si="2"/>
        <v>0</v>
      </c>
      <c r="AK4" s="102" t="str">
        <f>+IF(AB4+AA4+AJ4&lt;=0, "NO COMPRADOR", +IF(AJ4&lt;=0, "SIN COMPRA "&amp;+UPPER(TEXT('DINAMICA ENERO 26'!$C$2,"mmm 'yy")), "COMPRADOR"))</f>
        <v>NO COMPRADOR</v>
      </c>
      <c r="AL4"/>
      <c r="AN4" s="101"/>
      <c r="AP4"/>
      <c r="AQ4"/>
      <c r="AR4"/>
      <c r="AS4"/>
      <c r="AT4"/>
      <c r="AU4"/>
      <c r="AV4"/>
      <c r="AW4"/>
      <c r="AX4"/>
    </row>
    <row r="5" spans="1:50" s="104" customFormat="1">
      <c r="A5" s="88" t="s">
        <v>85</v>
      </c>
      <c r="B5" s="89" t="s">
        <v>86</v>
      </c>
      <c r="C5" s="89" t="s">
        <v>60</v>
      </c>
      <c r="D5" s="89">
        <v>100077477</v>
      </c>
      <c r="E5" s="89" t="s">
        <v>65</v>
      </c>
      <c r="F5" s="89">
        <v>100010095</v>
      </c>
      <c r="G5" s="128" t="s">
        <v>89</v>
      </c>
      <c r="H5" s="166"/>
      <c r="I5" s="92"/>
      <c r="J5" s="92"/>
      <c r="K5" s="92"/>
      <c r="L5" s="92"/>
      <c r="M5" s="94"/>
      <c r="N5" s="94"/>
      <c r="O5" s="129"/>
      <c r="P5" s="167" t="e">
        <f t="shared" si="0"/>
        <v>#DIV/0!</v>
      </c>
      <c r="Q5" s="91">
        <v>0</v>
      </c>
      <c r="R5" s="129">
        <v>0</v>
      </c>
      <c r="S5" s="91">
        <v>0</v>
      </c>
      <c r="T5" s="129">
        <v>0</v>
      </c>
      <c r="U5" s="93">
        <v>48</v>
      </c>
      <c r="V5" s="129">
        <v>0</v>
      </c>
      <c r="W5" s="93">
        <v>81.599999999999994</v>
      </c>
      <c r="X5" s="129">
        <v>22.799999999999997</v>
      </c>
      <c r="Y5" s="93">
        <v>19.2</v>
      </c>
      <c r="Z5" s="129">
        <v>0</v>
      </c>
      <c r="AA5" s="155">
        <f t="shared" si="1"/>
        <v>49.599999999999994</v>
      </c>
      <c r="AB5" s="98">
        <f t="shared" si="1"/>
        <v>7.5999999999999988</v>
      </c>
      <c r="AC5"/>
      <c r="AD5" s="97">
        <v>28.799999999999997</v>
      </c>
      <c r="AE5" s="92">
        <v>0</v>
      </c>
      <c r="AF5" s="98">
        <f t="shared" si="3"/>
        <v>28.799999999999997</v>
      </c>
      <c r="AG5" s="97">
        <v>0</v>
      </c>
      <c r="AH5" s="92">
        <v>0</v>
      </c>
      <c r="AI5" s="98">
        <f t="shared" si="4"/>
        <v>0</v>
      </c>
      <c r="AJ5" s="98">
        <f t="shared" si="2"/>
        <v>28.799999999999997</v>
      </c>
      <c r="AK5" s="102" t="str">
        <f>+IF(AB5+AA5+AJ5&lt;=0, "NO COMPRADOR", +IF(AJ5&lt;=0, "SIN COMPRA "&amp;+UPPER(TEXT('DINAMICA ENERO 26'!$C$2,"mmm 'yy")), "COMPRADOR"))</f>
        <v>COMPRADOR</v>
      </c>
      <c r="AL5"/>
      <c r="AM5" s="100"/>
      <c r="AN5" s="101"/>
      <c r="AO5" s="100"/>
      <c r="AP5"/>
      <c r="AQ5"/>
      <c r="AR5"/>
      <c r="AS5"/>
      <c r="AT5"/>
      <c r="AU5"/>
      <c r="AV5"/>
      <c r="AW5"/>
      <c r="AX5"/>
    </row>
    <row r="6" spans="1:50" s="100" customFormat="1">
      <c r="A6" s="88" t="s">
        <v>85</v>
      </c>
      <c r="B6" s="89" t="s">
        <v>86</v>
      </c>
      <c r="C6" s="89" t="s">
        <v>60</v>
      </c>
      <c r="D6" s="89">
        <v>100077477</v>
      </c>
      <c r="E6" s="89" t="s">
        <v>65</v>
      </c>
      <c r="F6" s="89">
        <v>100079173</v>
      </c>
      <c r="G6" s="128" t="s">
        <v>90</v>
      </c>
      <c r="H6" s="166"/>
      <c r="I6" s="92"/>
      <c r="J6" s="92"/>
      <c r="K6" s="92"/>
      <c r="L6" s="92"/>
      <c r="M6" s="94"/>
      <c r="N6" s="94"/>
      <c r="O6" s="129"/>
      <c r="P6" s="167" t="e">
        <f t="shared" si="0"/>
        <v>#DIV/0!</v>
      </c>
      <c r="Q6" s="91">
        <v>144</v>
      </c>
      <c r="R6" s="129">
        <v>136.79999999999998</v>
      </c>
      <c r="S6" s="91">
        <v>648</v>
      </c>
      <c r="T6" s="129">
        <v>159.59999999999997</v>
      </c>
      <c r="U6" s="93">
        <v>0</v>
      </c>
      <c r="V6" s="129">
        <v>0</v>
      </c>
      <c r="W6" s="93">
        <v>504</v>
      </c>
      <c r="X6" s="129">
        <v>250.79999999999995</v>
      </c>
      <c r="Y6" s="93">
        <v>48</v>
      </c>
      <c r="Z6" s="129">
        <v>136.79999999999998</v>
      </c>
      <c r="AA6" s="155">
        <f t="shared" si="1"/>
        <v>184</v>
      </c>
      <c r="AB6" s="98">
        <f t="shared" si="1"/>
        <v>129.19999999999996</v>
      </c>
      <c r="AC6"/>
      <c r="AD6" s="97">
        <v>264</v>
      </c>
      <c r="AE6" s="92">
        <v>48</v>
      </c>
      <c r="AF6" s="98">
        <f t="shared" si="3"/>
        <v>312</v>
      </c>
      <c r="AG6" s="97">
        <v>45.599999999999994</v>
      </c>
      <c r="AH6" s="92">
        <v>45.6</v>
      </c>
      <c r="AI6" s="98">
        <f t="shared" si="4"/>
        <v>91.199999999999989</v>
      </c>
      <c r="AJ6" s="98">
        <f t="shared" si="2"/>
        <v>403.2</v>
      </c>
      <c r="AK6" s="102" t="str">
        <f>+IF(AB6+AA6+AJ6&lt;=0, "NO COMPRADOR", +IF(AJ6&lt;=0, "SIN COMPRA "&amp;+UPPER(TEXT('DINAMICA ENERO 26'!$C$2,"mmm 'yy")), "COMPRADOR"))</f>
        <v>COMPRADOR</v>
      </c>
      <c r="AL6"/>
      <c r="AN6" s="101"/>
      <c r="AP6"/>
      <c r="AQ6"/>
      <c r="AR6"/>
      <c r="AS6"/>
      <c r="AT6"/>
      <c r="AU6"/>
      <c r="AV6"/>
      <c r="AW6"/>
      <c r="AX6"/>
    </row>
    <row r="7" spans="1:50" s="100" customFormat="1">
      <c r="A7" s="88" t="s">
        <v>85</v>
      </c>
      <c r="B7" s="89" t="s">
        <v>86</v>
      </c>
      <c r="C7" s="89" t="s">
        <v>60</v>
      </c>
      <c r="D7" s="89">
        <v>100077477</v>
      </c>
      <c r="E7" s="89" t="s">
        <v>65</v>
      </c>
      <c r="F7" s="89">
        <v>100079594</v>
      </c>
      <c r="G7" s="128" t="s">
        <v>91</v>
      </c>
      <c r="H7" s="166"/>
      <c r="I7" s="92"/>
      <c r="J7" s="92"/>
      <c r="K7" s="92"/>
      <c r="L7" s="92"/>
      <c r="M7" s="94"/>
      <c r="N7" s="94"/>
      <c r="O7" s="129"/>
      <c r="P7" s="167" t="e">
        <f t="shared" si="0"/>
        <v>#DIV/0!</v>
      </c>
      <c r="Q7" s="91">
        <v>0</v>
      </c>
      <c r="R7" s="129">
        <v>273.59999999999997</v>
      </c>
      <c r="S7" s="91">
        <v>528</v>
      </c>
      <c r="T7" s="129">
        <v>0</v>
      </c>
      <c r="U7" s="93">
        <v>96</v>
      </c>
      <c r="V7" s="129">
        <v>0</v>
      </c>
      <c r="W7" s="93">
        <v>0</v>
      </c>
      <c r="X7" s="129">
        <v>22.799999999999997</v>
      </c>
      <c r="Y7" s="93">
        <v>96</v>
      </c>
      <c r="Z7" s="129">
        <v>45.599999999999994</v>
      </c>
      <c r="AA7" s="155">
        <f t="shared" si="1"/>
        <v>64</v>
      </c>
      <c r="AB7" s="98">
        <f t="shared" si="1"/>
        <v>22.799999999999997</v>
      </c>
      <c r="AC7"/>
      <c r="AD7" s="97">
        <v>0</v>
      </c>
      <c r="AE7" s="92">
        <v>0</v>
      </c>
      <c r="AF7" s="98">
        <f t="shared" si="3"/>
        <v>0</v>
      </c>
      <c r="AG7" s="97">
        <v>0</v>
      </c>
      <c r="AH7" s="92">
        <v>0</v>
      </c>
      <c r="AI7" s="98">
        <f t="shared" si="4"/>
        <v>0</v>
      </c>
      <c r="AJ7" s="98">
        <f t="shared" si="2"/>
        <v>0</v>
      </c>
      <c r="AK7" s="102" t="str">
        <f>+IF(AB7+AA7+AJ7&lt;=0, "NO COMPRADOR", +IF(AJ7&lt;=0, "SIN COMPRA "&amp;+UPPER(TEXT('DINAMICA ENERO 26'!$C$2,"mmm 'yy")), "COMPRADOR"))</f>
        <v>SIN COMPRA FEB '26</v>
      </c>
      <c r="AL7"/>
      <c r="AN7" s="101"/>
      <c r="AP7"/>
      <c r="AQ7"/>
      <c r="AR7"/>
      <c r="AS7"/>
      <c r="AT7"/>
      <c r="AU7"/>
      <c r="AV7"/>
      <c r="AW7"/>
      <c r="AX7"/>
    </row>
    <row r="8" spans="1:50" s="100" customFormat="1">
      <c r="A8" s="88" t="s">
        <v>85</v>
      </c>
      <c r="B8" s="89" t="s">
        <v>86</v>
      </c>
      <c r="C8" s="89" t="s">
        <v>60</v>
      </c>
      <c r="D8" s="89">
        <v>100077477</v>
      </c>
      <c r="E8" s="89" t="s">
        <v>65</v>
      </c>
      <c r="F8" s="89">
        <v>100078788</v>
      </c>
      <c r="G8" s="128" t="s">
        <v>92</v>
      </c>
      <c r="H8" s="166"/>
      <c r="I8" s="92"/>
      <c r="J8" s="92"/>
      <c r="K8" s="92"/>
      <c r="L8" s="92"/>
      <c r="M8" s="94"/>
      <c r="N8" s="94"/>
      <c r="O8" s="129"/>
      <c r="P8" s="167" t="e">
        <f t="shared" si="0"/>
        <v>#DIV/0!</v>
      </c>
      <c r="Q8" s="91">
        <v>672</v>
      </c>
      <c r="R8" s="129">
        <v>227.99999999999997</v>
      </c>
      <c r="S8" s="91">
        <v>672</v>
      </c>
      <c r="T8" s="129">
        <v>0</v>
      </c>
      <c r="U8" s="93">
        <v>240</v>
      </c>
      <c r="V8" s="129">
        <v>227.99999999999997</v>
      </c>
      <c r="W8" s="93">
        <v>648</v>
      </c>
      <c r="X8" s="129">
        <v>273.59999999999997</v>
      </c>
      <c r="Y8" s="93">
        <v>192</v>
      </c>
      <c r="Z8" s="129">
        <v>182.39999999999998</v>
      </c>
      <c r="AA8" s="155">
        <f t="shared" si="1"/>
        <v>360</v>
      </c>
      <c r="AB8" s="98">
        <f t="shared" si="1"/>
        <v>227.99999999999997</v>
      </c>
      <c r="AC8"/>
      <c r="AD8" s="97">
        <v>0</v>
      </c>
      <c r="AE8" s="92">
        <v>0</v>
      </c>
      <c r="AF8" s="98">
        <f t="shared" si="3"/>
        <v>0</v>
      </c>
      <c r="AG8" s="97">
        <v>0</v>
      </c>
      <c r="AH8" s="92">
        <v>0</v>
      </c>
      <c r="AI8" s="98">
        <f t="shared" si="4"/>
        <v>0</v>
      </c>
      <c r="AJ8" s="98">
        <f t="shared" si="2"/>
        <v>0</v>
      </c>
      <c r="AK8" s="102" t="str">
        <f>+IF(AB8+AA8+AJ8&lt;=0, "NO COMPRADOR", +IF(AJ8&lt;=0, "SIN COMPRA "&amp;+UPPER(TEXT('DINAMICA ENERO 26'!$C$2,"mmm 'yy")), "COMPRADOR"))</f>
        <v>SIN COMPRA FEB '26</v>
      </c>
      <c r="AL8"/>
      <c r="AN8" s="101"/>
      <c r="AP8"/>
      <c r="AQ8"/>
      <c r="AR8"/>
      <c r="AS8"/>
      <c r="AT8"/>
      <c r="AU8"/>
      <c r="AV8"/>
      <c r="AW8"/>
      <c r="AX8"/>
    </row>
    <row r="9" spans="1:50" s="100" customFormat="1">
      <c r="A9" s="88" t="s">
        <v>85</v>
      </c>
      <c r="B9" s="89" t="s">
        <v>86</v>
      </c>
      <c r="C9" s="89" t="s">
        <v>60</v>
      </c>
      <c r="D9" s="89">
        <v>100077477</v>
      </c>
      <c r="E9" s="89" t="s">
        <v>65</v>
      </c>
      <c r="F9" s="89">
        <v>100084185</v>
      </c>
      <c r="G9" s="128" t="s">
        <v>93</v>
      </c>
      <c r="H9" s="166"/>
      <c r="I9" s="92"/>
      <c r="J9" s="92"/>
      <c r="K9" s="92"/>
      <c r="L9" s="92"/>
      <c r="M9" s="94"/>
      <c r="N9" s="94"/>
      <c r="O9" s="129"/>
      <c r="P9" s="167" t="e">
        <f t="shared" si="0"/>
        <v>#DIV/0!</v>
      </c>
      <c r="Q9" s="91">
        <v>0</v>
      </c>
      <c r="R9" s="129">
        <v>0</v>
      </c>
      <c r="S9" s="91">
        <v>72</v>
      </c>
      <c r="T9" s="129">
        <v>0</v>
      </c>
      <c r="U9" s="93">
        <v>48</v>
      </c>
      <c r="V9" s="129">
        <v>0</v>
      </c>
      <c r="W9" s="93">
        <v>48</v>
      </c>
      <c r="X9" s="129">
        <v>0</v>
      </c>
      <c r="Y9" s="93">
        <v>24</v>
      </c>
      <c r="Z9" s="129">
        <v>45.599999999999994</v>
      </c>
      <c r="AA9" s="155">
        <f t="shared" si="1"/>
        <v>40</v>
      </c>
      <c r="AB9" s="98">
        <f t="shared" si="1"/>
        <v>15.199999999999998</v>
      </c>
      <c r="AC9"/>
      <c r="AD9" s="97">
        <v>48</v>
      </c>
      <c r="AE9" s="92">
        <v>0</v>
      </c>
      <c r="AF9" s="98">
        <f t="shared" si="3"/>
        <v>48</v>
      </c>
      <c r="AG9" s="97">
        <v>22.799999999999997</v>
      </c>
      <c r="AH9" s="92">
        <v>0</v>
      </c>
      <c r="AI9" s="98">
        <f t="shared" si="4"/>
        <v>22.799999999999997</v>
      </c>
      <c r="AJ9" s="98">
        <f t="shared" si="2"/>
        <v>70.8</v>
      </c>
      <c r="AK9" s="102" t="str">
        <f>+IF(AB9+AA9+AJ9&lt;=0, "NO COMPRADOR", +IF(AJ9&lt;=0, "SIN COMPRA "&amp;+UPPER(TEXT('DINAMICA ENERO 26'!$C$2,"mmm 'yy")), "COMPRADOR"))</f>
        <v>COMPRADOR</v>
      </c>
      <c r="AL9"/>
      <c r="AN9" s="101"/>
      <c r="AP9"/>
      <c r="AQ9"/>
      <c r="AR9"/>
      <c r="AS9"/>
      <c r="AT9"/>
      <c r="AU9"/>
      <c r="AV9"/>
      <c r="AW9"/>
      <c r="AX9"/>
    </row>
    <row r="10" spans="1:50" s="104" customFormat="1">
      <c r="A10" s="88" t="s">
        <v>85</v>
      </c>
      <c r="B10" s="89" t="s">
        <v>86</v>
      </c>
      <c r="C10" s="89" t="s">
        <v>60</v>
      </c>
      <c r="D10" s="89">
        <v>100077477</v>
      </c>
      <c r="E10" s="89" t="s">
        <v>65</v>
      </c>
      <c r="F10" s="89">
        <v>100087922</v>
      </c>
      <c r="G10" s="128" t="s">
        <v>94</v>
      </c>
      <c r="H10" s="166"/>
      <c r="I10" s="92"/>
      <c r="J10" s="92"/>
      <c r="K10" s="92"/>
      <c r="L10" s="92"/>
      <c r="M10" s="94"/>
      <c r="N10" s="94"/>
      <c r="O10" s="129"/>
      <c r="P10" s="167" t="e">
        <f t="shared" si="0"/>
        <v>#DIV/0!</v>
      </c>
      <c r="Q10" s="91">
        <v>0</v>
      </c>
      <c r="R10" s="129">
        <v>0</v>
      </c>
      <c r="S10" s="91">
        <v>0</v>
      </c>
      <c r="T10" s="129">
        <v>0</v>
      </c>
      <c r="U10" s="93">
        <v>0</v>
      </c>
      <c r="V10" s="129">
        <v>0</v>
      </c>
      <c r="W10" s="93">
        <v>0</v>
      </c>
      <c r="X10" s="129">
        <v>0</v>
      </c>
      <c r="Y10" s="93">
        <v>0</v>
      </c>
      <c r="Z10" s="129">
        <v>0</v>
      </c>
      <c r="AA10" s="155">
        <f t="shared" si="1"/>
        <v>0</v>
      </c>
      <c r="AB10" s="98">
        <f t="shared" si="1"/>
        <v>0</v>
      </c>
      <c r="AC10"/>
      <c r="AD10" s="97">
        <v>0</v>
      </c>
      <c r="AE10" s="92">
        <v>0</v>
      </c>
      <c r="AF10" s="98">
        <f t="shared" si="3"/>
        <v>0</v>
      </c>
      <c r="AG10" s="97">
        <v>0</v>
      </c>
      <c r="AH10" s="92">
        <v>0</v>
      </c>
      <c r="AI10" s="98">
        <f t="shared" si="4"/>
        <v>0</v>
      </c>
      <c r="AJ10" s="98">
        <f t="shared" si="2"/>
        <v>0</v>
      </c>
      <c r="AK10" s="102" t="str">
        <f>+IF(AB10+AA10+AJ10&lt;=0, "NO COMPRADOR", +IF(AJ10&lt;=0, "SIN COMPRA "&amp;+UPPER(TEXT('DINAMICA ENERO 26'!$C$2,"mmm 'yy")), "COMPRADOR"))</f>
        <v>NO COMPRADOR</v>
      </c>
      <c r="AL10"/>
      <c r="AM10" s="100"/>
      <c r="AN10" s="101"/>
      <c r="AO10" s="100"/>
      <c r="AP10"/>
      <c r="AQ10"/>
      <c r="AR10"/>
      <c r="AS10"/>
      <c r="AT10"/>
      <c r="AU10"/>
      <c r="AV10"/>
      <c r="AW10"/>
      <c r="AX10"/>
    </row>
    <row r="11" spans="1:50" s="100" customFormat="1">
      <c r="A11" s="88" t="s">
        <v>85</v>
      </c>
      <c r="B11" s="89" t="s">
        <v>86</v>
      </c>
      <c r="C11" s="89" t="s">
        <v>60</v>
      </c>
      <c r="D11" s="89">
        <v>100077477</v>
      </c>
      <c r="E11" s="89" t="s">
        <v>65</v>
      </c>
      <c r="F11" s="89">
        <v>100071741</v>
      </c>
      <c r="G11" s="128" t="s">
        <v>95</v>
      </c>
      <c r="H11" s="166"/>
      <c r="I11" s="92"/>
      <c r="J11" s="92"/>
      <c r="K11" s="92"/>
      <c r="L11" s="92"/>
      <c r="M11" s="94"/>
      <c r="N11" s="94"/>
      <c r="O11" s="129"/>
      <c r="P11" s="167" t="e">
        <f t="shared" si="0"/>
        <v>#DIV/0!</v>
      </c>
      <c r="Q11" s="91">
        <v>48</v>
      </c>
      <c r="R11" s="129">
        <v>0</v>
      </c>
      <c r="S11" s="91">
        <v>24</v>
      </c>
      <c r="T11" s="129">
        <v>0</v>
      </c>
      <c r="U11" s="93">
        <v>33.599999999999994</v>
      </c>
      <c r="V11" s="129">
        <v>0</v>
      </c>
      <c r="W11" s="93">
        <v>38.4</v>
      </c>
      <c r="X11" s="129">
        <v>0</v>
      </c>
      <c r="Y11" s="93">
        <v>0</v>
      </c>
      <c r="Z11" s="129">
        <v>0</v>
      </c>
      <c r="AA11" s="155">
        <f t="shared" si="1"/>
        <v>24</v>
      </c>
      <c r="AB11" s="98">
        <f t="shared" si="1"/>
        <v>0</v>
      </c>
      <c r="AC11"/>
      <c r="AD11" s="97">
        <v>33.6</v>
      </c>
      <c r="AE11" s="92">
        <v>0</v>
      </c>
      <c r="AF11" s="98">
        <f t="shared" si="3"/>
        <v>33.6</v>
      </c>
      <c r="AG11" s="97">
        <v>0</v>
      </c>
      <c r="AH11" s="92">
        <v>0</v>
      </c>
      <c r="AI11" s="98">
        <f t="shared" si="4"/>
        <v>0</v>
      </c>
      <c r="AJ11" s="98">
        <f t="shared" si="2"/>
        <v>33.6</v>
      </c>
      <c r="AK11" s="102" t="str">
        <f>+IF(AB11+AA11+AJ11&lt;=0, "NO COMPRADOR", +IF(AJ11&lt;=0, "SIN COMPRA "&amp;+UPPER(TEXT('DINAMICA ENERO 26'!$C$2,"mmm 'yy")), "COMPRADOR"))</f>
        <v>COMPRADOR</v>
      </c>
      <c r="AL11"/>
      <c r="AN11" s="101"/>
      <c r="AP11"/>
      <c r="AQ11"/>
      <c r="AR11"/>
      <c r="AS11"/>
      <c r="AT11"/>
      <c r="AU11"/>
      <c r="AV11"/>
      <c r="AW11"/>
      <c r="AX11"/>
    </row>
    <row r="12" spans="1:50" s="100" customFormat="1">
      <c r="A12" s="88" t="s">
        <v>85</v>
      </c>
      <c r="B12" s="89" t="s">
        <v>86</v>
      </c>
      <c r="C12" s="89" t="s">
        <v>60</v>
      </c>
      <c r="D12" s="89">
        <v>100077477</v>
      </c>
      <c r="E12" s="89" t="s">
        <v>65</v>
      </c>
      <c r="F12" s="89">
        <v>100075448</v>
      </c>
      <c r="G12" s="128" t="s">
        <v>96</v>
      </c>
      <c r="H12" s="166"/>
      <c r="I12" s="92"/>
      <c r="J12" s="92"/>
      <c r="K12" s="92"/>
      <c r="L12" s="92"/>
      <c r="M12" s="94"/>
      <c r="N12" s="94"/>
      <c r="O12" s="129"/>
      <c r="P12" s="167" t="e">
        <f t="shared" si="0"/>
        <v>#DIV/0!</v>
      </c>
      <c r="Q12" s="91">
        <v>48</v>
      </c>
      <c r="R12" s="129">
        <v>0</v>
      </c>
      <c r="S12" s="91">
        <v>48</v>
      </c>
      <c r="T12" s="129">
        <v>22.799999999999997</v>
      </c>
      <c r="U12" s="93">
        <v>48</v>
      </c>
      <c r="V12" s="129">
        <v>22.799999999999997</v>
      </c>
      <c r="W12" s="93">
        <v>48</v>
      </c>
      <c r="X12" s="129">
        <v>68.399999999999991</v>
      </c>
      <c r="Y12" s="93">
        <v>0</v>
      </c>
      <c r="Z12" s="129">
        <v>0</v>
      </c>
      <c r="AA12" s="155">
        <f t="shared" si="1"/>
        <v>32</v>
      </c>
      <c r="AB12" s="98">
        <f t="shared" si="1"/>
        <v>30.399999999999995</v>
      </c>
      <c r="AC12"/>
      <c r="AD12" s="97">
        <v>24</v>
      </c>
      <c r="AE12" s="92">
        <v>0</v>
      </c>
      <c r="AF12" s="98">
        <f t="shared" si="3"/>
        <v>24</v>
      </c>
      <c r="AG12" s="97">
        <v>0</v>
      </c>
      <c r="AH12" s="92">
        <v>0</v>
      </c>
      <c r="AI12" s="98">
        <f t="shared" si="4"/>
        <v>0</v>
      </c>
      <c r="AJ12" s="98">
        <f t="shared" si="2"/>
        <v>24</v>
      </c>
      <c r="AK12" s="102" t="str">
        <f>+IF(AB12+AA12+AJ12&lt;=0, "NO COMPRADOR", +IF(AJ12&lt;=0, "SIN COMPRA "&amp;+UPPER(TEXT('DINAMICA ENERO 26'!$C$2,"mmm 'yy")), "COMPRADOR"))</f>
        <v>COMPRADOR</v>
      </c>
      <c r="AL12"/>
      <c r="AN12" s="101"/>
      <c r="AP12"/>
      <c r="AQ12"/>
      <c r="AR12"/>
      <c r="AS12"/>
      <c r="AT12"/>
      <c r="AU12"/>
      <c r="AV12"/>
      <c r="AW12"/>
      <c r="AX12"/>
    </row>
    <row r="13" spans="1:50" s="100" customFormat="1">
      <c r="A13" s="88" t="s">
        <v>85</v>
      </c>
      <c r="B13" s="89" t="s">
        <v>86</v>
      </c>
      <c r="C13" s="89" t="s">
        <v>60</v>
      </c>
      <c r="D13" s="89">
        <v>100077477</v>
      </c>
      <c r="E13" s="89" t="s">
        <v>65</v>
      </c>
      <c r="F13" s="89">
        <v>100089232</v>
      </c>
      <c r="G13" s="128" t="s">
        <v>97</v>
      </c>
      <c r="H13" s="166"/>
      <c r="I13" s="92"/>
      <c r="J13" s="92"/>
      <c r="K13" s="92"/>
      <c r="L13" s="92"/>
      <c r="M13" s="94"/>
      <c r="N13" s="94"/>
      <c r="O13" s="129"/>
      <c r="P13" s="167" t="e">
        <f t="shared" si="0"/>
        <v>#DIV/0!</v>
      </c>
      <c r="Q13" s="91">
        <v>0</v>
      </c>
      <c r="R13" s="129">
        <v>0</v>
      </c>
      <c r="S13" s="91">
        <v>4.8</v>
      </c>
      <c r="T13" s="129">
        <v>0</v>
      </c>
      <c r="U13" s="93">
        <v>4.8</v>
      </c>
      <c r="V13" s="129">
        <v>0</v>
      </c>
      <c r="W13" s="93">
        <v>0</v>
      </c>
      <c r="X13" s="129">
        <v>0</v>
      </c>
      <c r="Y13" s="93">
        <v>0</v>
      </c>
      <c r="Z13" s="129">
        <v>0</v>
      </c>
      <c r="AA13" s="155">
        <f t="shared" si="1"/>
        <v>1.5999999999999999</v>
      </c>
      <c r="AB13" s="98">
        <f t="shared" si="1"/>
        <v>0</v>
      </c>
      <c r="AC13"/>
      <c r="AD13" s="97">
        <v>0</v>
      </c>
      <c r="AE13" s="92">
        <v>0</v>
      </c>
      <c r="AF13" s="98">
        <f t="shared" si="3"/>
        <v>0</v>
      </c>
      <c r="AG13" s="97">
        <v>0</v>
      </c>
      <c r="AH13" s="92">
        <v>0</v>
      </c>
      <c r="AI13" s="98">
        <f t="shared" si="4"/>
        <v>0</v>
      </c>
      <c r="AJ13" s="98">
        <f t="shared" si="2"/>
        <v>0</v>
      </c>
      <c r="AK13" s="102" t="str">
        <f>+IF(AB13+AA13+AJ13&lt;=0, "NO COMPRADOR", +IF(AJ13&lt;=0, "SIN COMPRA "&amp;+UPPER(TEXT('DINAMICA ENERO 26'!$C$2,"mmm 'yy")), "COMPRADOR"))</f>
        <v>SIN COMPRA FEB '26</v>
      </c>
      <c r="AL13"/>
      <c r="AN13" s="101"/>
      <c r="AP13"/>
      <c r="AQ13"/>
      <c r="AR13"/>
      <c r="AS13"/>
      <c r="AT13"/>
      <c r="AU13"/>
      <c r="AV13"/>
      <c r="AW13"/>
      <c r="AX13"/>
    </row>
    <row r="14" spans="1:50" s="100" customFormat="1">
      <c r="A14" s="88" t="s">
        <v>85</v>
      </c>
      <c r="B14" s="89" t="s">
        <v>98</v>
      </c>
      <c r="C14" s="89" t="s">
        <v>60</v>
      </c>
      <c r="D14" s="103">
        <v>100041217</v>
      </c>
      <c r="E14" s="89" t="s">
        <v>63</v>
      </c>
      <c r="F14" s="89">
        <v>100073953</v>
      </c>
      <c r="G14" s="128" t="s">
        <v>99</v>
      </c>
      <c r="H14" s="166"/>
      <c r="I14" s="92"/>
      <c r="J14" s="92"/>
      <c r="K14" s="92"/>
      <c r="L14" s="92"/>
      <c r="M14" s="94"/>
      <c r="N14" s="94"/>
      <c r="O14" s="129"/>
      <c r="P14" s="167" t="e">
        <f t="shared" si="0"/>
        <v>#DIV/0!</v>
      </c>
      <c r="Q14" s="91">
        <v>0</v>
      </c>
      <c r="R14" s="129">
        <v>0</v>
      </c>
      <c r="S14" s="91">
        <v>0</v>
      </c>
      <c r="T14" s="129">
        <v>0</v>
      </c>
      <c r="U14" s="93">
        <v>0</v>
      </c>
      <c r="V14" s="129">
        <v>0</v>
      </c>
      <c r="W14" s="93">
        <v>0</v>
      </c>
      <c r="X14" s="129">
        <v>0</v>
      </c>
      <c r="Y14" s="93">
        <v>0</v>
      </c>
      <c r="Z14" s="129">
        <v>0</v>
      </c>
      <c r="AA14" s="155">
        <f t="shared" si="1"/>
        <v>0</v>
      </c>
      <c r="AB14" s="98">
        <f t="shared" si="1"/>
        <v>0</v>
      </c>
      <c r="AC14"/>
      <c r="AD14" s="97">
        <v>0</v>
      </c>
      <c r="AE14" s="92">
        <v>0</v>
      </c>
      <c r="AF14" s="98">
        <f t="shared" si="3"/>
        <v>0</v>
      </c>
      <c r="AG14" s="97">
        <v>0</v>
      </c>
      <c r="AH14" s="92">
        <v>0</v>
      </c>
      <c r="AI14" s="98">
        <f t="shared" si="4"/>
        <v>0</v>
      </c>
      <c r="AJ14" s="98">
        <f t="shared" si="2"/>
        <v>0</v>
      </c>
      <c r="AK14" s="102" t="str">
        <f>+IF(AB14+AA14+AJ14&lt;=0, "NO COMPRADOR", +IF(AJ14&lt;=0, "SIN COMPRA "&amp;+UPPER(TEXT('DINAMICA ENERO 26'!$C$2,"mmm 'yy")), "COMPRADOR"))</f>
        <v>NO COMPRADOR</v>
      </c>
      <c r="AL14"/>
      <c r="AN14" s="101"/>
      <c r="AP14"/>
      <c r="AQ14"/>
      <c r="AR14"/>
      <c r="AS14"/>
      <c r="AT14"/>
      <c r="AU14"/>
      <c r="AV14"/>
      <c r="AW14"/>
      <c r="AX14"/>
    </row>
    <row r="15" spans="1:50" s="100" customFormat="1">
      <c r="A15" s="88" t="s">
        <v>85</v>
      </c>
      <c r="B15" s="89" t="s">
        <v>98</v>
      </c>
      <c r="C15" s="89" t="s">
        <v>60</v>
      </c>
      <c r="D15" s="103">
        <v>100041217</v>
      </c>
      <c r="E15" s="89" t="s">
        <v>63</v>
      </c>
      <c r="F15" s="89">
        <v>100081405</v>
      </c>
      <c r="G15" s="128" t="s">
        <v>100</v>
      </c>
      <c r="H15" s="166"/>
      <c r="I15" s="92"/>
      <c r="J15" s="92"/>
      <c r="K15" s="92"/>
      <c r="L15" s="92"/>
      <c r="M15" s="94"/>
      <c r="N15" s="94"/>
      <c r="O15" s="129"/>
      <c r="P15" s="167" t="e">
        <f t="shared" si="0"/>
        <v>#DIV/0!</v>
      </c>
      <c r="Q15" s="91">
        <v>1008</v>
      </c>
      <c r="R15" s="129">
        <v>91.199999999999989</v>
      </c>
      <c r="S15" s="91">
        <v>326.39999999999998</v>
      </c>
      <c r="T15" s="129">
        <v>227.99999999999997</v>
      </c>
      <c r="U15" s="93">
        <v>768</v>
      </c>
      <c r="V15" s="129">
        <v>0</v>
      </c>
      <c r="W15" s="93">
        <v>48</v>
      </c>
      <c r="X15" s="129">
        <v>22.799999999999997</v>
      </c>
      <c r="Y15" s="93">
        <v>672</v>
      </c>
      <c r="Z15" s="129">
        <v>91.199999999999989</v>
      </c>
      <c r="AA15" s="155">
        <f t="shared" si="1"/>
        <v>496</v>
      </c>
      <c r="AB15" s="98">
        <f t="shared" si="1"/>
        <v>37.999999999999993</v>
      </c>
      <c r="AC15"/>
      <c r="AD15" s="97">
        <v>0</v>
      </c>
      <c r="AE15" s="92">
        <v>0</v>
      </c>
      <c r="AF15" s="98">
        <f t="shared" si="3"/>
        <v>0</v>
      </c>
      <c r="AG15" s="97">
        <v>0</v>
      </c>
      <c r="AH15" s="92">
        <v>0</v>
      </c>
      <c r="AI15" s="98">
        <f t="shared" si="4"/>
        <v>0</v>
      </c>
      <c r="AJ15" s="98">
        <f t="shared" si="2"/>
        <v>0</v>
      </c>
      <c r="AK15" s="102" t="str">
        <f>+IF(AB15+AA15+AJ15&lt;=0, "NO COMPRADOR", +IF(AJ15&lt;=0, "SIN COMPRA "&amp;+UPPER(TEXT('DINAMICA ENERO 26'!$C$2,"mmm 'yy")), "COMPRADOR"))</f>
        <v>SIN COMPRA FEB '26</v>
      </c>
      <c r="AL15"/>
      <c r="AN15" s="101"/>
      <c r="AP15"/>
      <c r="AQ15"/>
      <c r="AR15"/>
      <c r="AS15"/>
      <c r="AT15"/>
      <c r="AU15"/>
      <c r="AV15"/>
      <c r="AW15"/>
      <c r="AX15"/>
    </row>
    <row r="16" spans="1:50" s="100" customFormat="1">
      <c r="A16" s="88" t="s">
        <v>85</v>
      </c>
      <c r="B16" s="89" t="s">
        <v>98</v>
      </c>
      <c r="C16" s="89" t="s">
        <v>60</v>
      </c>
      <c r="D16" s="103">
        <v>100041217</v>
      </c>
      <c r="E16" s="89" t="s">
        <v>63</v>
      </c>
      <c r="F16" s="89">
        <v>100066079</v>
      </c>
      <c r="G16" s="128" t="s">
        <v>101</v>
      </c>
      <c r="H16" s="166"/>
      <c r="I16" s="92"/>
      <c r="J16" s="92"/>
      <c r="K16" s="92"/>
      <c r="L16" s="92"/>
      <c r="M16" s="94"/>
      <c r="N16" s="94"/>
      <c r="O16" s="129"/>
      <c r="P16" s="167" t="e">
        <f t="shared" si="0"/>
        <v>#DIV/0!</v>
      </c>
      <c r="Q16" s="91">
        <v>528</v>
      </c>
      <c r="R16" s="129">
        <v>136.79999999999998</v>
      </c>
      <c r="S16" s="91">
        <v>912</v>
      </c>
      <c r="T16" s="129">
        <v>547.19999999999993</v>
      </c>
      <c r="U16" s="93">
        <v>1219.2</v>
      </c>
      <c r="V16" s="129">
        <v>136.79999999999998</v>
      </c>
      <c r="W16" s="93">
        <v>864</v>
      </c>
      <c r="X16" s="129">
        <v>501.59999999999997</v>
      </c>
      <c r="Y16" s="93">
        <v>480</v>
      </c>
      <c r="Z16" s="129">
        <v>319.19999999999993</v>
      </c>
      <c r="AA16" s="155">
        <f t="shared" si="1"/>
        <v>854.4</v>
      </c>
      <c r="AB16" s="98">
        <f t="shared" si="1"/>
        <v>319.2</v>
      </c>
      <c r="AC16"/>
      <c r="AD16" s="97">
        <v>624</v>
      </c>
      <c r="AE16" s="92">
        <v>240</v>
      </c>
      <c r="AF16" s="98">
        <f t="shared" si="3"/>
        <v>864</v>
      </c>
      <c r="AG16" s="97">
        <v>592.79999999999995</v>
      </c>
      <c r="AH16" s="92">
        <v>0</v>
      </c>
      <c r="AI16" s="98">
        <f t="shared" si="4"/>
        <v>592.79999999999995</v>
      </c>
      <c r="AJ16" s="98">
        <f t="shared" si="2"/>
        <v>1456.8</v>
      </c>
      <c r="AK16" s="102" t="str">
        <f>+IF(AB16+AA16+AJ16&lt;=0, "NO COMPRADOR", +IF(AJ16&lt;=0, "SIN COMPRA "&amp;+UPPER(TEXT('DINAMICA ENERO 26'!$C$2,"mmm 'yy")), "COMPRADOR"))</f>
        <v>COMPRADOR</v>
      </c>
      <c r="AL16"/>
      <c r="AN16" s="101"/>
      <c r="AP16"/>
      <c r="AQ16"/>
      <c r="AR16"/>
      <c r="AS16"/>
      <c r="AT16"/>
      <c r="AU16"/>
      <c r="AV16"/>
      <c r="AW16"/>
      <c r="AX16"/>
    </row>
    <row r="17" spans="1:50" s="100" customFormat="1">
      <c r="A17" s="88" t="s">
        <v>85</v>
      </c>
      <c r="B17" s="89" t="s">
        <v>98</v>
      </c>
      <c r="C17" s="89" t="s">
        <v>60</v>
      </c>
      <c r="D17" s="103">
        <v>100041217</v>
      </c>
      <c r="E17" s="89" t="s">
        <v>63</v>
      </c>
      <c r="F17" s="89">
        <v>100041131</v>
      </c>
      <c r="G17" s="128" t="s">
        <v>102</v>
      </c>
      <c r="H17" s="166"/>
      <c r="I17" s="92"/>
      <c r="J17" s="92"/>
      <c r="K17" s="92"/>
      <c r="L17" s="92"/>
      <c r="M17" s="94"/>
      <c r="N17" s="94"/>
      <c r="O17" s="129"/>
      <c r="P17" s="167" t="e">
        <f t="shared" si="0"/>
        <v>#DIV/0!</v>
      </c>
      <c r="Q17" s="91">
        <v>528</v>
      </c>
      <c r="R17" s="129">
        <v>0</v>
      </c>
      <c r="S17" s="91">
        <v>840</v>
      </c>
      <c r="T17" s="129">
        <v>9.1199999999999992</v>
      </c>
      <c r="U17" s="93">
        <v>1584</v>
      </c>
      <c r="V17" s="129">
        <v>0</v>
      </c>
      <c r="W17" s="93">
        <v>576</v>
      </c>
      <c r="X17" s="129">
        <v>22.799999999999997</v>
      </c>
      <c r="Y17" s="93">
        <v>528</v>
      </c>
      <c r="Z17" s="129">
        <v>91.199999999999989</v>
      </c>
      <c r="AA17" s="155">
        <f t="shared" si="1"/>
        <v>896</v>
      </c>
      <c r="AB17" s="98">
        <f t="shared" si="1"/>
        <v>37.999999999999993</v>
      </c>
      <c r="AC17"/>
      <c r="AD17" s="97">
        <v>0</v>
      </c>
      <c r="AE17" s="92">
        <v>0</v>
      </c>
      <c r="AF17" s="98">
        <f t="shared" si="3"/>
        <v>0</v>
      </c>
      <c r="AG17" s="97">
        <v>0</v>
      </c>
      <c r="AH17" s="92">
        <v>0</v>
      </c>
      <c r="AI17" s="98">
        <f t="shared" si="4"/>
        <v>0</v>
      </c>
      <c r="AJ17" s="98">
        <f t="shared" si="2"/>
        <v>0</v>
      </c>
      <c r="AK17" s="102" t="str">
        <f>+IF(AB17+AA17+AJ17&lt;=0, "NO COMPRADOR", +IF(AJ17&lt;=0, "SIN COMPRA "&amp;+UPPER(TEXT('DINAMICA ENERO 26'!$C$2,"mmm 'yy")), "COMPRADOR"))</f>
        <v>SIN COMPRA FEB '26</v>
      </c>
      <c r="AL17"/>
      <c r="AN17" s="101"/>
      <c r="AP17"/>
      <c r="AQ17"/>
      <c r="AR17"/>
      <c r="AS17"/>
      <c r="AT17"/>
      <c r="AU17"/>
      <c r="AV17"/>
      <c r="AW17"/>
      <c r="AX17"/>
    </row>
    <row r="18" spans="1:50" s="104" customFormat="1">
      <c r="A18" s="88" t="s">
        <v>85</v>
      </c>
      <c r="B18" s="89" t="s">
        <v>98</v>
      </c>
      <c r="C18" s="89" t="s">
        <v>60</v>
      </c>
      <c r="D18" s="103">
        <v>100041217</v>
      </c>
      <c r="E18" s="89" t="s">
        <v>63</v>
      </c>
      <c r="F18" s="89">
        <v>100012634</v>
      </c>
      <c r="G18" s="128" t="s">
        <v>103</v>
      </c>
      <c r="H18" s="166"/>
      <c r="I18" s="92"/>
      <c r="J18" s="92"/>
      <c r="K18" s="92"/>
      <c r="L18" s="92"/>
      <c r="M18" s="94"/>
      <c r="N18" s="94"/>
      <c r="O18" s="129"/>
      <c r="P18" s="167" t="e">
        <f t="shared" si="0"/>
        <v>#DIV/0!</v>
      </c>
      <c r="Q18" s="91">
        <v>0</v>
      </c>
      <c r="R18" s="129">
        <v>45.599999999999994</v>
      </c>
      <c r="S18" s="91">
        <v>0</v>
      </c>
      <c r="T18" s="129">
        <v>0</v>
      </c>
      <c r="U18" s="93">
        <v>96</v>
      </c>
      <c r="V18" s="129">
        <v>0</v>
      </c>
      <c r="W18" s="93">
        <v>0</v>
      </c>
      <c r="X18" s="129">
        <v>0</v>
      </c>
      <c r="Y18" s="93">
        <v>0</v>
      </c>
      <c r="Z18" s="129">
        <v>0</v>
      </c>
      <c r="AA18" s="155">
        <f t="shared" si="1"/>
        <v>32</v>
      </c>
      <c r="AB18" s="98">
        <f t="shared" si="1"/>
        <v>0</v>
      </c>
      <c r="AC18"/>
      <c r="AD18" s="97">
        <v>19.2</v>
      </c>
      <c r="AE18" s="92">
        <v>0</v>
      </c>
      <c r="AF18" s="98">
        <f t="shared" si="3"/>
        <v>19.2</v>
      </c>
      <c r="AG18" s="97">
        <v>22.799999999999997</v>
      </c>
      <c r="AH18" s="92">
        <v>0</v>
      </c>
      <c r="AI18" s="98">
        <f t="shared" si="4"/>
        <v>22.799999999999997</v>
      </c>
      <c r="AJ18" s="98">
        <f t="shared" si="2"/>
        <v>42</v>
      </c>
      <c r="AK18" s="102" t="str">
        <f>+IF(AB18+AA18+AJ18&lt;=0, "NO COMPRADOR", +IF(AJ18&lt;=0, "SIN COMPRA "&amp;+UPPER(TEXT('DINAMICA ENERO 26'!$C$2,"mmm 'yy")), "COMPRADOR"))</f>
        <v>COMPRADOR</v>
      </c>
      <c r="AL18"/>
      <c r="AM18" s="100"/>
      <c r="AN18" s="101"/>
      <c r="AO18" s="100"/>
      <c r="AP18"/>
      <c r="AQ18"/>
      <c r="AR18"/>
      <c r="AS18"/>
      <c r="AT18"/>
      <c r="AU18"/>
      <c r="AV18"/>
      <c r="AW18"/>
      <c r="AX18"/>
    </row>
    <row r="19" spans="1:50" s="100" customFormat="1">
      <c r="A19" s="88" t="s">
        <v>85</v>
      </c>
      <c r="B19" s="89" t="s">
        <v>98</v>
      </c>
      <c r="C19" s="89" t="s">
        <v>60</v>
      </c>
      <c r="D19" s="103">
        <v>100041217</v>
      </c>
      <c r="E19" s="89" t="s">
        <v>63</v>
      </c>
      <c r="F19" s="89">
        <v>100049700</v>
      </c>
      <c r="G19" s="128" t="s">
        <v>104</v>
      </c>
      <c r="H19" s="166"/>
      <c r="I19" s="92"/>
      <c r="J19" s="92"/>
      <c r="K19" s="92"/>
      <c r="L19" s="92"/>
      <c r="M19" s="94"/>
      <c r="N19" s="94"/>
      <c r="O19" s="129"/>
      <c r="P19" s="167" t="e">
        <f t="shared" si="0"/>
        <v>#DIV/0!</v>
      </c>
      <c r="Q19" s="91">
        <v>24</v>
      </c>
      <c r="R19" s="129">
        <v>0</v>
      </c>
      <c r="S19" s="91">
        <v>0</v>
      </c>
      <c r="T19" s="129">
        <v>0</v>
      </c>
      <c r="U19" s="93">
        <v>0</v>
      </c>
      <c r="V19" s="129">
        <v>0</v>
      </c>
      <c r="W19" s="93">
        <v>33.6</v>
      </c>
      <c r="X19" s="129">
        <v>0</v>
      </c>
      <c r="Y19" s="93">
        <v>0</v>
      </c>
      <c r="Z19" s="129">
        <v>0</v>
      </c>
      <c r="AA19" s="155">
        <f t="shared" ref="AA19:AB81" si="5">+AVERAGE(U19,W19,Y19)</f>
        <v>11.200000000000001</v>
      </c>
      <c r="AB19" s="98">
        <f t="shared" si="5"/>
        <v>0</v>
      </c>
      <c r="AC19"/>
      <c r="AD19" s="97">
        <v>9.6</v>
      </c>
      <c r="AE19" s="92">
        <v>0</v>
      </c>
      <c r="AF19" s="98">
        <f t="shared" si="3"/>
        <v>9.6</v>
      </c>
      <c r="AG19" s="97">
        <v>0</v>
      </c>
      <c r="AH19" s="92">
        <v>0</v>
      </c>
      <c r="AI19" s="98">
        <f t="shared" si="4"/>
        <v>0</v>
      </c>
      <c r="AJ19" s="98">
        <f t="shared" si="2"/>
        <v>9.6</v>
      </c>
      <c r="AK19" s="102" t="str">
        <f>+IF(AB19+AA19+AJ19&lt;=0, "NO COMPRADOR", +IF(AJ19&lt;=0, "SIN COMPRA "&amp;+UPPER(TEXT('DINAMICA ENERO 26'!$C$2,"mmm 'yy")), "COMPRADOR"))</f>
        <v>COMPRADOR</v>
      </c>
      <c r="AL19"/>
      <c r="AN19" s="101"/>
      <c r="AP19"/>
      <c r="AQ19"/>
      <c r="AR19"/>
      <c r="AS19"/>
      <c r="AT19"/>
      <c r="AU19"/>
      <c r="AV19"/>
      <c r="AW19"/>
      <c r="AX19"/>
    </row>
    <row r="20" spans="1:50" s="100" customFormat="1">
      <c r="A20" s="88" t="s">
        <v>85</v>
      </c>
      <c r="B20" s="89" t="s">
        <v>105</v>
      </c>
      <c r="C20" s="89" t="s">
        <v>60</v>
      </c>
      <c r="D20" s="103">
        <v>100080146</v>
      </c>
      <c r="E20" s="89" t="s">
        <v>66</v>
      </c>
      <c r="F20" s="89">
        <v>100061718</v>
      </c>
      <c r="G20" s="128" t="s">
        <v>106</v>
      </c>
      <c r="H20" s="166"/>
      <c r="I20" s="92"/>
      <c r="J20" s="92"/>
      <c r="K20" s="92"/>
      <c r="L20" s="92"/>
      <c r="M20" s="94"/>
      <c r="N20" s="94"/>
      <c r="O20" s="129"/>
      <c r="P20" s="167" t="e">
        <f t="shared" si="0"/>
        <v>#DIV/0!</v>
      </c>
      <c r="Q20" s="91">
        <v>240</v>
      </c>
      <c r="R20" s="129">
        <v>136.79999999999998</v>
      </c>
      <c r="S20" s="91">
        <v>240</v>
      </c>
      <c r="T20" s="129">
        <v>0</v>
      </c>
      <c r="U20" s="93">
        <v>240</v>
      </c>
      <c r="V20" s="129">
        <v>91.199999999999989</v>
      </c>
      <c r="W20" s="93">
        <v>575.99999999999989</v>
      </c>
      <c r="X20" s="129">
        <v>273.59999999999997</v>
      </c>
      <c r="Y20" s="93">
        <v>96</v>
      </c>
      <c r="Z20" s="129">
        <v>0</v>
      </c>
      <c r="AA20" s="155">
        <f t="shared" si="5"/>
        <v>303.99999999999994</v>
      </c>
      <c r="AB20" s="98">
        <f t="shared" si="5"/>
        <v>121.59999999999998</v>
      </c>
      <c r="AC20"/>
      <c r="AD20" s="97">
        <v>96</v>
      </c>
      <c r="AE20" s="92">
        <v>0</v>
      </c>
      <c r="AF20" s="98">
        <f t="shared" si="3"/>
        <v>96</v>
      </c>
      <c r="AG20" s="97">
        <v>145.91999999999999</v>
      </c>
      <c r="AH20" s="92">
        <v>0</v>
      </c>
      <c r="AI20" s="98">
        <f t="shared" si="4"/>
        <v>145.91999999999999</v>
      </c>
      <c r="AJ20" s="98">
        <f t="shared" si="2"/>
        <v>241.92</v>
      </c>
      <c r="AK20" s="102" t="str">
        <f>+IF(AB20+AA20+AJ20&lt;=0, "NO COMPRADOR", +IF(AJ20&lt;=0, "SIN COMPRA "&amp;+UPPER(TEXT('DINAMICA ENERO 26'!$C$2,"mmm 'yy")), "COMPRADOR"))</f>
        <v>COMPRADOR</v>
      </c>
      <c r="AL20"/>
      <c r="AN20" s="101"/>
      <c r="AP20"/>
      <c r="AQ20"/>
      <c r="AR20"/>
      <c r="AS20"/>
      <c r="AT20"/>
      <c r="AU20"/>
      <c r="AV20"/>
      <c r="AW20"/>
      <c r="AX20"/>
    </row>
    <row r="21" spans="1:50" s="100" customFormat="1">
      <c r="A21" s="88" t="s">
        <v>85</v>
      </c>
      <c r="B21" s="89" t="s">
        <v>105</v>
      </c>
      <c r="C21" s="89" t="s">
        <v>60</v>
      </c>
      <c r="D21" s="103">
        <v>100080146</v>
      </c>
      <c r="E21" s="89" t="s">
        <v>66</v>
      </c>
      <c r="F21" s="89">
        <v>100067160</v>
      </c>
      <c r="G21" s="128" t="s">
        <v>107</v>
      </c>
      <c r="H21" s="166"/>
      <c r="I21" s="92"/>
      <c r="J21" s="92"/>
      <c r="K21" s="92"/>
      <c r="L21" s="92"/>
      <c r="M21" s="94"/>
      <c r="N21" s="94"/>
      <c r="O21" s="129"/>
      <c r="P21" s="167" t="e">
        <f t="shared" si="0"/>
        <v>#DIV/0!</v>
      </c>
      <c r="Q21" s="91">
        <v>288</v>
      </c>
      <c r="R21" s="129">
        <v>227.99999999999997</v>
      </c>
      <c r="S21" s="91">
        <v>504</v>
      </c>
      <c r="T21" s="129">
        <v>113.99999999999999</v>
      </c>
      <c r="U21" s="93">
        <v>288</v>
      </c>
      <c r="V21" s="129">
        <v>364.79999999999995</v>
      </c>
      <c r="W21" s="93">
        <v>288</v>
      </c>
      <c r="X21" s="129">
        <v>45.599999999999994</v>
      </c>
      <c r="Y21" s="93">
        <v>696</v>
      </c>
      <c r="Z21" s="129">
        <v>0</v>
      </c>
      <c r="AA21" s="155">
        <f t="shared" si="5"/>
        <v>424</v>
      </c>
      <c r="AB21" s="98">
        <f t="shared" si="5"/>
        <v>136.79999999999998</v>
      </c>
      <c r="AC21"/>
      <c r="AD21" s="97">
        <v>288</v>
      </c>
      <c r="AE21" s="92">
        <v>0</v>
      </c>
      <c r="AF21" s="98">
        <f t="shared" si="3"/>
        <v>288</v>
      </c>
      <c r="AG21" s="97">
        <v>0</v>
      </c>
      <c r="AH21" s="92">
        <v>0</v>
      </c>
      <c r="AI21" s="98">
        <f t="shared" si="4"/>
        <v>0</v>
      </c>
      <c r="AJ21" s="98">
        <f t="shared" si="2"/>
        <v>288</v>
      </c>
      <c r="AK21" s="102" t="str">
        <f>+IF(AB21+AA21+AJ21&lt;=0, "NO COMPRADOR", +IF(AJ21&lt;=0, "SIN COMPRA "&amp;+UPPER(TEXT('DINAMICA ENERO 26'!$C$2,"mmm 'yy")), "COMPRADOR"))</f>
        <v>COMPRADOR</v>
      </c>
      <c r="AL21"/>
      <c r="AN21" s="101"/>
      <c r="AP21"/>
      <c r="AQ21"/>
      <c r="AR21"/>
      <c r="AS21"/>
      <c r="AT21"/>
      <c r="AU21"/>
      <c r="AV21"/>
      <c r="AW21"/>
      <c r="AX21"/>
    </row>
    <row r="22" spans="1:50" s="100" customFormat="1">
      <c r="A22" s="88" t="s">
        <v>85</v>
      </c>
      <c r="B22" s="89" t="s">
        <v>105</v>
      </c>
      <c r="C22" s="89" t="s">
        <v>60</v>
      </c>
      <c r="D22" s="103">
        <v>100080146</v>
      </c>
      <c r="E22" s="89" t="s">
        <v>66</v>
      </c>
      <c r="F22" s="89">
        <v>100001763</v>
      </c>
      <c r="G22" s="128" t="s">
        <v>108</v>
      </c>
      <c r="H22" s="166"/>
      <c r="I22" s="92"/>
      <c r="J22" s="92"/>
      <c r="K22" s="92"/>
      <c r="L22" s="92"/>
      <c r="M22" s="94"/>
      <c r="N22" s="94"/>
      <c r="O22" s="129"/>
      <c r="P22" s="167" t="e">
        <f t="shared" si="0"/>
        <v>#DIV/0!</v>
      </c>
      <c r="Q22" s="91">
        <v>96</v>
      </c>
      <c r="R22" s="129">
        <v>91.199999999999989</v>
      </c>
      <c r="S22" s="91">
        <v>768</v>
      </c>
      <c r="T22" s="129">
        <v>45.599999999999994</v>
      </c>
      <c r="U22" s="93">
        <v>0</v>
      </c>
      <c r="V22" s="129">
        <v>136.79999999999998</v>
      </c>
      <c r="W22" s="93">
        <v>0</v>
      </c>
      <c r="X22" s="129">
        <v>9.1199999999999992</v>
      </c>
      <c r="Y22" s="93">
        <v>648</v>
      </c>
      <c r="Z22" s="129">
        <v>59.279999999999994</v>
      </c>
      <c r="AA22" s="155">
        <f t="shared" si="5"/>
        <v>216</v>
      </c>
      <c r="AB22" s="98">
        <f t="shared" si="5"/>
        <v>68.399999999999991</v>
      </c>
      <c r="AC22"/>
      <c r="AD22" s="97">
        <v>0</v>
      </c>
      <c r="AE22" s="92">
        <v>0</v>
      </c>
      <c r="AF22" s="98">
        <f t="shared" si="3"/>
        <v>0</v>
      </c>
      <c r="AG22" s="97">
        <v>91.199999999999989</v>
      </c>
      <c r="AH22" s="92">
        <v>0</v>
      </c>
      <c r="AI22" s="98">
        <f t="shared" si="4"/>
        <v>91.199999999999989</v>
      </c>
      <c r="AJ22" s="98">
        <f t="shared" si="2"/>
        <v>91.199999999999989</v>
      </c>
      <c r="AK22" s="102" t="str">
        <f>+IF(AB22+AA22+AJ22&lt;=0, "NO COMPRADOR", +IF(AJ22&lt;=0, "SIN COMPRA "&amp;+UPPER(TEXT('DINAMICA ENERO 26'!$C$2,"mmm 'yy")), "COMPRADOR"))</f>
        <v>COMPRADOR</v>
      </c>
      <c r="AL22"/>
      <c r="AN22" s="101"/>
      <c r="AP22"/>
      <c r="AQ22"/>
      <c r="AR22"/>
      <c r="AS22"/>
      <c r="AT22"/>
      <c r="AU22"/>
      <c r="AV22"/>
      <c r="AW22"/>
      <c r="AX22"/>
    </row>
    <row r="23" spans="1:50" s="100" customFormat="1">
      <c r="A23" s="88" t="s">
        <v>85</v>
      </c>
      <c r="B23" s="89" t="s">
        <v>105</v>
      </c>
      <c r="C23" s="89" t="s">
        <v>60</v>
      </c>
      <c r="D23" s="103">
        <v>100080146</v>
      </c>
      <c r="E23" s="89" t="s">
        <v>66</v>
      </c>
      <c r="F23" s="89">
        <v>100025425</v>
      </c>
      <c r="G23" s="128" t="s">
        <v>109</v>
      </c>
      <c r="H23" s="166">
        <v>0</v>
      </c>
      <c r="I23" s="92">
        <v>0</v>
      </c>
      <c r="J23" s="92">
        <v>0</v>
      </c>
      <c r="K23" s="92">
        <v>0</v>
      </c>
      <c r="L23" s="92"/>
      <c r="M23" s="94"/>
      <c r="N23" s="94"/>
      <c r="O23" s="129"/>
      <c r="P23" s="167" t="e">
        <f t="shared" si="0"/>
        <v>#DIV/0!</v>
      </c>
      <c r="Q23" s="91">
        <v>0</v>
      </c>
      <c r="R23" s="129">
        <v>0</v>
      </c>
      <c r="S23" s="91">
        <v>0</v>
      </c>
      <c r="T23" s="129">
        <v>0</v>
      </c>
      <c r="U23" s="93">
        <v>0</v>
      </c>
      <c r="V23" s="129">
        <v>0</v>
      </c>
      <c r="W23" s="93">
        <v>0</v>
      </c>
      <c r="X23" s="129">
        <v>0</v>
      </c>
      <c r="Y23" s="93">
        <v>0</v>
      </c>
      <c r="Z23" s="129">
        <v>0</v>
      </c>
      <c r="AA23" s="155">
        <f t="shared" si="5"/>
        <v>0</v>
      </c>
      <c r="AB23" s="98">
        <f t="shared" si="5"/>
        <v>0</v>
      </c>
      <c r="AC23"/>
      <c r="AD23" s="97">
        <v>0</v>
      </c>
      <c r="AE23" s="92">
        <v>0</v>
      </c>
      <c r="AF23" s="98">
        <f t="shared" si="3"/>
        <v>0</v>
      </c>
      <c r="AG23" s="97">
        <v>0</v>
      </c>
      <c r="AH23" s="92">
        <v>0</v>
      </c>
      <c r="AI23" s="98">
        <f t="shared" si="4"/>
        <v>0</v>
      </c>
      <c r="AJ23" s="98">
        <f t="shared" si="2"/>
        <v>0</v>
      </c>
      <c r="AK23" s="102" t="str">
        <f>+IF(AB23+AA23+AJ23&lt;=0, "NO COMPRADOR", +IF(AJ23&lt;=0, "SIN COMPRA "&amp;+UPPER(TEXT('DINAMICA ENERO 26'!$C$2,"mmm 'yy")), "COMPRADOR"))</f>
        <v>NO COMPRADOR</v>
      </c>
      <c r="AL23"/>
      <c r="AN23" s="101"/>
      <c r="AP23"/>
      <c r="AQ23"/>
      <c r="AR23"/>
      <c r="AS23"/>
      <c r="AT23"/>
      <c r="AU23"/>
      <c r="AV23"/>
      <c r="AW23"/>
      <c r="AX23"/>
    </row>
    <row r="24" spans="1:50" s="100" customFormat="1">
      <c r="A24" s="88" t="s">
        <v>85</v>
      </c>
      <c r="B24" s="89" t="s">
        <v>105</v>
      </c>
      <c r="C24" s="89" t="s">
        <v>60</v>
      </c>
      <c r="D24" s="103">
        <v>100068884</v>
      </c>
      <c r="E24" s="89" t="s">
        <v>61</v>
      </c>
      <c r="F24" s="89">
        <v>100079808</v>
      </c>
      <c r="G24" s="128" t="s">
        <v>110</v>
      </c>
      <c r="H24" s="166"/>
      <c r="I24" s="92"/>
      <c r="J24" s="92"/>
      <c r="K24" s="92"/>
      <c r="L24" s="92"/>
      <c r="M24" s="94"/>
      <c r="N24" s="94"/>
      <c r="O24" s="129"/>
      <c r="P24" s="167" t="e">
        <f t="shared" si="0"/>
        <v>#DIV/0!</v>
      </c>
      <c r="Q24" s="91">
        <v>336</v>
      </c>
      <c r="R24" s="129">
        <v>136.79999999999998</v>
      </c>
      <c r="S24" s="91">
        <v>384</v>
      </c>
      <c r="T24" s="129">
        <v>136.79999999999998</v>
      </c>
      <c r="U24" s="93">
        <v>1200</v>
      </c>
      <c r="V24" s="129">
        <v>0</v>
      </c>
      <c r="W24" s="93">
        <v>360</v>
      </c>
      <c r="X24" s="129">
        <v>22.799999999999997</v>
      </c>
      <c r="Y24" s="93">
        <v>312</v>
      </c>
      <c r="Z24" s="129">
        <v>0</v>
      </c>
      <c r="AA24" s="155">
        <f t="shared" si="5"/>
        <v>624</v>
      </c>
      <c r="AB24" s="98">
        <f t="shared" si="5"/>
        <v>7.5999999999999988</v>
      </c>
      <c r="AC24"/>
      <c r="AD24" s="97">
        <v>264</v>
      </c>
      <c r="AE24" s="92">
        <v>0</v>
      </c>
      <c r="AF24" s="98">
        <f t="shared" si="3"/>
        <v>264</v>
      </c>
      <c r="AG24" s="97">
        <v>45.599999999999994</v>
      </c>
      <c r="AH24" s="92">
        <v>0</v>
      </c>
      <c r="AI24" s="98">
        <f t="shared" si="4"/>
        <v>45.599999999999994</v>
      </c>
      <c r="AJ24" s="98">
        <f t="shared" si="2"/>
        <v>309.60000000000002</v>
      </c>
      <c r="AK24" s="102" t="str">
        <f>+IF(AB24+AA24+AJ24&lt;=0, "NO COMPRADOR", +IF(AJ24&lt;=0, "SIN COMPRA "&amp;+UPPER(TEXT('DINAMICA ENERO 26'!$C$2,"mmm 'yy")), "COMPRADOR"))</f>
        <v>COMPRADOR</v>
      </c>
      <c r="AL24"/>
      <c r="AN24" s="101"/>
      <c r="AP24"/>
      <c r="AQ24"/>
      <c r="AR24"/>
      <c r="AS24"/>
      <c r="AT24"/>
      <c r="AU24"/>
      <c r="AV24"/>
      <c r="AW24"/>
      <c r="AX24"/>
    </row>
    <row r="25" spans="1:50" s="104" customFormat="1">
      <c r="A25" s="88" t="s">
        <v>85</v>
      </c>
      <c r="B25" s="89" t="s">
        <v>105</v>
      </c>
      <c r="C25" s="89" t="s">
        <v>60</v>
      </c>
      <c r="D25" s="103">
        <v>100068884</v>
      </c>
      <c r="E25" s="89" t="s">
        <v>61</v>
      </c>
      <c r="F25" s="89">
        <v>100069053</v>
      </c>
      <c r="G25" s="128" t="s">
        <v>111</v>
      </c>
      <c r="H25" s="166"/>
      <c r="I25" s="92"/>
      <c r="J25" s="92"/>
      <c r="K25" s="92"/>
      <c r="L25" s="92"/>
      <c r="M25" s="94"/>
      <c r="N25" s="94"/>
      <c r="O25" s="129"/>
      <c r="P25" s="167" t="e">
        <f t="shared" si="0"/>
        <v>#DIV/0!</v>
      </c>
      <c r="Q25" s="91">
        <v>888</v>
      </c>
      <c r="R25" s="129">
        <v>250.79999999999998</v>
      </c>
      <c r="S25" s="91">
        <v>264</v>
      </c>
      <c r="T25" s="129">
        <v>0</v>
      </c>
      <c r="U25" s="93">
        <v>1320</v>
      </c>
      <c r="V25" s="129">
        <v>0</v>
      </c>
      <c r="W25" s="93">
        <v>528</v>
      </c>
      <c r="X25" s="129">
        <v>524.4</v>
      </c>
      <c r="Y25" s="93">
        <v>528</v>
      </c>
      <c r="Z25" s="129">
        <v>250.79999999999998</v>
      </c>
      <c r="AA25" s="155">
        <f t="shared" si="5"/>
        <v>792</v>
      </c>
      <c r="AB25" s="98">
        <f t="shared" si="5"/>
        <v>258.39999999999998</v>
      </c>
      <c r="AC25"/>
      <c r="AD25" s="97">
        <v>0</v>
      </c>
      <c r="AE25" s="92">
        <v>0</v>
      </c>
      <c r="AF25" s="98">
        <f t="shared" si="3"/>
        <v>0</v>
      </c>
      <c r="AG25" s="97">
        <v>0</v>
      </c>
      <c r="AH25" s="92">
        <v>0</v>
      </c>
      <c r="AI25" s="98">
        <f t="shared" si="4"/>
        <v>0</v>
      </c>
      <c r="AJ25" s="98">
        <f t="shared" si="2"/>
        <v>0</v>
      </c>
      <c r="AK25" s="102" t="str">
        <f>+IF(AB25+AA25+AJ25&lt;=0, "NO COMPRADOR", +IF(AJ25&lt;=0, "SIN COMPRA "&amp;+UPPER(TEXT('DINAMICA ENERO 26'!$C$2,"mmm 'yy")), "COMPRADOR"))</f>
        <v>SIN COMPRA FEB '26</v>
      </c>
      <c r="AL25"/>
      <c r="AM25" s="100"/>
      <c r="AN25" s="101"/>
      <c r="AO25" s="100"/>
      <c r="AP25"/>
      <c r="AQ25"/>
      <c r="AR25"/>
      <c r="AS25"/>
      <c r="AT25"/>
      <c r="AU25"/>
      <c r="AV25"/>
      <c r="AW25"/>
      <c r="AX25"/>
    </row>
    <row r="26" spans="1:50" s="100" customFormat="1">
      <c r="A26" s="88" t="s">
        <v>85</v>
      </c>
      <c r="B26" s="89" t="s">
        <v>105</v>
      </c>
      <c r="C26" s="89" t="s">
        <v>60</v>
      </c>
      <c r="D26" s="103">
        <v>100068884</v>
      </c>
      <c r="E26" s="89" t="s">
        <v>61</v>
      </c>
      <c r="F26" s="89">
        <v>100061654</v>
      </c>
      <c r="G26" s="128" t="s">
        <v>112</v>
      </c>
      <c r="H26" s="166"/>
      <c r="I26" s="92"/>
      <c r="J26" s="92"/>
      <c r="K26" s="92"/>
      <c r="L26" s="92"/>
      <c r="M26" s="94"/>
      <c r="N26" s="94"/>
      <c r="O26" s="129"/>
      <c r="P26" s="167" t="e">
        <f t="shared" si="0"/>
        <v>#DIV/0!</v>
      </c>
      <c r="Q26" s="91">
        <v>528</v>
      </c>
      <c r="R26" s="129">
        <v>0</v>
      </c>
      <c r="S26" s="91">
        <v>820.8</v>
      </c>
      <c r="T26" s="129">
        <v>0</v>
      </c>
      <c r="U26" s="93">
        <v>0</v>
      </c>
      <c r="V26" s="129">
        <v>0</v>
      </c>
      <c r="W26" s="93">
        <v>528</v>
      </c>
      <c r="X26" s="129">
        <v>0</v>
      </c>
      <c r="Y26" s="93">
        <v>532.79999999999995</v>
      </c>
      <c r="Z26" s="129">
        <v>501.59999999999997</v>
      </c>
      <c r="AA26" s="155">
        <f t="shared" si="5"/>
        <v>353.59999999999997</v>
      </c>
      <c r="AB26" s="98">
        <f t="shared" si="5"/>
        <v>167.2</v>
      </c>
      <c r="AC26"/>
      <c r="AD26" s="97">
        <v>528</v>
      </c>
      <c r="AE26" s="92">
        <v>0</v>
      </c>
      <c r="AF26" s="98">
        <f t="shared" si="3"/>
        <v>528</v>
      </c>
      <c r="AG26" s="97">
        <v>665.76</v>
      </c>
      <c r="AH26" s="92">
        <v>0</v>
      </c>
      <c r="AI26" s="98">
        <f t="shared" si="4"/>
        <v>665.76</v>
      </c>
      <c r="AJ26" s="98">
        <f t="shared" si="2"/>
        <v>1193.76</v>
      </c>
      <c r="AK26" s="102" t="str">
        <f>+IF(AB26+AA26+AJ26&lt;=0, "NO COMPRADOR", +IF(AJ26&lt;=0, "SIN COMPRA "&amp;+UPPER(TEXT('DINAMICA ENERO 26'!$C$2,"mmm 'yy")), "COMPRADOR"))</f>
        <v>COMPRADOR</v>
      </c>
      <c r="AL26"/>
      <c r="AN26" s="101"/>
      <c r="AP26"/>
      <c r="AQ26"/>
      <c r="AR26"/>
      <c r="AS26"/>
      <c r="AT26"/>
      <c r="AU26"/>
      <c r="AV26"/>
      <c r="AW26"/>
      <c r="AX26"/>
    </row>
    <row r="27" spans="1:50" s="100" customFormat="1">
      <c r="A27" s="88" t="s">
        <v>85</v>
      </c>
      <c r="B27" s="89" t="s">
        <v>113</v>
      </c>
      <c r="C27" s="89" t="s">
        <v>60</v>
      </c>
      <c r="D27" s="103">
        <v>100088165</v>
      </c>
      <c r="E27" s="89" t="s">
        <v>62</v>
      </c>
      <c r="F27" s="89">
        <v>100000073</v>
      </c>
      <c r="G27" s="128" t="s">
        <v>114</v>
      </c>
      <c r="H27" s="166"/>
      <c r="I27" s="92"/>
      <c r="J27" s="92"/>
      <c r="K27" s="92"/>
      <c r="L27" s="92"/>
      <c r="M27" s="94"/>
      <c r="N27" s="94"/>
      <c r="O27" s="129"/>
      <c r="P27" s="167" t="e">
        <f t="shared" si="0"/>
        <v>#DIV/0!</v>
      </c>
      <c r="Q27" s="91">
        <v>96</v>
      </c>
      <c r="R27" s="129">
        <v>0</v>
      </c>
      <c r="S27" s="91">
        <v>268.79999999999995</v>
      </c>
      <c r="T27" s="129">
        <v>0</v>
      </c>
      <c r="U27" s="93">
        <v>316.79999999999995</v>
      </c>
      <c r="V27" s="129">
        <v>0</v>
      </c>
      <c r="W27" s="93">
        <v>388.8</v>
      </c>
      <c r="X27" s="129">
        <v>0</v>
      </c>
      <c r="Y27" s="93">
        <v>854.4</v>
      </c>
      <c r="Z27" s="129">
        <v>0</v>
      </c>
      <c r="AA27" s="155">
        <f t="shared" si="5"/>
        <v>520</v>
      </c>
      <c r="AB27" s="98">
        <f t="shared" si="5"/>
        <v>0</v>
      </c>
      <c r="AC27"/>
      <c r="AD27" s="97">
        <v>326.39999999999998</v>
      </c>
      <c r="AE27" s="92">
        <v>0</v>
      </c>
      <c r="AF27" s="98">
        <f t="shared" si="3"/>
        <v>326.39999999999998</v>
      </c>
      <c r="AG27" s="97">
        <v>0</v>
      </c>
      <c r="AH27" s="92">
        <v>0</v>
      </c>
      <c r="AI27" s="98">
        <f t="shared" si="4"/>
        <v>0</v>
      </c>
      <c r="AJ27" s="98">
        <f t="shared" si="2"/>
        <v>326.39999999999998</v>
      </c>
      <c r="AK27" s="102" t="str">
        <f>+IF(AB27+AA27+AJ27&lt;=0, "NO COMPRADOR", +IF(AJ27&lt;=0, "SIN COMPRA "&amp;+UPPER(TEXT('DINAMICA ENERO 26'!$C$2,"mmm 'yy")), "COMPRADOR"))</f>
        <v>COMPRADOR</v>
      </c>
      <c r="AL27"/>
      <c r="AN27" s="101"/>
      <c r="AP27"/>
      <c r="AQ27"/>
      <c r="AR27"/>
      <c r="AS27"/>
      <c r="AT27"/>
      <c r="AU27"/>
      <c r="AV27"/>
      <c r="AW27"/>
      <c r="AX27"/>
    </row>
    <row r="28" spans="1:50" s="100" customFormat="1">
      <c r="A28" s="88" t="s">
        <v>85</v>
      </c>
      <c r="B28" s="89" t="s">
        <v>113</v>
      </c>
      <c r="C28" s="89" t="s">
        <v>60</v>
      </c>
      <c r="D28" s="103">
        <v>100088165</v>
      </c>
      <c r="E28" s="89" t="s">
        <v>62</v>
      </c>
      <c r="F28" s="89">
        <v>100078580</v>
      </c>
      <c r="G28" s="128" t="s">
        <v>115</v>
      </c>
      <c r="H28" s="166"/>
      <c r="I28" s="92"/>
      <c r="J28" s="92"/>
      <c r="K28" s="92"/>
      <c r="L28" s="92"/>
      <c r="M28" s="94"/>
      <c r="N28" s="94"/>
      <c r="O28" s="129"/>
      <c r="P28" s="167" t="e">
        <f t="shared" si="0"/>
        <v>#DIV/0!</v>
      </c>
      <c r="Q28" s="91">
        <v>0</v>
      </c>
      <c r="R28" s="129">
        <v>22.799999999999997</v>
      </c>
      <c r="S28" s="91">
        <v>72</v>
      </c>
      <c r="T28" s="129">
        <v>45.599999999999994</v>
      </c>
      <c r="U28" s="93">
        <v>48</v>
      </c>
      <c r="V28" s="129">
        <v>45.599999999999994</v>
      </c>
      <c r="W28" s="93">
        <v>0</v>
      </c>
      <c r="X28" s="129">
        <v>0</v>
      </c>
      <c r="Y28" s="93">
        <v>24</v>
      </c>
      <c r="Z28" s="129">
        <v>22.799999999999997</v>
      </c>
      <c r="AA28" s="155">
        <f t="shared" si="5"/>
        <v>24</v>
      </c>
      <c r="AB28" s="98">
        <f t="shared" si="5"/>
        <v>22.799999999999997</v>
      </c>
      <c r="AC28"/>
      <c r="AD28" s="97">
        <v>0</v>
      </c>
      <c r="AE28" s="92">
        <v>0</v>
      </c>
      <c r="AF28" s="98">
        <f t="shared" si="3"/>
        <v>0</v>
      </c>
      <c r="AG28" s="97">
        <v>45.599999999999994</v>
      </c>
      <c r="AH28" s="92">
        <v>0</v>
      </c>
      <c r="AI28" s="98">
        <f t="shared" si="4"/>
        <v>45.599999999999994</v>
      </c>
      <c r="AJ28" s="98">
        <f t="shared" si="2"/>
        <v>45.599999999999994</v>
      </c>
      <c r="AK28" s="102" t="str">
        <f>+IF(AB28+AA28+AJ28&lt;=0, "NO COMPRADOR", +IF(AJ28&lt;=0, "SIN COMPRA "&amp;+UPPER(TEXT('DINAMICA ENERO 26'!$C$2,"mmm 'yy")), "COMPRADOR"))</f>
        <v>COMPRADOR</v>
      </c>
      <c r="AL28"/>
      <c r="AN28" s="101"/>
      <c r="AP28"/>
      <c r="AQ28"/>
      <c r="AR28"/>
      <c r="AS28"/>
      <c r="AT28"/>
      <c r="AU28"/>
      <c r="AV28"/>
      <c r="AW28"/>
      <c r="AX28"/>
    </row>
    <row r="29" spans="1:50" s="104" customFormat="1">
      <c r="A29" s="88" t="s">
        <v>85</v>
      </c>
      <c r="B29" s="89" t="s">
        <v>113</v>
      </c>
      <c r="C29" s="89" t="s">
        <v>60</v>
      </c>
      <c r="D29" s="103">
        <v>100088165</v>
      </c>
      <c r="E29" s="89" t="s">
        <v>62</v>
      </c>
      <c r="F29" s="89">
        <v>100080926</v>
      </c>
      <c r="G29" s="128" t="s">
        <v>116</v>
      </c>
      <c r="H29" s="166"/>
      <c r="I29" s="92"/>
      <c r="J29" s="92"/>
      <c r="K29" s="92"/>
      <c r="L29" s="92"/>
      <c r="M29" s="94"/>
      <c r="N29" s="94"/>
      <c r="O29" s="129"/>
      <c r="P29" s="167" t="e">
        <f t="shared" si="0"/>
        <v>#DIV/0!</v>
      </c>
      <c r="Q29" s="91">
        <v>528</v>
      </c>
      <c r="R29" s="129">
        <v>410.4</v>
      </c>
      <c r="S29" s="91">
        <v>576</v>
      </c>
      <c r="T29" s="129">
        <v>0</v>
      </c>
      <c r="U29" s="93">
        <v>624</v>
      </c>
      <c r="V29" s="129">
        <v>91.199999999999989</v>
      </c>
      <c r="W29" s="93">
        <v>288</v>
      </c>
      <c r="X29" s="129">
        <v>410.4</v>
      </c>
      <c r="Y29" s="93">
        <v>432</v>
      </c>
      <c r="Z29" s="129">
        <v>0</v>
      </c>
      <c r="AA29" s="155">
        <f t="shared" si="5"/>
        <v>448</v>
      </c>
      <c r="AB29" s="98">
        <f t="shared" si="5"/>
        <v>167.2</v>
      </c>
      <c r="AC29"/>
      <c r="AD29" s="97">
        <v>528</v>
      </c>
      <c r="AE29" s="92">
        <v>0</v>
      </c>
      <c r="AF29" s="98">
        <f t="shared" si="3"/>
        <v>528</v>
      </c>
      <c r="AG29" s="97">
        <v>401.28</v>
      </c>
      <c r="AH29" s="92">
        <v>0</v>
      </c>
      <c r="AI29" s="98">
        <f t="shared" si="4"/>
        <v>401.28</v>
      </c>
      <c r="AJ29" s="98">
        <f t="shared" si="2"/>
        <v>929.28</v>
      </c>
      <c r="AK29" s="102" t="str">
        <f>+IF(AB29+AA29+AJ29&lt;=0, "NO COMPRADOR", +IF(AJ29&lt;=0, "SIN COMPRA "&amp;+UPPER(TEXT('DINAMICA ENERO 26'!$C$2,"mmm 'yy")), "COMPRADOR"))</f>
        <v>COMPRADOR</v>
      </c>
      <c r="AL29"/>
      <c r="AM29" s="100"/>
      <c r="AN29" s="101"/>
      <c r="AO29" s="100"/>
      <c r="AP29"/>
      <c r="AQ29"/>
      <c r="AR29"/>
      <c r="AS29"/>
      <c r="AT29"/>
      <c r="AU29"/>
      <c r="AV29"/>
      <c r="AW29"/>
      <c r="AX29"/>
    </row>
    <row r="30" spans="1:50" s="100" customFormat="1">
      <c r="A30" s="88" t="s">
        <v>85</v>
      </c>
      <c r="B30" s="89" t="s">
        <v>113</v>
      </c>
      <c r="C30" s="89" t="s">
        <v>60</v>
      </c>
      <c r="D30" s="103">
        <v>100088165</v>
      </c>
      <c r="E30" s="89" t="s">
        <v>62</v>
      </c>
      <c r="F30" s="89">
        <v>100077115</v>
      </c>
      <c r="G30" s="128" t="s">
        <v>117</v>
      </c>
      <c r="H30" s="166"/>
      <c r="I30" s="92"/>
      <c r="J30" s="92"/>
      <c r="K30" s="92"/>
      <c r="L30" s="92"/>
      <c r="M30" s="94"/>
      <c r="N30" s="94"/>
      <c r="O30" s="129"/>
      <c r="P30" s="167" t="e">
        <f t="shared" si="0"/>
        <v>#DIV/0!</v>
      </c>
      <c r="Q30" s="91">
        <v>0</v>
      </c>
      <c r="R30" s="129">
        <v>0</v>
      </c>
      <c r="S30" s="91">
        <v>192</v>
      </c>
      <c r="T30" s="129">
        <v>0</v>
      </c>
      <c r="U30" s="93">
        <v>144</v>
      </c>
      <c r="V30" s="129">
        <v>0</v>
      </c>
      <c r="W30" s="93">
        <v>0</v>
      </c>
      <c r="X30" s="129">
        <v>0</v>
      </c>
      <c r="Y30" s="93">
        <v>384</v>
      </c>
      <c r="Z30" s="129">
        <v>0</v>
      </c>
      <c r="AA30" s="155">
        <f t="shared" si="5"/>
        <v>176</v>
      </c>
      <c r="AB30" s="98">
        <f t="shared" si="5"/>
        <v>0</v>
      </c>
      <c r="AC30"/>
      <c r="AD30" s="97">
        <v>312</v>
      </c>
      <c r="AE30" s="92">
        <v>0</v>
      </c>
      <c r="AF30" s="98">
        <f t="shared" si="3"/>
        <v>312</v>
      </c>
      <c r="AG30" s="97">
        <v>0</v>
      </c>
      <c r="AH30" s="92">
        <v>0</v>
      </c>
      <c r="AI30" s="98">
        <f t="shared" si="4"/>
        <v>0</v>
      </c>
      <c r="AJ30" s="98">
        <f t="shared" si="2"/>
        <v>312</v>
      </c>
      <c r="AK30" s="102" t="str">
        <f>+IF(AB30+AA30+AJ30&lt;=0, "NO COMPRADOR", +IF(AJ30&lt;=0, "SIN COMPRA "&amp;+UPPER(TEXT('DINAMICA ENERO 26'!$C$2,"mmm 'yy")), "COMPRADOR"))</f>
        <v>COMPRADOR</v>
      </c>
      <c r="AL30"/>
      <c r="AN30" s="101"/>
      <c r="AP30"/>
      <c r="AQ30"/>
      <c r="AR30"/>
      <c r="AS30"/>
      <c r="AT30"/>
      <c r="AU30"/>
      <c r="AV30"/>
      <c r="AW30"/>
      <c r="AX30"/>
    </row>
    <row r="31" spans="1:50" s="100" customFormat="1">
      <c r="A31" s="88" t="s">
        <v>85</v>
      </c>
      <c r="B31" s="89" t="s">
        <v>113</v>
      </c>
      <c r="C31" s="89" t="s">
        <v>60</v>
      </c>
      <c r="D31" s="103">
        <v>100088165</v>
      </c>
      <c r="E31" s="89" t="s">
        <v>62</v>
      </c>
      <c r="F31" s="89">
        <v>100078578</v>
      </c>
      <c r="G31" s="128" t="s">
        <v>118</v>
      </c>
      <c r="H31" s="166"/>
      <c r="I31" s="92"/>
      <c r="J31" s="92"/>
      <c r="K31" s="92"/>
      <c r="L31" s="92"/>
      <c r="M31" s="94"/>
      <c r="N31" s="94"/>
      <c r="O31" s="129"/>
      <c r="P31" s="167" t="e">
        <f t="shared" si="0"/>
        <v>#DIV/0!</v>
      </c>
      <c r="Q31" s="91">
        <v>0</v>
      </c>
      <c r="R31" s="129">
        <v>0</v>
      </c>
      <c r="S31" s="91">
        <v>163.19999999999999</v>
      </c>
      <c r="T31" s="129">
        <v>59.279999999999994</v>
      </c>
      <c r="U31" s="93">
        <v>24</v>
      </c>
      <c r="V31" s="129">
        <v>0</v>
      </c>
      <c r="W31" s="93">
        <v>48</v>
      </c>
      <c r="X31" s="129">
        <v>45.599999999999994</v>
      </c>
      <c r="Y31" s="93">
        <v>48</v>
      </c>
      <c r="Z31" s="129">
        <v>36.479999999999997</v>
      </c>
      <c r="AA31" s="155">
        <f t="shared" si="5"/>
        <v>40</v>
      </c>
      <c r="AB31" s="98">
        <f t="shared" si="5"/>
        <v>27.359999999999996</v>
      </c>
      <c r="AC31"/>
      <c r="AD31" s="97">
        <v>48</v>
      </c>
      <c r="AE31" s="92">
        <v>48</v>
      </c>
      <c r="AF31" s="98">
        <f t="shared" si="3"/>
        <v>96</v>
      </c>
      <c r="AG31" s="97">
        <v>0</v>
      </c>
      <c r="AH31" s="92">
        <v>22.8</v>
      </c>
      <c r="AI31" s="98">
        <f t="shared" si="4"/>
        <v>22.8</v>
      </c>
      <c r="AJ31" s="98">
        <f t="shared" si="2"/>
        <v>118.8</v>
      </c>
      <c r="AK31" s="102" t="str">
        <f>+IF(AB31+AA31+AJ31&lt;=0, "NO COMPRADOR", +IF(AJ31&lt;=0, "SIN COMPRA "&amp;+UPPER(TEXT('DINAMICA ENERO 26'!$C$2,"mmm 'yy")), "COMPRADOR"))</f>
        <v>COMPRADOR</v>
      </c>
      <c r="AL31"/>
      <c r="AN31" s="101"/>
      <c r="AP31"/>
      <c r="AQ31"/>
      <c r="AR31"/>
      <c r="AS31"/>
      <c r="AT31"/>
      <c r="AU31"/>
      <c r="AV31"/>
      <c r="AW31"/>
      <c r="AX31"/>
    </row>
    <row r="32" spans="1:50" s="104" customFormat="1">
      <c r="A32" s="88" t="s">
        <v>85</v>
      </c>
      <c r="B32" s="89" t="s">
        <v>113</v>
      </c>
      <c r="C32" s="89" t="s">
        <v>60</v>
      </c>
      <c r="D32" s="103">
        <v>100088165</v>
      </c>
      <c r="E32" s="89" t="s">
        <v>62</v>
      </c>
      <c r="F32" s="89">
        <v>100021337</v>
      </c>
      <c r="G32" s="128" t="s">
        <v>119</v>
      </c>
      <c r="H32" s="166"/>
      <c r="I32" s="92"/>
      <c r="J32" s="92"/>
      <c r="K32" s="92"/>
      <c r="L32" s="92"/>
      <c r="M32" s="94"/>
      <c r="N32" s="94"/>
      <c r="O32" s="129"/>
      <c r="P32" s="167" t="e">
        <f t="shared" si="0"/>
        <v>#DIV/0!</v>
      </c>
      <c r="Q32" s="91">
        <v>0</v>
      </c>
      <c r="R32" s="129">
        <v>4.5599999999999996</v>
      </c>
      <c r="S32" s="91">
        <v>0</v>
      </c>
      <c r="T32" s="129">
        <v>0</v>
      </c>
      <c r="U32" s="93">
        <v>0</v>
      </c>
      <c r="V32" s="129">
        <v>0</v>
      </c>
      <c r="W32" s="93">
        <v>0</v>
      </c>
      <c r="X32" s="129">
        <v>22.799999999999997</v>
      </c>
      <c r="Y32" s="93">
        <v>0</v>
      </c>
      <c r="Z32" s="129">
        <v>0</v>
      </c>
      <c r="AA32" s="155">
        <f t="shared" si="5"/>
        <v>0</v>
      </c>
      <c r="AB32" s="98">
        <f t="shared" si="5"/>
        <v>7.5999999999999988</v>
      </c>
      <c r="AC32"/>
      <c r="AD32" s="97">
        <v>0</v>
      </c>
      <c r="AE32" s="92">
        <v>0</v>
      </c>
      <c r="AF32" s="98">
        <f t="shared" si="3"/>
        <v>0</v>
      </c>
      <c r="AG32" s="97">
        <v>9.1199999999999992</v>
      </c>
      <c r="AH32" s="92">
        <v>0</v>
      </c>
      <c r="AI32" s="98">
        <f t="shared" si="4"/>
        <v>9.1199999999999992</v>
      </c>
      <c r="AJ32" s="98">
        <f t="shared" si="2"/>
        <v>9.1199999999999992</v>
      </c>
      <c r="AK32" s="102" t="str">
        <f>+IF(AB32+AA32+AJ32&lt;=0, "NO COMPRADOR", +IF(AJ32&lt;=0, "SIN COMPRA "&amp;+UPPER(TEXT('DINAMICA ENERO 26'!$C$2,"mmm 'yy")), "COMPRADOR"))</f>
        <v>COMPRADOR</v>
      </c>
      <c r="AL32"/>
      <c r="AM32" s="100"/>
      <c r="AN32" s="101"/>
      <c r="AO32" s="100"/>
      <c r="AP32"/>
      <c r="AQ32"/>
      <c r="AR32"/>
      <c r="AS32"/>
      <c r="AT32"/>
      <c r="AU32"/>
      <c r="AV32"/>
      <c r="AW32"/>
      <c r="AX32"/>
    </row>
    <row r="33" spans="1:50" s="104" customFormat="1">
      <c r="A33" s="88" t="s">
        <v>85</v>
      </c>
      <c r="B33" s="89" t="s">
        <v>120</v>
      </c>
      <c r="C33" s="89" t="s">
        <v>52</v>
      </c>
      <c r="D33" s="103">
        <v>100088149</v>
      </c>
      <c r="E33" s="89" t="s">
        <v>56</v>
      </c>
      <c r="F33" s="89">
        <v>100002239</v>
      </c>
      <c r="G33" s="128" t="s">
        <v>121</v>
      </c>
      <c r="H33" s="166"/>
      <c r="I33" s="92"/>
      <c r="J33" s="92"/>
      <c r="K33" s="92"/>
      <c r="L33" s="92"/>
      <c r="M33" s="94"/>
      <c r="N33" s="94"/>
      <c r="O33" s="129"/>
      <c r="P33" s="167" t="e">
        <f t="shared" si="0"/>
        <v>#DIV/0!</v>
      </c>
      <c r="Q33" s="91">
        <v>48</v>
      </c>
      <c r="R33" s="129">
        <v>0</v>
      </c>
      <c r="S33" s="91">
        <v>24</v>
      </c>
      <c r="T33" s="129">
        <v>0</v>
      </c>
      <c r="U33" s="93">
        <v>264</v>
      </c>
      <c r="V33" s="129">
        <v>22.799999999999997</v>
      </c>
      <c r="W33" s="93">
        <v>96</v>
      </c>
      <c r="X33" s="129">
        <v>91.199999999999989</v>
      </c>
      <c r="Y33" s="93">
        <v>0</v>
      </c>
      <c r="Z33" s="129">
        <v>45.599999999999994</v>
      </c>
      <c r="AA33" s="155">
        <f t="shared" si="5"/>
        <v>120</v>
      </c>
      <c r="AB33" s="98">
        <f t="shared" si="5"/>
        <v>53.199999999999989</v>
      </c>
      <c r="AC33"/>
      <c r="AD33" s="97">
        <v>216</v>
      </c>
      <c r="AE33" s="92">
        <v>0</v>
      </c>
      <c r="AF33" s="98">
        <f t="shared" si="3"/>
        <v>216</v>
      </c>
      <c r="AG33" s="97">
        <v>45.599999999999994</v>
      </c>
      <c r="AH33" s="92">
        <v>0</v>
      </c>
      <c r="AI33" s="98">
        <f t="shared" si="4"/>
        <v>45.599999999999994</v>
      </c>
      <c r="AJ33" s="98">
        <f t="shared" si="2"/>
        <v>261.60000000000002</v>
      </c>
      <c r="AK33" s="102" t="str">
        <f>+IF(AB33+AA33+AJ33&lt;=0, "NO COMPRADOR", +IF(AJ33&lt;=0, "SIN COMPRA "&amp;+UPPER(TEXT('DINAMICA ENERO 26'!$C$2,"mmm 'yy")), "COMPRADOR"))</f>
        <v>COMPRADOR</v>
      </c>
      <c r="AL33"/>
      <c r="AM33" s="100"/>
      <c r="AN33" s="101"/>
      <c r="AO33" s="100"/>
      <c r="AP33"/>
      <c r="AQ33"/>
      <c r="AR33"/>
      <c r="AS33"/>
      <c r="AT33"/>
      <c r="AU33"/>
      <c r="AV33"/>
      <c r="AW33"/>
      <c r="AX33"/>
    </row>
    <row r="34" spans="1:50" s="100" customFormat="1">
      <c r="A34" s="88" t="s">
        <v>85</v>
      </c>
      <c r="B34" s="89" t="s">
        <v>120</v>
      </c>
      <c r="C34" s="89" t="s">
        <v>52</v>
      </c>
      <c r="D34" s="103">
        <v>100088149</v>
      </c>
      <c r="E34" s="89" t="s">
        <v>56</v>
      </c>
      <c r="F34" s="89">
        <v>100024103</v>
      </c>
      <c r="G34" s="128" t="s">
        <v>122</v>
      </c>
      <c r="H34" s="166"/>
      <c r="I34" s="92"/>
      <c r="J34" s="92"/>
      <c r="K34" s="92"/>
      <c r="L34" s="92"/>
      <c r="M34" s="94"/>
      <c r="N34" s="94"/>
      <c r="O34" s="129"/>
      <c r="P34" s="167" t="e">
        <f t="shared" si="0"/>
        <v>#DIV/0!</v>
      </c>
      <c r="Q34" s="91">
        <v>24</v>
      </c>
      <c r="R34" s="129">
        <v>0</v>
      </c>
      <c r="S34" s="91">
        <v>9.6</v>
      </c>
      <c r="T34" s="129">
        <v>9.1199999999999992</v>
      </c>
      <c r="U34" s="93">
        <v>24</v>
      </c>
      <c r="V34" s="129">
        <v>22.799999999999997</v>
      </c>
      <c r="W34" s="93">
        <v>0</v>
      </c>
      <c r="X34" s="129">
        <v>0</v>
      </c>
      <c r="Y34" s="93">
        <v>24</v>
      </c>
      <c r="Z34" s="129">
        <v>9.1199999999999992</v>
      </c>
      <c r="AA34" s="155">
        <f t="shared" si="5"/>
        <v>16</v>
      </c>
      <c r="AB34" s="98">
        <f t="shared" si="5"/>
        <v>10.639999999999999</v>
      </c>
      <c r="AC34"/>
      <c r="AD34" s="97">
        <v>9.6</v>
      </c>
      <c r="AE34" s="92">
        <v>0</v>
      </c>
      <c r="AF34" s="98">
        <f t="shared" si="3"/>
        <v>9.6</v>
      </c>
      <c r="AG34" s="97">
        <v>9.1199999999999992</v>
      </c>
      <c r="AH34" s="92">
        <v>0</v>
      </c>
      <c r="AI34" s="98">
        <f t="shared" si="4"/>
        <v>9.1199999999999992</v>
      </c>
      <c r="AJ34" s="98">
        <f t="shared" si="2"/>
        <v>18.72</v>
      </c>
      <c r="AK34" s="102" t="str">
        <f>+IF(AB34+AA34+AJ34&lt;=0, "NO COMPRADOR", +IF(AJ34&lt;=0, "SIN COMPRA "&amp;+UPPER(TEXT('DINAMICA ENERO 26'!$C$2,"mmm 'yy")), "COMPRADOR"))</f>
        <v>COMPRADOR</v>
      </c>
      <c r="AL34"/>
      <c r="AN34" s="101"/>
      <c r="AP34"/>
      <c r="AQ34"/>
      <c r="AR34"/>
      <c r="AS34"/>
      <c r="AT34"/>
      <c r="AU34"/>
      <c r="AV34"/>
      <c r="AW34"/>
      <c r="AX34"/>
    </row>
    <row r="35" spans="1:50" s="100" customFormat="1">
      <c r="A35" s="88" t="s">
        <v>85</v>
      </c>
      <c r="B35" s="89" t="s">
        <v>120</v>
      </c>
      <c r="C35" s="89" t="s">
        <v>52</v>
      </c>
      <c r="D35" s="103">
        <v>100088149</v>
      </c>
      <c r="E35" s="89" t="s">
        <v>56</v>
      </c>
      <c r="F35" s="89">
        <v>100086135</v>
      </c>
      <c r="G35" s="128" t="s">
        <v>123</v>
      </c>
      <c r="H35" s="166"/>
      <c r="I35" s="92"/>
      <c r="J35" s="92"/>
      <c r="K35" s="92"/>
      <c r="L35" s="92"/>
      <c r="M35" s="94"/>
      <c r="N35" s="94"/>
      <c r="O35" s="129"/>
      <c r="P35" s="167" t="e">
        <f t="shared" si="0"/>
        <v>#DIV/0!</v>
      </c>
      <c r="Q35" s="91">
        <v>24</v>
      </c>
      <c r="R35" s="129">
        <v>22.799999999999997</v>
      </c>
      <c r="S35" s="91">
        <v>28.799999999999997</v>
      </c>
      <c r="T35" s="129">
        <v>27.36</v>
      </c>
      <c r="U35" s="93">
        <v>0</v>
      </c>
      <c r="V35" s="129">
        <v>0</v>
      </c>
      <c r="W35" s="93">
        <v>0</v>
      </c>
      <c r="X35" s="129">
        <v>0</v>
      </c>
      <c r="Y35" s="93">
        <v>0</v>
      </c>
      <c r="Z35" s="129">
        <v>22.799999999999997</v>
      </c>
      <c r="AA35" s="155">
        <f t="shared" si="5"/>
        <v>0</v>
      </c>
      <c r="AB35" s="98">
        <f t="shared" si="5"/>
        <v>7.5999999999999988</v>
      </c>
      <c r="AC35"/>
      <c r="AD35" s="97">
        <v>0</v>
      </c>
      <c r="AE35" s="92">
        <v>0</v>
      </c>
      <c r="AF35" s="98">
        <f t="shared" si="3"/>
        <v>0</v>
      </c>
      <c r="AG35" s="97">
        <v>0</v>
      </c>
      <c r="AH35" s="92">
        <v>0</v>
      </c>
      <c r="AI35" s="98">
        <f t="shared" si="4"/>
        <v>0</v>
      </c>
      <c r="AJ35" s="98">
        <f t="shared" si="2"/>
        <v>0</v>
      </c>
      <c r="AK35" s="102" t="str">
        <f>+IF(AB35+AA35+AJ35&lt;=0, "NO COMPRADOR", +IF(AJ35&lt;=0, "SIN COMPRA "&amp;+UPPER(TEXT('DINAMICA ENERO 26'!$C$2,"mmm 'yy")), "COMPRADOR"))</f>
        <v>SIN COMPRA FEB '26</v>
      </c>
      <c r="AL35"/>
      <c r="AN35" s="101"/>
      <c r="AP35"/>
      <c r="AQ35"/>
      <c r="AR35"/>
      <c r="AS35"/>
      <c r="AT35"/>
      <c r="AU35"/>
      <c r="AV35"/>
      <c r="AW35"/>
      <c r="AX35"/>
    </row>
    <row r="36" spans="1:50" s="100" customFormat="1">
      <c r="A36" s="88" t="s">
        <v>85</v>
      </c>
      <c r="B36" s="89" t="s">
        <v>120</v>
      </c>
      <c r="C36" s="89" t="s">
        <v>52</v>
      </c>
      <c r="D36" s="103">
        <v>100088149</v>
      </c>
      <c r="E36" s="89" t="s">
        <v>56</v>
      </c>
      <c r="F36" s="89">
        <v>100077830</v>
      </c>
      <c r="G36" s="128" t="s">
        <v>124</v>
      </c>
      <c r="H36" s="166"/>
      <c r="I36" s="92"/>
      <c r="J36" s="92"/>
      <c r="K36" s="92"/>
      <c r="L36" s="92"/>
      <c r="M36" s="94"/>
      <c r="N36" s="94"/>
      <c r="O36" s="129"/>
      <c r="P36" s="167" t="e">
        <f t="shared" si="0"/>
        <v>#DIV/0!</v>
      </c>
      <c r="Q36" s="91">
        <v>0</v>
      </c>
      <c r="R36" s="129">
        <v>0</v>
      </c>
      <c r="S36" s="91">
        <v>0</v>
      </c>
      <c r="T36" s="129">
        <v>0</v>
      </c>
      <c r="U36" s="93">
        <v>0</v>
      </c>
      <c r="V36" s="129">
        <v>0</v>
      </c>
      <c r="W36" s="93">
        <v>24</v>
      </c>
      <c r="X36" s="129">
        <v>22.799999999999997</v>
      </c>
      <c r="Y36" s="93">
        <v>0</v>
      </c>
      <c r="Z36" s="129">
        <v>0</v>
      </c>
      <c r="AA36" s="155">
        <f t="shared" si="5"/>
        <v>8</v>
      </c>
      <c r="AB36" s="98">
        <f t="shared" si="5"/>
        <v>7.5999999999999988</v>
      </c>
      <c r="AC36"/>
      <c r="AD36" s="97">
        <v>0</v>
      </c>
      <c r="AE36" s="92">
        <v>0</v>
      </c>
      <c r="AF36" s="98">
        <f t="shared" si="3"/>
        <v>0</v>
      </c>
      <c r="AG36" s="97">
        <v>0</v>
      </c>
      <c r="AH36" s="92">
        <v>0</v>
      </c>
      <c r="AI36" s="98">
        <f t="shared" si="4"/>
        <v>0</v>
      </c>
      <c r="AJ36" s="98">
        <f t="shared" si="2"/>
        <v>0</v>
      </c>
      <c r="AK36" s="102" t="str">
        <f>+IF(AB36+AA36+AJ36&lt;=0, "NO COMPRADOR", +IF(AJ36&lt;=0, "SIN COMPRA "&amp;+UPPER(TEXT('DINAMICA ENERO 26'!$C$2,"mmm 'yy")), "COMPRADOR"))</f>
        <v>SIN COMPRA FEB '26</v>
      </c>
      <c r="AL36"/>
      <c r="AN36" s="101"/>
      <c r="AP36"/>
      <c r="AQ36"/>
      <c r="AR36"/>
      <c r="AS36"/>
      <c r="AT36"/>
      <c r="AU36"/>
      <c r="AV36"/>
      <c r="AW36"/>
      <c r="AX36"/>
    </row>
    <row r="37" spans="1:50" s="100" customFormat="1">
      <c r="A37" s="88" t="s">
        <v>85</v>
      </c>
      <c r="B37" s="89" t="s">
        <v>120</v>
      </c>
      <c r="C37" s="89" t="s">
        <v>52</v>
      </c>
      <c r="D37" s="103">
        <v>100088149</v>
      </c>
      <c r="E37" s="89" t="s">
        <v>56</v>
      </c>
      <c r="F37" s="89">
        <v>100066030</v>
      </c>
      <c r="G37" s="128" t="s">
        <v>125</v>
      </c>
      <c r="H37" s="166"/>
      <c r="I37" s="92"/>
      <c r="J37" s="92"/>
      <c r="K37" s="92"/>
      <c r="L37" s="92"/>
      <c r="M37" s="94"/>
      <c r="N37" s="94"/>
      <c r="O37" s="129"/>
      <c r="P37" s="167" t="e">
        <f t="shared" si="0"/>
        <v>#DIV/0!</v>
      </c>
      <c r="Q37" s="91">
        <v>0</v>
      </c>
      <c r="R37" s="129">
        <v>9.1199999999999992</v>
      </c>
      <c r="S37" s="91">
        <v>9.6</v>
      </c>
      <c r="T37" s="129">
        <v>0</v>
      </c>
      <c r="U37" s="93">
        <v>9.6</v>
      </c>
      <c r="V37" s="129">
        <v>9.1199999999999992</v>
      </c>
      <c r="W37" s="93">
        <v>4.8</v>
      </c>
      <c r="X37" s="129">
        <v>4.5599999999999996</v>
      </c>
      <c r="Y37" s="93">
        <v>9.6</v>
      </c>
      <c r="Z37" s="129">
        <v>0</v>
      </c>
      <c r="AA37" s="155">
        <f t="shared" si="5"/>
        <v>8</v>
      </c>
      <c r="AB37" s="98">
        <f t="shared" si="5"/>
        <v>4.5599999999999996</v>
      </c>
      <c r="AC37"/>
      <c r="AD37" s="97">
        <v>9.6</v>
      </c>
      <c r="AE37" s="92">
        <v>9.6</v>
      </c>
      <c r="AF37" s="98">
        <f t="shared" si="3"/>
        <v>19.2</v>
      </c>
      <c r="AG37" s="97">
        <v>45.599999999999994</v>
      </c>
      <c r="AH37" s="92">
        <v>0</v>
      </c>
      <c r="AI37" s="98">
        <f t="shared" si="4"/>
        <v>45.599999999999994</v>
      </c>
      <c r="AJ37" s="98">
        <f t="shared" si="2"/>
        <v>64.8</v>
      </c>
      <c r="AK37" s="102" t="str">
        <f>+IF(AB37+AA37+AJ37&lt;=0, "NO COMPRADOR", +IF(AJ37&lt;=0, "SIN COMPRA "&amp;+UPPER(TEXT('DINAMICA ENERO 26'!$C$2,"mmm 'yy")), "COMPRADOR"))</f>
        <v>COMPRADOR</v>
      </c>
      <c r="AL37"/>
      <c r="AN37" s="101"/>
      <c r="AP37"/>
      <c r="AQ37"/>
      <c r="AR37"/>
      <c r="AS37"/>
      <c r="AT37"/>
      <c r="AU37"/>
      <c r="AV37"/>
      <c r="AW37"/>
      <c r="AX37"/>
    </row>
    <row r="38" spans="1:50" s="100" customFormat="1">
      <c r="A38" s="88" t="s">
        <v>85</v>
      </c>
      <c r="B38" s="89" t="s">
        <v>120</v>
      </c>
      <c r="C38" s="89" t="s">
        <v>52</v>
      </c>
      <c r="D38" s="103">
        <v>100088149</v>
      </c>
      <c r="E38" s="89" t="s">
        <v>56</v>
      </c>
      <c r="F38" s="89">
        <v>100085622</v>
      </c>
      <c r="G38" s="128" t="s">
        <v>126</v>
      </c>
      <c r="H38" s="166"/>
      <c r="I38" s="92"/>
      <c r="J38" s="92"/>
      <c r="K38" s="92"/>
      <c r="L38" s="92"/>
      <c r="M38" s="94"/>
      <c r="N38" s="94"/>
      <c r="O38" s="129"/>
      <c r="P38" s="167" t="e">
        <f t="shared" si="0"/>
        <v>#DIV/0!</v>
      </c>
      <c r="Q38" s="91">
        <v>0</v>
      </c>
      <c r="R38" s="129">
        <v>9.1199999999999992</v>
      </c>
      <c r="S38" s="91">
        <v>33.6</v>
      </c>
      <c r="T38" s="129">
        <v>31.919999999999995</v>
      </c>
      <c r="U38" s="93">
        <v>24</v>
      </c>
      <c r="V38" s="129">
        <v>0</v>
      </c>
      <c r="W38" s="93">
        <v>19.2</v>
      </c>
      <c r="X38" s="129">
        <v>18.239999999999998</v>
      </c>
      <c r="Y38" s="93">
        <v>48</v>
      </c>
      <c r="Z38" s="129">
        <v>22.799999999999997</v>
      </c>
      <c r="AA38" s="155">
        <f t="shared" si="5"/>
        <v>30.400000000000002</v>
      </c>
      <c r="AB38" s="98">
        <f t="shared" si="5"/>
        <v>13.679999999999998</v>
      </c>
      <c r="AC38"/>
      <c r="AD38" s="97">
        <v>24</v>
      </c>
      <c r="AE38" s="92">
        <v>0</v>
      </c>
      <c r="AF38" s="98">
        <f t="shared" si="3"/>
        <v>24</v>
      </c>
      <c r="AG38" s="97">
        <v>0</v>
      </c>
      <c r="AH38" s="92">
        <v>0</v>
      </c>
      <c r="AI38" s="98">
        <f t="shared" si="4"/>
        <v>0</v>
      </c>
      <c r="AJ38" s="98">
        <f t="shared" si="2"/>
        <v>24</v>
      </c>
      <c r="AK38" s="102" t="str">
        <f>+IF(AB38+AA38+AJ38&lt;=0, "NO COMPRADOR", +IF(AJ38&lt;=0, "SIN COMPRA "&amp;+UPPER(TEXT('DINAMICA ENERO 26'!$C$2,"mmm 'yy")), "COMPRADOR"))</f>
        <v>COMPRADOR</v>
      </c>
      <c r="AL38"/>
      <c r="AN38" s="101"/>
      <c r="AP38"/>
      <c r="AQ38"/>
      <c r="AR38"/>
      <c r="AS38"/>
      <c r="AT38"/>
      <c r="AU38"/>
      <c r="AV38"/>
      <c r="AW38"/>
      <c r="AX38"/>
    </row>
    <row r="39" spans="1:50" s="104" customFormat="1">
      <c r="A39" s="88" t="s">
        <v>85</v>
      </c>
      <c r="B39" s="89" t="s">
        <v>120</v>
      </c>
      <c r="C39" s="89" t="s">
        <v>52</v>
      </c>
      <c r="D39" s="103">
        <v>100088149</v>
      </c>
      <c r="E39" s="89" t="s">
        <v>56</v>
      </c>
      <c r="F39" s="89">
        <v>100079184</v>
      </c>
      <c r="G39" s="128" t="s">
        <v>127</v>
      </c>
      <c r="H39" s="166"/>
      <c r="I39" s="92"/>
      <c r="J39" s="92"/>
      <c r="K39" s="92"/>
      <c r="L39" s="92"/>
      <c r="M39" s="94"/>
      <c r="N39" s="94"/>
      <c r="O39" s="129"/>
      <c r="P39" s="167" t="e">
        <f t="shared" si="0"/>
        <v>#DIV/0!</v>
      </c>
      <c r="Q39" s="91">
        <v>0</v>
      </c>
      <c r="R39" s="129">
        <v>0</v>
      </c>
      <c r="S39" s="91">
        <v>9.6</v>
      </c>
      <c r="T39" s="129">
        <v>9.1199999999999992</v>
      </c>
      <c r="U39" s="93">
        <v>0</v>
      </c>
      <c r="V39" s="129">
        <v>0</v>
      </c>
      <c r="W39" s="93">
        <v>0</v>
      </c>
      <c r="X39" s="129">
        <v>0</v>
      </c>
      <c r="Y39" s="93">
        <v>0</v>
      </c>
      <c r="Z39" s="129">
        <v>0</v>
      </c>
      <c r="AA39" s="155">
        <f t="shared" si="5"/>
        <v>0</v>
      </c>
      <c r="AB39" s="98">
        <f t="shared" si="5"/>
        <v>0</v>
      </c>
      <c r="AC39"/>
      <c r="AD39" s="97">
        <v>0</v>
      </c>
      <c r="AE39" s="92">
        <v>0</v>
      </c>
      <c r="AF39" s="98">
        <f t="shared" si="3"/>
        <v>0</v>
      </c>
      <c r="AG39" s="97">
        <v>0</v>
      </c>
      <c r="AH39" s="92">
        <v>0</v>
      </c>
      <c r="AI39" s="98">
        <f t="shared" si="4"/>
        <v>0</v>
      </c>
      <c r="AJ39" s="98">
        <f t="shared" si="2"/>
        <v>0</v>
      </c>
      <c r="AK39" s="102" t="str">
        <f>+IF(AB39+AA39+AJ39&lt;=0, "NO COMPRADOR", +IF(AJ39&lt;=0, "SIN COMPRA "&amp;+UPPER(TEXT('DINAMICA ENERO 26'!$C$2,"mmm 'yy")), "COMPRADOR"))</f>
        <v>NO COMPRADOR</v>
      </c>
      <c r="AL39"/>
      <c r="AM39" s="100"/>
      <c r="AN39" s="101"/>
      <c r="AO39" s="100"/>
      <c r="AP39"/>
      <c r="AQ39"/>
      <c r="AR39"/>
      <c r="AS39"/>
      <c r="AT39"/>
      <c r="AU39"/>
      <c r="AV39"/>
      <c r="AW39"/>
      <c r="AX39"/>
    </row>
    <row r="40" spans="1:50" s="104" customFormat="1">
      <c r="A40" s="88" t="s">
        <v>85</v>
      </c>
      <c r="B40" s="89" t="s">
        <v>120</v>
      </c>
      <c r="C40" s="89" t="s">
        <v>52</v>
      </c>
      <c r="D40" s="103">
        <v>100088149</v>
      </c>
      <c r="E40" s="89" t="s">
        <v>56</v>
      </c>
      <c r="F40" s="89">
        <v>100071982</v>
      </c>
      <c r="G40" s="128" t="s">
        <v>128</v>
      </c>
      <c r="H40" s="166"/>
      <c r="I40" s="92"/>
      <c r="J40" s="92"/>
      <c r="K40" s="92"/>
      <c r="L40" s="92"/>
      <c r="M40" s="94"/>
      <c r="N40" s="94"/>
      <c r="O40" s="129"/>
      <c r="P40" s="167" t="e">
        <f t="shared" si="0"/>
        <v>#DIV/0!</v>
      </c>
      <c r="Q40" s="91">
        <v>144</v>
      </c>
      <c r="R40" s="129">
        <v>45.599999999999994</v>
      </c>
      <c r="S40" s="91">
        <v>96</v>
      </c>
      <c r="T40" s="129">
        <v>0</v>
      </c>
      <c r="U40" s="93">
        <v>4.8</v>
      </c>
      <c r="V40" s="129">
        <v>27.359999999999996</v>
      </c>
      <c r="W40" s="93">
        <v>4.8</v>
      </c>
      <c r="X40" s="129">
        <v>4.5599999999999996</v>
      </c>
      <c r="Y40" s="93">
        <v>72</v>
      </c>
      <c r="Z40" s="129">
        <v>22.799999999999997</v>
      </c>
      <c r="AA40" s="155">
        <f t="shared" si="5"/>
        <v>27.2</v>
      </c>
      <c r="AB40" s="98">
        <f t="shared" si="5"/>
        <v>18.239999999999998</v>
      </c>
      <c r="AC40"/>
      <c r="AD40" s="97">
        <v>72</v>
      </c>
      <c r="AE40" s="92">
        <v>0</v>
      </c>
      <c r="AF40" s="98">
        <f t="shared" si="3"/>
        <v>72</v>
      </c>
      <c r="AG40" s="97">
        <v>45.599999999999994</v>
      </c>
      <c r="AH40" s="92">
        <v>0</v>
      </c>
      <c r="AI40" s="98">
        <f t="shared" si="4"/>
        <v>45.599999999999994</v>
      </c>
      <c r="AJ40" s="98">
        <f t="shared" si="2"/>
        <v>117.6</v>
      </c>
      <c r="AK40" s="102" t="str">
        <f>+IF(AB40+AA40+AJ40&lt;=0, "NO COMPRADOR", +IF(AJ40&lt;=0, "SIN COMPRA "&amp;+UPPER(TEXT('DINAMICA ENERO 26'!$C$2,"mmm 'yy")), "COMPRADOR"))</f>
        <v>COMPRADOR</v>
      </c>
      <c r="AL40"/>
      <c r="AM40" s="100"/>
      <c r="AN40" s="101"/>
      <c r="AO40" s="100"/>
      <c r="AP40"/>
      <c r="AQ40"/>
      <c r="AR40"/>
      <c r="AS40"/>
      <c r="AT40"/>
      <c r="AU40"/>
      <c r="AV40"/>
      <c r="AW40"/>
      <c r="AX40"/>
    </row>
    <row r="41" spans="1:50" s="100" customFormat="1">
      <c r="A41" s="88" t="s">
        <v>85</v>
      </c>
      <c r="B41" s="89" t="s">
        <v>120</v>
      </c>
      <c r="C41" s="89" t="s">
        <v>52</v>
      </c>
      <c r="D41" s="103">
        <v>100088149</v>
      </c>
      <c r="E41" s="89" t="s">
        <v>56</v>
      </c>
      <c r="F41" s="89">
        <v>100001605</v>
      </c>
      <c r="G41" s="128" t="s">
        <v>129</v>
      </c>
      <c r="H41" s="166"/>
      <c r="I41" s="92"/>
      <c r="J41" s="92"/>
      <c r="K41" s="92"/>
      <c r="L41" s="92"/>
      <c r="M41" s="94"/>
      <c r="N41" s="94"/>
      <c r="O41" s="129"/>
      <c r="P41" s="167" t="e">
        <f t="shared" si="0"/>
        <v>#DIV/0!</v>
      </c>
      <c r="Q41" s="91">
        <v>-4.7999999999999989</v>
      </c>
      <c r="R41" s="129">
        <v>9.1199999999999992</v>
      </c>
      <c r="S41" s="91">
        <v>43.2</v>
      </c>
      <c r="T41" s="129">
        <v>45.599999999999994</v>
      </c>
      <c r="U41" s="93">
        <v>48</v>
      </c>
      <c r="V41" s="129">
        <v>45.599999999999994</v>
      </c>
      <c r="W41" s="93">
        <v>9.6</v>
      </c>
      <c r="X41" s="129">
        <v>9.1199999999999992</v>
      </c>
      <c r="Y41" s="93">
        <v>-4.8</v>
      </c>
      <c r="Z41" s="129">
        <v>-4.5599999999999996</v>
      </c>
      <c r="AA41" s="155">
        <f t="shared" si="5"/>
        <v>17.600000000000001</v>
      </c>
      <c r="AB41" s="98">
        <f t="shared" si="5"/>
        <v>16.719999999999995</v>
      </c>
      <c r="AC41"/>
      <c r="AD41" s="97">
        <v>0</v>
      </c>
      <c r="AE41" s="92">
        <v>0</v>
      </c>
      <c r="AF41" s="98">
        <f t="shared" si="3"/>
        <v>0</v>
      </c>
      <c r="AG41" s="97">
        <v>0</v>
      </c>
      <c r="AH41" s="92">
        <v>0</v>
      </c>
      <c r="AI41" s="98">
        <f t="shared" si="4"/>
        <v>0</v>
      </c>
      <c r="AJ41" s="98">
        <f t="shared" si="2"/>
        <v>0</v>
      </c>
      <c r="AK41" s="102" t="str">
        <f>+IF(AB41+AA41+AJ41&lt;=0, "NO COMPRADOR", +IF(AJ41&lt;=0, "SIN COMPRA "&amp;+UPPER(TEXT('DINAMICA ENERO 26'!$C$2,"mmm 'yy")), "COMPRADOR"))</f>
        <v>SIN COMPRA FEB '26</v>
      </c>
      <c r="AL41"/>
      <c r="AN41" s="101"/>
      <c r="AP41"/>
      <c r="AQ41"/>
      <c r="AR41"/>
      <c r="AS41"/>
      <c r="AT41"/>
      <c r="AU41"/>
      <c r="AV41"/>
      <c r="AW41"/>
      <c r="AX41"/>
    </row>
    <row r="42" spans="1:50" s="100" customFormat="1">
      <c r="A42" s="88" t="s">
        <v>85</v>
      </c>
      <c r="B42" s="89" t="s">
        <v>120</v>
      </c>
      <c r="C42" s="89" t="s">
        <v>52</v>
      </c>
      <c r="D42" s="103">
        <v>100088149</v>
      </c>
      <c r="E42" s="89" t="s">
        <v>56</v>
      </c>
      <c r="F42" s="89">
        <v>100082658</v>
      </c>
      <c r="G42" s="128" t="s">
        <v>130</v>
      </c>
      <c r="H42" s="166"/>
      <c r="I42" s="92"/>
      <c r="J42" s="92"/>
      <c r="K42" s="92"/>
      <c r="L42" s="92"/>
      <c r="M42" s="94"/>
      <c r="N42" s="94"/>
      <c r="O42" s="129"/>
      <c r="P42" s="167" t="e">
        <f t="shared" si="0"/>
        <v>#DIV/0!</v>
      </c>
      <c r="Q42" s="91">
        <v>0</v>
      </c>
      <c r="R42" s="129">
        <v>9.1199999999999992</v>
      </c>
      <c r="S42" s="91">
        <v>0</v>
      </c>
      <c r="T42" s="129">
        <v>0</v>
      </c>
      <c r="U42" s="93">
        <v>0</v>
      </c>
      <c r="V42" s="129">
        <v>0</v>
      </c>
      <c r="W42" s="93">
        <v>0</v>
      </c>
      <c r="X42" s="129">
        <v>0</v>
      </c>
      <c r="Y42" s="93">
        <v>0</v>
      </c>
      <c r="Z42" s="129">
        <v>0</v>
      </c>
      <c r="AA42" s="155">
        <f t="shared" si="5"/>
        <v>0</v>
      </c>
      <c r="AB42" s="98">
        <f t="shared" si="5"/>
        <v>0</v>
      </c>
      <c r="AC42"/>
      <c r="AD42" s="97">
        <v>0</v>
      </c>
      <c r="AE42" s="92">
        <v>0</v>
      </c>
      <c r="AF42" s="98">
        <f t="shared" si="3"/>
        <v>0</v>
      </c>
      <c r="AG42" s="97">
        <v>0</v>
      </c>
      <c r="AH42" s="92">
        <v>0</v>
      </c>
      <c r="AI42" s="98">
        <f t="shared" si="4"/>
        <v>0</v>
      </c>
      <c r="AJ42" s="98">
        <f t="shared" si="2"/>
        <v>0</v>
      </c>
      <c r="AK42" s="102" t="str">
        <f>+IF(AB42+AA42+AJ42&lt;=0, "NO COMPRADOR", +IF(AJ42&lt;=0, "SIN COMPRA "&amp;+UPPER(TEXT('DINAMICA ENERO 26'!$C$2,"mmm 'yy")), "COMPRADOR"))</f>
        <v>NO COMPRADOR</v>
      </c>
      <c r="AL42"/>
      <c r="AN42" s="101"/>
      <c r="AP42"/>
      <c r="AQ42"/>
      <c r="AR42"/>
      <c r="AS42"/>
      <c r="AT42"/>
      <c r="AU42"/>
      <c r="AV42"/>
      <c r="AW42"/>
      <c r="AX42"/>
    </row>
    <row r="43" spans="1:50" s="100" customFormat="1">
      <c r="A43" s="88" t="s">
        <v>85</v>
      </c>
      <c r="B43" s="89" t="s">
        <v>120</v>
      </c>
      <c r="C43" s="89" t="s">
        <v>52</v>
      </c>
      <c r="D43" s="103">
        <v>100088149</v>
      </c>
      <c r="E43" s="89" t="s">
        <v>56</v>
      </c>
      <c r="F43" s="89">
        <v>100060564</v>
      </c>
      <c r="G43" s="128" t="s">
        <v>131</v>
      </c>
      <c r="H43" s="166"/>
      <c r="I43" s="92"/>
      <c r="J43" s="92"/>
      <c r="K43" s="92"/>
      <c r="L43" s="92"/>
      <c r="M43" s="94"/>
      <c r="N43" s="94"/>
      <c r="O43" s="129"/>
      <c r="P43" s="167" t="e">
        <f t="shared" si="0"/>
        <v>#DIV/0!</v>
      </c>
      <c r="Q43" s="91">
        <v>0</v>
      </c>
      <c r="R43" s="129">
        <v>0</v>
      </c>
      <c r="S43" s="91">
        <v>0</v>
      </c>
      <c r="T43" s="129">
        <v>136.79999999999998</v>
      </c>
      <c r="U43" s="93">
        <v>0</v>
      </c>
      <c r="V43" s="129">
        <v>-9.1199999999999992</v>
      </c>
      <c r="W43" s="93">
        <v>0</v>
      </c>
      <c r="X43" s="129">
        <v>0</v>
      </c>
      <c r="Y43" s="93">
        <v>0</v>
      </c>
      <c r="Z43" s="129">
        <v>0</v>
      </c>
      <c r="AA43" s="155">
        <f t="shared" si="5"/>
        <v>0</v>
      </c>
      <c r="AB43" s="98">
        <f t="shared" si="5"/>
        <v>-3.0399999999999996</v>
      </c>
      <c r="AC43"/>
      <c r="AD43" s="97">
        <v>0</v>
      </c>
      <c r="AE43" s="92">
        <v>0</v>
      </c>
      <c r="AF43" s="98">
        <f t="shared" si="3"/>
        <v>0</v>
      </c>
      <c r="AG43" s="97">
        <v>0</v>
      </c>
      <c r="AH43" s="92">
        <v>0</v>
      </c>
      <c r="AI43" s="98">
        <f t="shared" si="4"/>
        <v>0</v>
      </c>
      <c r="AJ43" s="98">
        <f t="shared" si="2"/>
        <v>0</v>
      </c>
      <c r="AK43" s="102" t="str">
        <f>+IF(AB43+AA43+AJ43&lt;=0, "NO COMPRADOR", +IF(AJ43&lt;=0, "SIN COMPRA "&amp;+UPPER(TEXT('DINAMICA ENERO 26'!$C$2,"mmm 'yy")), "COMPRADOR"))</f>
        <v>NO COMPRADOR</v>
      </c>
      <c r="AL43"/>
      <c r="AN43" s="101"/>
      <c r="AP43"/>
      <c r="AQ43"/>
      <c r="AR43"/>
      <c r="AS43"/>
      <c r="AT43"/>
      <c r="AU43"/>
      <c r="AV43"/>
      <c r="AW43"/>
      <c r="AX43"/>
    </row>
    <row r="44" spans="1:50" s="100" customFormat="1">
      <c r="A44" s="88" t="s">
        <v>85</v>
      </c>
      <c r="B44" s="89" t="s">
        <v>120</v>
      </c>
      <c r="C44" s="89" t="s">
        <v>52</v>
      </c>
      <c r="D44" s="103">
        <v>100088149</v>
      </c>
      <c r="E44" s="89" t="s">
        <v>56</v>
      </c>
      <c r="F44" s="89">
        <v>100001635</v>
      </c>
      <c r="G44" s="128" t="s">
        <v>132</v>
      </c>
      <c r="H44" s="166"/>
      <c r="I44" s="92"/>
      <c r="J44" s="92"/>
      <c r="K44" s="92"/>
      <c r="L44" s="92"/>
      <c r="M44" s="94"/>
      <c r="N44" s="94"/>
      <c r="O44" s="129"/>
      <c r="P44" s="167" t="e">
        <f t="shared" si="0"/>
        <v>#DIV/0!</v>
      </c>
      <c r="Q44" s="91">
        <v>24</v>
      </c>
      <c r="R44" s="129">
        <v>45.599999999999994</v>
      </c>
      <c r="S44" s="91">
        <v>48</v>
      </c>
      <c r="T44" s="129">
        <v>31.919999999999995</v>
      </c>
      <c r="U44" s="93">
        <v>4.8</v>
      </c>
      <c r="V44" s="129">
        <v>4.5599999999999996</v>
      </c>
      <c r="W44" s="93">
        <v>76.8</v>
      </c>
      <c r="X44" s="129">
        <v>45.599999999999994</v>
      </c>
      <c r="Y44" s="93">
        <v>0</v>
      </c>
      <c r="Z44" s="129">
        <v>0</v>
      </c>
      <c r="AA44" s="155">
        <f t="shared" si="5"/>
        <v>27.2</v>
      </c>
      <c r="AB44" s="98">
        <f t="shared" si="5"/>
        <v>16.72</v>
      </c>
      <c r="AC44"/>
      <c r="AD44" s="97">
        <v>0</v>
      </c>
      <c r="AE44" s="92">
        <v>0</v>
      </c>
      <c r="AF44" s="98">
        <f t="shared" si="3"/>
        <v>0</v>
      </c>
      <c r="AG44" s="97">
        <v>0</v>
      </c>
      <c r="AH44" s="92">
        <v>0</v>
      </c>
      <c r="AI44" s="98">
        <f t="shared" si="4"/>
        <v>0</v>
      </c>
      <c r="AJ44" s="98">
        <f t="shared" si="2"/>
        <v>0</v>
      </c>
      <c r="AK44" s="102" t="str">
        <f>+IF(AB44+AA44+AJ44&lt;=0, "NO COMPRADOR", +IF(AJ44&lt;=0, "SIN COMPRA "&amp;+UPPER(TEXT('DINAMICA ENERO 26'!$C$2,"mmm 'yy")), "COMPRADOR"))</f>
        <v>SIN COMPRA FEB '26</v>
      </c>
      <c r="AL44"/>
      <c r="AN44" s="101"/>
      <c r="AP44"/>
      <c r="AQ44"/>
      <c r="AR44"/>
      <c r="AS44"/>
      <c r="AT44"/>
      <c r="AU44"/>
      <c r="AV44"/>
      <c r="AW44"/>
      <c r="AX44"/>
    </row>
    <row r="45" spans="1:50" s="104" customFormat="1">
      <c r="A45" s="88" t="s">
        <v>85</v>
      </c>
      <c r="B45" s="89" t="s">
        <v>120</v>
      </c>
      <c r="C45" s="89" t="s">
        <v>52</v>
      </c>
      <c r="D45" s="103">
        <v>100088149</v>
      </c>
      <c r="E45" s="89" t="s">
        <v>56</v>
      </c>
      <c r="F45" s="89">
        <v>100001862</v>
      </c>
      <c r="G45" s="128" t="s">
        <v>133</v>
      </c>
      <c r="H45" s="166"/>
      <c r="I45" s="92"/>
      <c r="J45" s="92"/>
      <c r="K45" s="92"/>
      <c r="L45" s="92"/>
      <c r="M45" s="94"/>
      <c r="N45" s="94"/>
      <c r="O45" s="129"/>
      <c r="P45" s="167" t="e">
        <f t="shared" si="0"/>
        <v>#DIV/0!</v>
      </c>
      <c r="Q45" s="91">
        <v>14.4</v>
      </c>
      <c r="R45" s="129">
        <v>13.68</v>
      </c>
      <c r="S45" s="91">
        <v>9.6</v>
      </c>
      <c r="T45" s="129">
        <v>9.1199999999999992</v>
      </c>
      <c r="U45" s="93">
        <v>0</v>
      </c>
      <c r="V45" s="129">
        <v>18.239999999999998</v>
      </c>
      <c r="W45" s="93">
        <v>9.6</v>
      </c>
      <c r="X45" s="129">
        <v>0</v>
      </c>
      <c r="Y45" s="93">
        <v>38.4</v>
      </c>
      <c r="Z45" s="129">
        <v>13.68</v>
      </c>
      <c r="AA45" s="155">
        <f t="shared" si="5"/>
        <v>16</v>
      </c>
      <c r="AB45" s="98">
        <f t="shared" si="5"/>
        <v>10.639999999999999</v>
      </c>
      <c r="AC45"/>
      <c r="AD45" s="97">
        <v>24</v>
      </c>
      <c r="AE45" s="92">
        <v>0</v>
      </c>
      <c r="AF45" s="98">
        <f t="shared" si="3"/>
        <v>24</v>
      </c>
      <c r="AG45" s="97">
        <v>31.919999999999995</v>
      </c>
      <c r="AH45" s="92">
        <v>0</v>
      </c>
      <c r="AI45" s="98">
        <f t="shared" si="4"/>
        <v>31.919999999999995</v>
      </c>
      <c r="AJ45" s="98">
        <f t="shared" si="2"/>
        <v>55.919999999999995</v>
      </c>
      <c r="AK45" s="102" t="str">
        <f>+IF(AB45+AA45+AJ45&lt;=0, "NO COMPRADOR", +IF(AJ45&lt;=0, "SIN COMPRA "&amp;+UPPER(TEXT('DINAMICA ENERO 26'!$C$2,"mmm 'yy")), "COMPRADOR"))</f>
        <v>COMPRADOR</v>
      </c>
      <c r="AL45"/>
      <c r="AM45" s="100"/>
      <c r="AN45" s="101"/>
      <c r="AO45" s="100"/>
      <c r="AP45"/>
      <c r="AQ45"/>
      <c r="AR45"/>
      <c r="AS45"/>
      <c r="AT45"/>
      <c r="AU45"/>
      <c r="AV45"/>
      <c r="AW45"/>
      <c r="AX45"/>
    </row>
    <row r="46" spans="1:50" s="100" customFormat="1">
      <c r="A46" s="88" t="s">
        <v>85</v>
      </c>
      <c r="B46" s="89" t="s">
        <v>120</v>
      </c>
      <c r="C46" s="89" t="s">
        <v>52</v>
      </c>
      <c r="D46" s="103">
        <v>100088149</v>
      </c>
      <c r="E46" s="89" t="s">
        <v>56</v>
      </c>
      <c r="F46" s="89">
        <v>100010026</v>
      </c>
      <c r="G46" s="128" t="s">
        <v>134</v>
      </c>
      <c r="H46" s="166"/>
      <c r="I46" s="92"/>
      <c r="J46" s="92"/>
      <c r="K46" s="92"/>
      <c r="L46" s="92"/>
      <c r="M46" s="94"/>
      <c r="N46" s="94"/>
      <c r="O46" s="129"/>
      <c r="P46" s="167" t="e">
        <f t="shared" si="0"/>
        <v>#DIV/0!</v>
      </c>
      <c r="Q46" s="91">
        <v>0</v>
      </c>
      <c r="R46" s="129">
        <v>0</v>
      </c>
      <c r="S46" s="91">
        <v>0</v>
      </c>
      <c r="T46" s="129">
        <v>0</v>
      </c>
      <c r="U46" s="93">
        <v>4.8</v>
      </c>
      <c r="V46" s="129">
        <v>4.5599999999999996</v>
      </c>
      <c r="W46" s="93">
        <v>0</v>
      </c>
      <c r="X46" s="129">
        <v>0</v>
      </c>
      <c r="Y46" s="93">
        <v>0</v>
      </c>
      <c r="Z46" s="129">
        <v>0</v>
      </c>
      <c r="AA46" s="155">
        <f t="shared" si="5"/>
        <v>1.5999999999999999</v>
      </c>
      <c r="AB46" s="98">
        <f t="shared" si="5"/>
        <v>1.5199999999999998</v>
      </c>
      <c r="AC46"/>
      <c r="AD46" s="97">
        <v>0</v>
      </c>
      <c r="AE46" s="92">
        <v>0</v>
      </c>
      <c r="AF46" s="98">
        <f t="shared" si="3"/>
        <v>0</v>
      </c>
      <c r="AG46" s="97">
        <v>0</v>
      </c>
      <c r="AH46" s="92">
        <v>0</v>
      </c>
      <c r="AI46" s="98">
        <f t="shared" si="4"/>
        <v>0</v>
      </c>
      <c r="AJ46" s="98">
        <f t="shared" si="2"/>
        <v>0</v>
      </c>
      <c r="AK46" s="102" t="str">
        <f>+IF(AB46+AA46+AJ46&lt;=0, "NO COMPRADOR", +IF(AJ46&lt;=0, "SIN COMPRA "&amp;+UPPER(TEXT('DINAMICA ENERO 26'!$C$2,"mmm 'yy")), "COMPRADOR"))</f>
        <v>SIN COMPRA FEB '26</v>
      </c>
      <c r="AL46"/>
      <c r="AN46" s="101"/>
      <c r="AP46"/>
      <c r="AQ46"/>
      <c r="AR46"/>
      <c r="AS46"/>
      <c r="AT46"/>
      <c r="AU46"/>
      <c r="AV46"/>
      <c r="AW46"/>
      <c r="AX46"/>
    </row>
    <row r="47" spans="1:50" s="100" customFormat="1">
      <c r="A47" s="88" t="s">
        <v>85</v>
      </c>
      <c r="B47" s="89" t="s">
        <v>120</v>
      </c>
      <c r="C47" s="89" t="s">
        <v>52</v>
      </c>
      <c r="D47" s="103">
        <v>100088149</v>
      </c>
      <c r="E47" s="89" t="s">
        <v>56</v>
      </c>
      <c r="F47" s="89">
        <v>100064492</v>
      </c>
      <c r="G47" s="128" t="s">
        <v>135</v>
      </c>
      <c r="H47" s="166"/>
      <c r="I47" s="92"/>
      <c r="J47" s="92"/>
      <c r="K47" s="92"/>
      <c r="L47" s="92"/>
      <c r="M47" s="94"/>
      <c r="N47" s="94"/>
      <c r="O47" s="129"/>
      <c r="P47" s="167" t="e">
        <f t="shared" si="0"/>
        <v>#DIV/0!</v>
      </c>
      <c r="Q47" s="91">
        <v>0</v>
      </c>
      <c r="R47" s="129">
        <v>22.799999999999997</v>
      </c>
      <c r="S47" s="91">
        <v>96</v>
      </c>
      <c r="T47" s="129">
        <v>0</v>
      </c>
      <c r="U47" s="93">
        <v>336</v>
      </c>
      <c r="V47" s="129">
        <v>0</v>
      </c>
      <c r="W47" s="93">
        <v>240</v>
      </c>
      <c r="X47" s="129">
        <v>0</v>
      </c>
      <c r="Y47" s="93">
        <v>312</v>
      </c>
      <c r="Z47" s="129">
        <v>22.799999999999997</v>
      </c>
      <c r="AA47" s="155">
        <f t="shared" si="5"/>
        <v>296</v>
      </c>
      <c r="AB47" s="98">
        <f t="shared" si="5"/>
        <v>7.5999999999999988</v>
      </c>
      <c r="AC47"/>
      <c r="AD47" s="97">
        <v>96</v>
      </c>
      <c r="AE47" s="92">
        <v>0</v>
      </c>
      <c r="AF47" s="98">
        <f t="shared" si="3"/>
        <v>96</v>
      </c>
      <c r="AG47" s="97">
        <v>0</v>
      </c>
      <c r="AH47" s="92">
        <v>0</v>
      </c>
      <c r="AI47" s="98">
        <f t="shared" si="4"/>
        <v>0</v>
      </c>
      <c r="AJ47" s="98">
        <f t="shared" si="2"/>
        <v>96</v>
      </c>
      <c r="AK47" s="102" t="str">
        <f>+IF(AB47+AA47+AJ47&lt;=0, "NO COMPRADOR", +IF(AJ47&lt;=0, "SIN COMPRA "&amp;+UPPER(TEXT('DINAMICA ENERO 26'!$C$2,"mmm 'yy")), "COMPRADOR"))</f>
        <v>COMPRADOR</v>
      </c>
      <c r="AL47"/>
      <c r="AN47" s="101"/>
      <c r="AP47"/>
      <c r="AQ47"/>
      <c r="AR47"/>
      <c r="AS47"/>
      <c r="AT47"/>
      <c r="AU47"/>
      <c r="AV47"/>
      <c r="AW47"/>
      <c r="AX47"/>
    </row>
    <row r="48" spans="1:50" s="100" customFormat="1">
      <c r="A48" s="88" t="s">
        <v>85</v>
      </c>
      <c r="B48" s="89" t="s">
        <v>120</v>
      </c>
      <c r="C48" s="89" t="s">
        <v>52</v>
      </c>
      <c r="D48" s="103">
        <v>100088149</v>
      </c>
      <c r="E48" s="89" t="s">
        <v>56</v>
      </c>
      <c r="F48" s="89">
        <v>100084428</v>
      </c>
      <c r="G48" s="128" t="s">
        <v>136</v>
      </c>
      <c r="H48" s="166"/>
      <c r="I48" s="92"/>
      <c r="J48" s="92"/>
      <c r="K48" s="92"/>
      <c r="L48" s="92"/>
      <c r="M48" s="94"/>
      <c r="N48" s="94"/>
      <c r="O48" s="129"/>
      <c r="P48" s="167" t="e">
        <f t="shared" si="0"/>
        <v>#DIV/0!</v>
      </c>
      <c r="Q48" s="91">
        <v>0</v>
      </c>
      <c r="R48" s="129">
        <v>0</v>
      </c>
      <c r="S48" s="91">
        <v>0</v>
      </c>
      <c r="T48" s="129">
        <v>0</v>
      </c>
      <c r="U48" s="93">
        <v>0</v>
      </c>
      <c r="V48" s="129">
        <v>0</v>
      </c>
      <c r="W48" s="93">
        <v>0</v>
      </c>
      <c r="X48" s="129">
        <v>0</v>
      </c>
      <c r="Y48" s="93">
        <v>0</v>
      </c>
      <c r="Z48" s="129">
        <v>0</v>
      </c>
      <c r="AA48" s="155">
        <f t="shared" si="5"/>
        <v>0</v>
      </c>
      <c r="AB48" s="98">
        <f t="shared" si="5"/>
        <v>0</v>
      </c>
      <c r="AC48"/>
      <c r="AD48" s="97">
        <v>0</v>
      </c>
      <c r="AE48" s="92">
        <v>0</v>
      </c>
      <c r="AF48" s="98">
        <f t="shared" si="3"/>
        <v>0</v>
      </c>
      <c r="AG48" s="97">
        <v>0</v>
      </c>
      <c r="AH48" s="92">
        <v>0</v>
      </c>
      <c r="AI48" s="98">
        <f t="shared" si="4"/>
        <v>0</v>
      </c>
      <c r="AJ48" s="98">
        <f t="shared" si="2"/>
        <v>0</v>
      </c>
      <c r="AK48" s="102" t="str">
        <f>+IF(AB48+AA48+AJ48&lt;=0, "NO COMPRADOR", +IF(AJ48&lt;=0, "SIN COMPRA "&amp;+UPPER(TEXT('DINAMICA ENERO 26'!$C$2,"mmm 'yy")), "COMPRADOR"))</f>
        <v>NO COMPRADOR</v>
      </c>
      <c r="AL48"/>
      <c r="AN48" s="101"/>
      <c r="AP48"/>
      <c r="AQ48"/>
      <c r="AR48"/>
      <c r="AS48"/>
      <c r="AT48"/>
      <c r="AU48"/>
      <c r="AV48"/>
      <c r="AW48"/>
      <c r="AX48"/>
    </row>
    <row r="49" spans="1:50" s="100" customFormat="1">
      <c r="A49" s="88" t="s">
        <v>85</v>
      </c>
      <c r="B49" s="89" t="s">
        <v>120</v>
      </c>
      <c r="C49" s="89" t="s">
        <v>52</v>
      </c>
      <c r="D49" s="103">
        <v>100088149</v>
      </c>
      <c r="E49" s="89" t="s">
        <v>56</v>
      </c>
      <c r="F49" s="89">
        <v>100088143</v>
      </c>
      <c r="G49" s="128" t="s">
        <v>137</v>
      </c>
      <c r="H49" s="166"/>
      <c r="I49" s="92"/>
      <c r="J49" s="92"/>
      <c r="K49" s="92"/>
      <c r="L49" s="92"/>
      <c r="M49" s="94"/>
      <c r="N49" s="94"/>
      <c r="O49" s="129"/>
      <c r="P49" s="167" t="e">
        <f t="shared" si="0"/>
        <v>#DIV/0!</v>
      </c>
      <c r="Q49" s="91">
        <v>0</v>
      </c>
      <c r="R49" s="129">
        <v>0</v>
      </c>
      <c r="S49" s="91">
        <v>0</v>
      </c>
      <c r="T49" s="129">
        <v>0</v>
      </c>
      <c r="U49" s="93">
        <v>0</v>
      </c>
      <c r="V49" s="129">
        <v>45.599999999999994</v>
      </c>
      <c r="W49" s="93">
        <v>0</v>
      </c>
      <c r="X49" s="129">
        <v>0</v>
      </c>
      <c r="Y49" s="93">
        <v>0</v>
      </c>
      <c r="Z49" s="129">
        <v>0</v>
      </c>
      <c r="AA49" s="155">
        <f t="shared" si="5"/>
        <v>0</v>
      </c>
      <c r="AB49" s="98">
        <f t="shared" si="5"/>
        <v>15.199999999999998</v>
      </c>
      <c r="AC49"/>
      <c r="AD49" s="97">
        <v>0</v>
      </c>
      <c r="AE49" s="92">
        <v>0</v>
      </c>
      <c r="AF49" s="98">
        <f t="shared" si="3"/>
        <v>0</v>
      </c>
      <c r="AG49" s="97">
        <v>0</v>
      </c>
      <c r="AH49" s="92">
        <v>0</v>
      </c>
      <c r="AI49" s="98">
        <f t="shared" si="4"/>
        <v>0</v>
      </c>
      <c r="AJ49" s="98">
        <f t="shared" si="2"/>
        <v>0</v>
      </c>
      <c r="AK49" s="102" t="str">
        <f>+IF(AB49+AA49+AJ49&lt;=0, "NO COMPRADOR", +IF(AJ49&lt;=0, "SIN COMPRA "&amp;+UPPER(TEXT('DINAMICA ENERO 26'!$C$2,"mmm 'yy")), "COMPRADOR"))</f>
        <v>SIN COMPRA FEB '26</v>
      </c>
      <c r="AL49"/>
      <c r="AN49" s="101"/>
      <c r="AP49"/>
      <c r="AQ49"/>
      <c r="AR49"/>
      <c r="AS49"/>
      <c r="AT49"/>
      <c r="AU49"/>
      <c r="AV49"/>
      <c r="AW49"/>
      <c r="AX49"/>
    </row>
    <row r="50" spans="1:50" s="100" customFormat="1">
      <c r="A50" s="88" t="s">
        <v>85</v>
      </c>
      <c r="B50" s="89" t="s">
        <v>120</v>
      </c>
      <c r="C50" s="89" t="s">
        <v>52</v>
      </c>
      <c r="D50" s="103">
        <v>100088149</v>
      </c>
      <c r="E50" s="89" t="s">
        <v>56</v>
      </c>
      <c r="F50" s="89">
        <v>100069360</v>
      </c>
      <c r="G50" s="128" t="s">
        <v>138</v>
      </c>
      <c r="H50" s="166"/>
      <c r="I50" s="92"/>
      <c r="J50" s="92"/>
      <c r="K50" s="92"/>
      <c r="L50" s="92"/>
      <c r="M50" s="94"/>
      <c r="N50" s="94"/>
      <c r="O50" s="129"/>
      <c r="P50" s="167" t="e">
        <f t="shared" si="0"/>
        <v>#DIV/0!</v>
      </c>
      <c r="Q50" s="91">
        <v>72</v>
      </c>
      <c r="R50" s="129">
        <v>22.799999999999997</v>
      </c>
      <c r="S50" s="91">
        <v>48</v>
      </c>
      <c r="T50" s="129">
        <v>4.5599999999999996</v>
      </c>
      <c r="U50" s="93">
        <v>48</v>
      </c>
      <c r="V50" s="129">
        <v>0</v>
      </c>
      <c r="W50" s="93">
        <v>0</v>
      </c>
      <c r="X50" s="129">
        <v>4.5599999999999996</v>
      </c>
      <c r="Y50" s="93">
        <v>72</v>
      </c>
      <c r="Z50" s="129">
        <v>0</v>
      </c>
      <c r="AA50" s="155">
        <f t="shared" si="5"/>
        <v>40</v>
      </c>
      <c r="AB50" s="98">
        <f t="shared" si="5"/>
        <v>1.5199999999999998</v>
      </c>
      <c r="AC50"/>
      <c r="AD50" s="97">
        <v>72</v>
      </c>
      <c r="AE50" s="92">
        <v>0</v>
      </c>
      <c r="AF50" s="98">
        <f t="shared" si="3"/>
        <v>72</v>
      </c>
      <c r="AG50" s="97">
        <v>0</v>
      </c>
      <c r="AH50" s="92">
        <v>0</v>
      </c>
      <c r="AI50" s="98">
        <f t="shared" si="4"/>
        <v>0</v>
      </c>
      <c r="AJ50" s="98">
        <f t="shared" si="2"/>
        <v>72</v>
      </c>
      <c r="AK50" s="102" t="str">
        <f>+IF(AB50+AA50+AJ50&lt;=0, "NO COMPRADOR", +IF(AJ50&lt;=0, "SIN COMPRA "&amp;+UPPER(TEXT('DINAMICA ENERO 26'!$C$2,"mmm 'yy")), "COMPRADOR"))</f>
        <v>COMPRADOR</v>
      </c>
      <c r="AL50"/>
      <c r="AN50" s="101"/>
      <c r="AP50"/>
      <c r="AQ50"/>
      <c r="AR50"/>
      <c r="AS50"/>
      <c r="AT50"/>
      <c r="AU50"/>
      <c r="AV50"/>
      <c r="AW50"/>
      <c r="AX50"/>
    </row>
    <row r="51" spans="1:50" s="100" customFormat="1">
      <c r="A51" s="88" t="s">
        <v>85</v>
      </c>
      <c r="B51" s="89" t="s">
        <v>120</v>
      </c>
      <c r="C51" s="89" t="s">
        <v>52</v>
      </c>
      <c r="D51" s="103">
        <v>100088149</v>
      </c>
      <c r="E51" s="89" t="s">
        <v>56</v>
      </c>
      <c r="F51" s="89">
        <v>100022632</v>
      </c>
      <c r="G51" s="128" t="s">
        <v>139</v>
      </c>
      <c r="H51" s="166"/>
      <c r="I51" s="92"/>
      <c r="J51" s="92"/>
      <c r="K51" s="92"/>
      <c r="L51" s="92"/>
      <c r="M51" s="94"/>
      <c r="N51" s="94"/>
      <c r="O51" s="129"/>
      <c r="P51" s="167" t="e">
        <f t="shared" si="0"/>
        <v>#DIV/0!</v>
      </c>
      <c r="Q51" s="91">
        <v>240</v>
      </c>
      <c r="R51" s="129">
        <v>50.16</v>
      </c>
      <c r="S51" s="91">
        <v>72</v>
      </c>
      <c r="T51" s="129">
        <v>0</v>
      </c>
      <c r="U51" s="93">
        <v>144</v>
      </c>
      <c r="V51" s="129">
        <v>27.359999999999996</v>
      </c>
      <c r="W51" s="93">
        <v>86.4</v>
      </c>
      <c r="X51" s="129">
        <v>22.799999999999997</v>
      </c>
      <c r="Y51" s="93">
        <v>144</v>
      </c>
      <c r="Z51" s="129">
        <v>22.799999999999997</v>
      </c>
      <c r="AA51" s="155">
        <f t="shared" si="5"/>
        <v>124.8</v>
      </c>
      <c r="AB51" s="98">
        <f t="shared" si="5"/>
        <v>24.319999999999997</v>
      </c>
      <c r="AC51"/>
      <c r="AD51" s="97">
        <v>48</v>
      </c>
      <c r="AE51" s="92">
        <v>0</v>
      </c>
      <c r="AF51" s="98">
        <f t="shared" si="3"/>
        <v>48</v>
      </c>
      <c r="AG51" s="97">
        <v>0</v>
      </c>
      <c r="AH51" s="92">
        <v>0</v>
      </c>
      <c r="AI51" s="98">
        <f t="shared" si="4"/>
        <v>0</v>
      </c>
      <c r="AJ51" s="98">
        <f t="shared" si="2"/>
        <v>48</v>
      </c>
      <c r="AK51" s="102" t="str">
        <f>+IF(AB51+AA51+AJ51&lt;=0, "NO COMPRADOR", +IF(AJ51&lt;=0, "SIN COMPRA "&amp;+UPPER(TEXT('DINAMICA ENERO 26'!$C$2,"mmm 'yy")), "COMPRADOR"))</f>
        <v>COMPRADOR</v>
      </c>
      <c r="AL51"/>
      <c r="AN51" s="101"/>
      <c r="AP51"/>
      <c r="AQ51"/>
      <c r="AR51"/>
      <c r="AS51"/>
      <c r="AT51"/>
      <c r="AU51"/>
      <c r="AV51"/>
      <c r="AW51"/>
      <c r="AX51"/>
    </row>
    <row r="52" spans="1:50" s="104" customFormat="1">
      <c r="A52" s="88" t="s">
        <v>85</v>
      </c>
      <c r="B52" s="89" t="s">
        <v>120</v>
      </c>
      <c r="C52" s="89" t="s">
        <v>52</v>
      </c>
      <c r="D52" s="103">
        <v>100088149</v>
      </c>
      <c r="E52" s="89" t="s">
        <v>56</v>
      </c>
      <c r="F52" s="89">
        <v>100089326</v>
      </c>
      <c r="G52" s="128" t="s">
        <v>140</v>
      </c>
      <c r="H52" s="166"/>
      <c r="I52" s="92"/>
      <c r="J52" s="92"/>
      <c r="K52" s="92"/>
      <c r="L52" s="92"/>
      <c r="M52" s="94"/>
      <c r="N52" s="94"/>
      <c r="O52" s="129"/>
      <c r="P52" s="167" t="e">
        <f t="shared" si="0"/>
        <v>#DIV/0!</v>
      </c>
      <c r="Q52" s="91">
        <v>24</v>
      </c>
      <c r="R52" s="129">
        <v>91.199999999999989</v>
      </c>
      <c r="S52" s="91">
        <v>72</v>
      </c>
      <c r="T52" s="129">
        <v>341.99999999999994</v>
      </c>
      <c r="U52" s="93">
        <v>4.8</v>
      </c>
      <c r="V52" s="129">
        <v>18.239999999999998</v>
      </c>
      <c r="W52" s="93">
        <v>72</v>
      </c>
      <c r="X52" s="129">
        <v>91.199999999999989</v>
      </c>
      <c r="Y52" s="93">
        <v>0</v>
      </c>
      <c r="Z52" s="129">
        <v>136.79999999999998</v>
      </c>
      <c r="AA52" s="155">
        <f t="shared" si="5"/>
        <v>25.599999999999998</v>
      </c>
      <c r="AB52" s="98">
        <f t="shared" si="5"/>
        <v>82.079999999999984</v>
      </c>
      <c r="AC52"/>
      <c r="AD52" s="97">
        <v>48</v>
      </c>
      <c r="AE52" s="92">
        <v>0</v>
      </c>
      <c r="AF52" s="98">
        <f t="shared" si="3"/>
        <v>48</v>
      </c>
      <c r="AG52" s="97">
        <v>91.199999999999989</v>
      </c>
      <c r="AH52" s="92">
        <v>0</v>
      </c>
      <c r="AI52" s="98">
        <f t="shared" si="4"/>
        <v>91.199999999999989</v>
      </c>
      <c r="AJ52" s="98">
        <f t="shared" si="2"/>
        <v>139.19999999999999</v>
      </c>
      <c r="AK52" s="102" t="str">
        <f>+IF(AB52+AA52+AJ52&lt;=0, "NO COMPRADOR", +IF(AJ52&lt;=0, "SIN COMPRA "&amp;+UPPER(TEXT('DINAMICA ENERO 26'!$C$2,"mmm 'yy")), "COMPRADOR"))</f>
        <v>COMPRADOR</v>
      </c>
      <c r="AL52"/>
      <c r="AM52" s="100"/>
      <c r="AN52" s="101"/>
      <c r="AO52" s="100"/>
      <c r="AP52"/>
      <c r="AQ52"/>
      <c r="AR52"/>
      <c r="AS52"/>
      <c r="AT52"/>
      <c r="AU52"/>
      <c r="AV52"/>
      <c r="AW52"/>
      <c r="AX52"/>
    </row>
    <row r="53" spans="1:50" s="100" customFormat="1">
      <c r="A53" s="88" t="s">
        <v>85</v>
      </c>
      <c r="B53" s="89" t="s">
        <v>120</v>
      </c>
      <c r="C53" s="89" t="s">
        <v>52</v>
      </c>
      <c r="D53" s="103">
        <v>100088149</v>
      </c>
      <c r="E53" s="89" t="s">
        <v>56</v>
      </c>
      <c r="F53" s="89">
        <v>100001380</v>
      </c>
      <c r="G53" s="128" t="s">
        <v>141</v>
      </c>
      <c r="H53" s="166"/>
      <c r="I53" s="92"/>
      <c r="J53" s="92"/>
      <c r="K53" s="92"/>
      <c r="L53" s="92"/>
      <c r="M53" s="94"/>
      <c r="N53" s="94"/>
      <c r="O53" s="129"/>
      <c r="P53" s="167" t="e">
        <f t="shared" si="0"/>
        <v>#DIV/0!</v>
      </c>
      <c r="Q53" s="91">
        <v>24</v>
      </c>
      <c r="R53" s="129">
        <v>4.5599999999999996</v>
      </c>
      <c r="S53" s="91">
        <v>4.8</v>
      </c>
      <c r="T53" s="129">
        <v>4.5599999999999996</v>
      </c>
      <c r="U53" s="93">
        <v>4.8</v>
      </c>
      <c r="V53" s="129">
        <v>4.5599999999999996</v>
      </c>
      <c r="W53" s="93">
        <v>33.599999999999994</v>
      </c>
      <c r="X53" s="129">
        <v>31.919999999999995</v>
      </c>
      <c r="Y53" s="93">
        <v>28.799999999999997</v>
      </c>
      <c r="Z53" s="129">
        <v>31.919999999999995</v>
      </c>
      <c r="AA53" s="155">
        <f t="shared" si="5"/>
        <v>22.399999999999995</v>
      </c>
      <c r="AB53" s="98">
        <f t="shared" si="5"/>
        <v>22.799999999999997</v>
      </c>
      <c r="AC53"/>
      <c r="AD53" s="97">
        <v>38.4</v>
      </c>
      <c r="AE53" s="92">
        <v>0</v>
      </c>
      <c r="AF53" s="98">
        <f t="shared" si="3"/>
        <v>38.4</v>
      </c>
      <c r="AG53" s="97">
        <v>68.399999999999991</v>
      </c>
      <c r="AH53" s="92">
        <v>0</v>
      </c>
      <c r="AI53" s="98">
        <f t="shared" si="4"/>
        <v>68.399999999999991</v>
      </c>
      <c r="AJ53" s="98">
        <f t="shared" si="2"/>
        <v>106.79999999999998</v>
      </c>
      <c r="AK53" s="102" t="str">
        <f>+IF(AB53+AA53+AJ53&lt;=0, "NO COMPRADOR", +IF(AJ53&lt;=0, "SIN COMPRA "&amp;+UPPER(TEXT('DINAMICA ENERO 26'!$C$2,"mmm 'yy")), "COMPRADOR"))</f>
        <v>COMPRADOR</v>
      </c>
      <c r="AL53"/>
      <c r="AN53" s="101"/>
      <c r="AP53"/>
      <c r="AQ53"/>
      <c r="AR53"/>
      <c r="AS53"/>
      <c r="AT53"/>
      <c r="AU53"/>
      <c r="AV53"/>
      <c r="AW53"/>
      <c r="AX53"/>
    </row>
    <row r="54" spans="1:50" s="100" customFormat="1">
      <c r="A54" s="88" t="s">
        <v>85</v>
      </c>
      <c r="B54" s="89" t="s">
        <v>120</v>
      </c>
      <c r="C54" s="89" t="s">
        <v>52</v>
      </c>
      <c r="D54" s="103">
        <v>100079515</v>
      </c>
      <c r="E54" s="89" t="s">
        <v>53</v>
      </c>
      <c r="F54" s="89">
        <v>100070470</v>
      </c>
      <c r="G54" s="128" t="s">
        <v>142</v>
      </c>
      <c r="H54" s="166"/>
      <c r="I54" s="92"/>
      <c r="J54" s="92"/>
      <c r="K54" s="92"/>
      <c r="L54" s="92"/>
      <c r="M54" s="94"/>
      <c r="N54" s="94"/>
      <c r="O54" s="129"/>
      <c r="P54" s="167" t="e">
        <f t="shared" si="0"/>
        <v>#DIV/0!</v>
      </c>
      <c r="Q54" s="91">
        <v>192</v>
      </c>
      <c r="R54" s="129">
        <v>91.199999999999989</v>
      </c>
      <c r="S54" s="91">
        <v>96</v>
      </c>
      <c r="T54" s="129">
        <v>0</v>
      </c>
      <c r="U54" s="93">
        <v>139.19999999999999</v>
      </c>
      <c r="V54" s="129">
        <v>68.399999999999991</v>
      </c>
      <c r="W54" s="93">
        <v>187.2</v>
      </c>
      <c r="X54" s="129">
        <v>0</v>
      </c>
      <c r="Y54" s="93">
        <v>96</v>
      </c>
      <c r="Z54" s="129">
        <v>0</v>
      </c>
      <c r="AA54" s="155">
        <f t="shared" si="5"/>
        <v>140.79999999999998</v>
      </c>
      <c r="AB54" s="98">
        <f t="shared" si="5"/>
        <v>22.799999999999997</v>
      </c>
      <c r="AC54"/>
      <c r="AD54" s="97">
        <v>38.4</v>
      </c>
      <c r="AE54" s="92">
        <v>96</v>
      </c>
      <c r="AF54" s="98">
        <f t="shared" si="3"/>
        <v>134.4</v>
      </c>
      <c r="AG54" s="97">
        <v>0</v>
      </c>
      <c r="AH54" s="92">
        <v>0</v>
      </c>
      <c r="AI54" s="98">
        <f t="shared" si="4"/>
        <v>0</v>
      </c>
      <c r="AJ54" s="98">
        <f t="shared" si="2"/>
        <v>134.4</v>
      </c>
      <c r="AK54" s="102" t="str">
        <f>+IF(AB54+AA54+AJ54&lt;=0, "NO COMPRADOR", +IF(AJ54&lt;=0, "SIN COMPRA "&amp;+UPPER(TEXT('DINAMICA ENERO 26'!$C$2,"mmm 'yy")), "COMPRADOR"))</f>
        <v>COMPRADOR</v>
      </c>
      <c r="AL54"/>
      <c r="AN54" s="101"/>
      <c r="AP54"/>
      <c r="AQ54"/>
      <c r="AR54"/>
      <c r="AS54"/>
      <c r="AT54"/>
      <c r="AU54"/>
      <c r="AV54"/>
      <c r="AW54"/>
      <c r="AX54"/>
    </row>
    <row r="55" spans="1:50" s="104" customFormat="1">
      <c r="A55" s="88" t="s">
        <v>85</v>
      </c>
      <c r="B55" s="89" t="s">
        <v>120</v>
      </c>
      <c r="C55" s="89" t="s">
        <v>52</v>
      </c>
      <c r="D55" s="103">
        <v>100079515</v>
      </c>
      <c r="E55" s="89" t="s">
        <v>53</v>
      </c>
      <c r="F55" s="89">
        <v>100082270</v>
      </c>
      <c r="G55" s="128" t="s">
        <v>143</v>
      </c>
      <c r="H55" s="166"/>
      <c r="I55" s="92"/>
      <c r="J55" s="92"/>
      <c r="K55" s="92"/>
      <c r="L55" s="92"/>
      <c r="M55" s="94"/>
      <c r="N55" s="94"/>
      <c r="O55" s="129"/>
      <c r="P55" s="167" t="e">
        <f t="shared" si="0"/>
        <v>#DIV/0!</v>
      </c>
      <c r="Q55" s="91">
        <v>0</v>
      </c>
      <c r="R55" s="129">
        <v>9.1199999999999992</v>
      </c>
      <c r="S55" s="91">
        <v>4.8</v>
      </c>
      <c r="T55" s="129">
        <v>0</v>
      </c>
      <c r="U55" s="93">
        <v>0</v>
      </c>
      <c r="V55" s="129">
        <v>0</v>
      </c>
      <c r="W55" s="93">
        <v>4.8</v>
      </c>
      <c r="X55" s="129">
        <v>4.5599999999999996</v>
      </c>
      <c r="Y55" s="93">
        <v>0</v>
      </c>
      <c r="Z55" s="129">
        <v>0</v>
      </c>
      <c r="AA55" s="155">
        <f t="shared" si="5"/>
        <v>1.5999999999999999</v>
      </c>
      <c r="AB55" s="98">
        <f t="shared" si="5"/>
        <v>1.5199999999999998</v>
      </c>
      <c r="AC55"/>
      <c r="AD55" s="97">
        <v>0</v>
      </c>
      <c r="AE55" s="92">
        <v>0</v>
      </c>
      <c r="AF55" s="98">
        <f t="shared" si="3"/>
        <v>0</v>
      </c>
      <c r="AG55" s="97">
        <v>0</v>
      </c>
      <c r="AH55" s="92">
        <v>0</v>
      </c>
      <c r="AI55" s="98">
        <f t="shared" si="4"/>
        <v>0</v>
      </c>
      <c r="AJ55" s="98">
        <f t="shared" si="2"/>
        <v>0</v>
      </c>
      <c r="AK55" s="102" t="str">
        <f>+IF(AB55+AA55+AJ55&lt;=0, "NO COMPRADOR", +IF(AJ55&lt;=0, "SIN COMPRA "&amp;+UPPER(TEXT('DINAMICA ENERO 26'!$C$2,"mmm 'yy")), "COMPRADOR"))</f>
        <v>SIN COMPRA FEB '26</v>
      </c>
      <c r="AL55"/>
      <c r="AM55" s="100"/>
      <c r="AN55" s="101"/>
      <c r="AO55" s="100"/>
      <c r="AP55"/>
      <c r="AQ55"/>
      <c r="AR55"/>
      <c r="AS55"/>
      <c r="AT55"/>
      <c r="AU55"/>
      <c r="AV55"/>
      <c r="AW55"/>
      <c r="AX55"/>
    </row>
    <row r="56" spans="1:50" s="100" customFormat="1">
      <c r="A56" s="88" t="s">
        <v>85</v>
      </c>
      <c r="B56" s="89" t="s">
        <v>120</v>
      </c>
      <c r="C56" s="89" t="s">
        <v>52</v>
      </c>
      <c r="D56" s="103">
        <v>100079515</v>
      </c>
      <c r="E56" s="89" t="s">
        <v>53</v>
      </c>
      <c r="F56" s="89">
        <v>100080489</v>
      </c>
      <c r="G56" s="128" t="s">
        <v>144</v>
      </c>
      <c r="H56" s="166"/>
      <c r="I56" s="92"/>
      <c r="J56" s="92"/>
      <c r="K56" s="92"/>
      <c r="L56" s="92"/>
      <c r="M56" s="94"/>
      <c r="N56" s="94"/>
      <c r="O56" s="129"/>
      <c r="P56" s="167" t="e">
        <f t="shared" si="0"/>
        <v>#DIV/0!</v>
      </c>
      <c r="Q56" s="91">
        <v>96</v>
      </c>
      <c r="R56" s="129">
        <v>45.599999999999994</v>
      </c>
      <c r="S56" s="91">
        <v>0</v>
      </c>
      <c r="T56" s="129">
        <v>45.599999999999994</v>
      </c>
      <c r="U56" s="93">
        <v>0</v>
      </c>
      <c r="V56" s="129">
        <v>0</v>
      </c>
      <c r="W56" s="93">
        <v>48</v>
      </c>
      <c r="X56" s="129">
        <v>45.599999999999994</v>
      </c>
      <c r="Y56" s="93">
        <v>48</v>
      </c>
      <c r="Z56" s="129">
        <v>0</v>
      </c>
      <c r="AA56" s="155">
        <f t="shared" si="5"/>
        <v>32</v>
      </c>
      <c r="AB56" s="98">
        <f t="shared" si="5"/>
        <v>15.199999999999998</v>
      </c>
      <c r="AC56"/>
      <c r="AD56" s="97">
        <v>48</v>
      </c>
      <c r="AE56" s="92">
        <v>0</v>
      </c>
      <c r="AF56" s="98">
        <f t="shared" si="3"/>
        <v>48</v>
      </c>
      <c r="AG56" s="97">
        <v>0</v>
      </c>
      <c r="AH56" s="92">
        <v>0</v>
      </c>
      <c r="AI56" s="98">
        <f t="shared" si="4"/>
        <v>0</v>
      </c>
      <c r="AJ56" s="98">
        <f t="shared" si="2"/>
        <v>48</v>
      </c>
      <c r="AK56" s="102" t="str">
        <f>+IF(AB56+AA56+AJ56&lt;=0, "NO COMPRADOR", +IF(AJ56&lt;=0, "SIN COMPRA "&amp;+UPPER(TEXT('DINAMICA ENERO 26'!$C$2,"mmm 'yy")), "COMPRADOR"))</f>
        <v>COMPRADOR</v>
      </c>
      <c r="AL56"/>
      <c r="AN56" s="101"/>
      <c r="AP56"/>
      <c r="AQ56"/>
      <c r="AR56"/>
      <c r="AS56"/>
      <c r="AT56"/>
      <c r="AU56"/>
      <c r="AV56"/>
      <c r="AW56"/>
      <c r="AX56"/>
    </row>
    <row r="57" spans="1:50" s="104" customFormat="1">
      <c r="A57" s="88" t="s">
        <v>85</v>
      </c>
      <c r="B57" s="89" t="s">
        <v>120</v>
      </c>
      <c r="C57" s="89" t="s">
        <v>52</v>
      </c>
      <c r="D57" s="103">
        <v>100079515</v>
      </c>
      <c r="E57" s="89" t="s">
        <v>53</v>
      </c>
      <c r="F57" s="89">
        <v>100080370</v>
      </c>
      <c r="G57" s="128" t="s">
        <v>145</v>
      </c>
      <c r="H57" s="166"/>
      <c r="I57" s="92"/>
      <c r="J57" s="92"/>
      <c r="K57" s="92"/>
      <c r="L57" s="92"/>
      <c r="M57" s="94"/>
      <c r="N57" s="94"/>
      <c r="O57" s="129"/>
      <c r="P57" s="167" t="e">
        <f t="shared" si="0"/>
        <v>#DIV/0!</v>
      </c>
      <c r="Q57" s="91">
        <v>0</v>
      </c>
      <c r="R57" s="129">
        <v>0</v>
      </c>
      <c r="S57" s="91">
        <v>9.6</v>
      </c>
      <c r="T57" s="129">
        <v>4.5599999999999996</v>
      </c>
      <c r="U57" s="93">
        <v>0</v>
      </c>
      <c r="V57" s="129">
        <v>0</v>
      </c>
      <c r="W57" s="93">
        <v>4.8</v>
      </c>
      <c r="X57" s="129">
        <v>4.5599999999999996</v>
      </c>
      <c r="Y57" s="93">
        <v>0</v>
      </c>
      <c r="Z57" s="129">
        <v>-4.5599999999999996</v>
      </c>
      <c r="AA57" s="155">
        <f t="shared" si="5"/>
        <v>1.5999999999999999</v>
      </c>
      <c r="AB57" s="98">
        <f t="shared" si="5"/>
        <v>0</v>
      </c>
      <c r="AC57"/>
      <c r="AD57" s="97">
        <v>4.8</v>
      </c>
      <c r="AE57" s="92">
        <v>0</v>
      </c>
      <c r="AF57" s="98">
        <f t="shared" si="3"/>
        <v>4.8</v>
      </c>
      <c r="AG57" s="97">
        <v>0</v>
      </c>
      <c r="AH57" s="92">
        <v>0</v>
      </c>
      <c r="AI57" s="98">
        <f t="shared" si="4"/>
        <v>0</v>
      </c>
      <c r="AJ57" s="98">
        <f t="shared" si="2"/>
        <v>4.8</v>
      </c>
      <c r="AK57" s="102" t="str">
        <f>+IF(AB57+AA57+AJ57&lt;=0, "NO COMPRADOR", +IF(AJ57&lt;=0, "SIN COMPRA "&amp;+UPPER(TEXT('DINAMICA ENERO 26'!$C$2,"mmm 'yy")), "COMPRADOR"))</f>
        <v>COMPRADOR</v>
      </c>
      <c r="AL57"/>
      <c r="AM57" s="100"/>
      <c r="AN57" s="101"/>
      <c r="AO57" s="100"/>
      <c r="AP57"/>
      <c r="AQ57"/>
      <c r="AR57"/>
      <c r="AS57"/>
      <c r="AT57"/>
      <c r="AU57"/>
      <c r="AV57"/>
      <c r="AW57"/>
      <c r="AX57"/>
    </row>
    <row r="58" spans="1:50" s="100" customFormat="1">
      <c r="A58" s="88" t="s">
        <v>85</v>
      </c>
      <c r="B58" s="89" t="s">
        <v>120</v>
      </c>
      <c r="C58" s="89" t="s">
        <v>52</v>
      </c>
      <c r="D58" s="103">
        <v>100079515</v>
      </c>
      <c r="E58" s="89" t="s">
        <v>53</v>
      </c>
      <c r="F58" s="89">
        <v>100083809</v>
      </c>
      <c r="G58" s="128" t="s">
        <v>146</v>
      </c>
      <c r="H58" s="166"/>
      <c r="I58" s="92"/>
      <c r="J58" s="92"/>
      <c r="K58" s="92"/>
      <c r="L58" s="92"/>
      <c r="M58" s="94"/>
      <c r="N58" s="94"/>
      <c r="O58" s="129"/>
      <c r="P58" s="167" t="e">
        <f t="shared" si="0"/>
        <v>#DIV/0!</v>
      </c>
      <c r="Q58" s="91">
        <v>0</v>
      </c>
      <c r="R58" s="129">
        <v>0</v>
      </c>
      <c r="S58" s="91">
        <v>0</v>
      </c>
      <c r="T58" s="129">
        <v>0</v>
      </c>
      <c r="U58" s="93">
        <v>0</v>
      </c>
      <c r="V58" s="129">
        <v>0</v>
      </c>
      <c r="W58" s="93">
        <v>0</v>
      </c>
      <c r="X58" s="129">
        <v>0</v>
      </c>
      <c r="Y58" s="93">
        <v>0</v>
      </c>
      <c r="Z58" s="129">
        <v>0</v>
      </c>
      <c r="AA58" s="155">
        <f t="shared" si="5"/>
        <v>0</v>
      </c>
      <c r="AB58" s="98">
        <f t="shared" si="5"/>
        <v>0</v>
      </c>
      <c r="AC58"/>
      <c r="AD58" s="97">
        <v>0</v>
      </c>
      <c r="AE58" s="92">
        <v>0</v>
      </c>
      <c r="AF58" s="98">
        <f t="shared" si="3"/>
        <v>0</v>
      </c>
      <c r="AG58" s="97">
        <v>0</v>
      </c>
      <c r="AH58" s="92">
        <v>0</v>
      </c>
      <c r="AI58" s="98">
        <f t="shared" si="4"/>
        <v>0</v>
      </c>
      <c r="AJ58" s="98">
        <f t="shared" si="2"/>
        <v>0</v>
      </c>
      <c r="AK58" s="102" t="str">
        <f>+IF(AB58+AA58+AJ58&lt;=0, "NO COMPRADOR", +IF(AJ58&lt;=0, "SIN COMPRA "&amp;+UPPER(TEXT('DINAMICA ENERO 26'!$C$2,"mmm 'yy")), "COMPRADOR"))</f>
        <v>NO COMPRADOR</v>
      </c>
      <c r="AL58"/>
      <c r="AN58" s="101"/>
      <c r="AP58"/>
      <c r="AQ58"/>
      <c r="AR58"/>
      <c r="AS58"/>
      <c r="AT58"/>
      <c r="AU58"/>
      <c r="AV58"/>
      <c r="AW58"/>
      <c r="AX58"/>
    </row>
    <row r="59" spans="1:50" s="100" customFormat="1">
      <c r="A59" s="88" t="s">
        <v>85</v>
      </c>
      <c r="B59" s="89" t="s">
        <v>120</v>
      </c>
      <c r="C59" s="89" t="s">
        <v>52</v>
      </c>
      <c r="D59" s="103">
        <v>100079515</v>
      </c>
      <c r="E59" s="89" t="s">
        <v>53</v>
      </c>
      <c r="F59" s="89">
        <v>100082448</v>
      </c>
      <c r="G59" s="128" t="s">
        <v>147</v>
      </c>
      <c r="H59" s="166"/>
      <c r="I59" s="92"/>
      <c r="J59" s="92"/>
      <c r="K59" s="92"/>
      <c r="L59" s="92"/>
      <c r="M59" s="94"/>
      <c r="N59" s="94"/>
      <c r="O59" s="129"/>
      <c r="P59" s="167" t="e">
        <f t="shared" si="0"/>
        <v>#DIV/0!</v>
      </c>
      <c r="Q59" s="91">
        <v>0</v>
      </c>
      <c r="R59" s="129">
        <v>22.799999999999997</v>
      </c>
      <c r="S59" s="91">
        <v>4.8</v>
      </c>
      <c r="T59" s="129">
        <v>0</v>
      </c>
      <c r="U59" s="93">
        <v>0</v>
      </c>
      <c r="V59" s="129">
        <v>0</v>
      </c>
      <c r="W59" s="93">
        <v>0</v>
      </c>
      <c r="X59" s="129">
        <v>0</v>
      </c>
      <c r="Y59" s="93">
        <v>0</v>
      </c>
      <c r="Z59" s="129">
        <v>0</v>
      </c>
      <c r="AA59" s="155">
        <f t="shared" si="5"/>
        <v>0</v>
      </c>
      <c r="AB59" s="98">
        <f t="shared" si="5"/>
        <v>0</v>
      </c>
      <c r="AC59"/>
      <c r="AD59" s="97">
        <v>0</v>
      </c>
      <c r="AE59" s="92">
        <v>0</v>
      </c>
      <c r="AF59" s="98">
        <f t="shared" si="3"/>
        <v>0</v>
      </c>
      <c r="AG59" s="97">
        <v>0</v>
      </c>
      <c r="AH59" s="92">
        <v>0</v>
      </c>
      <c r="AI59" s="98">
        <f t="shared" si="4"/>
        <v>0</v>
      </c>
      <c r="AJ59" s="98">
        <f t="shared" si="2"/>
        <v>0</v>
      </c>
      <c r="AK59" s="102" t="str">
        <f>+IF(AB59+AA59+AJ59&lt;=0, "NO COMPRADOR", +IF(AJ59&lt;=0, "SIN COMPRA "&amp;+UPPER(TEXT('DINAMICA ENERO 26'!$C$2,"mmm 'yy")), "COMPRADOR"))</f>
        <v>NO COMPRADOR</v>
      </c>
      <c r="AL59"/>
      <c r="AN59" s="101"/>
      <c r="AP59"/>
      <c r="AQ59"/>
      <c r="AR59"/>
      <c r="AS59"/>
      <c r="AT59"/>
      <c r="AU59"/>
      <c r="AV59"/>
      <c r="AW59"/>
      <c r="AX59"/>
    </row>
    <row r="60" spans="1:50" s="100" customFormat="1">
      <c r="A60" s="88" t="s">
        <v>85</v>
      </c>
      <c r="B60" s="89" t="s">
        <v>120</v>
      </c>
      <c r="C60" s="89" t="s">
        <v>52</v>
      </c>
      <c r="D60" s="103">
        <v>100079515</v>
      </c>
      <c r="E60" s="89" t="s">
        <v>53</v>
      </c>
      <c r="F60" s="89">
        <v>100079845</v>
      </c>
      <c r="G60" s="128" t="s">
        <v>148</v>
      </c>
      <c r="H60" s="166"/>
      <c r="I60" s="92"/>
      <c r="J60" s="92"/>
      <c r="K60" s="92"/>
      <c r="L60" s="92"/>
      <c r="M60" s="94"/>
      <c r="N60" s="94"/>
      <c r="O60" s="129"/>
      <c r="P60" s="167" t="e">
        <f t="shared" si="0"/>
        <v>#DIV/0!</v>
      </c>
      <c r="Q60" s="91">
        <v>192</v>
      </c>
      <c r="R60" s="129">
        <v>0</v>
      </c>
      <c r="S60" s="91">
        <v>0</v>
      </c>
      <c r="T60" s="129">
        <v>4.5599999999999996</v>
      </c>
      <c r="U60" s="93">
        <v>52.8</v>
      </c>
      <c r="V60" s="129">
        <v>4.5599999999999996</v>
      </c>
      <c r="W60" s="93">
        <v>62.4</v>
      </c>
      <c r="X60" s="129">
        <v>0</v>
      </c>
      <c r="Y60" s="93">
        <v>134.4</v>
      </c>
      <c r="Z60" s="129">
        <v>0</v>
      </c>
      <c r="AA60" s="155">
        <f t="shared" si="5"/>
        <v>83.2</v>
      </c>
      <c r="AB60" s="98">
        <f t="shared" si="5"/>
        <v>1.5199999999999998</v>
      </c>
      <c r="AC60"/>
      <c r="AD60" s="97">
        <v>19.2</v>
      </c>
      <c r="AE60" s="92">
        <v>0</v>
      </c>
      <c r="AF60" s="98">
        <f t="shared" si="3"/>
        <v>19.2</v>
      </c>
      <c r="AG60" s="97">
        <v>0</v>
      </c>
      <c r="AH60" s="92">
        <v>0</v>
      </c>
      <c r="AI60" s="98">
        <f t="shared" si="4"/>
        <v>0</v>
      </c>
      <c r="AJ60" s="98">
        <f t="shared" si="2"/>
        <v>19.2</v>
      </c>
      <c r="AK60" s="102" t="str">
        <f>+IF(AB60+AA60+AJ60&lt;=0, "NO COMPRADOR", +IF(AJ60&lt;=0, "SIN COMPRA "&amp;+UPPER(TEXT('DINAMICA ENERO 26'!$C$2,"mmm 'yy")), "COMPRADOR"))</f>
        <v>COMPRADOR</v>
      </c>
      <c r="AL60"/>
      <c r="AN60" s="101"/>
      <c r="AP60"/>
      <c r="AQ60"/>
      <c r="AR60"/>
      <c r="AS60"/>
      <c r="AT60"/>
      <c r="AU60"/>
      <c r="AV60"/>
      <c r="AW60"/>
      <c r="AX60"/>
    </row>
    <row r="61" spans="1:50" s="100" customFormat="1">
      <c r="A61" s="88" t="s">
        <v>85</v>
      </c>
      <c r="B61" s="89" t="s">
        <v>120</v>
      </c>
      <c r="C61" s="89" t="s">
        <v>52</v>
      </c>
      <c r="D61" s="103">
        <v>100079515</v>
      </c>
      <c r="E61" s="89" t="s">
        <v>53</v>
      </c>
      <c r="F61" s="89">
        <v>100002289</v>
      </c>
      <c r="G61" s="128" t="s">
        <v>149</v>
      </c>
      <c r="H61" s="166"/>
      <c r="I61" s="92"/>
      <c r="J61" s="92"/>
      <c r="K61" s="92"/>
      <c r="L61" s="92"/>
      <c r="M61" s="94"/>
      <c r="N61" s="94"/>
      <c r="O61" s="129"/>
      <c r="P61" s="167" t="e">
        <f t="shared" si="0"/>
        <v>#DIV/0!</v>
      </c>
      <c r="Q61" s="91">
        <v>0</v>
      </c>
      <c r="R61" s="129">
        <v>0</v>
      </c>
      <c r="S61" s="91">
        <v>4.8</v>
      </c>
      <c r="T61" s="129">
        <v>18.239999999999998</v>
      </c>
      <c r="U61" s="93">
        <v>0</v>
      </c>
      <c r="V61" s="129">
        <v>18.239999999999998</v>
      </c>
      <c r="W61" s="93">
        <v>0</v>
      </c>
      <c r="X61" s="129">
        <v>0</v>
      </c>
      <c r="Y61" s="93">
        <v>0</v>
      </c>
      <c r="Z61" s="129">
        <v>0</v>
      </c>
      <c r="AA61" s="155">
        <f t="shared" si="5"/>
        <v>0</v>
      </c>
      <c r="AB61" s="98">
        <f t="shared" si="5"/>
        <v>6.0799999999999992</v>
      </c>
      <c r="AC61"/>
      <c r="AD61" s="97">
        <v>0</v>
      </c>
      <c r="AE61" s="92">
        <v>0</v>
      </c>
      <c r="AF61" s="98">
        <f t="shared" si="3"/>
        <v>0</v>
      </c>
      <c r="AG61" s="97">
        <v>9.1199999999999992</v>
      </c>
      <c r="AH61" s="92">
        <v>0</v>
      </c>
      <c r="AI61" s="98">
        <f t="shared" si="4"/>
        <v>9.1199999999999992</v>
      </c>
      <c r="AJ61" s="98">
        <f t="shared" si="2"/>
        <v>9.1199999999999992</v>
      </c>
      <c r="AK61" s="102" t="str">
        <f>+IF(AB61+AA61+AJ61&lt;=0, "NO COMPRADOR", +IF(AJ61&lt;=0, "SIN COMPRA "&amp;+UPPER(TEXT('DINAMICA ENERO 26'!$C$2,"mmm 'yy")), "COMPRADOR"))</f>
        <v>COMPRADOR</v>
      </c>
      <c r="AL61"/>
      <c r="AN61" s="101"/>
      <c r="AP61"/>
      <c r="AQ61"/>
      <c r="AR61"/>
      <c r="AS61"/>
      <c r="AT61"/>
      <c r="AU61"/>
      <c r="AV61"/>
      <c r="AW61"/>
      <c r="AX61"/>
    </row>
    <row r="62" spans="1:50" s="104" customFormat="1">
      <c r="A62" s="88" t="s">
        <v>85</v>
      </c>
      <c r="B62" s="89" t="s">
        <v>120</v>
      </c>
      <c r="C62" s="89" t="s">
        <v>52</v>
      </c>
      <c r="D62" s="103">
        <v>100079515</v>
      </c>
      <c r="E62" s="89" t="s">
        <v>53</v>
      </c>
      <c r="F62" s="89">
        <v>100078959</v>
      </c>
      <c r="G62" s="128" t="s">
        <v>150</v>
      </c>
      <c r="H62" s="166"/>
      <c r="I62" s="92"/>
      <c r="J62" s="92"/>
      <c r="K62" s="92"/>
      <c r="L62" s="92"/>
      <c r="M62" s="94"/>
      <c r="N62" s="94"/>
      <c r="O62" s="129"/>
      <c r="P62" s="167" t="e">
        <f t="shared" si="0"/>
        <v>#DIV/0!</v>
      </c>
      <c r="Q62" s="91">
        <v>0</v>
      </c>
      <c r="R62" s="129">
        <v>4.5599999999999996</v>
      </c>
      <c r="S62" s="91">
        <v>4.8</v>
      </c>
      <c r="T62" s="129">
        <v>4.5599999999999996</v>
      </c>
      <c r="U62" s="93">
        <v>0</v>
      </c>
      <c r="V62" s="129">
        <v>0</v>
      </c>
      <c r="W62" s="93">
        <v>0</v>
      </c>
      <c r="X62" s="129">
        <v>4.5599999999999996</v>
      </c>
      <c r="Y62" s="93">
        <v>9.6</v>
      </c>
      <c r="Z62" s="129">
        <v>4.5599999999999996</v>
      </c>
      <c r="AA62" s="155">
        <f t="shared" si="5"/>
        <v>3.1999999999999997</v>
      </c>
      <c r="AB62" s="98">
        <f t="shared" si="5"/>
        <v>3.0399999999999996</v>
      </c>
      <c r="AC62"/>
      <c r="AD62" s="97">
        <v>0</v>
      </c>
      <c r="AE62" s="92">
        <v>0</v>
      </c>
      <c r="AF62" s="98">
        <f t="shared" si="3"/>
        <v>0</v>
      </c>
      <c r="AG62" s="97">
        <v>0</v>
      </c>
      <c r="AH62" s="92">
        <v>0</v>
      </c>
      <c r="AI62" s="98">
        <f t="shared" si="4"/>
        <v>0</v>
      </c>
      <c r="AJ62" s="98">
        <f t="shared" si="2"/>
        <v>0</v>
      </c>
      <c r="AK62" s="102" t="str">
        <f>+IF(AB62+AA62+AJ62&lt;=0, "NO COMPRADOR", +IF(AJ62&lt;=0, "SIN COMPRA "&amp;+UPPER(TEXT('DINAMICA ENERO 26'!$C$2,"mmm 'yy")), "COMPRADOR"))</f>
        <v>SIN COMPRA FEB '26</v>
      </c>
      <c r="AL62"/>
      <c r="AM62" s="100"/>
      <c r="AN62" s="101"/>
      <c r="AO62" s="100"/>
      <c r="AP62"/>
      <c r="AQ62"/>
      <c r="AR62"/>
      <c r="AS62"/>
      <c r="AT62"/>
      <c r="AU62"/>
      <c r="AV62"/>
      <c r="AW62"/>
      <c r="AX62"/>
    </row>
    <row r="63" spans="1:50" s="100" customFormat="1">
      <c r="A63" s="88" t="s">
        <v>85</v>
      </c>
      <c r="B63" s="89" t="s">
        <v>120</v>
      </c>
      <c r="C63" s="89" t="s">
        <v>52</v>
      </c>
      <c r="D63" s="103">
        <v>100079515</v>
      </c>
      <c r="E63" s="89" t="s">
        <v>53</v>
      </c>
      <c r="F63" s="89">
        <v>100084977</v>
      </c>
      <c r="G63" s="128" t="s">
        <v>151</v>
      </c>
      <c r="H63" s="166"/>
      <c r="I63" s="92"/>
      <c r="J63" s="92"/>
      <c r="K63" s="92"/>
      <c r="L63" s="92"/>
      <c r="M63" s="94"/>
      <c r="N63" s="94"/>
      <c r="O63" s="129"/>
      <c r="P63" s="167" t="e">
        <f t="shared" si="0"/>
        <v>#DIV/0!</v>
      </c>
      <c r="Q63" s="91">
        <v>33.599999999999994</v>
      </c>
      <c r="R63" s="129">
        <v>36.479999999999997</v>
      </c>
      <c r="S63" s="91">
        <v>4.8000000000000007</v>
      </c>
      <c r="T63" s="129">
        <v>0</v>
      </c>
      <c r="U63" s="93">
        <v>0</v>
      </c>
      <c r="V63" s="129">
        <v>0</v>
      </c>
      <c r="W63" s="93">
        <v>0</v>
      </c>
      <c r="X63" s="129">
        <v>0</v>
      </c>
      <c r="Y63" s="93">
        <v>14.399999999999999</v>
      </c>
      <c r="Z63" s="129">
        <v>0</v>
      </c>
      <c r="AA63" s="155">
        <f t="shared" si="5"/>
        <v>4.8</v>
      </c>
      <c r="AB63" s="98">
        <f t="shared" si="5"/>
        <v>0</v>
      </c>
      <c r="AC63"/>
      <c r="AD63" s="97">
        <v>0</v>
      </c>
      <c r="AE63" s="92">
        <v>0</v>
      </c>
      <c r="AF63" s="98">
        <f t="shared" si="3"/>
        <v>0</v>
      </c>
      <c r="AG63" s="97">
        <v>0</v>
      </c>
      <c r="AH63" s="92">
        <v>0</v>
      </c>
      <c r="AI63" s="98">
        <f t="shared" si="4"/>
        <v>0</v>
      </c>
      <c r="AJ63" s="98">
        <f t="shared" si="2"/>
        <v>0</v>
      </c>
      <c r="AK63" s="102" t="str">
        <f>+IF(AB63+AA63+AJ63&lt;=0, "NO COMPRADOR", +IF(AJ63&lt;=0, "SIN COMPRA "&amp;+UPPER(TEXT('DINAMICA ENERO 26'!$C$2,"mmm 'yy")), "COMPRADOR"))</f>
        <v>SIN COMPRA FEB '26</v>
      </c>
      <c r="AL63"/>
      <c r="AN63" s="101"/>
      <c r="AP63"/>
      <c r="AQ63"/>
      <c r="AR63"/>
      <c r="AS63"/>
      <c r="AT63"/>
      <c r="AU63"/>
      <c r="AV63"/>
      <c r="AW63"/>
      <c r="AX63"/>
    </row>
    <row r="64" spans="1:50" s="100" customFormat="1">
      <c r="A64" s="88" t="s">
        <v>85</v>
      </c>
      <c r="B64" s="89" t="s">
        <v>120</v>
      </c>
      <c r="C64" s="89" t="s">
        <v>52</v>
      </c>
      <c r="D64" s="103">
        <v>100079515</v>
      </c>
      <c r="E64" s="89" t="s">
        <v>53</v>
      </c>
      <c r="F64" s="89">
        <v>100074170</v>
      </c>
      <c r="G64" s="128" t="s">
        <v>152</v>
      </c>
      <c r="H64" s="166"/>
      <c r="I64" s="92"/>
      <c r="J64" s="92"/>
      <c r="K64" s="92"/>
      <c r="L64" s="92"/>
      <c r="M64" s="94"/>
      <c r="N64" s="94"/>
      <c r="O64" s="129"/>
      <c r="P64" s="167" t="e">
        <f t="shared" si="0"/>
        <v>#DIV/0!</v>
      </c>
      <c r="Q64" s="91">
        <v>48</v>
      </c>
      <c r="R64" s="129">
        <v>45.599999999999994</v>
      </c>
      <c r="S64" s="91">
        <v>24</v>
      </c>
      <c r="T64" s="129">
        <v>0</v>
      </c>
      <c r="U64" s="93">
        <v>38.4</v>
      </c>
      <c r="V64" s="129">
        <v>59.279999999999994</v>
      </c>
      <c r="W64" s="93">
        <v>72</v>
      </c>
      <c r="X64" s="129">
        <v>45.599999999999994</v>
      </c>
      <c r="Y64" s="93">
        <v>48</v>
      </c>
      <c r="Z64" s="129">
        <v>22.799999999999997</v>
      </c>
      <c r="AA64" s="155">
        <f t="shared" si="5"/>
        <v>52.800000000000004</v>
      </c>
      <c r="AB64" s="98">
        <f t="shared" si="5"/>
        <v>42.559999999999995</v>
      </c>
      <c r="AC64"/>
      <c r="AD64" s="97">
        <v>48</v>
      </c>
      <c r="AE64" s="92">
        <v>0</v>
      </c>
      <c r="AF64" s="98">
        <f t="shared" si="3"/>
        <v>48</v>
      </c>
      <c r="AG64" s="97">
        <v>0</v>
      </c>
      <c r="AH64" s="92">
        <v>0</v>
      </c>
      <c r="AI64" s="98">
        <f t="shared" si="4"/>
        <v>0</v>
      </c>
      <c r="AJ64" s="98">
        <f t="shared" si="2"/>
        <v>48</v>
      </c>
      <c r="AK64" s="102" t="str">
        <f>+IF(AB64+AA64+AJ64&lt;=0, "NO COMPRADOR", +IF(AJ64&lt;=0, "SIN COMPRA "&amp;+UPPER(TEXT('DINAMICA ENERO 26'!$C$2,"mmm 'yy")), "COMPRADOR"))</f>
        <v>COMPRADOR</v>
      </c>
      <c r="AL64"/>
      <c r="AN64" s="101"/>
      <c r="AP64"/>
      <c r="AQ64"/>
      <c r="AR64"/>
      <c r="AS64"/>
      <c r="AT64"/>
      <c r="AU64"/>
      <c r="AV64"/>
      <c r="AW64"/>
      <c r="AX64"/>
    </row>
    <row r="65" spans="1:50" s="104" customFormat="1">
      <c r="A65" s="88" t="s">
        <v>85</v>
      </c>
      <c r="B65" s="89" t="s">
        <v>120</v>
      </c>
      <c r="C65" s="89" t="s">
        <v>52</v>
      </c>
      <c r="D65" s="103">
        <v>100079515</v>
      </c>
      <c r="E65" s="89" t="s">
        <v>53</v>
      </c>
      <c r="F65" s="89">
        <v>100087942</v>
      </c>
      <c r="G65" s="128" t="s">
        <v>153</v>
      </c>
      <c r="H65" s="166"/>
      <c r="I65" s="92"/>
      <c r="J65" s="92"/>
      <c r="K65" s="92"/>
      <c r="L65" s="92"/>
      <c r="M65" s="94"/>
      <c r="N65" s="94"/>
      <c r="O65" s="129"/>
      <c r="P65" s="167" t="e">
        <f t="shared" si="0"/>
        <v>#DIV/0!</v>
      </c>
      <c r="Q65" s="91">
        <v>0</v>
      </c>
      <c r="R65" s="129">
        <v>0</v>
      </c>
      <c r="S65" s="91">
        <v>0</v>
      </c>
      <c r="T65" s="129">
        <v>4.5599999999999996</v>
      </c>
      <c r="U65" s="93">
        <v>0</v>
      </c>
      <c r="V65" s="129">
        <v>9.1199999999999992</v>
      </c>
      <c r="W65" s="93">
        <v>4.8</v>
      </c>
      <c r="X65" s="129">
        <v>13.68</v>
      </c>
      <c r="Y65" s="93">
        <v>0</v>
      </c>
      <c r="Z65" s="129">
        <v>0</v>
      </c>
      <c r="AA65" s="155">
        <f t="shared" si="5"/>
        <v>1.5999999999999999</v>
      </c>
      <c r="AB65" s="98">
        <f t="shared" si="5"/>
        <v>7.5999999999999988</v>
      </c>
      <c r="AC65"/>
      <c r="AD65" s="97">
        <v>0</v>
      </c>
      <c r="AE65" s="92">
        <v>0</v>
      </c>
      <c r="AF65" s="98">
        <f t="shared" si="3"/>
        <v>0</v>
      </c>
      <c r="AG65" s="97">
        <v>0</v>
      </c>
      <c r="AH65" s="92">
        <v>0</v>
      </c>
      <c r="AI65" s="98">
        <f t="shared" si="4"/>
        <v>0</v>
      </c>
      <c r="AJ65" s="98">
        <f t="shared" si="2"/>
        <v>0</v>
      </c>
      <c r="AK65" s="102" t="str">
        <f>+IF(AB65+AA65+AJ65&lt;=0, "NO COMPRADOR", +IF(AJ65&lt;=0, "SIN COMPRA "&amp;+UPPER(TEXT('DINAMICA ENERO 26'!$C$2,"mmm 'yy")), "COMPRADOR"))</f>
        <v>SIN COMPRA FEB '26</v>
      </c>
      <c r="AL65"/>
      <c r="AM65" s="100"/>
      <c r="AN65" s="101"/>
      <c r="AO65" s="100"/>
      <c r="AP65"/>
      <c r="AQ65"/>
      <c r="AR65"/>
      <c r="AS65"/>
      <c r="AT65"/>
      <c r="AU65"/>
      <c r="AV65"/>
      <c r="AW65"/>
      <c r="AX65"/>
    </row>
    <row r="66" spans="1:50" s="100" customFormat="1">
      <c r="A66" s="88" t="s">
        <v>85</v>
      </c>
      <c r="B66" s="89" t="s">
        <v>120</v>
      </c>
      <c r="C66" s="89" t="s">
        <v>52</v>
      </c>
      <c r="D66" s="103">
        <v>100079515</v>
      </c>
      <c r="E66" s="89" t="s">
        <v>53</v>
      </c>
      <c r="F66" s="89">
        <v>100068357</v>
      </c>
      <c r="G66" s="128" t="s">
        <v>154</v>
      </c>
      <c r="H66" s="166"/>
      <c r="I66" s="92"/>
      <c r="J66" s="92"/>
      <c r="K66" s="92"/>
      <c r="L66" s="92"/>
      <c r="M66" s="94"/>
      <c r="N66" s="94"/>
      <c r="O66" s="129"/>
      <c r="P66" s="167" t="e">
        <f t="shared" si="0"/>
        <v>#DIV/0!</v>
      </c>
      <c r="Q66" s="91">
        <v>24</v>
      </c>
      <c r="R66" s="129">
        <v>0</v>
      </c>
      <c r="S66" s="91">
        <v>0</v>
      </c>
      <c r="T66" s="129">
        <v>27.36</v>
      </c>
      <c r="U66" s="93">
        <v>0</v>
      </c>
      <c r="V66" s="129">
        <v>0</v>
      </c>
      <c r="W66" s="93">
        <v>24</v>
      </c>
      <c r="X66" s="129">
        <v>0</v>
      </c>
      <c r="Y66" s="93">
        <v>24</v>
      </c>
      <c r="Z66" s="129">
        <v>0</v>
      </c>
      <c r="AA66" s="155">
        <f t="shared" si="5"/>
        <v>16</v>
      </c>
      <c r="AB66" s="98">
        <f t="shared" si="5"/>
        <v>0</v>
      </c>
      <c r="AC66"/>
      <c r="AD66" s="97">
        <v>0</v>
      </c>
      <c r="AE66" s="92">
        <v>0</v>
      </c>
      <c r="AF66" s="98">
        <f t="shared" si="3"/>
        <v>0</v>
      </c>
      <c r="AG66" s="97">
        <v>0</v>
      </c>
      <c r="AH66" s="92">
        <v>0</v>
      </c>
      <c r="AI66" s="98">
        <f t="shared" si="4"/>
        <v>0</v>
      </c>
      <c r="AJ66" s="98">
        <f t="shared" si="2"/>
        <v>0</v>
      </c>
      <c r="AK66" s="102" t="str">
        <f>+IF(AB66+AA66+AJ66&lt;=0, "NO COMPRADOR", +IF(AJ66&lt;=0, "SIN COMPRA "&amp;+UPPER(TEXT('DINAMICA ENERO 26'!$C$2,"mmm 'yy")), "COMPRADOR"))</f>
        <v>SIN COMPRA FEB '26</v>
      </c>
      <c r="AL66"/>
      <c r="AN66" s="101"/>
      <c r="AP66"/>
      <c r="AQ66"/>
      <c r="AR66"/>
      <c r="AS66"/>
      <c r="AT66"/>
      <c r="AU66"/>
      <c r="AV66"/>
      <c r="AW66"/>
      <c r="AX66"/>
    </row>
    <row r="67" spans="1:50" s="104" customFormat="1">
      <c r="A67" s="88" t="s">
        <v>85</v>
      </c>
      <c r="B67" s="89" t="s">
        <v>120</v>
      </c>
      <c r="C67" s="89" t="s">
        <v>52</v>
      </c>
      <c r="D67" s="103">
        <v>100079515</v>
      </c>
      <c r="E67" s="89" t="s">
        <v>53</v>
      </c>
      <c r="F67" s="89">
        <v>100001391</v>
      </c>
      <c r="G67" s="128" t="s">
        <v>155</v>
      </c>
      <c r="H67" s="166"/>
      <c r="I67" s="92"/>
      <c r="J67" s="92"/>
      <c r="K67" s="92"/>
      <c r="L67" s="92"/>
      <c r="M67" s="94"/>
      <c r="N67" s="94"/>
      <c r="O67" s="129"/>
      <c r="P67" s="167" t="e">
        <f t="shared" ref="P67:P130" si="6">+AVERAGE(L67:N67)</f>
        <v>#DIV/0!</v>
      </c>
      <c r="Q67" s="91">
        <v>153.59999999999997</v>
      </c>
      <c r="R67" s="129">
        <v>214.32000000000005</v>
      </c>
      <c r="S67" s="91">
        <v>993.59999999999764</v>
      </c>
      <c r="T67" s="129">
        <v>237.12000000000006</v>
      </c>
      <c r="U67" s="93">
        <v>139.19999999999996</v>
      </c>
      <c r="V67" s="129">
        <v>145.92000000000004</v>
      </c>
      <c r="W67" s="93">
        <v>264.00000000000011</v>
      </c>
      <c r="X67" s="129">
        <v>155.04000000000002</v>
      </c>
      <c r="Y67" s="93">
        <v>124.79999999999997</v>
      </c>
      <c r="Z67" s="129">
        <v>150.48000000000002</v>
      </c>
      <c r="AA67" s="155">
        <f t="shared" si="5"/>
        <v>176</v>
      </c>
      <c r="AB67" s="98">
        <f t="shared" si="5"/>
        <v>150.48000000000002</v>
      </c>
      <c r="AC67"/>
      <c r="AD67" s="97">
        <v>24.000000000000004</v>
      </c>
      <c r="AE67" s="92">
        <v>28.8</v>
      </c>
      <c r="AF67" s="98">
        <f t="shared" si="3"/>
        <v>52.800000000000004</v>
      </c>
      <c r="AG67" s="97">
        <v>22.799999999999997</v>
      </c>
      <c r="AH67" s="92">
        <v>13.68</v>
      </c>
      <c r="AI67" s="98">
        <f t="shared" si="4"/>
        <v>36.479999999999997</v>
      </c>
      <c r="AJ67" s="98">
        <f t="shared" ref="AJ67:AJ130" si="7">+AF67+AI67</f>
        <v>89.28</v>
      </c>
      <c r="AK67" s="102" t="str">
        <f>+IF(AB67+AA67+AJ67&lt;=0, "NO COMPRADOR", +IF(AJ67&lt;=0, "SIN COMPRA "&amp;+UPPER(TEXT('DINAMICA ENERO 26'!$C$2,"mmm 'yy")), "COMPRADOR"))</f>
        <v>COMPRADOR</v>
      </c>
      <c r="AL67"/>
      <c r="AM67" s="100"/>
      <c r="AN67" s="101"/>
      <c r="AO67" s="100"/>
      <c r="AP67"/>
      <c r="AQ67"/>
      <c r="AR67"/>
      <c r="AS67"/>
      <c r="AT67"/>
      <c r="AU67"/>
      <c r="AV67"/>
      <c r="AW67"/>
      <c r="AX67"/>
    </row>
    <row r="68" spans="1:50" s="100" customFormat="1">
      <c r="A68" s="88" t="s">
        <v>85</v>
      </c>
      <c r="B68" s="89" t="s">
        <v>120</v>
      </c>
      <c r="C68" s="89" t="s">
        <v>52</v>
      </c>
      <c r="D68" s="103">
        <v>100079515</v>
      </c>
      <c r="E68" s="89" t="s">
        <v>53</v>
      </c>
      <c r="F68" s="89">
        <v>100085149</v>
      </c>
      <c r="G68" s="128" t="s">
        <v>156</v>
      </c>
      <c r="H68" s="166"/>
      <c r="I68" s="92"/>
      <c r="J68" s="92"/>
      <c r="K68" s="92"/>
      <c r="L68" s="92"/>
      <c r="M68" s="94"/>
      <c r="N68" s="94"/>
      <c r="O68" s="129"/>
      <c r="P68" s="167" t="e">
        <f t="shared" si="6"/>
        <v>#DIV/0!</v>
      </c>
      <c r="Q68" s="91">
        <v>0</v>
      </c>
      <c r="R68" s="129">
        <v>0</v>
      </c>
      <c r="S68" s="91">
        <v>0</v>
      </c>
      <c r="T68" s="129">
        <v>0</v>
      </c>
      <c r="U68" s="93">
        <v>0</v>
      </c>
      <c r="V68" s="129">
        <v>0</v>
      </c>
      <c r="W68" s="93">
        <v>4.8</v>
      </c>
      <c r="X68" s="129">
        <v>4.5599999999999996</v>
      </c>
      <c r="Y68" s="93">
        <v>24</v>
      </c>
      <c r="Z68" s="129">
        <v>27.36</v>
      </c>
      <c r="AA68" s="155">
        <f t="shared" si="5"/>
        <v>9.6</v>
      </c>
      <c r="AB68" s="98">
        <f t="shared" si="5"/>
        <v>10.639999999999999</v>
      </c>
      <c r="AC68"/>
      <c r="AD68" s="97">
        <v>0</v>
      </c>
      <c r="AE68" s="92">
        <v>0</v>
      </c>
      <c r="AF68" s="98">
        <f t="shared" ref="AF68:AF131" si="8">+AD68+AE68</f>
        <v>0</v>
      </c>
      <c r="AG68" s="97">
        <v>0</v>
      </c>
      <c r="AH68" s="92">
        <v>0</v>
      </c>
      <c r="AI68" s="98">
        <f t="shared" ref="AI68:AI131" si="9">+AG68+AH68</f>
        <v>0</v>
      </c>
      <c r="AJ68" s="98">
        <f t="shared" si="7"/>
        <v>0</v>
      </c>
      <c r="AK68" s="102" t="str">
        <f>+IF(AB68+AA68+AJ68&lt;=0, "NO COMPRADOR", +IF(AJ68&lt;=0, "SIN COMPRA "&amp;+UPPER(TEXT('DINAMICA ENERO 26'!$C$2,"mmm 'yy")), "COMPRADOR"))</f>
        <v>SIN COMPRA FEB '26</v>
      </c>
      <c r="AL68"/>
      <c r="AN68" s="101"/>
      <c r="AP68"/>
      <c r="AQ68"/>
      <c r="AR68"/>
      <c r="AS68"/>
      <c r="AT68"/>
      <c r="AU68"/>
      <c r="AV68"/>
      <c r="AW68"/>
      <c r="AX68"/>
    </row>
    <row r="69" spans="1:50" s="100" customFormat="1">
      <c r="A69" s="88" t="s">
        <v>85</v>
      </c>
      <c r="B69" s="89" t="s">
        <v>157</v>
      </c>
      <c r="C69" s="89" t="s">
        <v>52</v>
      </c>
      <c r="D69" s="103">
        <v>100079674</v>
      </c>
      <c r="E69" s="89" t="s">
        <v>57</v>
      </c>
      <c r="F69" s="89">
        <v>100079807</v>
      </c>
      <c r="G69" s="128" t="s">
        <v>158</v>
      </c>
      <c r="H69" s="166"/>
      <c r="I69" s="92"/>
      <c r="J69" s="92"/>
      <c r="K69" s="92"/>
      <c r="L69" s="92"/>
      <c r="M69" s="94"/>
      <c r="N69" s="94"/>
      <c r="O69" s="129"/>
      <c r="P69" s="167" t="e">
        <f t="shared" si="6"/>
        <v>#DIV/0!</v>
      </c>
      <c r="Q69" s="91">
        <v>4.8</v>
      </c>
      <c r="R69" s="129">
        <v>4.5599999999999996</v>
      </c>
      <c r="S69" s="91">
        <v>4.8</v>
      </c>
      <c r="T69" s="129">
        <v>4.5599999999999996</v>
      </c>
      <c r="U69" s="93">
        <v>4.8</v>
      </c>
      <c r="V69" s="129">
        <v>4.5599999999999996</v>
      </c>
      <c r="W69" s="93">
        <v>4.8</v>
      </c>
      <c r="X69" s="129">
        <v>9.1199999999999992</v>
      </c>
      <c r="Y69" s="93">
        <v>0</v>
      </c>
      <c r="Z69" s="129">
        <v>4.5599999999999996</v>
      </c>
      <c r="AA69" s="155">
        <f t="shared" si="5"/>
        <v>3.1999999999999997</v>
      </c>
      <c r="AB69" s="98">
        <f t="shared" si="5"/>
        <v>6.0799999999999992</v>
      </c>
      <c r="AC69"/>
      <c r="AD69" s="97">
        <v>4.8</v>
      </c>
      <c r="AE69" s="92">
        <v>0</v>
      </c>
      <c r="AF69" s="98">
        <f t="shared" si="8"/>
        <v>4.8</v>
      </c>
      <c r="AG69" s="97">
        <v>0</v>
      </c>
      <c r="AH69" s="92">
        <v>0</v>
      </c>
      <c r="AI69" s="98">
        <f t="shared" si="9"/>
        <v>0</v>
      </c>
      <c r="AJ69" s="98">
        <f t="shared" si="7"/>
        <v>4.8</v>
      </c>
      <c r="AK69" s="102" t="str">
        <f>+IF(AB69+AA69+AJ69&lt;=0, "NO COMPRADOR", +IF(AJ69&lt;=0, "SIN COMPRA "&amp;+UPPER(TEXT('DINAMICA ENERO 26'!$C$2,"mmm 'yy")), "COMPRADOR"))</f>
        <v>COMPRADOR</v>
      </c>
      <c r="AL69"/>
      <c r="AN69" s="101"/>
      <c r="AP69"/>
      <c r="AQ69"/>
      <c r="AR69"/>
      <c r="AS69"/>
      <c r="AT69"/>
      <c r="AU69"/>
      <c r="AV69"/>
      <c r="AW69"/>
      <c r="AX69"/>
    </row>
    <row r="70" spans="1:50" s="100" customFormat="1">
      <c r="A70" s="88" t="s">
        <v>85</v>
      </c>
      <c r="B70" s="89" t="s">
        <v>157</v>
      </c>
      <c r="C70" s="89" t="s">
        <v>52</v>
      </c>
      <c r="D70" s="103">
        <v>100079674</v>
      </c>
      <c r="E70" s="89" t="s">
        <v>57</v>
      </c>
      <c r="F70" s="89">
        <v>100086113</v>
      </c>
      <c r="G70" s="128" t="s">
        <v>159</v>
      </c>
      <c r="H70" s="166"/>
      <c r="I70" s="92"/>
      <c r="J70" s="92"/>
      <c r="K70" s="92"/>
      <c r="L70" s="92"/>
      <c r="M70" s="94"/>
      <c r="N70" s="94"/>
      <c r="O70" s="129"/>
      <c r="P70" s="167" t="e">
        <f t="shared" si="6"/>
        <v>#DIV/0!</v>
      </c>
      <c r="Q70" s="91">
        <v>0</v>
      </c>
      <c r="R70" s="129">
        <v>0</v>
      </c>
      <c r="S70" s="91">
        <v>0</v>
      </c>
      <c r="T70" s="129">
        <v>0</v>
      </c>
      <c r="U70" s="93">
        <v>0</v>
      </c>
      <c r="V70" s="129">
        <v>0</v>
      </c>
      <c r="W70" s="93">
        <v>0</v>
      </c>
      <c r="X70" s="129">
        <v>0</v>
      </c>
      <c r="Y70" s="93">
        <v>0</v>
      </c>
      <c r="Z70" s="129">
        <v>0</v>
      </c>
      <c r="AA70" s="155">
        <f t="shared" si="5"/>
        <v>0</v>
      </c>
      <c r="AB70" s="98">
        <f t="shared" si="5"/>
        <v>0</v>
      </c>
      <c r="AC70"/>
      <c r="AD70" s="97">
        <v>0</v>
      </c>
      <c r="AE70" s="92">
        <v>0</v>
      </c>
      <c r="AF70" s="98">
        <f t="shared" si="8"/>
        <v>0</v>
      </c>
      <c r="AG70" s="97">
        <v>0</v>
      </c>
      <c r="AH70" s="92">
        <v>0</v>
      </c>
      <c r="AI70" s="98">
        <f t="shared" si="9"/>
        <v>0</v>
      </c>
      <c r="AJ70" s="98">
        <f t="shared" si="7"/>
        <v>0</v>
      </c>
      <c r="AK70" s="102" t="str">
        <f>+IF(AB70+AA70+AJ70&lt;=0, "NO COMPRADOR", +IF(AJ70&lt;=0, "SIN COMPRA "&amp;+UPPER(TEXT('DINAMICA ENERO 26'!$C$2,"mmm 'yy")), "COMPRADOR"))</f>
        <v>NO COMPRADOR</v>
      </c>
      <c r="AL70"/>
      <c r="AN70" s="101"/>
      <c r="AP70"/>
      <c r="AQ70"/>
      <c r="AR70"/>
      <c r="AS70"/>
      <c r="AT70"/>
      <c r="AU70"/>
      <c r="AV70"/>
      <c r="AW70"/>
      <c r="AX70"/>
    </row>
    <row r="71" spans="1:50" s="100" customFormat="1">
      <c r="A71" s="88" t="s">
        <v>85</v>
      </c>
      <c r="B71" s="89" t="s">
        <v>157</v>
      </c>
      <c r="C71" s="89" t="s">
        <v>52</v>
      </c>
      <c r="D71" s="103">
        <v>100079674</v>
      </c>
      <c r="E71" s="89" t="s">
        <v>57</v>
      </c>
      <c r="F71" s="89">
        <v>100086648</v>
      </c>
      <c r="G71" s="128" t="s">
        <v>160</v>
      </c>
      <c r="H71" s="166"/>
      <c r="I71" s="92"/>
      <c r="J71" s="92"/>
      <c r="K71" s="92"/>
      <c r="L71" s="92"/>
      <c r="M71" s="94"/>
      <c r="N71" s="94"/>
      <c r="O71" s="129"/>
      <c r="P71" s="167" t="e">
        <f t="shared" si="6"/>
        <v>#DIV/0!</v>
      </c>
      <c r="Q71" s="91">
        <v>4.8</v>
      </c>
      <c r="R71" s="129">
        <v>0</v>
      </c>
      <c r="S71" s="91">
        <v>0</v>
      </c>
      <c r="T71" s="129">
        <v>0</v>
      </c>
      <c r="U71" s="93">
        <v>14.399999999999999</v>
      </c>
      <c r="V71" s="129">
        <v>4.5599999999999996</v>
      </c>
      <c r="W71" s="93">
        <v>4.8</v>
      </c>
      <c r="X71" s="129">
        <v>4.5599999999999996</v>
      </c>
      <c r="Y71" s="93">
        <v>4.8</v>
      </c>
      <c r="Z71" s="129">
        <v>4.5599999999999996</v>
      </c>
      <c r="AA71" s="155">
        <f t="shared" si="5"/>
        <v>8</v>
      </c>
      <c r="AB71" s="98">
        <f t="shared" si="5"/>
        <v>4.5599999999999996</v>
      </c>
      <c r="AC71"/>
      <c r="AD71" s="97">
        <v>0</v>
      </c>
      <c r="AE71" s="92">
        <v>0</v>
      </c>
      <c r="AF71" s="98">
        <f t="shared" si="8"/>
        <v>0</v>
      </c>
      <c r="AG71" s="97">
        <v>0</v>
      </c>
      <c r="AH71" s="92">
        <v>0</v>
      </c>
      <c r="AI71" s="98">
        <f t="shared" si="9"/>
        <v>0</v>
      </c>
      <c r="AJ71" s="98">
        <f t="shared" si="7"/>
        <v>0</v>
      </c>
      <c r="AK71" s="102" t="str">
        <f>+IF(AB71+AA71+AJ71&lt;=0, "NO COMPRADOR", +IF(AJ71&lt;=0, "SIN COMPRA "&amp;+UPPER(TEXT('DINAMICA ENERO 26'!$C$2,"mmm 'yy")), "COMPRADOR"))</f>
        <v>SIN COMPRA FEB '26</v>
      </c>
      <c r="AL71"/>
      <c r="AN71" s="101"/>
      <c r="AP71"/>
      <c r="AQ71"/>
      <c r="AR71"/>
      <c r="AS71"/>
      <c r="AT71"/>
      <c r="AU71"/>
      <c r="AV71"/>
      <c r="AW71"/>
      <c r="AX71"/>
    </row>
    <row r="72" spans="1:50" s="100" customFormat="1">
      <c r="A72" s="88" t="s">
        <v>85</v>
      </c>
      <c r="B72" s="89" t="s">
        <v>157</v>
      </c>
      <c r="C72" s="89" t="s">
        <v>52</v>
      </c>
      <c r="D72" s="103">
        <v>100079674</v>
      </c>
      <c r="E72" s="89" t="s">
        <v>57</v>
      </c>
      <c r="F72" s="89">
        <v>100085802</v>
      </c>
      <c r="G72" s="128" t="s">
        <v>161</v>
      </c>
      <c r="H72" s="166"/>
      <c r="I72" s="92"/>
      <c r="J72" s="92"/>
      <c r="K72" s="92"/>
      <c r="L72" s="92"/>
      <c r="M72" s="94"/>
      <c r="N72" s="94"/>
      <c r="O72" s="129"/>
      <c r="P72" s="167" t="e">
        <f t="shared" si="6"/>
        <v>#DIV/0!</v>
      </c>
      <c r="Q72" s="91">
        <v>4.8</v>
      </c>
      <c r="R72" s="129">
        <v>4.5599999999999996</v>
      </c>
      <c r="S72" s="91">
        <v>0</v>
      </c>
      <c r="T72" s="129">
        <v>0</v>
      </c>
      <c r="U72" s="93">
        <v>14.399999999999999</v>
      </c>
      <c r="V72" s="129">
        <v>4.5599999999999996</v>
      </c>
      <c r="W72" s="93">
        <v>0</v>
      </c>
      <c r="X72" s="129">
        <v>0</v>
      </c>
      <c r="Y72" s="93">
        <v>0</v>
      </c>
      <c r="Z72" s="129">
        <v>0</v>
      </c>
      <c r="AA72" s="155">
        <f t="shared" si="5"/>
        <v>4.8</v>
      </c>
      <c r="AB72" s="98">
        <f t="shared" si="5"/>
        <v>1.5199999999999998</v>
      </c>
      <c r="AC72"/>
      <c r="AD72" s="97">
        <v>0</v>
      </c>
      <c r="AE72" s="92">
        <v>0</v>
      </c>
      <c r="AF72" s="98">
        <f t="shared" si="8"/>
        <v>0</v>
      </c>
      <c r="AG72" s="97">
        <v>0</v>
      </c>
      <c r="AH72" s="92">
        <v>0</v>
      </c>
      <c r="AI72" s="98">
        <f t="shared" si="9"/>
        <v>0</v>
      </c>
      <c r="AJ72" s="98">
        <f t="shared" si="7"/>
        <v>0</v>
      </c>
      <c r="AK72" s="102" t="str">
        <f>+IF(AB72+AA72+AJ72&lt;=0, "NO COMPRADOR", +IF(AJ72&lt;=0, "SIN COMPRA "&amp;+UPPER(TEXT('DINAMICA ENERO 26'!$C$2,"mmm 'yy")), "COMPRADOR"))</f>
        <v>SIN COMPRA FEB '26</v>
      </c>
      <c r="AL72"/>
      <c r="AN72" s="101"/>
      <c r="AP72"/>
      <c r="AQ72"/>
      <c r="AR72"/>
      <c r="AS72"/>
      <c r="AT72"/>
      <c r="AU72"/>
      <c r="AV72"/>
      <c r="AW72"/>
      <c r="AX72"/>
    </row>
    <row r="73" spans="1:50" s="100" customFormat="1">
      <c r="A73" s="88" t="s">
        <v>85</v>
      </c>
      <c r="B73" s="89" t="s">
        <v>157</v>
      </c>
      <c r="C73" s="89" t="s">
        <v>52</v>
      </c>
      <c r="D73" s="103">
        <v>100079674</v>
      </c>
      <c r="E73" s="89" t="s">
        <v>57</v>
      </c>
      <c r="F73" s="89">
        <v>100079430</v>
      </c>
      <c r="G73" s="128" t="s">
        <v>162</v>
      </c>
      <c r="H73" s="166"/>
      <c r="I73" s="92"/>
      <c r="J73" s="92"/>
      <c r="K73" s="92"/>
      <c r="L73" s="92"/>
      <c r="M73" s="94"/>
      <c r="N73" s="94"/>
      <c r="O73" s="129"/>
      <c r="P73" s="167" t="e">
        <f t="shared" si="6"/>
        <v>#DIV/0!</v>
      </c>
      <c r="Q73" s="91">
        <v>139.20000000000002</v>
      </c>
      <c r="R73" s="129">
        <v>0</v>
      </c>
      <c r="S73" s="91">
        <v>412.8</v>
      </c>
      <c r="T73" s="129">
        <v>0</v>
      </c>
      <c r="U73" s="93">
        <v>48</v>
      </c>
      <c r="V73" s="129">
        <v>0</v>
      </c>
      <c r="W73" s="93">
        <v>168</v>
      </c>
      <c r="X73" s="129">
        <v>0</v>
      </c>
      <c r="Y73" s="93">
        <v>0</v>
      </c>
      <c r="Z73" s="129">
        <v>0</v>
      </c>
      <c r="AA73" s="155">
        <f t="shared" si="5"/>
        <v>72</v>
      </c>
      <c r="AB73" s="98">
        <f t="shared" si="5"/>
        <v>0</v>
      </c>
      <c r="AC73"/>
      <c r="AD73" s="97">
        <v>72</v>
      </c>
      <c r="AE73" s="92">
        <v>0</v>
      </c>
      <c r="AF73" s="98">
        <f t="shared" si="8"/>
        <v>72</v>
      </c>
      <c r="AG73" s="97">
        <v>0</v>
      </c>
      <c r="AH73" s="92">
        <v>0</v>
      </c>
      <c r="AI73" s="98">
        <f t="shared" si="9"/>
        <v>0</v>
      </c>
      <c r="AJ73" s="98">
        <f t="shared" si="7"/>
        <v>72</v>
      </c>
      <c r="AK73" s="102" t="str">
        <f>+IF(AB73+AA73+AJ73&lt;=0, "NO COMPRADOR", +IF(AJ73&lt;=0, "SIN COMPRA "&amp;+UPPER(TEXT('DINAMICA ENERO 26'!$C$2,"mmm 'yy")), "COMPRADOR"))</f>
        <v>COMPRADOR</v>
      </c>
      <c r="AL73"/>
      <c r="AN73" s="101"/>
      <c r="AP73"/>
      <c r="AQ73"/>
      <c r="AR73"/>
      <c r="AS73"/>
      <c r="AT73"/>
      <c r="AU73"/>
      <c r="AV73"/>
      <c r="AW73"/>
      <c r="AX73"/>
    </row>
    <row r="74" spans="1:50" s="100" customFormat="1">
      <c r="A74" s="88" t="s">
        <v>85</v>
      </c>
      <c r="B74" s="89" t="s">
        <v>157</v>
      </c>
      <c r="C74" s="89" t="s">
        <v>52</v>
      </c>
      <c r="D74" s="103">
        <v>100079674</v>
      </c>
      <c r="E74" s="89" t="s">
        <v>57</v>
      </c>
      <c r="F74" s="89">
        <v>100001212</v>
      </c>
      <c r="G74" s="128" t="s">
        <v>163</v>
      </c>
      <c r="H74" s="166"/>
      <c r="I74" s="92"/>
      <c r="J74" s="92"/>
      <c r="K74" s="92"/>
      <c r="L74" s="92"/>
      <c r="M74" s="94"/>
      <c r="N74" s="94"/>
      <c r="O74" s="129"/>
      <c r="P74" s="167" t="e">
        <f t="shared" si="6"/>
        <v>#DIV/0!</v>
      </c>
      <c r="Q74" s="91">
        <v>0</v>
      </c>
      <c r="R74" s="129">
        <v>4.5599999999999996</v>
      </c>
      <c r="S74" s="91">
        <v>48</v>
      </c>
      <c r="T74" s="129">
        <v>-4.5599999999999996</v>
      </c>
      <c r="U74" s="93">
        <v>4.8</v>
      </c>
      <c r="V74" s="129">
        <v>4.5599999999999996</v>
      </c>
      <c r="W74" s="93">
        <v>9.6</v>
      </c>
      <c r="X74" s="129">
        <v>36.479999999999997</v>
      </c>
      <c r="Y74" s="93">
        <v>4.8</v>
      </c>
      <c r="Z74" s="129">
        <v>4.5599999999999996</v>
      </c>
      <c r="AA74" s="155">
        <f t="shared" si="5"/>
        <v>6.3999999999999995</v>
      </c>
      <c r="AB74" s="98">
        <f t="shared" si="5"/>
        <v>15.200000000000001</v>
      </c>
      <c r="AC74"/>
      <c r="AD74" s="97">
        <v>4.8</v>
      </c>
      <c r="AE74" s="92">
        <v>0</v>
      </c>
      <c r="AF74" s="98">
        <f t="shared" si="8"/>
        <v>4.8</v>
      </c>
      <c r="AG74" s="97">
        <v>45.599999999999994</v>
      </c>
      <c r="AH74" s="92">
        <v>0</v>
      </c>
      <c r="AI74" s="98">
        <f t="shared" si="9"/>
        <v>45.599999999999994</v>
      </c>
      <c r="AJ74" s="98">
        <f t="shared" si="7"/>
        <v>50.399999999999991</v>
      </c>
      <c r="AK74" s="102" t="str">
        <f>+IF(AB74+AA74+AJ74&lt;=0, "NO COMPRADOR", +IF(AJ74&lt;=0, "SIN COMPRA "&amp;+UPPER(TEXT('DINAMICA ENERO 26'!$C$2,"mmm 'yy")), "COMPRADOR"))</f>
        <v>COMPRADOR</v>
      </c>
      <c r="AL74"/>
      <c r="AN74" s="101"/>
      <c r="AP74"/>
      <c r="AQ74"/>
      <c r="AR74"/>
      <c r="AS74"/>
      <c r="AT74"/>
      <c r="AU74"/>
      <c r="AV74"/>
      <c r="AW74"/>
      <c r="AX74"/>
    </row>
    <row r="75" spans="1:50" s="104" customFormat="1">
      <c r="A75" s="88" t="s">
        <v>85</v>
      </c>
      <c r="B75" s="89" t="s">
        <v>157</v>
      </c>
      <c r="C75" s="89" t="s">
        <v>52</v>
      </c>
      <c r="D75" s="103">
        <v>100079674</v>
      </c>
      <c r="E75" s="89" t="s">
        <v>57</v>
      </c>
      <c r="F75" s="89">
        <v>100001259</v>
      </c>
      <c r="G75" s="128" t="s">
        <v>164</v>
      </c>
      <c r="H75" s="166"/>
      <c r="I75" s="92"/>
      <c r="J75" s="92"/>
      <c r="K75" s="92"/>
      <c r="L75" s="92"/>
      <c r="M75" s="94"/>
      <c r="N75" s="94"/>
      <c r="O75" s="129"/>
      <c r="P75" s="167" t="e">
        <f t="shared" si="6"/>
        <v>#DIV/0!</v>
      </c>
      <c r="Q75" s="91">
        <v>0</v>
      </c>
      <c r="R75" s="129">
        <v>4.5599999999999996</v>
      </c>
      <c r="S75" s="91">
        <v>0</v>
      </c>
      <c r="T75" s="129">
        <v>0</v>
      </c>
      <c r="U75" s="93">
        <v>0</v>
      </c>
      <c r="V75" s="129">
        <v>0</v>
      </c>
      <c r="W75" s="93">
        <v>0</v>
      </c>
      <c r="X75" s="129">
        <v>9.1199999999999992</v>
      </c>
      <c r="Y75" s="93">
        <v>0</v>
      </c>
      <c r="Z75" s="129">
        <v>0</v>
      </c>
      <c r="AA75" s="155">
        <f t="shared" si="5"/>
        <v>0</v>
      </c>
      <c r="AB75" s="98">
        <f t="shared" si="5"/>
        <v>3.0399999999999996</v>
      </c>
      <c r="AC75"/>
      <c r="AD75" s="97">
        <v>0</v>
      </c>
      <c r="AE75" s="92">
        <v>0</v>
      </c>
      <c r="AF75" s="98">
        <f t="shared" si="8"/>
        <v>0</v>
      </c>
      <c r="AG75" s="97">
        <v>0</v>
      </c>
      <c r="AH75" s="92">
        <v>0</v>
      </c>
      <c r="AI75" s="98">
        <f t="shared" si="9"/>
        <v>0</v>
      </c>
      <c r="AJ75" s="98">
        <f t="shared" si="7"/>
        <v>0</v>
      </c>
      <c r="AK75" s="102" t="str">
        <f>+IF(AB75+AA75+AJ75&lt;=0, "NO COMPRADOR", +IF(AJ75&lt;=0, "SIN COMPRA "&amp;+UPPER(TEXT('DINAMICA ENERO 26'!$C$2,"mmm 'yy")), "COMPRADOR"))</f>
        <v>SIN COMPRA FEB '26</v>
      </c>
      <c r="AL75"/>
      <c r="AM75" s="100"/>
      <c r="AN75" s="101"/>
      <c r="AO75" s="100"/>
      <c r="AP75"/>
      <c r="AQ75"/>
      <c r="AR75"/>
      <c r="AS75"/>
      <c r="AT75"/>
      <c r="AU75"/>
      <c r="AV75"/>
      <c r="AW75"/>
      <c r="AX75"/>
    </row>
    <row r="76" spans="1:50" s="104" customFormat="1">
      <c r="A76" s="88" t="s">
        <v>85</v>
      </c>
      <c r="B76" s="89" t="s">
        <v>157</v>
      </c>
      <c r="C76" s="89" t="s">
        <v>52</v>
      </c>
      <c r="D76" s="103">
        <v>100079674</v>
      </c>
      <c r="E76" s="89" t="s">
        <v>57</v>
      </c>
      <c r="F76" s="89">
        <v>100082864</v>
      </c>
      <c r="G76" s="128" t="s">
        <v>165</v>
      </c>
      <c r="H76" s="166"/>
      <c r="I76" s="92"/>
      <c r="J76" s="92"/>
      <c r="K76" s="92"/>
      <c r="L76" s="92"/>
      <c r="M76" s="94"/>
      <c r="N76" s="94"/>
      <c r="O76" s="129"/>
      <c r="P76" s="167" t="e">
        <f t="shared" si="6"/>
        <v>#DIV/0!</v>
      </c>
      <c r="Q76" s="91">
        <v>0</v>
      </c>
      <c r="R76" s="129">
        <v>0</v>
      </c>
      <c r="S76" s="91">
        <v>0</v>
      </c>
      <c r="T76" s="129">
        <v>4.5599999999999996</v>
      </c>
      <c r="U76" s="93">
        <v>14.399999999999999</v>
      </c>
      <c r="V76" s="129">
        <v>0</v>
      </c>
      <c r="W76" s="93">
        <v>24</v>
      </c>
      <c r="X76" s="129">
        <v>22.799999999999997</v>
      </c>
      <c r="Y76" s="93">
        <v>0</v>
      </c>
      <c r="Z76" s="129">
        <v>0</v>
      </c>
      <c r="AA76" s="155">
        <f t="shared" si="5"/>
        <v>12.799999999999999</v>
      </c>
      <c r="AB76" s="98">
        <f t="shared" si="5"/>
        <v>7.5999999999999988</v>
      </c>
      <c r="AC76"/>
      <c r="AD76" s="97">
        <v>4.8</v>
      </c>
      <c r="AE76" s="92">
        <v>0</v>
      </c>
      <c r="AF76" s="98">
        <f t="shared" si="8"/>
        <v>4.8</v>
      </c>
      <c r="AG76" s="97">
        <v>4.5599999999999996</v>
      </c>
      <c r="AH76" s="92">
        <v>0</v>
      </c>
      <c r="AI76" s="98">
        <f t="shared" si="9"/>
        <v>4.5599999999999996</v>
      </c>
      <c r="AJ76" s="98">
        <f t="shared" si="7"/>
        <v>9.36</v>
      </c>
      <c r="AK76" s="102" t="str">
        <f>+IF(AB76+AA76+AJ76&lt;=0, "NO COMPRADOR", +IF(AJ76&lt;=0, "SIN COMPRA "&amp;+UPPER(TEXT('DINAMICA ENERO 26'!$C$2,"mmm 'yy")), "COMPRADOR"))</f>
        <v>COMPRADOR</v>
      </c>
      <c r="AL76"/>
      <c r="AM76" s="100"/>
      <c r="AN76" s="101"/>
      <c r="AO76" s="100"/>
      <c r="AP76"/>
      <c r="AQ76"/>
      <c r="AR76"/>
      <c r="AS76"/>
      <c r="AT76"/>
      <c r="AU76"/>
      <c r="AV76"/>
      <c r="AW76"/>
      <c r="AX76"/>
    </row>
    <row r="77" spans="1:50" s="104" customFormat="1">
      <c r="A77" s="88" t="s">
        <v>85</v>
      </c>
      <c r="B77" s="89" t="s">
        <v>157</v>
      </c>
      <c r="C77" s="89" t="s">
        <v>52</v>
      </c>
      <c r="D77" s="103">
        <v>100079674</v>
      </c>
      <c r="E77" s="89" t="s">
        <v>57</v>
      </c>
      <c r="F77" s="89">
        <v>100073859</v>
      </c>
      <c r="G77" s="128" t="s">
        <v>166</v>
      </c>
      <c r="H77" s="166"/>
      <c r="I77" s="92"/>
      <c r="J77" s="92"/>
      <c r="K77" s="92"/>
      <c r="L77" s="92"/>
      <c r="M77" s="94"/>
      <c r="N77" s="94"/>
      <c r="O77" s="129"/>
      <c r="P77" s="167" t="e">
        <f t="shared" si="6"/>
        <v>#DIV/0!</v>
      </c>
      <c r="Q77" s="91">
        <v>96</v>
      </c>
      <c r="R77" s="129">
        <v>4.5599999999999996</v>
      </c>
      <c r="S77" s="91">
        <v>4.8</v>
      </c>
      <c r="T77" s="129">
        <v>4.5599999999999996</v>
      </c>
      <c r="U77" s="93">
        <v>28.8</v>
      </c>
      <c r="V77" s="129">
        <v>4.5599999999999996</v>
      </c>
      <c r="W77" s="93">
        <v>33.6</v>
      </c>
      <c r="X77" s="129">
        <v>18.239999999999998</v>
      </c>
      <c r="Y77" s="93">
        <v>24</v>
      </c>
      <c r="Z77" s="129">
        <v>0</v>
      </c>
      <c r="AA77" s="155">
        <f t="shared" si="5"/>
        <v>28.8</v>
      </c>
      <c r="AB77" s="98">
        <f t="shared" si="5"/>
        <v>7.5999999999999988</v>
      </c>
      <c r="AC77"/>
      <c r="AD77" s="97">
        <v>43.199999999999996</v>
      </c>
      <c r="AE77" s="92">
        <v>0</v>
      </c>
      <c r="AF77" s="98">
        <f t="shared" si="8"/>
        <v>43.199999999999996</v>
      </c>
      <c r="AG77" s="97">
        <v>0</v>
      </c>
      <c r="AH77" s="92">
        <v>0</v>
      </c>
      <c r="AI77" s="98">
        <f t="shared" si="9"/>
        <v>0</v>
      </c>
      <c r="AJ77" s="98">
        <f t="shared" si="7"/>
        <v>43.199999999999996</v>
      </c>
      <c r="AK77" s="102" t="str">
        <f>+IF(AB77+AA77+AJ77&lt;=0, "NO COMPRADOR", +IF(AJ77&lt;=0, "SIN COMPRA "&amp;+UPPER(TEXT('DINAMICA ENERO 26'!$C$2,"mmm 'yy")), "COMPRADOR"))</f>
        <v>COMPRADOR</v>
      </c>
      <c r="AL77"/>
      <c r="AM77" s="100"/>
      <c r="AN77" s="101"/>
      <c r="AO77" s="100"/>
      <c r="AP77"/>
      <c r="AQ77"/>
      <c r="AR77"/>
      <c r="AS77"/>
      <c r="AT77"/>
      <c r="AU77"/>
      <c r="AV77"/>
      <c r="AW77"/>
      <c r="AX77"/>
    </row>
    <row r="78" spans="1:50" s="104" customFormat="1">
      <c r="A78" s="88" t="s">
        <v>85</v>
      </c>
      <c r="B78" s="89" t="s">
        <v>157</v>
      </c>
      <c r="C78" s="89" t="s">
        <v>52</v>
      </c>
      <c r="D78" s="103">
        <v>100079674</v>
      </c>
      <c r="E78" s="89" t="s">
        <v>57</v>
      </c>
      <c r="F78" s="89">
        <v>100001941</v>
      </c>
      <c r="G78" s="128" t="s">
        <v>167</v>
      </c>
      <c r="H78" s="166"/>
      <c r="I78" s="92"/>
      <c r="J78" s="92"/>
      <c r="K78" s="92"/>
      <c r="L78" s="92"/>
      <c r="M78" s="94"/>
      <c r="N78" s="94"/>
      <c r="O78" s="129"/>
      <c r="P78" s="167" t="e">
        <f t="shared" si="6"/>
        <v>#DIV/0!</v>
      </c>
      <c r="Q78" s="91">
        <v>9.6</v>
      </c>
      <c r="R78" s="129">
        <v>4.5599999999999996</v>
      </c>
      <c r="S78" s="91">
        <v>9.6</v>
      </c>
      <c r="T78" s="129">
        <v>0</v>
      </c>
      <c r="U78" s="93">
        <v>9.6</v>
      </c>
      <c r="V78" s="129">
        <v>0</v>
      </c>
      <c r="W78" s="93">
        <v>9.6</v>
      </c>
      <c r="X78" s="129">
        <v>9.1199999999999992</v>
      </c>
      <c r="Y78" s="93">
        <v>4.8</v>
      </c>
      <c r="Z78" s="129">
        <v>4.5599999999999996</v>
      </c>
      <c r="AA78" s="155">
        <f t="shared" si="5"/>
        <v>8</v>
      </c>
      <c r="AB78" s="98">
        <f t="shared" si="5"/>
        <v>4.5599999999999996</v>
      </c>
      <c r="AC78"/>
      <c r="AD78" s="97">
        <v>0</v>
      </c>
      <c r="AE78" s="92">
        <v>0</v>
      </c>
      <c r="AF78" s="98">
        <f t="shared" si="8"/>
        <v>0</v>
      </c>
      <c r="AG78" s="97">
        <v>0</v>
      </c>
      <c r="AH78" s="92">
        <v>0</v>
      </c>
      <c r="AI78" s="98">
        <f t="shared" si="9"/>
        <v>0</v>
      </c>
      <c r="AJ78" s="98">
        <f t="shared" si="7"/>
        <v>0</v>
      </c>
      <c r="AK78" s="102" t="str">
        <f>+IF(AB78+AA78+AJ78&lt;=0, "NO COMPRADOR", +IF(AJ78&lt;=0, "SIN COMPRA "&amp;+UPPER(TEXT('DINAMICA ENERO 26'!$C$2,"mmm 'yy")), "COMPRADOR"))</f>
        <v>SIN COMPRA FEB '26</v>
      </c>
      <c r="AL78"/>
      <c r="AM78" s="100"/>
      <c r="AN78" s="101"/>
      <c r="AO78" s="100"/>
      <c r="AP78"/>
      <c r="AQ78"/>
      <c r="AR78"/>
      <c r="AS78"/>
      <c r="AT78"/>
      <c r="AU78"/>
      <c r="AV78"/>
      <c r="AW78"/>
      <c r="AX78"/>
    </row>
    <row r="79" spans="1:50" s="104" customFormat="1">
      <c r="A79" s="88" t="s">
        <v>85</v>
      </c>
      <c r="B79" s="89" t="s">
        <v>157</v>
      </c>
      <c r="C79" s="89" t="s">
        <v>52</v>
      </c>
      <c r="D79" s="103">
        <v>100079674</v>
      </c>
      <c r="E79" s="89" t="s">
        <v>57</v>
      </c>
      <c r="F79" s="89">
        <v>100005864</v>
      </c>
      <c r="G79" s="128" t="s">
        <v>168</v>
      </c>
      <c r="H79" s="166"/>
      <c r="I79" s="92"/>
      <c r="J79" s="92"/>
      <c r="K79" s="92"/>
      <c r="L79" s="92"/>
      <c r="M79" s="94"/>
      <c r="N79" s="94"/>
      <c r="O79" s="129"/>
      <c r="P79" s="167" t="e">
        <f t="shared" si="6"/>
        <v>#DIV/0!</v>
      </c>
      <c r="Q79" s="91">
        <v>0</v>
      </c>
      <c r="R79" s="129">
        <v>0</v>
      </c>
      <c r="S79" s="91">
        <v>4.8</v>
      </c>
      <c r="T79" s="129">
        <v>4.5599999999999996</v>
      </c>
      <c r="U79" s="93">
        <v>9.6</v>
      </c>
      <c r="V79" s="129">
        <v>4.5599999999999996</v>
      </c>
      <c r="W79" s="93">
        <v>0</v>
      </c>
      <c r="X79" s="129">
        <v>0</v>
      </c>
      <c r="Y79" s="93">
        <v>0</v>
      </c>
      <c r="Z79" s="129">
        <v>0</v>
      </c>
      <c r="AA79" s="155">
        <f t="shared" si="5"/>
        <v>3.1999999999999997</v>
      </c>
      <c r="AB79" s="98">
        <f t="shared" si="5"/>
        <v>1.5199999999999998</v>
      </c>
      <c r="AC79"/>
      <c r="AD79" s="97">
        <v>0</v>
      </c>
      <c r="AE79" s="92">
        <v>0</v>
      </c>
      <c r="AF79" s="98">
        <f t="shared" si="8"/>
        <v>0</v>
      </c>
      <c r="AG79" s="97">
        <v>0</v>
      </c>
      <c r="AH79" s="92">
        <v>0</v>
      </c>
      <c r="AI79" s="98">
        <f t="shared" si="9"/>
        <v>0</v>
      </c>
      <c r="AJ79" s="98">
        <f t="shared" si="7"/>
        <v>0</v>
      </c>
      <c r="AK79" s="102" t="str">
        <f>+IF(AB79+AA79+AJ79&lt;=0, "NO COMPRADOR", +IF(AJ79&lt;=0, "SIN COMPRA "&amp;+UPPER(TEXT('DINAMICA ENERO 26'!$C$2,"mmm 'yy")), "COMPRADOR"))</f>
        <v>SIN COMPRA FEB '26</v>
      </c>
      <c r="AL79"/>
      <c r="AM79" s="100"/>
      <c r="AN79" s="101"/>
      <c r="AO79" s="100"/>
      <c r="AP79"/>
      <c r="AQ79"/>
      <c r="AR79"/>
      <c r="AS79"/>
      <c r="AT79"/>
      <c r="AU79"/>
      <c r="AV79"/>
      <c r="AW79"/>
      <c r="AX79"/>
    </row>
    <row r="80" spans="1:50" s="100" customFormat="1">
      <c r="A80" s="88" t="s">
        <v>85</v>
      </c>
      <c r="B80" s="89" t="s">
        <v>157</v>
      </c>
      <c r="C80" s="89" t="s">
        <v>52</v>
      </c>
      <c r="D80" s="103">
        <v>100079674</v>
      </c>
      <c r="E80" s="89" t="s">
        <v>57</v>
      </c>
      <c r="F80" s="89">
        <v>100009067</v>
      </c>
      <c r="G80" s="128" t="s">
        <v>169</v>
      </c>
      <c r="H80" s="166"/>
      <c r="I80" s="92"/>
      <c r="J80" s="92"/>
      <c r="K80" s="92"/>
      <c r="L80" s="92"/>
      <c r="M80" s="94"/>
      <c r="N80" s="94"/>
      <c r="O80" s="129"/>
      <c r="P80" s="167" t="e">
        <f t="shared" si="6"/>
        <v>#DIV/0!</v>
      </c>
      <c r="Q80" s="91">
        <v>110.4</v>
      </c>
      <c r="R80" s="129">
        <v>36.479999999999997</v>
      </c>
      <c r="S80" s="91">
        <v>72</v>
      </c>
      <c r="T80" s="129">
        <v>27.36</v>
      </c>
      <c r="U80" s="93">
        <v>19.2</v>
      </c>
      <c r="V80" s="129">
        <v>27.36</v>
      </c>
      <c r="W80" s="93">
        <v>0</v>
      </c>
      <c r="X80" s="129">
        <v>0</v>
      </c>
      <c r="Y80" s="93">
        <v>19.2</v>
      </c>
      <c r="Z80" s="129">
        <v>36.479999999999997</v>
      </c>
      <c r="AA80" s="155">
        <f t="shared" si="5"/>
        <v>12.799999999999999</v>
      </c>
      <c r="AB80" s="98">
        <f t="shared" si="5"/>
        <v>21.279999999999998</v>
      </c>
      <c r="AC80"/>
      <c r="AD80" s="97">
        <v>0</v>
      </c>
      <c r="AE80" s="92">
        <v>0</v>
      </c>
      <c r="AF80" s="98">
        <f t="shared" si="8"/>
        <v>0</v>
      </c>
      <c r="AG80" s="97">
        <v>45.599999999999994</v>
      </c>
      <c r="AH80" s="92">
        <v>0</v>
      </c>
      <c r="AI80" s="98">
        <f t="shared" si="9"/>
        <v>45.599999999999994</v>
      </c>
      <c r="AJ80" s="98">
        <f t="shared" si="7"/>
        <v>45.599999999999994</v>
      </c>
      <c r="AK80" s="102" t="str">
        <f>+IF(AB80+AA80+AJ80&lt;=0, "NO COMPRADOR", +IF(AJ80&lt;=0, "SIN COMPRA "&amp;+UPPER(TEXT('DINAMICA ENERO 26'!$C$2,"mmm 'yy")), "COMPRADOR"))</f>
        <v>COMPRADOR</v>
      </c>
      <c r="AL80"/>
      <c r="AN80" s="101"/>
      <c r="AP80"/>
      <c r="AQ80"/>
      <c r="AR80"/>
      <c r="AS80"/>
      <c r="AT80"/>
      <c r="AU80"/>
      <c r="AV80"/>
      <c r="AW80"/>
      <c r="AX80"/>
    </row>
    <row r="81" spans="1:50" s="104" customFormat="1">
      <c r="A81" s="88" t="s">
        <v>85</v>
      </c>
      <c r="B81" s="89" t="s">
        <v>157</v>
      </c>
      <c r="C81" s="89" t="s">
        <v>52</v>
      </c>
      <c r="D81" s="103">
        <v>100079674</v>
      </c>
      <c r="E81" s="89" t="s">
        <v>57</v>
      </c>
      <c r="F81" s="89">
        <v>100059556</v>
      </c>
      <c r="G81" s="128" t="s">
        <v>170</v>
      </c>
      <c r="H81" s="166"/>
      <c r="I81" s="92"/>
      <c r="J81" s="92"/>
      <c r="K81" s="92"/>
      <c r="L81" s="92"/>
      <c r="M81" s="94"/>
      <c r="N81" s="94"/>
      <c r="O81" s="129"/>
      <c r="P81" s="167" t="e">
        <f t="shared" si="6"/>
        <v>#DIV/0!</v>
      </c>
      <c r="Q81" s="91">
        <v>0</v>
      </c>
      <c r="R81" s="129">
        <v>0</v>
      </c>
      <c r="S81" s="91">
        <v>0</v>
      </c>
      <c r="T81" s="129">
        <v>0</v>
      </c>
      <c r="U81" s="93">
        <v>0</v>
      </c>
      <c r="V81" s="129">
        <v>0</v>
      </c>
      <c r="W81" s="93">
        <v>0</v>
      </c>
      <c r="X81" s="129">
        <v>0</v>
      </c>
      <c r="Y81" s="93">
        <v>0</v>
      </c>
      <c r="Z81" s="129">
        <v>0</v>
      </c>
      <c r="AA81" s="155">
        <f t="shared" si="5"/>
        <v>0</v>
      </c>
      <c r="AB81" s="98">
        <f t="shared" si="5"/>
        <v>0</v>
      </c>
      <c r="AC81"/>
      <c r="AD81" s="97">
        <v>0</v>
      </c>
      <c r="AE81" s="92">
        <v>0</v>
      </c>
      <c r="AF81" s="98">
        <f t="shared" si="8"/>
        <v>0</v>
      </c>
      <c r="AG81" s="97">
        <v>0</v>
      </c>
      <c r="AH81" s="92">
        <v>0</v>
      </c>
      <c r="AI81" s="98">
        <f t="shared" si="9"/>
        <v>0</v>
      </c>
      <c r="AJ81" s="98">
        <f t="shared" si="7"/>
        <v>0</v>
      </c>
      <c r="AK81" s="102" t="str">
        <f>+IF(AB81+AA81+AJ81&lt;=0, "NO COMPRADOR", +IF(AJ81&lt;=0, "SIN COMPRA "&amp;+UPPER(TEXT('DINAMICA ENERO 26'!$C$2,"mmm 'yy")), "COMPRADOR"))</f>
        <v>NO COMPRADOR</v>
      </c>
      <c r="AL81"/>
      <c r="AM81" s="100"/>
      <c r="AN81" s="101"/>
      <c r="AO81" s="100"/>
      <c r="AP81"/>
      <c r="AQ81"/>
      <c r="AR81"/>
      <c r="AS81"/>
      <c r="AT81"/>
      <c r="AU81"/>
      <c r="AV81"/>
      <c r="AW81"/>
      <c r="AX81"/>
    </row>
    <row r="82" spans="1:50" s="104" customFormat="1">
      <c r="A82" s="88" t="s">
        <v>85</v>
      </c>
      <c r="B82" s="89" t="s">
        <v>157</v>
      </c>
      <c r="C82" s="89" t="s">
        <v>52</v>
      </c>
      <c r="D82" s="103">
        <v>100079674</v>
      </c>
      <c r="E82" s="89" t="s">
        <v>57</v>
      </c>
      <c r="F82" s="89">
        <v>100082635</v>
      </c>
      <c r="G82" s="128" t="s">
        <v>171</v>
      </c>
      <c r="H82" s="166"/>
      <c r="I82" s="92"/>
      <c r="J82" s="92"/>
      <c r="K82" s="92"/>
      <c r="L82" s="92"/>
      <c r="M82" s="94"/>
      <c r="N82" s="94"/>
      <c r="O82" s="129"/>
      <c r="P82" s="167" t="e">
        <f t="shared" si="6"/>
        <v>#DIV/0!</v>
      </c>
      <c r="Q82" s="91">
        <v>9.6</v>
      </c>
      <c r="R82" s="129">
        <v>0</v>
      </c>
      <c r="S82" s="91">
        <v>9.6</v>
      </c>
      <c r="T82" s="129">
        <v>4.5599999999999996</v>
      </c>
      <c r="U82" s="93">
        <v>0</v>
      </c>
      <c r="V82" s="129">
        <v>0</v>
      </c>
      <c r="W82" s="93">
        <v>4.8</v>
      </c>
      <c r="X82" s="129">
        <v>4.5599999999999996</v>
      </c>
      <c r="Y82" s="93">
        <v>9.6</v>
      </c>
      <c r="Z82" s="129">
        <v>4.5599999999999996</v>
      </c>
      <c r="AA82" s="155">
        <f t="shared" ref="AA82:AB145" si="10">+AVERAGE(U82,W82,Y82)</f>
        <v>4.8</v>
      </c>
      <c r="AB82" s="98">
        <f t="shared" si="10"/>
        <v>3.0399999999999996</v>
      </c>
      <c r="AC82"/>
      <c r="AD82" s="97">
        <v>0</v>
      </c>
      <c r="AE82" s="92">
        <v>0</v>
      </c>
      <c r="AF82" s="98">
        <f t="shared" si="8"/>
        <v>0</v>
      </c>
      <c r="AG82" s="97">
        <v>0</v>
      </c>
      <c r="AH82" s="92">
        <v>4.5599999999999996</v>
      </c>
      <c r="AI82" s="98">
        <f t="shared" si="9"/>
        <v>4.5599999999999996</v>
      </c>
      <c r="AJ82" s="98">
        <f t="shared" si="7"/>
        <v>4.5599999999999996</v>
      </c>
      <c r="AK82" s="102" t="str">
        <f>+IF(AB82+AA82+AJ82&lt;=0, "NO COMPRADOR", +IF(AJ82&lt;=0, "SIN COMPRA "&amp;+UPPER(TEXT('DINAMICA ENERO 26'!$C$2,"mmm 'yy")), "COMPRADOR"))</f>
        <v>COMPRADOR</v>
      </c>
      <c r="AL82"/>
      <c r="AM82" s="100"/>
      <c r="AN82" s="101"/>
      <c r="AO82" s="100"/>
      <c r="AP82"/>
      <c r="AQ82"/>
      <c r="AR82"/>
      <c r="AS82"/>
      <c r="AT82"/>
      <c r="AU82"/>
      <c r="AV82"/>
      <c r="AW82"/>
      <c r="AX82"/>
    </row>
    <row r="83" spans="1:50" s="104" customFormat="1">
      <c r="A83" s="88" t="s">
        <v>85</v>
      </c>
      <c r="B83" s="89" t="s">
        <v>157</v>
      </c>
      <c r="C83" s="89" t="s">
        <v>52</v>
      </c>
      <c r="D83" s="103">
        <v>100079674</v>
      </c>
      <c r="E83" s="89" t="s">
        <v>57</v>
      </c>
      <c r="F83" s="89">
        <v>100087436</v>
      </c>
      <c r="G83" s="128" t="s">
        <v>172</v>
      </c>
      <c r="H83" s="166"/>
      <c r="I83" s="92"/>
      <c r="J83" s="92"/>
      <c r="K83" s="92"/>
      <c r="L83" s="92"/>
      <c r="M83" s="94"/>
      <c r="N83" s="94"/>
      <c r="O83" s="129"/>
      <c r="P83" s="167" t="e">
        <f t="shared" si="6"/>
        <v>#DIV/0!</v>
      </c>
      <c r="Q83" s="91">
        <v>0</v>
      </c>
      <c r="R83" s="129">
        <v>0</v>
      </c>
      <c r="S83" s="91">
        <v>4.8</v>
      </c>
      <c r="T83" s="129">
        <v>0</v>
      </c>
      <c r="U83" s="93">
        <v>4.8</v>
      </c>
      <c r="V83" s="129">
        <v>4.5599999999999996</v>
      </c>
      <c r="W83" s="93">
        <v>14.399999999999999</v>
      </c>
      <c r="X83" s="129">
        <v>13.68</v>
      </c>
      <c r="Y83" s="93">
        <v>4.8</v>
      </c>
      <c r="Z83" s="129">
        <v>9.1199999999999992</v>
      </c>
      <c r="AA83" s="155">
        <f t="shared" si="10"/>
        <v>8</v>
      </c>
      <c r="AB83" s="98">
        <f t="shared" si="10"/>
        <v>9.1199999999999992</v>
      </c>
      <c r="AC83"/>
      <c r="AD83" s="97">
        <v>0</v>
      </c>
      <c r="AE83" s="92">
        <v>0</v>
      </c>
      <c r="AF83" s="98">
        <f t="shared" si="8"/>
        <v>0</v>
      </c>
      <c r="AG83" s="97">
        <v>9.1199999999999992</v>
      </c>
      <c r="AH83" s="92">
        <v>0</v>
      </c>
      <c r="AI83" s="98">
        <f t="shared" si="9"/>
        <v>9.1199999999999992</v>
      </c>
      <c r="AJ83" s="98">
        <f t="shared" si="7"/>
        <v>9.1199999999999992</v>
      </c>
      <c r="AK83" s="102" t="str">
        <f>+IF(AB83+AA83+AJ83&lt;=0, "NO COMPRADOR", +IF(AJ83&lt;=0, "SIN COMPRA "&amp;+UPPER(TEXT('DINAMICA ENERO 26'!$C$2,"mmm 'yy")), "COMPRADOR"))</f>
        <v>COMPRADOR</v>
      </c>
      <c r="AL83"/>
      <c r="AM83" s="100"/>
      <c r="AN83" s="101"/>
      <c r="AO83" s="100"/>
      <c r="AP83"/>
      <c r="AQ83"/>
      <c r="AR83"/>
      <c r="AS83"/>
      <c r="AT83"/>
      <c r="AU83"/>
      <c r="AV83"/>
      <c r="AW83"/>
      <c r="AX83"/>
    </row>
    <row r="84" spans="1:50" s="100" customFormat="1">
      <c r="A84" s="88" t="s">
        <v>85</v>
      </c>
      <c r="B84" s="89" t="s">
        <v>157</v>
      </c>
      <c r="C84" s="89" t="s">
        <v>52</v>
      </c>
      <c r="D84" s="103">
        <v>100079674</v>
      </c>
      <c r="E84" s="89" t="s">
        <v>57</v>
      </c>
      <c r="F84" s="89">
        <v>100072236</v>
      </c>
      <c r="G84" s="128" t="s">
        <v>173</v>
      </c>
      <c r="H84" s="166"/>
      <c r="I84" s="92"/>
      <c r="J84" s="92"/>
      <c r="K84" s="92"/>
      <c r="L84" s="92"/>
      <c r="M84" s="94"/>
      <c r="N84" s="94"/>
      <c r="O84" s="129"/>
      <c r="P84" s="167" t="e">
        <f t="shared" si="6"/>
        <v>#DIV/0!</v>
      </c>
      <c r="Q84" s="91">
        <v>158.4</v>
      </c>
      <c r="R84" s="129">
        <v>22.799999999999997</v>
      </c>
      <c r="S84" s="91">
        <v>86.4</v>
      </c>
      <c r="T84" s="129">
        <v>18.239999999999998</v>
      </c>
      <c r="U84" s="93">
        <v>96</v>
      </c>
      <c r="V84" s="129">
        <v>4.5599999999999996</v>
      </c>
      <c r="W84" s="93">
        <v>81.599999999999994</v>
      </c>
      <c r="X84" s="129">
        <v>18.239999999999998</v>
      </c>
      <c r="Y84" s="93">
        <v>124.8</v>
      </c>
      <c r="Z84" s="129">
        <v>27.359999999999996</v>
      </c>
      <c r="AA84" s="155">
        <f t="shared" si="10"/>
        <v>100.8</v>
      </c>
      <c r="AB84" s="98">
        <f t="shared" si="10"/>
        <v>16.72</v>
      </c>
      <c r="AC84"/>
      <c r="AD84" s="97">
        <v>38.4</v>
      </c>
      <c r="AE84" s="92">
        <v>0</v>
      </c>
      <c r="AF84" s="98">
        <f t="shared" si="8"/>
        <v>38.4</v>
      </c>
      <c r="AG84" s="97">
        <v>4.5599999999999996</v>
      </c>
      <c r="AH84" s="92">
        <v>0</v>
      </c>
      <c r="AI84" s="98">
        <f t="shared" si="9"/>
        <v>4.5599999999999996</v>
      </c>
      <c r="AJ84" s="98">
        <f t="shared" si="7"/>
        <v>42.96</v>
      </c>
      <c r="AK84" s="102" t="str">
        <f>+IF(AB84+AA84+AJ84&lt;=0, "NO COMPRADOR", +IF(AJ84&lt;=0, "SIN COMPRA "&amp;+UPPER(TEXT('DINAMICA ENERO 26'!$C$2,"mmm 'yy")), "COMPRADOR"))</f>
        <v>COMPRADOR</v>
      </c>
      <c r="AL84"/>
      <c r="AN84" s="101"/>
      <c r="AP84"/>
      <c r="AQ84"/>
      <c r="AR84"/>
      <c r="AS84"/>
      <c r="AT84"/>
      <c r="AU84"/>
      <c r="AV84"/>
      <c r="AW84"/>
      <c r="AX84"/>
    </row>
    <row r="85" spans="1:50" s="100" customFormat="1">
      <c r="A85" s="88" t="s">
        <v>85</v>
      </c>
      <c r="B85" s="89" t="s">
        <v>157</v>
      </c>
      <c r="C85" s="89" t="s">
        <v>52</v>
      </c>
      <c r="D85" s="103">
        <v>100079674</v>
      </c>
      <c r="E85" s="89" t="s">
        <v>57</v>
      </c>
      <c r="F85" s="89">
        <v>100087960</v>
      </c>
      <c r="G85" s="128" t="s">
        <v>174</v>
      </c>
      <c r="H85" s="166"/>
      <c r="I85" s="92"/>
      <c r="J85" s="92"/>
      <c r="K85" s="92"/>
      <c r="L85" s="92"/>
      <c r="M85" s="94"/>
      <c r="N85" s="94"/>
      <c r="O85" s="129"/>
      <c r="P85" s="167" t="e">
        <f t="shared" si="6"/>
        <v>#DIV/0!</v>
      </c>
      <c r="Q85" s="91">
        <v>96</v>
      </c>
      <c r="R85" s="129">
        <v>0</v>
      </c>
      <c r="S85" s="91">
        <v>0</v>
      </c>
      <c r="T85" s="129">
        <v>0</v>
      </c>
      <c r="U85" s="93">
        <v>24</v>
      </c>
      <c r="V85" s="129">
        <v>4.5599999999999996</v>
      </c>
      <c r="W85" s="93">
        <v>0</v>
      </c>
      <c r="X85" s="129">
        <v>0</v>
      </c>
      <c r="Y85" s="93">
        <v>0</v>
      </c>
      <c r="Z85" s="129">
        <v>0</v>
      </c>
      <c r="AA85" s="155">
        <f t="shared" si="10"/>
        <v>8</v>
      </c>
      <c r="AB85" s="98">
        <f t="shared" si="10"/>
        <v>1.5199999999999998</v>
      </c>
      <c r="AC85"/>
      <c r="AD85" s="97">
        <v>14.399999999999999</v>
      </c>
      <c r="AE85" s="92">
        <v>0</v>
      </c>
      <c r="AF85" s="98">
        <f t="shared" si="8"/>
        <v>14.399999999999999</v>
      </c>
      <c r="AG85" s="97">
        <v>0</v>
      </c>
      <c r="AH85" s="92">
        <v>0</v>
      </c>
      <c r="AI85" s="98">
        <f t="shared" si="9"/>
        <v>0</v>
      </c>
      <c r="AJ85" s="98">
        <f t="shared" si="7"/>
        <v>14.399999999999999</v>
      </c>
      <c r="AK85" s="102" t="str">
        <f>+IF(AB85+AA85+AJ85&lt;=0, "NO COMPRADOR", +IF(AJ85&lt;=0, "SIN COMPRA "&amp;+UPPER(TEXT('DINAMICA ENERO 26'!$C$2,"mmm 'yy")), "COMPRADOR"))</f>
        <v>COMPRADOR</v>
      </c>
      <c r="AL85"/>
      <c r="AN85" s="101"/>
      <c r="AP85"/>
      <c r="AQ85"/>
      <c r="AR85"/>
      <c r="AS85"/>
      <c r="AT85"/>
      <c r="AU85"/>
      <c r="AV85"/>
      <c r="AW85"/>
      <c r="AX85"/>
    </row>
    <row r="86" spans="1:50" s="104" customFormat="1">
      <c r="A86" s="88" t="s">
        <v>85</v>
      </c>
      <c r="B86" s="89" t="s">
        <v>157</v>
      </c>
      <c r="C86" s="89" t="s">
        <v>52</v>
      </c>
      <c r="D86" s="103">
        <v>100079674</v>
      </c>
      <c r="E86" s="89" t="s">
        <v>57</v>
      </c>
      <c r="F86" s="89">
        <v>100080270</v>
      </c>
      <c r="G86" s="128" t="s">
        <v>175</v>
      </c>
      <c r="H86" s="166"/>
      <c r="I86" s="92"/>
      <c r="J86" s="92"/>
      <c r="K86" s="92"/>
      <c r="L86" s="92"/>
      <c r="M86" s="94"/>
      <c r="N86" s="94"/>
      <c r="O86" s="129"/>
      <c r="P86" s="167" t="e">
        <f t="shared" si="6"/>
        <v>#DIV/0!</v>
      </c>
      <c r="Q86" s="91">
        <v>475.2</v>
      </c>
      <c r="R86" s="129">
        <v>4.5599999999999996</v>
      </c>
      <c r="S86" s="91">
        <v>120</v>
      </c>
      <c r="T86" s="129">
        <v>4.5599999999999996</v>
      </c>
      <c r="U86" s="93">
        <v>643.20000000000005</v>
      </c>
      <c r="V86" s="129">
        <v>13.68</v>
      </c>
      <c r="W86" s="93">
        <v>120</v>
      </c>
      <c r="X86" s="129">
        <v>168.71999999999997</v>
      </c>
      <c r="Y86" s="93">
        <v>532.79999999999995</v>
      </c>
      <c r="Z86" s="129">
        <v>4.5599999999999996</v>
      </c>
      <c r="AA86" s="155">
        <f t="shared" si="10"/>
        <v>432</v>
      </c>
      <c r="AB86" s="98">
        <f t="shared" si="10"/>
        <v>62.319999999999993</v>
      </c>
      <c r="AC86"/>
      <c r="AD86" s="97">
        <v>4.8</v>
      </c>
      <c r="AE86" s="92">
        <v>0</v>
      </c>
      <c r="AF86" s="98">
        <f t="shared" si="8"/>
        <v>4.8</v>
      </c>
      <c r="AG86" s="97">
        <v>22.799999999999997</v>
      </c>
      <c r="AH86" s="92">
        <v>0</v>
      </c>
      <c r="AI86" s="98">
        <f t="shared" si="9"/>
        <v>22.799999999999997</v>
      </c>
      <c r="AJ86" s="98">
        <f t="shared" si="7"/>
        <v>27.599999999999998</v>
      </c>
      <c r="AK86" s="102" t="str">
        <f>+IF(AB86+AA86+AJ86&lt;=0, "NO COMPRADOR", +IF(AJ86&lt;=0, "SIN COMPRA "&amp;+UPPER(TEXT('DINAMICA ENERO 26'!$C$2,"mmm 'yy")), "COMPRADOR"))</f>
        <v>COMPRADOR</v>
      </c>
      <c r="AL86"/>
      <c r="AM86" s="100"/>
      <c r="AN86" s="101"/>
      <c r="AO86" s="100"/>
      <c r="AP86"/>
      <c r="AQ86"/>
      <c r="AR86"/>
      <c r="AS86"/>
      <c r="AT86"/>
      <c r="AU86"/>
      <c r="AV86"/>
      <c r="AW86"/>
      <c r="AX86"/>
    </row>
    <row r="87" spans="1:50">
      <c r="A87" s="88" t="s">
        <v>85</v>
      </c>
      <c r="B87" s="89" t="s">
        <v>157</v>
      </c>
      <c r="C87" s="89" t="s">
        <v>52</v>
      </c>
      <c r="D87" s="103">
        <v>100079674</v>
      </c>
      <c r="E87" s="89" t="s">
        <v>57</v>
      </c>
      <c r="F87" s="89">
        <v>100073740</v>
      </c>
      <c r="G87" s="128" t="s">
        <v>176</v>
      </c>
      <c r="H87" s="166"/>
      <c r="I87" s="92"/>
      <c r="J87" s="92"/>
      <c r="K87" s="92"/>
      <c r="L87" s="92"/>
      <c r="M87" s="94"/>
      <c r="N87" s="94"/>
      <c r="O87" s="129"/>
      <c r="P87" s="167" t="e">
        <f t="shared" si="6"/>
        <v>#DIV/0!</v>
      </c>
      <c r="Q87" s="91">
        <v>33.599999999999994</v>
      </c>
      <c r="R87" s="129">
        <v>31.919999999999998</v>
      </c>
      <c r="S87" s="91">
        <v>28.8</v>
      </c>
      <c r="T87" s="129">
        <v>4.5599999999999996</v>
      </c>
      <c r="U87" s="93">
        <v>91.2</v>
      </c>
      <c r="V87" s="129">
        <v>86.639999999999986</v>
      </c>
      <c r="W87" s="93">
        <v>19.2</v>
      </c>
      <c r="X87" s="129">
        <v>18.239999999999998</v>
      </c>
      <c r="Y87" s="93">
        <v>9.6</v>
      </c>
      <c r="Z87" s="129">
        <v>0</v>
      </c>
      <c r="AA87" s="155">
        <f t="shared" si="10"/>
        <v>40</v>
      </c>
      <c r="AB87" s="98">
        <f t="shared" si="10"/>
        <v>34.959999999999994</v>
      </c>
      <c r="AD87" s="97">
        <v>14.399999999999999</v>
      </c>
      <c r="AE87" s="92">
        <v>0</v>
      </c>
      <c r="AF87" s="98">
        <f t="shared" si="8"/>
        <v>14.399999999999999</v>
      </c>
      <c r="AG87" s="97">
        <v>0</v>
      </c>
      <c r="AH87" s="92">
        <v>0</v>
      </c>
      <c r="AI87" s="98">
        <f t="shared" si="9"/>
        <v>0</v>
      </c>
      <c r="AJ87" s="98">
        <f t="shared" si="7"/>
        <v>14.399999999999999</v>
      </c>
      <c r="AK87" s="102" t="str">
        <f>+IF(AB87+AA87+AJ87&lt;=0, "NO COMPRADOR", +IF(AJ87&lt;=0, "SIN COMPRA "&amp;+UPPER(TEXT('DINAMICA ENERO 26'!$C$2,"mmm 'yy")), "COMPRADOR"))</f>
        <v>COMPRADOR</v>
      </c>
      <c r="AM87" s="100"/>
      <c r="AN87" s="101"/>
      <c r="AO87" s="100"/>
    </row>
    <row r="88" spans="1:50" s="100" customFormat="1">
      <c r="A88" s="88" t="s">
        <v>85</v>
      </c>
      <c r="B88" s="89" t="s">
        <v>157</v>
      </c>
      <c r="C88" s="89" t="s">
        <v>52</v>
      </c>
      <c r="D88" s="103">
        <v>100079674</v>
      </c>
      <c r="E88" s="89" t="s">
        <v>57</v>
      </c>
      <c r="F88" s="89">
        <v>100073876</v>
      </c>
      <c r="G88" s="128" t="s">
        <v>177</v>
      </c>
      <c r="H88" s="166"/>
      <c r="I88" s="92"/>
      <c r="J88" s="92"/>
      <c r="K88" s="92"/>
      <c r="L88" s="92"/>
      <c r="M88" s="94"/>
      <c r="N88" s="94"/>
      <c r="O88" s="129"/>
      <c r="P88" s="167" t="e">
        <f t="shared" si="6"/>
        <v>#DIV/0!</v>
      </c>
      <c r="Q88" s="91">
        <v>0</v>
      </c>
      <c r="R88" s="129">
        <v>0</v>
      </c>
      <c r="S88" s="91">
        <v>9.6</v>
      </c>
      <c r="T88" s="129">
        <v>0</v>
      </c>
      <c r="U88" s="93">
        <v>4.8</v>
      </c>
      <c r="V88" s="129">
        <v>0</v>
      </c>
      <c r="W88" s="93">
        <v>0</v>
      </c>
      <c r="X88" s="129">
        <v>4.5599999999999996</v>
      </c>
      <c r="Y88" s="93">
        <v>0</v>
      </c>
      <c r="Z88" s="129">
        <v>4.5599999999999996</v>
      </c>
      <c r="AA88" s="155">
        <f t="shared" si="10"/>
        <v>1.5999999999999999</v>
      </c>
      <c r="AB88" s="98">
        <f t="shared" si="10"/>
        <v>3.0399999999999996</v>
      </c>
      <c r="AC88"/>
      <c r="AD88" s="97">
        <v>4.8</v>
      </c>
      <c r="AE88" s="92">
        <v>0</v>
      </c>
      <c r="AF88" s="98">
        <f t="shared" si="8"/>
        <v>4.8</v>
      </c>
      <c r="AG88" s="97">
        <v>4.5599999999999996</v>
      </c>
      <c r="AH88" s="92">
        <v>0</v>
      </c>
      <c r="AI88" s="98">
        <f t="shared" si="9"/>
        <v>4.5599999999999996</v>
      </c>
      <c r="AJ88" s="98">
        <f t="shared" si="7"/>
        <v>9.36</v>
      </c>
      <c r="AK88" s="102" t="str">
        <f>+IF(AB88+AA88+AJ88&lt;=0, "NO COMPRADOR", +IF(AJ88&lt;=0, "SIN COMPRA "&amp;+UPPER(TEXT('DINAMICA ENERO 26'!$C$2,"mmm 'yy")), "COMPRADOR"))</f>
        <v>COMPRADOR</v>
      </c>
      <c r="AL88"/>
      <c r="AN88" s="101"/>
      <c r="AP88"/>
      <c r="AQ88"/>
      <c r="AR88"/>
      <c r="AS88"/>
      <c r="AT88"/>
      <c r="AU88"/>
      <c r="AV88"/>
      <c r="AW88"/>
      <c r="AX88"/>
    </row>
    <row r="89" spans="1:50" s="100" customFormat="1">
      <c r="A89" s="88" t="s">
        <v>85</v>
      </c>
      <c r="B89" s="89" t="s">
        <v>157</v>
      </c>
      <c r="C89" s="89" t="s">
        <v>52</v>
      </c>
      <c r="D89" s="103">
        <v>100079674</v>
      </c>
      <c r="E89" s="89" t="s">
        <v>57</v>
      </c>
      <c r="F89" s="89">
        <v>100077196</v>
      </c>
      <c r="G89" s="128" t="s">
        <v>178</v>
      </c>
      <c r="H89" s="166"/>
      <c r="I89" s="92"/>
      <c r="J89" s="92"/>
      <c r="K89" s="92"/>
      <c r="L89" s="92"/>
      <c r="M89" s="94"/>
      <c r="N89" s="94"/>
      <c r="O89" s="129"/>
      <c r="P89" s="167" t="e">
        <f t="shared" si="6"/>
        <v>#DIV/0!</v>
      </c>
      <c r="Q89" s="91">
        <v>4.8</v>
      </c>
      <c r="R89" s="129">
        <v>0</v>
      </c>
      <c r="S89" s="91">
        <v>-4.8</v>
      </c>
      <c r="T89" s="129">
        <v>0</v>
      </c>
      <c r="U89" s="93">
        <v>28.799999999999997</v>
      </c>
      <c r="V89" s="129">
        <v>4.5599999999999996</v>
      </c>
      <c r="W89" s="93">
        <v>4.8</v>
      </c>
      <c r="X89" s="129">
        <v>4.5599999999999996</v>
      </c>
      <c r="Y89" s="93">
        <v>4.8</v>
      </c>
      <c r="Z89" s="129">
        <v>4.5599999999999996</v>
      </c>
      <c r="AA89" s="155">
        <f t="shared" si="10"/>
        <v>12.799999999999997</v>
      </c>
      <c r="AB89" s="98">
        <f t="shared" si="10"/>
        <v>4.5599999999999996</v>
      </c>
      <c r="AC89"/>
      <c r="AD89" s="97">
        <v>0</v>
      </c>
      <c r="AE89" s="92">
        <v>0</v>
      </c>
      <c r="AF89" s="98">
        <f t="shared" si="8"/>
        <v>0</v>
      </c>
      <c r="AG89" s="97">
        <v>18.239999999999998</v>
      </c>
      <c r="AH89" s="92">
        <v>0</v>
      </c>
      <c r="AI89" s="98">
        <f t="shared" si="9"/>
        <v>18.239999999999998</v>
      </c>
      <c r="AJ89" s="98">
        <f t="shared" si="7"/>
        <v>18.239999999999998</v>
      </c>
      <c r="AK89" s="102" t="str">
        <f>+IF(AB89+AA89+AJ89&lt;=0, "NO COMPRADOR", +IF(AJ89&lt;=0, "SIN COMPRA "&amp;+UPPER(TEXT('DINAMICA ENERO 26'!$C$2,"mmm 'yy")), "COMPRADOR"))</f>
        <v>COMPRADOR</v>
      </c>
      <c r="AL89"/>
      <c r="AN89" s="101"/>
      <c r="AP89"/>
      <c r="AQ89"/>
      <c r="AR89"/>
      <c r="AS89"/>
      <c r="AT89"/>
      <c r="AU89"/>
      <c r="AV89"/>
      <c r="AW89"/>
      <c r="AX89"/>
    </row>
    <row r="90" spans="1:50" s="104" customFormat="1">
      <c r="A90" s="88" t="s">
        <v>85</v>
      </c>
      <c r="B90" s="89" t="s">
        <v>157</v>
      </c>
      <c r="C90" s="89" t="s">
        <v>52</v>
      </c>
      <c r="D90" s="103">
        <v>100079674</v>
      </c>
      <c r="E90" s="89" t="s">
        <v>57</v>
      </c>
      <c r="F90" s="89">
        <v>100063753</v>
      </c>
      <c r="G90" s="128" t="s">
        <v>179</v>
      </c>
      <c r="H90" s="166"/>
      <c r="I90" s="92"/>
      <c r="J90" s="92"/>
      <c r="K90" s="92"/>
      <c r="L90" s="92"/>
      <c r="M90" s="94"/>
      <c r="N90" s="94"/>
      <c r="O90" s="129"/>
      <c r="P90" s="167" t="e">
        <f t="shared" si="6"/>
        <v>#DIV/0!</v>
      </c>
      <c r="Q90" s="91">
        <v>100.8</v>
      </c>
      <c r="R90" s="129">
        <v>4.5599999999999996</v>
      </c>
      <c r="S90" s="91">
        <v>144</v>
      </c>
      <c r="T90" s="129">
        <v>4.5599999999999996</v>
      </c>
      <c r="U90" s="93">
        <v>28.8</v>
      </c>
      <c r="V90" s="129">
        <v>9.1199999999999992</v>
      </c>
      <c r="W90" s="93">
        <v>48</v>
      </c>
      <c r="X90" s="129">
        <v>22.799999999999997</v>
      </c>
      <c r="Y90" s="93">
        <v>38.4</v>
      </c>
      <c r="Z90" s="129">
        <v>36.479999999999997</v>
      </c>
      <c r="AA90" s="155">
        <f t="shared" si="10"/>
        <v>38.4</v>
      </c>
      <c r="AB90" s="98">
        <f t="shared" si="10"/>
        <v>22.799999999999997</v>
      </c>
      <c r="AC90"/>
      <c r="AD90" s="97">
        <v>9.6</v>
      </c>
      <c r="AE90" s="92">
        <v>0</v>
      </c>
      <c r="AF90" s="98">
        <f t="shared" si="8"/>
        <v>9.6</v>
      </c>
      <c r="AG90" s="97">
        <v>4.5599999999999996</v>
      </c>
      <c r="AH90" s="92">
        <v>0</v>
      </c>
      <c r="AI90" s="98">
        <f t="shared" si="9"/>
        <v>4.5599999999999996</v>
      </c>
      <c r="AJ90" s="98">
        <f t="shared" si="7"/>
        <v>14.16</v>
      </c>
      <c r="AK90" s="102" t="str">
        <f>+IF(AB90+AA90+AJ90&lt;=0, "NO COMPRADOR", +IF(AJ90&lt;=0, "SIN COMPRA "&amp;+UPPER(TEXT('DINAMICA ENERO 26'!$C$2,"mmm 'yy")), "COMPRADOR"))</f>
        <v>COMPRADOR</v>
      </c>
      <c r="AL90"/>
      <c r="AM90" s="100"/>
      <c r="AN90" s="101"/>
      <c r="AO90" s="100"/>
      <c r="AP90"/>
      <c r="AQ90"/>
      <c r="AR90"/>
      <c r="AS90"/>
      <c r="AT90"/>
      <c r="AU90"/>
      <c r="AV90"/>
      <c r="AW90"/>
      <c r="AX90"/>
    </row>
    <row r="91" spans="1:50" s="100" customFormat="1">
      <c r="A91" s="88" t="s">
        <v>85</v>
      </c>
      <c r="B91" s="89" t="s">
        <v>157</v>
      </c>
      <c r="C91" s="89" t="s">
        <v>52</v>
      </c>
      <c r="D91" s="103">
        <v>100079674</v>
      </c>
      <c r="E91" s="89" t="s">
        <v>57</v>
      </c>
      <c r="F91" s="89">
        <v>100084198</v>
      </c>
      <c r="G91" s="128" t="s">
        <v>180</v>
      </c>
      <c r="H91" s="166"/>
      <c r="I91" s="92"/>
      <c r="J91" s="92"/>
      <c r="K91" s="92"/>
      <c r="L91" s="92"/>
      <c r="M91" s="94"/>
      <c r="N91" s="94"/>
      <c r="O91" s="129"/>
      <c r="P91" s="167" t="e">
        <f t="shared" si="6"/>
        <v>#DIV/0!</v>
      </c>
      <c r="Q91" s="91">
        <v>48</v>
      </c>
      <c r="R91" s="129">
        <v>4.5599999999999996</v>
      </c>
      <c r="S91" s="91">
        <v>96</v>
      </c>
      <c r="T91" s="129">
        <v>4.5599999999999996</v>
      </c>
      <c r="U91" s="93">
        <v>0</v>
      </c>
      <c r="V91" s="129">
        <v>0</v>
      </c>
      <c r="W91" s="93">
        <v>9.6</v>
      </c>
      <c r="X91" s="129">
        <v>9.1199999999999992</v>
      </c>
      <c r="Y91" s="93">
        <v>4.8</v>
      </c>
      <c r="Z91" s="129">
        <v>4.5599999999999996</v>
      </c>
      <c r="AA91" s="155">
        <f t="shared" si="10"/>
        <v>4.8</v>
      </c>
      <c r="AB91" s="98">
        <f t="shared" si="10"/>
        <v>4.5599999999999996</v>
      </c>
      <c r="AC91"/>
      <c r="AD91" s="97">
        <v>0</v>
      </c>
      <c r="AE91" s="92">
        <v>0</v>
      </c>
      <c r="AF91" s="98">
        <f t="shared" si="8"/>
        <v>0</v>
      </c>
      <c r="AG91" s="97">
        <v>-4.5599999999999996</v>
      </c>
      <c r="AH91" s="92">
        <v>0</v>
      </c>
      <c r="AI91" s="98">
        <f t="shared" si="9"/>
        <v>-4.5599999999999996</v>
      </c>
      <c r="AJ91" s="98">
        <f t="shared" si="7"/>
        <v>-4.5599999999999996</v>
      </c>
      <c r="AK91" s="102" t="str">
        <f>+IF(AB91+AA91+AJ91&lt;=0, "NO COMPRADOR", +IF(AJ91&lt;=0, "SIN COMPRA "&amp;+UPPER(TEXT('DINAMICA ENERO 26'!$C$2,"mmm 'yy")), "COMPRADOR"))</f>
        <v>SIN COMPRA FEB '26</v>
      </c>
      <c r="AL91"/>
      <c r="AN91" s="101"/>
      <c r="AP91"/>
      <c r="AQ91"/>
      <c r="AR91"/>
      <c r="AS91"/>
      <c r="AT91"/>
      <c r="AU91"/>
      <c r="AV91"/>
      <c r="AW91"/>
      <c r="AX91"/>
    </row>
    <row r="92" spans="1:50" s="100" customFormat="1">
      <c r="A92" s="88" t="s">
        <v>85</v>
      </c>
      <c r="B92" s="89" t="s">
        <v>157</v>
      </c>
      <c r="C92" s="89" t="s">
        <v>52</v>
      </c>
      <c r="D92" s="103">
        <v>100079674</v>
      </c>
      <c r="E92" s="89" t="s">
        <v>57</v>
      </c>
      <c r="F92" s="89">
        <v>100084321</v>
      </c>
      <c r="G92" s="128" t="s">
        <v>181</v>
      </c>
      <c r="H92" s="166"/>
      <c r="I92" s="92"/>
      <c r="J92" s="92"/>
      <c r="K92" s="92"/>
      <c r="L92" s="92"/>
      <c r="M92" s="94"/>
      <c r="N92" s="94"/>
      <c r="O92" s="129"/>
      <c r="P92" s="167" t="e">
        <f t="shared" si="6"/>
        <v>#DIV/0!</v>
      </c>
      <c r="Q92" s="91">
        <v>0</v>
      </c>
      <c r="R92" s="129">
        <v>0</v>
      </c>
      <c r="S92" s="91">
        <v>0</v>
      </c>
      <c r="T92" s="129">
        <v>0</v>
      </c>
      <c r="U92" s="93">
        <v>4.8</v>
      </c>
      <c r="V92" s="129">
        <v>4.5599999999999996</v>
      </c>
      <c r="W92" s="93">
        <v>4.8</v>
      </c>
      <c r="X92" s="129">
        <v>4.5599999999999996</v>
      </c>
      <c r="Y92" s="93">
        <v>4.8</v>
      </c>
      <c r="Z92" s="129">
        <v>4.5599999999999996</v>
      </c>
      <c r="AA92" s="155">
        <f t="shared" si="10"/>
        <v>4.8</v>
      </c>
      <c r="AB92" s="98">
        <f t="shared" si="10"/>
        <v>4.5599999999999996</v>
      </c>
      <c r="AC92"/>
      <c r="AD92" s="97">
        <v>0</v>
      </c>
      <c r="AE92" s="92">
        <v>0</v>
      </c>
      <c r="AF92" s="98">
        <f t="shared" si="8"/>
        <v>0</v>
      </c>
      <c r="AG92" s="97">
        <v>0</v>
      </c>
      <c r="AH92" s="92">
        <v>0</v>
      </c>
      <c r="AI92" s="98">
        <f t="shared" si="9"/>
        <v>0</v>
      </c>
      <c r="AJ92" s="98">
        <f t="shared" si="7"/>
        <v>0</v>
      </c>
      <c r="AK92" s="102" t="str">
        <f>+IF(AB92+AA92+AJ92&lt;=0, "NO COMPRADOR", +IF(AJ92&lt;=0, "SIN COMPRA "&amp;+UPPER(TEXT('DINAMICA ENERO 26'!$C$2,"mmm 'yy")), "COMPRADOR"))</f>
        <v>SIN COMPRA FEB '26</v>
      </c>
      <c r="AL92"/>
      <c r="AN92" s="101"/>
      <c r="AP92"/>
      <c r="AQ92"/>
      <c r="AR92"/>
      <c r="AS92"/>
      <c r="AT92"/>
      <c r="AU92"/>
      <c r="AV92"/>
      <c r="AW92"/>
      <c r="AX92"/>
    </row>
    <row r="93" spans="1:50" s="104" customFormat="1">
      <c r="A93" s="88" t="s">
        <v>85</v>
      </c>
      <c r="B93" s="89" t="s">
        <v>157</v>
      </c>
      <c r="C93" s="89" t="s">
        <v>52</v>
      </c>
      <c r="D93" s="103">
        <v>100079674</v>
      </c>
      <c r="E93" s="89" t="s">
        <v>57</v>
      </c>
      <c r="F93" s="89">
        <v>100088056</v>
      </c>
      <c r="G93" s="128" t="s">
        <v>182</v>
      </c>
      <c r="H93" s="166"/>
      <c r="I93" s="92"/>
      <c r="J93" s="92"/>
      <c r="K93" s="92"/>
      <c r="L93" s="92"/>
      <c r="M93" s="94"/>
      <c r="N93" s="94"/>
      <c r="O93" s="129"/>
      <c r="P93" s="167" t="e">
        <f t="shared" si="6"/>
        <v>#DIV/0!</v>
      </c>
      <c r="Q93" s="91">
        <v>9.6</v>
      </c>
      <c r="R93" s="129">
        <v>4.5599999999999996</v>
      </c>
      <c r="S93" s="91">
        <v>9.6</v>
      </c>
      <c r="T93" s="129">
        <v>9.1199999999999992</v>
      </c>
      <c r="U93" s="93">
        <v>4.8</v>
      </c>
      <c r="V93" s="129">
        <v>4.5599999999999996</v>
      </c>
      <c r="W93" s="93">
        <v>4.8</v>
      </c>
      <c r="X93" s="129">
        <v>9.1199999999999992</v>
      </c>
      <c r="Y93" s="93">
        <v>4.8</v>
      </c>
      <c r="Z93" s="129">
        <v>4.5599999999999996</v>
      </c>
      <c r="AA93" s="155">
        <f t="shared" si="10"/>
        <v>4.8</v>
      </c>
      <c r="AB93" s="98">
        <f t="shared" si="10"/>
        <v>6.0799999999999992</v>
      </c>
      <c r="AC93"/>
      <c r="AD93" s="97">
        <v>4.8</v>
      </c>
      <c r="AE93" s="92">
        <v>0</v>
      </c>
      <c r="AF93" s="98">
        <f t="shared" si="8"/>
        <v>4.8</v>
      </c>
      <c r="AG93" s="97">
        <v>4.5599999999999996</v>
      </c>
      <c r="AH93" s="92">
        <v>0</v>
      </c>
      <c r="AI93" s="98">
        <f t="shared" si="9"/>
        <v>4.5599999999999996</v>
      </c>
      <c r="AJ93" s="98">
        <f t="shared" si="7"/>
        <v>9.36</v>
      </c>
      <c r="AK93" s="102" t="str">
        <f>+IF(AB93+AA93+AJ93&lt;=0, "NO COMPRADOR", +IF(AJ93&lt;=0, "SIN COMPRA "&amp;+UPPER(TEXT('DINAMICA ENERO 26'!$C$2,"mmm 'yy")), "COMPRADOR"))</f>
        <v>COMPRADOR</v>
      </c>
      <c r="AL93"/>
      <c r="AM93" s="100"/>
      <c r="AN93" s="101"/>
      <c r="AO93" s="100"/>
      <c r="AP93"/>
      <c r="AQ93"/>
      <c r="AR93"/>
      <c r="AS93"/>
      <c r="AT93"/>
      <c r="AU93"/>
      <c r="AV93"/>
      <c r="AW93"/>
      <c r="AX93"/>
    </row>
    <row r="94" spans="1:50" s="100" customFormat="1">
      <c r="A94" s="88" t="s">
        <v>85</v>
      </c>
      <c r="B94" s="89" t="s">
        <v>157</v>
      </c>
      <c r="C94" s="89" t="s">
        <v>52</v>
      </c>
      <c r="D94" s="103">
        <v>100079674</v>
      </c>
      <c r="E94" s="89" t="s">
        <v>57</v>
      </c>
      <c r="F94" s="89">
        <v>100089829</v>
      </c>
      <c r="G94" s="128" t="s">
        <v>183</v>
      </c>
      <c r="H94" s="166"/>
      <c r="I94" s="92"/>
      <c r="J94" s="92"/>
      <c r="K94" s="92"/>
      <c r="L94" s="92"/>
      <c r="M94" s="94"/>
      <c r="N94" s="94"/>
      <c r="O94" s="129"/>
      <c r="P94" s="167" t="e">
        <f t="shared" si="6"/>
        <v>#DIV/0!</v>
      </c>
      <c r="Q94" s="91">
        <v>52.8</v>
      </c>
      <c r="R94" s="129">
        <v>68.399999999999991</v>
      </c>
      <c r="S94" s="91">
        <v>144</v>
      </c>
      <c r="T94" s="129">
        <v>68.399999999999991</v>
      </c>
      <c r="U94" s="93">
        <v>192</v>
      </c>
      <c r="V94" s="129">
        <v>22.799999999999997</v>
      </c>
      <c r="W94" s="93">
        <v>120</v>
      </c>
      <c r="X94" s="129">
        <v>45.599999999999994</v>
      </c>
      <c r="Y94" s="93">
        <v>576</v>
      </c>
      <c r="Z94" s="129">
        <v>27.359999999999996</v>
      </c>
      <c r="AA94" s="155">
        <f t="shared" si="10"/>
        <v>296</v>
      </c>
      <c r="AB94" s="98">
        <f t="shared" si="10"/>
        <v>31.919999999999998</v>
      </c>
      <c r="AC94"/>
      <c r="AD94" s="97">
        <v>0</v>
      </c>
      <c r="AE94" s="92">
        <v>0</v>
      </c>
      <c r="AF94" s="98">
        <f t="shared" si="8"/>
        <v>0</v>
      </c>
      <c r="AG94" s="97">
        <v>0</v>
      </c>
      <c r="AH94" s="92">
        <v>0</v>
      </c>
      <c r="AI94" s="98">
        <f t="shared" si="9"/>
        <v>0</v>
      </c>
      <c r="AJ94" s="98">
        <f t="shared" si="7"/>
        <v>0</v>
      </c>
      <c r="AK94" s="102" t="str">
        <f>+IF(AB94+AA94+AJ94&lt;=0, "NO COMPRADOR", +IF(AJ94&lt;=0, "SIN COMPRA "&amp;+UPPER(TEXT('DINAMICA ENERO 26'!$C$2,"mmm 'yy")), "COMPRADOR"))</f>
        <v>SIN COMPRA FEB '26</v>
      </c>
      <c r="AL94"/>
      <c r="AN94" s="101"/>
      <c r="AP94"/>
      <c r="AQ94"/>
      <c r="AR94"/>
      <c r="AS94"/>
      <c r="AT94"/>
      <c r="AU94"/>
      <c r="AV94"/>
      <c r="AW94"/>
      <c r="AX94"/>
    </row>
    <row r="95" spans="1:50" s="100" customFormat="1">
      <c r="A95" s="88" t="s">
        <v>85</v>
      </c>
      <c r="B95" s="89" t="s">
        <v>157</v>
      </c>
      <c r="C95" s="89" t="s">
        <v>52</v>
      </c>
      <c r="D95" s="103">
        <v>100066856</v>
      </c>
      <c r="E95" s="89" t="s">
        <v>54</v>
      </c>
      <c r="F95" s="89">
        <v>100080175</v>
      </c>
      <c r="G95" s="128" t="s">
        <v>184</v>
      </c>
      <c r="H95" s="166"/>
      <c r="I95" s="92"/>
      <c r="J95" s="92"/>
      <c r="K95" s="92"/>
      <c r="L95" s="92"/>
      <c r="M95" s="94"/>
      <c r="N95" s="94"/>
      <c r="O95" s="129"/>
      <c r="P95" s="167" t="e">
        <f t="shared" si="6"/>
        <v>#DIV/0!</v>
      </c>
      <c r="Q95" s="91">
        <v>43.2</v>
      </c>
      <c r="R95" s="129">
        <v>0</v>
      </c>
      <c r="S95" s="91">
        <v>0</v>
      </c>
      <c r="T95" s="129">
        <v>0</v>
      </c>
      <c r="U95" s="93">
        <v>0</v>
      </c>
      <c r="V95" s="129">
        <v>27.359999999999996</v>
      </c>
      <c r="W95" s="93">
        <v>0</v>
      </c>
      <c r="X95" s="129">
        <v>0</v>
      </c>
      <c r="Y95" s="93">
        <v>0</v>
      </c>
      <c r="Z95" s="129">
        <v>0</v>
      </c>
      <c r="AA95" s="155">
        <f t="shared" si="10"/>
        <v>0</v>
      </c>
      <c r="AB95" s="98">
        <f t="shared" si="10"/>
        <v>9.1199999999999992</v>
      </c>
      <c r="AC95"/>
      <c r="AD95" s="97">
        <v>0</v>
      </c>
      <c r="AE95" s="92">
        <v>0</v>
      </c>
      <c r="AF95" s="98">
        <f t="shared" si="8"/>
        <v>0</v>
      </c>
      <c r="AG95" s="97">
        <v>13.68</v>
      </c>
      <c r="AH95" s="92">
        <v>0</v>
      </c>
      <c r="AI95" s="98">
        <f t="shared" si="9"/>
        <v>13.68</v>
      </c>
      <c r="AJ95" s="98">
        <f t="shared" si="7"/>
        <v>13.68</v>
      </c>
      <c r="AK95" s="102" t="str">
        <f>+IF(AB95+AA95+AJ95&lt;=0, "NO COMPRADOR", +IF(AJ95&lt;=0, "SIN COMPRA "&amp;+UPPER(TEXT('DINAMICA ENERO 26'!$C$2,"mmm 'yy")), "COMPRADOR"))</f>
        <v>COMPRADOR</v>
      </c>
      <c r="AL95"/>
      <c r="AN95" s="101"/>
      <c r="AP95"/>
      <c r="AQ95"/>
      <c r="AR95"/>
      <c r="AS95"/>
      <c r="AT95"/>
      <c r="AU95"/>
      <c r="AV95"/>
      <c r="AW95"/>
      <c r="AX95"/>
    </row>
    <row r="96" spans="1:50" s="100" customFormat="1">
      <c r="A96" s="88" t="s">
        <v>85</v>
      </c>
      <c r="B96" s="89" t="s">
        <v>157</v>
      </c>
      <c r="C96" s="89" t="s">
        <v>52</v>
      </c>
      <c r="D96" s="103">
        <v>100066856</v>
      </c>
      <c r="E96" s="89" t="s">
        <v>54</v>
      </c>
      <c r="F96" s="89">
        <v>100086921</v>
      </c>
      <c r="G96" s="128" t="s">
        <v>185</v>
      </c>
      <c r="H96" s="166"/>
      <c r="I96" s="92"/>
      <c r="J96" s="92"/>
      <c r="K96" s="92"/>
      <c r="L96" s="92"/>
      <c r="M96" s="94"/>
      <c r="N96" s="94"/>
      <c r="O96" s="129"/>
      <c r="P96" s="167" t="e">
        <f t="shared" si="6"/>
        <v>#DIV/0!</v>
      </c>
      <c r="Q96" s="91">
        <v>0</v>
      </c>
      <c r="R96" s="129">
        <v>0</v>
      </c>
      <c r="S96" s="91">
        <v>96</v>
      </c>
      <c r="T96" s="129">
        <v>0</v>
      </c>
      <c r="U96" s="93">
        <v>0</v>
      </c>
      <c r="V96" s="129">
        <v>0</v>
      </c>
      <c r="W96" s="93">
        <v>24</v>
      </c>
      <c r="X96" s="129">
        <v>0</v>
      </c>
      <c r="Y96" s="93">
        <v>24</v>
      </c>
      <c r="Z96" s="129">
        <v>0</v>
      </c>
      <c r="AA96" s="155">
        <f t="shared" si="10"/>
        <v>16</v>
      </c>
      <c r="AB96" s="98">
        <f t="shared" si="10"/>
        <v>0</v>
      </c>
      <c r="AC96"/>
      <c r="AD96" s="97">
        <v>0</v>
      </c>
      <c r="AE96" s="92">
        <v>0</v>
      </c>
      <c r="AF96" s="98">
        <f t="shared" si="8"/>
        <v>0</v>
      </c>
      <c r="AG96" s="97">
        <v>0</v>
      </c>
      <c r="AH96" s="92">
        <v>0</v>
      </c>
      <c r="AI96" s="98">
        <f t="shared" si="9"/>
        <v>0</v>
      </c>
      <c r="AJ96" s="98">
        <f t="shared" si="7"/>
        <v>0</v>
      </c>
      <c r="AK96" s="102" t="str">
        <f>+IF(AB96+AA96+AJ96&lt;=0, "NO COMPRADOR", +IF(AJ96&lt;=0, "SIN COMPRA "&amp;+UPPER(TEXT('DINAMICA ENERO 26'!$C$2,"mmm 'yy")), "COMPRADOR"))</f>
        <v>SIN COMPRA FEB '26</v>
      </c>
      <c r="AL96"/>
      <c r="AN96" s="101"/>
      <c r="AP96"/>
      <c r="AQ96"/>
      <c r="AR96"/>
      <c r="AS96"/>
      <c r="AT96"/>
      <c r="AU96"/>
      <c r="AV96"/>
      <c r="AW96"/>
      <c r="AX96"/>
    </row>
    <row r="97" spans="1:50" s="100" customFormat="1">
      <c r="A97" s="88" t="s">
        <v>85</v>
      </c>
      <c r="B97" s="89" t="s">
        <v>157</v>
      </c>
      <c r="C97" s="89" t="s">
        <v>52</v>
      </c>
      <c r="D97" s="103">
        <v>100066856</v>
      </c>
      <c r="E97" s="89" t="s">
        <v>54</v>
      </c>
      <c r="F97" s="89">
        <v>100063903</v>
      </c>
      <c r="G97" s="128" t="s">
        <v>186</v>
      </c>
      <c r="H97" s="166"/>
      <c r="I97" s="92"/>
      <c r="J97" s="92"/>
      <c r="K97" s="92"/>
      <c r="L97" s="92"/>
      <c r="M97" s="94"/>
      <c r="N97" s="94"/>
      <c r="O97" s="129"/>
      <c r="P97" s="167" t="e">
        <f t="shared" si="6"/>
        <v>#DIV/0!</v>
      </c>
      <c r="Q97" s="91">
        <v>24</v>
      </c>
      <c r="R97" s="129">
        <v>22.799999999999997</v>
      </c>
      <c r="S97" s="91">
        <v>0</v>
      </c>
      <c r="T97" s="129">
        <v>0</v>
      </c>
      <c r="U97" s="93">
        <v>4.8</v>
      </c>
      <c r="V97" s="129">
        <v>4.5599999999999996</v>
      </c>
      <c r="W97" s="93">
        <v>0</v>
      </c>
      <c r="X97" s="129">
        <v>0</v>
      </c>
      <c r="Y97" s="93">
        <v>0</v>
      </c>
      <c r="Z97" s="129">
        <v>0</v>
      </c>
      <c r="AA97" s="155">
        <f t="shared" si="10"/>
        <v>1.5999999999999999</v>
      </c>
      <c r="AB97" s="98">
        <f t="shared" si="10"/>
        <v>1.5199999999999998</v>
      </c>
      <c r="AC97"/>
      <c r="AD97" s="97">
        <v>0</v>
      </c>
      <c r="AE97" s="92">
        <v>0</v>
      </c>
      <c r="AF97" s="98">
        <f t="shared" si="8"/>
        <v>0</v>
      </c>
      <c r="AG97" s="97">
        <v>0</v>
      </c>
      <c r="AH97" s="92">
        <v>0</v>
      </c>
      <c r="AI97" s="98">
        <f t="shared" si="9"/>
        <v>0</v>
      </c>
      <c r="AJ97" s="98">
        <f t="shared" si="7"/>
        <v>0</v>
      </c>
      <c r="AK97" s="102" t="str">
        <f>+IF(AB97+AA97+AJ97&lt;=0, "NO COMPRADOR", +IF(AJ97&lt;=0, "SIN COMPRA "&amp;+UPPER(TEXT('DINAMICA ENERO 26'!$C$2,"mmm 'yy")), "COMPRADOR"))</f>
        <v>SIN COMPRA FEB '26</v>
      </c>
      <c r="AL97"/>
      <c r="AN97" s="101"/>
      <c r="AP97"/>
      <c r="AQ97"/>
      <c r="AR97"/>
      <c r="AS97"/>
      <c r="AT97"/>
      <c r="AU97"/>
      <c r="AV97"/>
      <c r="AW97"/>
      <c r="AX97"/>
    </row>
    <row r="98" spans="1:50" s="104" customFormat="1">
      <c r="A98" s="88" t="s">
        <v>85</v>
      </c>
      <c r="B98" s="89" t="s">
        <v>157</v>
      </c>
      <c r="C98" s="89" t="s">
        <v>52</v>
      </c>
      <c r="D98" s="103">
        <v>100066856</v>
      </c>
      <c r="E98" s="89" t="s">
        <v>54</v>
      </c>
      <c r="F98" s="89">
        <v>100081047</v>
      </c>
      <c r="G98" s="128" t="s">
        <v>187</v>
      </c>
      <c r="H98" s="166"/>
      <c r="I98" s="92"/>
      <c r="J98" s="92"/>
      <c r="K98" s="92"/>
      <c r="L98" s="92"/>
      <c r="M98" s="94"/>
      <c r="N98" s="94"/>
      <c r="O98" s="129"/>
      <c r="P98" s="167" t="e">
        <f t="shared" si="6"/>
        <v>#DIV/0!</v>
      </c>
      <c r="Q98" s="91">
        <v>4.8</v>
      </c>
      <c r="R98" s="129">
        <v>0</v>
      </c>
      <c r="S98" s="91">
        <v>14.399999999999999</v>
      </c>
      <c r="T98" s="129">
        <v>0</v>
      </c>
      <c r="U98" s="93">
        <v>4.8</v>
      </c>
      <c r="V98" s="129">
        <v>0</v>
      </c>
      <c r="W98" s="93">
        <v>0</v>
      </c>
      <c r="X98" s="129">
        <v>0</v>
      </c>
      <c r="Y98" s="93">
        <v>4.8</v>
      </c>
      <c r="Z98" s="129">
        <v>0</v>
      </c>
      <c r="AA98" s="155">
        <f t="shared" si="10"/>
        <v>3.1999999999999997</v>
      </c>
      <c r="AB98" s="98">
        <f t="shared" si="10"/>
        <v>0</v>
      </c>
      <c r="AC98"/>
      <c r="AD98" s="97">
        <v>0</v>
      </c>
      <c r="AE98" s="92">
        <v>0</v>
      </c>
      <c r="AF98" s="98">
        <f t="shared" si="8"/>
        <v>0</v>
      </c>
      <c r="AG98" s="97">
        <v>0</v>
      </c>
      <c r="AH98" s="92">
        <v>0</v>
      </c>
      <c r="AI98" s="98">
        <f t="shared" si="9"/>
        <v>0</v>
      </c>
      <c r="AJ98" s="98">
        <f t="shared" si="7"/>
        <v>0</v>
      </c>
      <c r="AK98" s="102" t="str">
        <f>+IF(AB98+AA98+AJ98&lt;=0, "NO COMPRADOR", +IF(AJ98&lt;=0, "SIN COMPRA "&amp;+UPPER(TEXT('DINAMICA ENERO 26'!$C$2,"mmm 'yy")), "COMPRADOR"))</f>
        <v>SIN COMPRA FEB '26</v>
      </c>
      <c r="AL98"/>
      <c r="AM98" s="100"/>
      <c r="AN98" s="101"/>
      <c r="AO98" s="100"/>
      <c r="AP98"/>
      <c r="AQ98"/>
      <c r="AR98"/>
      <c r="AS98"/>
      <c r="AT98"/>
      <c r="AU98"/>
      <c r="AV98"/>
      <c r="AW98"/>
      <c r="AX98"/>
    </row>
    <row r="99" spans="1:50" s="100" customFormat="1">
      <c r="A99" s="88" t="s">
        <v>85</v>
      </c>
      <c r="B99" s="89" t="s">
        <v>157</v>
      </c>
      <c r="C99" s="89" t="s">
        <v>52</v>
      </c>
      <c r="D99" s="103">
        <v>100066856</v>
      </c>
      <c r="E99" s="89" t="s">
        <v>54</v>
      </c>
      <c r="F99" s="89">
        <v>100081503</v>
      </c>
      <c r="G99" s="128" t="s">
        <v>188</v>
      </c>
      <c r="H99" s="166"/>
      <c r="I99" s="92"/>
      <c r="J99" s="92"/>
      <c r="K99" s="92"/>
      <c r="L99" s="92"/>
      <c r="M99" s="94"/>
      <c r="N99" s="94"/>
      <c r="O99" s="129"/>
      <c r="P99" s="167" t="e">
        <f t="shared" si="6"/>
        <v>#DIV/0!</v>
      </c>
      <c r="Q99" s="91">
        <v>0</v>
      </c>
      <c r="R99" s="129">
        <v>0</v>
      </c>
      <c r="S99" s="91">
        <v>0</v>
      </c>
      <c r="T99" s="129">
        <v>0</v>
      </c>
      <c r="U99" s="93">
        <v>0</v>
      </c>
      <c r="V99" s="129">
        <v>0</v>
      </c>
      <c r="W99" s="93">
        <v>0</v>
      </c>
      <c r="X99" s="129">
        <v>0</v>
      </c>
      <c r="Y99" s="93">
        <v>0</v>
      </c>
      <c r="Z99" s="129">
        <v>0</v>
      </c>
      <c r="AA99" s="155">
        <f t="shared" si="10"/>
        <v>0</v>
      </c>
      <c r="AB99" s="98">
        <f t="shared" si="10"/>
        <v>0</v>
      </c>
      <c r="AC99"/>
      <c r="AD99" s="97">
        <v>0</v>
      </c>
      <c r="AE99" s="92">
        <v>0</v>
      </c>
      <c r="AF99" s="98">
        <f t="shared" si="8"/>
        <v>0</v>
      </c>
      <c r="AG99" s="97">
        <v>0</v>
      </c>
      <c r="AH99" s="92">
        <v>0</v>
      </c>
      <c r="AI99" s="98">
        <f t="shared" si="9"/>
        <v>0</v>
      </c>
      <c r="AJ99" s="98">
        <f t="shared" si="7"/>
        <v>0</v>
      </c>
      <c r="AK99" s="102" t="str">
        <f>+IF(AB99+AA99+AJ99&lt;=0, "NO COMPRADOR", +IF(AJ99&lt;=0, "SIN COMPRA "&amp;+UPPER(TEXT('DINAMICA ENERO 26'!$C$2,"mmm 'yy")), "COMPRADOR"))</f>
        <v>NO COMPRADOR</v>
      </c>
      <c r="AL99"/>
      <c r="AN99" s="101"/>
      <c r="AP99"/>
      <c r="AQ99"/>
      <c r="AR99"/>
      <c r="AS99"/>
      <c r="AT99"/>
      <c r="AU99"/>
      <c r="AV99"/>
      <c r="AW99"/>
      <c r="AX99"/>
    </row>
    <row r="100" spans="1:50" s="104" customFormat="1">
      <c r="A100" s="88" t="s">
        <v>85</v>
      </c>
      <c r="B100" s="89" t="s">
        <v>157</v>
      </c>
      <c r="C100" s="89" t="s">
        <v>52</v>
      </c>
      <c r="D100" s="103">
        <v>100066856</v>
      </c>
      <c r="E100" s="89" t="s">
        <v>54</v>
      </c>
      <c r="F100" s="89">
        <v>100087607</v>
      </c>
      <c r="G100" s="128" t="s">
        <v>189</v>
      </c>
      <c r="H100" s="166"/>
      <c r="I100" s="92"/>
      <c r="J100" s="92"/>
      <c r="K100" s="92"/>
      <c r="L100" s="92"/>
      <c r="M100" s="94"/>
      <c r="N100" s="94"/>
      <c r="O100" s="129"/>
      <c r="P100" s="167" t="e">
        <f t="shared" si="6"/>
        <v>#DIV/0!</v>
      </c>
      <c r="Q100" s="91">
        <v>91.2</v>
      </c>
      <c r="R100" s="129">
        <v>9.1199999999999992</v>
      </c>
      <c r="S100" s="91">
        <v>24</v>
      </c>
      <c r="T100" s="129">
        <v>0</v>
      </c>
      <c r="U100" s="93">
        <v>4.8</v>
      </c>
      <c r="V100" s="129">
        <v>4.5599999999999996</v>
      </c>
      <c r="W100" s="93">
        <v>19.2</v>
      </c>
      <c r="X100" s="129">
        <v>0</v>
      </c>
      <c r="Y100" s="93">
        <v>0</v>
      </c>
      <c r="Z100" s="129">
        <v>0</v>
      </c>
      <c r="AA100" s="155">
        <f t="shared" si="10"/>
        <v>8</v>
      </c>
      <c r="AB100" s="98">
        <f t="shared" si="10"/>
        <v>1.5199999999999998</v>
      </c>
      <c r="AC100"/>
      <c r="AD100" s="97">
        <v>38.4</v>
      </c>
      <c r="AE100" s="92">
        <v>0</v>
      </c>
      <c r="AF100" s="98">
        <f t="shared" si="8"/>
        <v>38.4</v>
      </c>
      <c r="AG100" s="97">
        <v>0</v>
      </c>
      <c r="AH100" s="92">
        <v>0</v>
      </c>
      <c r="AI100" s="98">
        <f t="shared" si="9"/>
        <v>0</v>
      </c>
      <c r="AJ100" s="98">
        <f t="shared" si="7"/>
        <v>38.4</v>
      </c>
      <c r="AK100" s="102" t="str">
        <f>+IF(AB100+AA100+AJ100&lt;=0, "NO COMPRADOR", +IF(AJ100&lt;=0, "SIN COMPRA "&amp;+UPPER(TEXT('DINAMICA ENERO 26'!$C$2,"mmm 'yy")), "COMPRADOR"))</f>
        <v>COMPRADOR</v>
      </c>
      <c r="AL100"/>
      <c r="AM100" s="100"/>
      <c r="AN100" s="101"/>
      <c r="AO100" s="100"/>
      <c r="AP100"/>
      <c r="AQ100"/>
      <c r="AR100"/>
      <c r="AS100"/>
      <c r="AT100"/>
      <c r="AU100"/>
      <c r="AV100"/>
      <c r="AW100"/>
      <c r="AX100"/>
    </row>
    <row r="101" spans="1:50" s="104" customFormat="1">
      <c r="A101" s="88" t="s">
        <v>85</v>
      </c>
      <c r="B101" s="89" t="s">
        <v>157</v>
      </c>
      <c r="C101" s="89" t="s">
        <v>52</v>
      </c>
      <c r="D101" s="103">
        <v>100066856</v>
      </c>
      <c r="E101" s="89" t="s">
        <v>54</v>
      </c>
      <c r="F101" s="89">
        <v>100088062</v>
      </c>
      <c r="G101" s="128" t="s">
        <v>190</v>
      </c>
      <c r="H101" s="166"/>
      <c r="I101" s="92"/>
      <c r="J101" s="92"/>
      <c r="K101" s="92"/>
      <c r="L101" s="92"/>
      <c r="M101" s="94"/>
      <c r="N101" s="94"/>
      <c r="O101" s="129"/>
      <c r="P101" s="167" t="e">
        <f t="shared" si="6"/>
        <v>#DIV/0!</v>
      </c>
      <c r="Q101" s="91">
        <v>9.6</v>
      </c>
      <c r="R101" s="129">
        <v>4.5599999999999996</v>
      </c>
      <c r="S101" s="91">
        <v>-4.8</v>
      </c>
      <c r="T101" s="129">
        <v>0</v>
      </c>
      <c r="U101" s="93">
        <v>4.8</v>
      </c>
      <c r="V101" s="129">
        <v>4.5599999999999996</v>
      </c>
      <c r="W101" s="93">
        <v>-4.8</v>
      </c>
      <c r="X101" s="129">
        <v>-4.5599999999999996</v>
      </c>
      <c r="Y101" s="93">
        <v>4.8</v>
      </c>
      <c r="Z101" s="129">
        <v>95.759999999999991</v>
      </c>
      <c r="AA101" s="155">
        <f t="shared" si="10"/>
        <v>1.5999999999999999</v>
      </c>
      <c r="AB101" s="98">
        <f t="shared" si="10"/>
        <v>31.919999999999998</v>
      </c>
      <c r="AC101"/>
      <c r="AD101" s="97">
        <v>4.8</v>
      </c>
      <c r="AE101" s="92">
        <v>0</v>
      </c>
      <c r="AF101" s="98">
        <f t="shared" si="8"/>
        <v>4.8</v>
      </c>
      <c r="AG101" s="97">
        <v>-4.5599999999999996</v>
      </c>
      <c r="AH101" s="92">
        <v>0</v>
      </c>
      <c r="AI101" s="98">
        <f t="shared" si="9"/>
        <v>-4.5599999999999996</v>
      </c>
      <c r="AJ101" s="98">
        <f t="shared" si="7"/>
        <v>0.24000000000000021</v>
      </c>
      <c r="AK101" s="102" t="str">
        <f>+IF(AB101+AA101+AJ101&lt;=0, "NO COMPRADOR", +IF(AJ101&lt;=0, "SIN COMPRA "&amp;+UPPER(TEXT('DINAMICA ENERO 26'!$C$2,"mmm 'yy")), "COMPRADOR"))</f>
        <v>COMPRADOR</v>
      </c>
      <c r="AL101"/>
      <c r="AM101" s="100"/>
      <c r="AN101" s="101"/>
      <c r="AO101" s="100"/>
      <c r="AP101"/>
      <c r="AQ101"/>
      <c r="AR101"/>
      <c r="AS101"/>
      <c r="AT101"/>
      <c r="AU101"/>
      <c r="AV101"/>
      <c r="AW101"/>
      <c r="AX101"/>
    </row>
    <row r="102" spans="1:50" s="104" customFormat="1">
      <c r="A102" s="88" t="s">
        <v>85</v>
      </c>
      <c r="B102" s="89" t="s">
        <v>157</v>
      </c>
      <c r="C102" s="89" t="s">
        <v>52</v>
      </c>
      <c r="D102" s="103">
        <v>100066856</v>
      </c>
      <c r="E102" s="89" t="s">
        <v>54</v>
      </c>
      <c r="F102" s="89">
        <v>100087789</v>
      </c>
      <c r="G102" s="128" t="s">
        <v>191</v>
      </c>
      <c r="H102" s="166"/>
      <c r="I102" s="92"/>
      <c r="J102" s="92"/>
      <c r="K102" s="92"/>
      <c r="L102" s="92"/>
      <c r="M102" s="94"/>
      <c r="N102" s="94"/>
      <c r="O102" s="129"/>
      <c r="P102" s="167" t="e">
        <f t="shared" si="6"/>
        <v>#DIV/0!</v>
      </c>
      <c r="Q102" s="91">
        <v>24</v>
      </c>
      <c r="R102" s="129">
        <v>0</v>
      </c>
      <c r="S102" s="91">
        <v>33.6</v>
      </c>
      <c r="T102" s="129">
        <v>0</v>
      </c>
      <c r="U102" s="93">
        <v>19.2</v>
      </c>
      <c r="V102" s="129">
        <v>0</v>
      </c>
      <c r="W102" s="93">
        <v>24</v>
      </c>
      <c r="X102" s="129">
        <v>0</v>
      </c>
      <c r="Y102" s="93">
        <v>14.399999999999999</v>
      </c>
      <c r="Z102" s="129">
        <v>0</v>
      </c>
      <c r="AA102" s="155">
        <f t="shared" si="10"/>
        <v>19.2</v>
      </c>
      <c r="AB102" s="98">
        <f t="shared" si="10"/>
        <v>0</v>
      </c>
      <c r="AC102"/>
      <c r="AD102" s="97">
        <v>0</v>
      </c>
      <c r="AE102" s="92">
        <v>0</v>
      </c>
      <c r="AF102" s="98">
        <f t="shared" si="8"/>
        <v>0</v>
      </c>
      <c r="AG102" s="97">
        <v>0</v>
      </c>
      <c r="AH102" s="92">
        <v>0</v>
      </c>
      <c r="AI102" s="98">
        <f t="shared" si="9"/>
        <v>0</v>
      </c>
      <c r="AJ102" s="98">
        <f t="shared" si="7"/>
        <v>0</v>
      </c>
      <c r="AK102" s="102" t="str">
        <f>+IF(AB102+AA102+AJ102&lt;=0, "NO COMPRADOR", +IF(AJ102&lt;=0, "SIN COMPRA "&amp;+UPPER(TEXT('DINAMICA ENERO 26'!$C$2,"mmm 'yy")), "COMPRADOR"))</f>
        <v>SIN COMPRA FEB '26</v>
      </c>
      <c r="AL102"/>
      <c r="AM102" s="100"/>
      <c r="AN102" s="101"/>
      <c r="AO102" s="100"/>
      <c r="AP102"/>
      <c r="AQ102"/>
      <c r="AR102"/>
      <c r="AS102"/>
      <c r="AT102"/>
      <c r="AU102"/>
      <c r="AV102"/>
      <c r="AW102"/>
      <c r="AX102"/>
    </row>
    <row r="103" spans="1:50" s="104" customFormat="1">
      <c r="A103" s="88" t="s">
        <v>85</v>
      </c>
      <c r="B103" s="89" t="s">
        <v>157</v>
      </c>
      <c r="C103" s="89" t="s">
        <v>52</v>
      </c>
      <c r="D103" s="103">
        <v>100066856</v>
      </c>
      <c r="E103" s="89" t="s">
        <v>54</v>
      </c>
      <c r="F103" s="89">
        <v>100016352</v>
      </c>
      <c r="G103" s="128" t="s">
        <v>192</v>
      </c>
      <c r="H103" s="166"/>
      <c r="I103" s="92"/>
      <c r="J103" s="92"/>
      <c r="K103" s="92"/>
      <c r="L103" s="92"/>
      <c r="M103" s="94"/>
      <c r="N103" s="94"/>
      <c r="O103" s="129"/>
      <c r="P103" s="167" t="e">
        <f t="shared" si="6"/>
        <v>#DIV/0!</v>
      </c>
      <c r="Q103" s="91">
        <v>0</v>
      </c>
      <c r="R103" s="129">
        <v>4.5599999999999996</v>
      </c>
      <c r="S103" s="91">
        <v>0</v>
      </c>
      <c r="T103" s="129">
        <v>0</v>
      </c>
      <c r="U103" s="93">
        <v>4.8</v>
      </c>
      <c r="V103" s="129">
        <v>4.5599999999999996</v>
      </c>
      <c r="W103" s="93">
        <v>0</v>
      </c>
      <c r="X103" s="129">
        <v>0</v>
      </c>
      <c r="Y103" s="93">
        <v>0</v>
      </c>
      <c r="Z103" s="129">
        <v>0</v>
      </c>
      <c r="AA103" s="155">
        <f t="shared" si="10"/>
        <v>1.5999999999999999</v>
      </c>
      <c r="AB103" s="98">
        <f t="shared" si="10"/>
        <v>1.5199999999999998</v>
      </c>
      <c r="AC103"/>
      <c r="AD103" s="97">
        <v>9.6</v>
      </c>
      <c r="AE103" s="92">
        <v>0</v>
      </c>
      <c r="AF103" s="98">
        <f t="shared" si="8"/>
        <v>9.6</v>
      </c>
      <c r="AG103" s="97">
        <v>0</v>
      </c>
      <c r="AH103" s="92">
        <v>0</v>
      </c>
      <c r="AI103" s="98">
        <f t="shared" si="9"/>
        <v>0</v>
      </c>
      <c r="AJ103" s="98">
        <f t="shared" si="7"/>
        <v>9.6</v>
      </c>
      <c r="AK103" s="102" t="str">
        <f>+IF(AB103+AA103+AJ103&lt;=0, "NO COMPRADOR", +IF(AJ103&lt;=0, "SIN COMPRA "&amp;+UPPER(TEXT('DINAMICA ENERO 26'!$C$2,"mmm 'yy")), "COMPRADOR"))</f>
        <v>COMPRADOR</v>
      </c>
      <c r="AL103"/>
      <c r="AM103" s="100"/>
      <c r="AN103" s="101"/>
      <c r="AO103" s="100"/>
      <c r="AP103"/>
      <c r="AQ103"/>
      <c r="AR103"/>
      <c r="AS103"/>
      <c r="AT103"/>
      <c r="AU103"/>
      <c r="AV103"/>
      <c r="AW103"/>
      <c r="AX103"/>
    </row>
    <row r="104" spans="1:50" s="100" customFormat="1">
      <c r="A104" s="88" t="s">
        <v>85</v>
      </c>
      <c r="B104" s="89" t="s">
        <v>157</v>
      </c>
      <c r="C104" s="89" t="s">
        <v>52</v>
      </c>
      <c r="D104" s="103">
        <v>100066856</v>
      </c>
      <c r="E104" s="89" t="s">
        <v>54</v>
      </c>
      <c r="F104" s="89">
        <v>100083764</v>
      </c>
      <c r="G104" s="128" t="s">
        <v>193</v>
      </c>
      <c r="H104" s="166"/>
      <c r="I104" s="92"/>
      <c r="J104" s="92"/>
      <c r="K104" s="92"/>
      <c r="L104" s="92"/>
      <c r="M104" s="94"/>
      <c r="N104" s="94"/>
      <c r="O104" s="129"/>
      <c r="P104" s="167" t="e">
        <f t="shared" si="6"/>
        <v>#DIV/0!</v>
      </c>
      <c r="Q104" s="91">
        <v>28.799999999999997</v>
      </c>
      <c r="R104" s="129">
        <v>13.68</v>
      </c>
      <c r="S104" s="91">
        <v>24</v>
      </c>
      <c r="T104" s="129">
        <v>4.5599999999999996</v>
      </c>
      <c r="U104" s="93">
        <v>28.8</v>
      </c>
      <c r="V104" s="129">
        <v>4.5599999999999996</v>
      </c>
      <c r="W104" s="93">
        <v>0</v>
      </c>
      <c r="X104" s="129">
        <v>0</v>
      </c>
      <c r="Y104" s="93">
        <v>28.8</v>
      </c>
      <c r="Z104" s="129">
        <v>0</v>
      </c>
      <c r="AA104" s="155">
        <f t="shared" si="10"/>
        <v>19.2</v>
      </c>
      <c r="AB104" s="98">
        <f t="shared" si="10"/>
        <v>1.5199999999999998</v>
      </c>
      <c r="AC104"/>
      <c r="AD104" s="97">
        <v>24</v>
      </c>
      <c r="AE104" s="92">
        <v>0</v>
      </c>
      <c r="AF104" s="98">
        <f t="shared" si="8"/>
        <v>24</v>
      </c>
      <c r="AG104" s="97">
        <v>0</v>
      </c>
      <c r="AH104" s="92">
        <v>0</v>
      </c>
      <c r="AI104" s="98">
        <f t="shared" si="9"/>
        <v>0</v>
      </c>
      <c r="AJ104" s="98">
        <f t="shared" si="7"/>
        <v>24</v>
      </c>
      <c r="AK104" s="102" t="str">
        <f>+IF(AB104+AA104+AJ104&lt;=0, "NO COMPRADOR", +IF(AJ104&lt;=0, "SIN COMPRA "&amp;+UPPER(TEXT('DINAMICA ENERO 26'!$C$2,"mmm 'yy")), "COMPRADOR"))</f>
        <v>COMPRADOR</v>
      </c>
      <c r="AL104"/>
      <c r="AN104" s="101"/>
      <c r="AP104"/>
      <c r="AQ104"/>
      <c r="AR104"/>
      <c r="AS104"/>
      <c r="AT104"/>
      <c r="AU104"/>
      <c r="AV104"/>
      <c r="AW104"/>
      <c r="AX104"/>
    </row>
    <row r="105" spans="1:50" s="100" customFormat="1">
      <c r="A105" s="88" t="s">
        <v>85</v>
      </c>
      <c r="B105" s="89" t="s">
        <v>157</v>
      </c>
      <c r="C105" s="89" t="s">
        <v>52</v>
      </c>
      <c r="D105" s="103">
        <v>100066856</v>
      </c>
      <c r="E105" s="89" t="s">
        <v>54</v>
      </c>
      <c r="F105" s="89">
        <v>100071616</v>
      </c>
      <c r="G105" s="128" t="s">
        <v>194</v>
      </c>
      <c r="H105" s="166"/>
      <c r="I105" s="92"/>
      <c r="J105" s="92"/>
      <c r="K105" s="92"/>
      <c r="L105" s="92"/>
      <c r="M105" s="94"/>
      <c r="N105" s="94"/>
      <c r="O105" s="129"/>
      <c r="P105" s="167" t="e">
        <f t="shared" si="6"/>
        <v>#DIV/0!</v>
      </c>
      <c r="Q105" s="91">
        <v>211.2</v>
      </c>
      <c r="R105" s="129">
        <v>22.799999999999997</v>
      </c>
      <c r="S105" s="91">
        <v>422.4</v>
      </c>
      <c r="T105" s="129">
        <v>27.359999999999996</v>
      </c>
      <c r="U105" s="93">
        <v>187.2</v>
      </c>
      <c r="V105" s="129">
        <v>45.599999999999994</v>
      </c>
      <c r="W105" s="93">
        <v>283.2</v>
      </c>
      <c r="X105" s="129">
        <v>31.919999999999998</v>
      </c>
      <c r="Y105" s="93">
        <v>264</v>
      </c>
      <c r="Z105" s="129">
        <v>45.599999999999994</v>
      </c>
      <c r="AA105" s="155">
        <f t="shared" si="10"/>
        <v>244.79999999999998</v>
      </c>
      <c r="AB105" s="98">
        <f t="shared" si="10"/>
        <v>41.04</v>
      </c>
      <c r="AC105"/>
      <c r="AD105" s="97">
        <v>144</v>
      </c>
      <c r="AE105" s="92">
        <v>0</v>
      </c>
      <c r="AF105" s="98">
        <f t="shared" si="8"/>
        <v>144</v>
      </c>
      <c r="AG105" s="97">
        <v>68.399999999999991</v>
      </c>
      <c r="AH105" s="92">
        <v>0</v>
      </c>
      <c r="AI105" s="98">
        <f t="shared" si="9"/>
        <v>68.399999999999991</v>
      </c>
      <c r="AJ105" s="98">
        <f t="shared" si="7"/>
        <v>212.39999999999998</v>
      </c>
      <c r="AK105" s="102" t="str">
        <f>+IF(AB105+AA105+AJ105&lt;=0, "NO COMPRADOR", +IF(AJ105&lt;=0, "SIN COMPRA "&amp;+UPPER(TEXT('DINAMICA ENERO 26'!$C$2,"mmm 'yy")), "COMPRADOR"))</f>
        <v>COMPRADOR</v>
      </c>
      <c r="AL105"/>
      <c r="AN105" s="101"/>
      <c r="AP105"/>
      <c r="AQ105"/>
      <c r="AR105"/>
      <c r="AS105"/>
      <c r="AT105"/>
      <c r="AU105"/>
      <c r="AV105"/>
      <c r="AW105"/>
      <c r="AX105"/>
    </row>
    <row r="106" spans="1:50" s="100" customFormat="1">
      <c r="A106" s="88" t="s">
        <v>85</v>
      </c>
      <c r="B106" s="89" t="s">
        <v>157</v>
      </c>
      <c r="C106" s="89" t="s">
        <v>52</v>
      </c>
      <c r="D106" s="103">
        <v>100066856</v>
      </c>
      <c r="E106" s="89" t="s">
        <v>54</v>
      </c>
      <c r="F106" s="89">
        <v>100011726</v>
      </c>
      <c r="G106" s="128" t="s">
        <v>195</v>
      </c>
      <c r="H106" s="166"/>
      <c r="I106" s="92"/>
      <c r="J106" s="92"/>
      <c r="K106" s="92"/>
      <c r="L106" s="92"/>
      <c r="M106" s="94"/>
      <c r="N106" s="94"/>
      <c r="O106" s="129"/>
      <c r="P106" s="167" t="e">
        <f t="shared" si="6"/>
        <v>#DIV/0!</v>
      </c>
      <c r="Q106" s="91">
        <v>0</v>
      </c>
      <c r="R106" s="129">
        <v>0</v>
      </c>
      <c r="S106" s="91">
        <v>0</v>
      </c>
      <c r="T106" s="129">
        <v>0</v>
      </c>
      <c r="U106" s="93">
        <v>0</v>
      </c>
      <c r="V106" s="129">
        <v>0</v>
      </c>
      <c r="W106" s="93">
        <v>0</v>
      </c>
      <c r="X106" s="129">
        <v>0</v>
      </c>
      <c r="Y106" s="93">
        <v>0</v>
      </c>
      <c r="Z106" s="129">
        <v>0</v>
      </c>
      <c r="AA106" s="155">
        <f t="shared" si="10"/>
        <v>0</v>
      </c>
      <c r="AB106" s="98">
        <f t="shared" si="10"/>
        <v>0</v>
      </c>
      <c r="AC106"/>
      <c r="AD106" s="97">
        <v>0</v>
      </c>
      <c r="AE106" s="92">
        <v>0</v>
      </c>
      <c r="AF106" s="98">
        <f t="shared" si="8"/>
        <v>0</v>
      </c>
      <c r="AG106" s="97">
        <v>0</v>
      </c>
      <c r="AH106" s="92">
        <v>0</v>
      </c>
      <c r="AI106" s="98">
        <f t="shared" si="9"/>
        <v>0</v>
      </c>
      <c r="AJ106" s="98">
        <f t="shared" si="7"/>
        <v>0</v>
      </c>
      <c r="AK106" s="102" t="str">
        <f>+IF(AB106+AA106+AJ106&lt;=0, "NO COMPRADOR", +IF(AJ106&lt;=0, "SIN COMPRA "&amp;+UPPER(TEXT('DINAMICA ENERO 26'!$C$2,"mmm 'yy")), "COMPRADOR"))</f>
        <v>NO COMPRADOR</v>
      </c>
      <c r="AL106"/>
      <c r="AN106" s="101"/>
      <c r="AP106"/>
      <c r="AQ106"/>
      <c r="AR106"/>
      <c r="AS106"/>
      <c r="AT106"/>
      <c r="AU106"/>
      <c r="AV106"/>
      <c r="AW106"/>
      <c r="AX106"/>
    </row>
    <row r="107" spans="1:50" s="100" customFormat="1">
      <c r="A107" s="88" t="s">
        <v>85</v>
      </c>
      <c r="B107" s="89" t="s">
        <v>157</v>
      </c>
      <c r="C107" s="89" t="s">
        <v>52</v>
      </c>
      <c r="D107" s="103">
        <v>100066856</v>
      </c>
      <c r="E107" s="89" t="s">
        <v>54</v>
      </c>
      <c r="F107" s="89">
        <v>100077612</v>
      </c>
      <c r="G107" s="128" t="s">
        <v>196</v>
      </c>
      <c r="H107" s="166"/>
      <c r="I107" s="92"/>
      <c r="J107" s="92"/>
      <c r="K107" s="92"/>
      <c r="L107" s="92"/>
      <c r="M107" s="94"/>
      <c r="N107" s="94"/>
      <c r="O107" s="129"/>
      <c r="P107" s="167" t="e">
        <f t="shared" si="6"/>
        <v>#DIV/0!</v>
      </c>
      <c r="Q107" s="91">
        <v>0</v>
      </c>
      <c r="R107" s="129">
        <v>4.5599999999999996</v>
      </c>
      <c r="S107" s="91">
        <v>0</v>
      </c>
      <c r="T107" s="129">
        <v>9.1199999999999992</v>
      </c>
      <c r="U107" s="93">
        <v>4.8</v>
      </c>
      <c r="V107" s="129">
        <v>4.5599999999999996</v>
      </c>
      <c r="W107" s="93">
        <v>0</v>
      </c>
      <c r="X107" s="129">
        <v>0</v>
      </c>
      <c r="Y107" s="93">
        <v>14.399999999999999</v>
      </c>
      <c r="Z107" s="129">
        <v>0</v>
      </c>
      <c r="AA107" s="155">
        <f t="shared" si="10"/>
        <v>6.3999999999999995</v>
      </c>
      <c r="AB107" s="98">
        <f t="shared" si="10"/>
        <v>1.5199999999999998</v>
      </c>
      <c r="AC107"/>
      <c r="AD107" s="97">
        <v>0</v>
      </c>
      <c r="AE107" s="92">
        <v>0</v>
      </c>
      <c r="AF107" s="98">
        <f t="shared" si="8"/>
        <v>0</v>
      </c>
      <c r="AG107" s="97">
        <v>0</v>
      </c>
      <c r="AH107" s="92">
        <v>0</v>
      </c>
      <c r="AI107" s="98">
        <f t="shared" si="9"/>
        <v>0</v>
      </c>
      <c r="AJ107" s="98">
        <f t="shared" si="7"/>
        <v>0</v>
      </c>
      <c r="AK107" s="102" t="str">
        <f>+IF(AB107+AA107+AJ107&lt;=0, "NO COMPRADOR", +IF(AJ107&lt;=0, "SIN COMPRA "&amp;+UPPER(TEXT('DINAMICA ENERO 26'!$C$2,"mmm 'yy")), "COMPRADOR"))</f>
        <v>SIN COMPRA FEB '26</v>
      </c>
      <c r="AL107"/>
      <c r="AN107" s="101"/>
      <c r="AP107"/>
      <c r="AQ107"/>
      <c r="AR107"/>
      <c r="AS107"/>
      <c r="AT107"/>
      <c r="AU107"/>
      <c r="AV107"/>
      <c r="AW107"/>
      <c r="AX107"/>
    </row>
    <row r="108" spans="1:50" s="104" customFormat="1">
      <c r="A108" s="88" t="s">
        <v>85</v>
      </c>
      <c r="B108" s="89" t="s">
        <v>157</v>
      </c>
      <c r="C108" s="89" t="s">
        <v>52</v>
      </c>
      <c r="D108" s="103">
        <v>100066856</v>
      </c>
      <c r="E108" s="89" t="s">
        <v>54</v>
      </c>
      <c r="F108" s="89">
        <v>100073860</v>
      </c>
      <c r="G108" s="128" t="s">
        <v>197</v>
      </c>
      <c r="H108" s="166"/>
      <c r="I108" s="92"/>
      <c r="J108" s="92"/>
      <c r="K108" s="92"/>
      <c r="L108" s="92"/>
      <c r="M108" s="94"/>
      <c r="N108" s="94"/>
      <c r="O108" s="129"/>
      <c r="P108" s="167" t="e">
        <f t="shared" si="6"/>
        <v>#DIV/0!</v>
      </c>
      <c r="Q108" s="91">
        <v>9.6</v>
      </c>
      <c r="R108" s="129">
        <v>9.1199999999999992</v>
      </c>
      <c r="S108" s="91">
        <v>4.8</v>
      </c>
      <c r="T108" s="129">
        <v>0</v>
      </c>
      <c r="U108" s="93">
        <v>24</v>
      </c>
      <c r="V108" s="129">
        <v>4.5599999999999996</v>
      </c>
      <c r="W108" s="93">
        <v>9.6</v>
      </c>
      <c r="X108" s="129">
        <v>9.1199999999999992</v>
      </c>
      <c r="Y108" s="93">
        <v>4.8</v>
      </c>
      <c r="Z108" s="129">
        <v>0</v>
      </c>
      <c r="AA108" s="155">
        <f t="shared" si="10"/>
        <v>12.799999999999999</v>
      </c>
      <c r="AB108" s="98">
        <f t="shared" si="10"/>
        <v>4.5599999999999996</v>
      </c>
      <c r="AC108"/>
      <c r="AD108" s="97">
        <v>9.6</v>
      </c>
      <c r="AE108" s="92">
        <v>0</v>
      </c>
      <c r="AF108" s="98">
        <f t="shared" si="8"/>
        <v>9.6</v>
      </c>
      <c r="AG108" s="97">
        <v>18.239999999999998</v>
      </c>
      <c r="AH108" s="92">
        <v>0</v>
      </c>
      <c r="AI108" s="98">
        <f t="shared" si="9"/>
        <v>18.239999999999998</v>
      </c>
      <c r="AJ108" s="98">
        <f t="shared" si="7"/>
        <v>27.839999999999996</v>
      </c>
      <c r="AK108" s="102" t="str">
        <f>+IF(AB108+AA108+AJ108&lt;=0, "NO COMPRADOR", +IF(AJ108&lt;=0, "SIN COMPRA "&amp;+UPPER(TEXT('DINAMICA ENERO 26'!$C$2,"mmm 'yy")), "COMPRADOR"))</f>
        <v>COMPRADOR</v>
      </c>
      <c r="AL108"/>
      <c r="AM108" s="100"/>
      <c r="AN108" s="101"/>
      <c r="AO108" s="100"/>
      <c r="AP108"/>
      <c r="AQ108"/>
      <c r="AR108"/>
      <c r="AS108"/>
      <c r="AT108"/>
      <c r="AU108"/>
      <c r="AV108"/>
      <c r="AW108"/>
      <c r="AX108"/>
    </row>
    <row r="109" spans="1:50" s="100" customFormat="1">
      <c r="A109" s="88" t="s">
        <v>85</v>
      </c>
      <c r="B109" s="89" t="s">
        <v>157</v>
      </c>
      <c r="C109" s="89" t="s">
        <v>52</v>
      </c>
      <c r="D109" s="103">
        <v>100066856</v>
      </c>
      <c r="E109" s="89" t="s">
        <v>54</v>
      </c>
      <c r="F109" s="89">
        <v>100002246</v>
      </c>
      <c r="G109" s="128" t="s">
        <v>198</v>
      </c>
      <c r="H109" s="166"/>
      <c r="I109" s="92"/>
      <c r="J109" s="92"/>
      <c r="K109" s="92"/>
      <c r="L109" s="92"/>
      <c r="M109" s="94"/>
      <c r="N109" s="94"/>
      <c r="O109" s="129"/>
      <c r="P109" s="167" t="e">
        <f t="shared" si="6"/>
        <v>#DIV/0!</v>
      </c>
      <c r="Q109" s="91">
        <v>0</v>
      </c>
      <c r="R109" s="129">
        <v>0</v>
      </c>
      <c r="S109" s="91">
        <v>0</v>
      </c>
      <c r="T109" s="129">
        <v>0</v>
      </c>
      <c r="U109" s="93">
        <v>4.8</v>
      </c>
      <c r="V109" s="129">
        <v>4.5599999999999996</v>
      </c>
      <c r="W109" s="93">
        <v>0</v>
      </c>
      <c r="X109" s="129">
        <v>0</v>
      </c>
      <c r="Y109" s="93">
        <v>0</v>
      </c>
      <c r="Z109" s="129">
        <v>0</v>
      </c>
      <c r="AA109" s="155">
        <f t="shared" si="10"/>
        <v>1.5999999999999999</v>
      </c>
      <c r="AB109" s="98">
        <f t="shared" si="10"/>
        <v>1.5199999999999998</v>
      </c>
      <c r="AC109"/>
      <c r="AD109" s="97">
        <v>0</v>
      </c>
      <c r="AE109" s="92">
        <v>0</v>
      </c>
      <c r="AF109" s="98">
        <f t="shared" si="8"/>
        <v>0</v>
      </c>
      <c r="AG109" s="97">
        <v>0</v>
      </c>
      <c r="AH109" s="92">
        <v>0</v>
      </c>
      <c r="AI109" s="98">
        <f t="shared" si="9"/>
        <v>0</v>
      </c>
      <c r="AJ109" s="98">
        <f t="shared" si="7"/>
        <v>0</v>
      </c>
      <c r="AK109" s="102" t="str">
        <f>+IF(AB109+AA109+AJ109&lt;=0, "NO COMPRADOR", +IF(AJ109&lt;=0, "SIN COMPRA "&amp;+UPPER(TEXT('DINAMICA ENERO 26'!$C$2,"mmm 'yy")), "COMPRADOR"))</f>
        <v>SIN COMPRA FEB '26</v>
      </c>
      <c r="AL109"/>
      <c r="AN109" s="101"/>
      <c r="AP109"/>
      <c r="AQ109"/>
      <c r="AR109"/>
      <c r="AS109"/>
      <c r="AT109"/>
      <c r="AU109"/>
      <c r="AV109"/>
      <c r="AW109"/>
      <c r="AX109"/>
    </row>
    <row r="110" spans="1:50" s="104" customFormat="1">
      <c r="A110" s="88" t="s">
        <v>85</v>
      </c>
      <c r="B110" s="89" t="s">
        <v>157</v>
      </c>
      <c r="C110" s="89" t="s">
        <v>52</v>
      </c>
      <c r="D110" s="103">
        <v>100066856</v>
      </c>
      <c r="E110" s="89" t="s">
        <v>54</v>
      </c>
      <c r="F110" s="89">
        <v>100071232</v>
      </c>
      <c r="G110" s="128" t="s">
        <v>199</v>
      </c>
      <c r="H110" s="166"/>
      <c r="I110" s="92"/>
      <c r="J110" s="92"/>
      <c r="K110" s="92"/>
      <c r="L110" s="92"/>
      <c r="M110" s="94"/>
      <c r="N110" s="94"/>
      <c r="O110" s="129"/>
      <c r="P110" s="167" t="e">
        <f t="shared" si="6"/>
        <v>#DIV/0!</v>
      </c>
      <c r="Q110" s="91">
        <v>0</v>
      </c>
      <c r="R110" s="129">
        <v>0</v>
      </c>
      <c r="S110" s="91">
        <v>0</v>
      </c>
      <c r="T110" s="129">
        <v>0</v>
      </c>
      <c r="U110" s="93">
        <v>0</v>
      </c>
      <c r="V110" s="129">
        <v>0</v>
      </c>
      <c r="W110" s="93">
        <v>0</v>
      </c>
      <c r="X110" s="129">
        <v>0</v>
      </c>
      <c r="Y110" s="93">
        <v>4.8</v>
      </c>
      <c r="Z110" s="129">
        <v>4.5599999999999996</v>
      </c>
      <c r="AA110" s="155">
        <f t="shared" si="10"/>
        <v>1.5999999999999999</v>
      </c>
      <c r="AB110" s="98">
        <f t="shared" si="10"/>
        <v>1.5199999999999998</v>
      </c>
      <c r="AC110"/>
      <c r="AD110" s="97">
        <v>4.8</v>
      </c>
      <c r="AE110" s="92">
        <v>0</v>
      </c>
      <c r="AF110" s="98">
        <f t="shared" si="8"/>
        <v>4.8</v>
      </c>
      <c r="AG110" s="97">
        <v>0</v>
      </c>
      <c r="AH110" s="92">
        <v>0</v>
      </c>
      <c r="AI110" s="98">
        <f t="shared" si="9"/>
        <v>0</v>
      </c>
      <c r="AJ110" s="98">
        <f t="shared" si="7"/>
        <v>4.8</v>
      </c>
      <c r="AK110" s="102" t="str">
        <f>+IF(AB110+AA110+AJ110&lt;=0, "NO COMPRADOR", +IF(AJ110&lt;=0, "SIN COMPRA "&amp;+UPPER(TEXT('DINAMICA ENERO 26'!$C$2,"mmm 'yy")), "COMPRADOR"))</f>
        <v>COMPRADOR</v>
      </c>
      <c r="AL110"/>
      <c r="AM110" s="100"/>
      <c r="AN110" s="101"/>
      <c r="AO110" s="100"/>
      <c r="AP110"/>
      <c r="AQ110"/>
      <c r="AR110"/>
      <c r="AS110"/>
      <c r="AT110"/>
      <c r="AU110"/>
      <c r="AV110"/>
      <c r="AW110"/>
      <c r="AX110"/>
    </row>
    <row r="111" spans="1:50" s="104" customFormat="1">
      <c r="A111" s="88" t="s">
        <v>85</v>
      </c>
      <c r="B111" s="89" t="s">
        <v>157</v>
      </c>
      <c r="C111" s="89" t="s">
        <v>52</v>
      </c>
      <c r="D111" s="103">
        <v>100066856</v>
      </c>
      <c r="E111" s="89" t="s">
        <v>54</v>
      </c>
      <c r="F111" s="89">
        <v>100076868</v>
      </c>
      <c r="G111" s="128" t="s">
        <v>200</v>
      </c>
      <c r="H111" s="166"/>
      <c r="I111" s="92"/>
      <c r="J111" s="92"/>
      <c r="K111" s="92"/>
      <c r="L111" s="92"/>
      <c r="M111" s="94"/>
      <c r="N111" s="94"/>
      <c r="O111" s="129"/>
      <c r="P111" s="167" t="e">
        <f t="shared" si="6"/>
        <v>#DIV/0!</v>
      </c>
      <c r="Q111" s="91">
        <v>76.8</v>
      </c>
      <c r="R111" s="129">
        <v>4.5599999999999996</v>
      </c>
      <c r="S111" s="91">
        <v>28.799999999999997</v>
      </c>
      <c r="T111" s="129">
        <v>4.5599999999999996</v>
      </c>
      <c r="U111" s="93">
        <v>4.8</v>
      </c>
      <c r="V111" s="129">
        <v>4.5599999999999996</v>
      </c>
      <c r="W111" s="93">
        <v>0</v>
      </c>
      <c r="X111" s="129">
        <v>0</v>
      </c>
      <c r="Y111" s="93">
        <v>4.8</v>
      </c>
      <c r="Z111" s="129">
        <v>22.799999999999997</v>
      </c>
      <c r="AA111" s="155">
        <f t="shared" si="10"/>
        <v>3.1999999999999997</v>
      </c>
      <c r="AB111" s="98">
        <f t="shared" si="10"/>
        <v>9.1199999999999992</v>
      </c>
      <c r="AC111"/>
      <c r="AD111" s="97">
        <v>0</v>
      </c>
      <c r="AE111" s="92">
        <v>0</v>
      </c>
      <c r="AF111" s="98">
        <f t="shared" si="8"/>
        <v>0</v>
      </c>
      <c r="AG111" s="97">
        <v>0</v>
      </c>
      <c r="AH111" s="92">
        <v>0</v>
      </c>
      <c r="AI111" s="98">
        <f t="shared" si="9"/>
        <v>0</v>
      </c>
      <c r="AJ111" s="98">
        <f t="shared" si="7"/>
        <v>0</v>
      </c>
      <c r="AK111" s="102" t="str">
        <f>+IF(AB111+AA111+AJ111&lt;=0, "NO COMPRADOR", +IF(AJ111&lt;=0, "SIN COMPRA "&amp;+UPPER(TEXT('DINAMICA ENERO 26'!$C$2,"mmm 'yy")), "COMPRADOR"))</f>
        <v>SIN COMPRA FEB '26</v>
      </c>
      <c r="AL111"/>
      <c r="AM111" s="100"/>
      <c r="AN111" s="101"/>
      <c r="AO111" s="100"/>
      <c r="AP111"/>
      <c r="AQ111"/>
      <c r="AR111"/>
      <c r="AS111"/>
      <c r="AT111"/>
      <c r="AU111"/>
      <c r="AV111"/>
      <c r="AW111"/>
      <c r="AX111"/>
    </row>
    <row r="112" spans="1:50" s="100" customFormat="1">
      <c r="A112" s="88" t="s">
        <v>85</v>
      </c>
      <c r="B112" s="89" t="s">
        <v>157</v>
      </c>
      <c r="C112" s="89" t="s">
        <v>52</v>
      </c>
      <c r="D112" s="103">
        <v>100066856</v>
      </c>
      <c r="E112" s="89" t="s">
        <v>54</v>
      </c>
      <c r="F112" s="89">
        <v>100007082</v>
      </c>
      <c r="G112" s="128" t="s">
        <v>201</v>
      </c>
      <c r="H112" s="166"/>
      <c r="I112" s="92"/>
      <c r="J112" s="92"/>
      <c r="K112" s="92"/>
      <c r="L112" s="92"/>
      <c r="M112" s="94"/>
      <c r="N112" s="94"/>
      <c r="O112" s="129"/>
      <c r="P112" s="167" t="e">
        <f t="shared" si="6"/>
        <v>#DIV/0!</v>
      </c>
      <c r="Q112" s="91">
        <v>9.6</v>
      </c>
      <c r="R112" s="129">
        <v>0</v>
      </c>
      <c r="S112" s="91">
        <v>0</v>
      </c>
      <c r="T112" s="129">
        <v>0</v>
      </c>
      <c r="U112" s="93">
        <v>4.8</v>
      </c>
      <c r="V112" s="129">
        <v>4.5599999999999996</v>
      </c>
      <c r="W112" s="93">
        <v>0</v>
      </c>
      <c r="X112" s="129">
        <v>0</v>
      </c>
      <c r="Y112" s="93">
        <v>0</v>
      </c>
      <c r="Z112" s="129">
        <v>0</v>
      </c>
      <c r="AA112" s="155">
        <f t="shared" si="10"/>
        <v>1.5999999999999999</v>
      </c>
      <c r="AB112" s="98">
        <f t="shared" si="10"/>
        <v>1.5199999999999998</v>
      </c>
      <c r="AC112"/>
      <c r="AD112" s="97">
        <v>0</v>
      </c>
      <c r="AE112" s="92">
        <v>0</v>
      </c>
      <c r="AF112" s="98">
        <f t="shared" si="8"/>
        <v>0</v>
      </c>
      <c r="AG112" s="97">
        <v>0</v>
      </c>
      <c r="AH112" s="92">
        <v>0</v>
      </c>
      <c r="AI112" s="98">
        <f t="shared" si="9"/>
        <v>0</v>
      </c>
      <c r="AJ112" s="98">
        <f t="shared" si="7"/>
        <v>0</v>
      </c>
      <c r="AK112" s="102" t="str">
        <f>+IF(AB112+AA112+AJ112&lt;=0, "NO COMPRADOR", +IF(AJ112&lt;=0, "SIN COMPRA "&amp;+UPPER(TEXT('DINAMICA ENERO 26'!$C$2,"mmm 'yy")), "COMPRADOR"))</f>
        <v>SIN COMPRA FEB '26</v>
      </c>
      <c r="AL112"/>
      <c r="AN112" s="101"/>
      <c r="AP112"/>
      <c r="AQ112"/>
      <c r="AR112"/>
      <c r="AS112"/>
      <c r="AT112"/>
      <c r="AU112"/>
      <c r="AV112"/>
      <c r="AW112"/>
      <c r="AX112"/>
    </row>
    <row r="113" spans="1:50" s="100" customFormat="1">
      <c r="A113" s="88" t="s">
        <v>85</v>
      </c>
      <c r="B113" s="89" t="s">
        <v>157</v>
      </c>
      <c r="C113" s="89" t="s">
        <v>52</v>
      </c>
      <c r="D113" s="103">
        <v>100066856</v>
      </c>
      <c r="E113" s="89" t="s">
        <v>54</v>
      </c>
      <c r="F113" s="89">
        <v>100084941</v>
      </c>
      <c r="G113" s="128" t="s">
        <v>202</v>
      </c>
      <c r="H113" s="166"/>
      <c r="I113" s="92"/>
      <c r="J113" s="92"/>
      <c r="K113" s="92"/>
      <c r="L113" s="92"/>
      <c r="M113" s="94"/>
      <c r="N113" s="94"/>
      <c r="O113" s="129"/>
      <c r="P113" s="167" t="e">
        <f t="shared" si="6"/>
        <v>#DIV/0!</v>
      </c>
      <c r="Q113" s="91">
        <v>0</v>
      </c>
      <c r="R113" s="129">
        <v>0</v>
      </c>
      <c r="S113" s="91">
        <v>0</v>
      </c>
      <c r="T113" s="129">
        <v>0</v>
      </c>
      <c r="U113" s="93">
        <v>0</v>
      </c>
      <c r="V113" s="129">
        <v>0</v>
      </c>
      <c r="W113" s="93">
        <v>0</v>
      </c>
      <c r="X113" s="129">
        <v>0</v>
      </c>
      <c r="Y113" s="93">
        <v>0</v>
      </c>
      <c r="Z113" s="129">
        <v>0</v>
      </c>
      <c r="AA113" s="155">
        <f t="shared" si="10"/>
        <v>0</v>
      </c>
      <c r="AB113" s="98">
        <f t="shared" si="10"/>
        <v>0</v>
      </c>
      <c r="AC113"/>
      <c r="AD113" s="97">
        <v>0</v>
      </c>
      <c r="AE113" s="92">
        <v>0</v>
      </c>
      <c r="AF113" s="98">
        <f t="shared" si="8"/>
        <v>0</v>
      </c>
      <c r="AG113" s="97">
        <v>0</v>
      </c>
      <c r="AH113" s="92">
        <v>0</v>
      </c>
      <c r="AI113" s="98">
        <f t="shared" si="9"/>
        <v>0</v>
      </c>
      <c r="AJ113" s="98">
        <f t="shared" si="7"/>
        <v>0</v>
      </c>
      <c r="AK113" s="102" t="str">
        <f>+IF(AB113+AA113+AJ113&lt;=0, "NO COMPRADOR", +IF(AJ113&lt;=0, "SIN COMPRA "&amp;+UPPER(TEXT('DINAMICA ENERO 26'!$C$2,"mmm 'yy")), "COMPRADOR"))</f>
        <v>NO COMPRADOR</v>
      </c>
      <c r="AL113"/>
      <c r="AN113" s="101"/>
      <c r="AP113"/>
      <c r="AQ113"/>
      <c r="AR113"/>
      <c r="AS113"/>
      <c r="AT113"/>
      <c r="AU113"/>
      <c r="AV113"/>
      <c r="AW113"/>
      <c r="AX113"/>
    </row>
    <row r="114" spans="1:50" s="100" customFormat="1">
      <c r="A114" s="88" t="s">
        <v>85</v>
      </c>
      <c r="B114" s="89" t="s">
        <v>157</v>
      </c>
      <c r="C114" s="89" t="s">
        <v>52</v>
      </c>
      <c r="D114" s="103">
        <v>100066856</v>
      </c>
      <c r="E114" s="89" t="s">
        <v>54</v>
      </c>
      <c r="F114" s="89">
        <v>100071677</v>
      </c>
      <c r="G114" s="128" t="s">
        <v>203</v>
      </c>
      <c r="H114" s="166"/>
      <c r="I114" s="92"/>
      <c r="J114" s="92"/>
      <c r="K114" s="92"/>
      <c r="L114" s="92"/>
      <c r="M114" s="94"/>
      <c r="N114" s="94"/>
      <c r="O114" s="129"/>
      <c r="P114" s="167" t="e">
        <f t="shared" si="6"/>
        <v>#DIV/0!</v>
      </c>
      <c r="Q114" s="91">
        <v>9.6</v>
      </c>
      <c r="R114" s="129">
        <v>9.1199999999999992</v>
      </c>
      <c r="S114" s="91">
        <v>24</v>
      </c>
      <c r="T114" s="129">
        <v>13.68</v>
      </c>
      <c r="U114" s="93">
        <v>0</v>
      </c>
      <c r="V114" s="129">
        <v>0</v>
      </c>
      <c r="W114" s="93">
        <v>0</v>
      </c>
      <c r="X114" s="129">
        <v>0</v>
      </c>
      <c r="Y114" s="93">
        <v>0</v>
      </c>
      <c r="Z114" s="129">
        <v>0</v>
      </c>
      <c r="AA114" s="155">
        <f t="shared" si="10"/>
        <v>0</v>
      </c>
      <c r="AB114" s="98">
        <f t="shared" si="10"/>
        <v>0</v>
      </c>
      <c r="AC114"/>
      <c r="AD114" s="97">
        <v>0</v>
      </c>
      <c r="AE114" s="92">
        <v>0</v>
      </c>
      <c r="AF114" s="98">
        <f t="shared" si="8"/>
        <v>0</v>
      </c>
      <c r="AG114" s="97">
        <v>0</v>
      </c>
      <c r="AH114" s="92">
        <v>0</v>
      </c>
      <c r="AI114" s="98">
        <f t="shared" si="9"/>
        <v>0</v>
      </c>
      <c r="AJ114" s="98">
        <f t="shared" si="7"/>
        <v>0</v>
      </c>
      <c r="AK114" s="102" t="str">
        <f>+IF(AB114+AA114+AJ114&lt;=0, "NO COMPRADOR", +IF(AJ114&lt;=0, "SIN COMPRA "&amp;+UPPER(TEXT('DINAMICA ENERO 26'!$C$2,"mmm 'yy")), "COMPRADOR"))</f>
        <v>NO COMPRADOR</v>
      </c>
      <c r="AL114"/>
      <c r="AN114" s="101"/>
      <c r="AP114"/>
      <c r="AQ114"/>
      <c r="AR114"/>
      <c r="AS114"/>
      <c r="AT114"/>
      <c r="AU114"/>
      <c r="AV114"/>
      <c r="AW114"/>
      <c r="AX114"/>
    </row>
    <row r="115" spans="1:50" s="100" customFormat="1">
      <c r="A115" s="88" t="s">
        <v>85</v>
      </c>
      <c r="B115" s="89" t="s">
        <v>204</v>
      </c>
      <c r="C115" s="89" t="s">
        <v>52</v>
      </c>
      <c r="D115" s="103">
        <v>100089701</v>
      </c>
      <c r="E115" s="89" t="s">
        <v>58</v>
      </c>
      <c r="F115" s="89">
        <v>100082346</v>
      </c>
      <c r="G115" s="128" t="s">
        <v>205</v>
      </c>
      <c r="H115" s="166"/>
      <c r="I115" s="92"/>
      <c r="J115" s="92"/>
      <c r="K115" s="92"/>
      <c r="L115" s="92"/>
      <c r="M115" s="94"/>
      <c r="N115" s="94"/>
      <c r="O115" s="129"/>
      <c r="P115" s="167" t="e">
        <f t="shared" si="6"/>
        <v>#DIV/0!</v>
      </c>
      <c r="Q115" s="91">
        <v>216</v>
      </c>
      <c r="R115" s="129">
        <v>45.599999999999994</v>
      </c>
      <c r="S115" s="91">
        <v>192</v>
      </c>
      <c r="T115" s="129">
        <v>22.799999999999997</v>
      </c>
      <c r="U115" s="93">
        <v>216</v>
      </c>
      <c r="V115" s="129">
        <v>45.599999999999994</v>
      </c>
      <c r="W115" s="93">
        <v>288</v>
      </c>
      <c r="X115" s="129">
        <v>54.72</v>
      </c>
      <c r="Y115" s="93">
        <v>120</v>
      </c>
      <c r="Z115" s="129">
        <v>22.799999999999997</v>
      </c>
      <c r="AA115" s="155">
        <f t="shared" si="10"/>
        <v>208</v>
      </c>
      <c r="AB115" s="98">
        <f t="shared" si="10"/>
        <v>41.04</v>
      </c>
      <c r="AC115"/>
      <c r="AD115" s="97">
        <v>120</v>
      </c>
      <c r="AE115" s="92">
        <v>0</v>
      </c>
      <c r="AF115" s="98">
        <f t="shared" si="8"/>
        <v>120</v>
      </c>
      <c r="AG115" s="97">
        <v>22.799999999999997</v>
      </c>
      <c r="AH115" s="92">
        <v>0</v>
      </c>
      <c r="AI115" s="98">
        <f t="shared" si="9"/>
        <v>22.799999999999997</v>
      </c>
      <c r="AJ115" s="98">
        <f t="shared" si="7"/>
        <v>142.80000000000001</v>
      </c>
      <c r="AK115" s="102" t="str">
        <f>+IF(AB115+AA115+AJ115&lt;=0, "NO COMPRADOR", +IF(AJ115&lt;=0, "SIN COMPRA "&amp;+UPPER(TEXT('DINAMICA ENERO 26'!$C$2,"mmm 'yy")), "COMPRADOR"))</f>
        <v>COMPRADOR</v>
      </c>
      <c r="AL115"/>
      <c r="AN115" s="101"/>
      <c r="AP115"/>
      <c r="AQ115"/>
      <c r="AR115"/>
      <c r="AS115"/>
      <c r="AT115"/>
      <c r="AU115"/>
      <c r="AV115"/>
      <c r="AW115"/>
      <c r="AX115"/>
    </row>
    <row r="116" spans="1:50" s="100" customFormat="1">
      <c r="A116" s="88" t="s">
        <v>85</v>
      </c>
      <c r="B116" s="89" t="s">
        <v>204</v>
      </c>
      <c r="C116" s="89" t="s">
        <v>52</v>
      </c>
      <c r="D116" s="103">
        <v>100089701</v>
      </c>
      <c r="E116" s="89" t="s">
        <v>58</v>
      </c>
      <c r="F116" s="89">
        <v>100009863</v>
      </c>
      <c r="G116" s="128" t="s">
        <v>206</v>
      </c>
      <c r="H116" s="166"/>
      <c r="I116" s="92"/>
      <c r="J116" s="92"/>
      <c r="K116" s="92"/>
      <c r="L116" s="92"/>
      <c r="M116" s="94"/>
      <c r="N116" s="94"/>
      <c r="O116" s="129"/>
      <c r="P116" s="167" t="e">
        <f t="shared" si="6"/>
        <v>#DIV/0!</v>
      </c>
      <c r="Q116" s="91">
        <v>0</v>
      </c>
      <c r="R116" s="129">
        <v>0</v>
      </c>
      <c r="S116" s="91">
        <v>4.8</v>
      </c>
      <c r="T116" s="129">
        <v>0</v>
      </c>
      <c r="U116" s="93">
        <v>4.8</v>
      </c>
      <c r="V116" s="129">
        <v>0</v>
      </c>
      <c r="W116" s="93">
        <v>9.6</v>
      </c>
      <c r="X116" s="129">
        <v>0</v>
      </c>
      <c r="Y116" s="93">
        <v>4.8</v>
      </c>
      <c r="Z116" s="129">
        <v>0</v>
      </c>
      <c r="AA116" s="155">
        <f t="shared" si="10"/>
        <v>6.3999999999999995</v>
      </c>
      <c r="AB116" s="98">
        <f t="shared" si="10"/>
        <v>0</v>
      </c>
      <c r="AC116"/>
      <c r="AD116" s="97">
        <v>0</v>
      </c>
      <c r="AE116" s="92">
        <v>0</v>
      </c>
      <c r="AF116" s="98">
        <f t="shared" si="8"/>
        <v>0</v>
      </c>
      <c r="AG116" s="97">
        <v>0</v>
      </c>
      <c r="AH116" s="92">
        <v>0</v>
      </c>
      <c r="AI116" s="98">
        <f t="shared" si="9"/>
        <v>0</v>
      </c>
      <c r="AJ116" s="98">
        <f t="shared" si="7"/>
        <v>0</v>
      </c>
      <c r="AK116" s="102" t="str">
        <f>+IF(AB116+AA116+AJ116&lt;=0, "NO COMPRADOR", +IF(AJ116&lt;=0, "SIN COMPRA "&amp;+UPPER(TEXT('DINAMICA ENERO 26'!$C$2,"mmm 'yy")), "COMPRADOR"))</f>
        <v>SIN COMPRA FEB '26</v>
      </c>
      <c r="AL116"/>
      <c r="AN116" s="101"/>
      <c r="AP116"/>
      <c r="AQ116"/>
      <c r="AR116"/>
      <c r="AS116"/>
      <c r="AT116"/>
      <c r="AU116"/>
      <c r="AV116"/>
      <c r="AW116"/>
      <c r="AX116"/>
    </row>
    <row r="117" spans="1:50" s="104" customFormat="1">
      <c r="A117" s="88" t="s">
        <v>85</v>
      </c>
      <c r="B117" s="89" t="s">
        <v>204</v>
      </c>
      <c r="C117" s="89" t="s">
        <v>52</v>
      </c>
      <c r="D117" s="103">
        <v>100089701</v>
      </c>
      <c r="E117" s="89" t="s">
        <v>58</v>
      </c>
      <c r="F117" s="89">
        <v>100080357</v>
      </c>
      <c r="G117" s="128" t="s">
        <v>207</v>
      </c>
      <c r="H117" s="166"/>
      <c r="I117" s="92"/>
      <c r="J117" s="92"/>
      <c r="K117" s="92"/>
      <c r="L117" s="92"/>
      <c r="M117" s="94"/>
      <c r="N117" s="94"/>
      <c r="O117" s="129"/>
      <c r="P117" s="167" t="e">
        <f t="shared" si="6"/>
        <v>#DIV/0!</v>
      </c>
      <c r="Q117" s="91">
        <v>33.6</v>
      </c>
      <c r="R117" s="129">
        <v>0</v>
      </c>
      <c r="S117" s="91">
        <v>0</v>
      </c>
      <c r="T117" s="129">
        <v>68.399999999999991</v>
      </c>
      <c r="U117" s="93">
        <v>4.8</v>
      </c>
      <c r="V117" s="129">
        <v>4.5599999999999996</v>
      </c>
      <c r="W117" s="93">
        <v>120</v>
      </c>
      <c r="X117" s="129">
        <v>4.5599999999999996</v>
      </c>
      <c r="Y117" s="93">
        <v>57.6</v>
      </c>
      <c r="Z117" s="129">
        <v>9.1199999999999992</v>
      </c>
      <c r="AA117" s="155">
        <f t="shared" si="10"/>
        <v>60.800000000000004</v>
      </c>
      <c r="AB117" s="98">
        <f t="shared" si="10"/>
        <v>6.0799999999999992</v>
      </c>
      <c r="AC117"/>
      <c r="AD117" s="97">
        <v>0</v>
      </c>
      <c r="AE117" s="92">
        <v>0</v>
      </c>
      <c r="AF117" s="98">
        <f t="shared" si="8"/>
        <v>0</v>
      </c>
      <c r="AG117" s="97">
        <v>13.68</v>
      </c>
      <c r="AH117" s="92">
        <v>0</v>
      </c>
      <c r="AI117" s="98">
        <f t="shared" si="9"/>
        <v>13.68</v>
      </c>
      <c r="AJ117" s="98">
        <f t="shared" si="7"/>
        <v>13.68</v>
      </c>
      <c r="AK117" s="102" t="str">
        <f>+IF(AB117+AA117+AJ117&lt;=0, "NO COMPRADOR", +IF(AJ117&lt;=0, "SIN COMPRA "&amp;+UPPER(TEXT('DINAMICA ENERO 26'!$C$2,"mmm 'yy")), "COMPRADOR"))</f>
        <v>COMPRADOR</v>
      </c>
      <c r="AL117"/>
      <c r="AM117" s="100"/>
      <c r="AN117" s="101"/>
      <c r="AO117" s="100"/>
      <c r="AP117"/>
      <c r="AQ117"/>
      <c r="AR117"/>
      <c r="AS117"/>
      <c r="AT117"/>
      <c r="AU117"/>
      <c r="AV117"/>
      <c r="AW117"/>
      <c r="AX117"/>
    </row>
    <row r="118" spans="1:50" s="100" customFormat="1">
      <c r="A118" s="88" t="s">
        <v>85</v>
      </c>
      <c r="B118" s="89" t="s">
        <v>204</v>
      </c>
      <c r="C118" s="89" t="s">
        <v>52</v>
      </c>
      <c r="D118" s="103">
        <v>100089701</v>
      </c>
      <c r="E118" s="89" t="s">
        <v>58</v>
      </c>
      <c r="F118" s="89">
        <v>100046307</v>
      </c>
      <c r="G118" s="128" t="s">
        <v>208</v>
      </c>
      <c r="H118" s="166"/>
      <c r="I118" s="92"/>
      <c r="J118" s="92"/>
      <c r="K118" s="92"/>
      <c r="L118" s="92"/>
      <c r="M118" s="94"/>
      <c r="N118" s="94"/>
      <c r="O118" s="129"/>
      <c r="P118" s="167" t="e">
        <f t="shared" si="6"/>
        <v>#DIV/0!</v>
      </c>
      <c r="Q118" s="91">
        <v>0</v>
      </c>
      <c r="R118" s="129">
        <v>13.68</v>
      </c>
      <c r="S118" s="91">
        <v>9.6</v>
      </c>
      <c r="T118" s="129">
        <v>0</v>
      </c>
      <c r="U118" s="93">
        <v>9.6</v>
      </c>
      <c r="V118" s="129">
        <v>9.1199999999999992</v>
      </c>
      <c r="W118" s="93">
        <v>9.6</v>
      </c>
      <c r="X118" s="129">
        <v>18.239999999999998</v>
      </c>
      <c r="Y118" s="93">
        <v>0</v>
      </c>
      <c r="Z118" s="129">
        <v>0</v>
      </c>
      <c r="AA118" s="155">
        <f t="shared" si="10"/>
        <v>6.3999999999999995</v>
      </c>
      <c r="AB118" s="98">
        <f t="shared" si="10"/>
        <v>9.1199999999999992</v>
      </c>
      <c r="AC118"/>
      <c r="AD118" s="97">
        <v>0</v>
      </c>
      <c r="AE118" s="92">
        <v>0</v>
      </c>
      <c r="AF118" s="98">
        <f t="shared" si="8"/>
        <v>0</v>
      </c>
      <c r="AG118" s="97">
        <v>4.5599999999999996</v>
      </c>
      <c r="AH118" s="92">
        <v>0</v>
      </c>
      <c r="AI118" s="98">
        <f t="shared" si="9"/>
        <v>4.5599999999999996</v>
      </c>
      <c r="AJ118" s="98">
        <f t="shared" si="7"/>
        <v>4.5599999999999996</v>
      </c>
      <c r="AK118" s="102" t="str">
        <f>+IF(AB118+AA118+AJ118&lt;=0, "NO COMPRADOR", +IF(AJ118&lt;=0, "SIN COMPRA "&amp;+UPPER(TEXT('DINAMICA ENERO 26'!$C$2,"mmm 'yy")), "COMPRADOR"))</f>
        <v>COMPRADOR</v>
      </c>
      <c r="AL118"/>
      <c r="AN118" s="101"/>
      <c r="AP118"/>
      <c r="AQ118"/>
      <c r="AR118"/>
      <c r="AS118"/>
      <c r="AT118"/>
      <c r="AU118"/>
      <c r="AV118"/>
      <c r="AW118"/>
      <c r="AX118"/>
    </row>
    <row r="119" spans="1:50" s="104" customFormat="1">
      <c r="A119" s="88" t="s">
        <v>85</v>
      </c>
      <c r="B119" s="89" t="s">
        <v>204</v>
      </c>
      <c r="C119" s="89" t="s">
        <v>52</v>
      </c>
      <c r="D119" s="103">
        <v>100089701</v>
      </c>
      <c r="E119" s="89" t="s">
        <v>58</v>
      </c>
      <c r="F119" s="89">
        <v>100087065</v>
      </c>
      <c r="G119" s="128" t="s">
        <v>209</v>
      </c>
      <c r="H119" s="166"/>
      <c r="I119" s="92"/>
      <c r="J119" s="92"/>
      <c r="K119" s="92"/>
      <c r="L119" s="92"/>
      <c r="M119" s="94"/>
      <c r="N119" s="94"/>
      <c r="O119" s="129"/>
      <c r="P119" s="167" t="e">
        <f t="shared" si="6"/>
        <v>#DIV/0!</v>
      </c>
      <c r="Q119" s="91">
        <v>0</v>
      </c>
      <c r="R119" s="129">
        <v>0</v>
      </c>
      <c r="S119" s="91">
        <v>0</v>
      </c>
      <c r="T119" s="129">
        <v>0</v>
      </c>
      <c r="U119" s="93">
        <v>0</v>
      </c>
      <c r="V119" s="129">
        <v>0</v>
      </c>
      <c r="W119" s="93">
        <v>0</v>
      </c>
      <c r="X119" s="129">
        <v>0</v>
      </c>
      <c r="Y119" s="93">
        <v>9.6</v>
      </c>
      <c r="Z119" s="129">
        <v>0</v>
      </c>
      <c r="AA119" s="155">
        <f t="shared" si="10"/>
        <v>3.1999999999999997</v>
      </c>
      <c r="AB119" s="98">
        <f t="shared" si="10"/>
        <v>0</v>
      </c>
      <c r="AC119"/>
      <c r="AD119" s="97">
        <v>0</v>
      </c>
      <c r="AE119" s="92">
        <v>0</v>
      </c>
      <c r="AF119" s="98">
        <f t="shared" si="8"/>
        <v>0</v>
      </c>
      <c r="AG119" s="97">
        <v>0</v>
      </c>
      <c r="AH119" s="92">
        <v>0</v>
      </c>
      <c r="AI119" s="98">
        <f t="shared" si="9"/>
        <v>0</v>
      </c>
      <c r="AJ119" s="98">
        <f t="shared" si="7"/>
        <v>0</v>
      </c>
      <c r="AK119" s="102" t="str">
        <f>+IF(AB119+AA119+AJ119&lt;=0, "NO COMPRADOR", +IF(AJ119&lt;=0, "SIN COMPRA "&amp;+UPPER(TEXT('DINAMICA ENERO 26'!$C$2,"mmm 'yy")), "COMPRADOR"))</f>
        <v>SIN COMPRA FEB '26</v>
      </c>
      <c r="AL119"/>
      <c r="AM119" s="100"/>
      <c r="AN119" s="101"/>
      <c r="AO119" s="100"/>
      <c r="AP119"/>
      <c r="AQ119"/>
      <c r="AR119"/>
      <c r="AS119"/>
      <c r="AT119"/>
      <c r="AU119"/>
      <c r="AV119"/>
      <c r="AW119"/>
      <c r="AX119"/>
    </row>
    <row r="120" spans="1:50" s="104" customFormat="1">
      <c r="A120" s="88" t="s">
        <v>85</v>
      </c>
      <c r="B120" s="89" t="s">
        <v>204</v>
      </c>
      <c r="C120" s="89" t="s">
        <v>52</v>
      </c>
      <c r="D120" s="103">
        <v>100089701</v>
      </c>
      <c r="E120" s="89" t="s">
        <v>58</v>
      </c>
      <c r="F120" s="89">
        <v>100087742</v>
      </c>
      <c r="G120" s="128" t="s">
        <v>210</v>
      </c>
      <c r="H120" s="166"/>
      <c r="I120" s="92"/>
      <c r="J120" s="92"/>
      <c r="K120" s="92"/>
      <c r="L120" s="92"/>
      <c r="M120" s="94"/>
      <c r="N120" s="94"/>
      <c r="O120" s="129"/>
      <c r="P120" s="167" t="e">
        <f t="shared" si="6"/>
        <v>#DIV/0!</v>
      </c>
      <c r="Q120" s="91">
        <v>0</v>
      </c>
      <c r="R120" s="129">
        <v>0</v>
      </c>
      <c r="S120" s="91">
        <v>0</v>
      </c>
      <c r="T120" s="129">
        <v>0</v>
      </c>
      <c r="U120" s="93">
        <v>0</v>
      </c>
      <c r="V120" s="129">
        <v>0</v>
      </c>
      <c r="W120" s="93">
        <v>4.8</v>
      </c>
      <c r="X120" s="129">
        <v>0</v>
      </c>
      <c r="Y120" s="93">
        <v>14.399999999999999</v>
      </c>
      <c r="Z120" s="129">
        <v>0</v>
      </c>
      <c r="AA120" s="155">
        <f t="shared" si="10"/>
        <v>6.3999999999999995</v>
      </c>
      <c r="AB120" s="98">
        <f t="shared" si="10"/>
        <v>0</v>
      </c>
      <c r="AC120"/>
      <c r="AD120" s="97">
        <v>9.6</v>
      </c>
      <c r="AE120" s="92">
        <v>0</v>
      </c>
      <c r="AF120" s="98">
        <f t="shared" si="8"/>
        <v>9.6</v>
      </c>
      <c r="AG120" s="97">
        <v>0</v>
      </c>
      <c r="AH120" s="92">
        <v>0</v>
      </c>
      <c r="AI120" s="98">
        <f t="shared" si="9"/>
        <v>0</v>
      </c>
      <c r="AJ120" s="98">
        <f t="shared" si="7"/>
        <v>9.6</v>
      </c>
      <c r="AK120" s="102" t="str">
        <f>+IF(AB120+AA120+AJ120&lt;=0, "NO COMPRADOR", +IF(AJ120&lt;=0, "SIN COMPRA "&amp;+UPPER(TEXT('DINAMICA ENERO 26'!$C$2,"mmm 'yy")), "COMPRADOR"))</f>
        <v>COMPRADOR</v>
      </c>
      <c r="AL120"/>
      <c r="AM120" s="100"/>
      <c r="AN120" s="101"/>
      <c r="AO120" s="100"/>
      <c r="AP120"/>
      <c r="AQ120"/>
      <c r="AR120"/>
      <c r="AS120"/>
      <c r="AT120"/>
      <c r="AU120"/>
      <c r="AV120"/>
      <c r="AW120"/>
      <c r="AX120"/>
    </row>
    <row r="121" spans="1:50" s="104" customFormat="1">
      <c r="A121" s="88" t="s">
        <v>85</v>
      </c>
      <c r="B121" s="89" t="s">
        <v>204</v>
      </c>
      <c r="C121" s="89" t="s">
        <v>52</v>
      </c>
      <c r="D121" s="103">
        <v>100089701</v>
      </c>
      <c r="E121" s="89" t="s">
        <v>58</v>
      </c>
      <c r="F121" s="89">
        <v>100087748</v>
      </c>
      <c r="G121" s="128" t="s">
        <v>211</v>
      </c>
      <c r="H121" s="166"/>
      <c r="I121" s="92"/>
      <c r="J121" s="92"/>
      <c r="K121" s="92"/>
      <c r="L121" s="92"/>
      <c r="M121" s="94"/>
      <c r="N121" s="94"/>
      <c r="O121" s="129"/>
      <c r="P121" s="167" t="e">
        <f t="shared" si="6"/>
        <v>#DIV/0!</v>
      </c>
      <c r="Q121" s="91">
        <v>0</v>
      </c>
      <c r="R121" s="129">
        <v>0</v>
      </c>
      <c r="S121" s="91">
        <v>0</v>
      </c>
      <c r="T121" s="129">
        <v>0</v>
      </c>
      <c r="U121" s="93">
        <v>0</v>
      </c>
      <c r="V121" s="129">
        <v>0</v>
      </c>
      <c r="W121" s="93">
        <v>9.6</v>
      </c>
      <c r="X121" s="129">
        <v>0</v>
      </c>
      <c r="Y121" s="93">
        <v>28.8</v>
      </c>
      <c r="Z121" s="129">
        <v>0</v>
      </c>
      <c r="AA121" s="155">
        <f t="shared" si="10"/>
        <v>12.799999999999999</v>
      </c>
      <c r="AB121" s="98">
        <f t="shared" si="10"/>
        <v>0</v>
      </c>
      <c r="AC121"/>
      <c r="AD121" s="97">
        <v>0</v>
      </c>
      <c r="AE121" s="92">
        <v>0</v>
      </c>
      <c r="AF121" s="98">
        <f t="shared" si="8"/>
        <v>0</v>
      </c>
      <c r="AG121" s="97">
        <v>0</v>
      </c>
      <c r="AH121" s="92">
        <v>0</v>
      </c>
      <c r="AI121" s="98">
        <f t="shared" si="9"/>
        <v>0</v>
      </c>
      <c r="AJ121" s="98">
        <f t="shared" si="7"/>
        <v>0</v>
      </c>
      <c r="AK121" s="102" t="str">
        <f>+IF(AB121+AA121+AJ121&lt;=0, "NO COMPRADOR", +IF(AJ121&lt;=0, "SIN COMPRA "&amp;+UPPER(TEXT('DINAMICA ENERO 26'!$C$2,"mmm 'yy")), "COMPRADOR"))</f>
        <v>SIN COMPRA FEB '26</v>
      </c>
      <c r="AL121"/>
      <c r="AM121" s="100"/>
      <c r="AN121" s="101"/>
      <c r="AO121" s="100"/>
      <c r="AP121"/>
      <c r="AQ121"/>
      <c r="AR121"/>
      <c r="AS121"/>
      <c r="AT121"/>
      <c r="AU121"/>
      <c r="AV121"/>
      <c r="AW121"/>
      <c r="AX121"/>
    </row>
    <row r="122" spans="1:50" s="104" customFormat="1">
      <c r="A122" s="88" t="s">
        <v>85</v>
      </c>
      <c r="B122" s="89" t="s">
        <v>204</v>
      </c>
      <c r="C122" s="89" t="s">
        <v>52</v>
      </c>
      <c r="D122" s="103">
        <v>100089701</v>
      </c>
      <c r="E122" s="89" t="s">
        <v>58</v>
      </c>
      <c r="F122" s="89">
        <v>100022260</v>
      </c>
      <c r="G122" s="128" t="s">
        <v>212</v>
      </c>
      <c r="H122" s="166"/>
      <c r="I122" s="92"/>
      <c r="J122" s="92"/>
      <c r="K122" s="92"/>
      <c r="L122" s="92"/>
      <c r="M122" s="94"/>
      <c r="N122" s="94"/>
      <c r="O122" s="129"/>
      <c r="P122" s="167" t="e">
        <f t="shared" si="6"/>
        <v>#DIV/0!</v>
      </c>
      <c r="Q122" s="91">
        <v>33.6</v>
      </c>
      <c r="R122" s="129">
        <v>0</v>
      </c>
      <c r="S122" s="91">
        <v>9.6</v>
      </c>
      <c r="T122" s="129">
        <v>0</v>
      </c>
      <c r="U122" s="93">
        <v>28.799999999999997</v>
      </c>
      <c r="V122" s="129">
        <v>4.5599999999999996</v>
      </c>
      <c r="W122" s="93">
        <v>38.4</v>
      </c>
      <c r="X122" s="129">
        <v>9.1199999999999992</v>
      </c>
      <c r="Y122" s="93">
        <v>100.8</v>
      </c>
      <c r="Z122" s="129">
        <v>18.239999999999998</v>
      </c>
      <c r="AA122" s="155">
        <f t="shared" si="10"/>
        <v>56</v>
      </c>
      <c r="AB122" s="98">
        <f t="shared" si="10"/>
        <v>10.639999999999999</v>
      </c>
      <c r="AC122"/>
      <c r="AD122" s="97">
        <v>14.399999999999999</v>
      </c>
      <c r="AE122" s="92">
        <v>0</v>
      </c>
      <c r="AF122" s="98">
        <f t="shared" si="8"/>
        <v>14.399999999999999</v>
      </c>
      <c r="AG122" s="97">
        <v>0</v>
      </c>
      <c r="AH122" s="92">
        <v>0</v>
      </c>
      <c r="AI122" s="98">
        <f t="shared" si="9"/>
        <v>0</v>
      </c>
      <c r="AJ122" s="98">
        <f t="shared" si="7"/>
        <v>14.399999999999999</v>
      </c>
      <c r="AK122" s="102" t="str">
        <f>+IF(AB122+AA122+AJ122&lt;=0, "NO COMPRADOR", +IF(AJ122&lt;=0, "SIN COMPRA "&amp;+UPPER(TEXT('DINAMICA ENERO 26'!$C$2,"mmm 'yy")), "COMPRADOR"))</f>
        <v>COMPRADOR</v>
      </c>
      <c r="AL122"/>
      <c r="AM122" s="100"/>
      <c r="AN122" s="101"/>
      <c r="AO122" s="100"/>
      <c r="AP122"/>
      <c r="AQ122"/>
      <c r="AR122"/>
      <c r="AS122"/>
      <c r="AT122"/>
      <c r="AU122"/>
      <c r="AV122"/>
      <c r="AW122"/>
      <c r="AX122"/>
    </row>
    <row r="123" spans="1:50" s="104" customFormat="1">
      <c r="A123" s="88" t="s">
        <v>85</v>
      </c>
      <c r="B123" s="89" t="s">
        <v>204</v>
      </c>
      <c r="C123" s="89" t="s">
        <v>52</v>
      </c>
      <c r="D123" s="103">
        <v>100089701</v>
      </c>
      <c r="E123" s="89" t="s">
        <v>58</v>
      </c>
      <c r="F123" s="89">
        <v>100085159</v>
      </c>
      <c r="G123" s="128" t="s">
        <v>213</v>
      </c>
      <c r="H123" s="166"/>
      <c r="I123" s="92"/>
      <c r="J123" s="92"/>
      <c r="K123" s="92"/>
      <c r="L123" s="92"/>
      <c r="M123" s="94"/>
      <c r="N123" s="94"/>
      <c r="O123" s="129"/>
      <c r="P123" s="167" t="e">
        <f t="shared" si="6"/>
        <v>#DIV/0!</v>
      </c>
      <c r="Q123" s="91">
        <v>0</v>
      </c>
      <c r="R123" s="129">
        <v>0</v>
      </c>
      <c r="S123" s="91">
        <v>19.2</v>
      </c>
      <c r="T123" s="129">
        <v>0</v>
      </c>
      <c r="U123" s="93">
        <v>0</v>
      </c>
      <c r="V123" s="129">
        <v>0</v>
      </c>
      <c r="W123" s="93">
        <v>0</v>
      </c>
      <c r="X123" s="129">
        <v>0</v>
      </c>
      <c r="Y123" s="93">
        <v>0</v>
      </c>
      <c r="Z123" s="129">
        <v>9.1199999999999992</v>
      </c>
      <c r="AA123" s="155">
        <f t="shared" si="10"/>
        <v>0</v>
      </c>
      <c r="AB123" s="98">
        <f t="shared" si="10"/>
        <v>3.0399999999999996</v>
      </c>
      <c r="AC123"/>
      <c r="AD123" s="97">
        <v>14.399999999999999</v>
      </c>
      <c r="AE123" s="92">
        <v>0</v>
      </c>
      <c r="AF123" s="98">
        <f t="shared" si="8"/>
        <v>14.399999999999999</v>
      </c>
      <c r="AG123" s="97">
        <v>0</v>
      </c>
      <c r="AH123" s="92">
        <v>0</v>
      </c>
      <c r="AI123" s="98">
        <f t="shared" si="9"/>
        <v>0</v>
      </c>
      <c r="AJ123" s="98">
        <f t="shared" si="7"/>
        <v>14.399999999999999</v>
      </c>
      <c r="AK123" s="102" t="str">
        <f>+IF(AB123+AA123+AJ123&lt;=0, "NO COMPRADOR", +IF(AJ123&lt;=0, "SIN COMPRA "&amp;+UPPER(TEXT('DINAMICA ENERO 26'!$C$2,"mmm 'yy")), "COMPRADOR"))</f>
        <v>COMPRADOR</v>
      </c>
      <c r="AL123"/>
      <c r="AM123" s="100"/>
      <c r="AN123" s="101"/>
      <c r="AO123" s="100"/>
      <c r="AP123"/>
      <c r="AQ123"/>
      <c r="AR123"/>
      <c r="AS123"/>
      <c r="AT123"/>
      <c r="AU123"/>
      <c r="AV123"/>
      <c r="AW123"/>
      <c r="AX123"/>
    </row>
    <row r="124" spans="1:50" s="104" customFormat="1">
      <c r="A124" s="88" t="s">
        <v>85</v>
      </c>
      <c r="B124" s="89" t="s">
        <v>204</v>
      </c>
      <c r="C124" s="89" t="s">
        <v>52</v>
      </c>
      <c r="D124" s="103">
        <v>100089701</v>
      </c>
      <c r="E124" s="89" t="s">
        <v>58</v>
      </c>
      <c r="F124" s="89">
        <v>100087283</v>
      </c>
      <c r="G124" s="128" t="s">
        <v>214</v>
      </c>
      <c r="H124" s="166"/>
      <c r="I124" s="92"/>
      <c r="J124" s="92"/>
      <c r="K124" s="92"/>
      <c r="L124" s="92"/>
      <c r="M124" s="94"/>
      <c r="N124" s="94"/>
      <c r="O124" s="129"/>
      <c r="P124" s="167" t="e">
        <f t="shared" si="6"/>
        <v>#DIV/0!</v>
      </c>
      <c r="Q124" s="91">
        <v>0</v>
      </c>
      <c r="R124" s="129">
        <v>0</v>
      </c>
      <c r="S124" s="91">
        <v>0</v>
      </c>
      <c r="T124" s="129">
        <v>0</v>
      </c>
      <c r="U124" s="93">
        <v>0</v>
      </c>
      <c r="V124" s="129">
        <v>0</v>
      </c>
      <c r="W124" s="93">
        <v>0</v>
      </c>
      <c r="X124" s="129">
        <v>0</v>
      </c>
      <c r="Y124" s="93">
        <v>0</v>
      </c>
      <c r="Z124" s="129">
        <v>0</v>
      </c>
      <c r="AA124" s="155">
        <f t="shared" si="10"/>
        <v>0</v>
      </c>
      <c r="AB124" s="98">
        <f t="shared" si="10"/>
        <v>0</v>
      </c>
      <c r="AC124"/>
      <c r="AD124" s="97">
        <v>9.6</v>
      </c>
      <c r="AE124" s="92">
        <v>0</v>
      </c>
      <c r="AF124" s="98">
        <f t="shared" si="8"/>
        <v>9.6</v>
      </c>
      <c r="AG124" s="97">
        <v>0</v>
      </c>
      <c r="AH124" s="92">
        <v>0</v>
      </c>
      <c r="AI124" s="98">
        <f t="shared" si="9"/>
        <v>0</v>
      </c>
      <c r="AJ124" s="98">
        <f t="shared" si="7"/>
        <v>9.6</v>
      </c>
      <c r="AK124" s="102" t="str">
        <f>+IF(AB124+AA124+AJ124&lt;=0, "NO COMPRADOR", +IF(AJ124&lt;=0, "SIN COMPRA "&amp;+UPPER(TEXT('DINAMICA ENERO 26'!$C$2,"mmm 'yy")), "COMPRADOR"))</f>
        <v>COMPRADOR</v>
      </c>
      <c r="AL124"/>
      <c r="AM124" s="100"/>
      <c r="AN124" s="101"/>
      <c r="AO124" s="100"/>
      <c r="AP124"/>
      <c r="AQ124"/>
      <c r="AR124"/>
      <c r="AS124"/>
      <c r="AT124"/>
      <c r="AU124"/>
      <c r="AV124"/>
      <c r="AW124"/>
      <c r="AX124"/>
    </row>
    <row r="125" spans="1:50" s="104" customFormat="1">
      <c r="A125" s="88" t="s">
        <v>85</v>
      </c>
      <c r="B125" s="89" t="s">
        <v>204</v>
      </c>
      <c r="C125" s="89" t="s">
        <v>52</v>
      </c>
      <c r="D125" s="103">
        <v>100089701</v>
      </c>
      <c r="E125" s="89" t="s">
        <v>58</v>
      </c>
      <c r="F125" s="89">
        <v>100001601</v>
      </c>
      <c r="G125" s="128" t="s">
        <v>215</v>
      </c>
      <c r="H125" s="166"/>
      <c r="I125" s="92"/>
      <c r="J125" s="92"/>
      <c r="K125" s="92"/>
      <c r="L125" s="92"/>
      <c r="M125" s="94"/>
      <c r="N125" s="94"/>
      <c r="O125" s="129"/>
      <c r="P125" s="167" t="e">
        <f t="shared" si="6"/>
        <v>#DIV/0!</v>
      </c>
      <c r="Q125" s="91">
        <v>19.2</v>
      </c>
      <c r="R125" s="129">
        <v>0</v>
      </c>
      <c r="S125" s="91">
        <v>14.399999999999999</v>
      </c>
      <c r="T125" s="129">
        <v>0</v>
      </c>
      <c r="U125" s="93">
        <v>4.8</v>
      </c>
      <c r="V125" s="129">
        <v>0</v>
      </c>
      <c r="W125" s="93">
        <v>14.399999999999999</v>
      </c>
      <c r="X125" s="129">
        <v>0</v>
      </c>
      <c r="Y125" s="93">
        <v>4.8</v>
      </c>
      <c r="Z125" s="129">
        <v>0</v>
      </c>
      <c r="AA125" s="155">
        <f t="shared" si="10"/>
        <v>8</v>
      </c>
      <c r="AB125" s="98">
        <f t="shared" si="10"/>
        <v>0</v>
      </c>
      <c r="AC125"/>
      <c r="AD125" s="97">
        <v>9.6</v>
      </c>
      <c r="AE125" s="92">
        <v>0</v>
      </c>
      <c r="AF125" s="98">
        <f t="shared" si="8"/>
        <v>9.6</v>
      </c>
      <c r="AG125" s="97">
        <v>0</v>
      </c>
      <c r="AH125" s="92">
        <v>0</v>
      </c>
      <c r="AI125" s="98">
        <f t="shared" si="9"/>
        <v>0</v>
      </c>
      <c r="AJ125" s="98">
        <f t="shared" si="7"/>
        <v>9.6</v>
      </c>
      <c r="AK125" s="102" t="str">
        <f>+IF(AB125+AA125+AJ125&lt;=0, "NO COMPRADOR", +IF(AJ125&lt;=0, "SIN COMPRA "&amp;+UPPER(TEXT('DINAMICA ENERO 26'!$C$2,"mmm 'yy")), "COMPRADOR"))</f>
        <v>COMPRADOR</v>
      </c>
      <c r="AL125"/>
      <c r="AM125" s="100"/>
      <c r="AN125" s="101"/>
      <c r="AO125" s="100"/>
      <c r="AP125"/>
      <c r="AQ125"/>
      <c r="AR125"/>
      <c r="AS125"/>
      <c r="AT125"/>
      <c r="AU125"/>
      <c r="AV125"/>
      <c r="AW125"/>
      <c r="AX125"/>
    </row>
    <row r="126" spans="1:50" s="104" customFormat="1">
      <c r="A126" s="88" t="s">
        <v>85</v>
      </c>
      <c r="B126" s="89" t="s">
        <v>204</v>
      </c>
      <c r="C126" s="89" t="s">
        <v>52</v>
      </c>
      <c r="D126" s="103">
        <v>100089701</v>
      </c>
      <c r="E126" s="89" t="s">
        <v>58</v>
      </c>
      <c r="F126" s="89">
        <v>100081880</v>
      </c>
      <c r="G126" s="128" t="s">
        <v>216</v>
      </c>
      <c r="H126" s="166"/>
      <c r="I126" s="92"/>
      <c r="J126" s="92"/>
      <c r="K126" s="92"/>
      <c r="L126" s="92"/>
      <c r="M126" s="94"/>
      <c r="N126" s="94"/>
      <c r="O126" s="129"/>
      <c r="P126" s="167" t="e">
        <f t="shared" si="6"/>
        <v>#DIV/0!</v>
      </c>
      <c r="Q126" s="91">
        <v>14.399999999999999</v>
      </c>
      <c r="R126" s="129">
        <v>0</v>
      </c>
      <c r="S126" s="91">
        <v>28.799999999999997</v>
      </c>
      <c r="T126" s="129">
        <v>0</v>
      </c>
      <c r="U126" s="93">
        <v>24</v>
      </c>
      <c r="V126" s="129">
        <v>0</v>
      </c>
      <c r="W126" s="93">
        <v>24</v>
      </c>
      <c r="X126" s="129">
        <v>0</v>
      </c>
      <c r="Y126" s="93">
        <v>72</v>
      </c>
      <c r="Z126" s="129">
        <v>0</v>
      </c>
      <c r="AA126" s="155">
        <f t="shared" si="10"/>
        <v>40</v>
      </c>
      <c r="AB126" s="98">
        <f t="shared" si="10"/>
        <v>0</v>
      </c>
      <c r="AC126"/>
      <c r="AD126" s="97">
        <v>24</v>
      </c>
      <c r="AE126" s="92">
        <v>0</v>
      </c>
      <c r="AF126" s="98">
        <f t="shared" si="8"/>
        <v>24</v>
      </c>
      <c r="AG126" s="97">
        <v>0</v>
      </c>
      <c r="AH126" s="92">
        <v>0</v>
      </c>
      <c r="AI126" s="98">
        <f t="shared" si="9"/>
        <v>0</v>
      </c>
      <c r="AJ126" s="98">
        <f t="shared" si="7"/>
        <v>24</v>
      </c>
      <c r="AK126" s="102" t="str">
        <f>+IF(AB126+AA126+AJ126&lt;=0, "NO COMPRADOR", +IF(AJ126&lt;=0, "SIN COMPRA "&amp;+UPPER(TEXT('DINAMICA ENERO 26'!$C$2,"mmm 'yy")), "COMPRADOR"))</f>
        <v>COMPRADOR</v>
      </c>
      <c r="AL126"/>
      <c r="AM126" s="100"/>
      <c r="AN126" s="101"/>
      <c r="AO126" s="100"/>
      <c r="AP126"/>
      <c r="AQ126"/>
      <c r="AR126"/>
      <c r="AS126"/>
      <c r="AT126"/>
      <c r="AU126"/>
      <c r="AV126"/>
      <c r="AW126"/>
      <c r="AX126"/>
    </row>
    <row r="127" spans="1:50" s="104" customFormat="1">
      <c r="A127" s="88" t="s">
        <v>85</v>
      </c>
      <c r="B127" s="89" t="s">
        <v>204</v>
      </c>
      <c r="C127" s="89" t="s">
        <v>52</v>
      </c>
      <c r="D127" s="103">
        <v>100089701</v>
      </c>
      <c r="E127" s="89" t="s">
        <v>58</v>
      </c>
      <c r="F127" s="89">
        <v>100083522</v>
      </c>
      <c r="G127" s="128" t="s">
        <v>217</v>
      </c>
      <c r="H127" s="166"/>
      <c r="I127" s="92"/>
      <c r="J127" s="92"/>
      <c r="K127" s="92"/>
      <c r="L127" s="92"/>
      <c r="M127" s="94"/>
      <c r="N127" s="94"/>
      <c r="O127" s="129"/>
      <c r="P127" s="167" t="e">
        <f t="shared" si="6"/>
        <v>#DIV/0!</v>
      </c>
      <c r="Q127" s="91">
        <v>96</v>
      </c>
      <c r="R127" s="129">
        <v>0</v>
      </c>
      <c r="S127" s="91">
        <v>72</v>
      </c>
      <c r="T127" s="129">
        <v>9.1199999999999992</v>
      </c>
      <c r="U127" s="93">
        <v>144</v>
      </c>
      <c r="V127" s="129">
        <v>18.239999999999998</v>
      </c>
      <c r="W127" s="93">
        <v>72</v>
      </c>
      <c r="X127" s="129">
        <v>18.239999999999998</v>
      </c>
      <c r="Y127" s="93">
        <v>76.8</v>
      </c>
      <c r="Z127" s="129">
        <v>9.1199999999999992</v>
      </c>
      <c r="AA127" s="155">
        <f t="shared" si="10"/>
        <v>97.600000000000009</v>
      </c>
      <c r="AB127" s="98">
        <f t="shared" si="10"/>
        <v>15.199999999999998</v>
      </c>
      <c r="AC127"/>
      <c r="AD127" s="97">
        <v>72</v>
      </c>
      <c r="AE127" s="92">
        <v>0</v>
      </c>
      <c r="AF127" s="98">
        <f t="shared" si="8"/>
        <v>72</v>
      </c>
      <c r="AG127" s="97">
        <v>27.359999999999996</v>
      </c>
      <c r="AH127" s="92">
        <v>0</v>
      </c>
      <c r="AI127" s="98">
        <f t="shared" si="9"/>
        <v>27.359999999999996</v>
      </c>
      <c r="AJ127" s="98">
        <f t="shared" si="7"/>
        <v>99.36</v>
      </c>
      <c r="AK127" s="102" t="str">
        <f>+IF(AB127+AA127+AJ127&lt;=0, "NO COMPRADOR", +IF(AJ127&lt;=0, "SIN COMPRA "&amp;+UPPER(TEXT('DINAMICA ENERO 26'!$C$2,"mmm 'yy")), "COMPRADOR"))</f>
        <v>COMPRADOR</v>
      </c>
      <c r="AL127"/>
      <c r="AM127" s="100"/>
      <c r="AN127" s="101"/>
      <c r="AO127" s="100"/>
      <c r="AP127"/>
      <c r="AQ127"/>
      <c r="AR127"/>
      <c r="AS127"/>
      <c r="AT127"/>
      <c r="AU127"/>
      <c r="AV127"/>
      <c r="AW127"/>
      <c r="AX127"/>
    </row>
    <row r="128" spans="1:50" s="104" customFormat="1">
      <c r="A128" s="88" t="s">
        <v>85</v>
      </c>
      <c r="B128" s="89" t="s">
        <v>204</v>
      </c>
      <c r="C128" s="89" t="s">
        <v>52</v>
      </c>
      <c r="D128" s="103">
        <v>100089701</v>
      </c>
      <c r="E128" s="89" t="s">
        <v>58</v>
      </c>
      <c r="F128" s="89">
        <v>100073281</v>
      </c>
      <c r="G128" s="128" t="s">
        <v>218</v>
      </c>
      <c r="H128" s="166"/>
      <c r="I128" s="92"/>
      <c r="J128" s="92"/>
      <c r="K128" s="92"/>
      <c r="L128" s="92"/>
      <c r="M128" s="94"/>
      <c r="N128" s="94"/>
      <c r="O128" s="129"/>
      <c r="P128" s="167" t="e">
        <f t="shared" si="6"/>
        <v>#DIV/0!</v>
      </c>
      <c r="Q128" s="91">
        <v>4.8</v>
      </c>
      <c r="R128" s="129">
        <v>9.1199999999999992</v>
      </c>
      <c r="S128" s="91">
        <v>0</v>
      </c>
      <c r="T128" s="129">
        <v>4.5599999999999996</v>
      </c>
      <c r="U128" s="93">
        <v>0</v>
      </c>
      <c r="V128" s="129">
        <v>0</v>
      </c>
      <c r="W128" s="93">
        <v>4.8</v>
      </c>
      <c r="X128" s="129">
        <v>0</v>
      </c>
      <c r="Y128" s="93">
        <v>0</v>
      </c>
      <c r="Z128" s="129">
        <v>0</v>
      </c>
      <c r="AA128" s="155">
        <f t="shared" si="10"/>
        <v>1.5999999999999999</v>
      </c>
      <c r="AB128" s="98">
        <f t="shared" si="10"/>
        <v>0</v>
      </c>
      <c r="AC128"/>
      <c r="AD128" s="97">
        <v>0</v>
      </c>
      <c r="AE128" s="92">
        <v>0</v>
      </c>
      <c r="AF128" s="98">
        <f t="shared" si="8"/>
        <v>0</v>
      </c>
      <c r="AG128" s="97">
        <v>4.5599999999999996</v>
      </c>
      <c r="AH128" s="92">
        <v>0</v>
      </c>
      <c r="AI128" s="98">
        <f t="shared" si="9"/>
        <v>4.5599999999999996</v>
      </c>
      <c r="AJ128" s="98">
        <f t="shared" si="7"/>
        <v>4.5599999999999996</v>
      </c>
      <c r="AK128" s="102" t="str">
        <f>+IF(AB128+AA128+AJ128&lt;=0, "NO COMPRADOR", +IF(AJ128&lt;=0, "SIN COMPRA "&amp;+UPPER(TEXT('DINAMICA ENERO 26'!$C$2,"mmm 'yy")), "COMPRADOR"))</f>
        <v>COMPRADOR</v>
      </c>
      <c r="AL128"/>
      <c r="AM128" s="100"/>
      <c r="AN128" s="101"/>
      <c r="AO128" s="100"/>
      <c r="AP128"/>
      <c r="AQ128"/>
      <c r="AR128"/>
      <c r="AS128"/>
      <c r="AT128"/>
      <c r="AU128"/>
      <c r="AV128"/>
      <c r="AW128"/>
      <c r="AX128"/>
    </row>
    <row r="129" spans="1:50" s="104" customFormat="1">
      <c r="A129" s="88" t="s">
        <v>85</v>
      </c>
      <c r="B129" s="89" t="s">
        <v>204</v>
      </c>
      <c r="C129" s="89" t="s">
        <v>52</v>
      </c>
      <c r="D129" s="103">
        <v>100089701</v>
      </c>
      <c r="E129" s="89" t="s">
        <v>58</v>
      </c>
      <c r="F129" s="89">
        <v>100051099</v>
      </c>
      <c r="G129" s="128" t="s">
        <v>219</v>
      </c>
      <c r="H129" s="166"/>
      <c r="I129" s="92"/>
      <c r="J129" s="92"/>
      <c r="K129" s="92"/>
      <c r="L129" s="92"/>
      <c r="M129" s="94"/>
      <c r="N129" s="94"/>
      <c r="O129" s="129"/>
      <c r="P129" s="167" t="e">
        <f t="shared" si="6"/>
        <v>#DIV/0!</v>
      </c>
      <c r="Q129" s="91">
        <v>0</v>
      </c>
      <c r="R129" s="129">
        <v>0</v>
      </c>
      <c r="S129" s="91">
        <v>0</v>
      </c>
      <c r="T129" s="129">
        <v>0</v>
      </c>
      <c r="U129" s="93">
        <v>0</v>
      </c>
      <c r="V129" s="129">
        <v>0</v>
      </c>
      <c r="W129" s="93">
        <v>0</v>
      </c>
      <c r="X129" s="129">
        <v>0</v>
      </c>
      <c r="Y129" s="93">
        <v>0</v>
      </c>
      <c r="Z129" s="129">
        <v>0</v>
      </c>
      <c r="AA129" s="155">
        <f t="shared" si="10"/>
        <v>0</v>
      </c>
      <c r="AB129" s="98">
        <f t="shared" si="10"/>
        <v>0</v>
      </c>
      <c r="AC129"/>
      <c r="AD129" s="97">
        <v>0</v>
      </c>
      <c r="AE129" s="92">
        <v>0</v>
      </c>
      <c r="AF129" s="98">
        <f t="shared" si="8"/>
        <v>0</v>
      </c>
      <c r="AG129" s="97">
        <v>0</v>
      </c>
      <c r="AH129" s="92">
        <v>0</v>
      </c>
      <c r="AI129" s="98">
        <f t="shared" si="9"/>
        <v>0</v>
      </c>
      <c r="AJ129" s="98">
        <f t="shared" si="7"/>
        <v>0</v>
      </c>
      <c r="AK129" s="102" t="str">
        <f>+IF(AB129+AA129+AJ129&lt;=0, "NO COMPRADOR", +IF(AJ129&lt;=0, "SIN COMPRA "&amp;+UPPER(TEXT('DINAMICA ENERO 26'!$C$2,"mmm 'yy")), "COMPRADOR"))</f>
        <v>NO COMPRADOR</v>
      </c>
      <c r="AL129"/>
      <c r="AM129" s="100"/>
      <c r="AN129" s="101"/>
      <c r="AO129" s="100"/>
      <c r="AP129"/>
      <c r="AQ129"/>
      <c r="AR129"/>
      <c r="AS129"/>
      <c r="AT129"/>
      <c r="AU129"/>
      <c r="AV129"/>
      <c r="AW129"/>
      <c r="AX129"/>
    </row>
    <row r="130" spans="1:50" s="104" customFormat="1">
      <c r="A130" s="88" t="s">
        <v>85</v>
      </c>
      <c r="B130" s="89" t="s">
        <v>204</v>
      </c>
      <c r="C130" s="89" t="s">
        <v>52</v>
      </c>
      <c r="D130" s="103">
        <v>100089701</v>
      </c>
      <c r="E130" s="89" t="s">
        <v>58</v>
      </c>
      <c r="F130" s="89">
        <v>100087844</v>
      </c>
      <c r="G130" s="128" t="s">
        <v>220</v>
      </c>
      <c r="H130" s="166"/>
      <c r="I130" s="92"/>
      <c r="J130" s="92"/>
      <c r="K130" s="92"/>
      <c r="L130" s="92"/>
      <c r="M130" s="94"/>
      <c r="N130" s="94"/>
      <c r="O130" s="129"/>
      <c r="P130" s="167" t="e">
        <f t="shared" si="6"/>
        <v>#DIV/0!</v>
      </c>
      <c r="Q130" s="91">
        <v>0</v>
      </c>
      <c r="R130" s="129">
        <v>0</v>
      </c>
      <c r="S130" s="91">
        <v>9.6</v>
      </c>
      <c r="T130" s="129">
        <v>9.1199999999999992</v>
      </c>
      <c r="U130" s="93">
        <v>4.8</v>
      </c>
      <c r="V130" s="129">
        <v>4.5599999999999996</v>
      </c>
      <c r="W130" s="93">
        <v>0</v>
      </c>
      <c r="X130" s="129">
        <v>0</v>
      </c>
      <c r="Y130" s="93">
        <v>4.8</v>
      </c>
      <c r="Z130" s="129">
        <v>4.5599999999999996</v>
      </c>
      <c r="AA130" s="155">
        <f t="shared" si="10"/>
        <v>3.1999999999999997</v>
      </c>
      <c r="AB130" s="98">
        <f t="shared" si="10"/>
        <v>3.0399999999999996</v>
      </c>
      <c r="AC130"/>
      <c r="AD130" s="97">
        <v>0</v>
      </c>
      <c r="AE130" s="92">
        <v>0</v>
      </c>
      <c r="AF130" s="98">
        <f t="shared" si="8"/>
        <v>0</v>
      </c>
      <c r="AG130" s="97">
        <v>0</v>
      </c>
      <c r="AH130" s="92">
        <v>0</v>
      </c>
      <c r="AI130" s="98">
        <f t="shared" si="9"/>
        <v>0</v>
      </c>
      <c r="AJ130" s="98">
        <f t="shared" si="7"/>
        <v>0</v>
      </c>
      <c r="AK130" s="102" t="str">
        <f>+IF(AB130+AA130+AJ130&lt;=0, "NO COMPRADOR", +IF(AJ130&lt;=0, "SIN COMPRA "&amp;+UPPER(TEXT('DINAMICA ENERO 26'!$C$2,"mmm 'yy")), "COMPRADOR"))</f>
        <v>SIN COMPRA FEB '26</v>
      </c>
      <c r="AL130"/>
      <c r="AM130" s="100"/>
      <c r="AN130" s="101"/>
      <c r="AO130" s="100"/>
      <c r="AP130"/>
      <c r="AQ130"/>
      <c r="AR130"/>
      <c r="AS130"/>
      <c r="AT130"/>
      <c r="AU130"/>
      <c r="AV130"/>
      <c r="AW130"/>
      <c r="AX130"/>
    </row>
    <row r="131" spans="1:50" s="104" customFormat="1">
      <c r="A131" s="88" t="s">
        <v>85</v>
      </c>
      <c r="B131" s="89" t="s">
        <v>204</v>
      </c>
      <c r="C131" s="89" t="s">
        <v>52</v>
      </c>
      <c r="D131" s="103">
        <v>100089701</v>
      </c>
      <c r="E131" s="89" t="s">
        <v>58</v>
      </c>
      <c r="F131" s="89">
        <v>100088156</v>
      </c>
      <c r="G131" s="128" t="s">
        <v>221</v>
      </c>
      <c r="H131" s="166"/>
      <c r="I131" s="92"/>
      <c r="J131" s="92"/>
      <c r="K131" s="92"/>
      <c r="L131" s="92"/>
      <c r="M131" s="94"/>
      <c r="N131" s="94"/>
      <c r="O131" s="129"/>
      <c r="P131" s="167" t="e">
        <f t="shared" ref="P131:P194" si="11">+AVERAGE(L131:N131)</f>
        <v>#DIV/0!</v>
      </c>
      <c r="Q131" s="91">
        <v>24</v>
      </c>
      <c r="R131" s="129">
        <v>0</v>
      </c>
      <c r="S131" s="91">
        <v>0</v>
      </c>
      <c r="T131" s="129">
        <v>0</v>
      </c>
      <c r="U131" s="93">
        <v>0</v>
      </c>
      <c r="V131" s="129">
        <v>0</v>
      </c>
      <c r="W131" s="93">
        <v>0</v>
      </c>
      <c r="X131" s="129">
        <v>0</v>
      </c>
      <c r="Y131" s="93">
        <v>0</v>
      </c>
      <c r="Z131" s="129">
        <v>0</v>
      </c>
      <c r="AA131" s="155">
        <f t="shared" si="10"/>
        <v>0</v>
      </c>
      <c r="AB131" s="98">
        <f t="shared" si="10"/>
        <v>0</v>
      </c>
      <c r="AC131"/>
      <c r="AD131" s="97">
        <v>0</v>
      </c>
      <c r="AE131" s="92">
        <v>0</v>
      </c>
      <c r="AF131" s="98">
        <f t="shared" si="8"/>
        <v>0</v>
      </c>
      <c r="AG131" s="97">
        <v>22.799999999999997</v>
      </c>
      <c r="AH131" s="92">
        <v>0</v>
      </c>
      <c r="AI131" s="98">
        <f t="shared" si="9"/>
        <v>22.799999999999997</v>
      </c>
      <c r="AJ131" s="98">
        <f t="shared" ref="AJ131:AJ194" si="12">+AF131+AI131</f>
        <v>22.799999999999997</v>
      </c>
      <c r="AK131" s="102" t="str">
        <f>+IF(AB131+AA131+AJ131&lt;=0, "NO COMPRADOR", +IF(AJ131&lt;=0, "SIN COMPRA "&amp;+UPPER(TEXT('DINAMICA ENERO 26'!$C$2,"mmm 'yy")), "COMPRADOR"))</f>
        <v>COMPRADOR</v>
      </c>
      <c r="AL131"/>
      <c r="AM131" s="100"/>
      <c r="AN131" s="101"/>
      <c r="AO131" s="100"/>
      <c r="AP131"/>
      <c r="AQ131"/>
      <c r="AR131"/>
      <c r="AS131"/>
      <c r="AT131"/>
      <c r="AU131"/>
      <c r="AV131"/>
      <c r="AW131"/>
      <c r="AX131"/>
    </row>
    <row r="132" spans="1:50" s="104" customFormat="1">
      <c r="A132" s="88" t="s">
        <v>85</v>
      </c>
      <c r="B132" s="89" t="s">
        <v>204</v>
      </c>
      <c r="C132" s="89" t="s">
        <v>52</v>
      </c>
      <c r="D132" s="103">
        <v>100089701</v>
      </c>
      <c r="E132" s="89" t="s">
        <v>58</v>
      </c>
      <c r="F132" s="89">
        <v>100088609</v>
      </c>
      <c r="G132" s="128" t="s">
        <v>222</v>
      </c>
      <c r="H132" s="166"/>
      <c r="I132" s="92"/>
      <c r="J132" s="92"/>
      <c r="K132" s="92"/>
      <c r="L132" s="92"/>
      <c r="M132" s="94"/>
      <c r="N132" s="94"/>
      <c r="O132" s="129"/>
      <c r="P132" s="167" t="e">
        <f t="shared" si="11"/>
        <v>#DIV/0!</v>
      </c>
      <c r="Q132" s="91">
        <v>24</v>
      </c>
      <c r="R132" s="129">
        <v>9.1199999999999992</v>
      </c>
      <c r="S132" s="91">
        <v>24</v>
      </c>
      <c r="T132" s="129">
        <v>18.239999999999998</v>
      </c>
      <c r="U132" s="93">
        <v>24</v>
      </c>
      <c r="V132" s="129">
        <v>0</v>
      </c>
      <c r="W132" s="93">
        <v>0</v>
      </c>
      <c r="X132" s="129">
        <v>13.68</v>
      </c>
      <c r="Y132" s="93">
        <v>33.599999999999994</v>
      </c>
      <c r="Z132" s="129">
        <v>18.239999999999998</v>
      </c>
      <c r="AA132" s="155">
        <f t="shared" si="10"/>
        <v>19.2</v>
      </c>
      <c r="AB132" s="98">
        <f t="shared" si="10"/>
        <v>10.639999999999999</v>
      </c>
      <c r="AC132"/>
      <c r="AD132" s="97">
        <v>19.2</v>
      </c>
      <c r="AE132" s="92">
        <v>0</v>
      </c>
      <c r="AF132" s="98">
        <f t="shared" ref="AF132:AF195" si="13">+AD132+AE132</f>
        <v>19.2</v>
      </c>
      <c r="AG132" s="97">
        <v>18.239999999999998</v>
      </c>
      <c r="AH132" s="92">
        <v>0</v>
      </c>
      <c r="AI132" s="98">
        <f t="shared" ref="AI132:AI177" si="14">+AG132+AH132</f>
        <v>18.239999999999998</v>
      </c>
      <c r="AJ132" s="98">
        <f t="shared" si="12"/>
        <v>37.44</v>
      </c>
      <c r="AK132" s="102" t="str">
        <f>+IF(AB132+AA132+AJ132&lt;=0, "NO COMPRADOR", +IF(AJ132&lt;=0, "SIN COMPRA "&amp;+UPPER(TEXT('DINAMICA ENERO 26'!$C$2,"mmm 'yy")), "COMPRADOR"))</f>
        <v>COMPRADOR</v>
      </c>
      <c r="AL132"/>
      <c r="AM132" s="100"/>
      <c r="AN132" s="101"/>
      <c r="AO132" s="100"/>
      <c r="AP132"/>
      <c r="AQ132"/>
      <c r="AR132"/>
      <c r="AS132"/>
      <c r="AT132"/>
      <c r="AU132"/>
      <c r="AV132"/>
      <c r="AW132"/>
      <c r="AX132"/>
    </row>
    <row r="133" spans="1:50" s="104" customFormat="1">
      <c r="A133" s="88" t="s">
        <v>85</v>
      </c>
      <c r="B133" s="89" t="s">
        <v>204</v>
      </c>
      <c r="C133" s="89" t="s">
        <v>52</v>
      </c>
      <c r="D133" s="103">
        <v>100073888</v>
      </c>
      <c r="E133" s="89" t="s">
        <v>55</v>
      </c>
      <c r="F133" s="89">
        <v>100001215</v>
      </c>
      <c r="G133" s="128" t="s">
        <v>223</v>
      </c>
      <c r="H133" s="166"/>
      <c r="I133" s="92"/>
      <c r="J133" s="92"/>
      <c r="K133" s="92"/>
      <c r="L133" s="92"/>
      <c r="M133" s="94"/>
      <c r="N133" s="94"/>
      <c r="O133" s="129"/>
      <c r="P133" s="167" t="e">
        <f t="shared" si="11"/>
        <v>#DIV/0!</v>
      </c>
      <c r="Q133" s="91">
        <v>24</v>
      </c>
      <c r="R133" s="129">
        <v>0</v>
      </c>
      <c r="S133" s="91">
        <v>14.399999999999999</v>
      </c>
      <c r="T133" s="129">
        <v>0</v>
      </c>
      <c r="U133" s="93">
        <v>14.399999999999999</v>
      </c>
      <c r="V133" s="129">
        <v>0</v>
      </c>
      <c r="W133" s="93">
        <v>0</v>
      </c>
      <c r="X133" s="129">
        <v>4.5599999999999996</v>
      </c>
      <c r="Y133" s="93">
        <v>0</v>
      </c>
      <c r="Z133" s="129">
        <v>0</v>
      </c>
      <c r="AA133" s="155">
        <f t="shared" si="10"/>
        <v>4.8</v>
      </c>
      <c r="AB133" s="98">
        <f t="shared" si="10"/>
        <v>1.5199999999999998</v>
      </c>
      <c r="AC133"/>
      <c r="AD133" s="97">
        <v>9.6</v>
      </c>
      <c r="AE133" s="92">
        <v>0</v>
      </c>
      <c r="AF133" s="98">
        <f t="shared" si="13"/>
        <v>9.6</v>
      </c>
      <c r="AG133" s="97">
        <v>9.1199999999999992</v>
      </c>
      <c r="AH133" s="92">
        <v>0</v>
      </c>
      <c r="AI133" s="98">
        <f t="shared" si="14"/>
        <v>9.1199999999999992</v>
      </c>
      <c r="AJ133" s="98">
        <f t="shared" si="12"/>
        <v>18.72</v>
      </c>
      <c r="AK133" s="102" t="str">
        <f>+IF(AB133+AA133+AJ133&lt;=0, "NO COMPRADOR", +IF(AJ133&lt;=0, "SIN COMPRA "&amp;+UPPER(TEXT('DINAMICA ENERO 26'!$C$2,"mmm 'yy")), "COMPRADOR"))</f>
        <v>COMPRADOR</v>
      </c>
      <c r="AL133"/>
      <c r="AM133" s="100"/>
      <c r="AN133" s="101"/>
      <c r="AO133" s="100"/>
      <c r="AP133"/>
      <c r="AQ133"/>
      <c r="AR133"/>
      <c r="AS133"/>
      <c r="AT133"/>
      <c r="AU133"/>
      <c r="AV133"/>
      <c r="AW133"/>
      <c r="AX133"/>
    </row>
    <row r="134" spans="1:50" s="104" customFormat="1">
      <c r="A134" s="88" t="s">
        <v>85</v>
      </c>
      <c r="B134" s="89" t="s">
        <v>204</v>
      </c>
      <c r="C134" s="89" t="s">
        <v>52</v>
      </c>
      <c r="D134" s="103">
        <v>100073888</v>
      </c>
      <c r="E134" s="89" t="s">
        <v>55</v>
      </c>
      <c r="F134" s="89">
        <v>100060702</v>
      </c>
      <c r="G134" s="128" t="s">
        <v>224</v>
      </c>
      <c r="H134" s="166"/>
      <c r="I134" s="92"/>
      <c r="J134" s="92"/>
      <c r="K134" s="92"/>
      <c r="L134" s="92"/>
      <c r="M134" s="94"/>
      <c r="N134" s="94"/>
      <c r="O134" s="129"/>
      <c r="P134" s="167" t="e">
        <f t="shared" si="11"/>
        <v>#DIV/0!</v>
      </c>
      <c r="Q134" s="91">
        <v>14.399999999999999</v>
      </c>
      <c r="R134" s="129">
        <v>0</v>
      </c>
      <c r="S134" s="91">
        <v>4.8</v>
      </c>
      <c r="T134" s="129">
        <v>4.5599999999999996</v>
      </c>
      <c r="U134" s="93">
        <v>9.6</v>
      </c>
      <c r="V134" s="129">
        <v>4.5599999999999996</v>
      </c>
      <c r="W134" s="93">
        <v>0</v>
      </c>
      <c r="X134" s="129">
        <v>4.5599999999999996</v>
      </c>
      <c r="Y134" s="93">
        <v>9.6</v>
      </c>
      <c r="Z134" s="129">
        <v>4.5599999999999996</v>
      </c>
      <c r="AA134" s="155">
        <f t="shared" si="10"/>
        <v>6.3999999999999995</v>
      </c>
      <c r="AB134" s="98">
        <f t="shared" si="10"/>
        <v>4.5599999999999996</v>
      </c>
      <c r="AC134"/>
      <c r="AD134" s="97">
        <v>4.8</v>
      </c>
      <c r="AE134" s="92">
        <v>0</v>
      </c>
      <c r="AF134" s="98">
        <f t="shared" si="13"/>
        <v>4.8</v>
      </c>
      <c r="AG134" s="97">
        <v>0</v>
      </c>
      <c r="AH134" s="92">
        <v>0</v>
      </c>
      <c r="AI134" s="98">
        <f t="shared" si="14"/>
        <v>0</v>
      </c>
      <c r="AJ134" s="98">
        <f t="shared" si="12"/>
        <v>4.8</v>
      </c>
      <c r="AK134" s="102" t="str">
        <f>+IF(AB134+AA134+AJ134&lt;=0, "NO COMPRADOR", +IF(AJ134&lt;=0, "SIN COMPRA "&amp;+UPPER(TEXT('DINAMICA ENERO 26'!$C$2,"mmm 'yy")), "COMPRADOR"))</f>
        <v>COMPRADOR</v>
      </c>
      <c r="AL134"/>
      <c r="AM134" s="100"/>
      <c r="AN134" s="101"/>
      <c r="AO134" s="100"/>
      <c r="AP134"/>
      <c r="AQ134"/>
      <c r="AR134"/>
      <c r="AS134"/>
      <c r="AT134"/>
      <c r="AU134"/>
      <c r="AV134"/>
      <c r="AW134"/>
      <c r="AX134"/>
    </row>
    <row r="135" spans="1:50" s="104" customFormat="1">
      <c r="A135" s="88" t="s">
        <v>85</v>
      </c>
      <c r="B135" s="89" t="s">
        <v>204</v>
      </c>
      <c r="C135" s="89" t="s">
        <v>52</v>
      </c>
      <c r="D135" s="103">
        <v>100073888</v>
      </c>
      <c r="E135" s="89" t="s">
        <v>55</v>
      </c>
      <c r="F135" s="89">
        <v>100086804</v>
      </c>
      <c r="G135" s="128" t="s">
        <v>225</v>
      </c>
      <c r="H135" s="166"/>
      <c r="I135" s="92"/>
      <c r="J135" s="92"/>
      <c r="K135" s="92"/>
      <c r="L135" s="92"/>
      <c r="M135" s="94"/>
      <c r="N135" s="94"/>
      <c r="O135" s="129"/>
      <c r="P135" s="167" t="e">
        <f t="shared" si="11"/>
        <v>#DIV/0!</v>
      </c>
      <c r="Q135" s="91">
        <v>96</v>
      </c>
      <c r="R135" s="129">
        <v>68.399999999999991</v>
      </c>
      <c r="S135" s="91">
        <v>52.8</v>
      </c>
      <c r="T135" s="129">
        <v>50.16</v>
      </c>
      <c r="U135" s="93">
        <v>48</v>
      </c>
      <c r="V135" s="129">
        <v>22.799999999999997</v>
      </c>
      <c r="W135" s="93">
        <v>144</v>
      </c>
      <c r="X135" s="129">
        <v>45.599999999999994</v>
      </c>
      <c r="Y135" s="93">
        <v>48</v>
      </c>
      <c r="Z135" s="129">
        <v>45.599999999999994</v>
      </c>
      <c r="AA135" s="155">
        <f t="shared" si="10"/>
        <v>80</v>
      </c>
      <c r="AB135" s="98">
        <f t="shared" si="10"/>
        <v>37.999999999999993</v>
      </c>
      <c r="AC135"/>
      <c r="AD135" s="97">
        <v>24</v>
      </c>
      <c r="AE135" s="92">
        <v>0</v>
      </c>
      <c r="AF135" s="98">
        <f t="shared" si="13"/>
        <v>24</v>
      </c>
      <c r="AG135" s="97">
        <v>63.839999999999989</v>
      </c>
      <c r="AH135" s="92">
        <v>0</v>
      </c>
      <c r="AI135" s="98">
        <f t="shared" si="14"/>
        <v>63.839999999999989</v>
      </c>
      <c r="AJ135" s="98">
        <f t="shared" si="12"/>
        <v>87.839999999999989</v>
      </c>
      <c r="AK135" s="102" t="str">
        <f>+IF(AB135+AA135+AJ135&lt;=0, "NO COMPRADOR", +IF(AJ135&lt;=0, "SIN COMPRA "&amp;+UPPER(TEXT('DINAMICA ENERO 26'!$C$2,"mmm 'yy")), "COMPRADOR"))</f>
        <v>COMPRADOR</v>
      </c>
      <c r="AL135"/>
      <c r="AM135" s="100"/>
      <c r="AN135" s="101"/>
      <c r="AO135" s="100"/>
      <c r="AP135"/>
      <c r="AQ135"/>
      <c r="AR135"/>
      <c r="AS135"/>
      <c r="AT135"/>
      <c r="AU135"/>
      <c r="AV135"/>
      <c r="AW135"/>
      <c r="AX135"/>
    </row>
    <row r="136" spans="1:50" s="104" customFormat="1">
      <c r="A136" s="88" t="s">
        <v>85</v>
      </c>
      <c r="B136" s="89" t="s">
        <v>204</v>
      </c>
      <c r="C136" s="89" t="s">
        <v>52</v>
      </c>
      <c r="D136" s="103">
        <v>100073888</v>
      </c>
      <c r="E136" s="89" t="s">
        <v>55</v>
      </c>
      <c r="F136" s="89">
        <v>100084349</v>
      </c>
      <c r="G136" s="128" t="s">
        <v>226</v>
      </c>
      <c r="H136" s="166"/>
      <c r="I136" s="92"/>
      <c r="J136" s="92"/>
      <c r="K136" s="92"/>
      <c r="L136" s="92"/>
      <c r="M136" s="94"/>
      <c r="N136" s="94"/>
      <c r="O136" s="129"/>
      <c r="P136" s="167" t="e">
        <f t="shared" si="11"/>
        <v>#DIV/0!</v>
      </c>
      <c r="Q136" s="91">
        <v>192</v>
      </c>
      <c r="R136" s="129">
        <v>4.5599999999999996</v>
      </c>
      <c r="S136" s="91">
        <v>96</v>
      </c>
      <c r="T136" s="129">
        <v>4.5599999999999996</v>
      </c>
      <c r="U136" s="93">
        <v>72</v>
      </c>
      <c r="V136" s="129">
        <v>0</v>
      </c>
      <c r="W136" s="93">
        <v>254.4</v>
      </c>
      <c r="X136" s="129">
        <v>4.5599999999999996</v>
      </c>
      <c r="Y136" s="93">
        <v>24</v>
      </c>
      <c r="Z136" s="129">
        <v>22.799999999999997</v>
      </c>
      <c r="AA136" s="155">
        <f t="shared" si="10"/>
        <v>116.8</v>
      </c>
      <c r="AB136" s="98">
        <f t="shared" si="10"/>
        <v>9.1199999999999992</v>
      </c>
      <c r="AC136"/>
      <c r="AD136" s="97">
        <v>0</v>
      </c>
      <c r="AE136" s="92">
        <v>48</v>
      </c>
      <c r="AF136" s="98">
        <f t="shared" si="13"/>
        <v>48</v>
      </c>
      <c r="AG136" s="97">
        <v>0</v>
      </c>
      <c r="AH136" s="92">
        <v>0</v>
      </c>
      <c r="AI136" s="98">
        <f t="shared" si="14"/>
        <v>0</v>
      </c>
      <c r="AJ136" s="98">
        <f t="shared" si="12"/>
        <v>48</v>
      </c>
      <c r="AK136" s="102" t="str">
        <f>+IF(AB136+AA136+AJ136&lt;=0, "NO COMPRADOR", +IF(AJ136&lt;=0, "SIN COMPRA "&amp;+UPPER(TEXT('DINAMICA ENERO 26'!$C$2,"mmm 'yy")), "COMPRADOR"))</f>
        <v>COMPRADOR</v>
      </c>
      <c r="AL136"/>
      <c r="AM136" s="100"/>
      <c r="AN136" s="101"/>
      <c r="AO136" s="100"/>
      <c r="AP136"/>
      <c r="AQ136"/>
      <c r="AR136"/>
      <c r="AS136"/>
      <c r="AT136"/>
      <c r="AU136"/>
      <c r="AV136"/>
      <c r="AW136"/>
      <c r="AX136"/>
    </row>
    <row r="137" spans="1:50" s="100" customFormat="1">
      <c r="A137" s="88" t="s">
        <v>85</v>
      </c>
      <c r="B137" s="89" t="s">
        <v>204</v>
      </c>
      <c r="C137" s="89" t="s">
        <v>52</v>
      </c>
      <c r="D137" s="103">
        <v>100073888</v>
      </c>
      <c r="E137" s="89" t="s">
        <v>55</v>
      </c>
      <c r="F137" s="89">
        <v>100001752</v>
      </c>
      <c r="G137" s="128" t="s">
        <v>227</v>
      </c>
      <c r="H137" s="166"/>
      <c r="I137" s="92"/>
      <c r="J137" s="92"/>
      <c r="K137" s="92"/>
      <c r="L137" s="92"/>
      <c r="M137" s="94"/>
      <c r="N137" s="94"/>
      <c r="O137" s="129"/>
      <c r="P137" s="167" t="e">
        <f t="shared" si="11"/>
        <v>#DIV/0!</v>
      </c>
      <c r="Q137" s="91">
        <v>48</v>
      </c>
      <c r="R137" s="129">
        <v>22.799999999999997</v>
      </c>
      <c r="S137" s="91">
        <v>96</v>
      </c>
      <c r="T137" s="129">
        <v>0</v>
      </c>
      <c r="U137" s="93">
        <v>120</v>
      </c>
      <c r="V137" s="129">
        <v>4.5599999999999996</v>
      </c>
      <c r="W137" s="93">
        <v>100.8</v>
      </c>
      <c r="X137" s="129">
        <v>22.799999999999997</v>
      </c>
      <c r="Y137" s="93">
        <v>120</v>
      </c>
      <c r="Z137" s="129">
        <v>4.5599999999999996</v>
      </c>
      <c r="AA137" s="155">
        <f t="shared" si="10"/>
        <v>113.60000000000001</v>
      </c>
      <c r="AB137" s="98">
        <f t="shared" si="10"/>
        <v>10.639999999999999</v>
      </c>
      <c r="AC137"/>
      <c r="AD137" s="97">
        <v>72</v>
      </c>
      <c r="AE137" s="92">
        <v>0</v>
      </c>
      <c r="AF137" s="98">
        <f t="shared" si="13"/>
        <v>72</v>
      </c>
      <c r="AG137" s="97">
        <v>0</v>
      </c>
      <c r="AH137" s="92">
        <v>0</v>
      </c>
      <c r="AI137" s="98">
        <f t="shared" si="14"/>
        <v>0</v>
      </c>
      <c r="AJ137" s="98">
        <f t="shared" si="12"/>
        <v>72</v>
      </c>
      <c r="AK137" s="102" t="str">
        <f>+IF(AB137+AA137+AJ137&lt;=0, "NO COMPRADOR", +IF(AJ137&lt;=0, "SIN COMPRA "&amp;+UPPER(TEXT('DINAMICA ENERO 26'!$C$2,"mmm 'yy")), "COMPRADOR"))</f>
        <v>COMPRADOR</v>
      </c>
      <c r="AL137"/>
      <c r="AN137" s="101"/>
      <c r="AP137"/>
      <c r="AQ137"/>
      <c r="AR137"/>
      <c r="AS137"/>
      <c r="AT137"/>
      <c r="AU137"/>
      <c r="AV137"/>
      <c r="AW137"/>
      <c r="AX137"/>
    </row>
    <row r="138" spans="1:50" s="100" customFormat="1">
      <c r="A138" s="88" t="s">
        <v>85</v>
      </c>
      <c r="B138" s="89" t="s">
        <v>204</v>
      </c>
      <c r="C138" s="89" t="s">
        <v>52</v>
      </c>
      <c r="D138" s="103">
        <v>100073888</v>
      </c>
      <c r="E138" s="89" t="s">
        <v>55</v>
      </c>
      <c r="F138" s="89">
        <v>100081166</v>
      </c>
      <c r="G138" s="128" t="s">
        <v>228</v>
      </c>
      <c r="H138" s="166"/>
      <c r="I138" s="92"/>
      <c r="J138" s="92"/>
      <c r="K138" s="92"/>
      <c r="L138" s="92"/>
      <c r="M138" s="94"/>
      <c r="N138" s="94"/>
      <c r="O138" s="129"/>
      <c r="P138" s="167" t="e">
        <f t="shared" si="11"/>
        <v>#DIV/0!</v>
      </c>
      <c r="Q138" s="91">
        <v>0</v>
      </c>
      <c r="R138" s="129">
        <v>0</v>
      </c>
      <c r="S138" s="91">
        <v>0</v>
      </c>
      <c r="T138" s="129">
        <v>0</v>
      </c>
      <c r="U138" s="93">
        <v>0</v>
      </c>
      <c r="V138" s="129">
        <v>0</v>
      </c>
      <c r="W138" s="93">
        <v>0</v>
      </c>
      <c r="X138" s="129">
        <v>4.5599999999999996</v>
      </c>
      <c r="Y138" s="93">
        <v>0</v>
      </c>
      <c r="Z138" s="129">
        <v>0</v>
      </c>
      <c r="AA138" s="155">
        <f t="shared" si="10"/>
        <v>0</v>
      </c>
      <c r="AB138" s="98">
        <f t="shared" si="10"/>
        <v>1.5199999999999998</v>
      </c>
      <c r="AC138"/>
      <c r="AD138" s="97">
        <v>0</v>
      </c>
      <c r="AE138" s="92">
        <v>4.8</v>
      </c>
      <c r="AF138" s="98">
        <f t="shared" si="13"/>
        <v>4.8</v>
      </c>
      <c r="AG138" s="97">
        <v>0</v>
      </c>
      <c r="AH138" s="92">
        <v>4.5599999999999996</v>
      </c>
      <c r="AI138" s="98">
        <f t="shared" si="14"/>
        <v>4.5599999999999996</v>
      </c>
      <c r="AJ138" s="98">
        <f t="shared" si="12"/>
        <v>9.36</v>
      </c>
      <c r="AK138" s="102" t="str">
        <f>+IF(AB138+AA138+AJ138&lt;=0, "NO COMPRADOR", +IF(AJ138&lt;=0, "SIN COMPRA "&amp;+UPPER(TEXT('DINAMICA ENERO 26'!$C$2,"mmm 'yy")), "COMPRADOR"))</f>
        <v>COMPRADOR</v>
      </c>
      <c r="AL138"/>
      <c r="AN138" s="101"/>
      <c r="AP138"/>
      <c r="AQ138"/>
      <c r="AR138"/>
      <c r="AS138"/>
      <c r="AT138"/>
      <c r="AU138"/>
      <c r="AV138"/>
      <c r="AW138"/>
      <c r="AX138"/>
    </row>
    <row r="139" spans="1:50" s="100" customFormat="1">
      <c r="A139" s="88" t="s">
        <v>85</v>
      </c>
      <c r="B139" s="89" t="s">
        <v>204</v>
      </c>
      <c r="C139" s="89" t="s">
        <v>52</v>
      </c>
      <c r="D139" s="103">
        <v>100073888</v>
      </c>
      <c r="E139" s="89" t="s">
        <v>55</v>
      </c>
      <c r="F139" s="89">
        <v>100064228</v>
      </c>
      <c r="G139" s="128" t="s">
        <v>229</v>
      </c>
      <c r="H139" s="166"/>
      <c r="I139" s="92"/>
      <c r="J139" s="92"/>
      <c r="K139" s="92"/>
      <c r="L139" s="92"/>
      <c r="M139" s="94"/>
      <c r="N139" s="94"/>
      <c r="O139" s="129"/>
      <c r="P139" s="167" t="e">
        <f t="shared" si="11"/>
        <v>#DIV/0!</v>
      </c>
      <c r="Q139" s="91">
        <v>19.2</v>
      </c>
      <c r="R139" s="129">
        <v>18.239999999999998</v>
      </c>
      <c r="S139" s="91">
        <v>9.6</v>
      </c>
      <c r="T139" s="129">
        <v>0</v>
      </c>
      <c r="U139" s="93">
        <v>4.8</v>
      </c>
      <c r="V139" s="129">
        <v>4.5599999999999996</v>
      </c>
      <c r="W139" s="93">
        <v>4.8</v>
      </c>
      <c r="X139" s="129">
        <v>4.5599999999999996</v>
      </c>
      <c r="Y139" s="93">
        <v>0</v>
      </c>
      <c r="Z139" s="129">
        <v>4.5599999999999996</v>
      </c>
      <c r="AA139" s="155">
        <f t="shared" si="10"/>
        <v>3.1999999999999997</v>
      </c>
      <c r="AB139" s="98">
        <f t="shared" si="10"/>
        <v>4.5599999999999996</v>
      </c>
      <c r="AC139"/>
      <c r="AD139" s="97">
        <v>33.599999999999994</v>
      </c>
      <c r="AE139" s="92">
        <v>0</v>
      </c>
      <c r="AF139" s="98">
        <f t="shared" si="13"/>
        <v>33.599999999999994</v>
      </c>
      <c r="AG139" s="97">
        <v>0</v>
      </c>
      <c r="AH139" s="92">
        <v>0</v>
      </c>
      <c r="AI139" s="98">
        <f t="shared" si="14"/>
        <v>0</v>
      </c>
      <c r="AJ139" s="98">
        <f t="shared" si="12"/>
        <v>33.599999999999994</v>
      </c>
      <c r="AK139" s="102" t="str">
        <f>+IF(AB139+AA139+AJ139&lt;=0, "NO COMPRADOR", +IF(AJ139&lt;=0, "SIN COMPRA "&amp;+UPPER(TEXT('DINAMICA ENERO 26'!$C$2,"mmm 'yy")), "COMPRADOR"))</f>
        <v>COMPRADOR</v>
      </c>
      <c r="AL139"/>
      <c r="AN139" s="101"/>
      <c r="AP139"/>
      <c r="AQ139"/>
      <c r="AR139"/>
      <c r="AS139"/>
      <c r="AT139"/>
      <c r="AU139"/>
      <c r="AV139"/>
      <c r="AW139"/>
      <c r="AX139"/>
    </row>
    <row r="140" spans="1:50" s="100" customFormat="1">
      <c r="A140" s="88" t="s">
        <v>85</v>
      </c>
      <c r="B140" s="89" t="s">
        <v>204</v>
      </c>
      <c r="C140" s="89" t="s">
        <v>52</v>
      </c>
      <c r="D140" s="103">
        <v>100073888</v>
      </c>
      <c r="E140" s="89" t="s">
        <v>55</v>
      </c>
      <c r="F140" s="89">
        <v>100083588</v>
      </c>
      <c r="G140" s="128" t="s">
        <v>230</v>
      </c>
      <c r="H140" s="166"/>
      <c r="I140" s="92"/>
      <c r="J140" s="92"/>
      <c r="K140" s="92"/>
      <c r="L140" s="92"/>
      <c r="M140" s="94"/>
      <c r="N140" s="94"/>
      <c r="O140" s="129"/>
      <c r="P140" s="167" t="e">
        <f t="shared" si="11"/>
        <v>#DIV/0!</v>
      </c>
      <c r="Q140" s="91">
        <v>144</v>
      </c>
      <c r="R140" s="129">
        <v>68.399999999999991</v>
      </c>
      <c r="S140" s="91">
        <v>120</v>
      </c>
      <c r="T140" s="129">
        <v>0</v>
      </c>
      <c r="U140" s="93">
        <v>96</v>
      </c>
      <c r="V140" s="129">
        <v>4.5599999999999996</v>
      </c>
      <c r="W140" s="93">
        <v>163.19999999999999</v>
      </c>
      <c r="X140" s="129">
        <v>27.359999999999996</v>
      </c>
      <c r="Y140" s="93">
        <v>96</v>
      </c>
      <c r="Z140" s="129">
        <v>4.5599999999999996</v>
      </c>
      <c r="AA140" s="155">
        <f t="shared" si="10"/>
        <v>118.39999999999999</v>
      </c>
      <c r="AB140" s="98">
        <f t="shared" si="10"/>
        <v>12.159999999999998</v>
      </c>
      <c r="AC140"/>
      <c r="AD140" s="97">
        <v>48</v>
      </c>
      <c r="AE140" s="92">
        <v>0</v>
      </c>
      <c r="AF140" s="98">
        <f t="shared" si="13"/>
        <v>48</v>
      </c>
      <c r="AG140" s="97">
        <v>0</v>
      </c>
      <c r="AH140" s="92">
        <v>0</v>
      </c>
      <c r="AI140" s="98">
        <f t="shared" si="14"/>
        <v>0</v>
      </c>
      <c r="AJ140" s="98">
        <f t="shared" si="12"/>
        <v>48</v>
      </c>
      <c r="AK140" s="102" t="str">
        <f>+IF(AB140+AA140+AJ140&lt;=0, "NO COMPRADOR", +IF(AJ140&lt;=0, "SIN COMPRA "&amp;+UPPER(TEXT('DINAMICA ENERO 26'!$C$2,"mmm 'yy")), "COMPRADOR"))</f>
        <v>COMPRADOR</v>
      </c>
      <c r="AL140"/>
      <c r="AN140" s="101"/>
      <c r="AP140"/>
      <c r="AQ140"/>
      <c r="AR140"/>
      <c r="AS140"/>
      <c r="AT140"/>
      <c r="AU140"/>
      <c r="AV140"/>
      <c r="AW140"/>
      <c r="AX140"/>
    </row>
    <row r="141" spans="1:50" s="100" customFormat="1">
      <c r="A141" s="88" t="s">
        <v>85</v>
      </c>
      <c r="B141" s="89" t="s">
        <v>204</v>
      </c>
      <c r="C141" s="89" t="s">
        <v>52</v>
      </c>
      <c r="D141" s="103">
        <v>100073888</v>
      </c>
      <c r="E141" s="89" t="s">
        <v>55</v>
      </c>
      <c r="F141" s="89">
        <v>100010576</v>
      </c>
      <c r="G141" s="128" t="s">
        <v>231</v>
      </c>
      <c r="H141" s="166"/>
      <c r="I141" s="92"/>
      <c r="J141" s="92"/>
      <c r="K141" s="92"/>
      <c r="L141" s="92"/>
      <c r="M141" s="94"/>
      <c r="N141" s="94"/>
      <c r="O141" s="129"/>
      <c r="P141" s="167" t="e">
        <f t="shared" si="11"/>
        <v>#DIV/0!</v>
      </c>
      <c r="Q141" s="91">
        <v>0</v>
      </c>
      <c r="R141" s="129">
        <v>0</v>
      </c>
      <c r="S141" s="91">
        <v>0</v>
      </c>
      <c r="T141" s="129">
        <v>0</v>
      </c>
      <c r="U141" s="93">
        <v>0</v>
      </c>
      <c r="V141" s="129">
        <v>0</v>
      </c>
      <c r="W141" s="93">
        <v>0</v>
      </c>
      <c r="X141" s="129">
        <v>0</v>
      </c>
      <c r="Y141" s="93">
        <v>0</v>
      </c>
      <c r="Z141" s="129">
        <v>0</v>
      </c>
      <c r="AA141" s="155">
        <f t="shared" si="10"/>
        <v>0</v>
      </c>
      <c r="AB141" s="98">
        <f t="shared" si="10"/>
        <v>0</v>
      </c>
      <c r="AC141"/>
      <c r="AD141" s="97">
        <v>0</v>
      </c>
      <c r="AE141" s="92">
        <v>0</v>
      </c>
      <c r="AF141" s="98">
        <f t="shared" si="13"/>
        <v>0</v>
      </c>
      <c r="AG141" s="97">
        <v>0</v>
      </c>
      <c r="AH141" s="92">
        <v>0</v>
      </c>
      <c r="AI141" s="98">
        <f t="shared" si="14"/>
        <v>0</v>
      </c>
      <c r="AJ141" s="98">
        <f t="shared" si="12"/>
        <v>0</v>
      </c>
      <c r="AK141" s="102" t="str">
        <f>+IF(AB141+AA141+AJ141&lt;=0, "NO COMPRADOR", +IF(AJ141&lt;=0, "SIN COMPRA "&amp;+UPPER(TEXT('DINAMICA ENERO 26'!$C$2,"mmm 'yy")), "COMPRADOR"))</f>
        <v>NO COMPRADOR</v>
      </c>
      <c r="AL141"/>
      <c r="AN141" s="101"/>
      <c r="AP141"/>
      <c r="AQ141"/>
      <c r="AR141"/>
      <c r="AS141"/>
      <c r="AT141"/>
      <c r="AU141"/>
      <c r="AV141"/>
      <c r="AW141"/>
      <c r="AX141"/>
    </row>
    <row r="142" spans="1:50" s="100" customFormat="1">
      <c r="A142" s="88" t="s">
        <v>85</v>
      </c>
      <c r="B142" s="89" t="s">
        <v>204</v>
      </c>
      <c r="C142" s="89" t="s">
        <v>52</v>
      </c>
      <c r="D142" s="103">
        <v>100073888</v>
      </c>
      <c r="E142" s="89" t="s">
        <v>55</v>
      </c>
      <c r="F142" s="89">
        <v>100002203</v>
      </c>
      <c r="G142" s="128" t="s">
        <v>232</v>
      </c>
      <c r="H142" s="166"/>
      <c r="I142" s="92"/>
      <c r="J142" s="92"/>
      <c r="K142" s="92"/>
      <c r="L142" s="92"/>
      <c r="M142" s="94"/>
      <c r="N142" s="94"/>
      <c r="O142" s="129"/>
      <c r="P142" s="167" t="e">
        <f t="shared" si="11"/>
        <v>#DIV/0!</v>
      </c>
      <c r="Q142" s="91">
        <v>28.799999999999997</v>
      </c>
      <c r="R142" s="129">
        <v>18.239999999999998</v>
      </c>
      <c r="S142" s="91">
        <v>19.2</v>
      </c>
      <c r="T142" s="129">
        <v>-18.239999999999998</v>
      </c>
      <c r="U142" s="93">
        <v>0</v>
      </c>
      <c r="V142" s="129">
        <v>0</v>
      </c>
      <c r="W142" s="93">
        <v>48</v>
      </c>
      <c r="X142" s="129">
        <v>18.239999999999998</v>
      </c>
      <c r="Y142" s="93">
        <v>0</v>
      </c>
      <c r="Z142" s="129">
        <v>22.799999999999997</v>
      </c>
      <c r="AA142" s="155">
        <f t="shared" si="10"/>
        <v>16</v>
      </c>
      <c r="AB142" s="98">
        <f t="shared" si="10"/>
        <v>13.679999999999998</v>
      </c>
      <c r="AC142"/>
      <c r="AD142" s="97">
        <v>0</v>
      </c>
      <c r="AE142" s="92">
        <v>0</v>
      </c>
      <c r="AF142" s="98">
        <f t="shared" si="13"/>
        <v>0</v>
      </c>
      <c r="AG142" s="97">
        <v>0</v>
      </c>
      <c r="AH142" s="92">
        <v>0</v>
      </c>
      <c r="AI142" s="98">
        <f t="shared" si="14"/>
        <v>0</v>
      </c>
      <c r="AJ142" s="98">
        <f t="shared" si="12"/>
        <v>0</v>
      </c>
      <c r="AK142" s="102" t="str">
        <f>+IF(AB142+AA142+AJ142&lt;=0, "NO COMPRADOR", +IF(AJ142&lt;=0, "SIN COMPRA "&amp;+UPPER(TEXT('DINAMICA ENERO 26'!$C$2,"mmm 'yy")), "COMPRADOR"))</f>
        <v>SIN COMPRA FEB '26</v>
      </c>
      <c r="AL142"/>
      <c r="AN142" s="101"/>
      <c r="AP142"/>
      <c r="AQ142"/>
      <c r="AR142"/>
      <c r="AS142"/>
      <c r="AT142"/>
      <c r="AU142"/>
      <c r="AV142"/>
      <c r="AW142"/>
      <c r="AX142"/>
    </row>
    <row r="143" spans="1:50" s="100" customFormat="1">
      <c r="A143" s="88" t="s">
        <v>85</v>
      </c>
      <c r="B143" s="89" t="s">
        <v>204</v>
      </c>
      <c r="C143" s="89" t="s">
        <v>52</v>
      </c>
      <c r="D143" s="103">
        <v>100073888</v>
      </c>
      <c r="E143" s="89" t="s">
        <v>55</v>
      </c>
      <c r="F143" s="89">
        <v>100001329</v>
      </c>
      <c r="G143" s="128" t="s">
        <v>233</v>
      </c>
      <c r="H143" s="166"/>
      <c r="I143" s="92"/>
      <c r="J143" s="92"/>
      <c r="K143" s="92"/>
      <c r="L143" s="92"/>
      <c r="M143" s="94"/>
      <c r="N143" s="94"/>
      <c r="O143" s="129"/>
      <c r="P143" s="167" t="e">
        <f t="shared" si="11"/>
        <v>#DIV/0!</v>
      </c>
      <c r="Q143" s="91">
        <v>4.8</v>
      </c>
      <c r="R143" s="129">
        <v>0</v>
      </c>
      <c r="S143" s="91">
        <v>4.8</v>
      </c>
      <c r="T143" s="129">
        <v>9.1199999999999992</v>
      </c>
      <c r="U143" s="93">
        <v>0</v>
      </c>
      <c r="V143" s="129">
        <v>0</v>
      </c>
      <c r="W143" s="93">
        <v>4.8</v>
      </c>
      <c r="X143" s="129">
        <v>9.1199999999999992</v>
      </c>
      <c r="Y143" s="93">
        <v>0</v>
      </c>
      <c r="Z143" s="129">
        <v>4.5599999999999996</v>
      </c>
      <c r="AA143" s="155">
        <f t="shared" si="10"/>
        <v>1.5999999999999999</v>
      </c>
      <c r="AB143" s="98">
        <f t="shared" si="10"/>
        <v>4.5599999999999996</v>
      </c>
      <c r="AC143"/>
      <c r="AD143" s="97">
        <v>0</v>
      </c>
      <c r="AE143" s="92">
        <v>0</v>
      </c>
      <c r="AF143" s="98">
        <f t="shared" si="13"/>
        <v>0</v>
      </c>
      <c r="AG143" s="97">
        <v>9.1199999999999992</v>
      </c>
      <c r="AH143" s="92">
        <v>0</v>
      </c>
      <c r="AI143" s="98">
        <f t="shared" si="14"/>
        <v>9.1199999999999992</v>
      </c>
      <c r="AJ143" s="98">
        <f t="shared" si="12"/>
        <v>9.1199999999999992</v>
      </c>
      <c r="AK143" s="102" t="str">
        <f>+IF(AB143+AA143+AJ143&lt;=0, "NO COMPRADOR", +IF(AJ143&lt;=0, "SIN COMPRA "&amp;+UPPER(TEXT('DINAMICA ENERO 26'!$C$2,"mmm 'yy")), "COMPRADOR"))</f>
        <v>COMPRADOR</v>
      </c>
      <c r="AL143"/>
      <c r="AN143" s="101"/>
      <c r="AP143"/>
      <c r="AQ143"/>
      <c r="AR143"/>
      <c r="AS143"/>
      <c r="AT143"/>
      <c r="AU143"/>
      <c r="AV143"/>
      <c r="AW143"/>
      <c r="AX143"/>
    </row>
    <row r="144" spans="1:50" s="100" customFormat="1">
      <c r="A144" s="88" t="s">
        <v>85</v>
      </c>
      <c r="B144" s="89" t="s">
        <v>204</v>
      </c>
      <c r="C144" s="89" t="s">
        <v>52</v>
      </c>
      <c r="D144" s="103">
        <v>100073888</v>
      </c>
      <c r="E144" s="89" t="s">
        <v>55</v>
      </c>
      <c r="F144" s="89">
        <v>100077493</v>
      </c>
      <c r="G144" s="128" t="s">
        <v>234</v>
      </c>
      <c r="H144" s="166"/>
      <c r="I144" s="92"/>
      <c r="J144" s="92"/>
      <c r="K144" s="92"/>
      <c r="L144" s="92"/>
      <c r="M144" s="94"/>
      <c r="N144" s="94"/>
      <c r="O144" s="129"/>
      <c r="P144" s="167" t="e">
        <f t="shared" si="11"/>
        <v>#DIV/0!</v>
      </c>
      <c r="Q144" s="91">
        <v>0</v>
      </c>
      <c r="R144" s="129">
        <v>0</v>
      </c>
      <c r="S144" s="91">
        <v>0</v>
      </c>
      <c r="T144" s="129">
        <v>0</v>
      </c>
      <c r="U144" s="93">
        <v>0</v>
      </c>
      <c r="V144" s="129">
        <v>0</v>
      </c>
      <c r="W144" s="93">
        <v>0</v>
      </c>
      <c r="X144" s="129">
        <v>36.479999999999997</v>
      </c>
      <c r="Y144" s="93">
        <v>0</v>
      </c>
      <c r="Z144" s="129">
        <v>13.68</v>
      </c>
      <c r="AA144" s="155">
        <f t="shared" si="10"/>
        <v>0</v>
      </c>
      <c r="AB144" s="98">
        <f t="shared" si="10"/>
        <v>16.72</v>
      </c>
      <c r="AC144"/>
      <c r="AD144" s="97">
        <v>0</v>
      </c>
      <c r="AE144" s="92">
        <v>0</v>
      </c>
      <c r="AF144" s="98">
        <f t="shared" si="13"/>
        <v>0</v>
      </c>
      <c r="AG144" s="97">
        <v>0</v>
      </c>
      <c r="AH144" s="92">
        <v>0</v>
      </c>
      <c r="AI144" s="98">
        <f t="shared" si="14"/>
        <v>0</v>
      </c>
      <c r="AJ144" s="98">
        <f t="shared" si="12"/>
        <v>0</v>
      </c>
      <c r="AK144" s="102" t="str">
        <f>+IF(AB144+AA144+AJ144&lt;=0, "NO COMPRADOR", +IF(AJ144&lt;=0, "SIN COMPRA "&amp;+UPPER(TEXT('DINAMICA ENERO 26'!$C$2,"mmm 'yy")), "COMPRADOR"))</f>
        <v>SIN COMPRA FEB '26</v>
      </c>
      <c r="AL144"/>
      <c r="AN144" s="101"/>
      <c r="AP144"/>
      <c r="AQ144"/>
      <c r="AR144"/>
      <c r="AS144"/>
      <c r="AT144"/>
      <c r="AU144"/>
      <c r="AV144"/>
      <c r="AW144"/>
      <c r="AX144"/>
    </row>
    <row r="145" spans="1:50" s="100" customFormat="1">
      <c r="A145" s="88" t="s">
        <v>85</v>
      </c>
      <c r="B145" s="89" t="s">
        <v>204</v>
      </c>
      <c r="C145" s="89" t="s">
        <v>52</v>
      </c>
      <c r="D145" s="103">
        <v>100073888</v>
      </c>
      <c r="E145" s="89" t="s">
        <v>55</v>
      </c>
      <c r="F145" s="89">
        <v>100084330</v>
      </c>
      <c r="G145" s="128" t="s">
        <v>235</v>
      </c>
      <c r="H145" s="166"/>
      <c r="I145" s="92"/>
      <c r="J145" s="92"/>
      <c r="K145" s="92"/>
      <c r="L145" s="92"/>
      <c r="M145" s="94"/>
      <c r="N145" s="94"/>
      <c r="O145" s="129"/>
      <c r="P145" s="167" t="e">
        <f t="shared" si="11"/>
        <v>#DIV/0!</v>
      </c>
      <c r="Q145" s="91">
        <v>0</v>
      </c>
      <c r="R145" s="129">
        <v>0</v>
      </c>
      <c r="S145" s="91">
        <v>14.399999999999999</v>
      </c>
      <c r="T145" s="129">
        <v>0</v>
      </c>
      <c r="U145" s="93">
        <v>0</v>
      </c>
      <c r="V145" s="129">
        <v>0</v>
      </c>
      <c r="W145" s="93">
        <v>14.399999999999999</v>
      </c>
      <c r="X145" s="129">
        <v>22.799999999999997</v>
      </c>
      <c r="Y145" s="93">
        <v>0</v>
      </c>
      <c r="Z145" s="129">
        <v>0</v>
      </c>
      <c r="AA145" s="155">
        <f t="shared" si="10"/>
        <v>4.8</v>
      </c>
      <c r="AB145" s="98">
        <f t="shared" si="10"/>
        <v>7.5999999999999988</v>
      </c>
      <c r="AC145"/>
      <c r="AD145" s="97">
        <v>0</v>
      </c>
      <c r="AE145" s="92">
        <v>0</v>
      </c>
      <c r="AF145" s="98">
        <f t="shared" si="13"/>
        <v>0</v>
      </c>
      <c r="AG145" s="97">
        <v>0</v>
      </c>
      <c r="AH145" s="92">
        <v>0</v>
      </c>
      <c r="AI145" s="98">
        <f t="shared" si="14"/>
        <v>0</v>
      </c>
      <c r="AJ145" s="98">
        <f t="shared" si="12"/>
        <v>0</v>
      </c>
      <c r="AK145" s="102" t="str">
        <f>+IF(AB145+AA145+AJ145&lt;=0, "NO COMPRADOR", +IF(AJ145&lt;=0, "SIN COMPRA "&amp;+UPPER(TEXT('DINAMICA ENERO 26'!$C$2,"mmm 'yy")), "COMPRADOR"))</f>
        <v>SIN COMPRA FEB '26</v>
      </c>
      <c r="AL145"/>
      <c r="AN145" s="101"/>
      <c r="AP145"/>
      <c r="AQ145"/>
      <c r="AR145"/>
      <c r="AS145"/>
      <c r="AT145"/>
      <c r="AU145"/>
      <c r="AV145"/>
      <c r="AW145"/>
      <c r="AX145"/>
    </row>
    <row r="146" spans="1:50" s="100" customFormat="1">
      <c r="A146" s="88" t="s">
        <v>85</v>
      </c>
      <c r="B146" s="89" t="s">
        <v>236</v>
      </c>
      <c r="C146" s="89" t="s">
        <v>68</v>
      </c>
      <c r="D146" s="103">
        <v>100089354</v>
      </c>
      <c r="E146" s="89" t="s">
        <v>68</v>
      </c>
      <c r="F146" s="89">
        <v>100058447</v>
      </c>
      <c r="G146" s="128" t="s">
        <v>237</v>
      </c>
      <c r="H146" s="166"/>
      <c r="I146" s="92"/>
      <c r="J146" s="92"/>
      <c r="K146" s="92"/>
      <c r="L146" s="92"/>
      <c r="M146" s="94"/>
      <c r="N146" s="94"/>
      <c r="O146" s="129"/>
      <c r="P146" s="167" t="e">
        <f t="shared" si="11"/>
        <v>#DIV/0!</v>
      </c>
      <c r="Q146" s="91">
        <v>0</v>
      </c>
      <c r="R146" s="129">
        <v>0</v>
      </c>
      <c r="S146" s="91">
        <v>0</v>
      </c>
      <c r="T146" s="129">
        <v>0</v>
      </c>
      <c r="U146" s="93">
        <v>0</v>
      </c>
      <c r="V146" s="129">
        <v>0</v>
      </c>
      <c r="W146" s="93">
        <v>0</v>
      </c>
      <c r="X146" s="129">
        <v>0</v>
      </c>
      <c r="Y146" s="93">
        <v>0</v>
      </c>
      <c r="Z146" s="129">
        <v>0</v>
      </c>
      <c r="AA146" s="155">
        <f t="shared" ref="AA146:AB209" si="15">+AVERAGE(U146,W146,Y146)</f>
        <v>0</v>
      </c>
      <c r="AB146" s="98">
        <f t="shared" si="15"/>
        <v>0</v>
      </c>
      <c r="AC146"/>
      <c r="AD146" s="97">
        <v>0</v>
      </c>
      <c r="AE146" s="92">
        <v>0</v>
      </c>
      <c r="AF146" s="98">
        <f t="shared" si="13"/>
        <v>0</v>
      </c>
      <c r="AG146" s="97">
        <v>0</v>
      </c>
      <c r="AH146" s="92">
        <v>0</v>
      </c>
      <c r="AI146" s="98">
        <f t="shared" si="14"/>
        <v>0</v>
      </c>
      <c r="AJ146" s="98">
        <f t="shared" si="12"/>
        <v>0</v>
      </c>
      <c r="AK146" s="102" t="str">
        <f>+IF(AB146+AA146+AJ146&lt;=0, "NO COMPRADOR", +IF(AJ146&lt;=0, "SIN COMPRA "&amp;+UPPER(TEXT('DINAMICA ENERO 26'!$C$2,"mmm 'yy")), "COMPRADOR"))</f>
        <v>NO COMPRADOR</v>
      </c>
      <c r="AL146"/>
      <c r="AN146" s="101"/>
      <c r="AP146"/>
      <c r="AQ146"/>
      <c r="AR146"/>
      <c r="AS146"/>
      <c r="AT146"/>
      <c r="AU146"/>
      <c r="AV146"/>
      <c r="AW146"/>
      <c r="AX146"/>
    </row>
    <row r="147" spans="1:50" s="100" customFormat="1">
      <c r="A147" s="88" t="s">
        <v>85</v>
      </c>
      <c r="B147" s="89" t="s">
        <v>236</v>
      </c>
      <c r="C147" s="89" t="s">
        <v>68</v>
      </c>
      <c r="D147" s="103">
        <v>100089354</v>
      </c>
      <c r="E147" s="89" t="s">
        <v>68</v>
      </c>
      <c r="F147" s="89">
        <v>100079903</v>
      </c>
      <c r="G147" s="128" t="s">
        <v>238</v>
      </c>
      <c r="H147" s="166"/>
      <c r="I147" s="92"/>
      <c r="J147" s="92"/>
      <c r="K147" s="92"/>
      <c r="L147" s="92"/>
      <c r="M147" s="94"/>
      <c r="N147" s="94"/>
      <c r="O147" s="129"/>
      <c r="P147" s="167" t="e">
        <f t="shared" si="11"/>
        <v>#DIV/0!</v>
      </c>
      <c r="Q147" s="91">
        <v>0</v>
      </c>
      <c r="R147" s="129">
        <v>0</v>
      </c>
      <c r="S147" s="91">
        <v>0</v>
      </c>
      <c r="T147" s="129">
        <v>0</v>
      </c>
      <c r="U147" s="93">
        <v>0</v>
      </c>
      <c r="V147" s="129">
        <v>0</v>
      </c>
      <c r="W147" s="93">
        <v>0</v>
      </c>
      <c r="X147" s="129">
        <v>0</v>
      </c>
      <c r="Y147" s="93">
        <v>0</v>
      </c>
      <c r="Z147" s="129">
        <v>0</v>
      </c>
      <c r="AA147" s="155">
        <f t="shared" si="15"/>
        <v>0</v>
      </c>
      <c r="AB147" s="98">
        <f t="shared" si="15"/>
        <v>0</v>
      </c>
      <c r="AC147"/>
      <c r="AD147" s="97">
        <v>0</v>
      </c>
      <c r="AE147" s="92">
        <v>0</v>
      </c>
      <c r="AF147" s="98">
        <f t="shared" si="13"/>
        <v>0</v>
      </c>
      <c r="AG147" s="97">
        <v>0</v>
      </c>
      <c r="AH147" s="92">
        <v>0</v>
      </c>
      <c r="AI147" s="98">
        <f t="shared" si="14"/>
        <v>0</v>
      </c>
      <c r="AJ147" s="98">
        <f t="shared" si="12"/>
        <v>0</v>
      </c>
      <c r="AK147" s="102" t="str">
        <f>+IF(AB147+AA147+AJ147&lt;=0, "NO COMPRADOR", +IF(AJ147&lt;=0, "SIN COMPRA "&amp;+UPPER(TEXT('DINAMICA ENERO 26'!$C$2,"mmm 'yy")), "COMPRADOR"))</f>
        <v>NO COMPRADOR</v>
      </c>
      <c r="AL147"/>
      <c r="AN147" s="101"/>
      <c r="AP147"/>
      <c r="AQ147"/>
      <c r="AR147"/>
      <c r="AS147"/>
      <c r="AT147"/>
      <c r="AU147"/>
      <c r="AV147"/>
      <c r="AW147"/>
      <c r="AX147"/>
    </row>
    <row r="148" spans="1:50" s="104" customFormat="1">
      <c r="A148" s="88" t="s">
        <v>85</v>
      </c>
      <c r="B148" s="89" t="s">
        <v>236</v>
      </c>
      <c r="C148" s="89" t="s">
        <v>68</v>
      </c>
      <c r="D148" s="103">
        <v>100089354</v>
      </c>
      <c r="E148" s="89" t="s">
        <v>68</v>
      </c>
      <c r="F148" s="89">
        <v>100083681</v>
      </c>
      <c r="G148" s="128" t="s">
        <v>239</v>
      </c>
      <c r="H148" s="166"/>
      <c r="I148" s="92"/>
      <c r="J148" s="92"/>
      <c r="K148" s="92"/>
      <c r="L148" s="92"/>
      <c r="M148" s="94"/>
      <c r="N148" s="94"/>
      <c r="O148" s="129"/>
      <c r="P148" s="167" t="e">
        <f t="shared" si="11"/>
        <v>#DIV/0!</v>
      </c>
      <c r="Q148" s="91">
        <v>0</v>
      </c>
      <c r="R148" s="129">
        <v>0</v>
      </c>
      <c r="S148" s="91">
        <v>0</v>
      </c>
      <c r="T148" s="129">
        <v>0</v>
      </c>
      <c r="U148" s="93">
        <v>0</v>
      </c>
      <c r="V148" s="129">
        <v>0</v>
      </c>
      <c r="W148" s="93">
        <v>0</v>
      </c>
      <c r="X148" s="129">
        <v>0</v>
      </c>
      <c r="Y148" s="93">
        <v>0</v>
      </c>
      <c r="Z148" s="129">
        <v>0</v>
      </c>
      <c r="AA148" s="155">
        <f t="shared" si="15"/>
        <v>0</v>
      </c>
      <c r="AB148" s="98">
        <f t="shared" si="15"/>
        <v>0</v>
      </c>
      <c r="AC148"/>
      <c r="AD148" s="97">
        <v>0</v>
      </c>
      <c r="AE148" s="92">
        <v>0</v>
      </c>
      <c r="AF148" s="98">
        <f t="shared" si="13"/>
        <v>0</v>
      </c>
      <c r="AG148" s="97">
        <v>0</v>
      </c>
      <c r="AH148" s="92">
        <v>0</v>
      </c>
      <c r="AI148" s="98">
        <f t="shared" si="14"/>
        <v>0</v>
      </c>
      <c r="AJ148" s="98">
        <f t="shared" si="12"/>
        <v>0</v>
      </c>
      <c r="AK148" s="102" t="str">
        <f>+IF(AB148+AA148+AJ148&lt;=0, "NO COMPRADOR", +IF(AJ148&lt;=0, "SIN COMPRA "&amp;+UPPER(TEXT('DINAMICA ENERO 26'!$C$2,"mmm 'yy")), "COMPRADOR"))</f>
        <v>NO COMPRADOR</v>
      </c>
      <c r="AL148"/>
      <c r="AM148" s="100"/>
      <c r="AN148" s="101"/>
      <c r="AO148" s="100"/>
      <c r="AP148"/>
      <c r="AQ148"/>
      <c r="AR148"/>
      <c r="AS148"/>
      <c r="AT148"/>
      <c r="AU148"/>
      <c r="AV148"/>
      <c r="AW148"/>
      <c r="AX148"/>
    </row>
    <row r="149" spans="1:50" s="100" customFormat="1">
      <c r="A149" s="88" t="s">
        <v>85</v>
      </c>
      <c r="B149" s="89" t="s">
        <v>236</v>
      </c>
      <c r="C149" s="89" t="s">
        <v>68</v>
      </c>
      <c r="D149" s="103">
        <v>100031199</v>
      </c>
      <c r="E149" s="89" t="s">
        <v>69</v>
      </c>
      <c r="F149" s="89">
        <v>100088905</v>
      </c>
      <c r="G149" s="128" t="s">
        <v>240</v>
      </c>
      <c r="H149" s="166"/>
      <c r="I149" s="92"/>
      <c r="J149" s="92"/>
      <c r="K149" s="92"/>
      <c r="L149" s="92"/>
      <c r="M149" s="94"/>
      <c r="N149" s="94"/>
      <c r="O149" s="129"/>
      <c r="P149" s="167" t="e">
        <f t="shared" si="11"/>
        <v>#DIV/0!</v>
      </c>
      <c r="Q149" s="91">
        <v>0</v>
      </c>
      <c r="R149" s="129">
        <v>0</v>
      </c>
      <c r="S149" s="91">
        <v>0</v>
      </c>
      <c r="T149" s="129">
        <v>0</v>
      </c>
      <c r="U149" s="93">
        <v>0</v>
      </c>
      <c r="V149" s="129">
        <v>0</v>
      </c>
      <c r="W149" s="93">
        <v>0</v>
      </c>
      <c r="X149" s="129">
        <v>0</v>
      </c>
      <c r="Y149" s="93">
        <v>0</v>
      </c>
      <c r="Z149" s="129">
        <v>0</v>
      </c>
      <c r="AA149" s="155">
        <f t="shared" si="15"/>
        <v>0</v>
      </c>
      <c r="AB149" s="98">
        <f t="shared" si="15"/>
        <v>0</v>
      </c>
      <c r="AC149"/>
      <c r="AD149" s="97">
        <v>0</v>
      </c>
      <c r="AE149" s="92">
        <v>0</v>
      </c>
      <c r="AF149" s="98">
        <f t="shared" si="13"/>
        <v>0</v>
      </c>
      <c r="AG149" s="97">
        <v>0</v>
      </c>
      <c r="AH149" s="92">
        <v>0</v>
      </c>
      <c r="AI149" s="98">
        <f t="shared" si="14"/>
        <v>0</v>
      </c>
      <c r="AJ149" s="98">
        <f t="shared" si="12"/>
        <v>0</v>
      </c>
      <c r="AK149" s="102" t="str">
        <f>+IF(AB149+AA149+AJ149&lt;=0, "NO COMPRADOR", +IF(AJ149&lt;=0, "SIN COMPRA "&amp;+UPPER(TEXT('DINAMICA ENERO 26'!$C$2,"mmm 'yy")), "COMPRADOR"))</f>
        <v>NO COMPRADOR</v>
      </c>
      <c r="AL149"/>
      <c r="AN149" s="101"/>
      <c r="AP149"/>
      <c r="AQ149"/>
      <c r="AR149"/>
      <c r="AS149"/>
      <c r="AT149"/>
      <c r="AU149"/>
      <c r="AV149"/>
      <c r="AW149"/>
      <c r="AX149"/>
    </row>
    <row r="150" spans="1:50" s="104" customFormat="1">
      <c r="A150" s="88" t="s">
        <v>85</v>
      </c>
      <c r="B150" s="89" t="s">
        <v>236</v>
      </c>
      <c r="C150" s="89" t="s">
        <v>68</v>
      </c>
      <c r="D150" s="103">
        <v>100031199</v>
      </c>
      <c r="E150" s="89" t="s">
        <v>69</v>
      </c>
      <c r="F150" s="89">
        <v>100087340</v>
      </c>
      <c r="G150" s="128" t="s">
        <v>241</v>
      </c>
      <c r="H150" s="166"/>
      <c r="I150" s="92"/>
      <c r="J150" s="92"/>
      <c r="K150" s="92"/>
      <c r="L150" s="92"/>
      <c r="M150" s="94"/>
      <c r="N150" s="94"/>
      <c r="O150" s="129"/>
      <c r="P150" s="167" t="e">
        <f t="shared" si="11"/>
        <v>#DIV/0!</v>
      </c>
      <c r="Q150" s="91">
        <v>0</v>
      </c>
      <c r="R150" s="129">
        <v>0</v>
      </c>
      <c r="S150" s="91">
        <v>0</v>
      </c>
      <c r="T150" s="129">
        <v>0</v>
      </c>
      <c r="U150" s="93">
        <v>0</v>
      </c>
      <c r="V150" s="129">
        <v>0</v>
      </c>
      <c r="W150" s="93">
        <v>0</v>
      </c>
      <c r="X150" s="129">
        <v>0</v>
      </c>
      <c r="Y150" s="93">
        <v>0</v>
      </c>
      <c r="Z150" s="129">
        <v>0</v>
      </c>
      <c r="AA150" s="155">
        <f t="shared" si="15"/>
        <v>0</v>
      </c>
      <c r="AB150" s="98">
        <f t="shared" si="15"/>
        <v>0</v>
      </c>
      <c r="AC150"/>
      <c r="AD150" s="97">
        <v>0</v>
      </c>
      <c r="AE150" s="92">
        <v>0</v>
      </c>
      <c r="AF150" s="98">
        <f t="shared" si="13"/>
        <v>0</v>
      </c>
      <c r="AG150" s="97">
        <v>0</v>
      </c>
      <c r="AH150" s="92">
        <v>0</v>
      </c>
      <c r="AI150" s="98">
        <f t="shared" si="14"/>
        <v>0</v>
      </c>
      <c r="AJ150" s="98">
        <f t="shared" si="12"/>
        <v>0</v>
      </c>
      <c r="AK150" s="102" t="str">
        <f>+IF(AB150+AA150+AJ150&lt;=0, "NO COMPRADOR", +IF(AJ150&lt;=0, "SIN COMPRA "&amp;+UPPER(TEXT('DINAMICA ENERO 26'!$C$2,"mmm 'yy")), "COMPRADOR"))</f>
        <v>NO COMPRADOR</v>
      </c>
      <c r="AL150"/>
      <c r="AM150" s="100"/>
      <c r="AN150" s="101"/>
      <c r="AO150" s="100"/>
      <c r="AP150"/>
      <c r="AQ150"/>
      <c r="AR150"/>
      <c r="AS150"/>
      <c r="AT150"/>
      <c r="AU150"/>
      <c r="AV150"/>
      <c r="AW150"/>
      <c r="AX150"/>
    </row>
    <row r="151" spans="1:50" s="100" customFormat="1">
      <c r="A151" s="88" t="s">
        <v>85</v>
      </c>
      <c r="B151" s="89" t="s">
        <v>236</v>
      </c>
      <c r="C151" s="89" t="s">
        <v>68</v>
      </c>
      <c r="D151" s="103">
        <v>100031199</v>
      </c>
      <c r="E151" s="89" t="s">
        <v>69</v>
      </c>
      <c r="F151" s="89">
        <v>100087098</v>
      </c>
      <c r="G151" s="128" t="s">
        <v>242</v>
      </c>
      <c r="H151" s="166"/>
      <c r="I151" s="92"/>
      <c r="J151" s="92"/>
      <c r="K151" s="92"/>
      <c r="L151" s="92"/>
      <c r="M151" s="94"/>
      <c r="N151" s="94"/>
      <c r="O151" s="129"/>
      <c r="P151" s="167" t="e">
        <f t="shared" si="11"/>
        <v>#DIV/0!</v>
      </c>
      <c r="Q151" s="91">
        <v>0</v>
      </c>
      <c r="R151" s="129">
        <v>0</v>
      </c>
      <c r="S151" s="91">
        <v>0</v>
      </c>
      <c r="T151" s="129">
        <v>0</v>
      </c>
      <c r="U151" s="93">
        <v>0</v>
      </c>
      <c r="V151" s="129">
        <v>0</v>
      </c>
      <c r="W151" s="93">
        <v>0</v>
      </c>
      <c r="X151" s="129">
        <v>0</v>
      </c>
      <c r="Y151" s="93">
        <v>0</v>
      </c>
      <c r="Z151" s="129">
        <v>0</v>
      </c>
      <c r="AA151" s="155">
        <f t="shared" si="15"/>
        <v>0</v>
      </c>
      <c r="AB151" s="98">
        <f t="shared" si="15"/>
        <v>0</v>
      </c>
      <c r="AC151"/>
      <c r="AD151" s="97">
        <v>0</v>
      </c>
      <c r="AE151" s="92">
        <v>0</v>
      </c>
      <c r="AF151" s="98">
        <f t="shared" si="13"/>
        <v>0</v>
      </c>
      <c r="AG151" s="97">
        <v>0</v>
      </c>
      <c r="AH151" s="92">
        <v>0</v>
      </c>
      <c r="AI151" s="98">
        <f t="shared" si="14"/>
        <v>0</v>
      </c>
      <c r="AJ151" s="98">
        <f t="shared" si="12"/>
        <v>0</v>
      </c>
      <c r="AK151" s="102" t="str">
        <f>+IF(AB151+AA151+AJ151&lt;=0, "NO COMPRADOR", +IF(AJ151&lt;=0, "SIN COMPRA "&amp;+UPPER(TEXT('DINAMICA ENERO 26'!$C$2,"mmm 'yy")), "COMPRADOR"))</f>
        <v>NO COMPRADOR</v>
      </c>
      <c r="AL151"/>
      <c r="AN151" s="101"/>
      <c r="AP151"/>
      <c r="AQ151"/>
      <c r="AR151"/>
      <c r="AS151"/>
      <c r="AT151"/>
      <c r="AU151"/>
      <c r="AV151"/>
      <c r="AW151"/>
      <c r="AX151"/>
    </row>
    <row r="152" spans="1:50" s="104" customFormat="1">
      <c r="A152" s="88" t="s">
        <v>85</v>
      </c>
      <c r="B152" s="89" t="s">
        <v>236</v>
      </c>
      <c r="C152" s="89" t="s">
        <v>68</v>
      </c>
      <c r="D152" s="103">
        <v>100031199</v>
      </c>
      <c r="E152" s="89" t="s">
        <v>69</v>
      </c>
      <c r="F152" s="89">
        <v>100085167</v>
      </c>
      <c r="G152" s="128" t="s">
        <v>243</v>
      </c>
      <c r="H152" s="166"/>
      <c r="I152" s="92"/>
      <c r="J152" s="92"/>
      <c r="K152" s="92"/>
      <c r="L152" s="92"/>
      <c r="M152" s="94"/>
      <c r="N152" s="94"/>
      <c r="O152" s="129"/>
      <c r="P152" s="167" t="e">
        <f t="shared" si="11"/>
        <v>#DIV/0!</v>
      </c>
      <c r="Q152" s="91">
        <v>0</v>
      </c>
      <c r="R152" s="129">
        <v>0</v>
      </c>
      <c r="S152" s="91">
        <v>0</v>
      </c>
      <c r="T152" s="129">
        <v>0</v>
      </c>
      <c r="U152" s="93">
        <v>0</v>
      </c>
      <c r="V152" s="129">
        <v>0</v>
      </c>
      <c r="W152" s="93">
        <v>0</v>
      </c>
      <c r="X152" s="129">
        <v>0</v>
      </c>
      <c r="Y152" s="93">
        <v>0</v>
      </c>
      <c r="Z152" s="129">
        <v>0</v>
      </c>
      <c r="AA152" s="155">
        <f t="shared" si="15"/>
        <v>0</v>
      </c>
      <c r="AB152" s="98">
        <f t="shared" si="15"/>
        <v>0</v>
      </c>
      <c r="AC152"/>
      <c r="AD152" s="97">
        <v>0</v>
      </c>
      <c r="AE152" s="92">
        <v>0</v>
      </c>
      <c r="AF152" s="98">
        <f t="shared" si="13"/>
        <v>0</v>
      </c>
      <c r="AG152" s="97">
        <v>0</v>
      </c>
      <c r="AH152" s="92">
        <v>0</v>
      </c>
      <c r="AI152" s="98">
        <f t="shared" si="14"/>
        <v>0</v>
      </c>
      <c r="AJ152" s="98">
        <f t="shared" si="12"/>
        <v>0</v>
      </c>
      <c r="AK152" s="102" t="str">
        <f>+IF(AB152+AA152+AJ152&lt;=0, "NO COMPRADOR", +IF(AJ152&lt;=0, "SIN COMPRA "&amp;+UPPER(TEXT('DINAMICA ENERO 26'!$C$2,"mmm 'yy")), "COMPRADOR"))</f>
        <v>NO COMPRADOR</v>
      </c>
      <c r="AL152"/>
      <c r="AM152" s="100"/>
      <c r="AN152" s="101"/>
      <c r="AO152" s="100"/>
      <c r="AP152"/>
      <c r="AQ152"/>
      <c r="AR152"/>
      <c r="AS152"/>
      <c r="AT152"/>
      <c r="AU152"/>
      <c r="AV152"/>
      <c r="AW152"/>
      <c r="AX152"/>
    </row>
    <row r="153" spans="1:50" s="104" customFormat="1">
      <c r="A153" s="88" t="s">
        <v>85</v>
      </c>
      <c r="B153" s="89" t="s">
        <v>236</v>
      </c>
      <c r="C153" s="89" t="s">
        <v>68</v>
      </c>
      <c r="D153" s="103">
        <v>100031199</v>
      </c>
      <c r="E153" s="89" t="s">
        <v>69</v>
      </c>
      <c r="F153" s="89">
        <v>100085481</v>
      </c>
      <c r="G153" s="128" t="s">
        <v>244</v>
      </c>
      <c r="H153" s="166"/>
      <c r="I153" s="92"/>
      <c r="J153" s="92"/>
      <c r="K153" s="92"/>
      <c r="L153" s="92"/>
      <c r="M153" s="94"/>
      <c r="N153" s="94"/>
      <c r="O153" s="129"/>
      <c r="P153" s="167" t="e">
        <f t="shared" si="11"/>
        <v>#DIV/0!</v>
      </c>
      <c r="Q153" s="91">
        <v>0</v>
      </c>
      <c r="R153" s="129">
        <v>0</v>
      </c>
      <c r="S153" s="91">
        <v>0</v>
      </c>
      <c r="T153" s="129">
        <v>0</v>
      </c>
      <c r="U153" s="93">
        <v>0</v>
      </c>
      <c r="V153" s="129">
        <v>0</v>
      </c>
      <c r="W153" s="93">
        <v>0</v>
      </c>
      <c r="X153" s="129">
        <v>0</v>
      </c>
      <c r="Y153" s="93">
        <v>0</v>
      </c>
      <c r="Z153" s="129">
        <v>0</v>
      </c>
      <c r="AA153" s="155">
        <f t="shared" si="15"/>
        <v>0</v>
      </c>
      <c r="AB153" s="98">
        <f t="shared" si="15"/>
        <v>0</v>
      </c>
      <c r="AC153"/>
      <c r="AD153" s="97">
        <v>0</v>
      </c>
      <c r="AE153" s="92">
        <v>0</v>
      </c>
      <c r="AF153" s="98">
        <f t="shared" si="13"/>
        <v>0</v>
      </c>
      <c r="AG153" s="97">
        <v>0</v>
      </c>
      <c r="AH153" s="92">
        <v>0</v>
      </c>
      <c r="AI153" s="98">
        <f t="shared" si="14"/>
        <v>0</v>
      </c>
      <c r="AJ153" s="98">
        <f t="shared" si="12"/>
        <v>0</v>
      </c>
      <c r="AK153" s="102" t="str">
        <f>+IF(AB153+AA153+AJ153&lt;=0, "NO COMPRADOR", +IF(AJ153&lt;=0, "SIN COMPRA "&amp;+UPPER(TEXT('DINAMICA ENERO 26'!$C$2,"mmm 'yy")), "COMPRADOR"))</f>
        <v>NO COMPRADOR</v>
      </c>
      <c r="AL153"/>
      <c r="AM153" s="100"/>
      <c r="AN153" s="101"/>
      <c r="AO153" s="100"/>
      <c r="AP153"/>
      <c r="AQ153"/>
      <c r="AR153"/>
      <c r="AS153"/>
      <c r="AT153"/>
      <c r="AU153"/>
      <c r="AV153"/>
      <c r="AW153"/>
      <c r="AX153"/>
    </row>
    <row r="154" spans="1:50" s="100" customFormat="1">
      <c r="A154" s="88" t="s">
        <v>85</v>
      </c>
      <c r="B154" s="89" t="s">
        <v>236</v>
      </c>
      <c r="C154" s="89" t="s">
        <v>68</v>
      </c>
      <c r="D154" s="103">
        <v>100031199</v>
      </c>
      <c r="E154" s="89" t="s">
        <v>69</v>
      </c>
      <c r="F154" s="89">
        <v>100008613</v>
      </c>
      <c r="G154" s="128" t="s">
        <v>245</v>
      </c>
      <c r="H154" s="166"/>
      <c r="I154" s="92"/>
      <c r="J154" s="92"/>
      <c r="K154" s="92"/>
      <c r="L154" s="92"/>
      <c r="M154" s="94"/>
      <c r="N154" s="94"/>
      <c r="O154" s="129"/>
      <c r="P154" s="167" t="e">
        <f t="shared" si="11"/>
        <v>#DIV/0!</v>
      </c>
      <c r="Q154" s="91">
        <v>5280</v>
      </c>
      <c r="R154" s="129">
        <v>0</v>
      </c>
      <c r="S154" s="91">
        <v>5280</v>
      </c>
      <c r="T154" s="129">
        <v>0</v>
      </c>
      <c r="U154" s="93">
        <v>4224</v>
      </c>
      <c r="V154" s="129">
        <v>0</v>
      </c>
      <c r="W154" s="93">
        <v>1852.8</v>
      </c>
      <c r="X154" s="129">
        <v>0</v>
      </c>
      <c r="Y154" s="93">
        <v>2640</v>
      </c>
      <c r="Z154" s="129">
        <v>0</v>
      </c>
      <c r="AA154" s="155">
        <f t="shared" si="15"/>
        <v>2905.6</v>
      </c>
      <c r="AB154" s="98">
        <f t="shared" si="15"/>
        <v>0</v>
      </c>
      <c r="AC154"/>
      <c r="AD154" s="97">
        <v>3168</v>
      </c>
      <c r="AE154" s="92">
        <v>528</v>
      </c>
      <c r="AF154" s="98">
        <f t="shared" si="13"/>
        <v>3696</v>
      </c>
      <c r="AG154" s="97">
        <v>0</v>
      </c>
      <c r="AH154" s="92">
        <v>0</v>
      </c>
      <c r="AI154" s="98">
        <f t="shared" si="14"/>
        <v>0</v>
      </c>
      <c r="AJ154" s="98">
        <f t="shared" si="12"/>
        <v>3696</v>
      </c>
      <c r="AK154" s="102" t="str">
        <f>+IF(AB154+AA154+AJ154&lt;=0, "NO COMPRADOR", +IF(AJ154&lt;=0, "SIN COMPRA "&amp;+UPPER(TEXT('DINAMICA ENERO 26'!$C$2,"mmm 'yy")), "COMPRADOR"))</f>
        <v>COMPRADOR</v>
      </c>
      <c r="AL154"/>
      <c r="AN154" s="101"/>
      <c r="AP154"/>
      <c r="AQ154"/>
      <c r="AR154"/>
      <c r="AS154"/>
      <c r="AT154"/>
      <c r="AU154"/>
      <c r="AV154"/>
      <c r="AW154"/>
      <c r="AX154"/>
    </row>
    <row r="155" spans="1:50" s="100" customFormat="1">
      <c r="A155" s="88" t="s">
        <v>85</v>
      </c>
      <c r="B155" s="89" t="s">
        <v>236</v>
      </c>
      <c r="C155" s="89" t="s">
        <v>68</v>
      </c>
      <c r="D155" s="103">
        <v>100031199</v>
      </c>
      <c r="E155" s="89" t="s">
        <v>69</v>
      </c>
      <c r="F155" s="89">
        <v>100002250</v>
      </c>
      <c r="G155" s="128" t="s">
        <v>246</v>
      </c>
      <c r="H155" s="166"/>
      <c r="I155" s="92"/>
      <c r="J155" s="92"/>
      <c r="K155" s="92"/>
      <c r="L155" s="92"/>
      <c r="M155" s="94"/>
      <c r="N155" s="94"/>
      <c r="O155" s="129"/>
      <c r="P155" s="167" t="e">
        <f t="shared" si="11"/>
        <v>#DIV/0!</v>
      </c>
      <c r="Q155" s="91">
        <v>24</v>
      </c>
      <c r="R155" s="129">
        <v>95.759999999999991</v>
      </c>
      <c r="S155" s="91">
        <v>139.19999999999999</v>
      </c>
      <c r="T155" s="129">
        <v>145.91999999999999</v>
      </c>
      <c r="U155" s="93">
        <v>0</v>
      </c>
      <c r="V155" s="129">
        <v>0</v>
      </c>
      <c r="W155" s="93">
        <v>57.6</v>
      </c>
      <c r="X155" s="129">
        <v>0</v>
      </c>
      <c r="Y155" s="93">
        <v>0</v>
      </c>
      <c r="Z155" s="129">
        <v>0</v>
      </c>
      <c r="AA155" s="155">
        <f t="shared" si="15"/>
        <v>19.2</v>
      </c>
      <c r="AB155" s="98">
        <f t="shared" si="15"/>
        <v>0</v>
      </c>
      <c r="AC155"/>
      <c r="AD155" s="97">
        <v>120</v>
      </c>
      <c r="AE155" s="92">
        <v>0</v>
      </c>
      <c r="AF155" s="98">
        <f t="shared" si="13"/>
        <v>120</v>
      </c>
      <c r="AG155" s="97">
        <v>13.68</v>
      </c>
      <c r="AH155" s="92">
        <v>0</v>
      </c>
      <c r="AI155" s="98">
        <f t="shared" si="14"/>
        <v>13.68</v>
      </c>
      <c r="AJ155" s="98">
        <f t="shared" si="12"/>
        <v>133.68</v>
      </c>
      <c r="AK155" s="102" t="str">
        <f>+IF(AB155+AA155+AJ155&lt;=0, "NO COMPRADOR", +IF(AJ155&lt;=0, "SIN COMPRA "&amp;+UPPER(TEXT('DINAMICA ENERO 26'!$C$2,"mmm 'yy")), "COMPRADOR"))</f>
        <v>COMPRADOR</v>
      </c>
      <c r="AL155"/>
      <c r="AN155" s="101"/>
      <c r="AP155"/>
      <c r="AQ155"/>
      <c r="AR155"/>
      <c r="AS155"/>
      <c r="AT155"/>
      <c r="AU155"/>
      <c r="AV155"/>
      <c r="AW155"/>
      <c r="AX155"/>
    </row>
    <row r="156" spans="1:50" s="104" customFormat="1">
      <c r="A156" s="88" t="s">
        <v>85</v>
      </c>
      <c r="B156" s="89" t="s">
        <v>236</v>
      </c>
      <c r="C156" s="89" t="s">
        <v>68</v>
      </c>
      <c r="D156" s="103">
        <v>100031199</v>
      </c>
      <c r="E156" s="89" t="s">
        <v>69</v>
      </c>
      <c r="F156" s="89">
        <v>100002229</v>
      </c>
      <c r="G156" s="128" t="s">
        <v>247</v>
      </c>
      <c r="H156" s="166"/>
      <c r="I156" s="92"/>
      <c r="J156" s="92"/>
      <c r="K156" s="92"/>
      <c r="L156" s="92"/>
      <c r="M156" s="94"/>
      <c r="N156" s="94"/>
      <c r="O156" s="129"/>
      <c r="P156" s="167" t="e">
        <f t="shared" si="11"/>
        <v>#DIV/0!</v>
      </c>
      <c r="Q156" s="91">
        <v>0</v>
      </c>
      <c r="R156" s="129">
        <v>0</v>
      </c>
      <c r="S156" s="91">
        <v>0</v>
      </c>
      <c r="T156" s="129">
        <v>0</v>
      </c>
      <c r="U156" s="93">
        <v>0</v>
      </c>
      <c r="V156" s="129">
        <v>0</v>
      </c>
      <c r="W156" s="93">
        <v>0</v>
      </c>
      <c r="X156" s="129">
        <v>0</v>
      </c>
      <c r="Y156" s="93">
        <v>0</v>
      </c>
      <c r="Z156" s="129">
        <v>0</v>
      </c>
      <c r="AA156" s="155">
        <f t="shared" si="15"/>
        <v>0</v>
      </c>
      <c r="AB156" s="98">
        <f t="shared" si="15"/>
        <v>0</v>
      </c>
      <c r="AC156"/>
      <c r="AD156" s="97">
        <v>0</v>
      </c>
      <c r="AE156" s="92">
        <v>0</v>
      </c>
      <c r="AF156" s="98">
        <f t="shared" si="13"/>
        <v>0</v>
      </c>
      <c r="AG156" s="97">
        <v>0</v>
      </c>
      <c r="AH156" s="92">
        <v>0</v>
      </c>
      <c r="AI156" s="98">
        <f t="shared" si="14"/>
        <v>0</v>
      </c>
      <c r="AJ156" s="98">
        <f t="shared" si="12"/>
        <v>0</v>
      </c>
      <c r="AK156" s="102" t="str">
        <f>+IF(AB156+AA156+AJ156&lt;=0, "NO COMPRADOR", +IF(AJ156&lt;=0, "SIN COMPRA "&amp;+UPPER(TEXT('DINAMICA ENERO 26'!$C$2,"mmm 'yy")), "COMPRADOR"))</f>
        <v>NO COMPRADOR</v>
      </c>
      <c r="AL156"/>
      <c r="AM156" s="100"/>
      <c r="AN156" s="101"/>
      <c r="AO156" s="100"/>
      <c r="AP156"/>
      <c r="AQ156"/>
      <c r="AR156"/>
      <c r="AS156"/>
      <c r="AT156"/>
      <c r="AU156"/>
      <c r="AV156"/>
      <c r="AW156"/>
      <c r="AX156"/>
    </row>
    <row r="157" spans="1:50" s="100" customFormat="1">
      <c r="A157" s="88" t="s">
        <v>85</v>
      </c>
      <c r="B157" s="89" t="s">
        <v>236</v>
      </c>
      <c r="C157" s="89" t="s">
        <v>68</v>
      </c>
      <c r="D157" s="103">
        <v>100031199</v>
      </c>
      <c r="E157" s="89" t="s">
        <v>69</v>
      </c>
      <c r="F157" s="89">
        <v>100022327</v>
      </c>
      <c r="G157" s="128" t="s">
        <v>248</v>
      </c>
      <c r="H157" s="166"/>
      <c r="I157" s="92"/>
      <c r="J157" s="92"/>
      <c r="K157" s="92"/>
      <c r="L157" s="92"/>
      <c r="M157" s="94"/>
      <c r="N157" s="94"/>
      <c r="O157" s="129"/>
      <c r="P157" s="167" t="e">
        <f t="shared" si="11"/>
        <v>#DIV/0!</v>
      </c>
      <c r="Q157" s="91">
        <v>0</v>
      </c>
      <c r="R157" s="129">
        <v>91.199999999999989</v>
      </c>
      <c r="S157" s="91">
        <v>0</v>
      </c>
      <c r="T157" s="129">
        <v>227.99999999999997</v>
      </c>
      <c r="U157" s="93">
        <v>0</v>
      </c>
      <c r="V157" s="129">
        <v>0</v>
      </c>
      <c r="W157" s="93">
        <v>0</v>
      </c>
      <c r="X157" s="129">
        <v>0</v>
      </c>
      <c r="Y157" s="93">
        <v>0</v>
      </c>
      <c r="Z157" s="129">
        <v>0</v>
      </c>
      <c r="AA157" s="155">
        <f t="shared" si="15"/>
        <v>0</v>
      </c>
      <c r="AB157" s="98">
        <f t="shared" si="15"/>
        <v>0</v>
      </c>
      <c r="AC157"/>
      <c r="AD157" s="97">
        <v>0</v>
      </c>
      <c r="AE157" s="92">
        <v>0</v>
      </c>
      <c r="AF157" s="98">
        <f t="shared" si="13"/>
        <v>0</v>
      </c>
      <c r="AG157" s="97">
        <v>0</v>
      </c>
      <c r="AH157" s="92">
        <v>0</v>
      </c>
      <c r="AI157" s="98">
        <f t="shared" si="14"/>
        <v>0</v>
      </c>
      <c r="AJ157" s="98">
        <f t="shared" si="12"/>
        <v>0</v>
      </c>
      <c r="AK157" s="102" t="str">
        <f>+IF(AB157+AA157+AJ157&lt;=0, "NO COMPRADOR", +IF(AJ157&lt;=0, "SIN COMPRA "&amp;+UPPER(TEXT('DINAMICA ENERO 26'!$C$2,"mmm 'yy")), "COMPRADOR"))</f>
        <v>NO COMPRADOR</v>
      </c>
      <c r="AL157"/>
      <c r="AN157" s="101"/>
      <c r="AP157"/>
      <c r="AQ157"/>
      <c r="AR157"/>
      <c r="AS157"/>
      <c r="AT157"/>
      <c r="AU157"/>
      <c r="AV157"/>
      <c r="AW157"/>
      <c r="AX157"/>
    </row>
    <row r="158" spans="1:50" s="100" customFormat="1">
      <c r="A158" s="88" t="s">
        <v>85</v>
      </c>
      <c r="B158" s="89" t="s">
        <v>236</v>
      </c>
      <c r="C158" s="89" t="s">
        <v>68</v>
      </c>
      <c r="D158" s="103">
        <v>100031199</v>
      </c>
      <c r="E158" s="89" t="s">
        <v>69</v>
      </c>
      <c r="F158" s="89">
        <v>100002225</v>
      </c>
      <c r="G158" s="128" t="s">
        <v>249</v>
      </c>
      <c r="H158" s="166"/>
      <c r="I158" s="92"/>
      <c r="J158" s="92"/>
      <c r="K158" s="92"/>
      <c r="L158" s="92"/>
      <c r="M158" s="94"/>
      <c r="N158" s="94"/>
      <c r="O158" s="129"/>
      <c r="P158" s="167" t="e">
        <f t="shared" si="11"/>
        <v>#DIV/0!</v>
      </c>
      <c r="Q158" s="91">
        <v>24</v>
      </c>
      <c r="R158" s="129">
        <v>0</v>
      </c>
      <c r="S158" s="91">
        <v>0</v>
      </c>
      <c r="T158" s="129">
        <v>0</v>
      </c>
      <c r="U158" s="93">
        <v>0</v>
      </c>
      <c r="V158" s="129">
        <v>0</v>
      </c>
      <c r="W158" s="93">
        <v>0</v>
      </c>
      <c r="X158" s="129">
        <v>0</v>
      </c>
      <c r="Y158" s="93">
        <v>0</v>
      </c>
      <c r="Z158" s="129">
        <v>0</v>
      </c>
      <c r="AA158" s="155">
        <f t="shared" si="15"/>
        <v>0</v>
      </c>
      <c r="AB158" s="98">
        <f t="shared" si="15"/>
        <v>0</v>
      </c>
      <c r="AC158"/>
      <c r="AD158" s="97">
        <v>24</v>
      </c>
      <c r="AE158" s="92">
        <v>0</v>
      </c>
      <c r="AF158" s="98">
        <f t="shared" si="13"/>
        <v>24</v>
      </c>
      <c r="AG158" s="97">
        <v>0</v>
      </c>
      <c r="AH158" s="92">
        <v>0</v>
      </c>
      <c r="AI158" s="98">
        <f t="shared" si="14"/>
        <v>0</v>
      </c>
      <c r="AJ158" s="98">
        <f t="shared" si="12"/>
        <v>24</v>
      </c>
      <c r="AK158" s="102" t="str">
        <f>+IF(AB158+AA158+AJ158&lt;=0, "NO COMPRADOR", +IF(AJ158&lt;=0, "SIN COMPRA "&amp;+UPPER(TEXT('DINAMICA ENERO 26'!$C$2,"mmm 'yy")), "COMPRADOR"))</f>
        <v>COMPRADOR</v>
      </c>
      <c r="AL158"/>
      <c r="AN158" s="101"/>
      <c r="AP158"/>
      <c r="AQ158"/>
      <c r="AR158"/>
      <c r="AS158"/>
      <c r="AT158"/>
      <c r="AU158"/>
      <c r="AV158"/>
      <c r="AW158"/>
      <c r="AX158"/>
    </row>
    <row r="159" spans="1:50" s="100" customFormat="1">
      <c r="A159" s="88" t="s">
        <v>85</v>
      </c>
      <c r="B159" s="89" t="s">
        <v>236</v>
      </c>
      <c r="C159" s="89" t="s">
        <v>68</v>
      </c>
      <c r="D159" s="103">
        <v>100031199</v>
      </c>
      <c r="E159" s="89" t="s">
        <v>69</v>
      </c>
      <c r="F159" s="89">
        <v>100071477</v>
      </c>
      <c r="G159" s="128" t="s">
        <v>250</v>
      </c>
      <c r="H159" s="166"/>
      <c r="I159" s="92"/>
      <c r="J159" s="92"/>
      <c r="K159" s="92"/>
      <c r="L159" s="92"/>
      <c r="M159" s="94"/>
      <c r="N159" s="94"/>
      <c r="O159" s="129"/>
      <c r="P159" s="167" t="e">
        <f t="shared" si="11"/>
        <v>#DIV/0!</v>
      </c>
      <c r="Q159" s="91">
        <v>0</v>
      </c>
      <c r="R159" s="129">
        <v>0</v>
      </c>
      <c r="S159" s="91">
        <v>48</v>
      </c>
      <c r="T159" s="129">
        <v>0</v>
      </c>
      <c r="U159" s="93">
        <v>0</v>
      </c>
      <c r="V159" s="129">
        <v>0</v>
      </c>
      <c r="W159" s="93">
        <v>48</v>
      </c>
      <c r="X159" s="129">
        <v>0</v>
      </c>
      <c r="Y159" s="93">
        <v>14.399999999999999</v>
      </c>
      <c r="Z159" s="129">
        <v>0</v>
      </c>
      <c r="AA159" s="155">
        <f t="shared" si="15"/>
        <v>20.8</v>
      </c>
      <c r="AB159" s="98">
        <f t="shared" si="15"/>
        <v>0</v>
      </c>
      <c r="AC159"/>
      <c r="AD159" s="97">
        <v>24</v>
      </c>
      <c r="AE159" s="92">
        <v>0</v>
      </c>
      <c r="AF159" s="98">
        <f>+AD159+AE159</f>
        <v>24</v>
      </c>
      <c r="AG159" s="97">
        <v>0</v>
      </c>
      <c r="AH159" s="92">
        <v>0</v>
      </c>
      <c r="AI159" s="98">
        <f>+AG159+AH159</f>
        <v>0</v>
      </c>
      <c r="AJ159" s="98">
        <f t="shared" si="12"/>
        <v>24</v>
      </c>
      <c r="AK159" s="102" t="str">
        <f>+IF(AB159+AA159+AJ159&lt;=0, "NO COMPRADOR", +IF(AJ159&lt;=0, "SIN COMPRA "&amp;+UPPER(TEXT('DINAMICA ENERO 26'!$C$2,"mmm 'yy")), "COMPRADOR"))</f>
        <v>COMPRADOR</v>
      </c>
      <c r="AL159"/>
      <c r="AN159" s="101"/>
      <c r="AP159"/>
      <c r="AQ159"/>
      <c r="AR159"/>
      <c r="AS159"/>
      <c r="AT159"/>
      <c r="AU159"/>
      <c r="AV159"/>
      <c r="AW159"/>
      <c r="AX159"/>
    </row>
    <row r="160" spans="1:50" s="100" customFormat="1">
      <c r="A160" s="88" t="s">
        <v>85</v>
      </c>
      <c r="B160" s="89" t="s">
        <v>236</v>
      </c>
      <c r="C160" s="89" t="s">
        <v>68</v>
      </c>
      <c r="D160" s="103">
        <v>100031199</v>
      </c>
      <c r="E160" s="89" t="s">
        <v>69</v>
      </c>
      <c r="F160" s="89">
        <v>100073868</v>
      </c>
      <c r="G160" s="128" t="s">
        <v>251</v>
      </c>
      <c r="H160" s="166"/>
      <c r="I160" s="92"/>
      <c r="J160" s="92"/>
      <c r="K160" s="92"/>
      <c r="L160" s="92"/>
      <c r="M160" s="94"/>
      <c r="N160" s="94"/>
      <c r="O160" s="129"/>
      <c r="P160" s="167" t="e">
        <f t="shared" si="11"/>
        <v>#DIV/0!</v>
      </c>
      <c r="Q160" s="91">
        <v>0</v>
      </c>
      <c r="R160" s="129">
        <v>0</v>
      </c>
      <c r="S160" s="91">
        <v>120</v>
      </c>
      <c r="T160" s="129">
        <v>113.99999999999999</v>
      </c>
      <c r="U160" s="93">
        <v>0</v>
      </c>
      <c r="V160" s="129">
        <v>0</v>
      </c>
      <c r="W160" s="93">
        <v>0</v>
      </c>
      <c r="X160" s="129">
        <v>0</v>
      </c>
      <c r="Y160" s="93">
        <v>0</v>
      </c>
      <c r="Z160" s="129">
        <v>0</v>
      </c>
      <c r="AA160" s="155">
        <f t="shared" si="15"/>
        <v>0</v>
      </c>
      <c r="AB160" s="98">
        <f t="shared" si="15"/>
        <v>0</v>
      </c>
      <c r="AC160"/>
      <c r="AD160" s="97">
        <v>0</v>
      </c>
      <c r="AE160" s="92">
        <v>0</v>
      </c>
      <c r="AF160" s="98">
        <f t="shared" si="13"/>
        <v>0</v>
      </c>
      <c r="AG160" s="97">
        <v>0</v>
      </c>
      <c r="AH160" s="92">
        <v>0</v>
      </c>
      <c r="AI160" s="98">
        <f t="shared" ref="AI160:AI165" si="16">+AG160+AH160</f>
        <v>0</v>
      </c>
      <c r="AJ160" s="98">
        <f t="shared" si="12"/>
        <v>0</v>
      </c>
      <c r="AK160" s="102" t="str">
        <f>+IF(AB160+AA160+AJ160&lt;=0, "NO COMPRADOR", +IF(AJ160&lt;=0, "SIN COMPRA "&amp;+UPPER(TEXT('DINAMICA ENERO 26'!$C$2,"mmm 'yy")), "COMPRADOR"))</f>
        <v>NO COMPRADOR</v>
      </c>
      <c r="AL160"/>
      <c r="AN160" s="101"/>
      <c r="AP160"/>
      <c r="AQ160"/>
      <c r="AR160"/>
      <c r="AS160"/>
      <c r="AT160"/>
      <c r="AU160"/>
      <c r="AV160"/>
      <c r="AW160"/>
      <c r="AX160"/>
    </row>
    <row r="161" spans="1:50" s="100" customFormat="1">
      <c r="A161" s="88" t="s">
        <v>85</v>
      </c>
      <c r="B161" s="89" t="s">
        <v>236</v>
      </c>
      <c r="C161" s="89" t="s">
        <v>68</v>
      </c>
      <c r="D161" s="103">
        <v>100031199</v>
      </c>
      <c r="E161" s="89" t="s">
        <v>69</v>
      </c>
      <c r="F161" s="89">
        <v>100040021</v>
      </c>
      <c r="G161" s="128" t="s">
        <v>252</v>
      </c>
      <c r="H161" s="166"/>
      <c r="I161" s="92"/>
      <c r="J161" s="92"/>
      <c r="K161" s="92"/>
      <c r="L161" s="92"/>
      <c r="M161" s="94"/>
      <c r="N161" s="94"/>
      <c r="O161" s="129"/>
      <c r="P161" s="167" t="e">
        <f t="shared" si="11"/>
        <v>#DIV/0!</v>
      </c>
      <c r="Q161" s="91">
        <v>24</v>
      </c>
      <c r="R161" s="129">
        <v>0</v>
      </c>
      <c r="S161" s="91">
        <v>0</v>
      </c>
      <c r="T161" s="129">
        <v>45.599999999999994</v>
      </c>
      <c r="U161" s="93">
        <v>0</v>
      </c>
      <c r="V161" s="129">
        <v>0</v>
      </c>
      <c r="W161" s="93">
        <v>0</v>
      </c>
      <c r="X161" s="129">
        <v>0</v>
      </c>
      <c r="Y161" s="93">
        <v>0</v>
      </c>
      <c r="Z161" s="129">
        <v>0</v>
      </c>
      <c r="AA161" s="155">
        <f t="shared" si="15"/>
        <v>0</v>
      </c>
      <c r="AB161" s="98">
        <f t="shared" si="15"/>
        <v>0</v>
      </c>
      <c r="AC161"/>
      <c r="AD161" s="97">
        <v>24</v>
      </c>
      <c r="AE161" s="92">
        <v>0</v>
      </c>
      <c r="AF161" s="98">
        <f t="shared" si="13"/>
        <v>24</v>
      </c>
      <c r="AG161" s="97">
        <v>0</v>
      </c>
      <c r="AH161" s="92">
        <v>0</v>
      </c>
      <c r="AI161" s="98">
        <f t="shared" si="16"/>
        <v>0</v>
      </c>
      <c r="AJ161" s="98">
        <f t="shared" si="12"/>
        <v>24</v>
      </c>
      <c r="AK161" s="102" t="str">
        <f>+IF(AB161+AA161+AJ161&lt;=0, "NO COMPRADOR", +IF(AJ161&lt;=0, "SIN COMPRA "&amp;+UPPER(TEXT('DINAMICA ENERO 26'!$C$2,"mmm 'yy")), "COMPRADOR"))</f>
        <v>COMPRADOR</v>
      </c>
      <c r="AL161"/>
      <c r="AN161" s="101"/>
      <c r="AP161"/>
      <c r="AQ161"/>
      <c r="AR161"/>
      <c r="AS161"/>
      <c r="AT161"/>
      <c r="AU161"/>
      <c r="AV161"/>
      <c r="AW161"/>
      <c r="AX161"/>
    </row>
    <row r="162" spans="1:50" s="100" customFormat="1">
      <c r="A162" s="88" t="s">
        <v>85</v>
      </c>
      <c r="B162" s="89" t="s">
        <v>236</v>
      </c>
      <c r="C162" s="89" t="s">
        <v>68</v>
      </c>
      <c r="D162" s="103">
        <v>100031199</v>
      </c>
      <c r="E162" s="89" t="s">
        <v>69</v>
      </c>
      <c r="F162" s="89">
        <v>100019451</v>
      </c>
      <c r="G162" s="128" t="s">
        <v>253</v>
      </c>
      <c r="H162" s="166"/>
      <c r="I162" s="92"/>
      <c r="J162" s="92"/>
      <c r="K162" s="92"/>
      <c r="L162" s="92"/>
      <c r="M162" s="94"/>
      <c r="N162" s="94"/>
      <c r="O162" s="129"/>
      <c r="P162" s="167" t="e">
        <f t="shared" si="11"/>
        <v>#DIV/0!</v>
      </c>
      <c r="Q162" s="91">
        <v>0</v>
      </c>
      <c r="R162" s="129">
        <v>9.1199999999999992</v>
      </c>
      <c r="S162" s="91">
        <v>0</v>
      </c>
      <c r="T162" s="129">
        <v>45.599999999999994</v>
      </c>
      <c r="U162" s="93">
        <v>48</v>
      </c>
      <c r="V162" s="129">
        <v>68.399999999999991</v>
      </c>
      <c r="W162" s="93">
        <v>0</v>
      </c>
      <c r="X162" s="129">
        <v>0</v>
      </c>
      <c r="Y162" s="93">
        <v>72</v>
      </c>
      <c r="Z162" s="129">
        <v>22.799999999999997</v>
      </c>
      <c r="AA162" s="155">
        <f t="shared" si="15"/>
        <v>40</v>
      </c>
      <c r="AB162" s="98">
        <f t="shared" si="15"/>
        <v>30.399999999999995</v>
      </c>
      <c r="AC162"/>
      <c r="AD162" s="97">
        <v>24</v>
      </c>
      <c r="AE162" s="92">
        <v>0</v>
      </c>
      <c r="AF162" s="98">
        <f t="shared" si="13"/>
        <v>24</v>
      </c>
      <c r="AG162" s="97">
        <v>0</v>
      </c>
      <c r="AH162" s="92">
        <v>0</v>
      </c>
      <c r="AI162" s="98">
        <f t="shared" si="16"/>
        <v>0</v>
      </c>
      <c r="AJ162" s="98">
        <f t="shared" si="12"/>
        <v>24</v>
      </c>
      <c r="AK162" s="102" t="str">
        <f>+IF(AB162+AA162+AJ162&lt;=0, "NO COMPRADOR", +IF(AJ162&lt;=0, "SIN COMPRA "&amp;+UPPER(TEXT('DINAMICA ENERO 26'!$C$2,"mmm 'yy")), "COMPRADOR"))</f>
        <v>COMPRADOR</v>
      </c>
      <c r="AL162"/>
      <c r="AN162" s="101"/>
      <c r="AP162"/>
      <c r="AQ162"/>
      <c r="AR162"/>
      <c r="AS162"/>
      <c r="AT162"/>
      <c r="AU162"/>
      <c r="AV162"/>
      <c r="AW162"/>
      <c r="AX162"/>
    </row>
    <row r="163" spans="1:50" s="100" customFormat="1">
      <c r="A163" s="88" t="s">
        <v>85</v>
      </c>
      <c r="B163" s="89" t="s">
        <v>236</v>
      </c>
      <c r="C163" s="89" t="s">
        <v>68</v>
      </c>
      <c r="D163" s="103">
        <v>100031199</v>
      </c>
      <c r="E163" s="89" t="s">
        <v>69</v>
      </c>
      <c r="F163" s="89">
        <v>100066048</v>
      </c>
      <c r="G163" s="128" t="s">
        <v>254</v>
      </c>
      <c r="H163" s="166"/>
      <c r="I163" s="92"/>
      <c r="J163" s="92"/>
      <c r="K163" s="92"/>
      <c r="L163" s="92"/>
      <c r="M163" s="94"/>
      <c r="N163" s="94"/>
      <c r="O163" s="129"/>
      <c r="P163" s="167" t="e">
        <f t="shared" si="11"/>
        <v>#DIV/0!</v>
      </c>
      <c r="Q163" s="91">
        <v>0</v>
      </c>
      <c r="R163" s="129">
        <v>0</v>
      </c>
      <c r="S163" s="91">
        <v>0</v>
      </c>
      <c r="T163" s="129">
        <v>68.399999999999991</v>
      </c>
      <c r="U163" s="93">
        <v>0</v>
      </c>
      <c r="V163" s="129">
        <v>0</v>
      </c>
      <c r="W163" s="93">
        <v>0</v>
      </c>
      <c r="X163" s="129">
        <v>0</v>
      </c>
      <c r="Y163" s="93">
        <v>0</v>
      </c>
      <c r="Z163" s="129">
        <v>0</v>
      </c>
      <c r="AA163" s="155">
        <f t="shared" si="15"/>
        <v>0</v>
      </c>
      <c r="AB163" s="98">
        <f t="shared" si="15"/>
        <v>0</v>
      </c>
      <c r="AC163"/>
      <c r="AD163" s="97">
        <v>48</v>
      </c>
      <c r="AE163" s="92">
        <v>48</v>
      </c>
      <c r="AF163" s="98">
        <f t="shared" si="13"/>
        <v>96</v>
      </c>
      <c r="AG163" s="97">
        <v>0</v>
      </c>
      <c r="AH163" s="92">
        <v>0</v>
      </c>
      <c r="AI163" s="98">
        <f t="shared" si="16"/>
        <v>0</v>
      </c>
      <c r="AJ163" s="98">
        <f t="shared" si="12"/>
        <v>96</v>
      </c>
      <c r="AK163" s="102" t="str">
        <f>+IF(AB163+AA163+AJ163&lt;=0, "NO COMPRADOR", +IF(AJ163&lt;=0, "SIN COMPRA "&amp;+UPPER(TEXT('DINAMICA ENERO 26'!$C$2,"mmm 'yy")), "COMPRADOR"))</f>
        <v>COMPRADOR</v>
      </c>
      <c r="AL163"/>
      <c r="AN163" s="101"/>
      <c r="AP163"/>
      <c r="AQ163"/>
      <c r="AR163"/>
      <c r="AS163"/>
      <c r="AT163"/>
      <c r="AU163"/>
      <c r="AV163"/>
      <c r="AW163"/>
      <c r="AX163"/>
    </row>
    <row r="164" spans="1:50" s="100" customFormat="1">
      <c r="A164" s="88" t="s">
        <v>85</v>
      </c>
      <c r="B164" s="89" t="s">
        <v>236</v>
      </c>
      <c r="C164" s="89" t="s">
        <v>68</v>
      </c>
      <c r="D164" s="103">
        <v>100031199</v>
      </c>
      <c r="E164" s="89" t="s">
        <v>69</v>
      </c>
      <c r="F164" s="89">
        <v>100086078</v>
      </c>
      <c r="G164" s="128" t="s">
        <v>255</v>
      </c>
      <c r="H164" s="166"/>
      <c r="I164" s="92"/>
      <c r="J164" s="92"/>
      <c r="K164" s="92"/>
      <c r="L164" s="92"/>
      <c r="M164" s="94"/>
      <c r="N164" s="94"/>
      <c r="O164" s="129"/>
      <c r="P164" s="167" t="e">
        <f t="shared" si="11"/>
        <v>#DIV/0!</v>
      </c>
      <c r="Q164" s="91">
        <v>0</v>
      </c>
      <c r="R164" s="129">
        <v>0</v>
      </c>
      <c r="S164" s="91">
        <v>0</v>
      </c>
      <c r="T164" s="129">
        <v>0</v>
      </c>
      <c r="U164" s="93">
        <v>0</v>
      </c>
      <c r="V164" s="129">
        <v>0</v>
      </c>
      <c r="W164" s="93">
        <v>0</v>
      </c>
      <c r="X164" s="129">
        <v>0</v>
      </c>
      <c r="Y164" s="93">
        <v>0</v>
      </c>
      <c r="Z164" s="129">
        <v>0</v>
      </c>
      <c r="AA164" s="155">
        <f t="shared" si="15"/>
        <v>0</v>
      </c>
      <c r="AB164" s="98">
        <f t="shared" si="15"/>
        <v>0</v>
      </c>
      <c r="AC164"/>
      <c r="AD164" s="97">
        <v>0</v>
      </c>
      <c r="AE164" s="92">
        <v>0</v>
      </c>
      <c r="AF164" s="98">
        <f t="shared" si="13"/>
        <v>0</v>
      </c>
      <c r="AG164" s="97">
        <v>0</v>
      </c>
      <c r="AH164" s="92">
        <v>0</v>
      </c>
      <c r="AI164" s="98">
        <f t="shared" si="16"/>
        <v>0</v>
      </c>
      <c r="AJ164" s="98">
        <f t="shared" si="12"/>
        <v>0</v>
      </c>
      <c r="AK164" s="102" t="str">
        <f>+IF(AB164+AA164+AJ164&lt;=0, "NO COMPRADOR", +IF(AJ164&lt;=0, "SIN COMPRA "&amp;+UPPER(TEXT('DINAMICA ENERO 26'!$C$2,"mmm 'yy")), "COMPRADOR"))</f>
        <v>NO COMPRADOR</v>
      </c>
      <c r="AL164"/>
      <c r="AN164" s="101"/>
      <c r="AP164"/>
      <c r="AQ164"/>
      <c r="AR164"/>
      <c r="AS164"/>
      <c r="AT164"/>
      <c r="AU164"/>
      <c r="AV164"/>
      <c r="AW164"/>
      <c r="AX164"/>
    </row>
    <row r="165" spans="1:50" s="100" customFormat="1">
      <c r="A165" s="88" t="s">
        <v>85</v>
      </c>
      <c r="B165" s="89" t="s">
        <v>236</v>
      </c>
      <c r="C165" s="89" t="s">
        <v>68</v>
      </c>
      <c r="D165" s="103">
        <v>100031199</v>
      </c>
      <c r="E165" s="89" t="s">
        <v>69</v>
      </c>
      <c r="F165" s="89">
        <v>100089860</v>
      </c>
      <c r="G165" s="128" t="s">
        <v>256</v>
      </c>
      <c r="H165" s="166"/>
      <c r="I165" s="92"/>
      <c r="J165" s="92"/>
      <c r="K165" s="92"/>
      <c r="L165" s="92"/>
      <c r="M165" s="94"/>
      <c r="N165" s="94"/>
      <c r="O165" s="129"/>
      <c r="P165" s="167" t="e">
        <f t="shared" si="11"/>
        <v>#DIV/0!</v>
      </c>
      <c r="Q165" s="91">
        <v>0</v>
      </c>
      <c r="R165" s="129">
        <v>0</v>
      </c>
      <c r="S165" s="91">
        <v>0</v>
      </c>
      <c r="T165" s="129">
        <v>0</v>
      </c>
      <c r="U165" s="93">
        <v>0</v>
      </c>
      <c r="V165" s="129">
        <v>0</v>
      </c>
      <c r="W165" s="93">
        <v>0</v>
      </c>
      <c r="X165" s="129">
        <v>0</v>
      </c>
      <c r="Y165" s="93">
        <v>0</v>
      </c>
      <c r="Z165" s="129">
        <v>0</v>
      </c>
      <c r="AA165" s="155">
        <f t="shared" si="15"/>
        <v>0</v>
      </c>
      <c r="AB165" s="98">
        <f t="shared" si="15"/>
        <v>0</v>
      </c>
      <c r="AC165"/>
      <c r="AD165" s="97">
        <v>0</v>
      </c>
      <c r="AE165" s="92">
        <v>0</v>
      </c>
      <c r="AF165" s="98">
        <f t="shared" si="13"/>
        <v>0</v>
      </c>
      <c r="AG165" s="97">
        <v>0</v>
      </c>
      <c r="AH165" s="92">
        <v>0</v>
      </c>
      <c r="AI165" s="98">
        <f t="shared" si="16"/>
        <v>0</v>
      </c>
      <c r="AJ165" s="98">
        <f t="shared" si="12"/>
        <v>0</v>
      </c>
      <c r="AK165" s="102" t="str">
        <f>+IF(AB165+AA165+AJ165&lt;=0, "NO COMPRADOR", +IF(AJ165&lt;=0, "SIN COMPRA "&amp;+UPPER(TEXT('DINAMICA ENERO 26'!$C$2,"mmm 'yy")), "COMPRADOR"))</f>
        <v>NO COMPRADOR</v>
      </c>
      <c r="AL165"/>
      <c r="AN165" s="101"/>
      <c r="AP165"/>
      <c r="AQ165"/>
      <c r="AR165"/>
      <c r="AS165"/>
      <c r="AT165"/>
      <c r="AU165"/>
      <c r="AV165"/>
      <c r="AW165"/>
      <c r="AX165"/>
    </row>
    <row r="166" spans="1:50" s="100" customFormat="1">
      <c r="A166" s="88" t="s">
        <v>85</v>
      </c>
      <c r="B166" s="89" t="s">
        <v>257</v>
      </c>
      <c r="C166" s="89" t="s">
        <v>43</v>
      </c>
      <c r="D166" s="103">
        <v>100088690</v>
      </c>
      <c r="E166" s="89" t="s">
        <v>45</v>
      </c>
      <c r="F166" s="89">
        <v>100080700</v>
      </c>
      <c r="G166" s="128" t="s">
        <v>258</v>
      </c>
      <c r="H166" s="166"/>
      <c r="I166" s="92"/>
      <c r="J166" s="92"/>
      <c r="K166" s="92"/>
      <c r="L166" s="92"/>
      <c r="M166" s="94"/>
      <c r="N166" s="94"/>
      <c r="O166" s="129"/>
      <c r="P166" s="167" t="e">
        <f t="shared" si="11"/>
        <v>#DIV/0!</v>
      </c>
      <c r="Q166" s="91">
        <v>9.6</v>
      </c>
      <c r="R166" s="129">
        <v>0</v>
      </c>
      <c r="S166" s="91">
        <v>9.6</v>
      </c>
      <c r="T166" s="129">
        <v>0</v>
      </c>
      <c r="U166" s="93">
        <v>9.6</v>
      </c>
      <c r="V166" s="129">
        <v>0</v>
      </c>
      <c r="W166" s="93">
        <v>4.8</v>
      </c>
      <c r="X166" s="129">
        <v>4.5599999999999996</v>
      </c>
      <c r="Y166" s="93">
        <v>-4.8</v>
      </c>
      <c r="Z166" s="129">
        <v>-4.5599999999999996</v>
      </c>
      <c r="AA166" s="155">
        <f t="shared" si="15"/>
        <v>3.1999999999999993</v>
      </c>
      <c r="AB166" s="98">
        <f t="shared" si="15"/>
        <v>0</v>
      </c>
      <c r="AC166"/>
      <c r="AD166" s="97">
        <v>0</v>
      </c>
      <c r="AE166" s="92">
        <v>0</v>
      </c>
      <c r="AF166" s="98">
        <f>+AD166+AE166</f>
        <v>0</v>
      </c>
      <c r="AG166" s="97">
        <v>0</v>
      </c>
      <c r="AH166" s="92">
        <v>0</v>
      </c>
      <c r="AI166" s="98">
        <f>+AG166+AH166</f>
        <v>0</v>
      </c>
      <c r="AJ166" s="98">
        <f t="shared" si="12"/>
        <v>0</v>
      </c>
      <c r="AK166" s="102" t="str">
        <f>+IF(AB166+AA166+AJ166&lt;=0, "NO COMPRADOR", +IF(AJ166&lt;=0, "SIN COMPRA "&amp;+UPPER(TEXT('DINAMICA ENERO 26'!$C$2,"mmm 'yy")), "COMPRADOR"))</f>
        <v>SIN COMPRA FEB '26</v>
      </c>
      <c r="AL166"/>
      <c r="AN166" s="101"/>
      <c r="AP166"/>
      <c r="AQ166"/>
      <c r="AR166"/>
      <c r="AS166"/>
      <c r="AT166"/>
      <c r="AU166"/>
      <c r="AV166"/>
      <c r="AW166"/>
      <c r="AX166"/>
    </row>
    <row r="167" spans="1:50" s="104" customFormat="1">
      <c r="A167" s="88" t="s">
        <v>85</v>
      </c>
      <c r="B167" s="89" t="s">
        <v>257</v>
      </c>
      <c r="C167" s="89" t="s">
        <v>43</v>
      </c>
      <c r="D167" s="103">
        <v>100088690</v>
      </c>
      <c r="E167" s="89" t="s">
        <v>45</v>
      </c>
      <c r="F167" s="89">
        <v>100082871</v>
      </c>
      <c r="G167" s="128" t="s">
        <v>259</v>
      </c>
      <c r="H167" s="166"/>
      <c r="I167" s="92"/>
      <c r="J167" s="92"/>
      <c r="K167" s="92"/>
      <c r="L167" s="92"/>
      <c r="M167" s="94"/>
      <c r="N167" s="94"/>
      <c r="O167" s="129"/>
      <c r="P167" s="167" t="e">
        <f t="shared" si="11"/>
        <v>#DIV/0!</v>
      </c>
      <c r="Q167" s="91">
        <v>0</v>
      </c>
      <c r="R167" s="129">
        <v>0</v>
      </c>
      <c r="S167" s="91">
        <v>48</v>
      </c>
      <c r="T167" s="129">
        <v>0</v>
      </c>
      <c r="U167" s="93">
        <v>4.8</v>
      </c>
      <c r="V167" s="129">
        <v>0</v>
      </c>
      <c r="W167" s="93">
        <v>4.8</v>
      </c>
      <c r="X167" s="129">
        <v>4.5599999999999996</v>
      </c>
      <c r="Y167" s="93">
        <v>0</v>
      </c>
      <c r="Z167" s="129">
        <v>0</v>
      </c>
      <c r="AA167" s="155">
        <f t="shared" si="15"/>
        <v>3.1999999999999997</v>
      </c>
      <c r="AB167" s="98">
        <f t="shared" si="15"/>
        <v>1.5199999999999998</v>
      </c>
      <c r="AC167"/>
      <c r="AD167" s="97">
        <v>0</v>
      </c>
      <c r="AE167" s="92">
        <v>0</v>
      </c>
      <c r="AF167" s="98">
        <f t="shared" si="13"/>
        <v>0</v>
      </c>
      <c r="AG167" s="97">
        <v>0</v>
      </c>
      <c r="AH167" s="92">
        <v>0</v>
      </c>
      <c r="AI167" s="98">
        <f t="shared" ref="AI167:AI230" si="17">+AG167+AH167</f>
        <v>0</v>
      </c>
      <c r="AJ167" s="98">
        <f t="shared" si="12"/>
        <v>0</v>
      </c>
      <c r="AK167" s="102" t="str">
        <f>+IF(AB167+AA167+AJ167&lt;=0, "NO COMPRADOR", +IF(AJ167&lt;=0, "SIN COMPRA "&amp;+UPPER(TEXT('DINAMICA ENERO 26'!$C$2,"mmm 'yy")), "COMPRADOR"))</f>
        <v>SIN COMPRA FEB '26</v>
      </c>
      <c r="AL167"/>
      <c r="AM167" s="100"/>
      <c r="AN167" s="101"/>
      <c r="AO167" s="100"/>
      <c r="AP167"/>
      <c r="AQ167"/>
      <c r="AR167"/>
      <c r="AS167"/>
      <c r="AT167"/>
      <c r="AU167"/>
      <c r="AV167"/>
      <c r="AW167"/>
      <c r="AX167"/>
    </row>
    <row r="168" spans="1:50" s="104" customFormat="1">
      <c r="A168" s="88" t="s">
        <v>85</v>
      </c>
      <c r="B168" s="89" t="s">
        <v>257</v>
      </c>
      <c r="C168" s="89" t="s">
        <v>43</v>
      </c>
      <c r="D168" s="103">
        <v>100088690</v>
      </c>
      <c r="E168" s="89" t="s">
        <v>45</v>
      </c>
      <c r="F168" s="89">
        <v>100001500</v>
      </c>
      <c r="G168" s="128" t="s">
        <v>260</v>
      </c>
      <c r="H168" s="166"/>
      <c r="I168" s="92"/>
      <c r="J168" s="92"/>
      <c r="K168" s="92"/>
      <c r="L168" s="92"/>
      <c r="M168" s="94"/>
      <c r="N168" s="94"/>
      <c r="O168" s="129"/>
      <c r="P168" s="167" t="e">
        <f t="shared" si="11"/>
        <v>#DIV/0!</v>
      </c>
      <c r="Q168" s="91">
        <v>0</v>
      </c>
      <c r="R168" s="129">
        <v>0</v>
      </c>
      <c r="S168" s="91">
        <v>0</v>
      </c>
      <c r="T168" s="129">
        <v>0</v>
      </c>
      <c r="U168" s="93">
        <v>0</v>
      </c>
      <c r="V168" s="129">
        <v>0</v>
      </c>
      <c r="W168" s="93">
        <v>0</v>
      </c>
      <c r="X168" s="129">
        <v>0</v>
      </c>
      <c r="Y168" s="93">
        <v>0</v>
      </c>
      <c r="Z168" s="129">
        <v>0</v>
      </c>
      <c r="AA168" s="155">
        <f t="shared" si="15"/>
        <v>0</v>
      </c>
      <c r="AB168" s="98">
        <f t="shared" si="15"/>
        <v>0</v>
      </c>
      <c r="AC168"/>
      <c r="AD168" s="97">
        <v>0</v>
      </c>
      <c r="AE168" s="92">
        <v>0</v>
      </c>
      <c r="AF168" s="98">
        <f t="shared" si="13"/>
        <v>0</v>
      </c>
      <c r="AG168" s="97">
        <v>0</v>
      </c>
      <c r="AH168" s="92">
        <v>0</v>
      </c>
      <c r="AI168" s="98">
        <f t="shared" si="17"/>
        <v>0</v>
      </c>
      <c r="AJ168" s="98">
        <f t="shared" si="12"/>
        <v>0</v>
      </c>
      <c r="AK168" s="102" t="str">
        <f>+IF(AB168+AA168+AJ168&lt;=0, "NO COMPRADOR", +IF(AJ168&lt;=0, "SIN COMPRA "&amp;+UPPER(TEXT('DINAMICA ENERO 26'!$C$2,"mmm 'yy")), "COMPRADOR"))</f>
        <v>NO COMPRADOR</v>
      </c>
      <c r="AL168"/>
      <c r="AM168" s="100"/>
      <c r="AN168" s="101"/>
      <c r="AO168" s="100"/>
      <c r="AP168"/>
      <c r="AQ168"/>
      <c r="AR168"/>
      <c r="AS168"/>
      <c r="AT168"/>
      <c r="AU168"/>
      <c r="AV168"/>
      <c r="AW168"/>
      <c r="AX168"/>
    </row>
    <row r="169" spans="1:50" s="104" customFormat="1">
      <c r="A169" s="88" t="s">
        <v>85</v>
      </c>
      <c r="B169" s="89" t="s">
        <v>257</v>
      </c>
      <c r="C169" s="89" t="s">
        <v>43</v>
      </c>
      <c r="D169" s="103">
        <v>100088690</v>
      </c>
      <c r="E169" s="89" t="s">
        <v>45</v>
      </c>
      <c r="F169" s="89">
        <v>100026401</v>
      </c>
      <c r="G169" s="128" t="s">
        <v>261</v>
      </c>
      <c r="H169" s="166"/>
      <c r="I169" s="92"/>
      <c r="J169" s="92"/>
      <c r="K169" s="92"/>
      <c r="L169" s="92"/>
      <c r="M169" s="94"/>
      <c r="N169" s="94"/>
      <c r="O169" s="129"/>
      <c r="P169" s="167" t="e">
        <f t="shared" si="11"/>
        <v>#DIV/0!</v>
      </c>
      <c r="Q169" s="91">
        <v>95.999999999999972</v>
      </c>
      <c r="R169" s="129">
        <v>50.160000000000004</v>
      </c>
      <c r="S169" s="91">
        <v>105.59999999999998</v>
      </c>
      <c r="T169" s="129">
        <v>36.479999999999997</v>
      </c>
      <c r="U169" s="93">
        <v>91.199999999999989</v>
      </c>
      <c r="V169" s="129">
        <v>45.6</v>
      </c>
      <c r="W169" s="93">
        <v>95.999999999999972</v>
      </c>
      <c r="X169" s="129">
        <v>27.359999999999996</v>
      </c>
      <c r="Y169" s="93">
        <v>91.199999999999989</v>
      </c>
      <c r="Z169" s="129">
        <v>82.080000000000013</v>
      </c>
      <c r="AA169" s="155">
        <f t="shared" si="15"/>
        <v>92.8</v>
      </c>
      <c r="AB169" s="98">
        <f t="shared" si="15"/>
        <v>51.680000000000007</v>
      </c>
      <c r="AC169"/>
      <c r="AD169" s="97">
        <v>52.79999999999999</v>
      </c>
      <c r="AE169" s="92">
        <v>0</v>
      </c>
      <c r="AF169" s="98">
        <f t="shared" si="13"/>
        <v>52.79999999999999</v>
      </c>
      <c r="AG169" s="97">
        <v>54.720000000000006</v>
      </c>
      <c r="AH169" s="92">
        <v>0</v>
      </c>
      <c r="AI169" s="98">
        <f t="shared" si="17"/>
        <v>54.720000000000006</v>
      </c>
      <c r="AJ169" s="98">
        <f t="shared" si="12"/>
        <v>107.52</v>
      </c>
      <c r="AK169" s="102" t="str">
        <f>+IF(AB169+AA169+AJ169&lt;=0, "NO COMPRADOR", +IF(AJ169&lt;=0, "SIN COMPRA "&amp;+UPPER(TEXT('DINAMICA ENERO 26'!$C$2,"mmm 'yy")), "COMPRADOR"))</f>
        <v>COMPRADOR</v>
      </c>
      <c r="AL169"/>
      <c r="AM169" s="100"/>
      <c r="AN169" s="101"/>
      <c r="AO169" s="100"/>
      <c r="AP169"/>
      <c r="AQ169"/>
      <c r="AR169"/>
      <c r="AS169"/>
      <c r="AT169"/>
      <c r="AU169"/>
      <c r="AV169"/>
      <c r="AW169"/>
      <c r="AX169"/>
    </row>
    <row r="170" spans="1:50" s="100" customFormat="1">
      <c r="A170" s="88" t="s">
        <v>85</v>
      </c>
      <c r="B170" s="89" t="s">
        <v>257</v>
      </c>
      <c r="C170" s="89" t="s">
        <v>43</v>
      </c>
      <c r="D170" s="103">
        <v>100088690</v>
      </c>
      <c r="E170" s="89" t="s">
        <v>45</v>
      </c>
      <c r="F170" s="89">
        <v>100067627</v>
      </c>
      <c r="G170" s="128" t="s">
        <v>262</v>
      </c>
      <c r="H170" s="166"/>
      <c r="I170" s="92"/>
      <c r="J170" s="92"/>
      <c r="K170" s="92"/>
      <c r="L170" s="92"/>
      <c r="M170" s="94"/>
      <c r="N170" s="94"/>
      <c r="O170" s="129"/>
      <c r="P170" s="167" t="e">
        <f t="shared" si="11"/>
        <v>#DIV/0!</v>
      </c>
      <c r="Q170" s="91">
        <v>936</v>
      </c>
      <c r="R170" s="129">
        <v>182.39999999999998</v>
      </c>
      <c r="S170" s="91">
        <v>2745.6</v>
      </c>
      <c r="T170" s="129">
        <v>0</v>
      </c>
      <c r="U170" s="93">
        <v>1281.5999999999999</v>
      </c>
      <c r="V170" s="129">
        <v>13.68</v>
      </c>
      <c r="W170" s="93">
        <v>1358.3999999999999</v>
      </c>
      <c r="X170" s="129">
        <v>113.99999999999999</v>
      </c>
      <c r="Y170" s="93">
        <v>1276.8</v>
      </c>
      <c r="Z170" s="129">
        <v>18.239999999999998</v>
      </c>
      <c r="AA170" s="155">
        <f t="shared" si="15"/>
        <v>1305.6000000000001</v>
      </c>
      <c r="AB170" s="98">
        <f t="shared" si="15"/>
        <v>48.639999999999993</v>
      </c>
      <c r="AC170"/>
      <c r="AD170" s="97">
        <v>1147.2</v>
      </c>
      <c r="AE170" s="92">
        <v>0</v>
      </c>
      <c r="AF170" s="98">
        <f t="shared" si="13"/>
        <v>1147.2</v>
      </c>
      <c r="AG170" s="97">
        <v>59.279999999999987</v>
      </c>
      <c r="AH170" s="92">
        <v>0</v>
      </c>
      <c r="AI170" s="98">
        <f t="shared" si="17"/>
        <v>59.279999999999987</v>
      </c>
      <c r="AJ170" s="98">
        <f t="shared" si="12"/>
        <v>1206.48</v>
      </c>
      <c r="AK170" s="102" t="str">
        <f>+IF(AB170+AA170+AJ170&lt;=0, "NO COMPRADOR", +IF(AJ170&lt;=0, "SIN COMPRA "&amp;+UPPER(TEXT('DINAMICA ENERO 26'!$C$2,"mmm 'yy")), "COMPRADOR"))</f>
        <v>COMPRADOR</v>
      </c>
      <c r="AL170"/>
      <c r="AN170" s="101"/>
      <c r="AP170"/>
      <c r="AQ170"/>
      <c r="AR170"/>
      <c r="AS170"/>
      <c r="AT170"/>
      <c r="AU170"/>
      <c r="AV170"/>
      <c r="AW170"/>
      <c r="AX170"/>
    </row>
    <row r="171" spans="1:50" s="100" customFormat="1">
      <c r="A171" s="88" t="s">
        <v>85</v>
      </c>
      <c r="B171" s="89" t="s">
        <v>257</v>
      </c>
      <c r="C171" s="89" t="s">
        <v>43</v>
      </c>
      <c r="D171" s="103">
        <v>100088690</v>
      </c>
      <c r="E171" s="89" t="s">
        <v>45</v>
      </c>
      <c r="F171" s="89">
        <v>100072066</v>
      </c>
      <c r="G171" s="128" t="s">
        <v>263</v>
      </c>
      <c r="H171" s="166"/>
      <c r="I171" s="92"/>
      <c r="J171" s="92"/>
      <c r="K171" s="92"/>
      <c r="L171" s="92"/>
      <c r="M171" s="94"/>
      <c r="N171" s="94"/>
      <c r="O171" s="129"/>
      <c r="P171" s="167" t="e">
        <f t="shared" si="11"/>
        <v>#DIV/0!</v>
      </c>
      <c r="Q171" s="91">
        <v>24</v>
      </c>
      <c r="R171" s="129">
        <v>13.68</v>
      </c>
      <c r="S171" s="91">
        <v>0</v>
      </c>
      <c r="T171" s="129">
        <v>0</v>
      </c>
      <c r="U171" s="93">
        <v>4.8</v>
      </c>
      <c r="V171" s="129">
        <v>0</v>
      </c>
      <c r="W171" s="93">
        <v>24</v>
      </c>
      <c r="X171" s="129">
        <v>22.799999999999997</v>
      </c>
      <c r="Y171" s="93">
        <v>0</v>
      </c>
      <c r="Z171" s="129">
        <v>9.1199999999999992</v>
      </c>
      <c r="AA171" s="155">
        <f t="shared" si="15"/>
        <v>9.6</v>
      </c>
      <c r="AB171" s="98">
        <f t="shared" si="15"/>
        <v>10.639999999999999</v>
      </c>
      <c r="AC171"/>
      <c r="AD171" s="97">
        <v>0</v>
      </c>
      <c r="AE171" s="92">
        <v>0</v>
      </c>
      <c r="AF171" s="98">
        <f t="shared" si="13"/>
        <v>0</v>
      </c>
      <c r="AG171" s="97">
        <v>9.1199999999999992</v>
      </c>
      <c r="AH171" s="92">
        <v>0</v>
      </c>
      <c r="AI171" s="98">
        <f t="shared" si="17"/>
        <v>9.1199999999999992</v>
      </c>
      <c r="AJ171" s="98">
        <f t="shared" si="12"/>
        <v>9.1199999999999992</v>
      </c>
      <c r="AK171" s="102" t="str">
        <f>+IF(AB171+AA171+AJ171&lt;=0, "NO COMPRADOR", +IF(AJ171&lt;=0, "SIN COMPRA "&amp;+UPPER(TEXT('DINAMICA ENERO 26'!$C$2,"mmm 'yy")), "COMPRADOR"))</f>
        <v>COMPRADOR</v>
      </c>
      <c r="AL171"/>
      <c r="AN171" s="101"/>
      <c r="AP171"/>
      <c r="AQ171"/>
      <c r="AR171"/>
      <c r="AS171"/>
      <c r="AT171"/>
      <c r="AU171"/>
      <c r="AV171"/>
      <c r="AW171"/>
      <c r="AX171"/>
    </row>
    <row r="172" spans="1:50" s="100" customFormat="1">
      <c r="A172" s="88" t="s">
        <v>85</v>
      </c>
      <c r="B172" s="89" t="s">
        <v>257</v>
      </c>
      <c r="C172" s="89" t="s">
        <v>43</v>
      </c>
      <c r="D172" s="103">
        <v>100088690</v>
      </c>
      <c r="E172" s="89" t="s">
        <v>45</v>
      </c>
      <c r="F172" s="89">
        <v>100081814</v>
      </c>
      <c r="G172" s="128" t="s">
        <v>264</v>
      </c>
      <c r="H172" s="166"/>
      <c r="I172" s="92"/>
      <c r="J172" s="92"/>
      <c r="K172" s="92"/>
      <c r="L172" s="92"/>
      <c r="M172" s="94"/>
      <c r="N172" s="94"/>
      <c r="O172" s="129"/>
      <c r="P172" s="167" t="e">
        <f t="shared" si="11"/>
        <v>#DIV/0!</v>
      </c>
      <c r="Q172" s="91">
        <v>0</v>
      </c>
      <c r="R172" s="129">
        <v>0</v>
      </c>
      <c r="S172" s="91">
        <v>0</v>
      </c>
      <c r="T172" s="129">
        <v>0</v>
      </c>
      <c r="U172" s="93">
        <v>0</v>
      </c>
      <c r="V172" s="129">
        <v>0</v>
      </c>
      <c r="W172" s="93">
        <v>0</v>
      </c>
      <c r="X172" s="129">
        <v>0</v>
      </c>
      <c r="Y172" s="93">
        <v>0</v>
      </c>
      <c r="Z172" s="129">
        <v>0</v>
      </c>
      <c r="AA172" s="155">
        <f t="shared" si="15"/>
        <v>0</v>
      </c>
      <c r="AB172" s="98">
        <f t="shared" si="15"/>
        <v>0</v>
      </c>
      <c r="AC172"/>
      <c r="AD172" s="97">
        <v>0</v>
      </c>
      <c r="AE172" s="92">
        <v>0</v>
      </c>
      <c r="AF172" s="98">
        <f t="shared" si="13"/>
        <v>0</v>
      </c>
      <c r="AG172" s="97">
        <v>0</v>
      </c>
      <c r="AH172" s="92">
        <v>0</v>
      </c>
      <c r="AI172" s="98">
        <f t="shared" si="17"/>
        <v>0</v>
      </c>
      <c r="AJ172" s="98">
        <f t="shared" si="12"/>
        <v>0</v>
      </c>
      <c r="AK172" s="102" t="str">
        <f>+IF(AB172+AA172+AJ172&lt;=0, "NO COMPRADOR", +IF(AJ172&lt;=0, "SIN COMPRA "&amp;+UPPER(TEXT('DINAMICA ENERO 26'!$C$2,"mmm 'yy")), "COMPRADOR"))</f>
        <v>NO COMPRADOR</v>
      </c>
      <c r="AL172"/>
      <c r="AN172" s="101"/>
      <c r="AP172"/>
      <c r="AQ172"/>
      <c r="AR172"/>
      <c r="AS172"/>
      <c r="AT172"/>
      <c r="AU172"/>
      <c r="AV172"/>
      <c r="AW172"/>
      <c r="AX172"/>
    </row>
    <row r="173" spans="1:50" s="100" customFormat="1">
      <c r="A173" s="88" t="s">
        <v>85</v>
      </c>
      <c r="B173" s="89" t="s">
        <v>257</v>
      </c>
      <c r="C173" s="89" t="s">
        <v>43</v>
      </c>
      <c r="D173" s="103">
        <v>100088690</v>
      </c>
      <c r="E173" s="89" t="s">
        <v>45</v>
      </c>
      <c r="F173" s="89">
        <v>100072064</v>
      </c>
      <c r="G173" s="128" t="s">
        <v>265</v>
      </c>
      <c r="H173" s="166"/>
      <c r="I173" s="92"/>
      <c r="J173" s="92"/>
      <c r="K173" s="92"/>
      <c r="L173" s="92"/>
      <c r="M173" s="94"/>
      <c r="N173" s="94"/>
      <c r="O173" s="129"/>
      <c r="P173" s="167" t="e">
        <f t="shared" si="11"/>
        <v>#DIV/0!</v>
      </c>
      <c r="Q173" s="91">
        <v>24</v>
      </c>
      <c r="R173" s="129">
        <v>4.5599999999999996</v>
      </c>
      <c r="S173" s="91">
        <v>19.2</v>
      </c>
      <c r="T173" s="129">
        <v>0</v>
      </c>
      <c r="U173" s="93">
        <v>48</v>
      </c>
      <c r="V173" s="129">
        <v>9.1199999999999992</v>
      </c>
      <c r="W173" s="93">
        <v>24</v>
      </c>
      <c r="X173" s="129">
        <v>4.5599999999999996</v>
      </c>
      <c r="Y173" s="93">
        <v>0</v>
      </c>
      <c r="Z173" s="129">
        <v>4.5599999999999996</v>
      </c>
      <c r="AA173" s="155">
        <f t="shared" si="15"/>
        <v>24</v>
      </c>
      <c r="AB173" s="98">
        <f t="shared" si="15"/>
        <v>6.0799999999999992</v>
      </c>
      <c r="AC173"/>
      <c r="AD173" s="97">
        <v>33.599999999999994</v>
      </c>
      <c r="AE173" s="92">
        <v>0</v>
      </c>
      <c r="AF173" s="98">
        <f t="shared" si="13"/>
        <v>33.599999999999994</v>
      </c>
      <c r="AG173" s="97">
        <v>4.5599999999999996</v>
      </c>
      <c r="AH173" s="92">
        <v>0</v>
      </c>
      <c r="AI173" s="98">
        <f t="shared" si="17"/>
        <v>4.5599999999999996</v>
      </c>
      <c r="AJ173" s="98">
        <f t="shared" si="12"/>
        <v>38.159999999999997</v>
      </c>
      <c r="AK173" s="102" t="str">
        <f>+IF(AB173+AA173+AJ173&lt;=0, "NO COMPRADOR", +IF(AJ173&lt;=0, "SIN COMPRA "&amp;+UPPER(TEXT('DINAMICA ENERO 26'!$C$2,"mmm 'yy")), "COMPRADOR"))</f>
        <v>COMPRADOR</v>
      </c>
      <c r="AL173"/>
      <c r="AN173" s="101"/>
      <c r="AP173"/>
      <c r="AQ173"/>
      <c r="AR173"/>
      <c r="AS173"/>
      <c r="AT173"/>
      <c r="AU173"/>
      <c r="AV173"/>
      <c r="AW173"/>
      <c r="AX173"/>
    </row>
    <row r="174" spans="1:50" s="100" customFormat="1">
      <c r="A174" s="88" t="s">
        <v>85</v>
      </c>
      <c r="B174" s="89" t="s">
        <v>257</v>
      </c>
      <c r="C174" s="89" t="s">
        <v>43</v>
      </c>
      <c r="D174" s="103">
        <v>100088690</v>
      </c>
      <c r="E174" s="89" t="s">
        <v>45</v>
      </c>
      <c r="F174" s="89">
        <v>100080445</v>
      </c>
      <c r="G174" s="128" t="s">
        <v>266</v>
      </c>
      <c r="H174" s="166"/>
      <c r="I174" s="92"/>
      <c r="J174" s="92"/>
      <c r="K174" s="92"/>
      <c r="L174" s="92"/>
      <c r="M174" s="94"/>
      <c r="N174" s="94"/>
      <c r="O174" s="129"/>
      <c r="P174" s="167" t="e">
        <f t="shared" si="11"/>
        <v>#DIV/0!</v>
      </c>
      <c r="Q174" s="91">
        <v>48</v>
      </c>
      <c r="R174" s="129">
        <v>0</v>
      </c>
      <c r="S174" s="91">
        <v>67.199999999999989</v>
      </c>
      <c r="T174" s="129">
        <v>22.799999999999997</v>
      </c>
      <c r="U174" s="93">
        <v>100.8</v>
      </c>
      <c r="V174" s="129">
        <v>50.16</v>
      </c>
      <c r="W174" s="93">
        <v>0</v>
      </c>
      <c r="X174" s="129">
        <v>0</v>
      </c>
      <c r="Y174" s="93">
        <v>24</v>
      </c>
      <c r="Z174" s="129">
        <v>0</v>
      </c>
      <c r="AA174" s="155">
        <f t="shared" si="15"/>
        <v>41.6</v>
      </c>
      <c r="AB174" s="98">
        <f t="shared" si="15"/>
        <v>16.72</v>
      </c>
      <c r="AC174"/>
      <c r="AD174" s="97">
        <v>62.400000000000006</v>
      </c>
      <c r="AE174" s="92">
        <v>0</v>
      </c>
      <c r="AF174" s="98">
        <f t="shared" si="13"/>
        <v>62.400000000000006</v>
      </c>
      <c r="AG174" s="97">
        <v>0</v>
      </c>
      <c r="AH174" s="92">
        <v>0</v>
      </c>
      <c r="AI174" s="98">
        <f t="shared" si="17"/>
        <v>0</v>
      </c>
      <c r="AJ174" s="98">
        <f t="shared" si="12"/>
        <v>62.400000000000006</v>
      </c>
      <c r="AK174" s="102" t="str">
        <f>+IF(AB174+AA174+AJ174&lt;=0, "NO COMPRADOR", +IF(AJ174&lt;=0, "SIN COMPRA "&amp;+UPPER(TEXT('DINAMICA ENERO 26'!$C$2,"mmm 'yy")), "COMPRADOR"))</f>
        <v>COMPRADOR</v>
      </c>
      <c r="AL174"/>
      <c r="AN174" s="101"/>
      <c r="AP174"/>
      <c r="AQ174"/>
      <c r="AR174"/>
      <c r="AS174"/>
      <c r="AT174"/>
      <c r="AU174"/>
      <c r="AV174"/>
      <c r="AW174"/>
      <c r="AX174"/>
    </row>
    <row r="175" spans="1:50" s="100" customFormat="1">
      <c r="A175" s="88" t="s">
        <v>85</v>
      </c>
      <c r="B175" s="89" t="s">
        <v>257</v>
      </c>
      <c r="C175" s="89" t="s">
        <v>43</v>
      </c>
      <c r="D175" s="103">
        <v>100088690</v>
      </c>
      <c r="E175" s="89" t="s">
        <v>45</v>
      </c>
      <c r="F175" s="89">
        <v>100018910</v>
      </c>
      <c r="G175" s="128" t="s">
        <v>267</v>
      </c>
      <c r="H175" s="166"/>
      <c r="I175" s="92"/>
      <c r="J175" s="92"/>
      <c r="K175" s="92"/>
      <c r="L175" s="92"/>
      <c r="M175" s="94"/>
      <c r="N175" s="94"/>
      <c r="O175" s="129"/>
      <c r="P175" s="167" t="e">
        <f t="shared" si="11"/>
        <v>#DIV/0!</v>
      </c>
      <c r="Q175" s="91">
        <v>0</v>
      </c>
      <c r="R175" s="129">
        <v>0</v>
      </c>
      <c r="S175" s="91">
        <v>28.799999999999997</v>
      </c>
      <c r="T175" s="129">
        <v>22.799999999999997</v>
      </c>
      <c r="U175" s="93">
        <v>9.6</v>
      </c>
      <c r="V175" s="129">
        <v>0</v>
      </c>
      <c r="W175" s="93">
        <v>9.6</v>
      </c>
      <c r="X175" s="129">
        <v>0</v>
      </c>
      <c r="Y175" s="93">
        <v>9.6</v>
      </c>
      <c r="Z175" s="129">
        <v>4.5599999999999996</v>
      </c>
      <c r="AA175" s="155">
        <f t="shared" si="15"/>
        <v>9.6</v>
      </c>
      <c r="AB175" s="98">
        <f t="shared" si="15"/>
        <v>1.5199999999999998</v>
      </c>
      <c r="AC175"/>
      <c r="AD175" s="97">
        <v>19.2</v>
      </c>
      <c r="AE175" s="92">
        <v>0</v>
      </c>
      <c r="AF175" s="98">
        <f t="shared" si="13"/>
        <v>19.2</v>
      </c>
      <c r="AG175" s="97">
        <v>27.36</v>
      </c>
      <c r="AH175" s="92">
        <v>0</v>
      </c>
      <c r="AI175" s="98">
        <f t="shared" si="17"/>
        <v>27.36</v>
      </c>
      <c r="AJ175" s="98">
        <f t="shared" si="12"/>
        <v>46.56</v>
      </c>
      <c r="AK175" s="102" t="str">
        <f>+IF(AB175+AA175+AJ175&lt;=0, "NO COMPRADOR", +IF(AJ175&lt;=0, "SIN COMPRA "&amp;+UPPER(TEXT('DINAMICA ENERO 26'!$C$2,"mmm 'yy")), "COMPRADOR"))</f>
        <v>COMPRADOR</v>
      </c>
      <c r="AL175"/>
      <c r="AN175" s="101"/>
      <c r="AP175"/>
      <c r="AQ175"/>
      <c r="AR175"/>
      <c r="AS175"/>
      <c r="AT175"/>
      <c r="AU175"/>
      <c r="AV175"/>
      <c r="AW175"/>
      <c r="AX175"/>
    </row>
    <row r="176" spans="1:50" s="100" customFormat="1">
      <c r="A176" s="88" t="s">
        <v>85</v>
      </c>
      <c r="B176" s="89" t="s">
        <v>257</v>
      </c>
      <c r="C176" s="89" t="s">
        <v>43</v>
      </c>
      <c r="D176" s="103">
        <v>100088690</v>
      </c>
      <c r="E176" s="89" t="s">
        <v>45</v>
      </c>
      <c r="F176" s="89">
        <v>100072065</v>
      </c>
      <c r="G176" s="128" t="s">
        <v>268</v>
      </c>
      <c r="H176" s="166"/>
      <c r="I176" s="92"/>
      <c r="J176" s="92"/>
      <c r="K176" s="92"/>
      <c r="L176" s="92"/>
      <c r="M176" s="94"/>
      <c r="N176" s="94"/>
      <c r="O176" s="129"/>
      <c r="P176" s="167" t="e">
        <f t="shared" si="11"/>
        <v>#DIV/0!</v>
      </c>
      <c r="Q176" s="91">
        <v>0</v>
      </c>
      <c r="R176" s="129">
        <v>0</v>
      </c>
      <c r="S176" s="91">
        <v>52.8</v>
      </c>
      <c r="T176" s="129">
        <v>4.5599999999999996</v>
      </c>
      <c r="U176" s="93">
        <v>100.8</v>
      </c>
      <c r="V176" s="129">
        <v>227.99999999999997</v>
      </c>
      <c r="W176" s="93">
        <v>4.8</v>
      </c>
      <c r="X176" s="129">
        <v>0</v>
      </c>
      <c r="Y176" s="93">
        <v>0</v>
      </c>
      <c r="Z176" s="129">
        <v>4.5599999999999996</v>
      </c>
      <c r="AA176" s="155">
        <f t="shared" si="15"/>
        <v>35.199999999999996</v>
      </c>
      <c r="AB176" s="98">
        <f t="shared" si="15"/>
        <v>77.52</v>
      </c>
      <c r="AC176"/>
      <c r="AD176" s="97">
        <v>14.399999999999999</v>
      </c>
      <c r="AE176" s="92">
        <v>0</v>
      </c>
      <c r="AF176" s="98">
        <f t="shared" si="13"/>
        <v>14.399999999999999</v>
      </c>
      <c r="AG176" s="97">
        <v>-4.5599999999999996</v>
      </c>
      <c r="AH176" s="92">
        <v>0</v>
      </c>
      <c r="AI176" s="98">
        <f t="shared" si="17"/>
        <v>-4.5599999999999996</v>
      </c>
      <c r="AJ176" s="98">
        <f t="shared" si="12"/>
        <v>9.84</v>
      </c>
      <c r="AK176" s="102" t="str">
        <f>+IF(AB176+AA176+AJ176&lt;=0, "NO COMPRADOR", +IF(AJ176&lt;=0, "SIN COMPRA "&amp;+UPPER(TEXT('DINAMICA ENERO 26'!$C$2,"mmm 'yy")), "COMPRADOR"))</f>
        <v>COMPRADOR</v>
      </c>
      <c r="AL176"/>
      <c r="AN176" s="101"/>
      <c r="AP176"/>
      <c r="AQ176"/>
      <c r="AR176"/>
      <c r="AS176"/>
      <c r="AT176"/>
      <c r="AU176"/>
      <c r="AV176"/>
      <c r="AW176"/>
      <c r="AX176"/>
    </row>
    <row r="177" spans="1:50" s="104" customFormat="1">
      <c r="A177" s="88" t="s">
        <v>85</v>
      </c>
      <c r="B177" s="89" t="s">
        <v>257</v>
      </c>
      <c r="C177" s="89" t="s">
        <v>43</v>
      </c>
      <c r="D177" s="103">
        <v>100088690</v>
      </c>
      <c r="E177" s="89" t="s">
        <v>45</v>
      </c>
      <c r="F177" s="89">
        <v>100068677</v>
      </c>
      <c r="G177" s="128" t="s">
        <v>269</v>
      </c>
      <c r="H177" s="166"/>
      <c r="I177" s="92"/>
      <c r="J177" s="92"/>
      <c r="K177" s="92"/>
      <c r="L177" s="92"/>
      <c r="M177" s="94"/>
      <c r="N177" s="94"/>
      <c r="O177" s="129"/>
      <c r="P177" s="167" t="e">
        <f t="shared" si="11"/>
        <v>#DIV/0!</v>
      </c>
      <c r="Q177" s="91">
        <v>0</v>
      </c>
      <c r="R177" s="129">
        <v>0</v>
      </c>
      <c r="S177" s="91">
        <v>0</v>
      </c>
      <c r="T177" s="129">
        <v>4.5599999999999996</v>
      </c>
      <c r="U177" s="93">
        <v>0</v>
      </c>
      <c r="V177" s="129">
        <v>0</v>
      </c>
      <c r="W177" s="93">
        <v>4.8</v>
      </c>
      <c r="X177" s="129">
        <v>4.5599999999999996</v>
      </c>
      <c r="Y177" s="93">
        <v>0</v>
      </c>
      <c r="Z177" s="129">
        <v>0</v>
      </c>
      <c r="AA177" s="155">
        <f t="shared" si="15"/>
        <v>1.5999999999999999</v>
      </c>
      <c r="AB177" s="98">
        <f t="shared" si="15"/>
        <v>1.5199999999999998</v>
      </c>
      <c r="AC177"/>
      <c r="AD177" s="97">
        <v>0</v>
      </c>
      <c r="AE177" s="92">
        <v>0</v>
      </c>
      <c r="AF177" s="98">
        <f t="shared" si="13"/>
        <v>0</v>
      </c>
      <c r="AG177" s="97">
        <v>0</v>
      </c>
      <c r="AH177" s="92">
        <v>0</v>
      </c>
      <c r="AI177" s="98">
        <f t="shared" si="17"/>
        <v>0</v>
      </c>
      <c r="AJ177" s="98">
        <f t="shared" si="12"/>
        <v>0</v>
      </c>
      <c r="AK177" s="102" t="str">
        <f>+IF(AB177+AA177+AJ177&lt;=0, "NO COMPRADOR", +IF(AJ177&lt;=0, "SIN COMPRA "&amp;+UPPER(TEXT('DINAMICA ENERO 26'!$C$2,"mmm 'yy")), "COMPRADOR"))</f>
        <v>SIN COMPRA FEB '26</v>
      </c>
      <c r="AL177"/>
      <c r="AM177" s="100"/>
      <c r="AN177" s="101"/>
      <c r="AO177" s="100"/>
      <c r="AP177"/>
      <c r="AQ177"/>
      <c r="AR177"/>
      <c r="AS177"/>
      <c r="AT177"/>
      <c r="AU177"/>
      <c r="AV177"/>
      <c r="AW177"/>
      <c r="AX177"/>
    </row>
    <row r="178" spans="1:50" s="100" customFormat="1">
      <c r="A178" s="88" t="s">
        <v>85</v>
      </c>
      <c r="B178" s="89" t="s">
        <v>257</v>
      </c>
      <c r="C178" s="89" t="s">
        <v>43</v>
      </c>
      <c r="D178" s="103">
        <v>100088690</v>
      </c>
      <c r="E178" s="89" t="s">
        <v>45</v>
      </c>
      <c r="F178" s="89">
        <v>100017754</v>
      </c>
      <c r="G178" s="128" t="s">
        <v>270</v>
      </c>
      <c r="H178" s="166"/>
      <c r="I178" s="92"/>
      <c r="J178" s="92"/>
      <c r="K178" s="92"/>
      <c r="L178" s="92"/>
      <c r="M178" s="94"/>
      <c r="N178" s="94"/>
      <c r="O178" s="129"/>
      <c r="P178" s="167" t="e">
        <f t="shared" si="11"/>
        <v>#DIV/0!</v>
      </c>
      <c r="Q178" s="91">
        <v>0</v>
      </c>
      <c r="R178" s="129">
        <v>0</v>
      </c>
      <c r="S178" s="91">
        <v>14.399999999999999</v>
      </c>
      <c r="T178" s="129">
        <v>0</v>
      </c>
      <c r="U178" s="93">
        <v>0</v>
      </c>
      <c r="V178" s="129">
        <v>0</v>
      </c>
      <c r="W178" s="93">
        <v>4.8</v>
      </c>
      <c r="X178" s="129">
        <v>0</v>
      </c>
      <c r="Y178" s="93">
        <v>48</v>
      </c>
      <c r="Z178" s="129">
        <v>0</v>
      </c>
      <c r="AA178" s="155">
        <f t="shared" si="15"/>
        <v>17.599999999999998</v>
      </c>
      <c r="AB178" s="98">
        <f t="shared" si="15"/>
        <v>0</v>
      </c>
      <c r="AC178"/>
      <c r="AD178" s="97">
        <v>24</v>
      </c>
      <c r="AE178" s="92">
        <v>0</v>
      </c>
      <c r="AF178" s="98">
        <f t="shared" si="13"/>
        <v>24</v>
      </c>
      <c r="AG178" s="97">
        <v>0</v>
      </c>
      <c r="AH178" s="92">
        <v>0</v>
      </c>
      <c r="AI178" s="98">
        <f t="shared" si="17"/>
        <v>0</v>
      </c>
      <c r="AJ178" s="98">
        <f t="shared" si="12"/>
        <v>24</v>
      </c>
      <c r="AK178" s="102" t="str">
        <f>+IF(AB178+AA178+AJ178&lt;=0, "NO COMPRADOR", +IF(AJ178&lt;=0, "SIN COMPRA "&amp;+UPPER(TEXT('DINAMICA ENERO 26'!$C$2,"mmm 'yy")), "COMPRADOR"))</f>
        <v>COMPRADOR</v>
      </c>
      <c r="AL178"/>
      <c r="AN178" s="101"/>
      <c r="AP178"/>
      <c r="AQ178"/>
      <c r="AR178"/>
      <c r="AS178"/>
      <c r="AT178"/>
      <c r="AU178"/>
      <c r="AV178"/>
      <c r="AW178"/>
      <c r="AX178"/>
    </row>
    <row r="179" spans="1:50" s="104" customFormat="1">
      <c r="A179" s="88" t="s">
        <v>85</v>
      </c>
      <c r="B179" s="89" t="s">
        <v>257</v>
      </c>
      <c r="C179" s="89" t="s">
        <v>43</v>
      </c>
      <c r="D179" s="103">
        <v>100088690</v>
      </c>
      <c r="E179" s="89" t="s">
        <v>45</v>
      </c>
      <c r="F179" s="89">
        <v>100024126</v>
      </c>
      <c r="G179" s="128" t="s">
        <v>271</v>
      </c>
      <c r="H179" s="166"/>
      <c r="I179" s="92"/>
      <c r="J179" s="92"/>
      <c r="K179" s="92"/>
      <c r="L179" s="92"/>
      <c r="M179" s="94"/>
      <c r="N179" s="94"/>
      <c r="O179" s="129"/>
      <c r="P179" s="167" t="e">
        <f t="shared" si="11"/>
        <v>#DIV/0!</v>
      </c>
      <c r="Q179" s="91">
        <v>14.399999999999999</v>
      </c>
      <c r="R179" s="129">
        <v>0</v>
      </c>
      <c r="S179" s="91">
        <v>28.799999999999997</v>
      </c>
      <c r="T179" s="129">
        <v>27.36</v>
      </c>
      <c r="U179" s="93">
        <v>0</v>
      </c>
      <c r="V179" s="129">
        <v>9.1199999999999992</v>
      </c>
      <c r="W179" s="93">
        <v>9.6</v>
      </c>
      <c r="X179" s="129">
        <v>9.1199999999999992</v>
      </c>
      <c r="Y179" s="93">
        <v>14.399999999999999</v>
      </c>
      <c r="Z179" s="129">
        <v>18.239999999999998</v>
      </c>
      <c r="AA179" s="155">
        <f t="shared" si="15"/>
        <v>8</v>
      </c>
      <c r="AB179" s="98">
        <f t="shared" si="15"/>
        <v>12.159999999999998</v>
      </c>
      <c r="AC179"/>
      <c r="AD179" s="97">
        <v>19.2</v>
      </c>
      <c r="AE179" s="92">
        <v>0</v>
      </c>
      <c r="AF179" s="98">
        <f t="shared" si="13"/>
        <v>19.2</v>
      </c>
      <c r="AG179" s="97">
        <v>13.68</v>
      </c>
      <c r="AH179" s="92">
        <v>0</v>
      </c>
      <c r="AI179" s="98">
        <f t="shared" si="17"/>
        <v>13.68</v>
      </c>
      <c r="AJ179" s="98">
        <f t="shared" si="12"/>
        <v>32.879999999999995</v>
      </c>
      <c r="AK179" s="102" t="str">
        <f>+IF(AB179+AA179+AJ179&lt;=0, "NO COMPRADOR", +IF(AJ179&lt;=0, "SIN COMPRA "&amp;+UPPER(TEXT('DINAMICA ENERO 26'!$C$2,"mmm 'yy")), "COMPRADOR"))</f>
        <v>COMPRADOR</v>
      </c>
      <c r="AL179"/>
      <c r="AM179" s="100"/>
      <c r="AN179" s="101"/>
      <c r="AO179" s="100"/>
      <c r="AP179"/>
      <c r="AQ179"/>
      <c r="AR179"/>
      <c r="AS179"/>
      <c r="AT179"/>
      <c r="AU179"/>
      <c r="AV179"/>
      <c r="AW179"/>
      <c r="AX179"/>
    </row>
    <row r="180" spans="1:50" s="100" customFormat="1">
      <c r="A180" s="88" t="s">
        <v>85</v>
      </c>
      <c r="B180" s="89" t="s">
        <v>257</v>
      </c>
      <c r="C180" s="89" t="s">
        <v>43</v>
      </c>
      <c r="D180" s="103">
        <v>100088690</v>
      </c>
      <c r="E180" s="89" t="s">
        <v>45</v>
      </c>
      <c r="F180" s="89">
        <v>100071480</v>
      </c>
      <c r="G180" s="128" t="s">
        <v>272</v>
      </c>
      <c r="H180" s="166"/>
      <c r="I180" s="92"/>
      <c r="J180" s="92"/>
      <c r="K180" s="92"/>
      <c r="L180" s="92"/>
      <c r="M180" s="94"/>
      <c r="N180" s="94"/>
      <c r="O180" s="129"/>
      <c r="P180" s="167" t="e">
        <f t="shared" si="11"/>
        <v>#DIV/0!</v>
      </c>
      <c r="Q180" s="91">
        <v>0</v>
      </c>
      <c r="R180" s="129">
        <v>0</v>
      </c>
      <c r="S180" s="91">
        <v>28.8</v>
      </c>
      <c r="T180" s="129">
        <v>4.5599999999999996</v>
      </c>
      <c r="U180" s="93">
        <v>0</v>
      </c>
      <c r="V180" s="129">
        <v>18.239999999999998</v>
      </c>
      <c r="W180" s="93">
        <v>19.2</v>
      </c>
      <c r="X180" s="129">
        <v>9.1199999999999992</v>
      </c>
      <c r="Y180" s="93">
        <v>19.2</v>
      </c>
      <c r="Z180" s="129">
        <v>0</v>
      </c>
      <c r="AA180" s="155">
        <f t="shared" si="15"/>
        <v>12.799999999999999</v>
      </c>
      <c r="AB180" s="98">
        <f t="shared" si="15"/>
        <v>9.1199999999999992</v>
      </c>
      <c r="AC180"/>
      <c r="AD180" s="97">
        <v>4.8</v>
      </c>
      <c r="AE180" s="92">
        <v>0</v>
      </c>
      <c r="AF180" s="98">
        <f t="shared" si="13"/>
        <v>4.8</v>
      </c>
      <c r="AG180" s="97">
        <v>0</v>
      </c>
      <c r="AH180" s="92">
        <v>0</v>
      </c>
      <c r="AI180" s="98">
        <f t="shared" si="17"/>
        <v>0</v>
      </c>
      <c r="AJ180" s="98">
        <f t="shared" si="12"/>
        <v>4.8</v>
      </c>
      <c r="AK180" s="102" t="str">
        <f>+IF(AB180+AA180+AJ180&lt;=0, "NO COMPRADOR", +IF(AJ180&lt;=0, "SIN COMPRA "&amp;+UPPER(TEXT('DINAMICA ENERO 26'!$C$2,"mmm 'yy")), "COMPRADOR"))</f>
        <v>COMPRADOR</v>
      </c>
      <c r="AL180"/>
      <c r="AN180" s="101"/>
      <c r="AP180"/>
      <c r="AQ180"/>
      <c r="AR180"/>
      <c r="AS180"/>
      <c r="AT180"/>
      <c r="AU180"/>
      <c r="AV180"/>
      <c r="AW180"/>
      <c r="AX180"/>
    </row>
    <row r="181" spans="1:50" s="104" customFormat="1">
      <c r="A181" s="88" t="s">
        <v>85</v>
      </c>
      <c r="B181" s="89" t="s">
        <v>257</v>
      </c>
      <c r="C181" s="89" t="s">
        <v>43</v>
      </c>
      <c r="D181" s="103">
        <v>100088690</v>
      </c>
      <c r="E181" s="89" t="s">
        <v>45</v>
      </c>
      <c r="F181" s="89">
        <v>100063075</v>
      </c>
      <c r="G181" s="128" t="s">
        <v>273</v>
      </c>
      <c r="H181" s="166"/>
      <c r="I181" s="92"/>
      <c r="J181" s="92"/>
      <c r="K181" s="92"/>
      <c r="L181" s="92"/>
      <c r="M181" s="94"/>
      <c r="N181" s="94"/>
      <c r="O181" s="129"/>
      <c r="P181" s="167" t="e">
        <f t="shared" si="11"/>
        <v>#DIV/0!</v>
      </c>
      <c r="Q181" s="91">
        <v>0</v>
      </c>
      <c r="R181" s="129">
        <v>0</v>
      </c>
      <c r="S181" s="91">
        <v>0</v>
      </c>
      <c r="T181" s="129">
        <v>0</v>
      </c>
      <c r="U181" s="93">
        <v>0</v>
      </c>
      <c r="V181" s="129">
        <v>0</v>
      </c>
      <c r="W181" s="93">
        <v>0</v>
      </c>
      <c r="X181" s="129">
        <v>0</v>
      </c>
      <c r="Y181" s="93">
        <v>0</v>
      </c>
      <c r="Z181" s="129">
        <v>0</v>
      </c>
      <c r="AA181" s="155">
        <f t="shared" si="15"/>
        <v>0</v>
      </c>
      <c r="AB181" s="98">
        <f t="shared" si="15"/>
        <v>0</v>
      </c>
      <c r="AC181"/>
      <c r="AD181" s="97">
        <v>0</v>
      </c>
      <c r="AE181" s="92">
        <v>0</v>
      </c>
      <c r="AF181" s="98">
        <f t="shared" si="13"/>
        <v>0</v>
      </c>
      <c r="AG181" s="97">
        <v>0</v>
      </c>
      <c r="AH181" s="92">
        <v>0</v>
      </c>
      <c r="AI181" s="98">
        <f t="shared" si="17"/>
        <v>0</v>
      </c>
      <c r="AJ181" s="98">
        <f t="shared" si="12"/>
        <v>0</v>
      </c>
      <c r="AK181" s="102" t="str">
        <f>+IF(AB181+AA181+AJ181&lt;=0, "NO COMPRADOR", +IF(AJ181&lt;=0, "SIN COMPRA "&amp;+UPPER(TEXT('DINAMICA ENERO 26'!$C$2,"mmm 'yy")), "COMPRADOR"))</f>
        <v>NO COMPRADOR</v>
      </c>
      <c r="AL181"/>
      <c r="AM181" s="100"/>
      <c r="AN181" s="101"/>
      <c r="AO181" s="100"/>
      <c r="AP181"/>
      <c r="AQ181"/>
      <c r="AR181"/>
      <c r="AS181"/>
      <c r="AT181"/>
      <c r="AU181"/>
      <c r="AV181"/>
      <c r="AW181"/>
      <c r="AX181"/>
    </row>
    <row r="182" spans="1:50" s="104" customFormat="1">
      <c r="A182" s="88" t="s">
        <v>85</v>
      </c>
      <c r="B182" s="89" t="s">
        <v>257</v>
      </c>
      <c r="C182" s="89" t="s">
        <v>43</v>
      </c>
      <c r="D182" s="103">
        <v>100088690</v>
      </c>
      <c r="E182" s="89" t="s">
        <v>45</v>
      </c>
      <c r="F182" s="89">
        <v>100072084</v>
      </c>
      <c r="G182" s="128" t="s">
        <v>274</v>
      </c>
      <c r="H182" s="166"/>
      <c r="I182" s="92"/>
      <c r="J182" s="92"/>
      <c r="K182" s="92"/>
      <c r="L182" s="92"/>
      <c r="M182" s="94"/>
      <c r="N182" s="94"/>
      <c r="O182" s="129"/>
      <c r="P182" s="167" t="e">
        <f t="shared" si="11"/>
        <v>#DIV/0!</v>
      </c>
      <c r="Q182" s="91">
        <v>4.8</v>
      </c>
      <c r="R182" s="129">
        <v>0</v>
      </c>
      <c r="S182" s="91">
        <v>0</v>
      </c>
      <c r="T182" s="129">
        <v>0</v>
      </c>
      <c r="U182" s="93">
        <v>9.6</v>
      </c>
      <c r="V182" s="129">
        <v>18.239999999999998</v>
      </c>
      <c r="W182" s="93">
        <v>9.6</v>
      </c>
      <c r="X182" s="129">
        <v>4.5599999999999996</v>
      </c>
      <c r="Y182" s="93">
        <v>4.8</v>
      </c>
      <c r="Z182" s="129">
        <v>0</v>
      </c>
      <c r="AA182" s="155">
        <f t="shared" si="15"/>
        <v>8</v>
      </c>
      <c r="AB182" s="98">
        <f t="shared" si="15"/>
        <v>7.5999999999999988</v>
      </c>
      <c r="AC182"/>
      <c r="AD182" s="97">
        <v>0</v>
      </c>
      <c r="AE182" s="92">
        <v>0</v>
      </c>
      <c r="AF182" s="98">
        <f t="shared" si="13"/>
        <v>0</v>
      </c>
      <c r="AG182" s="97">
        <v>0</v>
      </c>
      <c r="AH182" s="92">
        <v>0</v>
      </c>
      <c r="AI182" s="98">
        <f t="shared" si="17"/>
        <v>0</v>
      </c>
      <c r="AJ182" s="98">
        <f t="shared" si="12"/>
        <v>0</v>
      </c>
      <c r="AK182" s="102" t="str">
        <f>+IF(AB182+AA182+AJ182&lt;=0, "NO COMPRADOR", +IF(AJ182&lt;=0, "SIN COMPRA "&amp;+UPPER(TEXT('DINAMICA ENERO 26'!$C$2,"mmm 'yy")), "COMPRADOR"))</f>
        <v>SIN COMPRA FEB '26</v>
      </c>
      <c r="AL182"/>
      <c r="AM182" s="100"/>
      <c r="AN182" s="101"/>
      <c r="AO182" s="100"/>
      <c r="AP182"/>
      <c r="AQ182"/>
      <c r="AR182"/>
      <c r="AS182"/>
      <c r="AT182"/>
      <c r="AU182"/>
      <c r="AV182"/>
      <c r="AW182"/>
      <c r="AX182"/>
    </row>
    <row r="183" spans="1:50" s="100" customFormat="1">
      <c r="A183" s="88" t="s">
        <v>85</v>
      </c>
      <c r="B183" s="89" t="s">
        <v>257</v>
      </c>
      <c r="C183" s="89" t="s">
        <v>43</v>
      </c>
      <c r="D183" s="103">
        <v>100088690</v>
      </c>
      <c r="E183" s="89" t="s">
        <v>45</v>
      </c>
      <c r="F183" s="89">
        <v>100000283</v>
      </c>
      <c r="G183" s="128" t="s">
        <v>275</v>
      </c>
      <c r="H183" s="166"/>
      <c r="I183" s="92"/>
      <c r="J183" s="92"/>
      <c r="K183" s="92"/>
      <c r="L183" s="92"/>
      <c r="M183" s="94"/>
      <c r="N183" s="94"/>
      <c r="O183" s="129"/>
      <c r="P183" s="167" t="e">
        <f t="shared" si="11"/>
        <v>#DIV/0!</v>
      </c>
      <c r="Q183" s="91">
        <v>76.8</v>
      </c>
      <c r="R183" s="129">
        <v>77.52</v>
      </c>
      <c r="S183" s="91">
        <v>14.399999999999999</v>
      </c>
      <c r="T183" s="129">
        <v>41.039999999999992</v>
      </c>
      <c r="U183" s="93">
        <v>28.799999999999997</v>
      </c>
      <c r="V183" s="129">
        <v>41.039999999999992</v>
      </c>
      <c r="W183" s="93">
        <v>38.4</v>
      </c>
      <c r="X183" s="129">
        <v>27.36</v>
      </c>
      <c r="Y183" s="93">
        <v>52.8</v>
      </c>
      <c r="Z183" s="129">
        <v>45.599999999999994</v>
      </c>
      <c r="AA183" s="155">
        <f t="shared" si="15"/>
        <v>39.999999999999993</v>
      </c>
      <c r="AB183" s="98">
        <f t="shared" si="15"/>
        <v>37.999999999999993</v>
      </c>
      <c r="AC183"/>
      <c r="AD183" s="97">
        <v>19.2</v>
      </c>
      <c r="AE183" s="92">
        <v>0</v>
      </c>
      <c r="AF183" s="98">
        <f t="shared" si="13"/>
        <v>19.2</v>
      </c>
      <c r="AG183" s="97">
        <v>31.919999999999995</v>
      </c>
      <c r="AH183" s="92">
        <v>0</v>
      </c>
      <c r="AI183" s="98">
        <f t="shared" si="17"/>
        <v>31.919999999999995</v>
      </c>
      <c r="AJ183" s="98">
        <f t="shared" si="12"/>
        <v>51.11999999999999</v>
      </c>
      <c r="AK183" s="102" t="str">
        <f>+IF(AB183+AA183+AJ183&lt;=0, "NO COMPRADOR", +IF(AJ183&lt;=0, "SIN COMPRA "&amp;+UPPER(TEXT('DINAMICA ENERO 26'!$C$2,"mmm 'yy")), "COMPRADOR"))</f>
        <v>COMPRADOR</v>
      </c>
      <c r="AL183"/>
      <c r="AN183" s="101"/>
      <c r="AP183"/>
      <c r="AQ183"/>
      <c r="AR183"/>
      <c r="AS183"/>
      <c r="AT183"/>
      <c r="AU183"/>
      <c r="AV183"/>
      <c r="AW183"/>
      <c r="AX183"/>
    </row>
    <row r="184" spans="1:50" s="104" customFormat="1">
      <c r="A184" s="88" t="s">
        <v>85</v>
      </c>
      <c r="B184" s="89" t="s">
        <v>257</v>
      </c>
      <c r="C184" s="89" t="s">
        <v>43</v>
      </c>
      <c r="D184" s="103">
        <v>100088690</v>
      </c>
      <c r="E184" s="89" t="s">
        <v>45</v>
      </c>
      <c r="F184" s="89">
        <v>100001254</v>
      </c>
      <c r="G184" s="128" t="s">
        <v>276</v>
      </c>
      <c r="H184" s="166"/>
      <c r="I184" s="92"/>
      <c r="J184" s="92"/>
      <c r="K184" s="92"/>
      <c r="L184" s="92"/>
      <c r="M184" s="94"/>
      <c r="N184" s="94"/>
      <c r="O184" s="129"/>
      <c r="P184" s="167" t="e">
        <f t="shared" si="11"/>
        <v>#DIV/0!</v>
      </c>
      <c r="Q184" s="91">
        <v>0</v>
      </c>
      <c r="R184" s="129">
        <v>0</v>
      </c>
      <c r="S184" s="91">
        <v>0</v>
      </c>
      <c r="T184" s="129">
        <v>0</v>
      </c>
      <c r="U184" s="93">
        <v>0</v>
      </c>
      <c r="V184" s="129">
        <v>0</v>
      </c>
      <c r="W184" s="93">
        <v>0</v>
      </c>
      <c r="X184" s="129">
        <v>0</v>
      </c>
      <c r="Y184" s="93">
        <v>0</v>
      </c>
      <c r="Z184" s="129">
        <v>0</v>
      </c>
      <c r="AA184" s="155">
        <f t="shared" si="15"/>
        <v>0</v>
      </c>
      <c r="AB184" s="98">
        <f t="shared" si="15"/>
        <v>0</v>
      </c>
      <c r="AC184"/>
      <c r="AD184" s="97">
        <v>0</v>
      </c>
      <c r="AE184" s="92">
        <v>0</v>
      </c>
      <c r="AF184" s="98">
        <f t="shared" si="13"/>
        <v>0</v>
      </c>
      <c r="AG184" s="97">
        <v>0</v>
      </c>
      <c r="AH184" s="92">
        <v>0</v>
      </c>
      <c r="AI184" s="98">
        <f t="shared" si="17"/>
        <v>0</v>
      </c>
      <c r="AJ184" s="98">
        <f t="shared" si="12"/>
        <v>0</v>
      </c>
      <c r="AK184" s="102" t="str">
        <f>+IF(AB184+AA184+AJ184&lt;=0, "NO COMPRADOR", +IF(AJ184&lt;=0, "SIN COMPRA "&amp;+UPPER(TEXT('DINAMICA ENERO 26'!$C$2,"mmm 'yy")), "COMPRADOR"))</f>
        <v>NO COMPRADOR</v>
      </c>
      <c r="AL184"/>
      <c r="AM184" s="100"/>
      <c r="AN184" s="101"/>
      <c r="AO184" s="100"/>
      <c r="AP184"/>
      <c r="AQ184"/>
      <c r="AR184"/>
      <c r="AS184"/>
      <c r="AT184"/>
      <c r="AU184"/>
      <c r="AV184"/>
      <c r="AW184"/>
      <c r="AX184"/>
    </row>
    <row r="185" spans="1:50" s="104" customFormat="1">
      <c r="A185" s="88" t="s">
        <v>85</v>
      </c>
      <c r="B185" s="89" t="s">
        <v>257</v>
      </c>
      <c r="C185" s="89" t="s">
        <v>43</v>
      </c>
      <c r="D185" s="103">
        <v>100088690</v>
      </c>
      <c r="E185" s="89" t="s">
        <v>45</v>
      </c>
      <c r="F185" s="89">
        <v>100088794</v>
      </c>
      <c r="G185" s="128" t="s">
        <v>277</v>
      </c>
      <c r="H185" s="166"/>
      <c r="I185" s="92"/>
      <c r="J185" s="92"/>
      <c r="K185" s="92"/>
      <c r="L185" s="92"/>
      <c r="M185" s="94"/>
      <c r="N185" s="94"/>
      <c r="O185" s="129"/>
      <c r="P185" s="167" t="e">
        <f t="shared" si="11"/>
        <v>#DIV/0!</v>
      </c>
      <c r="Q185" s="91">
        <v>0</v>
      </c>
      <c r="R185" s="129">
        <v>0</v>
      </c>
      <c r="S185" s="91">
        <v>0</v>
      </c>
      <c r="T185" s="129">
        <v>0</v>
      </c>
      <c r="U185" s="93">
        <v>9.6</v>
      </c>
      <c r="V185" s="129">
        <v>0</v>
      </c>
      <c r="W185" s="93">
        <v>14.399999999999999</v>
      </c>
      <c r="X185" s="129">
        <v>13.68</v>
      </c>
      <c r="Y185" s="93">
        <v>0</v>
      </c>
      <c r="Z185" s="129">
        <v>0</v>
      </c>
      <c r="AA185" s="155">
        <f t="shared" si="15"/>
        <v>8</v>
      </c>
      <c r="AB185" s="98">
        <f t="shared" si="15"/>
        <v>4.5599999999999996</v>
      </c>
      <c r="AC185"/>
      <c r="AD185" s="97">
        <v>9.6</v>
      </c>
      <c r="AE185" s="92">
        <v>0</v>
      </c>
      <c r="AF185" s="98">
        <f t="shared" si="13"/>
        <v>9.6</v>
      </c>
      <c r="AG185" s="97">
        <v>0</v>
      </c>
      <c r="AH185" s="92">
        <v>0</v>
      </c>
      <c r="AI185" s="98">
        <f t="shared" si="17"/>
        <v>0</v>
      </c>
      <c r="AJ185" s="98">
        <f t="shared" si="12"/>
        <v>9.6</v>
      </c>
      <c r="AK185" s="102" t="str">
        <f>+IF(AB185+AA185+AJ185&lt;=0, "NO COMPRADOR", +IF(AJ185&lt;=0, "SIN COMPRA "&amp;+UPPER(TEXT('DINAMICA ENERO 26'!$C$2,"mmm 'yy")), "COMPRADOR"))</f>
        <v>COMPRADOR</v>
      </c>
      <c r="AL185"/>
      <c r="AM185" s="100"/>
      <c r="AN185" s="101"/>
      <c r="AO185" s="100"/>
      <c r="AP185"/>
      <c r="AQ185"/>
      <c r="AR185"/>
      <c r="AS185"/>
      <c r="AT185"/>
      <c r="AU185"/>
      <c r="AV185"/>
      <c r="AW185"/>
      <c r="AX185"/>
    </row>
    <row r="186" spans="1:50" s="100" customFormat="1">
      <c r="A186" s="88" t="s">
        <v>85</v>
      </c>
      <c r="B186" s="89" t="s">
        <v>257</v>
      </c>
      <c r="C186" s="89" t="s">
        <v>43</v>
      </c>
      <c r="D186" s="103">
        <v>100088690</v>
      </c>
      <c r="E186" s="89" t="s">
        <v>45</v>
      </c>
      <c r="F186" s="89">
        <v>100088316</v>
      </c>
      <c r="G186" s="128" t="s">
        <v>278</v>
      </c>
      <c r="H186" s="166"/>
      <c r="I186" s="92"/>
      <c r="J186" s="92"/>
      <c r="K186" s="92"/>
      <c r="L186" s="92"/>
      <c r="M186" s="94"/>
      <c r="N186" s="94"/>
      <c r="O186" s="129"/>
      <c r="P186" s="167" t="e">
        <f t="shared" si="11"/>
        <v>#DIV/0!</v>
      </c>
      <c r="Q186" s="91">
        <v>48</v>
      </c>
      <c r="R186" s="129">
        <v>0</v>
      </c>
      <c r="S186" s="91">
        <v>28.799999999999997</v>
      </c>
      <c r="T186" s="129">
        <v>0</v>
      </c>
      <c r="U186" s="93">
        <v>24</v>
      </c>
      <c r="V186" s="129">
        <v>4.5599999999999996</v>
      </c>
      <c r="W186" s="93">
        <v>4.8</v>
      </c>
      <c r="X186" s="129">
        <v>4.5599999999999996</v>
      </c>
      <c r="Y186" s="93">
        <v>19.2</v>
      </c>
      <c r="Z186" s="129">
        <v>13.68</v>
      </c>
      <c r="AA186" s="155">
        <f t="shared" si="15"/>
        <v>16</v>
      </c>
      <c r="AB186" s="98">
        <f t="shared" si="15"/>
        <v>7.5999999999999988</v>
      </c>
      <c r="AC186"/>
      <c r="AD186" s="97">
        <v>19.2</v>
      </c>
      <c r="AE186" s="92">
        <v>0</v>
      </c>
      <c r="AF186" s="98">
        <f t="shared" si="13"/>
        <v>19.2</v>
      </c>
      <c r="AG186" s="97">
        <v>22.799999999999997</v>
      </c>
      <c r="AH186" s="92">
        <v>0</v>
      </c>
      <c r="AI186" s="98">
        <f t="shared" si="17"/>
        <v>22.799999999999997</v>
      </c>
      <c r="AJ186" s="98">
        <f t="shared" si="12"/>
        <v>42</v>
      </c>
      <c r="AK186" s="102" t="str">
        <f>+IF(AB186+AA186+AJ186&lt;=0, "NO COMPRADOR", +IF(AJ186&lt;=0, "SIN COMPRA "&amp;+UPPER(TEXT('DINAMICA ENERO 26'!$C$2,"mmm 'yy")), "COMPRADOR"))</f>
        <v>COMPRADOR</v>
      </c>
      <c r="AL186"/>
      <c r="AN186" s="101"/>
      <c r="AP186"/>
      <c r="AQ186"/>
      <c r="AR186"/>
      <c r="AS186"/>
      <c r="AT186"/>
      <c r="AU186"/>
      <c r="AV186"/>
      <c r="AW186"/>
      <c r="AX186"/>
    </row>
    <row r="187" spans="1:50" s="100" customFormat="1">
      <c r="A187" s="88" t="s">
        <v>85</v>
      </c>
      <c r="B187" s="89" t="s">
        <v>257</v>
      </c>
      <c r="C187" s="89" t="s">
        <v>43</v>
      </c>
      <c r="D187" s="103">
        <v>100088690</v>
      </c>
      <c r="E187" s="89" t="s">
        <v>45</v>
      </c>
      <c r="F187" s="89">
        <v>100089468</v>
      </c>
      <c r="G187" s="128" t="s">
        <v>279</v>
      </c>
      <c r="H187" s="166"/>
      <c r="I187" s="92"/>
      <c r="J187" s="92"/>
      <c r="K187" s="92"/>
      <c r="L187" s="92"/>
      <c r="M187" s="94"/>
      <c r="N187" s="94"/>
      <c r="O187" s="129"/>
      <c r="P187" s="167" t="e">
        <f t="shared" si="11"/>
        <v>#DIV/0!</v>
      </c>
      <c r="Q187" s="91">
        <v>9.6</v>
      </c>
      <c r="R187" s="129">
        <v>0</v>
      </c>
      <c r="S187" s="91">
        <v>9.6</v>
      </c>
      <c r="T187" s="129">
        <v>0</v>
      </c>
      <c r="U187" s="93">
        <v>33.599999999999994</v>
      </c>
      <c r="V187" s="129">
        <v>0</v>
      </c>
      <c r="W187" s="93">
        <v>9.6</v>
      </c>
      <c r="X187" s="129">
        <v>0</v>
      </c>
      <c r="Y187" s="93">
        <v>0</v>
      </c>
      <c r="Z187" s="129">
        <v>9.1199999999999992</v>
      </c>
      <c r="AA187" s="155">
        <f t="shared" si="15"/>
        <v>14.399999999999999</v>
      </c>
      <c r="AB187" s="98">
        <f t="shared" si="15"/>
        <v>3.0399999999999996</v>
      </c>
      <c r="AC187"/>
      <c r="AD187" s="97">
        <v>0</v>
      </c>
      <c r="AE187" s="92">
        <v>0</v>
      </c>
      <c r="AF187" s="98">
        <f t="shared" si="13"/>
        <v>0</v>
      </c>
      <c r="AG187" s="97">
        <v>9.120000000000001</v>
      </c>
      <c r="AH187" s="92">
        <v>0</v>
      </c>
      <c r="AI187" s="98">
        <f t="shared" si="17"/>
        <v>9.120000000000001</v>
      </c>
      <c r="AJ187" s="98">
        <f t="shared" si="12"/>
        <v>9.120000000000001</v>
      </c>
      <c r="AK187" s="102" t="str">
        <f>+IF(AB187+AA187+AJ187&lt;=0, "NO COMPRADOR", +IF(AJ187&lt;=0, "SIN COMPRA "&amp;+UPPER(TEXT('DINAMICA ENERO 26'!$C$2,"mmm 'yy")), "COMPRADOR"))</f>
        <v>COMPRADOR</v>
      </c>
      <c r="AL187"/>
      <c r="AN187" s="101"/>
      <c r="AP187"/>
      <c r="AQ187"/>
      <c r="AR187"/>
      <c r="AS187"/>
      <c r="AT187"/>
      <c r="AU187"/>
      <c r="AV187"/>
      <c r="AW187"/>
      <c r="AX187"/>
    </row>
    <row r="188" spans="1:50" s="100" customFormat="1">
      <c r="A188" s="88" t="s">
        <v>85</v>
      </c>
      <c r="B188" s="89" t="s">
        <v>257</v>
      </c>
      <c r="C188" s="89" t="s">
        <v>43</v>
      </c>
      <c r="D188" s="103">
        <v>100089856</v>
      </c>
      <c r="E188" s="89" t="s">
        <v>49</v>
      </c>
      <c r="F188" s="89">
        <v>100001543</v>
      </c>
      <c r="G188" s="128" t="s">
        <v>280</v>
      </c>
      <c r="H188" s="166"/>
      <c r="I188" s="92"/>
      <c r="J188" s="92"/>
      <c r="K188" s="92"/>
      <c r="L188" s="92"/>
      <c r="M188" s="94"/>
      <c r="N188" s="94"/>
      <c r="O188" s="129"/>
      <c r="P188" s="167" t="e">
        <f t="shared" si="11"/>
        <v>#DIV/0!</v>
      </c>
      <c r="Q188" s="91">
        <v>0</v>
      </c>
      <c r="R188" s="129">
        <v>0</v>
      </c>
      <c r="S188" s="91">
        <v>0</v>
      </c>
      <c r="T188" s="129">
        <v>4.5599999999999996</v>
      </c>
      <c r="U188" s="93">
        <v>0</v>
      </c>
      <c r="V188" s="129">
        <v>0</v>
      </c>
      <c r="W188" s="93">
        <v>4.8</v>
      </c>
      <c r="X188" s="129">
        <v>4.5599999999999996</v>
      </c>
      <c r="Y188" s="93">
        <v>0</v>
      </c>
      <c r="Z188" s="129">
        <v>0</v>
      </c>
      <c r="AA188" s="155">
        <f t="shared" si="15"/>
        <v>1.5999999999999999</v>
      </c>
      <c r="AB188" s="98">
        <f t="shared" si="15"/>
        <v>1.5199999999999998</v>
      </c>
      <c r="AC188"/>
      <c r="AD188" s="97">
        <v>0</v>
      </c>
      <c r="AE188" s="92">
        <v>0</v>
      </c>
      <c r="AF188" s="98">
        <f t="shared" si="13"/>
        <v>0</v>
      </c>
      <c r="AG188" s="97">
        <v>4.5599999999999996</v>
      </c>
      <c r="AH188" s="92">
        <v>0</v>
      </c>
      <c r="AI188" s="98">
        <f t="shared" si="17"/>
        <v>4.5599999999999996</v>
      </c>
      <c r="AJ188" s="98">
        <f t="shared" si="12"/>
        <v>4.5599999999999996</v>
      </c>
      <c r="AK188" s="102" t="str">
        <f>+IF(AB188+AA188+AJ188&lt;=0, "NO COMPRADOR", +IF(AJ188&lt;=0, "SIN COMPRA "&amp;+UPPER(TEXT('DINAMICA ENERO 26'!$C$2,"mmm 'yy")), "COMPRADOR"))</f>
        <v>COMPRADOR</v>
      </c>
      <c r="AL188"/>
      <c r="AN188" s="101"/>
      <c r="AP188"/>
      <c r="AQ188"/>
      <c r="AR188"/>
      <c r="AS188"/>
      <c r="AT188"/>
      <c r="AU188"/>
      <c r="AV188"/>
      <c r="AW188"/>
      <c r="AX188"/>
    </row>
    <row r="189" spans="1:50" s="104" customFormat="1">
      <c r="A189" s="88" t="s">
        <v>85</v>
      </c>
      <c r="B189" s="89" t="s">
        <v>257</v>
      </c>
      <c r="C189" s="89" t="s">
        <v>43</v>
      </c>
      <c r="D189" s="103">
        <v>100089856</v>
      </c>
      <c r="E189" s="89" t="s">
        <v>49</v>
      </c>
      <c r="F189" s="89">
        <v>100066164</v>
      </c>
      <c r="G189" s="128" t="s">
        <v>281</v>
      </c>
      <c r="H189" s="166"/>
      <c r="I189" s="92"/>
      <c r="J189" s="92"/>
      <c r="K189" s="92"/>
      <c r="L189" s="92"/>
      <c r="M189" s="94"/>
      <c r="N189" s="94"/>
      <c r="O189" s="129"/>
      <c r="P189" s="167" t="e">
        <f t="shared" si="11"/>
        <v>#DIV/0!</v>
      </c>
      <c r="Q189" s="91">
        <v>0</v>
      </c>
      <c r="R189" s="129">
        <v>574.55999999999995</v>
      </c>
      <c r="S189" s="91">
        <v>4.8</v>
      </c>
      <c r="T189" s="129">
        <v>4.5599999999999996</v>
      </c>
      <c r="U189" s="93">
        <v>96</v>
      </c>
      <c r="V189" s="129">
        <v>0</v>
      </c>
      <c r="W189" s="93">
        <v>211.2</v>
      </c>
      <c r="X189" s="129">
        <v>200.64</v>
      </c>
      <c r="Y189" s="93">
        <v>0</v>
      </c>
      <c r="Z189" s="129">
        <v>91.199999999999989</v>
      </c>
      <c r="AA189" s="155">
        <f t="shared" si="15"/>
        <v>102.39999999999999</v>
      </c>
      <c r="AB189" s="98">
        <f t="shared" si="15"/>
        <v>97.279999999999987</v>
      </c>
      <c r="AC189"/>
      <c r="AD189" s="97">
        <v>0</v>
      </c>
      <c r="AE189" s="92">
        <v>0</v>
      </c>
      <c r="AF189" s="98">
        <f t="shared" si="13"/>
        <v>0</v>
      </c>
      <c r="AG189" s="97">
        <v>0</v>
      </c>
      <c r="AH189" s="92">
        <v>0</v>
      </c>
      <c r="AI189" s="98">
        <f t="shared" si="17"/>
        <v>0</v>
      </c>
      <c r="AJ189" s="98">
        <f t="shared" si="12"/>
        <v>0</v>
      </c>
      <c r="AK189" s="102" t="str">
        <f>+IF(AB189+AA189+AJ189&lt;=0, "NO COMPRADOR", +IF(AJ189&lt;=0, "SIN COMPRA "&amp;+UPPER(TEXT('DINAMICA ENERO 26'!$C$2,"mmm 'yy")), "COMPRADOR"))</f>
        <v>SIN COMPRA FEB '26</v>
      </c>
      <c r="AL189"/>
      <c r="AM189" s="100"/>
      <c r="AN189" s="101"/>
      <c r="AO189" s="100"/>
      <c r="AP189"/>
      <c r="AQ189"/>
      <c r="AR189"/>
      <c r="AS189"/>
      <c r="AT189"/>
      <c r="AU189"/>
      <c r="AV189"/>
      <c r="AW189"/>
      <c r="AX189"/>
    </row>
    <row r="190" spans="1:50" s="104" customFormat="1">
      <c r="A190" s="88" t="s">
        <v>85</v>
      </c>
      <c r="B190" s="89" t="s">
        <v>257</v>
      </c>
      <c r="C190" s="89" t="s">
        <v>43</v>
      </c>
      <c r="D190" s="103">
        <v>100089856</v>
      </c>
      <c r="E190" s="89" t="s">
        <v>49</v>
      </c>
      <c r="F190" s="89">
        <v>100034611</v>
      </c>
      <c r="G190" s="128" t="s">
        <v>282</v>
      </c>
      <c r="H190" s="166"/>
      <c r="I190" s="92"/>
      <c r="J190" s="92"/>
      <c r="K190" s="92"/>
      <c r="L190" s="92"/>
      <c r="M190" s="94"/>
      <c r="N190" s="94"/>
      <c r="O190" s="129"/>
      <c r="P190" s="167" t="e">
        <f t="shared" si="11"/>
        <v>#DIV/0!</v>
      </c>
      <c r="Q190" s="91">
        <v>0</v>
      </c>
      <c r="R190" s="129">
        <v>0</v>
      </c>
      <c r="S190" s="91">
        <v>0</v>
      </c>
      <c r="T190" s="129">
        <v>0</v>
      </c>
      <c r="U190" s="93">
        <v>0</v>
      </c>
      <c r="V190" s="129">
        <v>0</v>
      </c>
      <c r="W190" s="93">
        <v>0</v>
      </c>
      <c r="X190" s="129">
        <v>0</v>
      </c>
      <c r="Y190" s="93">
        <v>0</v>
      </c>
      <c r="Z190" s="129">
        <v>0</v>
      </c>
      <c r="AA190" s="155">
        <f t="shared" si="15"/>
        <v>0</v>
      </c>
      <c r="AB190" s="98">
        <f t="shared" si="15"/>
        <v>0</v>
      </c>
      <c r="AC190"/>
      <c r="AD190" s="97">
        <v>0</v>
      </c>
      <c r="AE190" s="92">
        <v>0</v>
      </c>
      <c r="AF190" s="98">
        <f t="shared" si="13"/>
        <v>0</v>
      </c>
      <c r="AG190" s="97">
        <v>0</v>
      </c>
      <c r="AH190" s="92">
        <v>0</v>
      </c>
      <c r="AI190" s="98">
        <f t="shared" si="17"/>
        <v>0</v>
      </c>
      <c r="AJ190" s="98">
        <f t="shared" si="12"/>
        <v>0</v>
      </c>
      <c r="AK190" s="102" t="str">
        <f>+IF(AB190+AA190+AJ190&lt;=0, "NO COMPRADOR", +IF(AJ190&lt;=0, "SIN COMPRA "&amp;+UPPER(TEXT('DINAMICA ENERO 26'!$C$2,"mmm 'yy")), "COMPRADOR"))</f>
        <v>NO COMPRADOR</v>
      </c>
      <c r="AL190"/>
      <c r="AM190" s="100"/>
      <c r="AN190" s="101"/>
      <c r="AO190" s="100"/>
      <c r="AP190"/>
      <c r="AQ190"/>
      <c r="AR190"/>
      <c r="AS190"/>
      <c r="AT190"/>
      <c r="AU190"/>
      <c r="AV190"/>
      <c r="AW190"/>
      <c r="AX190"/>
    </row>
    <row r="191" spans="1:50" s="104" customFormat="1">
      <c r="A191" s="88" t="s">
        <v>85</v>
      </c>
      <c r="B191" s="89" t="s">
        <v>257</v>
      </c>
      <c r="C191" s="89" t="s">
        <v>43</v>
      </c>
      <c r="D191" s="103">
        <v>100089856</v>
      </c>
      <c r="E191" s="89" t="s">
        <v>49</v>
      </c>
      <c r="F191" s="89">
        <v>100001907</v>
      </c>
      <c r="G191" s="128" t="s">
        <v>283</v>
      </c>
      <c r="H191" s="166"/>
      <c r="I191" s="92"/>
      <c r="J191" s="92"/>
      <c r="K191" s="92"/>
      <c r="L191" s="92"/>
      <c r="M191" s="94"/>
      <c r="N191" s="94"/>
      <c r="O191" s="129"/>
      <c r="P191" s="167" t="e">
        <f t="shared" si="11"/>
        <v>#DIV/0!</v>
      </c>
      <c r="Q191" s="91">
        <v>288</v>
      </c>
      <c r="R191" s="129">
        <v>0</v>
      </c>
      <c r="S191" s="91">
        <v>192</v>
      </c>
      <c r="T191" s="129">
        <v>4.5599999999999996</v>
      </c>
      <c r="U191" s="93">
        <v>144</v>
      </c>
      <c r="V191" s="129">
        <v>4.5599999999999996</v>
      </c>
      <c r="W191" s="93">
        <v>288</v>
      </c>
      <c r="X191" s="129">
        <v>136.79999999999998</v>
      </c>
      <c r="Y191" s="93">
        <v>96</v>
      </c>
      <c r="Z191" s="129">
        <v>0</v>
      </c>
      <c r="AA191" s="155">
        <f t="shared" si="15"/>
        <v>176</v>
      </c>
      <c r="AB191" s="98">
        <f t="shared" si="15"/>
        <v>47.12</v>
      </c>
      <c r="AC191"/>
      <c r="AD191" s="97">
        <v>144</v>
      </c>
      <c r="AE191" s="92">
        <v>0</v>
      </c>
      <c r="AF191" s="98">
        <f t="shared" si="13"/>
        <v>144</v>
      </c>
      <c r="AG191" s="97">
        <v>0</v>
      </c>
      <c r="AH191" s="92">
        <v>0</v>
      </c>
      <c r="AI191" s="98">
        <f t="shared" si="17"/>
        <v>0</v>
      </c>
      <c r="AJ191" s="98">
        <f t="shared" si="12"/>
        <v>144</v>
      </c>
      <c r="AK191" s="102" t="str">
        <f>+IF(AB191+AA191+AJ191&lt;=0, "NO COMPRADOR", +IF(AJ191&lt;=0, "SIN COMPRA "&amp;+UPPER(TEXT('DINAMICA ENERO 26'!$C$2,"mmm 'yy")), "COMPRADOR"))</f>
        <v>COMPRADOR</v>
      </c>
      <c r="AL191"/>
      <c r="AM191" s="100"/>
      <c r="AN191" s="101"/>
      <c r="AO191" s="100"/>
      <c r="AP191"/>
      <c r="AQ191"/>
      <c r="AR191"/>
      <c r="AS191"/>
      <c r="AT191"/>
      <c r="AU191"/>
      <c r="AV191"/>
      <c r="AW191"/>
      <c r="AX191"/>
    </row>
    <row r="192" spans="1:50" s="104" customFormat="1">
      <c r="A192" s="88" t="s">
        <v>85</v>
      </c>
      <c r="B192" s="89" t="s">
        <v>257</v>
      </c>
      <c r="C192" s="89" t="s">
        <v>43</v>
      </c>
      <c r="D192" s="103">
        <v>100089856</v>
      </c>
      <c r="E192" s="89" t="s">
        <v>49</v>
      </c>
      <c r="F192" s="89">
        <v>100068177</v>
      </c>
      <c r="G192" s="128" t="s">
        <v>284</v>
      </c>
      <c r="H192" s="166"/>
      <c r="I192" s="92"/>
      <c r="J192" s="92"/>
      <c r="K192" s="92"/>
      <c r="L192" s="92"/>
      <c r="M192" s="94"/>
      <c r="N192" s="94"/>
      <c r="O192" s="129"/>
      <c r="P192" s="167" t="e">
        <f t="shared" si="11"/>
        <v>#DIV/0!</v>
      </c>
      <c r="Q192" s="91">
        <v>0</v>
      </c>
      <c r="R192" s="129">
        <v>13.68</v>
      </c>
      <c r="S192" s="91">
        <v>19.2</v>
      </c>
      <c r="T192" s="129">
        <v>9.1199999999999992</v>
      </c>
      <c r="U192" s="93">
        <v>43.199999999999996</v>
      </c>
      <c r="V192" s="129">
        <v>4.5599999999999996</v>
      </c>
      <c r="W192" s="93">
        <v>19.2</v>
      </c>
      <c r="X192" s="129">
        <v>45.599999999999994</v>
      </c>
      <c r="Y192" s="93">
        <v>0</v>
      </c>
      <c r="Z192" s="129">
        <v>18.239999999999998</v>
      </c>
      <c r="AA192" s="155">
        <f t="shared" si="15"/>
        <v>20.799999999999997</v>
      </c>
      <c r="AB192" s="98">
        <f t="shared" si="15"/>
        <v>22.799999999999997</v>
      </c>
      <c r="AC192"/>
      <c r="AD192" s="97">
        <v>24</v>
      </c>
      <c r="AE192" s="92">
        <v>0</v>
      </c>
      <c r="AF192" s="98">
        <f t="shared" si="13"/>
        <v>24</v>
      </c>
      <c r="AG192" s="97">
        <v>0</v>
      </c>
      <c r="AH192" s="92">
        <v>0</v>
      </c>
      <c r="AI192" s="98">
        <f t="shared" si="17"/>
        <v>0</v>
      </c>
      <c r="AJ192" s="98">
        <f t="shared" si="12"/>
        <v>24</v>
      </c>
      <c r="AK192" s="102" t="str">
        <f>+IF(AB192+AA192+AJ192&lt;=0, "NO COMPRADOR", +IF(AJ192&lt;=0, "SIN COMPRA "&amp;+UPPER(TEXT('DINAMICA ENERO 26'!$C$2,"mmm 'yy")), "COMPRADOR"))</f>
        <v>COMPRADOR</v>
      </c>
      <c r="AL192"/>
      <c r="AM192" s="100"/>
      <c r="AN192" s="101"/>
      <c r="AO192" s="100"/>
      <c r="AP192"/>
      <c r="AQ192"/>
      <c r="AR192"/>
      <c r="AS192"/>
      <c r="AT192"/>
      <c r="AU192"/>
      <c r="AV192"/>
      <c r="AW192"/>
      <c r="AX192"/>
    </row>
    <row r="193" spans="1:50" s="100" customFormat="1">
      <c r="A193" s="88" t="s">
        <v>85</v>
      </c>
      <c r="B193" s="89" t="s">
        <v>257</v>
      </c>
      <c r="C193" s="89" t="s">
        <v>43</v>
      </c>
      <c r="D193" s="103">
        <v>100089856</v>
      </c>
      <c r="E193" s="89" t="s">
        <v>49</v>
      </c>
      <c r="F193" s="89">
        <v>100062882</v>
      </c>
      <c r="G193" s="128" t="s">
        <v>285</v>
      </c>
      <c r="H193" s="166"/>
      <c r="I193" s="92"/>
      <c r="J193" s="92"/>
      <c r="K193" s="92"/>
      <c r="L193" s="92"/>
      <c r="M193" s="94"/>
      <c r="N193" s="94"/>
      <c r="O193" s="129"/>
      <c r="P193" s="167" t="e">
        <f t="shared" si="11"/>
        <v>#DIV/0!</v>
      </c>
      <c r="Q193" s="91">
        <v>14.399999999999999</v>
      </c>
      <c r="R193" s="129">
        <v>0</v>
      </c>
      <c r="S193" s="91">
        <v>4.8</v>
      </c>
      <c r="T193" s="129">
        <v>4.5599999999999996</v>
      </c>
      <c r="U193" s="93">
        <v>0</v>
      </c>
      <c r="V193" s="129">
        <v>0</v>
      </c>
      <c r="W193" s="93">
        <v>4.8</v>
      </c>
      <c r="X193" s="129">
        <v>0</v>
      </c>
      <c r="Y193" s="93">
        <v>0</v>
      </c>
      <c r="Z193" s="129">
        <v>0</v>
      </c>
      <c r="AA193" s="155">
        <f t="shared" si="15"/>
        <v>1.5999999999999999</v>
      </c>
      <c r="AB193" s="98">
        <f t="shared" si="15"/>
        <v>0</v>
      </c>
      <c r="AC193"/>
      <c r="AD193" s="97">
        <v>0</v>
      </c>
      <c r="AE193" s="92">
        <v>0</v>
      </c>
      <c r="AF193" s="98">
        <f t="shared" si="13"/>
        <v>0</v>
      </c>
      <c r="AG193" s="97">
        <v>0</v>
      </c>
      <c r="AH193" s="92">
        <v>0</v>
      </c>
      <c r="AI193" s="98">
        <f t="shared" si="17"/>
        <v>0</v>
      </c>
      <c r="AJ193" s="98">
        <f t="shared" si="12"/>
        <v>0</v>
      </c>
      <c r="AK193" s="102" t="str">
        <f>+IF(AB193+AA193+AJ193&lt;=0, "NO COMPRADOR", +IF(AJ193&lt;=0, "SIN COMPRA "&amp;+UPPER(TEXT('DINAMICA ENERO 26'!$C$2,"mmm 'yy")), "COMPRADOR"))</f>
        <v>SIN COMPRA FEB '26</v>
      </c>
      <c r="AL193"/>
      <c r="AN193" s="101"/>
      <c r="AP193"/>
      <c r="AQ193"/>
      <c r="AR193"/>
      <c r="AS193"/>
      <c r="AT193"/>
      <c r="AU193"/>
      <c r="AV193"/>
      <c r="AW193"/>
      <c r="AX193"/>
    </row>
    <row r="194" spans="1:50" s="104" customFormat="1">
      <c r="A194" s="88" t="s">
        <v>85</v>
      </c>
      <c r="B194" s="89" t="s">
        <v>257</v>
      </c>
      <c r="C194" s="89" t="s">
        <v>43</v>
      </c>
      <c r="D194" s="103">
        <v>100089856</v>
      </c>
      <c r="E194" s="89" t="s">
        <v>49</v>
      </c>
      <c r="F194" s="89">
        <v>100001936</v>
      </c>
      <c r="G194" s="128" t="s">
        <v>286</v>
      </c>
      <c r="H194" s="166"/>
      <c r="I194" s="92"/>
      <c r="J194" s="92"/>
      <c r="K194" s="92"/>
      <c r="L194" s="92"/>
      <c r="M194" s="94"/>
      <c r="N194" s="94"/>
      <c r="O194" s="129"/>
      <c r="P194" s="167" t="e">
        <f t="shared" si="11"/>
        <v>#DIV/0!</v>
      </c>
      <c r="Q194" s="91">
        <v>0</v>
      </c>
      <c r="R194" s="129">
        <v>4.5599999999999996</v>
      </c>
      <c r="S194" s="91">
        <v>4.8</v>
      </c>
      <c r="T194" s="129">
        <v>4.5599999999999996</v>
      </c>
      <c r="U194" s="93">
        <v>0</v>
      </c>
      <c r="V194" s="129">
        <v>0</v>
      </c>
      <c r="W194" s="93">
        <v>0</v>
      </c>
      <c r="X194" s="129">
        <v>0</v>
      </c>
      <c r="Y194" s="93">
        <v>0</v>
      </c>
      <c r="Z194" s="129">
        <v>0</v>
      </c>
      <c r="AA194" s="155">
        <f t="shared" si="15"/>
        <v>0</v>
      </c>
      <c r="AB194" s="98">
        <f t="shared" si="15"/>
        <v>0</v>
      </c>
      <c r="AC194"/>
      <c r="AD194" s="97">
        <v>4.8</v>
      </c>
      <c r="AE194" s="92">
        <v>0</v>
      </c>
      <c r="AF194" s="98">
        <f t="shared" si="13"/>
        <v>4.8</v>
      </c>
      <c r="AG194" s="97">
        <v>0</v>
      </c>
      <c r="AH194" s="92">
        <v>0</v>
      </c>
      <c r="AI194" s="98">
        <f t="shared" si="17"/>
        <v>0</v>
      </c>
      <c r="AJ194" s="98">
        <f t="shared" si="12"/>
        <v>4.8</v>
      </c>
      <c r="AK194" s="102" t="str">
        <f>+IF(AB194+AA194+AJ194&lt;=0, "NO COMPRADOR", +IF(AJ194&lt;=0, "SIN COMPRA "&amp;+UPPER(TEXT('DINAMICA ENERO 26'!$C$2,"mmm 'yy")), "COMPRADOR"))</f>
        <v>COMPRADOR</v>
      </c>
      <c r="AL194"/>
      <c r="AM194" s="100"/>
      <c r="AN194" s="101"/>
      <c r="AO194" s="100"/>
      <c r="AP194"/>
      <c r="AQ194"/>
      <c r="AR194"/>
      <c r="AS194"/>
      <c r="AT194"/>
      <c r="AU194"/>
      <c r="AV194"/>
      <c r="AW194"/>
      <c r="AX194"/>
    </row>
    <row r="195" spans="1:50" s="104" customFormat="1">
      <c r="A195" s="88" t="s">
        <v>85</v>
      </c>
      <c r="B195" s="89" t="s">
        <v>257</v>
      </c>
      <c r="C195" s="89" t="s">
        <v>43</v>
      </c>
      <c r="D195" s="103">
        <v>100089856</v>
      </c>
      <c r="E195" s="89" t="s">
        <v>49</v>
      </c>
      <c r="F195" s="89">
        <v>100001513</v>
      </c>
      <c r="G195" s="128" t="s">
        <v>287</v>
      </c>
      <c r="H195" s="166"/>
      <c r="I195" s="92"/>
      <c r="J195" s="92"/>
      <c r="K195" s="92"/>
      <c r="L195" s="92"/>
      <c r="M195" s="94"/>
      <c r="N195" s="94"/>
      <c r="O195" s="129"/>
      <c r="P195" s="167" t="e">
        <f t="shared" ref="P195:P258" si="18">+AVERAGE(L195:N195)</f>
        <v>#DIV/0!</v>
      </c>
      <c r="Q195" s="91">
        <v>0</v>
      </c>
      <c r="R195" s="129">
        <v>0</v>
      </c>
      <c r="S195" s="91">
        <v>0</v>
      </c>
      <c r="T195" s="129">
        <v>0</v>
      </c>
      <c r="U195" s="93">
        <v>4.8</v>
      </c>
      <c r="V195" s="129">
        <v>0</v>
      </c>
      <c r="W195" s="93">
        <v>0</v>
      </c>
      <c r="X195" s="129">
        <v>0</v>
      </c>
      <c r="Y195" s="93">
        <v>0</v>
      </c>
      <c r="Z195" s="129">
        <v>0</v>
      </c>
      <c r="AA195" s="155">
        <f t="shared" si="15"/>
        <v>1.5999999999999999</v>
      </c>
      <c r="AB195" s="98">
        <f t="shared" si="15"/>
        <v>0</v>
      </c>
      <c r="AC195"/>
      <c r="AD195" s="97">
        <v>0</v>
      </c>
      <c r="AE195" s="92">
        <v>0</v>
      </c>
      <c r="AF195" s="98">
        <f t="shared" si="13"/>
        <v>0</v>
      </c>
      <c r="AG195" s="97">
        <v>0</v>
      </c>
      <c r="AH195" s="92">
        <v>0</v>
      </c>
      <c r="AI195" s="98">
        <f t="shared" si="17"/>
        <v>0</v>
      </c>
      <c r="AJ195" s="98">
        <f t="shared" ref="AJ195:AJ258" si="19">+AF195+AI195</f>
        <v>0</v>
      </c>
      <c r="AK195" s="102" t="str">
        <f>+IF(AB195+AA195+AJ195&lt;=0, "NO COMPRADOR", +IF(AJ195&lt;=0, "SIN COMPRA "&amp;+UPPER(TEXT('DINAMICA ENERO 26'!$C$2,"mmm 'yy")), "COMPRADOR"))</f>
        <v>SIN COMPRA FEB '26</v>
      </c>
      <c r="AL195"/>
      <c r="AM195" s="100"/>
      <c r="AN195" s="101"/>
      <c r="AO195" s="100"/>
      <c r="AP195"/>
      <c r="AQ195"/>
      <c r="AR195"/>
      <c r="AS195"/>
      <c r="AT195"/>
      <c r="AU195"/>
      <c r="AV195"/>
      <c r="AW195"/>
      <c r="AX195"/>
    </row>
    <row r="196" spans="1:50" s="104" customFormat="1">
      <c r="A196" s="88" t="s">
        <v>85</v>
      </c>
      <c r="B196" s="89" t="s">
        <v>257</v>
      </c>
      <c r="C196" s="89" t="s">
        <v>43</v>
      </c>
      <c r="D196" s="103">
        <v>100089856</v>
      </c>
      <c r="E196" s="89" t="s">
        <v>49</v>
      </c>
      <c r="F196" s="89">
        <v>100059754</v>
      </c>
      <c r="G196" s="128" t="s">
        <v>288</v>
      </c>
      <c r="H196" s="166"/>
      <c r="I196" s="92"/>
      <c r="J196" s="92"/>
      <c r="K196" s="92"/>
      <c r="L196" s="92"/>
      <c r="M196" s="94"/>
      <c r="N196" s="94"/>
      <c r="O196" s="129"/>
      <c r="P196" s="167" t="e">
        <f t="shared" si="18"/>
        <v>#DIV/0!</v>
      </c>
      <c r="Q196" s="91">
        <v>14.399999999999999</v>
      </c>
      <c r="R196" s="129">
        <v>0</v>
      </c>
      <c r="S196" s="91">
        <v>14.399999999999999</v>
      </c>
      <c r="T196" s="129">
        <v>9.1199999999999992</v>
      </c>
      <c r="U196" s="93">
        <v>24</v>
      </c>
      <c r="V196" s="129">
        <v>13.68</v>
      </c>
      <c r="W196" s="93">
        <v>33.6</v>
      </c>
      <c r="X196" s="129">
        <v>59.279999999999994</v>
      </c>
      <c r="Y196" s="93">
        <v>24</v>
      </c>
      <c r="Z196" s="129">
        <v>4.5599999999999996</v>
      </c>
      <c r="AA196" s="155">
        <f t="shared" si="15"/>
        <v>27.2</v>
      </c>
      <c r="AB196" s="98">
        <f t="shared" si="15"/>
        <v>25.84</v>
      </c>
      <c r="AC196"/>
      <c r="AD196" s="97">
        <v>24</v>
      </c>
      <c r="AE196" s="92">
        <v>0</v>
      </c>
      <c r="AF196" s="98">
        <f t="shared" ref="AF196:AF259" si="20">+AD196+AE196</f>
        <v>24</v>
      </c>
      <c r="AG196" s="97">
        <v>9.1199999999999992</v>
      </c>
      <c r="AH196" s="92">
        <v>0</v>
      </c>
      <c r="AI196" s="98">
        <f t="shared" si="17"/>
        <v>9.1199999999999992</v>
      </c>
      <c r="AJ196" s="98">
        <f t="shared" si="19"/>
        <v>33.119999999999997</v>
      </c>
      <c r="AK196" s="102" t="str">
        <f>+IF(AB196+AA196+AJ196&lt;=0, "NO COMPRADOR", +IF(AJ196&lt;=0, "SIN COMPRA "&amp;+UPPER(TEXT('DINAMICA ENERO 26'!$C$2,"mmm 'yy")), "COMPRADOR"))</f>
        <v>COMPRADOR</v>
      </c>
      <c r="AL196"/>
      <c r="AM196" s="100"/>
      <c r="AN196" s="101"/>
      <c r="AO196" s="100"/>
      <c r="AP196"/>
      <c r="AQ196"/>
      <c r="AR196"/>
      <c r="AS196"/>
      <c r="AT196"/>
      <c r="AU196"/>
      <c r="AV196"/>
      <c r="AW196"/>
      <c r="AX196"/>
    </row>
    <row r="197" spans="1:50" s="100" customFormat="1">
      <c r="A197" s="88" t="s">
        <v>85</v>
      </c>
      <c r="B197" s="89" t="s">
        <v>257</v>
      </c>
      <c r="C197" s="89" t="s">
        <v>43</v>
      </c>
      <c r="D197" s="103">
        <v>100089856</v>
      </c>
      <c r="E197" s="89" t="s">
        <v>49</v>
      </c>
      <c r="F197" s="89">
        <v>100064962</v>
      </c>
      <c r="G197" s="128" t="s">
        <v>289</v>
      </c>
      <c r="H197" s="166"/>
      <c r="I197" s="92"/>
      <c r="J197" s="92"/>
      <c r="K197" s="92"/>
      <c r="L197" s="92"/>
      <c r="M197" s="94"/>
      <c r="N197" s="94"/>
      <c r="O197" s="129"/>
      <c r="P197" s="167" t="e">
        <f t="shared" si="18"/>
        <v>#DIV/0!</v>
      </c>
      <c r="Q197" s="91">
        <v>0</v>
      </c>
      <c r="R197" s="129">
        <v>0</v>
      </c>
      <c r="S197" s="91">
        <v>4.8</v>
      </c>
      <c r="T197" s="129">
        <v>4.5599999999999996</v>
      </c>
      <c r="U197" s="93">
        <v>0</v>
      </c>
      <c r="V197" s="129">
        <v>0</v>
      </c>
      <c r="W197" s="93">
        <v>0</v>
      </c>
      <c r="X197" s="129">
        <v>0</v>
      </c>
      <c r="Y197" s="93">
        <v>0</v>
      </c>
      <c r="Z197" s="129">
        <v>0</v>
      </c>
      <c r="AA197" s="155">
        <f t="shared" si="15"/>
        <v>0</v>
      </c>
      <c r="AB197" s="98">
        <f t="shared" si="15"/>
        <v>0</v>
      </c>
      <c r="AC197"/>
      <c r="AD197" s="97">
        <v>0</v>
      </c>
      <c r="AE197" s="92">
        <v>0</v>
      </c>
      <c r="AF197" s="98">
        <f t="shared" si="20"/>
        <v>0</v>
      </c>
      <c r="AG197" s="97">
        <v>0</v>
      </c>
      <c r="AH197" s="92">
        <v>0</v>
      </c>
      <c r="AI197" s="98">
        <f t="shared" si="17"/>
        <v>0</v>
      </c>
      <c r="AJ197" s="98">
        <f t="shared" si="19"/>
        <v>0</v>
      </c>
      <c r="AK197" s="102" t="str">
        <f>+IF(AB197+AA197+AJ197&lt;=0, "NO COMPRADOR", +IF(AJ197&lt;=0, "SIN COMPRA "&amp;+UPPER(TEXT('DINAMICA ENERO 26'!$C$2,"mmm 'yy")), "COMPRADOR"))</f>
        <v>NO COMPRADOR</v>
      </c>
      <c r="AL197"/>
      <c r="AN197" s="101"/>
      <c r="AP197"/>
      <c r="AQ197"/>
      <c r="AR197"/>
      <c r="AS197"/>
      <c r="AT197"/>
      <c r="AU197"/>
      <c r="AV197"/>
      <c r="AW197"/>
      <c r="AX197"/>
    </row>
    <row r="198" spans="1:50" s="100" customFormat="1">
      <c r="A198" s="88" t="s">
        <v>85</v>
      </c>
      <c r="B198" s="89" t="s">
        <v>257</v>
      </c>
      <c r="C198" s="89" t="s">
        <v>43</v>
      </c>
      <c r="D198" s="103">
        <v>100067806</v>
      </c>
      <c r="E198" s="89" t="s">
        <v>50</v>
      </c>
      <c r="F198" s="89">
        <v>100001979</v>
      </c>
      <c r="G198" s="128" t="s">
        <v>290</v>
      </c>
      <c r="H198" s="166"/>
      <c r="I198" s="92"/>
      <c r="J198" s="92"/>
      <c r="K198" s="92"/>
      <c r="L198" s="92"/>
      <c r="M198" s="94"/>
      <c r="N198" s="94"/>
      <c r="O198" s="129"/>
      <c r="P198" s="167" t="e">
        <f t="shared" si="18"/>
        <v>#DIV/0!</v>
      </c>
      <c r="Q198" s="91">
        <v>0</v>
      </c>
      <c r="R198" s="129">
        <v>0</v>
      </c>
      <c r="S198" s="91">
        <v>0</v>
      </c>
      <c r="T198" s="129">
        <v>4.5599999999999996</v>
      </c>
      <c r="U198" s="93">
        <v>9.6</v>
      </c>
      <c r="V198" s="129">
        <v>0</v>
      </c>
      <c r="W198" s="93">
        <v>-4.8</v>
      </c>
      <c r="X198" s="129">
        <v>0</v>
      </c>
      <c r="Y198" s="93">
        <v>4.8</v>
      </c>
      <c r="Z198" s="129">
        <v>4.5599999999999996</v>
      </c>
      <c r="AA198" s="155">
        <f t="shared" si="15"/>
        <v>3.1999999999999997</v>
      </c>
      <c r="AB198" s="98">
        <f t="shared" si="15"/>
        <v>1.5199999999999998</v>
      </c>
      <c r="AC198"/>
      <c r="AD198" s="97">
        <v>9.6</v>
      </c>
      <c r="AE198" s="92">
        <v>0</v>
      </c>
      <c r="AF198" s="98">
        <f t="shared" si="20"/>
        <v>9.6</v>
      </c>
      <c r="AG198" s="97">
        <v>0</v>
      </c>
      <c r="AH198" s="92">
        <v>0</v>
      </c>
      <c r="AI198" s="98">
        <f t="shared" si="17"/>
        <v>0</v>
      </c>
      <c r="AJ198" s="98">
        <f t="shared" si="19"/>
        <v>9.6</v>
      </c>
      <c r="AK198" s="102" t="str">
        <f>+IF(AB198+AA198+AJ198&lt;=0, "NO COMPRADOR", +IF(AJ198&lt;=0, "SIN COMPRA "&amp;+UPPER(TEXT('DINAMICA ENERO 26'!$C$2,"mmm 'yy")), "COMPRADOR"))</f>
        <v>COMPRADOR</v>
      </c>
      <c r="AL198"/>
      <c r="AN198" s="101"/>
      <c r="AP198"/>
      <c r="AQ198"/>
      <c r="AR198"/>
      <c r="AS198"/>
      <c r="AT198"/>
      <c r="AU198"/>
      <c r="AV198"/>
      <c r="AW198"/>
      <c r="AX198"/>
    </row>
    <row r="199" spans="1:50" s="104" customFormat="1">
      <c r="A199" s="88" t="s">
        <v>85</v>
      </c>
      <c r="B199" s="89" t="s">
        <v>257</v>
      </c>
      <c r="C199" s="89" t="s">
        <v>43</v>
      </c>
      <c r="D199" s="103">
        <v>100067806</v>
      </c>
      <c r="E199" s="89" t="s">
        <v>50</v>
      </c>
      <c r="F199" s="89">
        <v>100002252</v>
      </c>
      <c r="G199" s="128" t="s">
        <v>291</v>
      </c>
      <c r="H199" s="166"/>
      <c r="I199" s="92"/>
      <c r="J199" s="92"/>
      <c r="K199" s="92"/>
      <c r="L199" s="92"/>
      <c r="M199" s="94"/>
      <c r="N199" s="94"/>
      <c r="O199" s="129"/>
      <c r="P199" s="167" t="e">
        <f t="shared" si="18"/>
        <v>#DIV/0!</v>
      </c>
      <c r="Q199" s="91">
        <v>9.6</v>
      </c>
      <c r="R199" s="129">
        <v>4.5599999999999996</v>
      </c>
      <c r="S199" s="91">
        <v>4.8</v>
      </c>
      <c r="T199" s="129">
        <v>4.5599999999999996</v>
      </c>
      <c r="U199" s="93">
        <v>4.8</v>
      </c>
      <c r="V199" s="129">
        <v>0</v>
      </c>
      <c r="W199" s="93">
        <v>9.6</v>
      </c>
      <c r="X199" s="129">
        <v>9.1199999999999992</v>
      </c>
      <c r="Y199" s="93">
        <v>0</v>
      </c>
      <c r="Z199" s="129">
        <v>0</v>
      </c>
      <c r="AA199" s="155">
        <f t="shared" si="15"/>
        <v>4.8</v>
      </c>
      <c r="AB199" s="98">
        <f t="shared" si="15"/>
        <v>3.0399999999999996</v>
      </c>
      <c r="AC199"/>
      <c r="AD199" s="97">
        <v>4.8</v>
      </c>
      <c r="AE199" s="92">
        <v>0</v>
      </c>
      <c r="AF199" s="98">
        <f t="shared" si="20"/>
        <v>4.8</v>
      </c>
      <c r="AG199" s="97">
        <v>4.5599999999999996</v>
      </c>
      <c r="AH199" s="92">
        <v>0</v>
      </c>
      <c r="AI199" s="98">
        <f t="shared" si="17"/>
        <v>4.5599999999999996</v>
      </c>
      <c r="AJ199" s="98">
        <f t="shared" si="19"/>
        <v>9.36</v>
      </c>
      <c r="AK199" s="102" t="str">
        <f>+IF(AB199+AA199+AJ199&lt;=0, "NO COMPRADOR", +IF(AJ199&lt;=0, "SIN COMPRA "&amp;+UPPER(TEXT('DINAMICA ENERO 26'!$C$2,"mmm 'yy")), "COMPRADOR"))</f>
        <v>COMPRADOR</v>
      </c>
      <c r="AL199"/>
      <c r="AM199" s="100"/>
      <c r="AN199" s="101"/>
      <c r="AO199" s="100"/>
      <c r="AP199"/>
      <c r="AQ199"/>
      <c r="AR199"/>
      <c r="AS199"/>
      <c r="AT199"/>
      <c r="AU199"/>
      <c r="AV199"/>
      <c r="AW199"/>
      <c r="AX199"/>
    </row>
    <row r="200" spans="1:50" s="100" customFormat="1">
      <c r="A200" s="88" t="s">
        <v>85</v>
      </c>
      <c r="B200" s="89" t="s">
        <v>257</v>
      </c>
      <c r="C200" s="89" t="s">
        <v>43</v>
      </c>
      <c r="D200" s="103">
        <v>100067806</v>
      </c>
      <c r="E200" s="89" t="s">
        <v>50</v>
      </c>
      <c r="F200" s="89">
        <v>100085225</v>
      </c>
      <c r="G200" s="128" t="s">
        <v>292</v>
      </c>
      <c r="H200" s="166"/>
      <c r="I200" s="92"/>
      <c r="J200" s="92"/>
      <c r="K200" s="92"/>
      <c r="L200" s="92"/>
      <c r="M200" s="94"/>
      <c r="N200" s="94"/>
      <c r="O200" s="129"/>
      <c r="P200" s="167" t="e">
        <f t="shared" si="18"/>
        <v>#DIV/0!</v>
      </c>
      <c r="Q200" s="91">
        <v>0</v>
      </c>
      <c r="R200" s="129">
        <v>0</v>
      </c>
      <c r="S200" s="91">
        <v>0</v>
      </c>
      <c r="T200" s="129">
        <v>0</v>
      </c>
      <c r="U200" s="93">
        <v>0</v>
      </c>
      <c r="V200" s="129">
        <v>0</v>
      </c>
      <c r="W200" s="93">
        <v>0</v>
      </c>
      <c r="X200" s="129">
        <v>0</v>
      </c>
      <c r="Y200" s="93">
        <v>4.8</v>
      </c>
      <c r="Z200" s="129">
        <v>0</v>
      </c>
      <c r="AA200" s="155">
        <f t="shared" si="15"/>
        <v>1.5999999999999999</v>
      </c>
      <c r="AB200" s="98">
        <f t="shared" si="15"/>
        <v>0</v>
      </c>
      <c r="AC200"/>
      <c r="AD200" s="97">
        <v>0</v>
      </c>
      <c r="AE200" s="92">
        <v>0</v>
      </c>
      <c r="AF200" s="98">
        <f t="shared" si="20"/>
        <v>0</v>
      </c>
      <c r="AG200" s="97">
        <v>0</v>
      </c>
      <c r="AH200" s="92">
        <v>0</v>
      </c>
      <c r="AI200" s="98">
        <f t="shared" si="17"/>
        <v>0</v>
      </c>
      <c r="AJ200" s="98">
        <f t="shared" si="19"/>
        <v>0</v>
      </c>
      <c r="AK200" s="102" t="str">
        <f>+IF(AB200+AA200+AJ200&lt;=0, "NO COMPRADOR", +IF(AJ200&lt;=0, "SIN COMPRA "&amp;+UPPER(TEXT('DINAMICA ENERO 26'!$C$2,"mmm 'yy")), "COMPRADOR"))</f>
        <v>SIN COMPRA FEB '26</v>
      </c>
      <c r="AL200"/>
      <c r="AN200" s="101"/>
      <c r="AP200"/>
      <c r="AQ200"/>
      <c r="AR200"/>
      <c r="AS200"/>
      <c r="AT200"/>
      <c r="AU200"/>
      <c r="AV200"/>
      <c r="AW200"/>
      <c r="AX200"/>
    </row>
    <row r="201" spans="1:50" s="100" customFormat="1">
      <c r="A201" s="88" t="s">
        <v>85</v>
      </c>
      <c r="B201" s="89" t="s">
        <v>257</v>
      </c>
      <c r="C201" s="89" t="s">
        <v>43</v>
      </c>
      <c r="D201" s="103">
        <v>100067806</v>
      </c>
      <c r="E201" s="89" t="s">
        <v>50</v>
      </c>
      <c r="F201" s="89">
        <v>100001891</v>
      </c>
      <c r="G201" s="128" t="s">
        <v>293</v>
      </c>
      <c r="H201" s="166"/>
      <c r="I201" s="92"/>
      <c r="J201" s="92"/>
      <c r="K201" s="92"/>
      <c r="L201" s="92"/>
      <c r="M201" s="94"/>
      <c r="N201" s="94"/>
      <c r="O201" s="129"/>
      <c r="P201" s="167" t="e">
        <f t="shared" si="18"/>
        <v>#DIV/0!</v>
      </c>
      <c r="Q201" s="91">
        <v>19.2</v>
      </c>
      <c r="R201" s="129">
        <v>13.68</v>
      </c>
      <c r="S201" s="91">
        <v>100.8</v>
      </c>
      <c r="T201" s="129">
        <v>13.68</v>
      </c>
      <c r="U201" s="93">
        <v>67.199999999999989</v>
      </c>
      <c r="V201" s="129">
        <v>18.239999999999998</v>
      </c>
      <c r="W201" s="93">
        <v>57.599999999999994</v>
      </c>
      <c r="X201" s="129">
        <v>9.1199999999999992</v>
      </c>
      <c r="Y201" s="93">
        <v>48</v>
      </c>
      <c r="Z201" s="129">
        <v>4.5599999999999996</v>
      </c>
      <c r="AA201" s="155">
        <f t="shared" si="15"/>
        <v>57.599999999999994</v>
      </c>
      <c r="AB201" s="98">
        <f t="shared" si="15"/>
        <v>10.639999999999999</v>
      </c>
      <c r="AC201"/>
      <c r="AD201" s="97">
        <v>52.8</v>
      </c>
      <c r="AE201" s="92">
        <v>0</v>
      </c>
      <c r="AF201" s="98">
        <f t="shared" si="20"/>
        <v>52.8</v>
      </c>
      <c r="AG201" s="97">
        <v>13.68</v>
      </c>
      <c r="AH201" s="92">
        <v>0</v>
      </c>
      <c r="AI201" s="98">
        <f t="shared" si="17"/>
        <v>13.68</v>
      </c>
      <c r="AJ201" s="98">
        <f t="shared" si="19"/>
        <v>66.47999999999999</v>
      </c>
      <c r="AK201" s="102" t="str">
        <f>+IF(AB201+AA201+AJ201&lt;=0, "NO COMPRADOR", +IF(AJ201&lt;=0, "SIN COMPRA "&amp;+UPPER(TEXT('DINAMICA ENERO 26'!$C$2,"mmm 'yy")), "COMPRADOR"))</f>
        <v>COMPRADOR</v>
      </c>
      <c r="AL201"/>
      <c r="AN201" s="101"/>
      <c r="AP201"/>
      <c r="AQ201"/>
      <c r="AR201"/>
      <c r="AS201"/>
      <c r="AT201"/>
      <c r="AU201"/>
      <c r="AV201"/>
      <c r="AW201"/>
      <c r="AX201"/>
    </row>
    <row r="202" spans="1:50" s="100" customFormat="1">
      <c r="A202" s="88" t="s">
        <v>85</v>
      </c>
      <c r="B202" s="89" t="s">
        <v>257</v>
      </c>
      <c r="C202" s="89" t="s">
        <v>43</v>
      </c>
      <c r="D202" s="103">
        <v>100067806</v>
      </c>
      <c r="E202" s="89" t="s">
        <v>50</v>
      </c>
      <c r="F202" s="89">
        <v>100001593</v>
      </c>
      <c r="G202" s="128" t="s">
        <v>294</v>
      </c>
      <c r="H202" s="166"/>
      <c r="I202" s="92"/>
      <c r="J202" s="92"/>
      <c r="K202" s="92"/>
      <c r="L202" s="92"/>
      <c r="M202" s="94"/>
      <c r="N202" s="94"/>
      <c r="O202" s="129"/>
      <c r="P202" s="167" t="e">
        <f t="shared" si="18"/>
        <v>#DIV/0!</v>
      </c>
      <c r="Q202" s="91">
        <v>0</v>
      </c>
      <c r="R202" s="129">
        <v>0</v>
      </c>
      <c r="S202" s="91">
        <v>72</v>
      </c>
      <c r="T202" s="129">
        <v>9.1199999999999992</v>
      </c>
      <c r="U202" s="93">
        <v>48</v>
      </c>
      <c r="V202" s="129">
        <v>4.5599999999999996</v>
      </c>
      <c r="W202" s="93">
        <v>144</v>
      </c>
      <c r="X202" s="129">
        <v>0</v>
      </c>
      <c r="Y202" s="93">
        <v>0</v>
      </c>
      <c r="Z202" s="129">
        <v>0</v>
      </c>
      <c r="AA202" s="155">
        <f t="shared" si="15"/>
        <v>64</v>
      </c>
      <c r="AB202" s="98">
        <f t="shared" si="15"/>
        <v>1.5199999999999998</v>
      </c>
      <c r="AC202"/>
      <c r="AD202" s="97">
        <v>0</v>
      </c>
      <c r="AE202" s="92">
        <v>0</v>
      </c>
      <c r="AF202" s="98">
        <f t="shared" si="20"/>
        <v>0</v>
      </c>
      <c r="AG202" s="97">
        <v>0</v>
      </c>
      <c r="AH202" s="92">
        <v>0</v>
      </c>
      <c r="AI202" s="98">
        <f t="shared" si="17"/>
        <v>0</v>
      </c>
      <c r="AJ202" s="98">
        <f t="shared" si="19"/>
        <v>0</v>
      </c>
      <c r="AK202" s="102" t="str">
        <f>+IF(AB202+AA202+AJ202&lt;=0, "NO COMPRADOR", +IF(AJ202&lt;=0, "SIN COMPRA "&amp;+UPPER(TEXT('DINAMICA ENERO 26'!$C$2,"mmm 'yy")), "COMPRADOR"))</f>
        <v>SIN COMPRA FEB '26</v>
      </c>
      <c r="AL202"/>
      <c r="AN202" s="101"/>
      <c r="AP202"/>
      <c r="AQ202"/>
      <c r="AR202"/>
      <c r="AS202"/>
      <c r="AT202"/>
      <c r="AU202"/>
      <c r="AV202"/>
      <c r="AW202"/>
      <c r="AX202"/>
    </row>
    <row r="203" spans="1:50" s="104" customFormat="1">
      <c r="A203" s="88" t="s">
        <v>85</v>
      </c>
      <c r="B203" s="89" t="s">
        <v>257</v>
      </c>
      <c r="C203" s="89" t="s">
        <v>43</v>
      </c>
      <c r="D203" s="103">
        <v>100067806</v>
      </c>
      <c r="E203" s="89" t="s">
        <v>50</v>
      </c>
      <c r="F203" s="89">
        <v>100081330</v>
      </c>
      <c r="G203" s="128" t="s">
        <v>295</v>
      </c>
      <c r="H203" s="166"/>
      <c r="I203" s="92"/>
      <c r="J203" s="92"/>
      <c r="K203" s="92"/>
      <c r="L203" s="92"/>
      <c r="M203" s="94"/>
      <c r="N203" s="94"/>
      <c r="O203" s="129"/>
      <c r="P203" s="167" t="e">
        <f t="shared" si="18"/>
        <v>#DIV/0!</v>
      </c>
      <c r="Q203" s="91">
        <v>0</v>
      </c>
      <c r="R203" s="129">
        <v>0</v>
      </c>
      <c r="S203" s="91">
        <v>0</v>
      </c>
      <c r="T203" s="129">
        <v>0</v>
      </c>
      <c r="U203" s="93">
        <v>0</v>
      </c>
      <c r="V203" s="129">
        <v>9.1199999999999992</v>
      </c>
      <c r="W203" s="93">
        <v>0</v>
      </c>
      <c r="X203" s="129">
        <v>0</v>
      </c>
      <c r="Y203" s="93">
        <v>0</v>
      </c>
      <c r="Z203" s="129">
        <v>0</v>
      </c>
      <c r="AA203" s="155">
        <f t="shared" si="15"/>
        <v>0</v>
      </c>
      <c r="AB203" s="98">
        <f t="shared" si="15"/>
        <v>3.0399999999999996</v>
      </c>
      <c r="AC203"/>
      <c r="AD203" s="97">
        <v>0</v>
      </c>
      <c r="AE203" s="92">
        <v>0</v>
      </c>
      <c r="AF203" s="98">
        <f t="shared" si="20"/>
        <v>0</v>
      </c>
      <c r="AG203" s="97">
        <v>0</v>
      </c>
      <c r="AH203" s="92">
        <v>0</v>
      </c>
      <c r="AI203" s="98">
        <f t="shared" si="17"/>
        <v>0</v>
      </c>
      <c r="AJ203" s="98">
        <f t="shared" si="19"/>
        <v>0</v>
      </c>
      <c r="AK203" s="102" t="str">
        <f>+IF(AB203+AA203+AJ203&lt;=0, "NO COMPRADOR", +IF(AJ203&lt;=0, "SIN COMPRA "&amp;+UPPER(TEXT('DINAMICA ENERO 26'!$C$2,"mmm 'yy")), "COMPRADOR"))</f>
        <v>SIN COMPRA FEB '26</v>
      </c>
      <c r="AL203"/>
      <c r="AM203" s="100"/>
      <c r="AN203" s="101"/>
      <c r="AO203" s="100"/>
      <c r="AP203"/>
      <c r="AQ203"/>
      <c r="AR203"/>
      <c r="AS203"/>
      <c r="AT203"/>
      <c r="AU203"/>
      <c r="AV203"/>
      <c r="AW203"/>
      <c r="AX203"/>
    </row>
    <row r="204" spans="1:50" s="100" customFormat="1">
      <c r="A204" s="88" t="s">
        <v>85</v>
      </c>
      <c r="B204" s="89" t="s">
        <v>257</v>
      </c>
      <c r="C204" s="89" t="s">
        <v>43</v>
      </c>
      <c r="D204" s="103">
        <v>100067806</v>
      </c>
      <c r="E204" s="89" t="s">
        <v>50</v>
      </c>
      <c r="F204" s="89">
        <v>100079383</v>
      </c>
      <c r="G204" s="128" t="s">
        <v>296</v>
      </c>
      <c r="H204" s="166"/>
      <c r="I204" s="92"/>
      <c r="J204" s="92"/>
      <c r="K204" s="92"/>
      <c r="L204" s="92"/>
      <c r="M204" s="94"/>
      <c r="N204" s="94"/>
      <c r="O204" s="129"/>
      <c r="P204" s="167" t="e">
        <f t="shared" si="18"/>
        <v>#DIV/0!</v>
      </c>
      <c r="Q204" s="91">
        <v>0</v>
      </c>
      <c r="R204" s="129">
        <v>0</v>
      </c>
      <c r="S204" s="91">
        <v>9.6</v>
      </c>
      <c r="T204" s="129">
        <v>18.239999999999998</v>
      </c>
      <c r="U204" s="93">
        <v>14.399999999999999</v>
      </c>
      <c r="V204" s="129">
        <v>4.5599999999999996</v>
      </c>
      <c r="W204" s="93">
        <v>9.6</v>
      </c>
      <c r="X204" s="129">
        <v>0</v>
      </c>
      <c r="Y204" s="93">
        <v>0</v>
      </c>
      <c r="Z204" s="129">
        <v>0</v>
      </c>
      <c r="AA204" s="155">
        <f t="shared" si="15"/>
        <v>8</v>
      </c>
      <c r="AB204" s="98">
        <f t="shared" si="15"/>
        <v>1.5199999999999998</v>
      </c>
      <c r="AC204"/>
      <c r="AD204" s="97">
        <v>0</v>
      </c>
      <c r="AE204" s="92">
        <v>0</v>
      </c>
      <c r="AF204" s="98">
        <f t="shared" si="20"/>
        <v>0</v>
      </c>
      <c r="AG204" s="97">
        <v>0</v>
      </c>
      <c r="AH204" s="92">
        <v>0</v>
      </c>
      <c r="AI204" s="98">
        <f t="shared" si="17"/>
        <v>0</v>
      </c>
      <c r="AJ204" s="98">
        <f t="shared" si="19"/>
        <v>0</v>
      </c>
      <c r="AK204" s="102" t="str">
        <f>+IF(AB204+AA204+AJ204&lt;=0, "NO COMPRADOR", +IF(AJ204&lt;=0, "SIN COMPRA "&amp;+UPPER(TEXT('DINAMICA ENERO 26'!$C$2,"mmm 'yy")), "COMPRADOR"))</f>
        <v>SIN COMPRA FEB '26</v>
      </c>
      <c r="AL204"/>
      <c r="AN204" s="101"/>
      <c r="AP204"/>
      <c r="AQ204"/>
      <c r="AR204"/>
      <c r="AS204"/>
      <c r="AT204"/>
      <c r="AU204"/>
      <c r="AV204"/>
      <c r="AW204"/>
      <c r="AX204"/>
    </row>
    <row r="205" spans="1:50" s="100" customFormat="1">
      <c r="A205" s="88" t="s">
        <v>85</v>
      </c>
      <c r="B205" s="89" t="s">
        <v>257</v>
      </c>
      <c r="C205" s="89" t="s">
        <v>43</v>
      </c>
      <c r="D205" s="103">
        <v>100067806</v>
      </c>
      <c r="E205" s="89" t="s">
        <v>50</v>
      </c>
      <c r="F205" s="89">
        <v>100079030</v>
      </c>
      <c r="G205" s="128" t="s">
        <v>297</v>
      </c>
      <c r="H205" s="166"/>
      <c r="I205" s="92"/>
      <c r="J205" s="92"/>
      <c r="K205" s="92"/>
      <c r="L205" s="92"/>
      <c r="M205" s="94"/>
      <c r="N205" s="94"/>
      <c r="O205" s="129"/>
      <c r="P205" s="167" t="e">
        <f t="shared" si="18"/>
        <v>#DIV/0!</v>
      </c>
      <c r="Q205" s="91">
        <v>0</v>
      </c>
      <c r="R205" s="129">
        <v>0</v>
      </c>
      <c r="S205" s="91">
        <v>28.8</v>
      </c>
      <c r="T205" s="129">
        <v>18.239999999999998</v>
      </c>
      <c r="U205" s="93">
        <v>0</v>
      </c>
      <c r="V205" s="129">
        <v>0</v>
      </c>
      <c r="W205" s="93">
        <v>24</v>
      </c>
      <c r="X205" s="129">
        <v>4.5599999999999996</v>
      </c>
      <c r="Y205" s="93">
        <v>0</v>
      </c>
      <c r="Z205" s="129">
        <v>-4.5599999999999996</v>
      </c>
      <c r="AA205" s="155">
        <f t="shared" si="15"/>
        <v>8</v>
      </c>
      <c r="AB205" s="98">
        <f t="shared" si="15"/>
        <v>0</v>
      </c>
      <c r="AC205"/>
      <c r="AD205" s="97">
        <v>0</v>
      </c>
      <c r="AE205" s="92">
        <v>0</v>
      </c>
      <c r="AF205" s="98">
        <f t="shared" si="20"/>
        <v>0</v>
      </c>
      <c r="AG205" s="97">
        <v>0</v>
      </c>
      <c r="AH205" s="92">
        <v>0</v>
      </c>
      <c r="AI205" s="98">
        <f t="shared" si="17"/>
        <v>0</v>
      </c>
      <c r="AJ205" s="98">
        <f t="shared" si="19"/>
        <v>0</v>
      </c>
      <c r="AK205" s="102" t="str">
        <f>+IF(AB205+AA205+AJ205&lt;=0, "NO COMPRADOR", +IF(AJ205&lt;=0, "SIN COMPRA "&amp;+UPPER(TEXT('DINAMICA ENERO 26'!$C$2,"mmm 'yy")), "COMPRADOR"))</f>
        <v>SIN COMPRA FEB '26</v>
      </c>
      <c r="AL205"/>
      <c r="AN205" s="101"/>
      <c r="AP205"/>
      <c r="AQ205"/>
      <c r="AR205"/>
      <c r="AS205"/>
      <c r="AT205"/>
      <c r="AU205"/>
      <c r="AV205"/>
      <c r="AW205"/>
      <c r="AX205"/>
    </row>
    <row r="206" spans="1:50" s="100" customFormat="1">
      <c r="A206" s="88" t="s">
        <v>85</v>
      </c>
      <c r="B206" s="89" t="s">
        <v>257</v>
      </c>
      <c r="C206" s="89" t="s">
        <v>43</v>
      </c>
      <c r="D206" s="103">
        <v>100067806</v>
      </c>
      <c r="E206" s="89" t="s">
        <v>50</v>
      </c>
      <c r="F206" s="89">
        <v>100024035</v>
      </c>
      <c r="G206" s="128" t="s">
        <v>298</v>
      </c>
      <c r="H206" s="166"/>
      <c r="I206" s="92"/>
      <c r="J206" s="92"/>
      <c r="K206" s="92"/>
      <c r="L206" s="92"/>
      <c r="M206" s="94"/>
      <c r="N206" s="94"/>
      <c r="O206" s="129"/>
      <c r="P206" s="167" t="e">
        <f t="shared" si="18"/>
        <v>#DIV/0!</v>
      </c>
      <c r="Q206" s="91">
        <v>48</v>
      </c>
      <c r="R206" s="129">
        <v>0</v>
      </c>
      <c r="S206" s="91">
        <v>76.8</v>
      </c>
      <c r="T206" s="129">
        <v>0</v>
      </c>
      <c r="U206" s="93">
        <v>76.8</v>
      </c>
      <c r="V206" s="129">
        <v>4.5599999999999996</v>
      </c>
      <c r="W206" s="93">
        <v>86.399999999999991</v>
      </c>
      <c r="X206" s="129">
        <v>0</v>
      </c>
      <c r="Y206" s="93">
        <v>57.6</v>
      </c>
      <c r="Z206" s="129">
        <v>0</v>
      </c>
      <c r="AA206" s="155">
        <f t="shared" si="15"/>
        <v>73.599999999999994</v>
      </c>
      <c r="AB206" s="98">
        <f t="shared" si="15"/>
        <v>1.5199999999999998</v>
      </c>
      <c r="AC206"/>
      <c r="AD206" s="97">
        <v>86.399999999999991</v>
      </c>
      <c r="AE206" s="92">
        <v>0</v>
      </c>
      <c r="AF206" s="98">
        <f t="shared" si="20"/>
        <v>86.399999999999991</v>
      </c>
      <c r="AG206" s="97">
        <v>0</v>
      </c>
      <c r="AH206" s="92">
        <v>0</v>
      </c>
      <c r="AI206" s="98">
        <f t="shared" si="17"/>
        <v>0</v>
      </c>
      <c r="AJ206" s="98">
        <f t="shared" si="19"/>
        <v>86.399999999999991</v>
      </c>
      <c r="AK206" s="102" t="str">
        <f>+IF(AB206+AA206+AJ206&lt;=0, "NO COMPRADOR", +IF(AJ206&lt;=0, "SIN COMPRA "&amp;+UPPER(TEXT('DINAMICA ENERO 26'!$C$2,"mmm 'yy")), "COMPRADOR"))</f>
        <v>COMPRADOR</v>
      </c>
      <c r="AL206"/>
      <c r="AN206" s="101"/>
      <c r="AP206"/>
      <c r="AQ206"/>
      <c r="AR206"/>
      <c r="AS206"/>
      <c r="AT206"/>
      <c r="AU206"/>
      <c r="AV206"/>
      <c r="AW206"/>
      <c r="AX206"/>
    </row>
    <row r="207" spans="1:50" s="104" customFormat="1">
      <c r="A207" s="88" t="s">
        <v>85</v>
      </c>
      <c r="B207" s="89" t="s">
        <v>257</v>
      </c>
      <c r="C207" s="89" t="s">
        <v>43</v>
      </c>
      <c r="D207" s="103">
        <v>100067806</v>
      </c>
      <c r="E207" s="89" t="s">
        <v>50</v>
      </c>
      <c r="F207" s="89">
        <v>100054056</v>
      </c>
      <c r="G207" s="128" t="s">
        <v>299</v>
      </c>
      <c r="H207" s="166"/>
      <c r="I207" s="92"/>
      <c r="J207" s="92"/>
      <c r="K207" s="92"/>
      <c r="L207" s="92"/>
      <c r="M207" s="94"/>
      <c r="N207" s="94"/>
      <c r="O207" s="129"/>
      <c r="P207" s="167" t="e">
        <f t="shared" si="18"/>
        <v>#DIV/0!</v>
      </c>
      <c r="Q207" s="91">
        <v>0</v>
      </c>
      <c r="R207" s="129">
        <v>0</v>
      </c>
      <c r="S207" s="91">
        <v>4.8</v>
      </c>
      <c r="T207" s="129">
        <v>4.5599999999999996</v>
      </c>
      <c r="U207" s="93">
        <v>19.2</v>
      </c>
      <c r="V207" s="129">
        <v>13.68</v>
      </c>
      <c r="W207" s="93">
        <v>14.399999999999999</v>
      </c>
      <c r="X207" s="129">
        <v>13.68</v>
      </c>
      <c r="Y207" s="93">
        <v>4.8</v>
      </c>
      <c r="Z207" s="129">
        <v>-9.1199999999999992</v>
      </c>
      <c r="AA207" s="155">
        <f t="shared" si="15"/>
        <v>12.799999999999997</v>
      </c>
      <c r="AB207" s="98">
        <f t="shared" si="15"/>
        <v>6.080000000000001</v>
      </c>
      <c r="AC207"/>
      <c r="AD207" s="97">
        <v>0</v>
      </c>
      <c r="AE207" s="92">
        <v>0</v>
      </c>
      <c r="AF207" s="98">
        <f t="shared" si="20"/>
        <v>0</v>
      </c>
      <c r="AG207" s="97">
        <v>0</v>
      </c>
      <c r="AH207" s="92">
        <v>0</v>
      </c>
      <c r="AI207" s="98">
        <f t="shared" si="17"/>
        <v>0</v>
      </c>
      <c r="AJ207" s="98">
        <f t="shared" si="19"/>
        <v>0</v>
      </c>
      <c r="AK207" s="102" t="str">
        <f>+IF(AB207+AA207+AJ207&lt;=0, "NO COMPRADOR", +IF(AJ207&lt;=0, "SIN COMPRA "&amp;+UPPER(TEXT('DINAMICA ENERO 26'!$C$2,"mmm 'yy")), "COMPRADOR"))</f>
        <v>SIN COMPRA FEB '26</v>
      </c>
      <c r="AL207"/>
      <c r="AM207" s="100"/>
      <c r="AN207" s="101"/>
      <c r="AO207" s="100"/>
      <c r="AP207"/>
      <c r="AQ207"/>
      <c r="AR207"/>
      <c r="AS207"/>
      <c r="AT207"/>
      <c r="AU207"/>
      <c r="AV207"/>
      <c r="AW207"/>
      <c r="AX207"/>
    </row>
    <row r="208" spans="1:50" s="100" customFormat="1">
      <c r="A208" s="88" t="s">
        <v>85</v>
      </c>
      <c r="B208" s="89" t="s">
        <v>257</v>
      </c>
      <c r="C208" s="89" t="s">
        <v>43</v>
      </c>
      <c r="D208" s="103">
        <v>100067806</v>
      </c>
      <c r="E208" s="89" t="s">
        <v>50</v>
      </c>
      <c r="F208" s="89">
        <v>100076315</v>
      </c>
      <c r="G208" s="128" t="s">
        <v>300</v>
      </c>
      <c r="H208" s="166"/>
      <c r="I208" s="92"/>
      <c r="J208" s="92"/>
      <c r="K208" s="92"/>
      <c r="L208" s="92"/>
      <c r="M208" s="94"/>
      <c r="N208" s="94"/>
      <c r="O208" s="129"/>
      <c r="P208" s="167" t="e">
        <f t="shared" si="18"/>
        <v>#DIV/0!</v>
      </c>
      <c r="Q208" s="91">
        <v>0</v>
      </c>
      <c r="R208" s="129">
        <v>0</v>
      </c>
      <c r="S208" s="91">
        <v>57.599999999999994</v>
      </c>
      <c r="T208" s="129">
        <v>59.28</v>
      </c>
      <c r="U208" s="93">
        <v>28.799999999999997</v>
      </c>
      <c r="V208" s="129">
        <v>4.5599999999999996</v>
      </c>
      <c r="W208" s="93">
        <v>57.599999999999994</v>
      </c>
      <c r="X208" s="129">
        <v>4.5599999999999996</v>
      </c>
      <c r="Y208" s="93">
        <v>0</v>
      </c>
      <c r="Z208" s="129">
        <v>0</v>
      </c>
      <c r="AA208" s="155">
        <f t="shared" si="15"/>
        <v>28.799999999999997</v>
      </c>
      <c r="AB208" s="98">
        <f t="shared" si="15"/>
        <v>3.0399999999999996</v>
      </c>
      <c r="AC208"/>
      <c r="AD208" s="97">
        <v>0</v>
      </c>
      <c r="AE208" s="92">
        <v>57.6</v>
      </c>
      <c r="AF208" s="98">
        <f t="shared" si="20"/>
        <v>57.6</v>
      </c>
      <c r="AG208" s="97">
        <v>0</v>
      </c>
      <c r="AH208" s="92">
        <v>0</v>
      </c>
      <c r="AI208" s="98">
        <f t="shared" si="17"/>
        <v>0</v>
      </c>
      <c r="AJ208" s="98">
        <f t="shared" si="19"/>
        <v>57.6</v>
      </c>
      <c r="AK208" s="102" t="str">
        <f>+IF(AB208+AA208+AJ208&lt;=0, "NO COMPRADOR", +IF(AJ208&lt;=0, "SIN COMPRA "&amp;+UPPER(TEXT('DINAMICA ENERO 26'!$C$2,"mmm 'yy")), "COMPRADOR"))</f>
        <v>COMPRADOR</v>
      </c>
      <c r="AL208"/>
      <c r="AN208" s="101"/>
      <c r="AP208"/>
      <c r="AQ208"/>
      <c r="AR208"/>
      <c r="AS208"/>
      <c r="AT208"/>
      <c r="AU208"/>
      <c r="AV208"/>
      <c r="AW208"/>
      <c r="AX208"/>
    </row>
    <row r="209" spans="1:50" s="100" customFormat="1">
      <c r="A209" s="88" t="s">
        <v>85</v>
      </c>
      <c r="B209" s="89" t="s">
        <v>257</v>
      </c>
      <c r="C209" s="89" t="s">
        <v>43</v>
      </c>
      <c r="D209" s="103">
        <v>100067806</v>
      </c>
      <c r="E209" s="89" t="s">
        <v>50</v>
      </c>
      <c r="F209" s="89">
        <v>100002218</v>
      </c>
      <c r="G209" s="128" t="s">
        <v>301</v>
      </c>
      <c r="H209" s="166"/>
      <c r="I209" s="92"/>
      <c r="J209" s="92"/>
      <c r="K209" s="92"/>
      <c r="L209" s="92"/>
      <c r="M209" s="94"/>
      <c r="N209" s="94"/>
      <c r="O209" s="129"/>
      <c r="P209" s="167" t="e">
        <f t="shared" si="18"/>
        <v>#DIV/0!</v>
      </c>
      <c r="Q209" s="91">
        <v>0</v>
      </c>
      <c r="R209" s="129">
        <v>4.5599999999999996</v>
      </c>
      <c r="S209" s="91">
        <v>0</v>
      </c>
      <c r="T209" s="129">
        <v>4.5599999999999996</v>
      </c>
      <c r="U209" s="93">
        <v>0</v>
      </c>
      <c r="V209" s="129">
        <v>22.799999999999997</v>
      </c>
      <c r="W209" s="93">
        <v>0</v>
      </c>
      <c r="X209" s="129">
        <v>683.99999999999989</v>
      </c>
      <c r="Y209" s="93">
        <v>0</v>
      </c>
      <c r="Z209" s="129">
        <v>-679.43999999999994</v>
      </c>
      <c r="AA209" s="155">
        <f t="shared" si="15"/>
        <v>0</v>
      </c>
      <c r="AB209" s="98">
        <f t="shared" si="15"/>
        <v>9.1199999999999672</v>
      </c>
      <c r="AC209"/>
      <c r="AD209" s="97">
        <v>0</v>
      </c>
      <c r="AE209" s="92">
        <v>0</v>
      </c>
      <c r="AF209" s="98">
        <f t="shared" si="20"/>
        <v>0</v>
      </c>
      <c r="AG209" s="97">
        <v>0</v>
      </c>
      <c r="AH209" s="92">
        <v>0</v>
      </c>
      <c r="AI209" s="98">
        <f t="shared" si="17"/>
        <v>0</v>
      </c>
      <c r="AJ209" s="98">
        <f t="shared" si="19"/>
        <v>0</v>
      </c>
      <c r="AK209" s="102" t="str">
        <f>+IF(AB209+AA209+AJ209&lt;=0, "NO COMPRADOR", +IF(AJ209&lt;=0, "SIN COMPRA "&amp;+UPPER(TEXT('DINAMICA ENERO 26'!$C$2,"mmm 'yy")), "COMPRADOR"))</f>
        <v>SIN COMPRA FEB '26</v>
      </c>
      <c r="AL209"/>
      <c r="AN209" s="101"/>
      <c r="AP209"/>
      <c r="AQ209"/>
      <c r="AR209"/>
      <c r="AS209"/>
      <c r="AT209"/>
      <c r="AU209"/>
      <c r="AV209"/>
      <c r="AW209"/>
      <c r="AX209"/>
    </row>
    <row r="210" spans="1:50" s="100" customFormat="1">
      <c r="A210" s="88" t="s">
        <v>85</v>
      </c>
      <c r="B210" s="89" t="s">
        <v>257</v>
      </c>
      <c r="C210" s="89" t="s">
        <v>43</v>
      </c>
      <c r="D210" s="103">
        <v>100067806</v>
      </c>
      <c r="E210" s="89" t="s">
        <v>50</v>
      </c>
      <c r="F210" s="89">
        <v>100076218</v>
      </c>
      <c r="G210" s="128" t="s">
        <v>302</v>
      </c>
      <c r="H210" s="166"/>
      <c r="I210" s="92"/>
      <c r="J210" s="92"/>
      <c r="K210" s="92"/>
      <c r="L210" s="92"/>
      <c r="M210" s="94"/>
      <c r="N210" s="94"/>
      <c r="O210" s="129"/>
      <c r="P210" s="167" t="e">
        <f t="shared" si="18"/>
        <v>#DIV/0!</v>
      </c>
      <c r="Q210" s="91">
        <v>0</v>
      </c>
      <c r="R210" s="129">
        <v>0</v>
      </c>
      <c r="S210" s="91">
        <v>4.8</v>
      </c>
      <c r="T210" s="129">
        <v>4.5599999999999996</v>
      </c>
      <c r="U210" s="93">
        <v>24</v>
      </c>
      <c r="V210" s="129">
        <v>0</v>
      </c>
      <c r="W210" s="93">
        <v>4.8</v>
      </c>
      <c r="X210" s="129">
        <v>4.5599999999999996</v>
      </c>
      <c r="Y210" s="93">
        <v>-4.8</v>
      </c>
      <c r="Z210" s="129">
        <v>-4.5599999999999996</v>
      </c>
      <c r="AA210" s="155">
        <f t="shared" ref="AA210:AB273" si="21">+AVERAGE(U210,W210,Y210)</f>
        <v>8</v>
      </c>
      <c r="AB210" s="98">
        <f t="shared" si="21"/>
        <v>0</v>
      </c>
      <c r="AC210"/>
      <c r="AD210" s="97">
        <v>0</v>
      </c>
      <c r="AE210" s="92">
        <v>0</v>
      </c>
      <c r="AF210" s="98">
        <f t="shared" si="20"/>
        <v>0</v>
      </c>
      <c r="AG210" s="97">
        <v>0</v>
      </c>
      <c r="AH210" s="92">
        <v>0</v>
      </c>
      <c r="AI210" s="98">
        <f t="shared" si="17"/>
        <v>0</v>
      </c>
      <c r="AJ210" s="98">
        <f t="shared" si="19"/>
        <v>0</v>
      </c>
      <c r="AK210" s="102" t="str">
        <f>+IF(AB210+AA210+AJ210&lt;=0, "NO COMPRADOR", +IF(AJ210&lt;=0, "SIN COMPRA "&amp;+UPPER(TEXT('DINAMICA ENERO 26'!$C$2,"mmm 'yy")), "COMPRADOR"))</f>
        <v>SIN COMPRA FEB '26</v>
      </c>
      <c r="AL210"/>
      <c r="AN210" s="101"/>
      <c r="AP210"/>
      <c r="AQ210"/>
      <c r="AR210"/>
      <c r="AS210"/>
      <c r="AT210"/>
      <c r="AU210"/>
      <c r="AV210"/>
      <c r="AW210"/>
      <c r="AX210"/>
    </row>
    <row r="211" spans="1:50" s="100" customFormat="1">
      <c r="A211" s="88" t="s">
        <v>85</v>
      </c>
      <c r="B211" s="89" t="s">
        <v>257</v>
      </c>
      <c r="C211" s="89" t="s">
        <v>43</v>
      </c>
      <c r="D211" s="103">
        <v>100067806</v>
      </c>
      <c r="E211" s="89" t="s">
        <v>50</v>
      </c>
      <c r="F211" s="89">
        <v>100071903</v>
      </c>
      <c r="G211" s="128" t="s">
        <v>303</v>
      </c>
      <c r="H211" s="166"/>
      <c r="I211" s="92"/>
      <c r="J211" s="92"/>
      <c r="K211" s="92"/>
      <c r="L211" s="92"/>
      <c r="M211" s="94"/>
      <c r="N211" s="94"/>
      <c r="O211" s="129"/>
      <c r="P211" s="167" t="e">
        <f t="shared" si="18"/>
        <v>#DIV/0!</v>
      </c>
      <c r="Q211" s="91">
        <v>0</v>
      </c>
      <c r="R211" s="129">
        <v>0</v>
      </c>
      <c r="S211" s="91">
        <v>0</v>
      </c>
      <c r="T211" s="129">
        <v>0</v>
      </c>
      <c r="U211" s="93">
        <v>0</v>
      </c>
      <c r="V211" s="129">
        <v>0</v>
      </c>
      <c r="W211" s="93">
        <v>0</v>
      </c>
      <c r="X211" s="129">
        <v>0</v>
      </c>
      <c r="Y211" s="93">
        <v>0</v>
      </c>
      <c r="Z211" s="129">
        <v>0</v>
      </c>
      <c r="AA211" s="155">
        <f t="shared" si="21"/>
        <v>0</v>
      </c>
      <c r="AB211" s="98">
        <f t="shared" si="21"/>
        <v>0</v>
      </c>
      <c r="AC211"/>
      <c r="AD211" s="97">
        <v>0</v>
      </c>
      <c r="AE211" s="92">
        <v>0</v>
      </c>
      <c r="AF211" s="98">
        <f t="shared" si="20"/>
        <v>0</v>
      </c>
      <c r="AG211" s="97">
        <v>0</v>
      </c>
      <c r="AH211" s="92">
        <v>0</v>
      </c>
      <c r="AI211" s="98">
        <f t="shared" si="17"/>
        <v>0</v>
      </c>
      <c r="AJ211" s="98">
        <f t="shared" si="19"/>
        <v>0</v>
      </c>
      <c r="AK211" s="102" t="str">
        <f>+IF(AB211+AA211+AJ211&lt;=0, "NO COMPRADOR", +IF(AJ211&lt;=0, "SIN COMPRA "&amp;+UPPER(TEXT('DINAMICA ENERO 26'!$C$2,"mmm 'yy")), "COMPRADOR"))</f>
        <v>NO COMPRADOR</v>
      </c>
      <c r="AL211"/>
      <c r="AN211" s="101"/>
      <c r="AP211"/>
      <c r="AQ211"/>
      <c r="AR211"/>
      <c r="AS211"/>
      <c r="AT211"/>
      <c r="AU211"/>
      <c r="AV211"/>
      <c r="AW211"/>
      <c r="AX211"/>
    </row>
    <row r="212" spans="1:50" s="104" customFormat="1">
      <c r="A212" s="88" t="s">
        <v>85</v>
      </c>
      <c r="B212" s="89" t="s">
        <v>257</v>
      </c>
      <c r="C212" s="89" t="s">
        <v>43</v>
      </c>
      <c r="D212" s="103">
        <v>100067806</v>
      </c>
      <c r="E212" s="89" t="s">
        <v>50</v>
      </c>
      <c r="F212" s="89">
        <v>100080254</v>
      </c>
      <c r="G212" s="128" t="s">
        <v>304</v>
      </c>
      <c r="H212" s="166"/>
      <c r="I212" s="92"/>
      <c r="J212" s="92"/>
      <c r="K212" s="92"/>
      <c r="L212" s="92"/>
      <c r="M212" s="94"/>
      <c r="N212" s="94"/>
      <c r="O212" s="129"/>
      <c r="P212" s="167" t="e">
        <f t="shared" si="18"/>
        <v>#DIV/0!</v>
      </c>
      <c r="Q212" s="91">
        <v>0</v>
      </c>
      <c r="R212" s="129">
        <v>0</v>
      </c>
      <c r="S212" s="91">
        <v>0</v>
      </c>
      <c r="T212" s="129">
        <v>0</v>
      </c>
      <c r="U212" s="93">
        <v>0</v>
      </c>
      <c r="V212" s="129">
        <v>0</v>
      </c>
      <c r="W212" s="93">
        <v>0</v>
      </c>
      <c r="X212" s="129">
        <v>0</v>
      </c>
      <c r="Y212" s="93">
        <v>0</v>
      </c>
      <c r="Z212" s="129">
        <v>0</v>
      </c>
      <c r="AA212" s="155">
        <f t="shared" si="21"/>
        <v>0</v>
      </c>
      <c r="AB212" s="98">
        <f t="shared" si="21"/>
        <v>0</v>
      </c>
      <c r="AC212"/>
      <c r="AD212" s="97">
        <v>0</v>
      </c>
      <c r="AE212" s="92">
        <v>0</v>
      </c>
      <c r="AF212" s="98">
        <f t="shared" si="20"/>
        <v>0</v>
      </c>
      <c r="AG212" s="97">
        <v>0</v>
      </c>
      <c r="AH212" s="92">
        <v>0</v>
      </c>
      <c r="AI212" s="98">
        <f t="shared" si="17"/>
        <v>0</v>
      </c>
      <c r="AJ212" s="98">
        <f t="shared" si="19"/>
        <v>0</v>
      </c>
      <c r="AK212" s="102" t="str">
        <f>+IF(AB212+AA212+AJ212&lt;=0, "NO COMPRADOR", +IF(AJ212&lt;=0, "SIN COMPRA "&amp;+UPPER(TEXT('DINAMICA ENERO 26'!$C$2,"mmm 'yy")), "COMPRADOR"))</f>
        <v>NO COMPRADOR</v>
      </c>
      <c r="AL212"/>
      <c r="AM212" s="100"/>
      <c r="AN212" s="101"/>
      <c r="AO212" s="100"/>
      <c r="AP212"/>
      <c r="AQ212"/>
      <c r="AR212"/>
      <c r="AS212"/>
      <c r="AT212"/>
      <c r="AU212"/>
      <c r="AV212"/>
      <c r="AW212"/>
      <c r="AX212"/>
    </row>
    <row r="213" spans="1:50" s="104" customFormat="1">
      <c r="A213" s="88" t="s">
        <v>85</v>
      </c>
      <c r="B213" s="89" t="s">
        <v>257</v>
      </c>
      <c r="C213" s="89" t="s">
        <v>43</v>
      </c>
      <c r="D213" s="103">
        <v>100067806</v>
      </c>
      <c r="E213" s="89" t="s">
        <v>50</v>
      </c>
      <c r="F213" s="89">
        <v>100080176</v>
      </c>
      <c r="G213" s="128" t="s">
        <v>305</v>
      </c>
      <c r="H213" s="166"/>
      <c r="I213" s="92"/>
      <c r="J213" s="92"/>
      <c r="K213" s="92"/>
      <c r="L213" s="92"/>
      <c r="M213" s="94"/>
      <c r="N213" s="94"/>
      <c r="O213" s="129"/>
      <c r="P213" s="167" t="e">
        <f t="shared" si="18"/>
        <v>#DIV/0!</v>
      </c>
      <c r="Q213" s="91">
        <v>0</v>
      </c>
      <c r="R213" s="129">
        <v>4.5599999999999996</v>
      </c>
      <c r="S213" s="91">
        <v>0</v>
      </c>
      <c r="T213" s="129">
        <v>9.1199999999999992</v>
      </c>
      <c r="U213" s="93">
        <v>4.8</v>
      </c>
      <c r="V213" s="129">
        <v>4.5599999999999996</v>
      </c>
      <c r="W213" s="93">
        <v>4.8</v>
      </c>
      <c r="X213" s="129">
        <v>9.1199999999999992</v>
      </c>
      <c r="Y213" s="93">
        <v>4.8</v>
      </c>
      <c r="Z213" s="129">
        <v>9.1199999999999992</v>
      </c>
      <c r="AA213" s="155">
        <f t="shared" si="21"/>
        <v>4.8</v>
      </c>
      <c r="AB213" s="98">
        <f t="shared" si="21"/>
        <v>7.5999999999999988</v>
      </c>
      <c r="AC213"/>
      <c r="AD213" s="97">
        <v>0</v>
      </c>
      <c r="AE213" s="92">
        <v>0</v>
      </c>
      <c r="AF213" s="98">
        <f t="shared" si="20"/>
        <v>0</v>
      </c>
      <c r="AG213" s="97">
        <v>0</v>
      </c>
      <c r="AH213" s="92">
        <v>0</v>
      </c>
      <c r="AI213" s="98">
        <f t="shared" si="17"/>
        <v>0</v>
      </c>
      <c r="AJ213" s="98">
        <f t="shared" si="19"/>
        <v>0</v>
      </c>
      <c r="AK213" s="102" t="str">
        <f>+IF(AB213+AA213+AJ213&lt;=0, "NO COMPRADOR", +IF(AJ213&lt;=0, "SIN COMPRA "&amp;+UPPER(TEXT('DINAMICA ENERO 26'!$C$2,"mmm 'yy")), "COMPRADOR"))</f>
        <v>SIN COMPRA FEB '26</v>
      </c>
      <c r="AL213"/>
      <c r="AM213" s="100"/>
      <c r="AN213" s="101"/>
      <c r="AO213" s="100"/>
      <c r="AP213"/>
      <c r="AQ213"/>
      <c r="AR213"/>
      <c r="AS213"/>
      <c r="AT213"/>
      <c r="AU213"/>
      <c r="AV213"/>
      <c r="AW213"/>
      <c r="AX213"/>
    </row>
    <row r="214" spans="1:50" s="100" customFormat="1">
      <c r="A214" s="88" t="s">
        <v>85</v>
      </c>
      <c r="B214" s="89" t="s">
        <v>257</v>
      </c>
      <c r="C214" s="89" t="s">
        <v>43</v>
      </c>
      <c r="D214" s="103">
        <v>100067806</v>
      </c>
      <c r="E214" s="89" t="s">
        <v>50</v>
      </c>
      <c r="F214" s="89">
        <v>100085312</v>
      </c>
      <c r="G214" s="128" t="s">
        <v>306</v>
      </c>
      <c r="H214" s="166"/>
      <c r="I214" s="92"/>
      <c r="J214" s="92"/>
      <c r="K214" s="92"/>
      <c r="L214" s="92"/>
      <c r="M214" s="94"/>
      <c r="N214" s="94"/>
      <c r="O214" s="129"/>
      <c r="P214" s="167" t="e">
        <f t="shared" si="18"/>
        <v>#DIV/0!</v>
      </c>
      <c r="Q214" s="91">
        <v>0</v>
      </c>
      <c r="R214" s="129">
        <v>4.5599999999999996</v>
      </c>
      <c r="S214" s="91">
        <v>0</v>
      </c>
      <c r="T214" s="129">
        <v>-4.5599999999999996</v>
      </c>
      <c r="U214" s="93">
        <v>0</v>
      </c>
      <c r="V214" s="129">
        <v>0</v>
      </c>
      <c r="W214" s="93">
        <v>0</v>
      </c>
      <c r="X214" s="129">
        <v>0</v>
      </c>
      <c r="Y214" s="93">
        <v>0</v>
      </c>
      <c r="Z214" s="129">
        <v>0</v>
      </c>
      <c r="AA214" s="155">
        <f t="shared" si="21"/>
        <v>0</v>
      </c>
      <c r="AB214" s="98">
        <f t="shared" si="21"/>
        <v>0</v>
      </c>
      <c r="AC214"/>
      <c r="AD214" s="97">
        <v>0</v>
      </c>
      <c r="AE214" s="92">
        <v>0</v>
      </c>
      <c r="AF214" s="98">
        <f t="shared" si="20"/>
        <v>0</v>
      </c>
      <c r="AG214" s="97">
        <v>0</v>
      </c>
      <c r="AH214" s="92">
        <v>0</v>
      </c>
      <c r="AI214" s="98">
        <f t="shared" si="17"/>
        <v>0</v>
      </c>
      <c r="AJ214" s="98">
        <f t="shared" si="19"/>
        <v>0</v>
      </c>
      <c r="AK214" s="102" t="str">
        <f>+IF(AB214+AA214+AJ214&lt;=0, "NO COMPRADOR", +IF(AJ214&lt;=0, "SIN COMPRA "&amp;+UPPER(TEXT('DINAMICA ENERO 26'!$C$2,"mmm 'yy")), "COMPRADOR"))</f>
        <v>NO COMPRADOR</v>
      </c>
      <c r="AL214"/>
      <c r="AN214" s="101"/>
      <c r="AP214"/>
      <c r="AQ214"/>
      <c r="AR214"/>
      <c r="AS214"/>
      <c r="AT214"/>
      <c r="AU214"/>
      <c r="AV214"/>
      <c r="AW214"/>
      <c r="AX214"/>
    </row>
    <row r="215" spans="1:50" s="100" customFormat="1">
      <c r="A215" s="88" t="s">
        <v>85</v>
      </c>
      <c r="B215" s="89" t="s">
        <v>257</v>
      </c>
      <c r="C215" s="89" t="s">
        <v>43</v>
      </c>
      <c r="D215" s="103">
        <v>100067806</v>
      </c>
      <c r="E215" s="89" t="s">
        <v>50</v>
      </c>
      <c r="F215" s="89">
        <v>100076730</v>
      </c>
      <c r="G215" s="128" t="s">
        <v>307</v>
      </c>
      <c r="H215" s="166"/>
      <c r="I215" s="92"/>
      <c r="J215" s="92"/>
      <c r="K215" s="92"/>
      <c r="L215" s="92"/>
      <c r="M215" s="94"/>
      <c r="N215" s="94"/>
      <c r="O215" s="129"/>
      <c r="P215" s="167" t="e">
        <f t="shared" si="18"/>
        <v>#DIV/0!</v>
      </c>
      <c r="Q215" s="91">
        <v>0</v>
      </c>
      <c r="R215" s="129">
        <v>0</v>
      </c>
      <c r="S215" s="91">
        <v>14.399999999999999</v>
      </c>
      <c r="T215" s="129">
        <v>4.5599999999999996</v>
      </c>
      <c r="U215" s="93">
        <v>0</v>
      </c>
      <c r="V215" s="129">
        <v>22.799999999999997</v>
      </c>
      <c r="W215" s="93">
        <v>24</v>
      </c>
      <c r="X215" s="129">
        <v>0</v>
      </c>
      <c r="Y215" s="93">
        <v>9.6</v>
      </c>
      <c r="Z215" s="129">
        <v>0</v>
      </c>
      <c r="AA215" s="155">
        <f t="shared" si="21"/>
        <v>11.200000000000001</v>
      </c>
      <c r="AB215" s="98">
        <f t="shared" si="21"/>
        <v>7.5999999999999988</v>
      </c>
      <c r="AC215"/>
      <c r="AD215" s="97">
        <v>0</v>
      </c>
      <c r="AE215" s="92">
        <v>0</v>
      </c>
      <c r="AF215" s="98">
        <f t="shared" si="20"/>
        <v>0</v>
      </c>
      <c r="AG215" s="97">
        <v>0</v>
      </c>
      <c r="AH215" s="92">
        <v>0</v>
      </c>
      <c r="AI215" s="98">
        <f t="shared" si="17"/>
        <v>0</v>
      </c>
      <c r="AJ215" s="98">
        <f t="shared" si="19"/>
        <v>0</v>
      </c>
      <c r="AK215" s="102" t="str">
        <f>+IF(AB215+AA215+AJ215&lt;=0, "NO COMPRADOR", +IF(AJ215&lt;=0, "SIN COMPRA "&amp;+UPPER(TEXT('DINAMICA ENERO 26'!$C$2,"mmm 'yy")), "COMPRADOR"))</f>
        <v>SIN COMPRA FEB '26</v>
      </c>
      <c r="AL215"/>
      <c r="AN215" s="101"/>
      <c r="AP215"/>
      <c r="AQ215"/>
      <c r="AR215"/>
      <c r="AS215"/>
      <c r="AT215"/>
      <c r="AU215"/>
      <c r="AV215"/>
      <c r="AW215"/>
      <c r="AX215"/>
    </row>
    <row r="216" spans="1:50" s="100" customFormat="1">
      <c r="A216" s="88" t="s">
        <v>85</v>
      </c>
      <c r="B216" s="89" t="s">
        <v>257</v>
      </c>
      <c r="C216" s="89" t="s">
        <v>43</v>
      </c>
      <c r="D216" s="103">
        <v>100067806</v>
      </c>
      <c r="E216" s="89" t="s">
        <v>50</v>
      </c>
      <c r="F216" s="89">
        <v>100009892</v>
      </c>
      <c r="G216" s="128" t="s">
        <v>308</v>
      </c>
      <c r="H216" s="166"/>
      <c r="I216" s="92"/>
      <c r="J216" s="92"/>
      <c r="K216" s="92"/>
      <c r="L216" s="92"/>
      <c r="M216" s="94"/>
      <c r="N216" s="94"/>
      <c r="O216" s="129"/>
      <c r="P216" s="167" t="e">
        <f t="shared" si="18"/>
        <v>#DIV/0!</v>
      </c>
      <c r="Q216" s="91">
        <v>28.799999999999997</v>
      </c>
      <c r="R216" s="129">
        <v>0</v>
      </c>
      <c r="S216" s="91">
        <v>19.2</v>
      </c>
      <c r="T216" s="129">
        <v>4.5599999999999996</v>
      </c>
      <c r="U216" s="93">
        <v>43.2</v>
      </c>
      <c r="V216" s="129">
        <v>4.5599999999999996</v>
      </c>
      <c r="W216" s="93">
        <v>28.8</v>
      </c>
      <c r="X216" s="129">
        <v>9.1199999999999992</v>
      </c>
      <c r="Y216" s="93">
        <v>38.4</v>
      </c>
      <c r="Z216" s="129">
        <v>13.68</v>
      </c>
      <c r="AA216" s="155">
        <f t="shared" si="21"/>
        <v>36.800000000000004</v>
      </c>
      <c r="AB216" s="98">
        <f t="shared" si="21"/>
        <v>9.1199999999999992</v>
      </c>
      <c r="AC216"/>
      <c r="AD216" s="97">
        <v>14.399999999999999</v>
      </c>
      <c r="AE216" s="92">
        <v>0</v>
      </c>
      <c r="AF216" s="98">
        <f t="shared" si="20"/>
        <v>14.399999999999999</v>
      </c>
      <c r="AG216" s="97">
        <v>0</v>
      </c>
      <c r="AH216" s="92">
        <v>0</v>
      </c>
      <c r="AI216" s="98">
        <f t="shared" si="17"/>
        <v>0</v>
      </c>
      <c r="AJ216" s="98">
        <f t="shared" si="19"/>
        <v>14.399999999999999</v>
      </c>
      <c r="AK216" s="102" t="str">
        <f>+IF(AB216+AA216+AJ216&lt;=0, "NO COMPRADOR", +IF(AJ216&lt;=0, "SIN COMPRA "&amp;+UPPER(TEXT('DINAMICA ENERO 26'!$C$2,"mmm 'yy")), "COMPRADOR"))</f>
        <v>COMPRADOR</v>
      </c>
      <c r="AL216"/>
      <c r="AN216" s="101"/>
      <c r="AP216"/>
      <c r="AQ216"/>
      <c r="AR216"/>
      <c r="AS216"/>
      <c r="AT216"/>
      <c r="AU216"/>
      <c r="AV216"/>
      <c r="AW216"/>
      <c r="AX216"/>
    </row>
    <row r="217" spans="1:50" s="104" customFormat="1">
      <c r="A217" s="88" t="s">
        <v>85</v>
      </c>
      <c r="B217" s="89" t="s">
        <v>257</v>
      </c>
      <c r="C217" s="89" t="s">
        <v>43</v>
      </c>
      <c r="D217" s="103">
        <v>100067806</v>
      </c>
      <c r="E217" s="89" t="s">
        <v>50</v>
      </c>
      <c r="F217" s="89">
        <v>100063728</v>
      </c>
      <c r="G217" s="128" t="s">
        <v>309</v>
      </c>
      <c r="H217" s="166"/>
      <c r="I217" s="92"/>
      <c r="J217" s="92"/>
      <c r="K217" s="92"/>
      <c r="L217" s="92"/>
      <c r="M217" s="94"/>
      <c r="N217" s="94"/>
      <c r="O217" s="129"/>
      <c r="P217" s="167" t="e">
        <f t="shared" si="18"/>
        <v>#DIV/0!</v>
      </c>
      <c r="Q217" s="91">
        <v>192</v>
      </c>
      <c r="R217" s="129">
        <v>91.199999999999989</v>
      </c>
      <c r="S217" s="91">
        <v>168</v>
      </c>
      <c r="T217" s="129">
        <v>0</v>
      </c>
      <c r="U217" s="93">
        <v>192</v>
      </c>
      <c r="V217" s="129">
        <v>50.16</v>
      </c>
      <c r="W217" s="93">
        <v>220.8</v>
      </c>
      <c r="X217" s="129">
        <v>4.5599999999999987</v>
      </c>
      <c r="Y217" s="93">
        <v>96</v>
      </c>
      <c r="Z217" s="129">
        <v>45.599999999999994</v>
      </c>
      <c r="AA217" s="155">
        <f t="shared" si="21"/>
        <v>169.6</v>
      </c>
      <c r="AB217" s="98">
        <f t="shared" si="21"/>
        <v>33.44</v>
      </c>
      <c r="AC217"/>
      <c r="AD217" s="97">
        <v>48</v>
      </c>
      <c r="AE217" s="92">
        <v>0</v>
      </c>
      <c r="AF217" s="98">
        <f t="shared" si="20"/>
        <v>48</v>
      </c>
      <c r="AG217" s="97">
        <v>45.599999999999994</v>
      </c>
      <c r="AH217" s="92">
        <v>0</v>
      </c>
      <c r="AI217" s="98">
        <f t="shared" si="17"/>
        <v>45.599999999999994</v>
      </c>
      <c r="AJ217" s="98">
        <f t="shared" si="19"/>
        <v>93.6</v>
      </c>
      <c r="AK217" s="102" t="str">
        <f>+IF(AB217+AA217+AJ217&lt;=0, "NO COMPRADOR", +IF(AJ217&lt;=0, "SIN COMPRA "&amp;+UPPER(TEXT('DINAMICA ENERO 26'!$C$2,"mmm 'yy")), "COMPRADOR"))</f>
        <v>COMPRADOR</v>
      </c>
      <c r="AL217"/>
      <c r="AM217" s="100"/>
      <c r="AN217" s="101"/>
      <c r="AO217" s="100"/>
      <c r="AP217"/>
      <c r="AQ217"/>
      <c r="AR217"/>
      <c r="AS217"/>
      <c r="AT217"/>
      <c r="AU217"/>
      <c r="AV217"/>
      <c r="AW217"/>
      <c r="AX217"/>
    </row>
    <row r="218" spans="1:50" s="100" customFormat="1">
      <c r="A218" s="88" t="s">
        <v>85</v>
      </c>
      <c r="B218" s="89" t="s">
        <v>257</v>
      </c>
      <c r="C218" s="89" t="s">
        <v>43</v>
      </c>
      <c r="D218" s="103">
        <v>100067806</v>
      </c>
      <c r="E218" s="89" t="s">
        <v>50</v>
      </c>
      <c r="F218" s="89">
        <v>100084491</v>
      </c>
      <c r="G218" s="128" t="s">
        <v>310</v>
      </c>
      <c r="H218" s="166"/>
      <c r="I218" s="92"/>
      <c r="J218" s="92"/>
      <c r="K218" s="92"/>
      <c r="L218" s="92"/>
      <c r="M218" s="94"/>
      <c r="N218" s="94"/>
      <c r="O218" s="129"/>
      <c r="P218" s="167" t="e">
        <f t="shared" si="18"/>
        <v>#DIV/0!</v>
      </c>
      <c r="Q218" s="91">
        <v>0</v>
      </c>
      <c r="R218" s="129">
        <v>0</v>
      </c>
      <c r="S218" s="91">
        <v>4.8</v>
      </c>
      <c r="T218" s="129">
        <v>0</v>
      </c>
      <c r="U218" s="93">
        <v>0</v>
      </c>
      <c r="V218" s="129">
        <v>0</v>
      </c>
      <c r="W218" s="93">
        <v>0</v>
      </c>
      <c r="X218" s="129">
        <v>0</v>
      </c>
      <c r="Y218" s="93">
        <v>0</v>
      </c>
      <c r="Z218" s="129">
        <v>0</v>
      </c>
      <c r="AA218" s="155">
        <f t="shared" si="21"/>
        <v>0</v>
      </c>
      <c r="AB218" s="98">
        <f t="shared" si="21"/>
        <v>0</v>
      </c>
      <c r="AC218"/>
      <c r="AD218" s="97">
        <v>0</v>
      </c>
      <c r="AE218" s="92">
        <v>0</v>
      </c>
      <c r="AF218" s="98">
        <f t="shared" si="20"/>
        <v>0</v>
      </c>
      <c r="AG218" s="97">
        <v>0</v>
      </c>
      <c r="AH218" s="92">
        <v>0</v>
      </c>
      <c r="AI218" s="98">
        <f t="shared" si="17"/>
        <v>0</v>
      </c>
      <c r="AJ218" s="98">
        <f t="shared" si="19"/>
        <v>0</v>
      </c>
      <c r="AK218" s="102" t="str">
        <f>+IF(AB218+AA218+AJ218&lt;=0, "NO COMPRADOR", +IF(AJ218&lt;=0, "SIN COMPRA "&amp;+UPPER(TEXT('DINAMICA ENERO 26'!$C$2,"mmm 'yy")), "COMPRADOR"))</f>
        <v>NO COMPRADOR</v>
      </c>
      <c r="AL218"/>
      <c r="AN218" s="101"/>
      <c r="AP218"/>
      <c r="AQ218"/>
      <c r="AR218"/>
      <c r="AS218"/>
      <c r="AT218"/>
      <c r="AU218"/>
      <c r="AV218"/>
      <c r="AW218"/>
      <c r="AX218"/>
    </row>
    <row r="219" spans="1:50" s="100" customFormat="1">
      <c r="A219" s="88" t="s">
        <v>85</v>
      </c>
      <c r="B219" s="89" t="s">
        <v>257</v>
      </c>
      <c r="C219" s="89" t="s">
        <v>43</v>
      </c>
      <c r="D219" s="103">
        <v>100067806</v>
      </c>
      <c r="E219" s="89" t="s">
        <v>50</v>
      </c>
      <c r="F219" s="89">
        <v>100062883</v>
      </c>
      <c r="G219" s="128" t="s">
        <v>311</v>
      </c>
      <c r="H219" s="166"/>
      <c r="I219" s="92"/>
      <c r="J219" s="92"/>
      <c r="K219" s="92"/>
      <c r="L219" s="92"/>
      <c r="M219" s="94"/>
      <c r="N219" s="94"/>
      <c r="O219" s="129"/>
      <c r="P219" s="167" t="e">
        <f t="shared" si="18"/>
        <v>#DIV/0!</v>
      </c>
      <c r="Q219" s="91">
        <v>0</v>
      </c>
      <c r="R219" s="129">
        <v>0</v>
      </c>
      <c r="S219" s="91">
        <v>4.8</v>
      </c>
      <c r="T219" s="129">
        <v>0</v>
      </c>
      <c r="U219" s="93">
        <v>4.8</v>
      </c>
      <c r="V219" s="129">
        <v>0</v>
      </c>
      <c r="W219" s="93">
        <v>4.8</v>
      </c>
      <c r="X219" s="129">
        <v>0</v>
      </c>
      <c r="Y219" s="93">
        <v>19.2</v>
      </c>
      <c r="Z219" s="129">
        <v>0</v>
      </c>
      <c r="AA219" s="155">
        <f t="shared" si="21"/>
        <v>9.6</v>
      </c>
      <c r="AB219" s="98">
        <f t="shared" si="21"/>
        <v>0</v>
      </c>
      <c r="AC219"/>
      <c r="AD219" s="97">
        <v>9.6</v>
      </c>
      <c r="AE219" s="92">
        <v>0</v>
      </c>
      <c r="AF219" s="98">
        <f t="shared" si="20"/>
        <v>9.6</v>
      </c>
      <c r="AG219" s="97">
        <v>0</v>
      </c>
      <c r="AH219" s="92">
        <v>0</v>
      </c>
      <c r="AI219" s="98">
        <f t="shared" si="17"/>
        <v>0</v>
      </c>
      <c r="AJ219" s="98">
        <f t="shared" si="19"/>
        <v>9.6</v>
      </c>
      <c r="AK219" s="102" t="str">
        <f>+IF(AB219+AA219+AJ219&lt;=0, "NO COMPRADOR", +IF(AJ219&lt;=0, "SIN COMPRA "&amp;+UPPER(TEXT('DINAMICA ENERO 26'!$C$2,"mmm 'yy")), "COMPRADOR"))</f>
        <v>COMPRADOR</v>
      </c>
      <c r="AL219"/>
      <c r="AN219" s="101"/>
      <c r="AP219"/>
      <c r="AQ219"/>
      <c r="AR219"/>
      <c r="AS219"/>
      <c r="AT219"/>
      <c r="AU219"/>
      <c r="AV219"/>
      <c r="AW219"/>
      <c r="AX219"/>
    </row>
    <row r="220" spans="1:50" s="100" customFormat="1">
      <c r="A220" s="88" t="s">
        <v>85</v>
      </c>
      <c r="B220" s="89" t="s">
        <v>257</v>
      </c>
      <c r="C220" s="89" t="s">
        <v>43</v>
      </c>
      <c r="D220" s="103">
        <v>100067806</v>
      </c>
      <c r="E220" s="89" t="s">
        <v>50</v>
      </c>
      <c r="F220" s="89">
        <v>100014014</v>
      </c>
      <c r="G220" s="128" t="s">
        <v>312</v>
      </c>
      <c r="H220" s="166"/>
      <c r="I220" s="92"/>
      <c r="J220" s="92"/>
      <c r="K220" s="92"/>
      <c r="L220" s="92"/>
      <c r="M220" s="94"/>
      <c r="N220" s="94"/>
      <c r="O220" s="129"/>
      <c r="P220" s="167" t="e">
        <f t="shared" si="18"/>
        <v>#DIV/0!</v>
      </c>
      <c r="Q220" s="91">
        <v>0</v>
      </c>
      <c r="R220" s="129">
        <v>0</v>
      </c>
      <c r="S220" s="91">
        <v>24</v>
      </c>
      <c r="T220" s="129">
        <v>0</v>
      </c>
      <c r="U220" s="93">
        <v>14.399999999999999</v>
      </c>
      <c r="V220" s="129">
        <v>0</v>
      </c>
      <c r="W220" s="93">
        <v>14.399999999999999</v>
      </c>
      <c r="X220" s="129">
        <v>0</v>
      </c>
      <c r="Y220" s="93">
        <v>9.6</v>
      </c>
      <c r="Z220" s="129">
        <v>0</v>
      </c>
      <c r="AA220" s="155">
        <f t="shared" si="21"/>
        <v>12.799999999999999</v>
      </c>
      <c r="AB220" s="98">
        <f t="shared" si="21"/>
        <v>0</v>
      </c>
      <c r="AC220"/>
      <c r="AD220" s="97">
        <v>0</v>
      </c>
      <c r="AE220" s="92">
        <v>0</v>
      </c>
      <c r="AF220" s="98">
        <f t="shared" si="20"/>
        <v>0</v>
      </c>
      <c r="AG220" s="97">
        <v>0</v>
      </c>
      <c r="AH220" s="92">
        <v>0</v>
      </c>
      <c r="AI220" s="98">
        <f t="shared" si="17"/>
        <v>0</v>
      </c>
      <c r="AJ220" s="98">
        <f t="shared" si="19"/>
        <v>0</v>
      </c>
      <c r="AK220" s="102" t="str">
        <f>+IF(AB220+AA220+AJ220&lt;=0, "NO COMPRADOR", +IF(AJ220&lt;=0, "SIN COMPRA "&amp;+UPPER(TEXT('DINAMICA ENERO 26'!$C$2,"mmm 'yy")), "COMPRADOR"))</f>
        <v>SIN COMPRA FEB '26</v>
      </c>
      <c r="AL220"/>
      <c r="AN220" s="101"/>
      <c r="AP220"/>
      <c r="AQ220"/>
      <c r="AR220"/>
      <c r="AS220"/>
      <c r="AT220"/>
      <c r="AU220"/>
      <c r="AV220"/>
      <c r="AW220"/>
      <c r="AX220"/>
    </row>
    <row r="221" spans="1:50" s="104" customFormat="1">
      <c r="A221" s="88" t="s">
        <v>85</v>
      </c>
      <c r="B221" s="89" t="s">
        <v>257</v>
      </c>
      <c r="C221" s="89" t="s">
        <v>43</v>
      </c>
      <c r="D221" s="103">
        <v>100067806</v>
      </c>
      <c r="E221" s="89" t="s">
        <v>50</v>
      </c>
      <c r="F221" s="89">
        <v>100088613</v>
      </c>
      <c r="G221" s="128" t="s">
        <v>313</v>
      </c>
      <c r="H221" s="166"/>
      <c r="I221" s="92"/>
      <c r="J221" s="92"/>
      <c r="K221" s="92"/>
      <c r="L221" s="92"/>
      <c r="M221" s="94"/>
      <c r="N221" s="94"/>
      <c r="O221" s="129"/>
      <c r="P221" s="167" t="e">
        <f t="shared" si="18"/>
        <v>#DIV/0!</v>
      </c>
      <c r="Q221" s="91">
        <v>0</v>
      </c>
      <c r="R221" s="129">
        <v>0</v>
      </c>
      <c r="S221" s="91">
        <v>0</v>
      </c>
      <c r="T221" s="129">
        <v>4.5599999999999996</v>
      </c>
      <c r="U221" s="93">
        <v>0</v>
      </c>
      <c r="V221" s="129">
        <v>0</v>
      </c>
      <c r="W221" s="93">
        <v>4.8</v>
      </c>
      <c r="X221" s="129">
        <v>4.5599999999999996</v>
      </c>
      <c r="Y221" s="93">
        <v>0</v>
      </c>
      <c r="Z221" s="129">
        <v>0</v>
      </c>
      <c r="AA221" s="155">
        <f t="shared" si="21"/>
        <v>1.5999999999999999</v>
      </c>
      <c r="AB221" s="98">
        <f t="shared" si="21"/>
        <v>1.5199999999999998</v>
      </c>
      <c r="AC221"/>
      <c r="AD221" s="97">
        <v>0</v>
      </c>
      <c r="AE221" s="92">
        <v>0</v>
      </c>
      <c r="AF221" s="98">
        <f t="shared" si="20"/>
        <v>0</v>
      </c>
      <c r="AG221" s="97">
        <v>0</v>
      </c>
      <c r="AH221" s="92">
        <v>0</v>
      </c>
      <c r="AI221" s="98">
        <f t="shared" si="17"/>
        <v>0</v>
      </c>
      <c r="AJ221" s="98">
        <f t="shared" si="19"/>
        <v>0</v>
      </c>
      <c r="AK221" s="102" t="str">
        <f>+IF(AB221+AA221+AJ221&lt;=0, "NO COMPRADOR", +IF(AJ221&lt;=0, "SIN COMPRA "&amp;+UPPER(TEXT('DINAMICA ENERO 26'!$C$2,"mmm 'yy")), "COMPRADOR"))</f>
        <v>SIN COMPRA FEB '26</v>
      </c>
      <c r="AL221"/>
      <c r="AM221" s="100"/>
      <c r="AN221" s="101"/>
      <c r="AO221" s="100"/>
      <c r="AP221"/>
      <c r="AQ221"/>
      <c r="AR221"/>
      <c r="AS221"/>
      <c r="AT221"/>
      <c r="AU221"/>
      <c r="AV221"/>
      <c r="AW221"/>
      <c r="AX221"/>
    </row>
    <row r="222" spans="1:50" s="104" customFormat="1">
      <c r="A222" s="88" t="s">
        <v>85</v>
      </c>
      <c r="B222" s="89" t="s">
        <v>257</v>
      </c>
      <c r="C222" s="89" t="s">
        <v>43</v>
      </c>
      <c r="D222" s="103">
        <v>100067806</v>
      </c>
      <c r="E222" s="89" t="s">
        <v>50</v>
      </c>
      <c r="F222" s="89">
        <v>100001513</v>
      </c>
      <c r="G222" s="128" t="s">
        <v>287</v>
      </c>
      <c r="H222" s="166"/>
      <c r="I222" s="92"/>
      <c r="J222" s="92"/>
      <c r="K222" s="92"/>
      <c r="L222" s="92"/>
      <c r="M222" s="94"/>
      <c r="N222" s="94"/>
      <c r="O222" s="129"/>
      <c r="P222" s="167" t="e">
        <f t="shared" si="18"/>
        <v>#DIV/0!</v>
      </c>
      <c r="Q222" s="91">
        <v>0</v>
      </c>
      <c r="R222" s="129">
        <v>0</v>
      </c>
      <c r="S222" s="91">
        <v>4.8</v>
      </c>
      <c r="T222" s="129">
        <v>0</v>
      </c>
      <c r="U222" s="93">
        <v>4.8</v>
      </c>
      <c r="V222" s="129">
        <v>4.5599999999999996</v>
      </c>
      <c r="W222" s="93">
        <v>0</v>
      </c>
      <c r="X222" s="129">
        <v>0</v>
      </c>
      <c r="Y222" s="93">
        <v>38.4</v>
      </c>
      <c r="Z222" s="129">
        <v>0</v>
      </c>
      <c r="AA222" s="155">
        <f t="shared" si="21"/>
        <v>14.399999999999999</v>
      </c>
      <c r="AB222" s="98">
        <f t="shared" si="21"/>
        <v>1.5199999999999998</v>
      </c>
      <c r="AC222"/>
      <c r="AD222" s="97">
        <v>0</v>
      </c>
      <c r="AE222" s="92">
        <v>0</v>
      </c>
      <c r="AF222" s="98">
        <f t="shared" si="20"/>
        <v>0</v>
      </c>
      <c r="AG222" s="97">
        <v>0</v>
      </c>
      <c r="AH222" s="92">
        <v>0</v>
      </c>
      <c r="AI222" s="98">
        <f t="shared" si="17"/>
        <v>0</v>
      </c>
      <c r="AJ222" s="98">
        <f t="shared" si="19"/>
        <v>0</v>
      </c>
      <c r="AK222" s="102" t="str">
        <f>+IF(AB222+AA222+AJ222&lt;=0, "NO COMPRADOR", +IF(AJ222&lt;=0, "SIN COMPRA "&amp;+UPPER(TEXT('DINAMICA ENERO 26'!$C$2,"mmm 'yy")), "COMPRADOR"))</f>
        <v>SIN COMPRA FEB '26</v>
      </c>
      <c r="AL222"/>
      <c r="AM222" s="100"/>
      <c r="AN222" s="101"/>
      <c r="AO222" s="100"/>
      <c r="AP222"/>
      <c r="AQ222"/>
      <c r="AR222"/>
      <c r="AS222"/>
      <c r="AT222"/>
      <c r="AU222"/>
      <c r="AV222"/>
      <c r="AW222"/>
      <c r="AX222"/>
    </row>
    <row r="223" spans="1:50" s="100" customFormat="1">
      <c r="A223" s="88" t="s">
        <v>85</v>
      </c>
      <c r="B223" s="89" t="s">
        <v>257</v>
      </c>
      <c r="C223" s="89" t="s">
        <v>43</v>
      </c>
      <c r="D223" s="103">
        <v>100067806</v>
      </c>
      <c r="E223" s="89" t="s">
        <v>50</v>
      </c>
      <c r="F223" s="89">
        <v>100001295</v>
      </c>
      <c r="G223" s="128" t="s">
        <v>314</v>
      </c>
      <c r="H223" s="166"/>
      <c r="I223" s="92"/>
      <c r="J223" s="92"/>
      <c r="K223" s="92"/>
      <c r="L223" s="92"/>
      <c r="M223" s="94"/>
      <c r="N223" s="94"/>
      <c r="O223" s="129"/>
      <c r="P223" s="167" t="e">
        <f t="shared" si="18"/>
        <v>#DIV/0!</v>
      </c>
      <c r="Q223" s="91">
        <v>0</v>
      </c>
      <c r="R223" s="129">
        <v>0</v>
      </c>
      <c r="S223" s="91">
        <v>4.8</v>
      </c>
      <c r="T223" s="129">
        <v>4.5599999999999996</v>
      </c>
      <c r="U223" s="93">
        <v>0</v>
      </c>
      <c r="V223" s="129">
        <v>0</v>
      </c>
      <c r="W223" s="93">
        <v>0</v>
      </c>
      <c r="X223" s="129">
        <v>0</v>
      </c>
      <c r="Y223" s="93">
        <v>0</v>
      </c>
      <c r="Z223" s="129">
        <v>0</v>
      </c>
      <c r="AA223" s="155">
        <f t="shared" si="21"/>
        <v>0</v>
      </c>
      <c r="AB223" s="98">
        <f t="shared" si="21"/>
        <v>0</v>
      </c>
      <c r="AC223"/>
      <c r="AD223" s="97">
        <v>0</v>
      </c>
      <c r="AE223" s="92">
        <v>0</v>
      </c>
      <c r="AF223" s="98">
        <f t="shared" si="20"/>
        <v>0</v>
      </c>
      <c r="AG223" s="97">
        <v>0</v>
      </c>
      <c r="AH223" s="92">
        <v>0</v>
      </c>
      <c r="AI223" s="98">
        <f t="shared" si="17"/>
        <v>0</v>
      </c>
      <c r="AJ223" s="98">
        <f t="shared" si="19"/>
        <v>0</v>
      </c>
      <c r="AK223" s="102" t="str">
        <f>+IF(AB223+AA223+AJ223&lt;=0, "NO COMPRADOR", +IF(AJ223&lt;=0, "SIN COMPRA "&amp;+UPPER(TEXT('DINAMICA ENERO 26'!$C$2,"mmm 'yy")), "COMPRADOR"))</f>
        <v>NO COMPRADOR</v>
      </c>
      <c r="AL223"/>
      <c r="AN223" s="101"/>
      <c r="AP223"/>
      <c r="AQ223"/>
      <c r="AR223"/>
      <c r="AS223"/>
      <c r="AT223"/>
      <c r="AU223"/>
      <c r="AV223"/>
      <c r="AW223"/>
      <c r="AX223"/>
    </row>
    <row r="224" spans="1:50" s="100" customFormat="1">
      <c r="A224" s="88" t="s">
        <v>85</v>
      </c>
      <c r="B224" s="89" t="s">
        <v>315</v>
      </c>
      <c r="C224" s="89" t="s">
        <v>43</v>
      </c>
      <c r="D224" s="103">
        <v>100063546</v>
      </c>
      <c r="E224" s="89" t="s">
        <v>46</v>
      </c>
      <c r="F224" s="89">
        <v>100001979</v>
      </c>
      <c r="G224" s="128" t="s">
        <v>290</v>
      </c>
      <c r="H224" s="166"/>
      <c r="I224" s="92"/>
      <c r="J224" s="92"/>
      <c r="K224" s="92"/>
      <c r="L224" s="92"/>
      <c r="M224" s="94"/>
      <c r="N224" s="94"/>
      <c r="O224" s="129"/>
      <c r="P224" s="167" t="e">
        <f t="shared" si="18"/>
        <v>#DIV/0!</v>
      </c>
      <c r="Q224" s="91">
        <v>0</v>
      </c>
      <c r="R224" s="129">
        <v>0</v>
      </c>
      <c r="S224" s="91">
        <v>4.8</v>
      </c>
      <c r="T224" s="129">
        <v>0</v>
      </c>
      <c r="U224" s="93">
        <v>0</v>
      </c>
      <c r="V224" s="129">
        <v>9.1199999999999992</v>
      </c>
      <c r="W224" s="93">
        <v>4.8</v>
      </c>
      <c r="X224" s="129">
        <v>0</v>
      </c>
      <c r="Y224" s="93">
        <v>4.8</v>
      </c>
      <c r="Z224" s="129">
        <v>0</v>
      </c>
      <c r="AA224" s="155">
        <f t="shared" si="21"/>
        <v>3.1999999999999997</v>
      </c>
      <c r="AB224" s="98">
        <f t="shared" si="21"/>
        <v>3.0399999999999996</v>
      </c>
      <c r="AC224"/>
      <c r="AD224" s="97">
        <v>0</v>
      </c>
      <c r="AE224" s="92">
        <v>0</v>
      </c>
      <c r="AF224" s="98">
        <f t="shared" si="20"/>
        <v>0</v>
      </c>
      <c r="AG224" s="97">
        <v>0</v>
      </c>
      <c r="AH224" s="92">
        <v>0</v>
      </c>
      <c r="AI224" s="98">
        <f t="shared" si="17"/>
        <v>0</v>
      </c>
      <c r="AJ224" s="98">
        <f t="shared" si="19"/>
        <v>0</v>
      </c>
      <c r="AK224" s="102" t="str">
        <f>+IF(AB224+AA224+AJ224&lt;=0, "NO COMPRADOR", +IF(AJ224&lt;=0, "SIN COMPRA "&amp;+UPPER(TEXT('DINAMICA ENERO 26'!$C$2,"mmm 'yy")), "COMPRADOR"))</f>
        <v>SIN COMPRA FEB '26</v>
      </c>
      <c r="AL224"/>
      <c r="AN224" s="101"/>
      <c r="AP224"/>
      <c r="AQ224"/>
      <c r="AR224"/>
      <c r="AS224"/>
      <c r="AT224"/>
      <c r="AU224"/>
      <c r="AV224"/>
      <c r="AW224"/>
      <c r="AX224"/>
    </row>
    <row r="225" spans="1:50" s="100" customFormat="1">
      <c r="A225" s="88" t="s">
        <v>85</v>
      </c>
      <c r="B225" s="89" t="s">
        <v>315</v>
      </c>
      <c r="C225" s="89" t="s">
        <v>43</v>
      </c>
      <c r="D225" s="103">
        <v>100063546</v>
      </c>
      <c r="E225" s="89" t="s">
        <v>46</v>
      </c>
      <c r="F225" s="89">
        <v>100001709</v>
      </c>
      <c r="G225" s="128" t="s">
        <v>316</v>
      </c>
      <c r="H225" s="166"/>
      <c r="I225" s="92"/>
      <c r="J225" s="92"/>
      <c r="K225" s="92"/>
      <c r="L225" s="92"/>
      <c r="M225" s="94"/>
      <c r="N225" s="94"/>
      <c r="O225" s="129"/>
      <c r="P225" s="167" t="e">
        <f t="shared" si="18"/>
        <v>#DIV/0!</v>
      </c>
      <c r="Q225" s="91">
        <v>0</v>
      </c>
      <c r="R225" s="129">
        <v>9.1199999999999992</v>
      </c>
      <c r="S225" s="91">
        <v>0</v>
      </c>
      <c r="T225" s="129">
        <v>0</v>
      </c>
      <c r="U225" s="93">
        <v>4.8</v>
      </c>
      <c r="V225" s="129">
        <v>4.5599999999999996</v>
      </c>
      <c r="W225" s="93">
        <v>9.6</v>
      </c>
      <c r="X225" s="129">
        <v>18.239999999999998</v>
      </c>
      <c r="Y225" s="93">
        <v>9.6</v>
      </c>
      <c r="Z225" s="129">
        <v>9.120000000000001</v>
      </c>
      <c r="AA225" s="155">
        <f t="shared" si="21"/>
        <v>8</v>
      </c>
      <c r="AB225" s="98">
        <f t="shared" si="21"/>
        <v>10.639999999999999</v>
      </c>
      <c r="AC225"/>
      <c r="AD225" s="97">
        <v>0</v>
      </c>
      <c r="AE225" s="92">
        <v>38.4</v>
      </c>
      <c r="AF225" s="98">
        <f t="shared" si="20"/>
        <v>38.4</v>
      </c>
      <c r="AG225" s="97">
        <v>0</v>
      </c>
      <c r="AH225" s="92">
        <v>9.1199999999999992</v>
      </c>
      <c r="AI225" s="98">
        <f t="shared" si="17"/>
        <v>9.1199999999999992</v>
      </c>
      <c r="AJ225" s="98">
        <f t="shared" si="19"/>
        <v>47.519999999999996</v>
      </c>
      <c r="AK225" s="102" t="str">
        <f>+IF(AB225+AA225+AJ225&lt;=0, "NO COMPRADOR", +IF(AJ225&lt;=0, "SIN COMPRA "&amp;+UPPER(TEXT('DINAMICA ENERO 26'!$C$2,"mmm 'yy")), "COMPRADOR"))</f>
        <v>COMPRADOR</v>
      </c>
      <c r="AL225"/>
      <c r="AN225" s="101"/>
      <c r="AP225"/>
      <c r="AQ225"/>
      <c r="AR225"/>
      <c r="AS225"/>
      <c r="AT225"/>
      <c r="AU225"/>
      <c r="AV225"/>
      <c r="AW225"/>
      <c r="AX225"/>
    </row>
    <row r="226" spans="1:50" s="100" customFormat="1">
      <c r="A226" s="88" t="s">
        <v>85</v>
      </c>
      <c r="B226" s="89" t="s">
        <v>315</v>
      </c>
      <c r="C226" s="89" t="s">
        <v>43</v>
      </c>
      <c r="D226" s="103">
        <v>100063546</v>
      </c>
      <c r="E226" s="89" t="s">
        <v>46</v>
      </c>
      <c r="F226" s="89">
        <v>100001939</v>
      </c>
      <c r="G226" s="128" t="s">
        <v>317</v>
      </c>
      <c r="H226" s="166"/>
      <c r="I226" s="92"/>
      <c r="J226" s="92"/>
      <c r="K226" s="92"/>
      <c r="L226" s="92"/>
      <c r="M226" s="94"/>
      <c r="N226" s="94"/>
      <c r="O226" s="129"/>
      <c r="P226" s="167" t="e">
        <f t="shared" si="18"/>
        <v>#DIV/0!</v>
      </c>
      <c r="Q226" s="91">
        <v>0</v>
      </c>
      <c r="R226" s="129">
        <v>0</v>
      </c>
      <c r="S226" s="91">
        <v>0</v>
      </c>
      <c r="T226" s="129">
        <v>9.1199999999999992</v>
      </c>
      <c r="U226" s="93">
        <v>57.599999999999994</v>
      </c>
      <c r="V226" s="129">
        <v>31.919999999999998</v>
      </c>
      <c r="W226" s="93">
        <v>48</v>
      </c>
      <c r="X226" s="129">
        <v>36.479999999999997</v>
      </c>
      <c r="Y226" s="93">
        <v>86.4</v>
      </c>
      <c r="Z226" s="129">
        <v>533.52</v>
      </c>
      <c r="AA226" s="155">
        <f t="shared" si="21"/>
        <v>64</v>
      </c>
      <c r="AB226" s="98">
        <f t="shared" si="21"/>
        <v>200.64</v>
      </c>
      <c r="AC226"/>
      <c r="AD226" s="97">
        <v>105.6</v>
      </c>
      <c r="AE226" s="92">
        <v>0</v>
      </c>
      <c r="AF226" s="98">
        <f t="shared" si="20"/>
        <v>105.6</v>
      </c>
      <c r="AG226" s="97">
        <v>-45.599999999999994</v>
      </c>
      <c r="AH226" s="92">
        <v>0</v>
      </c>
      <c r="AI226" s="98">
        <f t="shared" si="17"/>
        <v>-45.599999999999994</v>
      </c>
      <c r="AJ226" s="98">
        <f t="shared" si="19"/>
        <v>60</v>
      </c>
      <c r="AK226" s="102" t="str">
        <f>+IF(AB226+AA226+AJ226&lt;=0, "NO COMPRADOR", +IF(AJ226&lt;=0, "SIN COMPRA "&amp;+UPPER(TEXT('DINAMICA ENERO 26'!$C$2,"mmm 'yy")), "COMPRADOR"))</f>
        <v>COMPRADOR</v>
      </c>
      <c r="AL226"/>
      <c r="AN226" s="101"/>
      <c r="AP226"/>
      <c r="AQ226"/>
      <c r="AR226"/>
      <c r="AS226"/>
      <c r="AT226"/>
      <c r="AU226"/>
      <c r="AV226"/>
      <c r="AW226"/>
      <c r="AX226"/>
    </row>
    <row r="227" spans="1:50" s="100" customFormat="1">
      <c r="A227" s="88" t="s">
        <v>85</v>
      </c>
      <c r="B227" s="89" t="s">
        <v>315</v>
      </c>
      <c r="C227" s="89" t="s">
        <v>43</v>
      </c>
      <c r="D227" s="103">
        <v>100063546</v>
      </c>
      <c r="E227" s="89" t="s">
        <v>46</v>
      </c>
      <c r="F227" s="89">
        <v>100065432</v>
      </c>
      <c r="G227" s="128" t="s">
        <v>318</v>
      </c>
      <c r="H227" s="166"/>
      <c r="I227" s="92"/>
      <c r="J227" s="92"/>
      <c r="K227" s="92"/>
      <c r="L227" s="92"/>
      <c r="M227" s="94"/>
      <c r="N227" s="94"/>
      <c r="O227" s="129"/>
      <c r="P227" s="167" t="e">
        <f t="shared" si="18"/>
        <v>#DIV/0!</v>
      </c>
      <c r="Q227" s="91">
        <v>28.799999999999997</v>
      </c>
      <c r="R227" s="129">
        <v>9.1199999999999992</v>
      </c>
      <c r="S227" s="91">
        <v>14.399999999999999</v>
      </c>
      <c r="T227" s="129">
        <v>4.5599999999999996</v>
      </c>
      <c r="U227" s="93">
        <v>43.2</v>
      </c>
      <c r="V227" s="129">
        <v>9.1199999999999992</v>
      </c>
      <c r="W227" s="93">
        <v>4.8</v>
      </c>
      <c r="X227" s="129">
        <v>4.5599999999999996</v>
      </c>
      <c r="Y227" s="93">
        <v>28.8</v>
      </c>
      <c r="Z227" s="129">
        <v>4.5599999999999996</v>
      </c>
      <c r="AA227" s="155">
        <f t="shared" si="21"/>
        <v>25.599999999999998</v>
      </c>
      <c r="AB227" s="98">
        <f t="shared" si="21"/>
        <v>6.0799999999999992</v>
      </c>
      <c r="AC227"/>
      <c r="AD227" s="97">
        <v>9.6</v>
      </c>
      <c r="AE227" s="92">
        <v>0</v>
      </c>
      <c r="AF227" s="98">
        <f t="shared" si="20"/>
        <v>9.6</v>
      </c>
      <c r="AG227" s="97">
        <v>0</v>
      </c>
      <c r="AH227" s="92">
        <v>0</v>
      </c>
      <c r="AI227" s="98">
        <f t="shared" si="17"/>
        <v>0</v>
      </c>
      <c r="AJ227" s="98">
        <f t="shared" si="19"/>
        <v>9.6</v>
      </c>
      <c r="AK227" s="102" t="str">
        <f>+IF(AB227+AA227+AJ227&lt;=0, "NO COMPRADOR", +IF(AJ227&lt;=0, "SIN COMPRA "&amp;+UPPER(TEXT('DINAMICA ENERO 26'!$C$2,"mmm 'yy")), "COMPRADOR"))</f>
        <v>COMPRADOR</v>
      </c>
      <c r="AL227"/>
      <c r="AN227" s="101"/>
      <c r="AP227"/>
      <c r="AQ227"/>
      <c r="AR227"/>
      <c r="AS227"/>
      <c r="AT227"/>
      <c r="AU227"/>
      <c r="AV227"/>
      <c r="AW227"/>
      <c r="AX227"/>
    </row>
    <row r="228" spans="1:50" s="100" customFormat="1">
      <c r="A228" s="88" t="s">
        <v>85</v>
      </c>
      <c r="B228" s="89" t="s">
        <v>315</v>
      </c>
      <c r="C228" s="89" t="s">
        <v>43</v>
      </c>
      <c r="D228" s="103">
        <v>100063546</v>
      </c>
      <c r="E228" s="89" t="s">
        <v>46</v>
      </c>
      <c r="F228" s="89">
        <v>100084929</v>
      </c>
      <c r="G228" s="128" t="s">
        <v>319</v>
      </c>
      <c r="H228" s="166"/>
      <c r="I228" s="92"/>
      <c r="J228" s="92"/>
      <c r="K228" s="92"/>
      <c r="L228" s="92"/>
      <c r="M228" s="94"/>
      <c r="N228" s="94"/>
      <c r="O228" s="129"/>
      <c r="P228" s="167" t="e">
        <f t="shared" si="18"/>
        <v>#DIV/0!</v>
      </c>
      <c r="Q228" s="91">
        <v>0</v>
      </c>
      <c r="R228" s="129">
        <v>0</v>
      </c>
      <c r="S228" s="91">
        <v>0</v>
      </c>
      <c r="T228" s="129">
        <v>0</v>
      </c>
      <c r="U228" s="93">
        <v>0</v>
      </c>
      <c r="V228" s="129">
        <v>0</v>
      </c>
      <c r="W228" s="93">
        <v>0</v>
      </c>
      <c r="X228" s="129">
        <v>0</v>
      </c>
      <c r="Y228" s="93">
        <v>0</v>
      </c>
      <c r="Z228" s="129">
        <v>0</v>
      </c>
      <c r="AA228" s="155">
        <f t="shared" si="21"/>
        <v>0</v>
      </c>
      <c r="AB228" s="98">
        <f t="shared" si="21"/>
        <v>0</v>
      </c>
      <c r="AC228"/>
      <c r="AD228" s="97">
        <v>0</v>
      </c>
      <c r="AE228" s="92">
        <v>0</v>
      </c>
      <c r="AF228" s="98">
        <f t="shared" si="20"/>
        <v>0</v>
      </c>
      <c r="AG228" s="97">
        <v>0</v>
      </c>
      <c r="AH228" s="92">
        <v>0</v>
      </c>
      <c r="AI228" s="98">
        <f t="shared" si="17"/>
        <v>0</v>
      </c>
      <c r="AJ228" s="98">
        <f t="shared" si="19"/>
        <v>0</v>
      </c>
      <c r="AK228" s="102" t="str">
        <f>+IF(AB228+AA228+AJ228&lt;=0, "NO COMPRADOR", +IF(AJ228&lt;=0, "SIN COMPRA "&amp;+UPPER(TEXT('DINAMICA ENERO 26'!$C$2,"mmm 'yy")), "COMPRADOR"))</f>
        <v>NO COMPRADOR</v>
      </c>
      <c r="AL228"/>
      <c r="AN228" s="101"/>
      <c r="AP228"/>
      <c r="AQ228"/>
      <c r="AR228"/>
      <c r="AS228"/>
      <c r="AT228"/>
      <c r="AU228"/>
      <c r="AV228"/>
      <c r="AW228"/>
      <c r="AX228"/>
    </row>
    <row r="229" spans="1:50" s="104" customFormat="1">
      <c r="A229" s="88" t="s">
        <v>85</v>
      </c>
      <c r="B229" s="89" t="s">
        <v>315</v>
      </c>
      <c r="C229" s="89" t="s">
        <v>43</v>
      </c>
      <c r="D229" s="103">
        <v>100063546</v>
      </c>
      <c r="E229" s="89" t="s">
        <v>46</v>
      </c>
      <c r="F229" s="89">
        <v>100001196</v>
      </c>
      <c r="G229" s="128" t="s">
        <v>320</v>
      </c>
      <c r="H229" s="166"/>
      <c r="I229" s="92"/>
      <c r="J229" s="92"/>
      <c r="K229" s="92"/>
      <c r="L229" s="92"/>
      <c r="M229" s="94"/>
      <c r="N229" s="94"/>
      <c r="O229" s="129"/>
      <c r="P229" s="167" t="e">
        <f t="shared" si="18"/>
        <v>#DIV/0!</v>
      </c>
      <c r="Q229" s="91">
        <v>67.199999999999989</v>
      </c>
      <c r="R229" s="129">
        <v>82.080000000000013</v>
      </c>
      <c r="S229" s="91">
        <v>187.20000000000002</v>
      </c>
      <c r="T229" s="129">
        <v>68.400000000000006</v>
      </c>
      <c r="U229" s="93">
        <v>244.80000000000007</v>
      </c>
      <c r="V229" s="129">
        <v>50.160000000000004</v>
      </c>
      <c r="W229" s="93">
        <v>216.00000000000014</v>
      </c>
      <c r="X229" s="129">
        <v>104.88000000000002</v>
      </c>
      <c r="Y229" s="93">
        <v>172.80000000000004</v>
      </c>
      <c r="Z229" s="129">
        <v>95.76</v>
      </c>
      <c r="AA229" s="155">
        <f t="shared" si="21"/>
        <v>211.20000000000007</v>
      </c>
      <c r="AB229" s="98">
        <f t="shared" si="21"/>
        <v>83.600000000000009</v>
      </c>
      <c r="AC229"/>
      <c r="AD229" s="97">
        <v>211.2000000000001</v>
      </c>
      <c r="AE229" s="92">
        <v>24</v>
      </c>
      <c r="AF229" s="98">
        <f t="shared" si="20"/>
        <v>235.2000000000001</v>
      </c>
      <c r="AG229" s="97">
        <v>150.48000000000005</v>
      </c>
      <c r="AH229" s="92">
        <v>31.92</v>
      </c>
      <c r="AI229" s="98">
        <f t="shared" si="17"/>
        <v>182.40000000000003</v>
      </c>
      <c r="AJ229" s="98">
        <f t="shared" si="19"/>
        <v>417.60000000000014</v>
      </c>
      <c r="AK229" s="102" t="str">
        <f>+IF(AB229+AA229+AJ229&lt;=0, "NO COMPRADOR", +IF(AJ229&lt;=0, "SIN COMPRA "&amp;+UPPER(TEXT('DINAMICA ENERO 26'!$C$2,"mmm 'yy")), "COMPRADOR"))</f>
        <v>COMPRADOR</v>
      </c>
      <c r="AL229"/>
      <c r="AM229" s="100"/>
      <c r="AN229" s="101"/>
      <c r="AO229" s="100"/>
      <c r="AP229"/>
      <c r="AQ229"/>
      <c r="AR229"/>
      <c r="AS229"/>
      <c r="AT229"/>
      <c r="AU229"/>
      <c r="AV229"/>
      <c r="AW229"/>
      <c r="AX229"/>
    </row>
    <row r="230" spans="1:50" s="100" customFormat="1">
      <c r="A230" s="88" t="s">
        <v>85</v>
      </c>
      <c r="B230" s="89" t="s">
        <v>315</v>
      </c>
      <c r="C230" s="89" t="s">
        <v>43</v>
      </c>
      <c r="D230" s="103">
        <v>100063546</v>
      </c>
      <c r="E230" s="89" t="s">
        <v>46</v>
      </c>
      <c r="F230" s="89">
        <v>100005901</v>
      </c>
      <c r="G230" s="128" t="s">
        <v>321</v>
      </c>
      <c r="H230" s="166"/>
      <c r="I230" s="92"/>
      <c r="J230" s="92"/>
      <c r="K230" s="92"/>
      <c r="L230" s="92"/>
      <c r="M230" s="94"/>
      <c r="N230" s="94"/>
      <c r="O230" s="129"/>
      <c r="P230" s="167" t="e">
        <f t="shared" si="18"/>
        <v>#DIV/0!</v>
      </c>
      <c r="Q230" s="91">
        <v>0</v>
      </c>
      <c r="R230" s="129">
        <v>0</v>
      </c>
      <c r="S230" s="91">
        <v>4.8</v>
      </c>
      <c r="T230" s="129">
        <v>4.5599999999999996</v>
      </c>
      <c r="U230" s="93">
        <v>24</v>
      </c>
      <c r="V230" s="129">
        <v>22.799999999999997</v>
      </c>
      <c r="W230" s="93">
        <v>19.2</v>
      </c>
      <c r="X230" s="129">
        <v>45.599999999999994</v>
      </c>
      <c r="Y230" s="93">
        <v>0</v>
      </c>
      <c r="Z230" s="129">
        <v>45.599999999999994</v>
      </c>
      <c r="AA230" s="155">
        <f t="shared" si="21"/>
        <v>14.4</v>
      </c>
      <c r="AB230" s="98">
        <f t="shared" si="21"/>
        <v>37.999999999999993</v>
      </c>
      <c r="AC230"/>
      <c r="AD230" s="97">
        <v>0</v>
      </c>
      <c r="AE230" s="92">
        <v>0</v>
      </c>
      <c r="AF230" s="98">
        <f t="shared" si="20"/>
        <v>0</v>
      </c>
      <c r="AG230" s="97">
        <v>0</v>
      </c>
      <c r="AH230" s="92">
        <v>0</v>
      </c>
      <c r="AI230" s="98">
        <f t="shared" si="17"/>
        <v>0</v>
      </c>
      <c r="AJ230" s="98">
        <f t="shared" si="19"/>
        <v>0</v>
      </c>
      <c r="AK230" s="102" t="str">
        <f>+IF(AB230+AA230+AJ230&lt;=0, "NO COMPRADOR", +IF(AJ230&lt;=0, "SIN COMPRA "&amp;+UPPER(TEXT('DINAMICA ENERO 26'!$C$2,"mmm 'yy")), "COMPRADOR"))</f>
        <v>SIN COMPRA FEB '26</v>
      </c>
      <c r="AL230"/>
      <c r="AN230" s="101"/>
      <c r="AP230"/>
      <c r="AQ230"/>
      <c r="AR230"/>
      <c r="AS230"/>
      <c r="AT230"/>
      <c r="AU230"/>
      <c r="AV230"/>
      <c r="AW230"/>
      <c r="AX230"/>
    </row>
    <row r="231" spans="1:50" s="100" customFormat="1">
      <c r="A231" s="88" t="s">
        <v>85</v>
      </c>
      <c r="B231" s="89" t="s">
        <v>315</v>
      </c>
      <c r="C231" s="89" t="s">
        <v>43</v>
      </c>
      <c r="D231" s="103">
        <v>100063546</v>
      </c>
      <c r="E231" s="89" t="s">
        <v>46</v>
      </c>
      <c r="F231" s="89">
        <v>100015382</v>
      </c>
      <c r="G231" s="128" t="s">
        <v>322</v>
      </c>
      <c r="H231" s="166"/>
      <c r="I231" s="92"/>
      <c r="J231" s="92"/>
      <c r="K231" s="92"/>
      <c r="L231" s="92"/>
      <c r="M231" s="94"/>
      <c r="N231" s="94"/>
      <c r="O231" s="129"/>
      <c r="P231" s="167" t="e">
        <f t="shared" si="18"/>
        <v>#DIV/0!</v>
      </c>
      <c r="Q231" s="91">
        <v>0</v>
      </c>
      <c r="R231" s="129">
        <v>0</v>
      </c>
      <c r="S231" s="91">
        <v>0</v>
      </c>
      <c r="T231" s="129">
        <v>0</v>
      </c>
      <c r="U231" s="93">
        <v>0</v>
      </c>
      <c r="V231" s="129">
        <v>0</v>
      </c>
      <c r="W231" s="93">
        <v>0</v>
      </c>
      <c r="X231" s="129">
        <v>0</v>
      </c>
      <c r="Y231" s="93">
        <v>0</v>
      </c>
      <c r="Z231" s="129">
        <v>0</v>
      </c>
      <c r="AA231" s="155">
        <f t="shared" si="21"/>
        <v>0</v>
      </c>
      <c r="AB231" s="98">
        <f t="shared" si="21"/>
        <v>0</v>
      </c>
      <c r="AC231"/>
      <c r="AD231" s="97">
        <v>0</v>
      </c>
      <c r="AE231" s="92">
        <v>0</v>
      </c>
      <c r="AF231" s="98">
        <f t="shared" si="20"/>
        <v>0</v>
      </c>
      <c r="AG231" s="97">
        <v>0</v>
      </c>
      <c r="AH231" s="92">
        <v>0</v>
      </c>
      <c r="AI231" s="98">
        <f t="shared" ref="AI231:AI294" si="22">+AG231+AH231</f>
        <v>0</v>
      </c>
      <c r="AJ231" s="98">
        <f t="shared" si="19"/>
        <v>0</v>
      </c>
      <c r="AK231" s="102" t="str">
        <f>+IF(AB231+AA231+AJ231&lt;=0, "NO COMPRADOR", +IF(AJ231&lt;=0, "SIN COMPRA "&amp;+UPPER(TEXT('DINAMICA ENERO 26'!$C$2,"mmm 'yy")), "COMPRADOR"))</f>
        <v>NO COMPRADOR</v>
      </c>
      <c r="AL231"/>
      <c r="AN231" s="101"/>
      <c r="AP231"/>
      <c r="AQ231"/>
      <c r="AR231"/>
      <c r="AS231"/>
      <c r="AT231"/>
      <c r="AU231"/>
      <c r="AV231"/>
      <c r="AW231"/>
      <c r="AX231"/>
    </row>
    <row r="232" spans="1:50" s="104" customFormat="1">
      <c r="A232" s="88" t="s">
        <v>85</v>
      </c>
      <c r="B232" s="89" t="s">
        <v>315</v>
      </c>
      <c r="C232" s="89" t="s">
        <v>43</v>
      </c>
      <c r="D232" s="103">
        <v>100063546</v>
      </c>
      <c r="E232" s="89" t="s">
        <v>46</v>
      </c>
      <c r="F232" s="89">
        <v>100001715</v>
      </c>
      <c r="G232" s="128" t="s">
        <v>323</v>
      </c>
      <c r="H232" s="166"/>
      <c r="I232" s="92"/>
      <c r="J232" s="92"/>
      <c r="K232" s="92"/>
      <c r="L232" s="92"/>
      <c r="M232" s="94"/>
      <c r="N232" s="94"/>
      <c r="O232" s="129"/>
      <c r="P232" s="167" t="e">
        <f t="shared" si="18"/>
        <v>#DIV/0!</v>
      </c>
      <c r="Q232" s="91">
        <v>0</v>
      </c>
      <c r="R232" s="129">
        <v>4.5599999999999996</v>
      </c>
      <c r="S232" s="91">
        <v>0</v>
      </c>
      <c r="T232" s="129">
        <v>9.1199999999999992</v>
      </c>
      <c r="U232" s="93">
        <v>4.8</v>
      </c>
      <c r="V232" s="129">
        <v>0</v>
      </c>
      <c r="W232" s="93">
        <v>4.8</v>
      </c>
      <c r="X232" s="129">
        <v>9.1199999999999992</v>
      </c>
      <c r="Y232" s="93">
        <v>-9.6</v>
      </c>
      <c r="Z232" s="129">
        <v>0</v>
      </c>
      <c r="AA232" s="155">
        <f t="shared" si="21"/>
        <v>0</v>
      </c>
      <c r="AB232" s="98">
        <f t="shared" si="21"/>
        <v>3.0399999999999996</v>
      </c>
      <c r="AC232"/>
      <c r="AD232" s="97">
        <v>0</v>
      </c>
      <c r="AE232" s="92">
        <v>0</v>
      </c>
      <c r="AF232" s="98">
        <f t="shared" si="20"/>
        <v>0</v>
      </c>
      <c r="AG232" s="97">
        <v>0</v>
      </c>
      <c r="AH232" s="92">
        <v>0</v>
      </c>
      <c r="AI232" s="98">
        <f t="shared" si="22"/>
        <v>0</v>
      </c>
      <c r="AJ232" s="98">
        <f t="shared" si="19"/>
        <v>0</v>
      </c>
      <c r="AK232" s="102" t="str">
        <f>+IF(AB232+AA232+AJ232&lt;=0, "NO COMPRADOR", +IF(AJ232&lt;=0, "SIN COMPRA "&amp;+UPPER(TEXT('DINAMICA ENERO 26'!$C$2,"mmm 'yy")), "COMPRADOR"))</f>
        <v>SIN COMPRA FEB '26</v>
      </c>
      <c r="AL232"/>
      <c r="AM232" s="100"/>
      <c r="AN232" s="101"/>
      <c r="AO232" s="100"/>
      <c r="AP232"/>
      <c r="AQ232"/>
      <c r="AR232"/>
      <c r="AS232"/>
      <c r="AT232"/>
      <c r="AU232"/>
      <c r="AV232"/>
      <c r="AW232"/>
      <c r="AX232"/>
    </row>
    <row r="233" spans="1:50" s="100" customFormat="1">
      <c r="A233" s="88" t="s">
        <v>85</v>
      </c>
      <c r="B233" s="89" t="s">
        <v>315</v>
      </c>
      <c r="C233" s="89" t="s">
        <v>43</v>
      </c>
      <c r="D233" s="103">
        <v>100063546</v>
      </c>
      <c r="E233" s="89" t="s">
        <v>46</v>
      </c>
      <c r="F233" s="89">
        <v>100001825</v>
      </c>
      <c r="G233" s="128" t="s">
        <v>324</v>
      </c>
      <c r="H233" s="166"/>
      <c r="I233" s="92"/>
      <c r="J233" s="92"/>
      <c r="K233" s="92"/>
      <c r="L233" s="92"/>
      <c r="M233" s="94"/>
      <c r="N233" s="94"/>
      <c r="O233" s="129"/>
      <c r="P233" s="167" t="e">
        <f t="shared" si="18"/>
        <v>#DIV/0!</v>
      </c>
      <c r="Q233" s="91">
        <v>0</v>
      </c>
      <c r="R233" s="129">
        <v>0</v>
      </c>
      <c r="S233" s="91">
        <v>4.8</v>
      </c>
      <c r="T233" s="129">
        <v>4.5599999999999996</v>
      </c>
      <c r="U233" s="93">
        <v>4.8</v>
      </c>
      <c r="V233" s="129">
        <v>0</v>
      </c>
      <c r="W233" s="93">
        <v>0</v>
      </c>
      <c r="X233" s="129">
        <v>4.5599999999999996</v>
      </c>
      <c r="Y233" s="93">
        <v>0</v>
      </c>
      <c r="Z233" s="129">
        <v>0</v>
      </c>
      <c r="AA233" s="155">
        <f t="shared" si="21"/>
        <v>1.5999999999999999</v>
      </c>
      <c r="AB233" s="98">
        <f t="shared" si="21"/>
        <v>1.5199999999999998</v>
      </c>
      <c r="AC233"/>
      <c r="AD233" s="97">
        <v>0</v>
      </c>
      <c r="AE233" s="92">
        <v>0</v>
      </c>
      <c r="AF233" s="98">
        <f t="shared" si="20"/>
        <v>0</v>
      </c>
      <c r="AG233" s="97">
        <v>0</v>
      </c>
      <c r="AH233" s="92">
        <v>4.5599999999999996</v>
      </c>
      <c r="AI233" s="98">
        <f t="shared" si="22"/>
        <v>4.5599999999999996</v>
      </c>
      <c r="AJ233" s="98">
        <f t="shared" si="19"/>
        <v>4.5599999999999996</v>
      </c>
      <c r="AK233" s="102" t="str">
        <f>+IF(AB233+AA233+AJ233&lt;=0, "NO COMPRADOR", +IF(AJ233&lt;=0, "SIN COMPRA "&amp;+UPPER(TEXT('DINAMICA ENERO 26'!$C$2,"mmm 'yy")), "COMPRADOR"))</f>
        <v>COMPRADOR</v>
      </c>
      <c r="AL233"/>
      <c r="AN233" s="101"/>
      <c r="AP233"/>
      <c r="AQ233"/>
      <c r="AR233"/>
      <c r="AS233"/>
      <c r="AT233"/>
      <c r="AU233"/>
      <c r="AV233"/>
      <c r="AW233"/>
      <c r="AX233"/>
    </row>
    <row r="234" spans="1:50" s="100" customFormat="1">
      <c r="A234" s="88" t="s">
        <v>85</v>
      </c>
      <c r="B234" s="89" t="s">
        <v>315</v>
      </c>
      <c r="C234" s="89" t="s">
        <v>43</v>
      </c>
      <c r="D234" s="103">
        <v>100063546</v>
      </c>
      <c r="E234" s="89" t="s">
        <v>46</v>
      </c>
      <c r="F234" s="89">
        <v>100071034</v>
      </c>
      <c r="G234" s="128" t="s">
        <v>325</v>
      </c>
      <c r="H234" s="166"/>
      <c r="I234" s="92"/>
      <c r="J234" s="92"/>
      <c r="K234" s="92"/>
      <c r="L234" s="92"/>
      <c r="M234" s="94"/>
      <c r="N234" s="94"/>
      <c r="O234" s="129"/>
      <c r="P234" s="167" t="e">
        <f t="shared" si="18"/>
        <v>#DIV/0!</v>
      </c>
      <c r="Q234" s="91">
        <v>0</v>
      </c>
      <c r="R234" s="129">
        <v>0</v>
      </c>
      <c r="S234" s="91">
        <v>0</v>
      </c>
      <c r="T234" s="129">
        <v>0</v>
      </c>
      <c r="U234" s="93">
        <v>0</v>
      </c>
      <c r="V234" s="129">
        <v>0</v>
      </c>
      <c r="W234" s="93">
        <v>0</v>
      </c>
      <c r="X234" s="129">
        <v>0</v>
      </c>
      <c r="Y234" s="93">
        <v>0</v>
      </c>
      <c r="Z234" s="129">
        <v>0</v>
      </c>
      <c r="AA234" s="155">
        <f t="shared" si="21"/>
        <v>0</v>
      </c>
      <c r="AB234" s="98">
        <f t="shared" si="21"/>
        <v>0</v>
      </c>
      <c r="AC234"/>
      <c r="AD234" s="97">
        <v>0</v>
      </c>
      <c r="AE234" s="92">
        <v>0</v>
      </c>
      <c r="AF234" s="98">
        <f t="shared" si="20"/>
        <v>0</v>
      </c>
      <c r="AG234" s="97">
        <v>0</v>
      </c>
      <c r="AH234" s="92">
        <v>0</v>
      </c>
      <c r="AI234" s="98">
        <f t="shared" si="22"/>
        <v>0</v>
      </c>
      <c r="AJ234" s="98">
        <f t="shared" si="19"/>
        <v>0</v>
      </c>
      <c r="AK234" s="102" t="str">
        <f>+IF(AB234+AA234+AJ234&lt;=0, "NO COMPRADOR", +IF(AJ234&lt;=0, "SIN COMPRA "&amp;+UPPER(TEXT('DINAMICA ENERO 26'!$C$2,"mmm 'yy")), "COMPRADOR"))</f>
        <v>NO COMPRADOR</v>
      </c>
      <c r="AL234"/>
      <c r="AN234" s="101"/>
      <c r="AP234"/>
      <c r="AQ234"/>
      <c r="AR234"/>
      <c r="AS234"/>
      <c r="AT234"/>
      <c r="AU234"/>
      <c r="AV234"/>
      <c r="AW234"/>
      <c r="AX234"/>
    </row>
    <row r="235" spans="1:50" s="100" customFormat="1">
      <c r="A235" s="88" t="s">
        <v>85</v>
      </c>
      <c r="B235" s="89" t="s">
        <v>315</v>
      </c>
      <c r="C235" s="89" t="s">
        <v>43</v>
      </c>
      <c r="D235" s="103">
        <v>100063546</v>
      </c>
      <c r="E235" s="89" t="s">
        <v>46</v>
      </c>
      <c r="F235" s="89">
        <v>100001510</v>
      </c>
      <c r="G235" s="128" t="s">
        <v>326</v>
      </c>
      <c r="H235" s="166"/>
      <c r="I235" s="92"/>
      <c r="J235" s="92"/>
      <c r="K235" s="92"/>
      <c r="L235" s="92"/>
      <c r="M235" s="94"/>
      <c r="N235" s="94"/>
      <c r="O235" s="129"/>
      <c r="P235" s="167" t="e">
        <f t="shared" si="18"/>
        <v>#DIV/0!</v>
      </c>
      <c r="Q235" s="91">
        <v>-4.8</v>
      </c>
      <c r="R235" s="129">
        <v>0</v>
      </c>
      <c r="S235" s="91">
        <v>28.799999999999997</v>
      </c>
      <c r="T235" s="129">
        <v>27.36</v>
      </c>
      <c r="U235" s="93">
        <v>38.4</v>
      </c>
      <c r="V235" s="129">
        <v>18.239999999999998</v>
      </c>
      <c r="W235" s="93">
        <v>4.8</v>
      </c>
      <c r="X235" s="129">
        <v>4.5599999999999996</v>
      </c>
      <c r="Y235" s="93">
        <v>9.5999999999999979</v>
      </c>
      <c r="Z235" s="129">
        <v>-4.5599999999999996</v>
      </c>
      <c r="AA235" s="155">
        <f t="shared" si="21"/>
        <v>17.599999999999998</v>
      </c>
      <c r="AB235" s="98">
        <f t="shared" si="21"/>
        <v>6.0799999999999992</v>
      </c>
      <c r="AC235"/>
      <c r="AD235" s="97">
        <v>38.4</v>
      </c>
      <c r="AE235" s="92">
        <v>0</v>
      </c>
      <c r="AF235" s="98">
        <f t="shared" si="20"/>
        <v>38.4</v>
      </c>
      <c r="AG235" s="97">
        <v>9.1199999999999992</v>
      </c>
      <c r="AH235" s="92">
        <v>0</v>
      </c>
      <c r="AI235" s="98">
        <f t="shared" si="22"/>
        <v>9.1199999999999992</v>
      </c>
      <c r="AJ235" s="98">
        <f t="shared" si="19"/>
        <v>47.519999999999996</v>
      </c>
      <c r="AK235" s="102" t="str">
        <f>+IF(AB235+AA235+AJ235&lt;=0, "NO COMPRADOR", +IF(AJ235&lt;=0, "SIN COMPRA "&amp;+UPPER(TEXT('DINAMICA ENERO 26'!$C$2,"mmm 'yy")), "COMPRADOR"))</f>
        <v>COMPRADOR</v>
      </c>
      <c r="AL235"/>
      <c r="AN235" s="101"/>
      <c r="AP235"/>
      <c r="AQ235"/>
      <c r="AR235"/>
      <c r="AS235"/>
      <c r="AT235"/>
      <c r="AU235"/>
      <c r="AV235"/>
      <c r="AW235"/>
      <c r="AX235"/>
    </row>
    <row r="236" spans="1:50" s="104" customFormat="1">
      <c r="A236" s="88" t="s">
        <v>85</v>
      </c>
      <c r="B236" s="89" t="s">
        <v>315</v>
      </c>
      <c r="C236" s="89" t="s">
        <v>43</v>
      </c>
      <c r="D236" s="103">
        <v>100063546</v>
      </c>
      <c r="E236" s="89" t="s">
        <v>46</v>
      </c>
      <c r="F236" s="89">
        <v>100086920</v>
      </c>
      <c r="G236" s="128" t="s">
        <v>327</v>
      </c>
      <c r="H236" s="166"/>
      <c r="I236" s="92"/>
      <c r="J236" s="92"/>
      <c r="K236" s="92"/>
      <c r="L236" s="92"/>
      <c r="M236" s="94"/>
      <c r="N236" s="94"/>
      <c r="O236" s="129"/>
      <c r="P236" s="167" t="e">
        <f t="shared" si="18"/>
        <v>#DIV/0!</v>
      </c>
      <c r="Q236" s="91">
        <v>0</v>
      </c>
      <c r="R236" s="129">
        <v>0</v>
      </c>
      <c r="S236" s="91">
        <v>0</v>
      </c>
      <c r="T236" s="129">
        <v>0</v>
      </c>
      <c r="U236" s="93">
        <v>0</v>
      </c>
      <c r="V236" s="129">
        <v>0</v>
      </c>
      <c r="W236" s="93">
        <v>0</v>
      </c>
      <c r="X236" s="129">
        <v>0</v>
      </c>
      <c r="Y236" s="93">
        <v>0</v>
      </c>
      <c r="Z236" s="129">
        <v>0</v>
      </c>
      <c r="AA236" s="155">
        <f t="shared" si="21"/>
        <v>0</v>
      </c>
      <c r="AB236" s="98">
        <f t="shared" si="21"/>
        <v>0</v>
      </c>
      <c r="AC236"/>
      <c r="AD236" s="97">
        <v>0</v>
      </c>
      <c r="AE236" s="92">
        <v>0</v>
      </c>
      <c r="AF236" s="98">
        <f t="shared" si="20"/>
        <v>0</v>
      </c>
      <c r="AG236" s="97">
        <v>0</v>
      </c>
      <c r="AH236" s="92">
        <v>0</v>
      </c>
      <c r="AI236" s="98">
        <f t="shared" si="22"/>
        <v>0</v>
      </c>
      <c r="AJ236" s="98">
        <f t="shared" si="19"/>
        <v>0</v>
      </c>
      <c r="AK236" s="102" t="str">
        <f>+IF(AB236+AA236+AJ236&lt;=0, "NO COMPRADOR", +IF(AJ236&lt;=0, "SIN COMPRA "&amp;+UPPER(TEXT('DINAMICA ENERO 26'!$C$2,"mmm 'yy")), "COMPRADOR"))</f>
        <v>NO COMPRADOR</v>
      </c>
      <c r="AL236"/>
      <c r="AM236" s="100"/>
      <c r="AN236" s="101"/>
      <c r="AO236" s="100"/>
      <c r="AP236"/>
      <c r="AQ236"/>
      <c r="AR236"/>
      <c r="AS236"/>
      <c r="AT236"/>
      <c r="AU236"/>
      <c r="AV236"/>
      <c r="AW236"/>
      <c r="AX236"/>
    </row>
    <row r="237" spans="1:50" s="100" customFormat="1">
      <c r="A237" s="88" t="s">
        <v>85</v>
      </c>
      <c r="B237" s="89" t="s">
        <v>315</v>
      </c>
      <c r="C237" s="89" t="s">
        <v>43</v>
      </c>
      <c r="D237" s="103">
        <v>100063546</v>
      </c>
      <c r="E237" s="89" t="s">
        <v>46</v>
      </c>
      <c r="F237" s="89">
        <v>100076015</v>
      </c>
      <c r="G237" s="128" t="s">
        <v>328</v>
      </c>
      <c r="H237" s="166"/>
      <c r="I237" s="92"/>
      <c r="J237" s="92"/>
      <c r="K237" s="92"/>
      <c r="L237" s="92"/>
      <c r="M237" s="94"/>
      <c r="N237" s="94"/>
      <c r="O237" s="129"/>
      <c r="P237" s="167" t="e">
        <f t="shared" si="18"/>
        <v>#DIV/0!</v>
      </c>
      <c r="Q237" s="91">
        <v>24</v>
      </c>
      <c r="R237" s="129">
        <v>0</v>
      </c>
      <c r="S237" s="91">
        <v>28.8</v>
      </c>
      <c r="T237" s="129">
        <v>27.359999999999996</v>
      </c>
      <c r="U237" s="93">
        <v>28.799999999999997</v>
      </c>
      <c r="V237" s="129">
        <v>4.5599999999999996</v>
      </c>
      <c r="W237" s="93">
        <v>67.2</v>
      </c>
      <c r="X237" s="129">
        <v>0</v>
      </c>
      <c r="Y237" s="93">
        <v>48</v>
      </c>
      <c r="Z237" s="129">
        <v>0</v>
      </c>
      <c r="AA237" s="155">
        <f t="shared" si="21"/>
        <v>48</v>
      </c>
      <c r="AB237" s="98">
        <f t="shared" si="21"/>
        <v>1.5199999999999998</v>
      </c>
      <c r="AC237"/>
      <c r="AD237" s="97">
        <v>52.8</v>
      </c>
      <c r="AE237" s="92">
        <v>0</v>
      </c>
      <c r="AF237" s="98">
        <f t="shared" si="20"/>
        <v>52.8</v>
      </c>
      <c r="AG237" s="97">
        <v>9.1199999999999992</v>
      </c>
      <c r="AH237" s="92">
        <v>0</v>
      </c>
      <c r="AI237" s="98">
        <f t="shared" si="22"/>
        <v>9.1199999999999992</v>
      </c>
      <c r="AJ237" s="98">
        <f t="shared" si="19"/>
        <v>61.919999999999995</v>
      </c>
      <c r="AK237" s="102" t="str">
        <f>+IF(AB237+AA237+AJ237&lt;=0, "NO COMPRADOR", +IF(AJ237&lt;=0, "SIN COMPRA "&amp;+UPPER(TEXT('DINAMICA ENERO 26'!$C$2,"mmm 'yy")), "COMPRADOR"))</f>
        <v>COMPRADOR</v>
      </c>
      <c r="AL237"/>
      <c r="AN237" s="101"/>
      <c r="AP237"/>
      <c r="AQ237"/>
      <c r="AR237"/>
      <c r="AS237"/>
      <c r="AT237"/>
      <c r="AU237"/>
      <c r="AV237"/>
      <c r="AW237"/>
      <c r="AX237"/>
    </row>
    <row r="238" spans="1:50" s="104" customFormat="1">
      <c r="A238" s="88" t="s">
        <v>85</v>
      </c>
      <c r="B238" s="89" t="s">
        <v>315</v>
      </c>
      <c r="C238" s="89" t="s">
        <v>43</v>
      </c>
      <c r="D238" s="103">
        <v>100063546</v>
      </c>
      <c r="E238" s="89" t="s">
        <v>46</v>
      </c>
      <c r="F238" s="89">
        <v>100071319</v>
      </c>
      <c r="G238" s="128" t="s">
        <v>329</v>
      </c>
      <c r="H238" s="166"/>
      <c r="I238" s="92"/>
      <c r="J238" s="92"/>
      <c r="K238" s="92"/>
      <c r="L238" s="92"/>
      <c r="M238" s="94"/>
      <c r="N238" s="94"/>
      <c r="O238" s="129"/>
      <c r="P238" s="167" t="e">
        <f t="shared" si="18"/>
        <v>#DIV/0!</v>
      </c>
      <c r="Q238" s="91">
        <v>86.4</v>
      </c>
      <c r="R238" s="129">
        <v>4.5599999999999996</v>
      </c>
      <c r="S238" s="91">
        <v>81.599999999999994</v>
      </c>
      <c r="T238" s="129">
        <v>9.1199999999999992</v>
      </c>
      <c r="U238" s="93">
        <v>72</v>
      </c>
      <c r="V238" s="129">
        <v>18.239999999999998</v>
      </c>
      <c r="W238" s="93">
        <v>48</v>
      </c>
      <c r="X238" s="129">
        <v>4.5599999999999996</v>
      </c>
      <c r="Y238" s="93">
        <v>33.6</v>
      </c>
      <c r="Z238" s="129">
        <v>41.04</v>
      </c>
      <c r="AA238" s="155">
        <f t="shared" si="21"/>
        <v>51.199999999999996</v>
      </c>
      <c r="AB238" s="98">
        <f t="shared" si="21"/>
        <v>21.279999999999998</v>
      </c>
      <c r="AC238"/>
      <c r="AD238" s="97">
        <v>14.399999999999999</v>
      </c>
      <c r="AE238" s="92">
        <v>0</v>
      </c>
      <c r="AF238" s="98">
        <f t="shared" si="20"/>
        <v>14.399999999999999</v>
      </c>
      <c r="AG238" s="97">
        <v>18.239999999999998</v>
      </c>
      <c r="AH238" s="92">
        <v>0</v>
      </c>
      <c r="AI238" s="98">
        <f t="shared" si="22"/>
        <v>18.239999999999998</v>
      </c>
      <c r="AJ238" s="98">
        <f t="shared" si="19"/>
        <v>32.64</v>
      </c>
      <c r="AK238" s="102" t="str">
        <f>+IF(AB238+AA238+AJ238&lt;=0, "NO COMPRADOR", +IF(AJ238&lt;=0, "SIN COMPRA "&amp;+UPPER(TEXT('DINAMICA ENERO 26'!$C$2,"mmm 'yy")), "COMPRADOR"))</f>
        <v>COMPRADOR</v>
      </c>
      <c r="AL238"/>
      <c r="AM238" s="100"/>
      <c r="AN238" s="101"/>
      <c r="AO238" s="100"/>
      <c r="AP238"/>
      <c r="AQ238"/>
      <c r="AR238"/>
      <c r="AS238"/>
      <c r="AT238"/>
      <c r="AU238"/>
      <c r="AV238"/>
      <c r="AW238"/>
      <c r="AX238"/>
    </row>
    <row r="239" spans="1:50" s="100" customFormat="1">
      <c r="A239" s="88" t="s">
        <v>85</v>
      </c>
      <c r="B239" s="89" t="s">
        <v>315</v>
      </c>
      <c r="C239" s="89" t="s">
        <v>43</v>
      </c>
      <c r="D239" s="103">
        <v>100063546</v>
      </c>
      <c r="E239" s="89" t="s">
        <v>46</v>
      </c>
      <c r="F239" s="89">
        <v>100069083</v>
      </c>
      <c r="G239" s="128" t="s">
        <v>330</v>
      </c>
      <c r="H239" s="166"/>
      <c r="I239" s="92"/>
      <c r="J239" s="92"/>
      <c r="K239" s="92"/>
      <c r="L239" s="92"/>
      <c r="M239" s="94"/>
      <c r="N239" s="94"/>
      <c r="O239" s="129"/>
      <c r="P239" s="167" t="e">
        <f t="shared" si="18"/>
        <v>#DIV/0!</v>
      </c>
      <c r="Q239" s="91">
        <v>0</v>
      </c>
      <c r="R239" s="129">
        <v>0</v>
      </c>
      <c r="S239" s="91">
        <v>4.8</v>
      </c>
      <c r="T239" s="129">
        <v>4.5599999999999996</v>
      </c>
      <c r="U239" s="93">
        <v>48</v>
      </c>
      <c r="V239" s="129">
        <v>113.99999999999999</v>
      </c>
      <c r="W239" s="93">
        <v>4.8</v>
      </c>
      <c r="X239" s="129">
        <v>45.599999999999994</v>
      </c>
      <c r="Y239" s="93">
        <v>0</v>
      </c>
      <c r="Z239" s="129">
        <v>68.399999999999991</v>
      </c>
      <c r="AA239" s="155">
        <f t="shared" si="21"/>
        <v>17.599999999999998</v>
      </c>
      <c r="AB239" s="98">
        <f t="shared" si="21"/>
        <v>75.999999999999986</v>
      </c>
      <c r="AC239"/>
      <c r="AD239" s="97">
        <v>48</v>
      </c>
      <c r="AE239" s="92">
        <v>0</v>
      </c>
      <c r="AF239" s="98">
        <f t="shared" si="20"/>
        <v>48</v>
      </c>
      <c r="AG239" s="97">
        <v>0</v>
      </c>
      <c r="AH239" s="92">
        <v>0</v>
      </c>
      <c r="AI239" s="98">
        <f t="shared" si="22"/>
        <v>0</v>
      </c>
      <c r="AJ239" s="98">
        <f t="shared" si="19"/>
        <v>48</v>
      </c>
      <c r="AK239" s="102" t="str">
        <f>+IF(AB239+AA239+AJ239&lt;=0, "NO COMPRADOR", +IF(AJ239&lt;=0, "SIN COMPRA "&amp;+UPPER(TEXT('DINAMICA ENERO 26'!$C$2,"mmm 'yy")), "COMPRADOR"))</f>
        <v>COMPRADOR</v>
      </c>
      <c r="AL239"/>
      <c r="AN239" s="101"/>
      <c r="AP239"/>
      <c r="AQ239"/>
      <c r="AR239"/>
      <c r="AS239"/>
      <c r="AT239"/>
      <c r="AU239"/>
      <c r="AV239"/>
      <c r="AW239"/>
      <c r="AX239"/>
    </row>
    <row r="240" spans="1:50" s="100" customFormat="1">
      <c r="A240" s="88" t="s">
        <v>85</v>
      </c>
      <c r="B240" s="89" t="s">
        <v>315</v>
      </c>
      <c r="C240" s="89" t="s">
        <v>43</v>
      </c>
      <c r="D240" s="103">
        <v>100063546</v>
      </c>
      <c r="E240" s="89" t="s">
        <v>46</v>
      </c>
      <c r="F240" s="89">
        <v>100072087</v>
      </c>
      <c r="G240" s="128" t="s">
        <v>331</v>
      </c>
      <c r="H240" s="166"/>
      <c r="I240" s="92"/>
      <c r="J240" s="92"/>
      <c r="K240" s="92"/>
      <c r="L240" s="92"/>
      <c r="M240" s="94"/>
      <c r="N240" s="94"/>
      <c r="O240" s="129"/>
      <c r="P240" s="167" t="e">
        <f t="shared" si="18"/>
        <v>#DIV/0!</v>
      </c>
      <c r="Q240" s="91">
        <v>38.4</v>
      </c>
      <c r="R240" s="129">
        <v>0</v>
      </c>
      <c r="S240" s="91">
        <v>28.799999999999997</v>
      </c>
      <c r="T240" s="129">
        <v>4.5599999999999996</v>
      </c>
      <c r="U240" s="93">
        <v>9.6</v>
      </c>
      <c r="V240" s="129">
        <v>4.5599999999999996</v>
      </c>
      <c r="W240" s="93">
        <v>48</v>
      </c>
      <c r="X240" s="129">
        <v>0</v>
      </c>
      <c r="Y240" s="93">
        <v>47.999999999999993</v>
      </c>
      <c r="Z240" s="129">
        <v>0</v>
      </c>
      <c r="AA240" s="155">
        <f t="shared" si="21"/>
        <v>35.199999999999996</v>
      </c>
      <c r="AB240" s="98">
        <f t="shared" si="21"/>
        <v>1.5199999999999998</v>
      </c>
      <c r="AC240"/>
      <c r="AD240" s="97">
        <v>9.6</v>
      </c>
      <c r="AE240" s="92">
        <v>0</v>
      </c>
      <c r="AF240" s="98">
        <f t="shared" si="20"/>
        <v>9.6</v>
      </c>
      <c r="AG240" s="97">
        <v>4.5599999999999996</v>
      </c>
      <c r="AH240" s="92">
        <v>0</v>
      </c>
      <c r="AI240" s="98">
        <f t="shared" si="22"/>
        <v>4.5599999999999996</v>
      </c>
      <c r="AJ240" s="98">
        <f t="shared" si="19"/>
        <v>14.16</v>
      </c>
      <c r="AK240" s="102" t="str">
        <f>+IF(AB240+AA240+AJ240&lt;=0, "NO COMPRADOR", +IF(AJ240&lt;=0, "SIN COMPRA "&amp;+UPPER(TEXT('DINAMICA ENERO 26'!$C$2,"mmm 'yy")), "COMPRADOR"))</f>
        <v>COMPRADOR</v>
      </c>
      <c r="AL240"/>
      <c r="AN240" s="101"/>
      <c r="AP240"/>
      <c r="AQ240"/>
      <c r="AR240"/>
      <c r="AS240"/>
      <c r="AT240"/>
      <c r="AU240"/>
      <c r="AV240"/>
      <c r="AW240"/>
      <c r="AX240"/>
    </row>
    <row r="241" spans="1:50" s="100" customFormat="1">
      <c r="A241" s="88" t="s">
        <v>85</v>
      </c>
      <c r="B241" s="89" t="s">
        <v>315</v>
      </c>
      <c r="C241" s="89" t="s">
        <v>43</v>
      </c>
      <c r="D241" s="103">
        <v>100063546</v>
      </c>
      <c r="E241" s="89" t="s">
        <v>46</v>
      </c>
      <c r="F241" s="89">
        <v>100078525</v>
      </c>
      <c r="G241" s="128" t="s">
        <v>332</v>
      </c>
      <c r="H241" s="166"/>
      <c r="I241" s="92"/>
      <c r="J241" s="92"/>
      <c r="K241" s="92"/>
      <c r="L241" s="92"/>
      <c r="M241" s="94"/>
      <c r="N241" s="94"/>
      <c r="O241" s="129"/>
      <c r="P241" s="167" t="e">
        <f t="shared" si="18"/>
        <v>#DIV/0!</v>
      </c>
      <c r="Q241" s="91">
        <v>14.399999999999999</v>
      </c>
      <c r="R241" s="129">
        <v>0</v>
      </c>
      <c r="S241" s="91">
        <v>4.8</v>
      </c>
      <c r="T241" s="129">
        <v>4.5599999999999996</v>
      </c>
      <c r="U241" s="93">
        <v>4.8</v>
      </c>
      <c r="V241" s="129">
        <v>0</v>
      </c>
      <c r="W241" s="93">
        <v>4.8</v>
      </c>
      <c r="X241" s="129">
        <v>4.5599999999999996</v>
      </c>
      <c r="Y241" s="93">
        <v>0</v>
      </c>
      <c r="Z241" s="129">
        <v>4.5599999999999996</v>
      </c>
      <c r="AA241" s="155">
        <f t="shared" si="21"/>
        <v>3.1999999999999997</v>
      </c>
      <c r="AB241" s="98">
        <f t="shared" si="21"/>
        <v>3.0399999999999996</v>
      </c>
      <c r="AC241"/>
      <c r="AD241" s="97">
        <v>0</v>
      </c>
      <c r="AE241" s="92">
        <v>0</v>
      </c>
      <c r="AF241" s="98">
        <f t="shared" si="20"/>
        <v>0</v>
      </c>
      <c r="AG241" s="97">
        <v>0</v>
      </c>
      <c r="AH241" s="92">
        <v>0</v>
      </c>
      <c r="AI241" s="98">
        <f t="shared" si="22"/>
        <v>0</v>
      </c>
      <c r="AJ241" s="98">
        <f t="shared" si="19"/>
        <v>0</v>
      </c>
      <c r="AK241" s="102" t="str">
        <f>+IF(AB241+AA241+AJ241&lt;=0, "NO COMPRADOR", +IF(AJ241&lt;=0, "SIN COMPRA "&amp;+UPPER(TEXT('DINAMICA ENERO 26'!$C$2,"mmm 'yy")), "COMPRADOR"))</f>
        <v>SIN COMPRA FEB '26</v>
      </c>
      <c r="AL241"/>
      <c r="AN241" s="101"/>
      <c r="AP241"/>
      <c r="AQ241"/>
      <c r="AR241"/>
      <c r="AS241"/>
      <c r="AT241"/>
      <c r="AU241"/>
      <c r="AV241"/>
      <c r="AW241"/>
      <c r="AX241"/>
    </row>
    <row r="242" spans="1:50" s="100" customFormat="1">
      <c r="A242" s="88" t="s">
        <v>85</v>
      </c>
      <c r="B242" s="89" t="s">
        <v>315</v>
      </c>
      <c r="C242" s="89" t="s">
        <v>43</v>
      </c>
      <c r="D242" s="103">
        <v>100063546</v>
      </c>
      <c r="E242" s="89" t="s">
        <v>46</v>
      </c>
      <c r="F242" s="89">
        <v>100078986</v>
      </c>
      <c r="G242" s="128" t="s">
        <v>333</v>
      </c>
      <c r="H242" s="166"/>
      <c r="I242" s="92"/>
      <c r="J242" s="92"/>
      <c r="K242" s="92"/>
      <c r="L242" s="92"/>
      <c r="M242" s="94"/>
      <c r="N242" s="94"/>
      <c r="O242" s="129"/>
      <c r="P242" s="167" t="e">
        <f t="shared" si="18"/>
        <v>#DIV/0!</v>
      </c>
      <c r="Q242" s="91">
        <v>0</v>
      </c>
      <c r="R242" s="129">
        <v>4.5599999999999996</v>
      </c>
      <c r="S242" s="91">
        <v>24</v>
      </c>
      <c r="T242" s="129">
        <v>9.1199999999999992</v>
      </c>
      <c r="U242" s="93">
        <v>14.399999999999999</v>
      </c>
      <c r="V242" s="129">
        <v>9.1199999999999992</v>
      </c>
      <c r="W242" s="93">
        <v>0</v>
      </c>
      <c r="X242" s="129">
        <v>0</v>
      </c>
      <c r="Y242" s="93">
        <v>0</v>
      </c>
      <c r="Z242" s="129">
        <v>9.1199999999999992</v>
      </c>
      <c r="AA242" s="155">
        <f t="shared" si="21"/>
        <v>4.8</v>
      </c>
      <c r="AB242" s="98">
        <f t="shared" si="21"/>
        <v>6.0799999999999992</v>
      </c>
      <c r="AC242"/>
      <c r="AD242" s="97">
        <v>9.6</v>
      </c>
      <c r="AE242" s="92">
        <v>0</v>
      </c>
      <c r="AF242" s="98">
        <f t="shared" si="20"/>
        <v>9.6</v>
      </c>
      <c r="AG242" s="97">
        <v>0</v>
      </c>
      <c r="AH242" s="92">
        <v>0</v>
      </c>
      <c r="AI242" s="98">
        <f t="shared" si="22"/>
        <v>0</v>
      </c>
      <c r="AJ242" s="98">
        <f t="shared" si="19"/>
        <v>9.6</v>
      </c>
      <c r="AK242" s="102" t="str">
        <f>+IF(AB242+AA242+AJ242&lt;=0, "NO COMPRADOR", +IF(AJ242&lt;=0, "SIN COMPRA "&amp;+UPPER(TEXT('DINAMICA ENERO 26'!$C$2,"mmm 'yy")), "COMPRADOR"))</f>
        <v>COMPRADOR</v>
      </c>
      <c r="AL242"/>
      <c r="AN242" s="101"/>
      <c r="AP242"/>
      <c r="AQ242"/>
      <c r="AR242"/>
      <c r="AS242"/>
      <c r="AT242"/>
      <c r="AU242"/>
      <c r="AV242"/>
      <c r="AW242"/>
      <c r="AX242"/>
    </row>
    <row r="243" spans="1:50" s="104" customFormat="1">
      <c r="A243" s="88" t="s">
        <v>85</v>
      </c>
      <c r="B243" s="89" t="s">
        <v>315</v>
      </c>
      <c r="C243" s="89" t="s">
        <v>43</v>
      </c>
      <c r="D243" s="103">
        <v>100063546</v>
      </c>
      <c r="E243" s="89" t="s">
        <v>46</v>
      </c>
      <c r="F243" s="89">
        <v>100053840</v>
      </c>
      <c r="G243" s="128" t="s">
        <v>334</v>
      </c>
      <c r="H243" s="166"/>
      <c r="I243" s="92"/>
      <c r="J243" s="92"/>
      <c r="K243" s="92"/>
      <c r="L243" s="92"/>
      <c r="M243" s="94"/>
      <c r="N243" s="94"/>
      <c r="O243" s="129"/>
      <c r="P243" s="167" t="e">
        <f t="shared" si="18"/>
        <v>#DIV/0!</v>
      </c>
      <c r="Q243" s="91">
        <v>9.6</v>
      </c>
      <c r="R243" s="129">
        <v>0</v>
      </c>
      <c r="S243" s="91">
        <v>0</v>
      </c>
      <c r="T243" s="129">
        <v>4.5599999999999996</v>
      </c>
      <c r="U243" s="93">
        <v>4.8</v>
      </c>
      <c r="V243" s="129">
        <v>9.1199999999999992</v>
      </c>
      <c r="W243" s="93">
        <v>4.8</v>
      </c>
      <c r="X243" s="129">
        <v>9.1199999999999992</v>
      </c>
      <c r="Y243" s="93">
        <v>0</v>
      </c>
      <c r="Z243" s="129">
        <v>9.1199999999999992</v>
      </c>
      <c r="AA243" s="155">
        <f t="shared" si="21"/>
        <v>3.1999999999999997</v>
      </c>
      <c r="AB243" s="98">
        <f t="shared" si="21"/>
        <v>9.1199999999999992</v>
      </c>
      <c r="AC243"/>
      <c r="AD243" s="97">
        <v>4.8</v>
      </c>
      <c r="AE243" s="92">
        <v>0</v>
      </c>
      <c r="AF243" s="98">
        <f t="shared" si="20"/>
        <v>4.8</v>
      </c>
      <c r="AG243" s="97">
        <v>-4.5599999999999996</v>
      </c>
      <c r="AH243" s="92">
        <v>0</v>
      </c>
      <c r="AI243" s="98">
        <f t="shared" si="22"/>
        <v>-4.5599999999999996</v>
      </c>
      <c r="AJ243" s="98">
        <f t="shared" si="19"/>
        <v>0.24000000000000021</v>
      </c>
      <c r="AK243" s="102" t="str">
        <f>+IF(AB243+AA243+AJ243&lt;=0, "NO COMPRADOR", +IF(AJ243&lt;=0, "SIN COMPRA "&amp;+UPPER(TEXT('DINAMICA ENERO 26'!$C$2,"mmm 'yy")), "COMPRADOR"))</f>
        <v>COMPRADOR</v>
      </c>
      <c r="AL243"/>
      <c r="AM243" s="100"/>
      <c r="AN243" s="101"/>
      <c r="AO243" s="100"/>
      <c r="AP243"/>
      <c r="AQ243"/>
      <c r="AR243"/>
      <c r="AS243"/>
      <c r="AT243"/>
      <c r="AU243"/>
      <c r="AV243"/>
      <c r="AW243"/>
      <c r="AX243"/>
    </row>
    <row r="244" spans="1:50" s="100" customFormat="1">
      <c r="A244" s="88" t="s">
        <v>85</v>
      </c>
      <c r="B244" s="89" t="s">
        <v>315</v>
      </c>
      <c r="C244" s="89" t="s">
        <v>43</v>
      </c>
      <c r="D244" s="103">
        <v>100063546</v>
      </c>
      <c r="E244" s="89" t="s">
        <v>46</v>
      </c>
      <c r="F244" s="89">
        <v>100084699</v>
      </c>
      <c r="G244" s="128" t="s">
        <v>335</v>
      </c>
      <c r="H244" s="166"/>
      <c r="I244" s="92"/>
      <c r="J244" s="92"/>
      <c r="K244" s="92"/>
      <c r="L244" s="92"/>
      <c r="M244" s="94"/>
      <c r="N244" s="94"/>
      <c r="O244" s="129"/>
      <c r="P244" s="167" t="e">
        <f t="shared" si="18"/>
        <v>#DIV/0!</v>
      </c>
      <c r="Q244" s="91">
        <v>14.399999999999999</v>
      </c>
      <c r="R244" s="129">
        <v>0</v>
      </c>
      <c r="S244" s="91">
        <v>38.4</v>
      </c>
      <c r="T244" s="129">
        <v>4.5599999999999996</v>
      </c>
      <c r="U244" s="93">
        <v>38.4</v>
      </c>
      <c r="V244" s="129">
        <v>4.5599999999999996</v>
      </c>
      <c r="W244" s="93">
        <v>72</v>
      </c>
      <c r="X244" s="129">
        <v>4.5599999999999996</v>
      </c>
      <c r="Y244" s="93">
        <v>14.399999999999999</v>
      </c>
      <c r="Z244" s="129">
        <v>0</v>
      </c>
      <c r="AA244" s="155">
        <f t="shared" si="21"/>
        <v>41.6</v>
      </c>
      <c r="AB244" s="98">
        <f t="shared" si="21"/>
        <v>3.0399999999999996</v>
      </c>
      <c r="AC244"/>
      <c r="AD244" s="97">
        <v>9.6</v>
      </c>
      <c r="AE244" s="92">
        <v>0</v>
      </c>
      <c r="AF244" s="98">
        <f t="shared" si="20"/>
        <v>9.6</v>
      </c>
      <c r="AG244" s="97">
        <v>0</v>
      </c>
      <c r="AH244" s="92">
        <v>0</v>
      </c>
      <c r="AI244" s="98">
        <f t="shared" si="22"/>
        <v>0</v>
      </c>
      <c r="AJ244" s="98">
        <f t="shared" si="19"/>
        <v>9.6</v>
      </c>
      <c r="AK244" s="102" t="str">
        <f>+IF(AB244+AA244+AJ244&lt;=0, "NO COMPRADOR", +IF(AJ244&lt;=0, "SIN COMPRA "&amp;+UPPER(TEXT('DINAMICA ENERO 26'!$C$2,"mmm 'yy")), "COMPRADOR"))</f>
        <v>COMPRADOR</v>
      </c>
      <c r="AL244"/>
      <c r="AN244" s="101"/>
      <c r="AP244"/>
      <c r="AQ244"/>
      <c r="AR244"/>
      <c r="AS244"/>
      <c r="AT244"/>
      <c r="AU244"/>
      <c r="AV244"/>
      <c r="AW244"/>
      <c r="AX244"/>
    </row>
    <row r="245" spans="1:50" s="104" customFormat="1">
      <c r="A245" s="88" t="s">
        <v>85</v>
      </c>
      <c r="B245" s="89" t="s">
        <v>315</v>
      </c>
      <c r="C245" s="89" t="s">
        <v>43</v>
      </c>
      <c r="D245" s="103">
        <v>100063546</v>
      </c>
      <c r="E245" s="89" t="s">
        <v>46</v>
      </c>
      <c r="F245" s="89">
        <v>100080253</v>
      </c>
      <c r="G245" s="128" t="s">
        <v>336</v>
      </c>
      <c r="H245" s="166"/>
      <c r="I245" s="92"/>
      <c r="J245" s="92"/>
      <c r="K245" s="92"/>
      <c r="L245" s="92"/>
      <c r="M245" s="94"/>
      <c r="N245" s="94"/>
      <c r="O245" s="129"/>
      <c r="P245" s="167" t="e">
        <f t="shared" si="18"/>
        <v>#DIV/0!</v>
      </c>
      <c r="Q245" s="91">
        <v>0</v>
      </c>
      <c r="R245" s="129">
        <v>0</v>
      </c>
      <c r="S245" s="91">
        <v>0</v>
      </c>
      <c r="T245" s="129">
        <v>0</v>
      </c>
      <c r="U245" s="93">
        <v>0</v>
      </c>
      <c r="V245" s="129">
        <v>0</v>
      </c>
      <c r="W245" s="93">
        <v>0</v>
      </c>
      <c r="X245" s="129">
        <v>0</v>
      </c>
      <c r="Y245" s="93">
        <v>4.8</v>
      </c>
      <c r="Z245" s="129">
        <v>4.5599999999999996</v>
      </c>
      <c r="AA245" s="155">
        <f t="shared" si="21"/>
        <v>1.5999999999999999</v>
      </c>
      <c r="AB245" s="98">
        <f t="shared" si="21"/>
        <v>1.5199999999999998</v>
      </c>
      <c r="AC245"/>
      <c r="AD245" s="97">
        <v>0</v>
      </c>
      <c r="AE245" s="92">
        <v>0</v>
      </c>
      <c r="AF245" s="98">
        <f t="shared" si="20"/>
        <v>0</v>
      </c>
      <c r="AG245" s="97">
        <v>0</v>
      </c>
      <c r="AH245" s="92">
        <v>0</v>
      </c>
      <c r="AI245" s="98">
        <f t="shared" si="22"/>
        <v>0</v>
      </c>
      <c r="AJ245" s="98">
        <f t="shared" si="19"/>
        <v>0</v>
      </c>
      <c r="AK245" s="102" t="str">
        <f>+IF(AB245+AA245+AJ245&lt;=0, "NO COMPRADOR", +IF(AJ245&lt;=0, "SIN COMPRA "&amp;+UPPER(TEXT('DINAMICA ENERO 26'!$C$2,"mmm 'yy")), "COMPRADOR"))</f>
        <v>SIN COMPRA FEB '26</v>
      </c>
      <c r="AL245"/>
      <c r="AM245" s="100"/>
      <c r="AN245" s="101"/>
      <c r="AO245" s="100"/>
      <c r="AP245"/>
      <c r="AQ245"/>
      <c r="AR245"/>
      <c r="AS245"/>
      <c r="AT245"/>
      <c r="AU245"/>
      <c r="AV245"/>
      <c r="AW245"/>
      <c r="AX245"/>
    </row>
    <row r="246" spans="1:50" s="104" customFormat="1">
      <c r="A246" s="88" t="s">
        <v>85</v>
      </c>
      <c r="B246" s="89" t="s">
        <v>315</v>
      </c>
      <c r="C246" s="89" t="s">
        <v>43</v>
      </c>
      <c r="D246" s="103">
        <v>100063546</v>
      </c>
      <c r="E246" s="89" t="s">
        <v>46</v>
      </c>
      <c r="F246" s="89">
        <v>100089146</v>
      </c>
      <c r="G246" s="128" t="s">
        <v>337</v>
      </c>
      <c r="H246" s="166"/>
      <c r="I246" s="92"/>
      <c r="J246" s="92"/>
      <c r="K246" s="92"/>
      <c r="L246" s="92"/>
      <c r="M246" s="94"/>
      <c r="N246" s="94"/>
      <c r="O246" s="129"/>
      <c r="P246" s="167" t="e">
        <f t="shared" si="18"/>
        <v>#DIV/0!</v>
      </c>
      <c r="Q246" s="91">
        <v>4.8</v>
      </c>
      <c r="R246" s="129">
        <v>9.1199999999999992</v>
      </c>
      <c r="S246" s="91">
        <v>4.8</v>
      </c>
      <c r="T246" s="129">
        <v>4.5599999999999996</v>
      </c>
      <c r="U246" s="93">
        <v>4.8</v>
      </c>
      <c r="V246" s="129">
        <v>0</v>
      </c>
      <c r="W246" s="93">
        <v>0</v>
      </c>
      <c r="X246" s="129">
        <v>0</v>
      </c>
      <c r="Y246" s="93">
        <v>0</v>
      </c>
      <c r="Z246" s="129">
        <v>0</v>
      </c>
      <c r="AA246" s="155">
        <f t="shared" si="21"/>
        <v>1.5999999999999999</v>
      </c>
      <c r="AB246" s="98">
        <f t="shared" si="21"/>
        <v>0</v>
      </c>
      <c r="AC246"/>
      <c r="AD246" s="97">
        <v>0</v>
      </c>
      <c r="AE246" s="92">
        <v>0</v>
      </c>
      <c r="AF246" s="98">
        <f t="shared" si="20"/>
        <v>0</v>
      </c>
      <c r="AG246" s="97">
        <v>0</v>
      </c>
      <c r="AH246" s="92">
        <v>0</v>
      </c>
      <c r="AI246" s="98">
        <f t="shared" si="22"/>
        <v>0</v>
      </c>
      <c r="AJ246" s="98">
        <f t="shared" si="19"/>
        <v>0</v>
      </c>
      <c r="AK246" s="102" t="str">
        <f>+IF(AB246+AA246+AJ246&lt;=0, "NO COMPRADOR", +IF(AJ246&lt;=0, "SIN COMPRA "&amp;+UPPER(TEXT('DINAMICA ENERO 26'!$C$2,"mmm 'yy")), "COMPRADOR"))</f>
        <v>SIN COMPRA FEB '26</v>
      </c>
      <c r="AL246"/>
      <c r="AM246" s="100"/>
      <c r="AN246" s="101"/>
      <c r="AO246" s="100"/>
      <c r="AP246"/>
      <c r="AQ246"/>
      <c r="AR246"/>
      <c r="AS246"/>
      <c r="AT246"/>
      <c r="AU246"/>
      <c r="AV246"/>
      <c r="AW246"/>
      <c r="AX246"/>
    </row>
    <row r="247" spans="1:50" s="100" customFormat="1">
      <c r="A247" s="88" t="s">
        <v>85</v>
      </c>
      <c r="B247" s="89" t="s">
        <v>315</v>
      </c>
      <c r="C247" s="89" t="s">
        <v>43</v>
      </c>
      <c r="D247" s="103">
        <v>100087724</v>
      </c>
      <c r="E247" s="89" t="s">
        <v>44</v>
      </c>
      <c r="F247" s="89">
        <v>100001196</v>
      </c>
      <c r="G247" s="128" t="s">
        <v>320</v>
      </c>
      <c r="H247" s="166"/>
      <c r="I247" s="92"/>
      <c r="J247" s="92"/>
      <c r="K247" s="92"/>
      <c r="L247" s="92"/>
      <c r="M247" s="94"/>
      <c r="N247" s="94"/>
      <c r="O247" s="129"/>
      <c r="P247" s="167" t="e">
        <f t="shared" si="18"/>
        <v>#DIV/0!</v>
      </c>
      <c r="Q247" s="91">
        <v>4.8</v>
      </c>
      <c r="R247" s="129">
        <v>9.1199999999999992</v>
      </c>
      <c r="S247" s="91">
        <v>43.2</v>
      </c>
      <c r="T247" s="129">
        <v>13.68</v>
      </c>
      <c r="U247" s="93">
        <v>57.6</v>
      </c>
      <c r="V247" s="129">
        <v>0</v>
      </c>
      <c r="W247" s="93">
        <v>14.399999999999999</v>
      </c>
      <c r="X247" s="129">
        <v>27.359999999999996</v>
      </c>
      <c r="Y247" s="93">
        <v>0</v>
      </c>
      <c r="Z247" s="129">
        <v>-4.5599999999999996</v>
      </c>
      <c r="AA247" s="155">
        <f t="shared" si="21"/>
        <v>24</v>
      </c>
      <c r="AB247" s="98">
        <f t="shared" si="21"/>
        <v>7.5999999999999988</v>
      </c>
      <c r="AC247"/>
      <c r="AD247" s="97">
        <v>24</v>
      </c>
      <c r="AE247" s="92">
        <v>9.6</v>
      </c>
      <c r="AF247" s="98">
        <f t="shared" si="20"/>
        <v>33.6</v>
      </c>
      <c r="AG247" s="97">
        <v>22.799999999999997</v>
      </c>
      <c r="AH247" s="92">
        <v>13.68</v>
      </c>
      <c r="AI247" s="98">
        <f t="shared" si="22"/>
        <v>36.479999999999997</v>
      </c>
      <c r="AJ247" s="98">
        <f t="shared" si="19"/>
        <v>70.08</v>
      </c>
      <c r="AK247" s="102" t="str">
        <f>+IF(AB247+AA247+AJ247&lt;=0, "NO COMPRADOR", +IF(AJ247&lt;=0, "SIN COMPRA "&amp;+UPPER(TEXT('DINAMICA ENERO 26'!$C$2,"mmm 'yy")), "COMPRADOR"))</f>
        <v>COMPRADOR</v>
      </c>
      <c r="AL247"/>
      <c r="AN247" s="101"/>
      <c r="AP247"/>
      <c r="AQ247"/>
      <c r="AR247"/>
      <c r="AS247"/>
      <c r="AT247"/>
      <c r="AU247"/>
      <c r="AV247"/>
      <c r="AW247"/>
      <c r="AX247"/>
    </row>
    <row r="248" spans="1:50" s="104" customFormat="1">
      <c r="A248" s="88" t="s">
        <v>85</v>
      </c>
      <c r="B248" s="89" t="s">
        <v>315</v>
      </c>
      <c r="C248" s="89" t="s">
        <v>43</v>
      </c>
      <c r="D248" s="103">
        <v>100087724</v>
      </c>
      <c r="E248" s="89" t="s">
        <v>44</v>
      </c>
      <c r="F248" s="89">
        <v>100001979</v>
      </c>
      <c r="G248" s="128" t="s">
        <v>290</v>
      </c>
      <c r="H248" s="166"/>
      <c r="I248" s="92"/>
      <c r="J248" s="92"/>
      <c r="K248" s="92"/>
      <c r="L248" s="92"/>
      <c r="M248" s="94"/>
      <c r="N248" s="94"/>
      <c r="O248" s="129"/>
      <c r="P248" s="167" t="e">
        <f t="shared" si="18"/>
        <v>#DIV/0!</v>
      </c>
      <c r="Q248" s="91">
        <v>0</v>
      </c>
      <c r="R248" s="129">
        <v>0</v>
      </c>
      <c r="S248" s="91">
        <v>0</v>
      </c>
      <c r="T248" s="129">
        <v>0</v>
      </c>
      <c r="U248" s="93">
        <v>9.6</v>
      </c>
      <c r="V248" s="129">
        <v>9.1199999999999992</v>
      </c>
      <c r="W248" s="93">
        <v>9.6</v>
      </c>
      <c r="X248" s="129">
        <v>4.5599999999999996</v>
      </c>
      <c r="Y248" s="93">
        <v>0</v>
      </c>
      <c r="Z248" s="129">
        <v>4.5599999999999996</v>
      </c>
      <c r="AA248" s="155">
        <f t="shared" si="21"/>
        <v>6.3999999999999995</v>
      </c>
      <c r="AB248" s="98">
        <f t="shared" si="21"/>
        <v>6.0799999999999992</v>
      </c>
      <c r="AC248"/>
      <c r="AD248" s="97">
        <v>4.8</v>
      </c>
      <c r="AE248" s="92">
        <v>9.6</v>
      </c>
      <c r="AF248" s="98">
        <f t="shared" si="20"/>
        <v>14.399999999999999</v>
      </c>
      <c r="AG248" s="97">
        <v>9.1199999999999992</v>
      </c>
      <c r="AH248" s="92">
        <v>0</v>
      </c>
      <c r="AI248" s="98">
        <f t="shared" si="22"/>
        <v>9.1199999999999992</v>
      </c>
      <c r="AJ248" s="98">
        <f t="shared" si="19"/>
        <v>23.519999999999996</v>
      </c>
      <c r="AK248" s="102" t="str">
        <f>+IF(AB248+AA248+AJ248&lt;=0, "NO COMPRADOR", +IF(AJ248&lt;=0, "SIN COMPRA "&amp;+UPPER(TEXT('DINAMICA ENERO 26'!$C$2,"mmm 'yy")), "COMPRADOR"))</f>
        <v>COMPRADOR</v>
      </c>
      <c r="AL248"/>
      <c r="AM248" s="100"/>
      <c r="AN248" s="101"/>
      <c r="AO248" s="100"/>
      <c r="AP248"/>
      <c r="AQ248"/>
      <c r="AR248"/>
      <c r="AS248"/>
      <c r="AT248"/>
      <c r="AU248"/>
      <c r="AV248"/>
      <c r="AW248"/>
      <c r="AX248"/>
    </row>
    <row r="249" spans="1:50" s="100" customFormat="1">
      <c r="A249" s="88" t="s">
        <v>85</v>
      </c>
      <c r="B249" s="89" t="s">
        <v>315</v>
      </c>
      <c r="C249" s="89" t="s">
        <v>43</v>
      </c>
      <c r="D249" s="103">
        <v>100087724</v>
      </c>
      <c r="E249" s="89" t="s">
        <v>44</v>
      </c>
      <c r="F249" s="89">
        <v>100002471</v>
      </c>
      <c r="G249" s="128" t="s">
        <v>338</v>
      </c>
      <c r="H249" s="166"/>
      <c r="I249" s="92"/>
      <c r="J249" s="92"/>
      <c r="K249" s="92"/>
      <c r="L249" s="92"/>
      <c r="M249" s="94"/>
      <c r="N249" s="94"/>
      <c r="O249" s="129"/>
      <c r="P249" s="167" t="e">
        <f t="shared" si="18"/>
        <v>#DIV/0!</v>
      </c>
      <c r="Q249" s="91">
        <v>0</v>
      </c>
      <c r="R249" s="129">
        <v>0</v>
      </c>
      <c r="S249" s="91">
        <v>0</v>
      </c>
      <c r="T249" s="129">
        <v>0</v>
      </c>
      <c r="U249" s="93">
        <v>4.8</v>
      </c>
      <c r="V249" s="129">
        <v>0</v>
      </c>
      <c r="W249" s="93">
        <v>-4.8</v>
      </c>
      <c r="X249" s="129">
        <v>0</v>
      </c>
      <c r="Y249" s="93">
        <v>0</v>
      </c>
      <c r="Z249" s="129">
        <v>0</v>
      </c>
      <c r="AA249" s="155">
        <f t="shared" si="21"/>
        <v>0</v>
      </c>
      <c r="AB249" s="98">
        <f t="shared" si="21"/>
        <v>0</v>
      </c>
      <c r="AC249"/>
      <c r="AD249" s="97">
        <v>0</v>
      </c>
      <c r="AE249" s="92">
        <v>0</v>
      </c>
      <c r="AF249" s="98">
        <f t="shared" si="20"/>
        <v>0</v>
      </c>
      <c r="AG249" s="97">
        <v>0</v>
      </c>
      <c r="AH249" s="92">
        <v>0</v>
      </c>
      <c r="AI249" s="98">
        <f t="shared" si="22"/>
        <v>0</v>
      </c>
      <c r="AJ249" s="98">
        <f t="shared" si="19"/>
        <v>0</v>
      </c>
      <c r="AK249" s="102" t="str">
        <f>+IF(AB249+AA249+AJ249&lt;=0, "NO COMPRADOR", +IF(AJ249&lt;=0, "SIN COMPRA "&amp;+UPPER(TEXT('DINAMICA ENERO 26'!$C$2,"mmm 'yy")), "COMPRADOR"))</f>
        <v>NO COMPRADOR</v>
      </c>
      <c r="AL249"/>
      <c r="AN249" s="101"/>
      <c r="AP249"/>
      <c r="AQ249"/>
      <c r="AR249"/>
      <c r="AS249"/>
      <c r="AT249"/>
      <c r="AU249"/>
      <c r="AV249"/>
      <c r="AW249"/>
      <c r="AX249"/>
    </row>
    <row r="250" spans="1:50" s="100" customFormat="1">
      <c r="A250" s="88" t="s">
        <v>85</v>
      </c>
      <c r="B250" s="89" t="s">
        <v>315</v>
      </c>
      <c r="C250" s="89" t="s">
        <v>43</v>
      </c>
      <c r="D250" s="103">
        <v>100087724</v>
      </c>
      <c r="E250" s="89" t="s">
        <v>44</v>
      </c>
      <c r="F250" s="89">
        <v>100005866</v>
      </c>
      <c r="G250" s="128" t="s">
        <v>339</v>
      </c>
      <c r="H250" s="166"/>
      <c r="I250" s="92"/>
      <c r="J250" s="92"/>
      <c r="K250" s="92"/>
      <c r="L250" s="92"/>
      <c r="M250" s="94"/>
      <c r="N250" s="94"/>
      <c r="O250" s="129"/>
      <c r="P250" s="167" t="e">
        <f t="shared" si="18"/>
        <v>#DIV/0!</v>
      </c>
      <c r="Q250" s="91">
        <v>24</v>
      </c>
      <c r="R250" s="129">
        <v>4.5600000000000005</v>
      </c>
      <c r="S250" s="91">
        <v>14.399999999999999</v>
      </c>
      <c r="T250" s="129">
        <v>0</v>
      </c>
      <c r="U250" s="93">
        <v>4.8</v>
      </c>
      <c r="V250" s="129">
        <v>0</v>
      </c>
      <c r="W250" s="93">
        <v>0</v>
      </c>
      <c r="X250" s="129">
        <v>4.5599999999999996</v>
      </c>
      <c r="Y250" s="93">
        <v>0</v>
      </c>
      <c r="Z250" s="129">
        <v>0</v>
      </c>
      <c r="AA250" s="155">
        <f t="shared" si="21"/>
        <v>1.5999999999999999</v>
      </c>
      <c r="AB250" s="98">
        <f t="shared" si="21"/>
        <v>1.5199999999999998</v>
      </c>
      <c r="AC250"/>
      <c r="AD250" s="97">
        <v>0</v>
      </c>
      <c r="AE250" s="92">
        <v>0</v>
      </c>
      <c r="AF250" s="98">
        <f t="shared" si="20"/>
        <v>0</v>
      </c>
      <c r="AG250" s="97">
        <v>0</v>
      </c>
      <c r="AH250" s="92">
        <v>0</v>
      </c>
      <c r="AI250" s="98">
        <f t="shared" si="22"/>
        <v>0</v>
      </c>
      <c r="AJ250" s="98">
        <f t="shared" si="19"/>
        <v>0</v>
      </c>
      <c r="AK250" s="102" t="str">
        <f>+IF(AB250+AA250+AJ250&lt;=0, "NO COMPRADOR", +IF(AJ250&lt;=0, "SIN COMPRA "&amp;+UPPER(TEXT('DINAMICA ENERO 26'!$C$2,"mmm 'yy")), "COMPRADOR"))</f>
        <v>SIN COMPRA FEB '26</v>
      </c>
      <c r="AL250"/>
      <c r="AN250" s="101"/>
      <c r="AP250"/>
      <c r="AQ250"/>
      <c r="AR250"/>
      <c r="AS250"/>
      <c r="AT250"/>
      <c r="AU250"/>
      <c r="AV250"/>
      <c r="AW250"/>
      <c r="AX250"/>
    </row>
    <row r="251" spans="1:50" s="100" customFormat="1">
      <c r="A251" s="88" t="s">
        <v>85</v>
      </c>
      <c r="B251" s="89" t="s">
        <v>315</v>
      </c>
      <c r="C251" s="89" t="s">
        <v>43</v>
      </c>
      <c r="D251" s="103">
        <v>100087724</v>
      </c>
      <c r="E251" s="89" t="s">
        <v>44</v>
      </c>
      <c r="F251" s="89">
        <v>100025209</v>
      </c>
      <c r="G251" s="128" t="s">
        <v>340</v>
      </c>
      <c r="H251" s="166"/>
      <c r="I251" s="92"/>
      <c r="J251" s="92"/>
      <c r="K251" s="92"/>
      <c r="L251" s="92"/>
      <c r="M251" s="94"/>
      <c r="N251" s="94"/>
      <c r="O251" s="129"/>
      <c r="P251" s="167" t="e">
        <f t="shared" si="18"/>
        <v>#DIV/0!</v>
      </c>
      <c r="Q251" s="91">
        <v>72</v>
      </c>
      <c r="R251" s="129">
        <v>0</v>
      </c>
      <c r="S251" s="91">
        <v>144</v>
      </c>
      <c r="T251" s="129">
        <v>4.5599999999999996</v>
      </c>
      <c r="U251" s="93">
        <v>120</v>
      </c>
      <c r="V251" s="129">
        <v>4.5599999999999996</v>
      </c>
      <c r="W251" s="93">
        <v>144</v>
      </c>
      <c r="X251" s="129">
        <v>278.15999999999997</v>
      </c>
      <c r="Y251" s="93">
        <v>0</v>
      </c>
      <c r="Z251" s="129">
        <v>0</v>
      </c>
      <c r="AA251" s="155">
        <f t="shared" si="21"/>
        <v>88</v>
      </c>
      <c r="AB251" s="98">
        <f t="shared" si="21"/>
        <v>94.24</v>
      </c>
      <c r="AC251"/>
      <c r="AD251" s="97">
        <v>216</v>
      </c>
      <c r="AE251" s="92">
        <v>0</v>
      </c>
      <c r="AF251" s="98">
        <f t="shared" si="20"/>
        <v>216</v>
      </c>
      <c r="AG251" s="97">
        <v>0</v>
      </c>
      <c r="AH251" s="92">
        <v>0</v>
      </c>
      <c r="AI251" s="98">
        <f t="shared" si="22"/>
        <v>0</v>
      </c>
      <c r="AJ251" s="98">
        <f t="shared" si="19"/>
        <v>216</v>
      </c>
      <c r="AK251" s="102" t="str">
        <f>+IF(AB251+AA251+AJ251&lt;=0, "NO COMPRADOR", +IF(AJ251&lt;=0, "SIN COMPRA "&amp;+UPPER(TEXT('DINAMICA ENERO 26'!$C$2,"mmm 'yy")), "COMPRADOR"))</f>
        <v>COMPRADOR</v>
      </c>
      <c r="AL251"/>
      <c r="AN251" s="101"/>
      <c r="AP251"/>
      <c r="AQ251"/>
      <c r="AR251"/>
      <c r="AS251"/>
      <c r="AT251"/>
      <c r="AU251"/>
      <c r="AV251"/>
      <c r="AW251"/>
      <c r="AX251"/>
    </row>
    <row r="252" spans="1:50" s="100" customFormat="1">
      <c r="A252" s="88" t="s">
        <v>85</v>
      </c>
      <c r="B252" s="89" t="s">
        <v>315</v>
      </c>
      <c r="C252" s="89" t="s">
        <v>43</v>
      </c>
      <c r="D252" s="103">
        <v>100087724</v>
      </c>
      <c r="E252" s="89" t="s">
        <v>44</v>
      </c>
      <c r="F252" s="89">
        <v>100087941</v>
      </c>
      <c r="G252" s="128" t="s">
        <v>341</v>
      </c>
      <c r="H252" s="166"/>
      <c r="I252" s="92"/>
      <c r="J252" s="92"/>
      <c r="K252" s="92"/>
      <c r="L252" s="92"/>
      <c r="M252" s="94"/>
      <c r="N252" s="94"/>
      <c r="O252" s="129"/>
      <c r="P252" s="167" t="e">
        <f t="shared" si="18"/>
        <v>#DIV/0!</v>
      </c>
      <c r="Q252" s="91">
        <v>4.8</v>
      </c>
      <c r="R252" s="129">
        <v>0</v>
      </c>
      <c r="S252" s="91">
        <v>4.8</v>
      </c>
      <c r="T252" s="129">
        <v>0</v>
      </c>
      <c r="U252" s="93">
        <v>24</v>
      </c>
      <c r="V252" s="129">
        <v>0</v>
      </c>
      <c r="W252" s="93">
        <v>0</v>
      </c>
      <c r="X252" s="129">
        <v>0</v>
      </c>
      <c r="Y252" s="93">
        <v>4.8</v>
      </c>
      <c r="Z252" s="129">
        <v>18.239999999999998</v>
      </c>
      <c r="AA252" s="155">
        <f t="shared" si="21"/>
        <v>9.6</v>
      </c>
      <c r="AB252" s="98">
        <f t="shared" si="21"/>
        <v>6.0799999999999992</v>
      </c>
      <c r="AC252"/>
      <c r="AD252" s="97">
        <v>4.8</v>
      </c>
      <c r="AE252" s="92">
        <v>0</v>
      </c>
      <c r="AF252" s="98">
        <f t="shared" si="20"/>
        <v>4.8</v>
      </c>
      <c r="AG252" s="97">
        <v>0</v>
      </c>
      <c r="AH252" s="92">
        <v>0</v>
      </c>
      <c r="AI252" s="98">
        <f t="shared" si="22"/>
        <v>0</v>
      </c>
      <c r="AJ252" s="98">
        <f t="shared" si="19"/>
        <v>4.8</v>
      </c>
      <c r="AK252" s="102" t="str">
        <f>+IF(AB252+AA252+AJ252&lt;=0, "NO COMPRADOR", +IF(AJ252&lt;=0, "SIN COMPRA "&amp;+UPPER(TEXT('DINAMICA ENERO 26'!$C$2,"mmm 'yy")), "COMPRADOR"))</f>
        <v>COMPRADOR</v>
      </c>
      <c r="AL252"/>
      <c r="AN252" s="101"/>
      <c r="AP252"/>
      <c r="AQ252"/>
      <c r="AR252"/>
      <c r="AS252"/>
      <c r="AT252"/>
      <c r="AU252"/>
      <c r="AV252"/>
      <c r="AW252"/>
      <c r="AX252"/>
    </row>
    <row r="253" spans="1:50" s="100" customFormat="1">
      <c r="A253" s="88" t="s">
        <v>85</v>
      </c>
      <c r="B253" s="89" t="s">
        <v>315</v>
      </c>
      <c r="C253" s="89" t="s">
        <v>43</v>
      </c>
      <c r="D253" s="103">
        <v>100087724</v>
      </c>
      <c r="E253" s="89" t="s">
        <v>44</v>
      </c>
      <c r="F253" s="89">
        <v>100067528</v>
      </c>
      <c r="G253" s="128" t="s">
        <v>342</v>
      </c>
      <c r="H253" s="166"/>
      <c r="I253" s="92"/>
      <c r="J253" s="92"/>
      <c r="K253" s="92"/>
      <c r="L253" s="92"/>
      <c r="M253" s="94"/>
      <c r="N253" s="94"/>
      <c r="O253" s="129"/>
      <c r="P253" s="167" t="e">
        <f t="shared" si="18"/>
        <v>#DIV/0!</v>
      </c>
      <c r="Q253" s="91">
        <v>4.8</v>
      </c>
      <c r="R253" s="129">
        <v>0</v>
      </c>
      <c r="S253" s="91">
        <v>4.8</v>
      </c>
      <c r="T253" s="129">
        <v>4.5599999999999996</v>
      </c>
      <c r="U253" s="93">
        <v>28.8</v>
      </c>
      <c r="V253" s="129">
        <v>0</v>
      </c>
      <c r="W253" s="93">
        <v>0</v>
      </c>
      <c r="X253" s="129">
        <v>4.5599999999999996</v>
      </c>
      <c r="Y253" s="93">
        <v>0</v>
      </c>
      <c r="Z253" s="129">
        <v>4.5599999999999996</v>
      </c>
      <c r="AA253" s="155">
        <f t="shared" si="21"/>
        <v>9.6</v>
      </c>
      <c r="AB253" s="98">
        <f t="shared" si="21"/>
        <v>3.0399999999999996</v>
      </c>
      <c r="AC253"/>
      <c r="AD253" s="97">
        <v>0</v>
      </c>
      <c r="AE253" s="92">
        <v>0</v>
      </c>
      <c r="AF253" s="98">
        <f t="shared" si="20"/>
        <v>0</v>
      </c>
      <c r="AG253" s="97">
        <v>0</v>
      </c>
      <c r="AH253" s="92">
        <v>0</v>
      </c>
      <c r="AI253" s="98">
        <f t="shared" si="22"/>
        <v>0</v>
      </c>
      <c r="AJ253" s="98">
        <f t="shared" si="19"/>
        <v>0</v>
      </c>
      <c r="AK253" s="102" t="str">
        <f>+IF(AB253+AA253+AJ253&lt;=0, "NO COMPRADOR", +IF(AJ253&lt;=0, "SIN COMPRA "&amp;+UPPER(TEXT('DINAMICA ENERO 26'!$C$2,"mmm 'yy")), "COMPRADOR"))</f>
        <v>SIN COMPRA FEB '26</v>
      </c>
      <c r="AL253"/>
      <c r="AN253" s="101"/>
      <c r="AP253"/>
      <c r="AQ253"/>
      <c r="AR253"/>
      <c r="AS253"/>
      <c r="AT253"/>
      <c r="AU253"/>
      <c r="AV253"/>
      <c r="AW253"/>
      <c r="AX253"/>
    </row>
    <row r="254" spans="1:50" s="104" customFormat="1">
      <c r="A254" s="88" t="s">
        <v>85</v>
      </c>
      <c r="B254" s="89" t="s">
        <v>315</v>
      </c>
      <c r="C254" s="89" t="s">
        <v>43</v>
      </c>
      <c r="D254" s="103">
        <v>100087724</v>
      </c>
      <c r="E254" s="89" t="s">
        <v>44</v>
      </c>
      <c r="F254" s="89">
        <v>100087924</v>
      </c>
      <c r="G254" s="128" t="s">
        <v>343</v>
      </c>
      <c r="H254" s="166"/>
      <c r="I254" s="92"/>
      <c r="J254" s="92"/>
      <c r="K254" s="92"/>
      <c r="L254" s="92"/>
      <c r="M254" s="94"/>
      <c r="N254" s="94"/>
      <c r="O254" s="129"/>
      <c r="P254" s="167" t="e">
        <f t="shared" si="18"/>
        <v>#DIV/0!</v>
      </c>
      <c r="Q254" s="91">
        <v>0</v>
      </c>
      <c r="R254" s="129">
        <v>0</v>
      </c>
      <c r="S254" s="91">
        <v>4.8</v>
      </c>
      <c r="T254" s="129">
        <v>0</v>
      </c>
      <c r="U254" s="93">
        <v>4.8</v>
      </c>
      <c r="V254" s="129">
        <v>0</v>
      </c>
      <c r="W254" s="93">
        <v>0</v>
      </c>
      <c r="X254" s="129">
        <v>4.5599999999999996</v>
      </c>
      <c r="Y254" s="93">
        <v>0</v>
      </c>
      <c r="Z254" s="129">
        <v>0</v>
      </c>
      <c r="AA254" s="155">
        <f t="shared" si="21"/>
        <v>1.5999999999999999</v>
      </c>
      <c r="AB254" s="98">
        <f t="shared" si="21"/>
        <v>1.5199999999999998</v>
      </c>
      <c r="AC254"/>
      <c r="AD254" s="97">
        <v>0</v>
      </c>
      <c r="AE254" s="92">
        <v>0</v>
      </c>
      <c r="AF254" s="98">
        <f t="shared" si="20"/>
        <v>0</v>
      </c>
      <c r="AG254" s="97">
        <v>0</v>
      </c>
      <c r="AH254" s="92">
        <v>0</v>
      </c>
      <c r="AI254" s="98">
        <f t="shared" si="22"/>
        <v>0</v>
      </c>
      <c r="AJ254" s="98">
        <f t="shared" si="19"/>
        <v>0</v>
      </c>
      <c r="AK254" s="102" t="str">
        <f>+IF(AB254+AA254+AJ254&lt;=0, "NO COMPRADOR", +IF(AJ254&lt;=0, "SIN COMPRA "&amp;+UPPER(TEXT('DINAMICA ENERO 26'!$C$2,"mmm 'yy")), "COMPRADOR"))</f>
        <v>SIN COMPRA FEB '26</v>
      </c>
      <c r="AL254"/>
      <c r="AM254" s="100"/>
      <c r="AN254" s="101"/>
      <c r="AO254" s="100"/>
      <c r="AP254"/>
      <c r="AQ254"/>
      <c r="AR254"/>
      <c r="AS254"/>
      <c r="AT254"/>
      <c r="AU254"/>
      <c r="AV254"/>
      <c r="AW254"/>
      <c r="AX254"/>
    </row>
    <row r="255" spans="1:50" s="104" customFormat="1">
      <c r="A255" s="88" t="s">
        <v>85</v>
      </c>
      <c r="B255" s="89" t="s">
        <v>315</v>
      </c>
      <c r="C255" s="89" t="s">
        <v>43</v>
      </c>
      <c r="D255" s="103">
        <v>100087724</v>
      </c>
      <c r="E255" s="89" t="s">
        <v>44</v>
      </c>
      <c r="F255" s="89">
        <v>100069181</v>
      </c>
      <c r="G255" s="128" t="s">
        <v>344</v>
      </c>
      <c r="H255" s="166"/>
      <c r="I255" s="92"/>
      <c r="J255" s="92"/>
      <c r="K255" s="92"/>
      <c r="L255" s="92"/>
      <c r="M255" s="94"/>
      <c r="N255" s="94"/>
      <c r="O255" s="129"/>
      <c r="P255" s="167" t="e">
        <f t="shared" si="18"/>
        <v>#DIV/0!</v>
      </c>
      <c r="Q255" s="91">
        <v>48</v>
      </c>
      <c r="R255" s="129">
        <v>0</v>
      </c>
      <c r="S255" s="91">
        <v>91.2</v>
      </c>
      <c r="T255" s="129">
        <v>4.5599999999999996</v>
      </c>
      <c r="U255" s="93">
        <v>4.8</v>
      </c>
      <c r="V255" s="129">
        <v>0</v>
      </c>
      <c r="W255" s="93">
        <v>72</v>
      </c>
      <c r="X255" s="129">
        <v>0</v>
      </c>
      <c r="Y255" s="93">
        <v>14.399999999999999</v>
      </c>
      <c r="Z255" s="129">
        <v>63.839999999999989</v>
      </c>
      <c r="AA255" s="155">
        <f t="shared" si="21"/>
        <v>30.399999999999995</v>
      </c>
      <c r="AB255" s="98">
        <f t="shared" si="21"/>
        <v>21.279999999999998</v>
      </c>
      <c r="AC255"/>
      <c r="AD255" s="97">
        <v>57.599999999999994</v>
      </c>
      <c r="AE255" s="92">
        <v>0</v>
      </c>
      <c r="AF255" s="98">
        <f t="shared" si="20"/>
        <v>57.599999999999994</v>
      </c>
      <c r="AG255" s="97">
        <v>-22.799999999999997</v>
      </c>
      <c r="AH255" s="92">
        <v>0</v>
      </c>
      <c r="AI255" s="98">
        <f t="shared" si="22"/>
        <v>-22.799999999999997</v>
      </c>
      <c r="AJ255" s="98">
        <f t="shared" si="19"/>
        <v>34.799999999999997</v>
      </c>
      <c r="AK255" s="102" t="str">
        <f>+IF(AB255+AA255+AJ255&lt;=0, "NO COMPRADOR", +IF(AJ255&lt;=0, "SIN COMPRA "&amp;+UPPER(TEXT('DINAMICA ENERO 26'!$C$2,"mmm 'yy")), "COMPRADOR"))</f>
        <v>COMPRADOR</v>
      </c>
      <c r="AL255"/>
      <c r="AM255" s="100"/>
      <c r="AN255" s="101"/>
      <c r="AO255" s="100"/>
      <c r="AP255"/>
      <c r="AQ255"/>
      <c r="AR255"/>
      <c r="AS255"/>
      <c r="AT255"/>
      <c r="AU255"/>
      <c r="AV255"/>
      <c r="AW255"/>
      <c r="AX255"/>
    </row>
    <row r="256" spans="1:50" s="104" customFormat="1">
      <c r="A256" s="88" t="s">
        <v>85</v>
      </c>
      <c r="B256" s="89" t="s">
        <v>315</v>
      </c>
      <c r="C256" s="89" t="s">
        <v>43</v>
      </c>
      <c r="D256" s="103">
        <v>100087724</v>
      </c>
      <c r="E256" s="89" t="s">
        <v>44</v>
      </c>
      <c r="F256" s="89">
        <v>100070616</v>
      </c>
      <c r="G256" s="128" t="s">
        <v>345</v>
      </c>
      <c r="H256" s="166"/>
      <c r="I256" s="92"/>
      <c r="J256" s="92"/>
      <c r="K256" s="92"/>
      <c r="L256" s="92"/>
      <c r="M256" s="94"/>
      <c r="N256" s="94"/>
      <c r="O256" s="129"/>
      <c r="P256" s="167" t="e">
        <f t="shared" si="18"/>
        <v>#DIV/0!</v>
      </c>
      <c r="Q256" s="91">
        <v>86.4</v>
      </c>
      <c r="R256" s="129">
        <v>0</v>
      </c>
      <c r="S256" s="91">
        <v>28.799999999999997</v>
      </c>
      <c r="T256" s="129">
        <v>0</v>
      </c>
      <c r="U256" s="93">
        <v>38.4</v>
      </c>
      <c r="V256" s="129">
        <v>0</v>
      </c>
      <c r="W256" s="93">
        <v>28.799999999999997</v>
      </c>
      <c r="X256" s="129">
        <v>0</v>
      </c>
      <c r="Y256" s="93">
        <v>38.4</v>
      </c>
      <c r="Z256" s="129">
        <v>4.5599999999999996</v>
      </c>
      <c r="AA256" s="155">
        <f t="shared" si="21"/>
        <v>35.199999999999996</v>
      </c>
      <c r="AB256" s="98">
        <f t="shared" si="21"/>
        <v>1.5199999999999998</v>
      </c>
      <c r="AC256"/>
      <c r="AD256" s="97">
        <v>38.4</v>
      </c>
      <c r="AE256" s="92">
        <v>0</v>
      </c>
      <c r="AF256" s="98">
        <f t="shared" si="20"/>
        <v>38.4</v>
      </c>
      <c r="AG256" s="97">
        <v>0</v>
      </c>
      <c r="AH256" s="92">
        <v>0</v>
      </c>
      <c r="AI256" s="98">
        <f t="shared" si="22"/>
        <v>0</v>
      </c>
      <c r="AJ256" s="98">
        <f t="shared" si="19"/>
        <v>38.4</v>
      </c>
      <c r="AK256" s="102" t="str">
        <f>+IF(AB256+AA256+AJ256&lt;=0, "NO COMPRADOR", +IF(AJ256&lt;=0, "SIN COMPRA "&amp;+UPPER(TEXT('DINAMICA ENERO 26'!$C$2,"mmm 'yy")), "COMPRADOR"))</f>
        <v>COMPRADOR</v>
      </c>
      <c r="AL256"/>
      <c r="AM256" s="100"/>
      <c r="AN256" s="101"/>
      <c r="AO256" s="100"/>
      <c r="AP256"/>
      <c r="AQ256"/>
      <c r="AR256"/>
      <c r="AS256"/>
      <c r="AT256"/>
      <c r="AU256"/>
      <c r="AV256"/>
      <c r="AW256"/>
      <c r="AX256"/>
    </row>
    <row r="257" spans="1:50" s="100" customFormat="1">
      <c r="A257" s="88" t="s">
        <v>85</v>
      </c>
      <c r="B257" s="89" t="s">
        <v>315</v>
      </c>
      <c r="C257" s="89" t="s">
        <v>43</v>
      </c>
      <c r="D257" s="103">
        <v>100087724</v>
      </c>
      <c r="E257" s="89" t="s">
        <v>44</v>
      </c>
      <c r="F257" s="89">
        <v>100079876</v>
      </c>
      <c r="G257" s="128" t="s">
        <v>346</v>
      </c>
      <c r="H257" s="166"/>
      <c r="I257" s="92"/>
      <c r="J257" s="92"/>
      <c r="K257" s="92"/>
      <c r="L257" s="92"/>
      <c r="M257" s="94"/>
      <c r="N257" s="94"/>
      <c r="O257" s="129"/>
      <c r="P257" s="167" t="e">
        <f t="shared" si="18"/>
        <v>#DIV/0!</v>
      </c>
      <c r="Q257" s="91">
        <v>38.4</v>
      </c>
      <c r="R257" s="129">
        <v>0</v>
      </c>
      <c r="S257" s="91">
        <v>0</v>
      </c>
      <c r="T257" s="129">
        <v>0</v>
      </c>
      <c r="U257" s="93">
        <v>24</v>
      </c>
      <c r="V257" s="129">
        <v>36.479999999999997</v>
      </c>
      <c r="W257" s="93">
        <v>4.8</v>
      </c>
      <c r="X257" s="129">
        <v>0</v>
      </c>
      <c r="Y257" s="93">
        <v>0</v>
      </c>
      <c r="Z257" s="129">
        <v>0</v>
      </c>
      <c r="AA257" s="155">
        <f t="shared" si="21"/>
        <v>9.6</v>
      </c>
      <c r="AB257" s="98">
        <f t="shared" si="21"/>
        <v>12.159999999999998</v>
      </c>
      <c r="AC257"/>
      <c r="AD257" s="97">
        <v>0</v>
      </c>
      <c r="AE257" s="92">
        <v>0</v>
      </c>
      <c r="AF257" s="98">
        <f t="shared" si="20"/>
        <v>0</v>
      </c>
      <c r="AG257" s="97">
        <v>18.239999999999998</v>
      </c>
      <c r="AH257" s="92">
        <v>0</v>
      </c>
      <c r="AI257" s="98">
        <f t="shared" si="22"/>
        <v>18.239999999999998</v>
      </c>
      <c r="AJ257" s="98">
        <f t="shared" si="19"/>
        <v>18.239999999999998</v>
      </c>
      <c r="AK257" s="102" t="str">
        <f>+IF(AB257+AA257+AJ257&lt;=0, "NO COMPRADOR", +IF(AJ257&lt;=0, "SIN COMPRA "&amp;+UPPER(TEXT('DINAMICA ENERO 26'!$C$2,"mmm 'yy")), "COMPRADOR"))</f>
        <v>COMPRADOR</v>
      </c>
      <c r="AL257"/>
      <c r="AN257" s="101"/>
      <c r="AP257"/>
      <c r="AQ257"/>
      <c r="AR257"/>
      <c r="AS257"/>
      <c r="AT257"/>
      <c r="AU257"/>
      <c r="AV257"/>
      <c r="AW257"/>
      <c r="AX257"/>
    </row>
    <row r="258" spans="1:50" s="100" customFormat="1">
      <c r="A258" s="88" t="s">
        <v>85</v>
      </c>
      <c r="B258" s="89" t="s">
        <v>315</v>
      </c>
      <c r="C258" s="89" t="s">
        <v>43</v>
      </c>
      <c r="D258" s="103">
        <v>100087724</v>
      </c>
      <c r="E258" s="89" t="s">
        <v>44</v>
      </c>
      <c r="F258" s="89">
        <v>100081157</v>
      </c>
      <c r="G258" s="128" t="s">
        <v>347</v>
      </c>
      <c r="H258" s="166"/>
      <c r="I258" s="92"/>
      <c r="J258" s="92"/>
      <c r="K258" s="92"/>
      <c r="L258" s="92"/>
      <c r="M258" s="94"/>
      <c r="N258" s="94"/>
      <c r="O258" s="129"/>
      <c r="P258" s="167" t="e">
        <f t="shared" si="18"/>
        <v>#DIV/0!</v>
      </c>
      <c r="Q258" s="91">
        <v>4.8</v>
      </c>
      <c r="R258" s="129">
        <v>0</v>
      </c>
      <c r="S258" s="91">
        <v>4.8</v>
      </c>
      <c r="T258" s="129">
        <v>0</v>
      </c>
      <c r="U258" s="93">
        <v>4.8</v>
      </c>
      <c r="V258" s="129">
        <v>0</v>
      </c>
      <c r="W258" s="93">
        <v>0</v>
      </c>
      <c r="X258" s="129">
        <v>4.5599999999999996</v>
      </c>
      <c r="Y258" s="93">
        <v>0</v>
      </c>
      <c r="Z258" s="129">
        <v>0</v>
      </c>
      <c r="AA258" s="155">
        <f t="shared" si="21"/>
        <v>1.5999999999999999</v>
      </c>
      <c r="AB258" s="98">
        <f t="shared" si="21"/>
        <v>1.5199999999999998</v>
      </c>
      <c r="AC258"/>
      <c r="AD258" s="97">
        <v>4.8</v>
      </c>
      <c r="AE258" s="92">
        <v>0</v>
      </c>
      <c r="AF258" s="98">
        <f t="shared" si="20"/>
        <v>4.8</v>
      </c>
      <c r="AG258" s="97">
        <v>0</v>
      </c>
      <c r="AH258" s="92">
        <v>0</v>
      </c>
      <c r="AI258" s="98">
        <f t="shared" si="22"/>
        <v>0</v>
      </c>
      <c r="AJ258" s="98">
        <f t="shared" si="19"/>
        <v>4.8</v>
      </c>
      <c r="AK258" s="102" t="str">
        <f>+IF(AB258+AA258+AJ258&lt;=0, "NO COMPRADOR", +IF(AJ258&lt;=0, "SIN COMPRA "&amp;+UPPER(TEXT('DINAMICA ENERO 26'!$C$2,"mmm 'yy")), "COMPRADOR"))</f>
        <v>COMPRADOR</v>
      </c>
      <c r="AL258"/>
      <c r="AN258" s="101"/>
      <c r="AP258"/>
      <c r="AQ258"/>
      <c r="AR258"/>
      <c r="AS258"/>
      <c r="AT258"/>
      <c r="AU258"/>
      <c r="AV258"/>
      <c r="AW258"/>
      <c r="AX258"/>
    </row>
    <row r="259" spans="1:50" s="104" customFormat="1">
      <c r="A259" s="88" t="s">
        <v>85</v>
      </c>
      <c r="B259" s="89" t="s">
        <v>315</v>
      </c>
      <c r="C259" s="89" t="s">
        <v>43</v>
      </c>
      <c r="D259" s="103">
        <v>100087724</v>
      </c>
      <c r="E259" s="89" t="s">
        <v>44</v>
      </c>
      <c r="F259" s="89">
        <v>100083001</v>
      </c>
      <c r="G259" s="128" t="s">
        <v>348</v>
      </c>
      <c r="H259" s="166"/>
      <c r="I259" s="92"/>
      <c r="J259" s="92"/>
      <c r="K259" s="92"/>
      <c r="L259" s="92"/>
      <c r="M259" s="94"/>
      <c r="N259" s="94"/>
      <c r="O259" s="129"/>
      <c r="P259" s="167" t="e">
        <f t="shared" ref="P259:P303" si="23">+AVERAGE(L259:N259)</f>
        <v>#DIV/0!</v>
      </c>
      <c r="Q259" s="91">
        <v>71.999999999999986</v>
      </c>
      <c r="R259" s="129">
        <v>4.5599999999999996</v>
      </c>
      <c r="S259" s="91">
        <v>47.999999999999993</v>
      </c>
      <c r="T259" s="129">
        <v>18.239999999999998</v>
      </c>
      <c r="U259" s="93">
        <v>52.8</v>
      </c>
      <c r="V259" s="129">
        <v>4.5599999999999996</v>
      </c>
      <c r="W259" s="93">
        <v>33.6</v>
      </c>
      <c r="X259" s="129">
        <v>18.239999999999998</v>
      </c>
      <c r="Y259" s="93">
        <v>28.8</v>
      </c>
      <c r="Z259" s="129">
        <v>22.799999999999997</v>
      </c>
      <c r="AA259" s="155">
        <f t="shared" si="21"/>
        <v>38.4</v>
      </c>
      <c r="AB259" s="98">
        <f t="shared" si="21"/>
        <v>15.199999999999998</v>
      </c>
      <c r="AC259"/>
      <c r="AD259" s="97">
        <v>4.8</v>
      </c>
      <c r="AE259" s="92">
        <v>0</v>
      </c>
      <c r="AF259" s="98">
        <f t="shared" si="20"/>
        <v>4.8</v>
      </c>
      <c r="AG259" s="97">
        <v>-4.5599999999999996</v>
      </c>
      <c r="AH259" s="92">
        <v>0</v>
      </c>
      <c r="AI259" s="98">
        <f t="shared" si="22"/>
        <v>-4.5599999999999996</v>
      </c>
      <c r="AJ259" s="98">
        <f t="shared" ref="AJ259:AJ322" si="24">+AF259+AI259</f>
        <v>0.24000000000000021</v>
      </c>
      <c r="AK259" s="102" t="str">
        <f>+IF(AB259+AA259+AJ259&lt;=0, "NO COMPRADOR", +IF(AJ259&lt;=0, "SIN COMPRA "&amp;+UPPER(TEXT('DINAMICA ENERO 26'!$C$2,"mmm 'yy")), "COMPRADOR"))</f>
        <v>COMPRADOR</v>
      </c>
      <c r="AL259"/>
      <c r="AM259" s="100"/>
      <c r="AN259" s="101"/>
      <c r="AO259" s="100"/>
      <c r="AP259"/>
      <c r="AQ259"/>
      <c r="AR259"/>
      <c r="AS259"/>
      <c r="AT259"/>
      <c r="AU259"/>
      <c r="AV259"/>
      <c r="AW259"/>
      <c r="AX259"/>
    </row>
    <row r="260" spans="1:50" s="100" customFormat="1">
      <c r="A260" s="88" t="s">
        <v>85</v>
      </c>
      <c r="B260" s="89" t="s">
        <v>315</v>
      </c>
      <c r="C260" s="89" t="s">
        <v>43</v>
      </c>
      <c r="D260" s="103">
        <v>100087724</v>
      </c>
      <c r="E260" s="89" t="s">
        <v>44</v>
      </c>
      <c r="F260" s="89">
        <v>100084045</v>
      </c>
      <c r="G260" s="128" t="s">
        <v>349</v>
      </c>
      <c r="H260" s="166"/>
      <c r="I260" s="92"/>
      <c r="J260" s="92"/>
      <c r="K260" s="92"/>
      <c r="L260" s="92"/>
      <c r="M260" s="94"/>
      <c r="N260" s="94"/>
      <c r="O260" s="129"/>
      <c r="P260" s="167" t="e">
        <f t="shared" si="23"/>
        <v>#DIV/0!</v>
      </c>
      <c r="Q260" s="91">
        <v>0</v>
      </c>
      <c r="R260" s="129">
        <v>0</v>
      </c>
      <c r="S260" s="91">
        <v>28.8</v>
      </c>
      <c r="T260" s="129">
        <v>4.5599999999999996</v>
      </c>
      <c r="U260" s="93">
        <v>57.599999999999994</v>
      </c>
      <c r="V260" s="129">
        <v>0</v>
      </c>
      <c r="W260" s="93">
        <v>72</v>
      </c>
      <c r="X260" s="129">
        <v>0</v>
      </c>
      <c r="Y260" s="93">
        <v>0</v>
      </c>
      <c r="Z260" s="129">
        <v>4.5599999999999996</v>
      </c>
      <c r="AA260" s="155">
        <f t="shared" si="21"/>
        <v>43.199999999999996</v>
      </c>
      <c r="AB260" s="98">
        <f t="shared" si="21"/>
        <v>1.5199999999999998</v>
      </c>
      <c r="AC260"/>
      <c r="AD260" s="97">
        <v>4.8</v>
      </c>
      <c r="AE260" s="92">
        <v>0</v>
      </c>
      <c r="AF260" s="98">
        <f t="shared" ref="AF260:AF323" si="25">+AD260+AE260</f>
        <v>4.8</v>
      </c>
      <c r="AG260" s="97">
        <v>13.68</v>
      </c>
      <c r="AH260" s="92">
        <v>0</v>
      </c>
      <c r="AI260" s="98">
        <f t="shared" si="22"/>
        <v>13.68</v>
      </c>
      <c r="AJ260" s="98">
        <f t="shared" si="24"/>
        <v>18.48</v>
      </c>
      <c r="AK260" s="102" t="str">
        <f>+IF(AB260+AA260+AJ260&lt;=0, "NO COMPRADOR", +IF(AJ260&lt;=0, "SIN COMPRA "&amp;+UPPER(TEXT('DINAMICA ENERO 26'!$C$2,"mmm 'yy")), "COMPRADOR"))</f>
        <v>COMPRADOR</v>
      </c>
      <c r="AL260"/>
      <c r="AN260" s="101"/>
      <c r="AP260"/>
      <c r="AQ260"/>
      <c r="AR260"/>
      <c r="AS260"/>
      <c r="AT260"/>
      <c r="AU260"/>
      <c r="AV260"/>
      <c r="AW260"/>
      <c r="AX260"/>
    </row>
    <row r="261" spans="1:50" s="104" customFormat="1">
      <c r="A261" s="88" t="s">
        <v>85</v>
      </c>
      <c r="B261" s="89" t="s">
        <v>315</v>
      </c>
      <c r="C261" s="89" t="s">
        <v>43</v>
      </c>
      <c r="D261" s="103">
        <v>100087724</v>
      </c>
      <c r="E261" s="89" t="s">
        <v>44</v>
      </c>
      <c r="F261" s="89">
        <v>100087681</v>
      </c>
      <c r="G261" s="128" t="s">
        <v>350</v>
      </c>
      <c r="H261" s="166"/>
      <c r="I261" s="92"/>
      <c r="J261" s="92"/>
      <c r="K261" s="92"/>
      <c r="L261" s="92"/>
      <c r="M261" s="94"/>
      <c r="N261" s="94"/>
      <c r="O261" s="129"/>
      <c r="P261" s="167" t="e">
        <f t="shared" si="23"/>
        <v>#DIV/0!</v>
      </c>
      <c r="Q261" s="91">
        <v>4.8</v>
      </c>
      <c r="R261" s="129">
        <v>4.5599999999999996</v>
      </c>
      <c r="S261" s="91">
        <v>67.2</v>
      </c>
      <c r="T261" s="129">
        <v>0</v>
      </c>
      <c r="U261" s="93">
        <v>96</v>
      </c>
      <c r="V261" s="129">
        <v>31.919999999999998</v>
      </c>
      <c r="W261" s="93">
        <v>0</v>
      </c>
      <c r="X261" s="129">
        <v>45.599999999999994</v>
      </c>
      <c r="Y261" s="93">
        <v>48</v>
      </c>
      <c r="Z261" s="129">
        <v>22.799999999999997</v>
      </c>
      <c r="AA261" s="155">
        <f t="shared" si="21"/>
        <v>48</v>
      </c>
      <c r="AB261" s="98">
        <f t="shared" si="21"/>
        <v>33.44</v>
      </c>
      <c r="AC261"/>
      <c r="AD261" s="97">
        <v>48</v>
      </c>
      <c r="AE261" s="92">
        <v>0</v>
      </c>
      <c r="AF261" s="98">
        <f t="shared" si="25"/>
        <v>48</v>
      </c>
      <c r="AG261" s="97">
        <v>45.599999999999994</v>
      </c>
      <c r="AH261" s="92">
        <v>0</v>
      </c>
      <c r="AI261" s="98">
        <f t="shared" si="22"/>
        <v>45.599999999999994</v>
      </c>
      <c r="AJ261" s="98">
        <f t="shared" si="24"/>
        <v>93.6</v>
      </c>
      <c r="AK261" s="102" t="str">
        <f>+IF(AB261+AA261+AJ261&lt;=0, "NO COMPRADOR", +IF(AJ261&lt;=0, "SIN COMPRA "&amp;+UPPER(TEXT('DINAMICA ENERO 26'!$C$2,"mmm 'yy")), "COMPRADOR"))</f>
        <v>COMPRADOR</v>
      </c>
      <c r="AL261"/>
      <c r="AM261" s="100"/>
      <c r="AN261" s="101"/>
      <c r="AO261" s="100"/>
      <c r="AP261"/>
      <c r="AQ261"/>
      <c r="AR261"/>
      <c r="AS261"/>
      <c r="AT261"/>
      <c r="AU261"/>
      <c r="AV261"/>
      <c r="AW261"/>
      <c r="AX261"/>
    </row>
    <row r="262" spans="1:50" s="100" customFormat="1">
      <c r="A262" s="88" t="s">
        <v>85</v>
      </c>
      <c r="B262" s="89" t="s">
        <v>351</v>
      </c>
      <c r="C262" s="89" t="s">
        <v>43</v>
      </c>
      <c r="D262" s="103">
        <v>100070275</v>
      </c>
      <c r="E262" s="89" t="s">
        <v>47</v>
      </c>
      <c r="F262" s="89">
        <v>100079420</v>
      </c>
      <c r="G262" s="128" t="s">
        <v>352</v>
      </c>
      <c r="H262" s="166"/>
      <c r="I262" s="92"/>
      <c r="J262" s="92"/>
      <c r="K262" s="92"/>
      <c r="L262" s="92"/>
      <c r="M262" s="94"/>
      <c r="N262" s="94"/>
      <c r="O262" s="129"/>
      <c r="P262" s="167" t="e">
        <f t="shared" si="23"/>
        <v>#DIV/0!</v>
      </c>
      <c r="Q262" s="91">
        <v>48</v>
      </c>
      <c r="R262" s="129">
        <v>0</v>
      </c>
      <c r="S262" s="91">
        <v>76.8</v>
      </c>
      <c r="T262" s="129">
        <v>4.5599999999999996</v>
      </c>
      <c r="U262" s="93">
        <v>0</v>
      </c>
      <c r="V262" s="129">
        <v>0</v>
      </c>
      <c r="W262" s="93">
        <v>0</v>
      </c>
      <c r="X262" s="129">
        <v>0</v>
      </c>
      <c r="Y262" s="93">
        <v>72</v>
      </c>
      <c r="Z262" s="129">
        <v>0</v>
      </c>
      <c r="AA262" s="155">
        <f t="shared" si="21"/>
        <v>24</v>
      </c>
      <c r="AB262" s="98">
        <f t="shared" si="21"/>
        <v>0</v>
      </c>
      <c r="AC262"/>
      <c r="AD262" s="97">
        <v>24</v>
      </c>
      <c r="AE262" s="92">
        <v>0</v>
      </c>
      <c r="AF262" s="98">
        <f t="shared" si="25"/>
        <v>24</v>
      </c>
      <c r="AG262" s="97">
        <v>0</v>
      </c>
      <c r="AH262" s="92">
        <v>0</v>
      </c>
      <c r="AI262" s="98">
        <f t="shared" si="22"/>
        <v>0</v>
      </c>
      <c r="AJ262" s="98">
        <f t="shared" si="24"/>
        <v>24</v>
      </c>
      <c r="AK262" s="102" t="str">
        <f>+IF(AB262+AA262+AJ262&lt;=0, "NO COMPRADOR", +IF(AJ262&lt;=0, "SIN COMPRA "&amp;+UPPER(TEXT('DINAMICA ENERO 26'!$C$2,"mmm 'yy")), "COMPRADOR"))</f>
        <v>COMPRADOR</v>
      </c>
      <c r="AL262"/>
      <c r="AN262" s="101"/>
      <c r="AP262"/>
      <c r="AQ262"/>
      <c r="AR262"/>
      <c r="AS262"/>
      <c r="AT262"/>
      <c r="AU262"/>
      <c r="AV262"/>
      <c r="AW262"/>
      <c r="AX262"/>
    </row>
    <row r="263" spans="1:50" s="104" customFormat="1">
      <c r="A263" s="88" t="s">
        <v>85</v>
      </c>
      <c r="B263" s="89" t="s">
        <v>351</v>
      </c>
      <c r="C263" s="89" t="s">
        <v>43</v>
      </c>
      <c r="D263" s="103">
        <v>100070275</v>
      </c>
      <c r="E263" s="89" t="s">
        <v>47</v>
      </c>
      <c r="F263" s="89">
        <v>100078680</v>
      </c>
      <c r="G263" s="128" t="s">
        <v>353</v>
      </c>
      <c r="H263" s="166"/>
      <c r="I263" s="92"/>
      <c r="J263" s="92"/>
      <c r="K263" s="92"/>
      <c r="L263" s="92"/>
      <c r="M263" s="94"/>
      <c r="N263" s="94"/>
      <c r="O263" s="129"/>
      <c r="P263" s="167" t="e">
        <f t="shared" si="23"/>
        <v>#DIV/0!</v>
      </c>
      <c r="Q263" s="91">
        <v>0</v>
      </c>
      <c r="R263" s="129">
        <v>0</v>
      </c>
      <c r="S263" s="91">
        <v>0</v>
      </c>
      <c r="T263" s="129">
        <v>0</v>
      </c>
      <c r="U263" s="93">
        <v>0</v>
      </c>
      <c r="V263" s="129">
        <v>0</v>
      </c>
      <c r="W263" s="93">
        <v>0</v>
      </c>
      <c r="X263" s="129">
        <v>0</v>
      </c>
      <c r="Y263" s="93">
        <v>0</v>
      </c>
      <c r="Z263" s="129">
        <v>0</v>
      </c>
      <c r="AA263" s="155">
        <f t="shared" si="21"/>
        <v>0</v>
      </c>
      <c r="AB263" s="98">
        <f t="shared" si="21"/>
        <v>0</v>
      </c>
      <c r="AC263"/>
      <c r="AD263" s="97">
        <v>0</v>
      </c>
      <c r="AE263" s="92">
        <v>0</v>
      </c>
      <c r="AF263" s="98">
        <f t="shared" si="25"/>
        <v>0</v>
      </c>
      <c r="AG263" s="97">
        <v>0</v>
      </c>
      <c r="AH263" s="92">
        <v>0</v>
      </c>
      <c r="AI263" s="98">
        <f t="shared" si="22"/>
        <v>0</v>
      </c>
      <c r="AJ263" s="98">
        <f t="shared" si="24"/>
        <v>0</v>
      </c>
      <c r="AK263" s="102" t="str">
        <f>+IF(AB263+AA263+AJ263&lt;=0, "NO COMPRADOR", +IF(AJ263&lt;=0, "SIN COMPRA "&amp;+UPPER(TEXT('DINAMICA ENERO 26'!$C$2,"mmm 'yy")), "COMPRADOR"))</f>
        <v>NO COMPRADOR</v>
      </c>
      <c r="AL263"/>
      <c r="AM263" s="100"/>
      <c r="AN263" s="101"/>
      <c r="AO263" s="100"/>
      <c r="AP263"/>
      <c r="AQ263"/>
      <c r="AR263"/>
      <c r="AS263"/>
      <c r="AT263"/>
      <c r="AU263"/>
      <c r="AV263"/>
      <c r="AW263"/>
      <c r="AX263"/>
    </row>
    <row r="264" spans="1:50" s="104" customFormat="1">
      <c r="A264" s="88" t="s">
        <v>85</v>
      </c>
      <c r="B264" s="89" t="s">
        <v>351</v>
      </c>
      <c r="C264" s="89" t="s">
        <v>43</v>
      </c>
      <c r="D264" s="103">
        <v>100070275</v>
      </c>
      <c r="E264" s="89" t="s">
        <v>47</v>
      </c>
      <c r="F264" s="89">
        <v>100064271</v>
      </c>
      <c r="G264" s="128" t="s">
        <v>354</v>
      </c>
      <c r="H264" s="166"/>
      <c r="I264" s="92"/>
      <c r="J264" s="92"/>
      <c r="K264" s="92"/>
      <c r="L264" s="92"/>
      <c r="M264" s="94"/>
      <c r="N264" s="94"/>
      <c r="O264" s="129"/>
      <c r="P264" s="167" t="e">
        <f t="shared" si="23"/>
        <v>#DIV/0!</v>
      </c>
      <c r="Q264" s="91">
        <v>4.8</v>
      </c>
      <c r="R264" s="129">
        <v>4.5599999999999996</v>
      </c>
      <c r="S264" s="91">
        <v>4.8</v>
      </c>
      <c r="T264" s="129">
        <v>4.5599999999999996</v>
      </c>
      <c r="U264" s="93">
        <v>0</v>
      </c>
      <c r="V264" s="129">
        <v>0</v>
      </c>
      <c r="W264" s="93">
        <v>0</v>
      </c>
      <c r="X264" s="129">
        <v>0</v>
      </c>
      <c r="Y264" s="93">
        <v>0</v>
      </c>
      <c r="Z264" s="129">
        <v>0</v>
      </c>
      <c r="AA264" s="155">
        <f t="shared" si="21"/>
        <v>0</v>
      </c>
      <c r="AB264" s="98">
        <f t="shared" si="21"/>
        <v>0</v>
      </c>
      <c r="AC264"/>
      <c r="AD264" s="97">
        <v>4.8</v>
      </c>
      <c r="AE264" s="92">
        <v>0</v>
      </c>
      <c r="AF264" s="98">
        <f t="shared" si="25"/>
        <v>4.8</v>
      </c>
      <c r="AG264" s="97">
        <v>4.5599999999999996</v>
      </c>
      <c r="AH264" s="92">
        <v>0</v>
      </c>
      <c r="AI264" s="98">
        <f t="shared" si="22"/>
        <v>4.5599999999999996</v>
      </c>
      <c r="AJ264" s="98">
        <f t="shared" si="24"/>
        <v>9.36</v>
      </c>
      <c r="AK264" s="102" t="str">
        <f>+IF(AB264+AA264+AJ264&lt;=0, "NO COMPRADOR", +IF(AJ264&lt;=0, "SIN COMPRA "&amp;+UPPER(TEXT('DINAMICA ENERO 26'!$C$2,"mmm 'yy")), "COMPRADOR"))</f>
        <v>COMPRADOR</v>
      </c>
      <c r="AL264"/>
      <c r="AM264" s="100"/>
      <c r="AN264" s="101"/>
      <c r="AO264" s="100"/>
      <c r="AP264"/>
      <c r="AQ264"/>
      <c r="AR264"/>
      <c r="AS264"/>
      <c r="AT264"/>
      <c r="AU264"/>
      <c r="AV264"/>
      <c r="AW264"/>
      <c r="AX264"/>
    </row>
    <row r="265" spans="1:50" s="104" customFormat="1">
      <c r="A265" s="88" t="s">
        <v>85</v>
      </c>
      <c r="B265" s="89" t="s">
        <v>351</v>
      </c>
      <c r="C265" s="89" t="s">
        <v>43</v>
      </c>
      <c r="D265" s="103">
        <v>100070275</v>
      </c>
      <c r="E265" s="89" t="s">
        <v>47</v>
      </c>
      <c r="F265" s="89">
        <v>100069359</v>
      </c>
      <c r="G265" s="128" t="s">
        <v>355</v>
      </c>
      <c r="H265" s="166"/>
      <c r="I265" s="92"/>
      <c r="J265" s="92"/>
      <c r="K265" s="92"/>
      <c r="L265" s="92"/>
      <c r="M265" s="94"/>
      <c r="N265" s="94"/>
      <c r="O265" s="129"/>
      <c r="P265" s="167" t="e">
        <f t="shared" si="23"/>
        <v>#DIV/0!</v>
      </c>
      <c r="Q265" s="91">
        <v>4.8</v>
      </c>
      <c r="R265" s="129">
        <v>4.5599999999999996</v>
      </c>
      <c r="S265" s="91">
        <v>0</v>
      </c>
      <c r="T265" s="129">
        <v>0</v>
      </c>
      <c r="U265" s="93">
        <v>4.8</v>
      </c>
      <c r="V265" s="129">
        <v>4.5599999999999996</v>
      </c>
      <c r="W265" s="93">
        <v>19.2</v>
      </c>
      <c r="X265" s="129">
        <v>18.239999999999998</v>
      </c>
      <c r="Y265" s="93">
        <v>0</v>
      </c>
      <c r="Z265" s="129">
        <v>0</v>
      </c>
      <c r="AA265" s="155">
        <f t="shared" si="21"/>
        <v>8</v>
      </c>
      <c r="AB265" s="98">
        <f t="shared" si="21"/>
        <v>7.5999999999999988</v>
      </c>
      <c r="AC265"/>
      <c r="AD265" s="97">
        <v>0</v>
      </c>
      <c r="AE265" s="92">
        <v>0</v>
      </c>
      <c r="AF265" s="98">
        <f t="shared" si="25"/>
        <v>0</v>
      </c>
      <c r="AG265" s="97">
        <v>22.799999999999997</v>
      </c>
      <c r="AH265" s="92">
        <v>0</v>
      </c>
      <c r="AI265" s="98">
        <f t="shared" si="22"/>
        <v>22.799999999999997</v>
      </c>
      <c r="AJ265" s="98">
        <f t="shared" si="24"/>
        <v>22.799999999999997</v>
      </c>
      <c r="AK265" s="102" t="str">
        <f>+IF(AB265+AA265+AJ265&lt;=0, "NO COMPRADOR", +IF(AJ265&lt;=0, "SIN COMPRA "&amp;+UPPER(TEXT('DINAMICA ENERO 26'!$C$2,"mmm 'yy")), "COMPRADOR"))</f>
        <v>COMPRADOR</v>
      </c>
      <c r="AL265"/>
      <c r="AM265" s="100"/>
      <c r="AN265" s="101"/>
      <c r="AO265" s="100"/>
      <c r="AP265"/>
      <c r="AQ265"/>
      <c r="AR265"/>
      <c r="AS265"/>
      <c r="AT265"/>
      <c r="AU265"/>
      <c r="AV265"/>
      <c r="AW265"/>
      <c r="AX265"/>
    </row>
    <row r="266" spans="1:50" s="104" customFormat="1">
      <c r="A266" s="88" t="s">
        <v>85</v>
      </c>
      <c r="B266" s="89" t="s">
        <v>351</v>
      </c>
      <c r="C266" s="89" t="s">
        <v>43</v>
      </c>
      <c r="D266" s="103">
        <v>100070275</v>
      </c>
      <c r="E266" s="89" t="s">
        <v>47</v>
      </c>
      <c r="F266" s="89">
        <v>100078132</v>
      </c>
      <c r="G266" s="128" t="s">
        <v>356</v>
      </c>
      <c r="H266" s="166"/>
      <c r="I266" s="92"/>
      <c r="J266" s="92"/>
      <c r="K266" s="92"/>
      <c r="L266" s="92"/>
      <c r="M266" s="94"/>
      <c r="N266" s="94"/>
      <c r="O266" s="129"/>
      <c r="P266" s="167" t="e">
        <f t="shared" si="23"/>
        <v>#DIV/0!</v>
      </c>
      <c r="Q266" s="91">
        <v>0</v>
      </c>
      <c r="R266" s="129">
        <v>159.59999999999997</v>
      </c>
      <c r="S266" s="91">
        <v>0</v>
      </c>
      <c r="T266" s="129">
        <v>91.199999999999989</v>
      </c>
      <c r="U266" s="93">
        <v>0</v>
      </c>
      <c r="V266" s="129">
        <v>91.199999999999989</v>
      </c>
      <c r="W266" s="93">
        <v>4.8</v>
      </c>
      <c r="X266" s="129">
        <v>4.5599999999999996</v>
      </c>
      <c r="Y266" s="93">
        <v>0</v>
      </c>
      <c r="Z266" s="129">
        <v>68.399999999999991</v>
      </c>
      <c r="AA266" s="155">
        <f t="shared" si="21"/>
        <v>1.5999999999999999</v>
      </c>
      <c r="AB266" s="98">
        <f t="shared" si="21"/>
        <v>54.719999999999992</v>
      </c>
      <c r="AC266"/>
      <c r="AD266" s="97">
        <v>-4.8</v>
      </c>
      <c r="AE266" s="92">
        <v>0</v>
      </c>
      <c r="AF266" s="98">
        <f t="shared" si="25"/>
        <v>-4.8</v>
      </c>
      <c r="AG266" s="97">
        <v>-4.5599999999999996</v>
      </c>
      <c r="AH266" s="92">
        <v>0</v>
      </c>
      <c r="AI266" s="98">
        <f t="shared" si="22"/>
        <v>-4.5599999999999996</v>
      </c>
      <c r="AJ266" s="98">
        <f t="shared" si="24"/>
        <v>-9.36</v>
      </c>
      <c r="AK266" s="102" t="str">
        <f>+IF(AB266+AA266+AJ266&lt;=0, "NO COMPRADOR", +IF(AJ266&lt;=0, "SIN COMPRA "&amp;+UPPER(TEXT('DINAMICA ENERO 26'!$C$2,"mmm 'yy")), "COMPRADOR"))</f>
        <v>SIN COMPRA FEB '26</v>
      </c>
      <c r="AL266"/>
      <c r="AM266" s="100"/>
      <c r="AN266" s="101"/>
      <c r="AO266" s="100"/>
      <c r="AP266"/>
      <c r="AQ266"/>
      <c r="AR266"/>
      <c r="AS266"/>
      <c r="AT266"/>
      <c r="AU266"/>
      <c r="AV266"/>
      <c r="AW266"/>
      <c r="AX266"/>
    </row>
    <row r="267" spans="1:50" s="100" customFormat="1">
      <c r="A267" s="88" t="s">
        <v>85</v>
      </c>
      <c r="B267" s="89" t="s">
        <v>351</v>
      </c>
      <c r="C267" s="89" t="s">
        <v>43</v>
      </c>
      <c r="D267" s="103">
        <v>100070275</v>
      </c>
      <c r="E267" s="89" t="s">
        <v>47</v>
      </c>
      <c r="F267" s="89">
        <v>100023921</v>
      </c>
      <c r="G267" s="128" t="s">
        <v>357</v>
      </c>
      <c r="H267" s="166"/>
      <c r="I267" s="92"/>
      <c r="J267" s="92"/>
      <c r="K267" s="92"/>
      <c r="L267" s="92"/>
      <c r="M267" s="94"/>
      <c r="N267" s="94"/>
      <c r="O267" s="129"/>
      <c r="P267" s="167" t="e">
        <f t="shared" si="23"/>
        <v>#DIV/0!</v>
      </c>
      <c r="Q267" s="91">
        <v>0</v>
      </c>
      <c r="R267" s="129">
        <v>0</v>
      </c>
      <c r="S267" s="91">
        <v>4.8</v>
      </c>
      <c r="T267" s="129">
        <v>4.5599999999999996</v>
      </c>
      <c r="U267" s="93">
        <v>0</v>
      </c>
      <c r="V267" s="129">
        <v>0</v>
      </c>
      <c r="W267" s="93">
        <v>4.8</v>
      </c>
      <c r="X267" s="129">
        <v>4.5599999999999996</v>
      </c>
      <c r="Y267" s="93">
        <v>0</v>
      </c>
      <c r="Z267" s="129">
        <v>0</v>
      </c>
      <c r="AA267" s="155">
        <f t="shared" si="21"/>
        <v>1.5999999999999999</v>
      </c>
      <c r="AB267" s="98">
        <f t="shared" si="21"/>
        <v>1.5199999999999998</v>
      </c>
      <c r="AC267"/>
      <c r="AD267" s="97">
        <v>-4.8</v>
      </c>
      <c r="AE267" s="92">
        <v>0</v>
      </c>
      <c r="AF267" s="98">
        <f t="shared" si="25"/>
        <v>-4.8</v>
      </c>
      <c r="AG267" s="97">
        <v>-4.5599999999999996</v>
      </c>
      <c r="AH267" s="92">
        <v>0</v>
      </c>
      <c r="AI267" s="98">
        <f t="shared" si="22"/>
        <v>-4.5599999999999996</v>
      </c>
      <c r="AJ267" s="98">
        <f t="shared" si="24"/>
        <v>-9.36</v>
      </c>
      <c r="AK267" s="102" t="str">
        <f>+IF(AB267+AA267+AJ267&lt;=0, "NO COMPRADOR", +IF(AJ267&lt;=0, "SIN COMPRA "&amp;+UPPER(TEXT('DINAMICA ENERO 26'!$C$2,"mmm 'yy")), "COMPRADOR"))</f>
        <v>NO COMPRADOR</v>
      </c>
      <c r="AL267"/>
      <c r="AN267" s="101"/>
      <c r="AP267"/>
      <c r="AQ267"/>
      <c r="AR267"/>
      <c r="AS267"/>
      <c r="AT267"/>
      <c r="AU267"/>
      <c r="AV267"/>
      <c r="AW267"/>
      <c r="AX267"/>
    </row>
    <row r="268" spans="1:50" s="100" customFormat="1">
      <c r="A268" s="88" t="s">
        <v>85</v>
      </c>
      <c r="B268" s="89" t="s">
        <v>351</v>
      </c>
      <c r="C268" s="89" t="s">
        <v>43</v>
      </c>
      <c r="D268" s="103">
        <v>100070275</v>
      </c>
      <c r="E268" s="89" t="s">
        <v>47</v>
      </c>
      <c r="F268" s="89">
        <v>100082844</v>
      </c>
      <c r="G268" s="128" t="s">
        <v>358</v>
      </c>
      <c r="H268" s="166"/>
      <c r="I268" s="92"/>
      <c r="J268" s="92"/>
      <c r="K268" s="92"/>
      <c r="L268" s="92"/>
      <c r="M268" s="94"/>
      <c r="N268" s="94"/>
      <c r="O268" s="129"/>
      <c r="P268" s="167" t="e">
        <f t="shared" si="23"/>
        <v>#DIV/0!</v>
      </c>
      <c r="Q268" s="91">
        <v>4.8</v>
      </c>
      <c r="R268" s="129">
        <v>4.5599999999999996</v>
      </c>
      <c r="S268" s="91">
        <v>4.8</v>
      </c>
      <c r="T268" s="129">
        <v>4.5599999999999996</v>
      </c>
      <c r="U268" s="93">
        <v>-4.8</v>
      </c>
      <c r="V268" s="129">
        <v>-4.5599999999999996</v>
      </c>
      <c r="W268" s="93">
        <v>4.8</v>
      </c>
      <c r="X268" s="129">
        <v>4.5599999999999996</v>
      </c>
      <c r="Y268" s="93">
        <v>0</v>
      </c>
      <c r="Z268" s="129">
        <v>0</v>
      </c>
      <c r="AA268" s="155">
        <f t="shared" si="21"/>
        <v>0</v>
      </c>
      <c r="AB268" s="98">
        <f t="shared" si="21"/>
        <v>0</v>
      </c>
      <c r="AC268"/>
      <c r="AD268" s="97">
        <v>-9.6</v>
      </c>
      <c r="AE268" s="92">
        <v>0</v>
      </c>
      <c r="AF268" s="98">
        <f t="shared" si="25"/>
        <v>-9.6</v>
      </c>
      <c r="AG268" s="97">
        <v>-9.1199999999999992</v>
      </c>
      <c r="AH268" s="92">
        <v>0</v>
      </c>
      <c r="AI268" s="98">
        <f t="shared" si="22"/>
        <v>-9.1199999999999992</v>
      </c>
      <c r="AJ268" s="98">
        <f t="shared" si="24"/>
        <v>-18.72</v>
      </c>
      <c r="AK268" s="102" t="str">
        <f>+IF(AB268+AA268+AJ268&lt;=0, "NO COMPRADOR", +IF(AJ268&lt;=0, "SIN COMPRA "&amp;+UPPER(TEXT('DINAMICA ENERO 26'!$C$2,"mmm 'yy")), "COMPRADOR"))</f>
        <v>NO COMPRADOR</v>
      </c>
      <c r="AL268"/>
      <c r="AN268" s="101"/>
      <c r="AP268"/>
      <c r="AQ268"/>
      <c r="AR268"/>
      <c r="AS268"/>
      <c r="AT268"/>
      <c r="AU268"/>
      <c r="AV268"/>
      <c r="AW268"/>
      <c r="AX268"/>
    </row>
    <row r="269" spans="1:50">
      <c r="A269" s="88" t="s">
        <v>85</v>
      </c>
      <c r="B269" s="89" t="s">
        <v>351</v>
      </c>
      <c r="C269" s="89" t="s">
        <v>43</v>
      </c>
      <c r="D269" s="103">
        <v>100070275</v>
      </c>
      <c r="E269" s="89" t="s">
        <v>47</v>
      </c>
      <c r="F269" s="89">
        <v>100001577</v>
      </c>
      <c r="G269" s="128" t="s">
        <v>359</v>
      </c>
      <c r="H269" s="166"/>
      <c r="I269" s="92"/>
      <c r="J269" s="92"/>
      <c r="K269" s="92"/>
      <c r="L269" s="92"/>
      <c r="M269" s="94"/>
      <c r="N269" s="94"/>
      <c r="O269" s="129"/>
      <c r="P269" s="167" t="e">
        <f t="shared" si="23"/>
        <v>#DIV/0!</v>
      </c>
      <c r="Q269" s="91">
        <v>0</v>
      </c>
      <c r="R269" s="129">
        <v>13.68</v>
      </c>
      <c r="S269" s="91">
        <v>24</v>
      </c>
      <c r="T269" s="129">
        <v>13.68</v>
      </c>
      <c r="U269" s="93">
        <v>0</v>
      </c>
      <c r="V269" s="129">
        <v>0</v>
      </c>
      <c r="W269" s="93">
        <v>24</v>
      </c>
      <c r="X269" s="129">
        <v>0</v>
      </c>
      <c r="Y269" s="93">
        <v>0</v>
      </c>
      <c r="Z269" s="129">
        <v>0</v>
      </c>
      <c r="AA269" s="155">
        <f t="shared" si="21"/>
        <v>8</v>
      </c>
      <c r="AB269" s="98">
        <f t="shared" si="21"/>
        <v>0</v>
      </c>
      <c r="AD269" s="97">
        <v>24</v>
      </c>
      <c r="AE269" s="92">
        <v>0</v>
      </c>
      <c r="AF269" s="98">
        <f t="shared" si="25"/>
        <v>24</v>
      </c>
      <c r="AG269" s="97">
        <v>13.68</v>
      </c>
      <c r="AH269" s="92">
        <v>0</v>
      </c>
      <c r="AI269" s="98">
        <f t="shared" si="22"/>
        <v>13.68</v>
      </c>
      <c r="AJ269" s="98">
        <f t="shared" si="24"/>
        <v>37.68</v>
      </c>
      <c r="AK269" s="102" t="str">
        <f>+IF(AB269+AA269+AJ269&lt;=0, "NO COMPRADOR", +IF(AJ269&lt;=0, "SIN COMPRA "&amp;+UPPER(TEXT('DINAMICA ENERO 26'!$C$2,"mmm 'yy")), "COMPRADOR"))</f>
        <v>COMPRADOR</v>
      </c>
      <c r="AM269" s="100"/>
      <c r="AN269" s="101"/>
      <c r="AO269" s="100"/>
    </row>
    <row r="270" spans="1:50">
      <c r="A270" s="88" t="s">
        <v>85</v>
      </c>
      <c r="B270" s="89" t="s">
        <v>351</v>
      </c>
      <c r="C270" s="89" t="s">
        <v>43</v>
      </c>
      <c r="D270" s="103">
        <v>100070275</v>
      </c>
      <c r="E270" s="89" t="s">
        <v>47</v>
      </c>
      <c r="F270" s="89">
        <v>100078048</v>
      </c>
      <c r="G270" s="128" t="s">
        <v>360</v>
      </c>
      <c r="H270" s="166"/>
      <c r="I270" s="92"/>
      <c r="J270" s="92"/>
      <c r="K270" s="92"/>
      <c r="L270" s="92"/>
      <c r="M270" s="94"/>
      <c r="N270" s="94"/>
      <c r="O270" s="129"/>
      <c r="P270" s="167" t="e">
        <f t="shared" si="23"/>
        <v>#DIV/0!</v>
      </c>
      <c r="Q270" s="91">
        <v>9.6</v>
      </c>
      <c r="R270" s="129">
        <v>0</v>
      </c>
      <c r="S270" s="91">
        <v>9.6</v>
      </c>
      <c r="T270" s="129">
        <v>9.1199999999999992</v>
      </c>
      <c r="U270" s="93">
        <v>9.6</v>
      </c>
      <c r="V270" s="129">
        <v>9.1199999999999992</v>
      </c>
      <c r="W270" s="93">
        <v>19.2</v>
      </c>
      <c r="X270" s="129">
        <v>13.68</v>
      </c>
      <c r="Y270" s="93">
        <v>-4.7999999999999989</v>
      </c>
      <c r="Z270" s="129">
        <v>0</v>
      </c>
      <c r="AA270" s="155">
        <f t="shared" si="21"/>
        <v>8</v>
      </c>
      <c r="AB270" s="98">
        <f t="shared" si="21"/>
        <v>7.5999999999999988</v>
      </c>
      <c r="AD270" s="97">
        <v>19.2</v>
      </c>
      <c r="AE270" s="92">
        <v>0</v>
      </c>
      <c r="AF270" s="98">
        <f t="shared" si="25"/>
        <v>19.2</v>
      </c>
      <c r="AG270" s="97">
        <v>4.5599999999999996</v>
      </c>
      <c r="AH270" s="92">
        <v>0</v>
      </c>
      <c r="AI270" s="98">
        <f t="shared" si="22"/>
        <v>4.5599999999999996</v>
      </c>
      <c r="AJ270" s="98">
        <f t="shared" si="24"/>
        <v>23.759999999999998</v>
      </c>
      <c r="AK270" s="102" t="str">
        <f>+IF(AB270+AA270+AJ270&lt;=0, "NO COMPRADOR", +IF(AJ270&lt;=0, "SIN COMPRA "&amp;+UPPER(TEXT('DINAMICA ENERO 26'!$C$2,"mmm 'yy")), "COMPRADOR"))</f>
        <v>COMPRADOR</v>
      </c>
      <c r="AM270" s="100"/>
      <c r="AN270" s="101"/>
      <c r="AO270" s="100"/>
    </row>
    <row r="271" spans="1:50">
      <c r="A271" s="88" t="s">
        <v>85</v>
      </c>
      <c r="B271" s="89" t="s">
        <v>351</v>
      </c>
      <c r="C271" s="89" t="s">
        <v>43</v>
      </c>
      <c r="D271" s="103">
        <v>100070275</v>
      </c>
      <c r="E271" s="89" t="s">
        <v>47</v>
      </c>
      <c r="F271" s="89">
        <v>100001301</v>
      </c>
      <c r="G271" s="128" t="s">
        <v>361</v>
      </c>
      <c r="H271" s="166"/>
      <c r="I271" s="92"/>
      <c r="J271" s="92"/>
      <c r="K271" s="92"/>
      <c r="L271" s="92"/>
      <c r="M271" s="94"/>
      <c r="N271" s="94"/>
      <c r="O271" s="129"/>
      <c r="P271" s="167" t="e">
        <f t="shared" si="23"/>
        <v>#DIV/0!</v>
      </c>
      <c r="Q271" s="91">
        <v>48</v>
      </c>
      <c r="R271" s="129">
        <v>0</v>
      </c>
      <c r="S271" s="91">
        <v>96</v>
      </c>
      <c r="T271" s="129">
        <v>22.799999999999997</v>
      </c>
      <c r="U271" s="93">
        <v>48</v>
      </c>
      <c r="V271" s="129">
        <v>45.599999999999994</v>
      </c>
      <c r="W271" s="93">
        <v>48</v>
      </c>
      <c r="X271" s="129">
        <v>22.799999999999997</v>
      </c>
      <c r="Y271" s="93">
        <v>48</v>
      </c>
      <c r="Z271" s="129">
        <v>22.799999999999997</v>
      </c>
      <c r="AA271" s="155">
        <f t="shared" si="21"/>
        <v>48</v>
      </c>
      <c r="AB271" s="98">
        <f t="shared" si="21"/>
        <v>30.399999999999995</v>
      </c>
      <c r="AD271" s="97">
        <v>0</v>
      </c>
      <c r="AE271" s="92">
        <v>0</v>
      </c>
      <c r="AF271" s="98">
        <f t="shared" si="25"/>
        <v>0</v>
      </c>
      <c r="AG271" s="97">
        <v>0</v>
      </c>
      <c r="AH271" s="92">
        <v>0</v>
      </c>
      <c r="AI271" s="98">
        <f t="shared" si="22"/>
        <v>0</v>
      </c>
      <c r="AJ271" s="98">
        <f t="shared" si="24"/>
        <v>0</v>
      </c>
      <c r="AK271" s="102" t="str">
        <f>+IF(AB271+AA271+AJ271&lt;=0, "NO COMPRADOR", +IF(AJ271&lt;=0, "SIN COMPRA "&amp;+UPPER(TEXT('DINAMICA ENERO 26'!$C$2,"mmm 'yy")), "COMPRADOR"))</f>
        <v>SIN COMPRA FEB '26</v>
      </c>
      <c r="AM271" s="100"/>
      <c r="AN271" s="101"/>
      <c r="AO271" s="100"/>
    </row>
    <row r="272" spans="1:50" s="100" customFormat="1">
      <c r="A272" s="88" t="s">
        <v>85</v>
      </c>
      <c r="B272" s="89" t="s">
        <v>351</v>
      </c>
      <c r="C272" s="89" t="s">
        <v>43</v>
      </c>
      <c r="D272" s="103">
        <v>100070275</v>
      </c>
      <c r="E272" s="89" t="s">
        <v>47</v>
      </c>
      <c r="F272" s="89">
        <v>100002071</v>
      </c>
      <c r="G272" s="128" t="s">
        <v>362</v>
      </c>
      <c r="H272" s="166"/>
      <c r="I272" s="92"/>
      <c r="J272" s="92"/>
      <c r="K272" s="92"/>
      <c r="L272" s="92"/>
      <c r="M272" s="94"/>
      <c r="N272" s="94"/>
      <c r="O272" s="129"/>
      <c r="P272" s="167" t="e">
        <f t="shared" si="23"/>
        <v>#DIV/0!</v>
      </c>
      <c r="Q272" s="91">
        <v>48</v>
      </c>
      <c r="R272" s="129">
        <v>136.79999999999998</v>
      </c>
      <c r="S272" s="91">
        <v>312</v>
      </c>
      <c r="T272" s="129">
        <v>0</v>
      </c>
      <c r="U272" s="93">
        <v>144</v>
      </c>
      <c r="V272" s="129">
        <v>45.599999999999994</v>
      </c>
      <c r="W272" s="93">
        <v>288</v>
      </c>
      <c r="X272" s="129">
        <v>45.599999999999994</v>
      </c>
      <c r="Y272" s="93">
        <v>240</v>
      </c>
      <c r="Z272" s="129">
        <v>68.399999999999991</v>
      </c>
      <c r="AA272" s="155">
        <f t="shared" si="21"/>
        <v>224</v>
      </c>
      <c r="AB272" s="98">
        <f t="shared" si="21"/>
        <v>53.199999999999989</v>
      </c>
      <c r="AC272"/>
      <c r="AD272" s="97">
        <v>144</v>
      </c>
      <c r="AE272" s="92">
        <v>0</v>
      </c>
      <c r="AF272" s="98">
        <f t="shared" si="25"/>
        <v>144</v>
      </c>
      <c r="AG272" s="97">
        <v>22.799999999999997</v>
      </c>
      <c r="AH272" s="92">
        <v>0</v>
      </c>
      <c r="AI272" s="98">
        <f t="shared" si="22"/>
        <v>22.799999999999997</v>
      </c>
      <c r="AJ272" s="98">
        <f t="shared" si="24"/>
        <v>166.8</v>
      </c>
      <c r="AK272" s="102" t="str">
        <f>+IF(AB272+AA272+AJ272&lt;=0, "NO COMPRADOR", +IF(AJ272&lt;=0, "SIN COMPRA "&amp;+UPPER(TEXT('DINAMICA ENERO 26'!$C$2,"mmm 'yy")), "COMPRADOR"))</f>
        <v>COMPRADOR</v>
      </c>
      <c r="AL272"/>
      <c r="AN272" s="101"/>
      <c r="AP272"/>
      <c r="AQ272"/>
      <c r="AR272"/>
      <c r="AS272"/>
      <c r="AT272"/>
      <c r="AU272"/>
      <c r="AV272"/>
      <c r="AW272"/>
      <c r="AX272"/>
    </row>
    <row r="273" spans="1:50" s="104" customFormat="1">
      <c r="A273" s="88" t="s">
        <v>85</v>
      </c>
      <c r="B273" s="89" t="s">
        <v>351</v>
      </c>
      <c r="C273" s="89" t="s">
        <v>43</v>
      </c>
      <c r="D273" s="103">
        <v>100070275</v>
      </c>
      <c r="E273" s="89" t="s">
        <v>47</v>
      </c>
      <c r="F273" s="89">
        <v>100001979</v>
      </c>
      <c r="G273" s="128" t="s">
        <v>290</v>
      </c>
      <c r="H273" s="166"/>
      <c r="I273" s="92"/>
      <c r="J273" s="92"/>
      <c r="K273" s="92"/>
      <c r="L273" s="92"/>
      <c r="M273" s="94"/>
      <c r="N273" s="94"/>
      <c r="O273" s="129"/>
      <c r="P273" s="167" t="e">
        <f t="shared" si="23"/>
        <v>#DIV/0!</v>
      </c>
      <c r="Q273" s="91">
        <v>0</v>
      </c>
      <c r="R273" s="129">
        <v>0</v>
      </c>
      <c r="S273" s="91">
        <v>0</v>
      </c>
      <c r="T273" s="129">
        <v>0</v>
      </c>
      <c r="U273" s="93">
        <v>9.6</v>
      </c>
      <c r="V273" s="129">
        <v>4.5599999999999996</v>
      </c>
      <c r="W273" s="93">
        <v>0</v>
      </c>
      <c r="X273" s="129">
        <v>4.5599999999999996</v>
      </c>
      <c r="Y273" s="93">
        <v>4.8</v>
      </c>
      <c r="Z273" s="129">
        <v>4.5599999999999996</v>
      </c>
      <c r="AA273" s="155">
        <f t="shared" si="21"/>
        <v>4.8</v>
      </c>
      <c r="AB273" s="98">
        <f t="shared" si="21"/>
        <v>4.5599999999999996</v>
      </c>
      <c r="AC273"/>
      <c r="AD273" s="97">
        <v>9.6</v>
      </c>
      <c r="AE273" s="92">
        <v>0</v>
      </c>
      <c r="AF273" s="98">
        <f t="shared" si="25"/>
        <v>9.6</v>
      </c>
      <c r="AG273" s="97">
        <v>0</v>
      </c>
      <c r="AH273" s="92">
        <v>0</v>
      </c>
      <c r="AI273" s="98">
        <f t="shared" si="22"/>
        <v>0</v>
      </c>
      <c r="AJ273" s="98">
        <f t="shared" si="24"/>
        <v>9.6</v>
      </c>
      <c r="AK273" s="102" t="str">
        <f>+IF(AB273+AA273+AJ273&lt;=0, "NO COMPRADOR", +IF(AJ273&lt;=0, "SIN COMPRA "&amp;+UPPER(TEXT('DINAMICA ENERO 26'!$C$2,"mmm 'yy")), "COMPRADOR"))</f>
        <v>COMPRADOR</v>
      </c>
      <c r="AL273"/>
      <c r="AM273" s="100"/>
      <c r="AN273" s="101"/>
      <c r="AO273" s="100"/>
      <c r="AP273"/>
      <c r="AQ273"/>
      <c r="AR273"/>
      <c r="AS273"/>
      <c r="AT273"/>
      <c r="AU273"/>
      <c r="AV273"/>
      <c r="AW273"/>
      <c r="AX273"/>
    </row>
    <row r="274" spans="1:50" s="100" customFormat="1">
      <c r="A274" s="88" t="s">
        <v>85</v>
      </c>
      <c r="B274" s="89" t="s">
        <v>351</v>
      </c>
      <c r="C274" s="89" t="s">
        <v>43</v>
      </c>
      <c r="D274" s="103">
        <v>100070275</v>
      </c>
      <c r="E274" s="89" t="s">
        <v>47</v>
      </c>
      <c r="F274" s="89">
        <v>100001679</v>
      </c>
      <c r="G274" s="128" t="s">
        <v>363</v>
      </c>
      <c r="H274" s="166"/>
      <c r="I274" s="92"/>
      <c r="J274" s="92"/>
      <c r="K274" s="92"/>
      <c r="L274" s="92"/>
      <c r="M274" s="94"/>
      <c r="N274" s="94"/>
      <c r="O274" s="129"/>
      <c r="P274" s="167" t="e">
        <f t="shared" si="23"/>
        <v>#DIV/0!</v>
      </c>
      <c r="Q274" s="91">
        <v>0</v>
      </c>
      <c r="R274" s="129">
        <v>0</v>
      </c>
      <c r="S274" s="91">
        <v>28.799999999999997</v>
      </c>
      <c r="T274" s="129">
        <v>27.36</v>
      </c>
      <c r="U274" s="93">
        <v>28.799999999999997</v>
      </c>
      <c r="V274" s="129">
        <v>36.479999999999997</v>
      </c>
      <c r="W274" s="93">
        <v>0</v>
      </c>
      <c r="X274" s="129">
        <v>18.239999999999998</v>
      </c>
      <c r="Y274" s="93">
        <v>0</v>
      </c>
      <c r="Z274" s="129">
        <v>0</v>
      </c>
      <c r="AA274" s="155">
        <f t="shared" ref="AA274:AB337" si="26">+AVERAGE(U274,W274,Y274)</f>
        <v>9.6</v>
      </c>
      <c r="AB274" s="98">
        <f t="shared" si="26"/>
        <v>18.239999999999998</v>
      </c>
      <c r="AC274"/>
      <c r="AD274" s="97">
        <v>0</v>
      </c>
      <c r="AE274" s="92">
        <v>0</v>
      </c>
      <c r="AF274" s="98">
        <f t="shared" si="25"/>
        <v>0</v>
      </c>
      <c r="AG274" s="97">
        <v>0</v>
      </c>
      <c r="AH274" s="92">
        <v>0</v>
      </c>
      <c r="AI274" s="98">
        <f t="shared" si="22"/>
        <v>0</v>
      </c>
      <c r="AJ274" s="98">
        <f t="shared" si="24"/>
        <v>0</v>
      </c>
      <c r="AK274" s="102" t="str">
        <f>+IF(AB274+AA274+AJ274&lt;=0, "NO COMPRADOR", +IF(AJ274&lt;=0, "SIN COMPRA "&amp;+UPPER(TEXT('DINAMICA ENERO 26'!$C$2,"mmm 'yy")), "COMPRADOR"))</f>
        <v>SIN COMPRA FEB '26</v>
      </c>
      <c r="AL274"/>
      <c r="AN274" s="101"/>
      <c r="AP274"/>
      <c r="AQ274"/>
      <c r="AR274"/>
      <c r="AS274"/>
      <c r="AT274"/>
      <c r="AU274"/>
      <c r="AV274"/>
      <c r="AW274"/>
      <c r="AX274"/>
    </row>
    <row r="275" spans="1:50" s="104" customFormat="1">
      <c r="A275" s="88" t="s">
        <v>85</v>
      </c>
      <c r="B275" s="89" t="s">
        <v>351</v>
      </c>
      <c r="C275" s="89" t="s">
        <v>43</v>
      </c>
      <c r="D275" s="103">
        <v>100070275</v>
      </c>
      <c r="E275" s="89" t="s">
        <v>47</v>
      </c>
      <c r="F275" s="89">
        <v>100001246</v>
      </c>
      <c r="G275" s="128" t="s">
        <v>364</v>
      </c>
      <c r="H275" s="166"/>
      <c r="I275" s="92"/>
      <c r="J275" s="92"/>
      <c r="K275" s="92"/>
      <c r="L275" s="92"/>
      <c r="M275" s="94"/>
      <c r="N275" s="94"/>
      <c r="O275" s="129"/>
      <c r="P275" s="167" t="e">
        <f t="shared" si="23"/>
        <v>#DIV/0!</v>
      </c>
      <c r="Q275" s="91">
        <v>0</v>
      </c>
      <c r="R275" s="129">
        <v>0</v>
      </c>
      <c r="S275" s="91">
        <v>4.8</v>
      </c>
      <c r="T275" s="129">
        <v>4.5599999999999996</v>
      </c>
      <c r="U275" s="93">
        <v>24</v>
      </c>
      <c r="V275" s="129">
        <v>0</v>
      </c>
      <c r="W275" s="93">
        <v>4.8</v>
      </c>
      <c r="X275" s="129">
        <v>4.5599999999999996</v>
      </c>
      <c r="Y275" s="93">
        <v>0</v>
      </c>
      <c r="Z275" s="129">
        <v>0</v>
      </c>
      <c r="AA275" s="155">
        <f t="shared" si="26"/>
        <v>9.6</v>
      </c>
      <c r="AB275" s="98">
        <f t="shared" si="26"/>
        <v>1.5199999999999998</v>
      </c>
      <c r="AC275"/>
      <c r="AD275" s="97">
        <v>4.8</v>
      </c>
      <c r="AE275" s="92">
        <v>0</v>
      </c>
      <c r="AF275" s="98">
        <f t="shared" si="25"/>
        <v>4.8</v>
      </c>
      <c r="AG275" s="97">
        <v>4.5599999999999996</v>
      </c>
      <c r="AH275" s="92">
        <v>0</v>
      </c>
      <c r="AI275" s="98">
        <f t="shared" si="22"/>
        <v>4.5599999999999996</v>
      </c>
      <c r="AJ275" s="98">
        <f t="shared" si="24"/>
        <v>9.36</v>
      </c>
      <c r="AK275" s="102" t="str">
        <f>+IF(AB275+AA275+AJ275&lt;=0, "NO COMPRADOR", +IF(AJ275&lt;=0, "SIN COMPRA "&amp;+UPPER(TEXT('DINAMICA ENERO 26'!$C$2,"mmm 'yy")), "COMPRADOR"))</f>
        <v>COMPRADOR</v>
      </c>
      <c r="AL275"/>
      <c r="AM275" s="100"/>
      <c r="AN275" s="101"/>
      <c r="AO275" s="100"/>
      <c r="AP275"/>
      <c r="AQ275"/>
      <c r="AR275"/>
      <c r="AS275"/>
      <c r="AT275"/>
      <c r="AU275"/>
      <c r="AV275"/>
      <c r="AW275"/>
      <c r="AX275"/>
    </row>
    <row r="276" spans="1:50" s="100" customFormat="1">
      <c r="A276" s="88" t="s">
        <v>85</v>
      </c>
      <c r="B276" s="89" t="s">
        <v>351</v>
      </c>
      <c r="C276" s="89" t="s">
        <v>43</v>
      </c>
      <c r="D276" s="103">
        <v>100070275</v>
      </c>
      <c r="E276" s="89" t="s">
        <v>47</v>
      </c>
      <c r="F276" s="89">
        <v>100083239</v>
      </c>
      <c r="G276" s="128" t="s">
        <v>365</v>
      </c>
      <c r="H276" s="166"/>
      <c r="I276" s="92"/>
      <c r="J276" s="92"/>
      <c r="K276" s="92"/>
      <c r="L276" s="92"/>
      <c r="M276" s="94"/>
      <c r="N276" s="94"/>
      <c r="O276" s="129"/>
      <c r="P276" s="167" t="e">
        <f t="shared" si="23"/>
        <v>#DIV/0!</v>
      </c>
      <c r="Q276" s="91">
        <v>4.8</v>
      </c>
      <c r="R276" s="129">
        <v>4.5599999999999996</v>
      </c>
      <c r="S276" s="91">
        <v>0</v>
      </c>
      <c r="T276" s="129">
        <v>0</v>
      </c>
      <c r="U276" s="93">
        <v>4.8</v>
      </c>
      <c r="V276" s="129">
        <v>4.5599999999999996</v>
      </c>
      <c r="W276" s="93">
        <v>4.8</v>
      </c>
      <c r="X276" s="129">
        <v>4.5599999999999996</v>
      </c>
      <c r="Y276" s="93">
        <v>0</v>
      </c>
      <c r="Z276" s="129">
        <v>0</v>
      </c>
      <c r="AA276" s="155">
        <f t="shared" si="26"/>
        <v>3.1999999999999997</v>
      </c>
      <c r="AB276" s="98">
        <f t="shared" si="26"/>
        <v>3.0399999999999996</v>
      </c>
      <c r="AC276"/>
      <c r="AD276" s="97">
        <v>0</v>
      </c>
      <c r="AE276" s="92">
        <v>0</v>
      </c>
      <c r="AF276" s="98">
        <f t="shared" si="25"/>
        <v>0</v>
      </c>
      <c r="AG276" s="97">
        <v>0</v>
      </c>
      <c r="AH276" s="92">
        <v>0</v>
      </c>
      <c r="AI276" s="98">
        <f t="shared" si="22"/>
        <v>0</v>
      </c>
      <c r="AJ276" s="98">
        <f t="shared" si="24"/>
        <v>0</v>
      </c>
      <c r="AK276" s="102" t="str">
        <f>+IF(AB276+AA276+AJ276&lt;=0, "NO COMPRADOR", +IF(AJ276&lt;=0, "SIN COMPRA "&amp;+UPPER(TEXT('DINAMICA ENERO 26'!$C$2,"mmm 'yy")), "COMPRADOR"))</f>
        <v>SIN COMPRA FEB '26</v>
      </c>
      <c r="AL276"/>
      <c r="AN276" s="101"/>
      <c r="AP276"/>
      <c r="AQ276"/>
      <c r="AR276"/>
      <c r="AS276"/>
      <c r="AT276"/>
      <c r="AU276"/>
      <c r="AV276"/>
      <c r="AW276"/>
      <c r="AX276"/>
    </row>
    <row r="277" spans="1:50" s="100" customFormat="1">
      <c r="A277" s="88" t="s">
        <v>85</v>
      </c>
      <c r="B277" s="89" t="s">
        <v>351</v>
      </c>
      <c r="C277" s="89" t="s">
        <v>43</v>
      </c>
      <c r="D277" s="103">
        <v>100070275</v>
      </c>
      <c r="E277" s="89" t="s">
        <v>47</v>
      </c>
      <c r="F277" s="89">
        <v>100066082</v>
      </c>
      <c r="G277" s="128" t="s">
        <v>366</v>
      </c>
      <c r="H277" s="166"/>
      <c r="I277" s="92"/>
      <c r="J277" s="92"/>
      <c r="K277" s="92"/>
      <c r="L277" s="92"/>
      <c r="M277" s="94"/>
      <c r="N277" s="94"/>
      <c r="O277" s="129"/>
      <c r="P277" s="167" t="e">
        <f t="shared" si="23"/>
        <v>#DIV/0!</v>
      </c>
      <c r="Q277" s="91">
        <v>0</v>
      </c>
      <c r="R277" s="129">
        <v>0</v>
      </c>
      <c r="S277" s="91">
        <v>0</v>
      </c>
      <c r="T277" s="129">
        <v>0</v>
      </c>
      <c r="U277" s="93">
        <v>0</v>
      </c>
      <c r="V277" s="129">
        <v>0</v>
      </c>
      <c r="W277" s="93">
        <v>0</v>
      </c>
      <c r="X277" s="129">
        <v>0</v>
      </c>
      <c r="Y277" s="93">
        <v>0</v>
      </c>
      <c r="Z277" s="129">
        <v>0</v>
      </c>
      <c r="AA277" s="155">
        <f t="shared" si="26"/>
        <v>0</v>
      </c>
      <c r="AB277" s="98">
        <f t="shared" si="26"/>
        <v>0</v>
      </c>
      <c r="AC277"/>
      <c r="AD277" s="97">
        <v>0</v>
      </c>
      <c r="AE277" s="92">
        <v>0</v>
      </c>
      <c r="AF277" s="98">
        <f t="shared" si="25"/>
        <v>0</v>
      </c>
      <c r="AG277" s="97">
        <v>0</v>
      </c>
      <c r="AH277" s="92">
        <v>0</v>
      </c>
      <c r="AI277" s="98">
        <f t="shared" si="22"/>
        <v>0</v>
      </c>
      <c r="AJ277" s="98">
        <f t="shared" si="24"/>
        <v>0</v>
      </c>
      <c r="AK277" s="102" t="str">
        <f>+IF(AB277+AA277+AJ277&lt;=0, "NO COMPRADOR", +IF(AJ277&lt;=0, "SIN COMPRA "&amp;+UPPER(TEXT('DINAMICA ENERO 26'!$C$2,"mmm 'yy")), "COMPRADOR"))</f>
        <v>NO COMPRADOR</v>
      </c>
      <c r="AL277"/>
      <c r="AN277" s="101"/>
      <c r="AP277"/>
      <c r="AQ277"/>
      <c r="AR277"/>
      <c r="AS277"/>
      <c r="AT277"/>
      <c r="AU277"/>
      <c r="AV277"/>
      <c r="AW277"/>
      <c r="AX277"/>
    </row>
    <row r="278" spans="1:50" s="100" customFormat="1">
      <c r="A278" s="88" t="s">
        <v>85</v>
      </c>
      <c r="B278" s="89" t="s">
        <v>351</v>
      </c>
      <c r="C278" s="89" t="s">
        <v>43</v>
      </c>
      <c r="D278" s="103">
        <v>100075073</v>
      </c>
      <c r="E278" s="89" t="s">
        <v>48</v>
      </c>
      <c r="F278" s="89">
        <v>100001979</v>
      </c>
      <c r="G278" s="128" t="s">
        <v>290</v>
      </c>
      <c r="H278" s="166"/>
      <c r="I278" s="92"/>
      <c r="J278" s="92"/>
      <c r="K278" s="92"/>
      <c r="L278" s="92"/>
      <c r="M278" s="94"/>
      <c r="N278" s="94"/>
      <c r="O278" s="129"/>
      <c r="P278" s="167" t="e">
        <f t="shared" si="23"/>
        <v>#DIV/0!</v>
      </c>
      <c r="Q278" s="91">
        <v>0</v>
      </c>
      <c r="R278" s="129">
        <v>0</v>
      </c>
      <c r="S278" s="91">
        <v>0</v>
      </c>
      <c r="T278" s="129">
        <v>0</v>
      </c>
      <c r="U278" s="93">
        <v>14.399999999999999</v>
      </c>
      <c r="V278" s="129">
        <v>9.1199999999999992</v>
      </c>
      <c r="W278" s="93">
        <v>0</v>
      </c>
      <c r="X278" s="129">
        <v>0</v>
      </c>
      <c r="Y278" s="93">
        <v>0</v>
      </c>
      <c r="Z278" s="129">
        <v>0</v>
      </c>
      <c r="AA278" s="155">
        <f t="shared" si="26"/>
        <v>4.8</v>
      </c>
      <c r="AB278" s="98">
        <f t="shared" si="26"/>
        <v>3.0399999999999996</v>
      </c>
      <c r="AC278"/>
      <c r="AD278" s="97">
        <v>0</v>
      </c>
      <c r="AE278" s="92">
        <v>0</v>
      </c>
      <c r="AF278" s="98">
        <f t="shared" si="25"/>
        <v>0</v>
      </c>
      <c r="AG278" s="97">
        <v>0</v>
      </c>
      <c r="AH278" s="92">
        <v>0</v>
      </c>
      <c r="AI278" s="98">
        <f t="shared" si="22"/>
        <v>0</v>
      </c>
      <c r="AJ278" s="98">
        <f t="shared" si="24"/>
        <v>0</v>
      </c>
      <c r="AK278" s="102" t="str">
        <f>+IF(AB278+AA278+AJ278&lt;=0, "NO COMPRADOR", +IF(AJ278&lt;=0, "SIN COMPRA "&amp;+UPPER(TEXT('DINAMICA ENERO 26'!$C$2,"mmm 'yy")), "COMPRADOR"))</f>
        <v>SIN COMPRA FEB '26</v>
      </c>
      <c r="AL278"/>
      <c r="AN278" s="101"/>
      <c r="AP278"/>
      <c r="AQ278"/>
      <c r="AR278"/>
      <c r="AS278"/>
      <c r="AT278"/>
      <c r="AU278"/>
      <c r="AV278"/>
      <c r="AW278"/>
      <c r="AX278"/>
    </row>
    <row r="279" spans="1:50" s="104" customFormat="1">
      <c r="A279" s="88" t="s">
        <v>85</v>
      </c>
      <c r="B279" s="89" t="s">
        <v>351</v>
      </c>
      <c r="C279" s="89" t="s">
        <v>43</v>
      </c>
      <c r="D279" s="103">
        <v>100075073</v>
      </c>
      <c r="E279" s="89" t="s">
        <v>48</v>
      </c>
      <c r="F279" s="89">
        <v>100014590</v>
      </c>
      <c r="G279" s="128" t="s">
        <v>367</v>
      </c>
      <c r="H279" s="166"/>
      <c r="I279" s="92"/>
      <c r="J279" s="92"/>
      <c r="K279" s="92"/>
      <c r="L279" s="92"/>
      <c r="M279" s="94"/>
      <c r="N279" s="94"/>
      <c r="O279" s="129"/>
      <c r="P279" s="167" t="e">
        <f t="shared" si="23"/>
        <v>#DIV/0!</v>
      </c>
      <c r="Q279" s="91">
        <v>0</v>
      </c>
      <c r="R279" s="129">
        <v>4.5599999999999996</v>
      </c>
      <c r="S279" s="91">
        <v>9.6</v>
      </c>
      <c r="T279" s="129">
        <v>4.5599999999999996</v>
      </c>
      <c r="U279" s="93">
        <v>4.8</v>
      </c>
      <c r="V279" s="129">
        <v>0</v>
      </c>
      <c r="W279" s="93">
        <v>14.399999999999999</v>
      </c>
      <c r="X279" s="129">
        <v>4.5599999999999996</v>
      </c>
      <c r="Y279" s="93">
        <v>0</v>
      </c>
      <c r="Z279" s="129">
        <v>0</v>
      </c>
      <c r="AA279" s="155">
        <f t="shared" si="26"/>
        <v>6.3999999999999995</v>
      </c>
      <c r="AB279" s="98">
        <f t="shared" si="26"/>
        <v>1.5199999999999998</v>
      </c>
      <c r="AC279"/>
      <c r="AD279" s="97">
        <v>0</v>
      </c>
      <c r="AE279" s="92">
        <v>0</v>
      </c>
      <c r="AF279" s="98">
        <f t="shared" si="25"/>
        <v>0</v>
      </c>
      <c r="AG279" s="97">
        <v>0</v>
      </c>
      <c r="AH279" s="92">
        <v>0</v>
      </c>
      <c r="AI279" s="98">
        <f t="shared" si="22"/>
        <v>0</v>
      </c>
      <c r="AJ279" s="98">
        <f t="shared" si="24"/>
        <v>0</v>
      </c>
      <c r="AK279" s="102" t="str">
        <f>+IF(AB279+AA279+AJ279&lt;=0, "NO COMPRADOR", +IF(AJ279&lt;=0, "SIN COMPRA "&amp;+UPPER(TEXT('DINAMICA ENERO 26'!$C$2,"mmm 'yy")), "COMPRADOR"))</f>
        <v>SIN COMPRA FEB '26</v>
      </c>
      <c r="AL279"/>
      <c r="AM279" s="100"/>
      <c r="AN279" s="101"/>
      <c r="AO279" s="100"/>
      <c r="AP279"/>
      <c r="AQ279"/>
      <c r="AR279"/>
      <c r="AS279"/>
      <c r="AT279"/>
      <c r="AU279"/>
      <c r="AV279"/>
      <c r="AW279"/>
      <c r="AX279"/>
    </row>
    <row r="280" spans="1:50" s="104" customFormat="1">
      <c r="A280" s="88" t="s">
        <v>85</v>
      </c>
      <c r="B280" s="89" t="s">
        <v>351</v>
      </c>
      <c r="C280" s="89" t="s">
        <v>43</v>
      </c>
      <c r="D280" s="103">
        <v>100075073</v>
      </c>
      <c r="E280" s="89" t="s">
        <v>48</v>
      </c>
      <c r="F280" s="89">
        <v>100001197</v>
      </c>
      <c r="G280" s="128" t="s">
        <v>368</v>
      </c>
      <c r="H280" s="166"/>
      <c r="I280" s="92"/>
      <c r="J280" s="92"/>
      <c r="K280" s="92"/>
      <c r="L280" s="92"/>
      <c r="M280" s="94"/>
      <c r="N280" s="94"/>
      <c r="O280" s="129"/>
      <c r="P280" s="167" t="e">
        <f t="shared" si="23"/>
        <v>#DIV/0!</v>
      </c>
      <c r="Q280" s="91">
        <v>0</v>
      </c>
      <c r="R280" s="129">
        <v>4.5599999999999996</v>
      </c>
      <c r="S280" s="91">
        <v>24</v>
      </c>
      <c r="T280" s="129">
        <v>0</v>
      </c>
      <c r="U280" s="93">
        <v>0</v>
      </c>
      <c r="V280" s="129">
        <v>0</v>
      </c>
      <c r="W280" s="93">
        <v>4.8</v>
      </c>
      <c r="X280" s="129">
        <v>9.1199999999999992</v>
      </c>
      <c r="Y280" s="93">
        <v>0</v>
      </c>
      <c r="Z280" s="129">
        <v>0</v>
      </c>
      <c r="AA280" s="155">
        <f t="shared" si="26"/>
        <v>1.5999999999999999</v>
      </c>
      <c r="AB280" s="98">
        <f t="shared" si="26"/>
        <v>3.0399999999999996</v>
      </c>
      <c r="AC280"/>
      <c r="AD280" s="97">
        <v>-4.8</v>
      </c>
      <c r="AE280" s="92">
        <v>0</v>
      </c>
      <c r="AF280" s="98">
        <f t="shared" si="25"/>
        <v>-4.8</v>
      </c>
      <c r="AG280" s="97">
        <v>-9.1199999999999992</v>
      </c>
      <c r="AH280" s="92">
        <v>0</v>
      </c>
      <c r="AI280" s="98">
        <f t="shared" si="22"/>
        <v>-9.1199999999999992</v>
      </c>
      <c r="AJ280" s="98">
        <f t="shared" si="24"/>
        <v>-13.919999999999998</v>
      </c>
      <c r="AK280" s="102" t="str">
        <f>+IF(AB280+AA280+AJ280&lt;=0, "NO COMPRADOR", +IF(AJ280&lt;=0, "SIN COMPRA "&amp;+UPPER(TEXT('DINAMICA ENERO 26'!$C$2,"mmm 'yy")), "COMPRADOR"))</f>
        <v>NO COMPRADOR</v>
      </c>
      <c r="AL280"/>
      <c r="AM280" s="100"/>
      <c r="AN280" s="101"/>
      <c r="AO280" s="100"/>
      <c r="AP280"/>
      <c r="AQ280"/>
      <c r="AR280"/>
      <c r="AS280"/>
      <c r="AT280"/>
      <c r="AU280"/>
      <c r="AV280"/>
      <c r="AW280"/>
      <c r="AX280"/>
    </row>
    <row r="281" spans="1:50" s="104" customFormat="1">
      <c r="A281" s="88" t="s">
        <v>85</v>
      </c>
      <c r="B281" s="89" t="s">
        <v>351</v>
      </c>
      <c r="C281" s="89" t="s">
        <v>43</v>
      </c>
      <c r="D281" s="103">
        <v>100075073</v>
      </c>
      <c r="E281" s="89" t="s">
        <v>48</v>
      </c>
      <c r="F281" s="89">
        <v>100087851</v>
      </c>
      <c r="G281" s="128" t="s">
        <v>369</v>
      </c>
      <c r="H281" s="166"/>
      <c r="I281" s="92"/>
      <c r="J281" s="92"/>
      <c r="K281" s="92"/>
      <c r="L281" s="92"/>
      <c r="M281" s="94"/>
      <c r="N281" s="94"/>
      <c r="O281" s="129"/>
      <c r="P281" s="167" t="e">
        <f t="shared" si="23"/>
        <v>#DIV/0!</v>
      </c>
      <c r="Q281" s="91">
        <v>0</v>
      </c>
      <c r="R281" s="129">
        <v>0</v>
      </c>
      <c r="S281" s="91">
        <v>0</v>
      </c>
      <c r="T281" s="129">
        <v>0</v>
      </c>
      <c r="U281" s="93">
        <v>28.8</v>
      </c>
      <c r="V281" s="129">
        <v>0</v>
      </c>
      <c r="W281" s="93">
        <v>72</v>
      </c>
      <c r="X281" s="129">
        <v>4.5599999999999996</v>
      </c>
      <c r="Y281" s="93">
        <v>96</v>
      </c>
      <c r="Z281" s="129">
        <v>0</v>
      </c>
      <c r="AA281" s="155">
        <f t="shared" si="26"/>
        <v>65.600000000000009</v>
      </c>
      <c r="AB281" s="98">
        <f t="shared" si="26"/>
        <v>1.5199999999999998</v>
      </c>
      <c r="AC281"/>
      <c r="AD281" s="97">
        <v>96</v>
      </c>
      <c r="AE281" s="92">
        <v>0</v>
      </c>
      <c r="AF281" s="98">
        <f t="shared" si="25"/>
        <v>96</v>
      </c>
      <c r="AG281" s="97">
        <v>9.1199999999999992</v>
      </c>
      <c r="AH281" s="92">
        <v>0</v>
      </c>
      <c r="AI281" s="98">
        <f t="shared" si="22"/>
        <v>9.1199999999999992</v>
      </c>
      <c r="AJ281" s="98">
        <f t="shared" si="24"/>
        <v>105.12</v>
      </c>
      <c r="AK281" s="102" t="str">
        <f>+IF(AB281+AA281+AJ281&lt;=0, "NO COMPRADOR", +IF(AJ281&lt;=0, "SIN COMPRA "&amp;+UPPER(TEXT('DINAMICA ENERO 26'!$C$2,"mmm 'yy")), "COMPRADOR"))</f>
        <v>COMPRADOR</v>
      </c>
      <c r="AL281"/>
      <c r="AM281" s="100"/>
      <c r="AN281" s="101"/>
      <c r="AO281" s="100"/>
      <c r="AP281"/>
      <c r="AQ281"/>
      <c r="AR281"/>
      <c r="AS281"/>
      <c r="AT281"/>
      <c r="AU281"/>
      <c r="AV281"/>
      <c r="AW281"/>
      <c r="AX281"/>
    </row>
    <row r="282" spans="1:50">
      <c r="A282" s="88" t="s">
        <v>85</v>
      </c>
      <c r="B282" s="89" t="s">
        <v>351</v>
      </c>
      <c r="C282" s="89" t="s">
        <v>43</v>
      </c>
      <c r="D282" s="103">
        <v>100075073</v>
      </c>
      <c r="E282" s="89" t="s">
        <v>48</v>
      </c>
      <c r="F282" s="89">
        <v>100001807</v>
      </c>
      <c r="G282" s="128" t="s">
        <v>370</v>
      </c>
      <c r="H282" s="166"/>
      <c r="I282" s="92"/>
      <c r="J282" s="92"/>
      <c r="K282" s="92"/>
      <c r="L282" s="92"/>
      <c r="M282" s="94"/>
      <c r="N282" s="94"/>
      <c r="O282" s="129"/>
      <c r="P282" s="167" t="e">
        <f t="shared" si="23"/>
        <v>#DIV/0!</v>
      </c>
      <c r="Q282" s="91">
        <v>33.6</v>
      </c>
      <c r="R282" s="129">
        <v>4.5599999999999996</v>
      </c>
      <c r="S282" s="91">
        <v>9.6</v>
      </c>
      <c r="T282" s="129">
        <v>4.5599999999999996</v>
      </c>
      <c r="U282" s="93">
        <v>24</v>
      </c>
      <c r="V282" s="129">
        <v>4.5599999999999996</v>
      </c>
      <c r="W282" s="93">
        <v>14.399999999999999</v>
      </c>
      <c r="X282" s="129">
        <v>0</v>
      </c>
      <c r="Y282" s="93">
        <v>19.2</v>
      </c>
      <c r="Z282" s="129">
        <v>0</v>
      </c>
      <c r="AA282" s="155">
        <f t="shared" si="26"/>
        <v>19.2</v>
      </c>
      <c r="AB282" s="98">
        <f t="shared" si="26"/>
        <v>1.5199999999999998</v>
      </c>
      <c r="AD282" s="97">
        <v>4.8</v>
      </c>
      <c r="AE282" s="92">
        <v>0</v>
      </c>
      <c r="AF282" s="98">
        <f t="shared" si="25"/>
        <v>4.8</v>
      </c>
      <c r="AG282" s="97">
        <v>4.5599999999999996</v>
      </c>
      <c r="AH282" s="92">
        <v>0</v>
      </c>
      <c r="AI282" s="98">
        <f t="shared" si="22"/>
        <v>4.5599999999999996</v>
      </c>
      <c r="AJ282" s="98">
        <f t="shared" si="24"/>
        <v>9.36</v>
      </c>
      <c r="AK282" s="102" t="str">
        <f>+IF(AB282+AA282+AJ282&lt;=0, "NO COMPRADOR", +IF(AJ282&lt;=0, "SIN COMPRA "&amp;+UPPER(TEXT('DINAMICA ENERO 26'!$C$2,"mmm 'yy")), "COMPRADOR"))</f>
        <v>COMPRADOR</v>
      </c>
      <c r="AM282" s="100"/>
      <c r="AN282" s="101"/>
      <c r="AO282" s="100"/>
    </row>
    <row r="283" spans="1:50">
      <c r="A283" s="88" t="s">
        <v>85</v>
      </c>
      <c r="B283" s="89" t="s">
        <v>351</v>
      </c>
      <c r="C283" s="89" t="s">
        <v>43</v>
      </c>
      <c r="D283" s="103">
        <v>100075073</v>
      </c>
      <c r="E283" s="89" t="s">
        <v>48</v>
      </c>
      <c r="F283" s="89">
        <v>100001935</v>
      </c>
      <c r="G283" s="128" t="s">
        <v>371</v>
      </c>
      <c r="H283" s="166"/>
      <c r="I283" s="92"/>
      <c r="J283" s="92"/>
      <c r="K283" s="92"/>
      <c r="L283" s="92"/>
      <c r="M283" s="94"/>
      <c r="N283" s="94"/>
      <c r="O283" s="129"/>
      <c r="P283" s="167" t="e">
        <f t="shared" si="23"/>
        <v>#DIV/0!</v>
      </c>
      <c r="Q283" s="91">
        <v>43.2</v>
      </c>
      <c r="R283" s="129">
        <v>4.5599999999999996</v>
      </c>
      <c r="S283" s="91">
        <v>19.2</v>
      </c>
      <c r="T283" s="129">
        <v>9.1199999999999992</v>
      </c>
      <c r="U283" s="93">
        <v>38.400000000000006</v>
      </c>
      <c r="V283" s="129">
        <v>4.5599999999999996</v>
      </c>
      <c r="W283" s="93">
        <v>43.2</v>
      </c>
      <c r="X283" s="129">
        <v>4.5599999999999996</v>
      </c>
      <c r="Y283" s="93">
        <v>33.599999999999994</v>
      </c>
      <c r="Z283" s="129">
        <v>0</v>
      </c>
      <c r="AA283" s="155">
        <f t="shared" si="26"/>
        <v>38.4</v>
      </c>
      <c r="AB283" s="98">
        <f t="shared" si="26"/>
        <v>3.0399999999999996</v>
      </c>
      <c r="AD283" s="97">
        <v>9.6</v>
      </c>
      <c r="AE283" s="92">
        <v>28.8</v>
      </c>
      <c r="AF283" s="98">
        <f t="shared" si="25"/>
        <v>38.4</v>
      </c>
      <c r="AG283" s="97">
        <v>4.5599999999999996</v>
      </c>
      <c r="AH283" s="92">
        <v>0</v>
      </c>
      <c r="AI283" s="98">
        <f t="shared" si="22"/>
        <v>4.5599999999999996</v>
      </c>
      <c r="AJ283" s="98">
        <f t="shared" si="24"/>
        <v>42.96</v>
      </c>
      <c r="AK283" s="102" t="str">
        <f>+IF(AB283+AA283+AJ283&lt;=0, "NO COMPRADOR", +IF(AJ283&lt;=0, "SIN COMPRA "&amp;+UPPER(TEXT('DINAMICA ENERO 26'!$C$2,"mmm 'yy")), "COMPRADOR"))</f>
        <v>COMPRADOR</v>
      </c>
      <c r="AM283" s="100"/>
      <c r="AN283" s="101"/>
      <c r="AO283" s="100"/>
    </row>
    <row r="284" spans="1:50">
      <c r="A284" s="88" t="s">
        <v>85</v>
      </c>
      <c r="B284" s="89" t="s">
        <v>351</v>
      </c>
      <c r="C284" s="89" t="s">
        <v>43</v>
      </c>
      <c r="D284" s="103">
        <v>100075073</v>
      </c>
      <c r="E284" s="89" t="s">
        <v>48</v>
      </c>
      <c r="F284" s="89">
        <v>100082353</v>
      </c>
      <c r="G284" s="128" t="s">
        <v>372</v>
      </c>
      <c r="H284" s="166"/>
      <c r="I284" s="92"/>
      <c r="J284" s="92"/>
      <c r="K284" s="92"/>
      <c r="L284" s="92"/>
      <c r="M284" s="94"/>
      <c r="N284" s="94"/>
      <c r="O284" s="129"/>
      <c r="P284" s="167" t="e">
        <f t="shared" si="23"/>
        <v>#DIV/0!</v>
      </c>
      <c r="Q284" s="91">
        <v>0</v>
      </c>
      <c r="R284" s="129">
        <v>9.1199999999999992</v>
      </c>
      <c r="S284" s="91">
        <v>9.6</v>
      </c>
      <c r="T284" s="129">
        <v>0</v>
      </c>
      <c r="U284" s="93">
        <v>48</v>
      </c>
      <c r="V284" s="129">
        <v>0</v>
      </c>
      <c r="W284" s="93">
        <v>48</v>
      </c>
      <c r="X284" s="129">
        <v>9.1199999999999992</v>
      </c>
      <c r="Y284" s="93">
        <v>62.4</v>
      </c>
      <c r="Z284" s="129">
        <v>45.599999999999994</v>
      </c>
      <c r="AA284" s="155">
        <f t="shared" si="26"/>
        <v>52.800000000000004</v>
      </c>
      <c r="AB284" s="98">
        <f t="shared" si="26"/>
        <v>18.239999999999998</v>
      </c>
      <c r="AD284" s="97">
        <v>0</v>
      </c>
      <c r="AE284" s="92">
        <v>0</v>
      </c>
      <c r="AF284" s="98">
        <f t="shared" si="25"/>
        <v>0</v>
      </c>
      <c r="AG284" s="97">
        <v>0</v>
      </c>
      <c r="AH284" s="92">
        <v>0</v>
      </c>
      <c r="AI284" s="98">
        <f t="shared" si="22"/>
        <v>0</v>
      </c>
      <c r="AJ284" s="98">
        <f t="shared" si="24"/>
        <v>0</v>
      </c>
      <c r="AK284" s="102" t="str">
        <f>+IF(AB284+AA284+AJ284&lt;=0, "NO COMPRADOR", +IF(AJ284&lt;=0, "SIN COMPRA "&amp;+UPPER(TEXT('DINAMICA ENERO 26'!$C$2,"mmm 'yy")), "COMPRADOR"))</f>
        <v>SIN COMPRA FEB '26</v>
      </c>
      <c r="AM284" s="100"/>
      <c r="AN284" s="101"/>
      <c r="AO284" s="100"/>
    </row>
    <row r="285" spans="1:50">
      <c r="A285" s="88" t="s">
        <v>85</v>
      </c>
      <c r="B285" s="89" t="s">
        <v>351</v>
      </c>
      <c r="C285" s="89" t="s">
        <v>43</v>
      </c>
      <c r="D285" s="103">
        <v>100075073</v>
      </c>
      <c r="E285" s="89" t="s">
        <v>48</v>
      </c>
      <c r="F285" s="89">
        <v>100075136</v>
      </c>
      <c r="G285" s="128" t="s">
        <v>373</v>
      </c>
      <c r="H285" s="166"/>
      <c r="I285" s="92"/>
      <c r="J285" s="92"/>
      <c r="K285" s="92"/>
      <c r="L285" s="92"/>
      <c r="M285" s="94"/>
      <c r="N285" s="94"/>
      <c r="O285" s="129"/>
      <c r="P285" s="167" t="e">
        <f t="shared" si="23"/>
        <v>#DIV/0!</v>
      </c>
      <c r="Q285" s="91">
        <v>144</v>
      </c>
      <c r="R285" s="129">
        <v>45.599999999999994</v>
      </c>
      <c r="S285" s="91">
        <v>240</v>
      </c>
      <c r="T285" s="129">
        <v>4.5599999999999996</v>
      </c>
      <c r="U285" s="93">
        <v>384</v>
      </c>
      <c r="V285" s="129">
        <v>22.799999999999997</v>
      </c>
      <c r="W285" s="93">
        <v>144</v>
      </c>
      <c r="X285" s="129">
        <v>0</v>
      </c>
      <c r="Y285" s="93">
        <v>240</v>
      </c>
      <c r="Z285" s="129">
        <v>0</v>
      </c>
      <c r="AA285" s="155">
        <f t="shared" si="26"/>
        <v>256</v>
      </c>
      <c r="AB285" s="98">
        <f t="shared" si="26"/>
        <v>7.5999999999999988</v>
      </c>
      <c r="AD285" s="97">
        <v>240</v>
      </c>
      <c r="AE285" s="92">
        <v>0</v>
      </c>
      <c r="AF285" s="98">
        <f t="shared" si="25"/>
        <v>240</v>
      </c>
      <c r="AG285" s="97">
        <v>45.599999999999994</v>
      </c>
      <c r="AH285" s="92">
        <v>0</v>
      </c>
      <c r="AI285" s="98">
        <f t="shared" si="22"/>
        <v>45.599999999999994</v>
      </c>
      <c r="AJ285" s="98">
        <f t="shared" si="24"/>
        <v>285.60000000000002</v>
      </c>
      <c r="AK285" s="102" t="str">
        <f>+IF(AB285+AA285+AJ285&lt;=0, "NO COMPRADOR", +IF(AJ285&lt;=0, "SIN COMPRA "&amp;+UPPER(TEXT('DINAMICA ENERO 26'!$C$2,"mmm 'yy")), "COMPRADOR"))</f>
        <v>COMPRADOR</v>
      </c>
      <c r="AM285" s="100"/>
      <c r="AN285" s="101"/>
      <c r="AO285" s="100"/>
    </row>
    <row r="286" spans="1:50">
      <c r="A286" s="88" t="s">
        <v>85</v>
      </c>
      <c r="B286" s="89" t="s">
        <v>351</v>
      </c>
      <c r="C286" s="89" t="s">
        <v>43</v>
      </c>
      <c r="D286" s="103">
        <v>100075073</v>
      </c>
      <c r="E286" s="89" t="s">
        <v>48</v>
      </c>
      <c r="F286" s="89">
        <v>100002420</v>
      </c>
      <c r="G286" s="128" t="s">
        <v>374</v>
      </c>
      <c r="H286" s="166"/>
      <c r="I286" s="92"/>
      <c r="J286" s="92"/>
      <c r="K286" s="92"/>
      <c r="L286" s="92"/>
      <c r="M286" s="94"/>
      <c r="N286" s="94"/>
      <c r="O286" s="129"/>
      <c r="P286" s="167" t="e">
        <f t="shared" si="23"/>
        <v>#DIV/0!</v>
      </c>
      <c r="Q286" s="91">
        <v>9.6</v>
      </c>
      <c r="R286" s="129">
        <v>4.5599999999999996</v>
      </c>
      <c r="S286" s="91">
        <v>4.8</v>
      </c>
      <c r="T286" s="129">
        <v>0</v>
      </c>
      <c r="U286" s="93">
        <v>0</v>
      </c>
      <c r="V286" s="129">
        <v>0</v>
      </c>
      <c r="W286" s="93">
        <v>0</v>
      </c>
      <c r="X286" s="129">
        <v>0</v>
      </c>
      <c r="Y286" s="93">
        <v>4.8</v>
      </c>
      <c r="Z286" s="129">
        <v>0</v>
      </c>
      <c r="AA286" s="155">
        <f t="shared" si="26"/>
        <v>1.5999999999999999</v>
      </c>
      <c r="AB286" s="98">
        <f t="shared" si="26"/>
        <v>0</v>
      </c>
      <c r="AD286" s="97">
        <v>9.6</v>
      </c>
      <c r="AE286" s="92">
        <v>0</v>
      </c>
      <c r="AF286" s="98">
        <f t="shared" si="25"/>
        <v>9.6</v>
      </c>
      <c r="AG286" s="97">
        <v>0</v>
      </c>
      <c r="AH286" s="92">
        <v>0</v>
      </c>
      <c r="AI286" s="98">
        <f t="shared" si="22"/>
        <v>0</v>
      </c>
      <c r="AJ286" s="98">
        <f t="shared" si="24"/>
        <v>9.6</v>
      </c>
      <c r="AK286" s="102" t="str">
        <f>+IF(AB286+AA286+AJ286&lt;=0, "NO COMPRADOR", +IF(AJ286&lt;=0, "SIN COMPRA "&amp;+UPPER(TEXT('DINAMICA ENERO 26'!$C$2,"mmm 'yy")), "COMPRADOR"))</f>
        <v>COMPRADOR</v>
      </c>
      <c r="AM286" s="100"/>
      <c r="AN286" s="101"/>
      <c r="AO286" s="100"/>
    </row>
    <row r="287" spans="1:50">
      <c r="A287" s="88" t="s">
        <v>85</v>
      </c>
      <c r="B287" s="89" t="s">
        <v>351</v>
      </c>
      <c r="C287" s="89" t="s">
        <v>43</v>
      </c>
      <c r="D287" s="103">
        <v>100075073</v>
      </c>
      <c r="E287" s="89" t="s">
        <v>48</v>
      </c>
      <c r="F287" s="89">
        <v>100064325</v>
      </c>
      <c r="G287" s="128" t="s">
        <v>375</v>
      </c>
      <c r="H287" s="166"/>
      <c r="I287" s="92"/>
      <c r="J287" s="92"/>
      <c r="K287" s="92"/>
      <c r="L287" s="92"/>
      <c r="M287" s="94"/>
      <c r="N287" s="94"/>
      <c r="O287" s="129"/>
      <c r="P287" s="167" t="e">
        <f t="shared" si="23"/>
        <v>#DIV/0!</v>
      </c>
      <c r="Q287" s="91">
        <v>0</v>
      </c>
      <c r="R287" s="129">
        <v>4.5599999999999996</v>
      </c>
      <c r="S287" s="91">
        <v>0</v>
      </c>
      <c r="T287" s="129">
        <v>4.5599999999999996</v>
      </c>
      <c r="U287" s="93">
        <v>0</v>
      </c>
      <c r="V287" s="129">
        <v>0</v>
      </c>
      <c r="W287" s="93">
        <v>0</v>
      </c>
      <c r="X287" s="129">
        <v>0</v>
      </c>
      <c r="Y287" s="93">
        <v>0</v>
      </c>
      <c r="Z287" s="129">
        <v>0</v>
      </c>
      <c r="AA287" s="155">
        <f t="shared" si="26"/>
        <v>0</v>
      </c>
      <c r="AB287" s="98">
        <f t="shared" si="26"/>
        <v>0</v>
      </c>
      <c r="AD287" s="97">
        <v>0</v>
      </c>
      <c r="AE287" s="92">
        <v>0</v>
      </c>
      <c r="AF287" s="98">
        <f t="shared" si="25"/>
        <v>0</v>
      </c>
      <c r="AG287" s="97">
        <v>0</v>
      </c>
      <c r="AH287" s="92">
        <v>0</v>
      </c>
      <c r="AI287" s="98">
        <f t="shared" si="22"/>
        <v>0</v>
      </c>
      <c r="AJ287" s="98">
        <f t="shared" si="24"/>
        <v>0</v>
      </c>
      <c r="AK287" s="102" t="str">
        <f>+IF(AB287+AA287+AJ287&lt;=0, "NO COMPRADOR", +IF(AJ287&lt;=0, "SIN COMPRA "&amp;+UPPER(TEXT('DINAMICA ENERO 26'!$C$2,"mmm 'yy")), "COMPRADOR"))</f>
        <v>NO COMPRADOR</v>
      </c>
      <c r="AM287" s="100"/>
      <c r="AN287" s="101"/>
      <c r="AO287" s="100"/>
    </row>
    <row r="288" spans="1:50">
      <c r="A288" s="88" t="s">
        <v>85</v>
      </c>
      <c r="B288" s="89" t="s">
        <v>351</v>
      </c>
      <c r="C288" s="89" t="s">
        <v>43</v>
      </c>
      <c r="D288" s="103">
        <v>100075073</v>
      </c>
      <c r="E288" s="89" t="s">
        <v>48</v>
      </c>
      <c r="F288" s="89">
        <v>100085596</v>
      </c>
      <c r="G288" s="128" t="s">
        <v>376</v>
      </c>
      <c r="H288" s="166"/>
      <c r="I288" s="92"/>
      <c r="J288" s="92"/>
      <c r="K288" s="92"/>
      <c r="L288" s="92"/>
      <c r="M288" s="94"/>
      <c r="N288" s="94"/>
      <c r="O288" s="129"/>
      <c r="P288" s="167" t="e">
        <f t="shared" si="23"/>
        <v>#DIV/0!</v>
      </c>
      <c r="Q288" s="91">
        <v>24</v>
      </c>
      <c r="R288" s="129">
        <v>4.5599999999999996</v>
      </c>
      <c r="S288" s="91">
        <v>38.4</v>
      </c>
      <c r="T288" s="129">
        <v>13.68</v>
      </c>
      <c r="U288" s="93">
        <v>144</v>
      </c>
      <c r="V288" s="129">
        <v>0</v>
      </c>
      <c r="W288" s="93">
        <v>0</v>
      </c>
      <c r="X288" s="129">
        <v>0</v>
      </c>
      <c r="Y288" s="93">
        <v>0</v>
      </c>
      <c r="Z288" s="129">
        <v>0</v>
      </c>
      <c r="AA288" s="155">
        <f t="shared" si="26"/>
        <v>48</v>
      </c>
      <c r="AB288" s="98">
        <f t="shared" si="26"/>
        <v>0</v>
      </c>
      <c r="AD288" s="97">
        <v>28.799999999999997</v>
      </c>
      <c r="AE288" s="92">
        <v>0</v>
      </c>
      <c r="AF288" s="98">
        <f t="shared" si="25"/>
        <v>28.799999999999997</v>
      </c>
      <c r="AG288" s="97">
        <v>0</v>
      </c>
      <c r="AH288" s="92">
        <v>0</v>
      </c>
      <c r="AI288" s="98">
        <f t="shared" si="22"/>
        <v>0</v>
      </c>
      <c r="AJ288" s="98">
        <f t="shared" si="24"/>
        <v>28.799999999999997</v>
      </c>
      <c r="AK288" s="102" t="str">
        <f>+IF(AB288+AA288+AJ288&lt;=0, "NO COMPRADOR", +IF(AJ288&lt;=0, "SIN COMPRA "&amp;+UPPER(TEXT('DINAMICA ENERO 26'!$C$2,"mmm 'yy")), "COMPRADOR"))</f>
        <v>COMPRADOR</v>
      </c>
      <c r="AM288" s="100"/>
      <c r="AN288" s="101"/>
      <c r="AO288" s="100"/>
    </row>
    <row r="289" spans="1:41">
      <c r="A289" s="88" t="s">
        <v>85</v>
      </c>
      <c r="B289" s="89" t="s">
        <v>351</v>
      </c>
      <c r="C289" s="89" t="s">
        <v>43</v>
      </c>
      <c r="D289" s="103">
        <v>100075073</v>
      </c>
      <c r="E289" s="89" t="s">
        <v>48</v>
      </c>
      <c r="F289" s="89">
        <v>100001738</v>
      </c>
      <c r="G289" s="128" t="s">
        <v>377</v>
      </c>
      <c r="H289" s="166"/>
      <c r="I289" s="92"/>
      <c r="J289" s="92"/>
      <c r="K289" s="92"/>
      <c r="L289" s="92"/>
      <c r="M289" s="94"/>
      <c r="N289" s="94"/>
      <c r="O289" s="129"/>
      <c r="P289" s="167" t="e">
        <f t="shared" si="23"/>
        <v>#DIV/0!</v>
      </c>
      <c r="Q289" s="91">
        <v>0</v>
      </c>
      <c r="R289" s="129">
        <v>0</v>
      </c>
      <c r="S289" s="91">
        <v>48</v>
      </c>
      <c r="T289" s="129">
        <v>0</v>
      </c>
      <c r="U289" s="93">
        <v>24</v>
      </c>
      <c r="V289" s="129">
        <v>0</v>
      </c>
      <c r="W289" s="93">
        <v>24</v>
      </c>
      <c r="X289" s="129">
        <v>0</v>
      </c>
      <c r="Y289" s="93">
        <v>0</v>
      </c>
      <c r="Z289" s="129">
        <v>0</v>
      </c>
      <c r="AA289" s="155">
        <f t="shared" si="26"/>
        <v>16</v>
      </c>
      <c r="AB289" s="98">
        <f t="shared" si="26"/>
        <v>0</v>
      </c>
      <c r="AD289" s="97">
        <v>0</v>
      </c>
      <c r="AE289" s="92">
        <v>0</v>
      </c>
      <c r="AF289" s="98">
        <f t="shared" si="25"/>
        <v>0</v>
      </c>
      <c r="AG289" s="97">
        <v>0</v>
      </c>
      <c r="AH289" s="92">
        <v>0</v>
      </c>
      <c r="AI289" s="98">
        <f t="shared" si="22"/>
        <v>0</v>
      </c>
      <c r="AJ289" s="98">
        <f t="shared" si="24"/>
        <v>0</v>
      </c>
      <c r="AK289" s="102" t="str">
        <f>+IF(AB289+AA289+AJ289&lt;=0, "NO COMPRADOR", +IF(AJ289&lt;=0, "SIN COMPRA "&amp;+UPPER(TEXT('DINAMICA ENERO 26'!$C$2,"mmm 'yy")), "COMPRADOR"))</f>
        <v>SIN COMPRA FEB '26</v>
      </c>
      <c r="AM289" s="100"/>
      <c r="AN289" s="101"/>
      <c r="AO289" s="100"/>
    </row>
    <row r="290" spans="1:41">
      <c r="A290" s="88" t="s">
        <v>85</v>
      </c>
      <c r="B290" s="89" t="s">
        <v>351</v>
      </c>
      <c r="C290" s="89" t="s">
        <v>43</v>
      </c>
      <c r="D290" s="103">
        <v>100075073</v>
      </c>
      <c r="E290" s="89" t="s">
        <v>48</v>
      </c>
      <c r="F290" s="89">
        <v>100088892</v>
      </c>
      <c r="G290" s="128" t="s">
        <v>378</v>
      </c>
      <c r="H290" s="168"/>
      <c r="I290" s="169"/>
      <c r="J290" s="169"/>
      <c r="K290" s="92"/>
      <c r="L290" s="92"/>
      <c r="M290" s="94"/>
      <c r="N290" s="94"/>
      <c r="O290" s="129"/>
      <c r="P290" s="167" t="e">
        <f t="shared" si="23"/>
        <v>#DIV/0!</v>
      </c>
      <c r="Q290" s="91">
        <v>288</v>
      </c>
      <c r="R290" s="129">
        <v>4.5599999999999996</v>
      </c>
      <c r="S290" s="91">
        <v>168</v>
      </c>
      <c r="T290" s="129">
        <v>4.5599999999999996</v>
      </c>
      <c r="U290" s="93">
        <v>144</v>
      </c>
      <c r="V290" s="129">
        <v>0</v>
      </c>
      <c r="W290" s="93">
        <v>216</v>
      </c>
      <c r="X290" s="129">
        <v>13.68</v>
      </c>
      <c r="Y290" s="93">
        <v>0</v>
      </c>
      <c r="Z290" s="129">
        <v>-4.5599999999999996</v>
      </c>
      <c r="AA290" s="155">
        <f t="shared" si="26"/>
        <v>120</v>
      </c>
      <c r="AB290" s="98">
        <f t="shared" si="26"/>
        <v>3.0400000000000005</v>
      </c>
      <c r="AD290" s="97">
        <v>144</v>
      </c>
      <c r="AE290" s="92">
        <v>0</v>
      </c>
      <c r="AF290" s="98">
        <f t="shared" si="25"/>
        <v>144</v>
      </c>
      <c r="AG290" s="97">
        <v>0</v>
      </c>
      <c r="AH290" s="92">
        <v>0</v>
      </c>
      <c r="AI290" s="98">
        <f t="shared" si="22"/>
        <v>0</v>
      </c>
      <c r="AJ290" s="98">
        <f t="shared" si="24"/>
        <v>144</v>
      </c>
      <c r="AK290" s="102" t="str">
        <f>+IF(AB290+AA290+AJ290&lt;=0, "NO COMPRADOR", +IF(AJ290&lt;=0, "SIN COMPRA "&amp;+UPPER(TEXT('DINAMICA ENERO 26'!$C$2,"mmm 'yy")), "COMPRADOR"))</f>
        <v>COMPRADOR</v>
      </c>
      <c r="AM290" s="100"/>
      <c r="AN290" s="101"/>
      <c r="AO290" s="100"/>
    </row>
    <row r="291" spans="1:41">
      <c r="A291" s="88" t="s">
        <v>379</v>
      </c>
      <c r="B291" s="89" t="s">
        <v>380</v>
      </c>
      <c r="C291" s="89" t="s">
        <v>38</v>
      </c>
      <c r="D291" s="103">
        <v>100050090</v>
      </c>
      <c r="E291" s="89" t="s">
        <v>39</v>
      </c>
      <c r="F291" s="89">
        <v>100001434</v>
      </c>
      <c r="G291" s="128" t="s">
        <v>381</v>
      </c>
      <c r="H291" s="168"/>
      <c r="I291" s="169"/>
      <c r="J291" s="169"/>
      <c r="K291" s="92"/>
      <c r="L291" s="92"/>
      <c r="M291" s="94"/>
      <c r="N291" s="94"/>
      <c r="O291" s="129"/>
      <c r="P291" s="167" t="e">
        <f t="shared" si="23"/>
        <v>#DIV/0!</v>
      </c>
      <c r="Q291" s="91">
        <v>110.39999999999998</v>
      </c>
      <c r="R291" s="129">
        <v>0</v>
      </c>
      <c r="S291" s="91">
        <v>235.2</v>
      </c>
      <c r="T291" s="129">
        <v>173.28000000000003</v>
      </c>
      <c r="U291" s="93">
        <v>62.399999999999991</v>
      </c>
      <c r="V291" s="129">
        <v>45.6</v>
      </c>
      <c r="W291" s="93">
        <v>216.00000000000003</v>
      </c>
      <c r="X291" s="129">
        <v>104.88</v>
      </c>
      <c r="Y291" s="93">
        <v>206.4</v>
      </c>
      <c r="Z291" s="129">
        <v>104.88</v>
      </c>
      <c r="AA291" s="155">
        <f t="shared" si="26"/>
        <v>161.60000000000002</v>
      </c>
      <c r="AB291" s="98">
        <f t="shared" si="26"/>
        <v>85.11999999999999</v>
      </c>
      <c r="AD291" s="97">
        <v>57.599999999999994</v>
      </c>
      <c r="AE291" s="92">
        <v>0</v>
      </c>
      <c r="AF291" s="98">
        <f t="shared" si="25"/>
        <v>57.599999999999994</v>
      </c>
      <c r="AG291" s="97">
        <v>141.36000000000001</v>
      </c>
      <c r="AH291" s="92">
        <v>0</v>
      </c>
      <c r="AI291" s="98">
        <f t="shared" si="22"/>
        <v>141.36000000000001</v>
      </c>
      <c r="AJ291" s="98">
        <f t="shared" si="24"/>
        <v>198.96</v>
      </c>
      <c r="AK291" s="102" t="str">
        <f>+IF(AB291+AA291+AJ291&lt;=0, "NO COMPRADOR", +IF(AJ291&lt;=0, "SIN COMPRA "&amp;+UPPER(TEXT('DINAMICA ENERO 26'!$C$2,"mmm 'yy")), "COMPRADOR"))</f>
        <v>COMPRADOR</v>
      </c>
      <c r="AN291" s="101"/>
      <c r="AO291" s="100"/>
    </row>
    <row r="292" spans="1:41">
      <c r="A292" s="88" t="s">
        <v>379</v>
      </c>
      <c r="B292" s="89" t="s">
        <v>380</v>
      </c>
      <c r="C292" s="89" t="s">
        <v>38</v>
      </c>
      <c r="D292" s="103">
        <v>100050090</v>
      </c>
      <c r="E292" s="89" t="s">
        <v>39</v>
      </c>
      <c r="F292" s="89">
        <v>100014442</v>
      </c>
      <c r="G292" s="128" t="s">
        <v>382</v>
      </c>
      <c r="H292" s="168"/>
      <c r="I292" s="169"/>
      <c r="J292" s="169"/>
      <c r="K292" s="92"/>
      <c r="L292" s="92"/>
      <c r="M292" s="94"/>
      <c r="N292" s="94"/>
      <c r="O292" s="129"/>
      <c r="P292" s="167" t="e">
        <f t="shared" si="23"/>
        <v>#DIV/0!</v>
      </c>
      <c r="Q292" s="91">
        <v>0</v>
      </c>
      <c r="R292" s="129">
        <v>0</v>
      </c>
      <c r="S292" s="91">
        <v>0</v>
      </c>
      <c r="T292" s="129">
        <v>0</v>
      </c>
      <c r="U292" s="93">
        <v>0</v>
      </c>
      <c r="V292" s="129">
        <v>0</v>
      </c>
      <c r="W292" s="93">
        <v>0</v>
      </c>
      <c r="X292" s="129">
        <v>0</v>
      </c>
      <c r="Y292" s="93">
        <v>0</v>
      </c>
      <c r="Z292" s="129">
        <v>0</v>
      </c>
      <c r="AA292" s="155">
        <f t="shared" si="26"/>
        <v>0</v>
      </c>
      <c r="AB292" s="98">
        <f t="shared" si="26"/>
        <v>0</v>
      </c>
      <c r="AD292" s="97">
        <v>0</v>
      </c>
      <c r="AE292" s="92">
        <v>0</v>
      </c>
      <c r="AF292" s="98">
        <f t="shared" si="25"/>
        <v>0</v>
      </c>
      <c r="AG292" s="97">
        <v>0</v>
      </c>
      <c r="AH292" s="92">
        <v>0</v>
      </c>
      <c r="AI292" s="98">
        <f t="shared" si="22"/>
        <v>0</v>
      </c>
      <c r="AJ292" s="98">
        <f t="shared" si="24"/>
        <v>0</v>
      </c>
      <c r="AK292" s="102" t="str">
        <f>+IF(AB292+AA292+AJ292&lt;=0, "NO COMPRADOR", +IF(AJ292&lt;=0, "SIN COMPRA "&amp;+UPPER(TEXT('DINAMICA ENERO 26'!$C$2,"mmm 'yy")), "COMPRADOR"))</f>
        <v>NO COMPRADOR</v>
      </c>
      <c r="AN292" s="101"/>
      <c r="AO292" s="100"/>
    </row>
    <row r="293" spans="1:41">
      <c r="A293" s="88" t="s">
        <v>379</v>
      </c>
      <c r="B293" s="89" t="s">
        <v>380</v>
      </c>
      <c r="C293" s="89" t="s">
        <v>38</v>
      </c>
      <c r="D293" s="103">
        <v>100050090</v>
      </c>
      <c r="E293" s="89" t="s">
        <v>39</v>
      </c>
      <c r="F293" s="89">
        <v>100018913</v>
      </c>
      <c r="G293" s="128" t="s">
        <v>383</v>
      </c>
      <c r="H293" s="168"/>
      <c r="I293" s="169"/>
      <c r="J293" s="169"/>
      <c r="K293" s="92"/>
      <c r="L293" s="92"/>
      <c r="M293" s="94"/>
      <c r="N293" s="94"/>
      <c r="O293" s="129"/>
      <c r="P293" s="167" t="e">
        <f t="shared" si="23"/>
        <v>#DIV/0!</v>
      </c>
      <c r="Q293" s="91">
        <v>0</v>
      </c>
      <c r="R293" s="129">
        <v>4.5599999999999996</v>
      </c>
      <c r="S293" s="91">
        <v>19.2</v>
      </c>
      <c r="T293" s="129">
        <v>0</v>
      </c>
      <c r="U293" s="93">
        <v>52.8</v>
      </c>
      <c r="V293" s="129">
        <v>0</v>
      </c>
      <c r="W293" s="93">
        <v>14.399999999999999</v>
      </c>
      <c r="X293" s="129">
        <v>27.36</v>
      </c>
      <c r="Y293" s="93">
        <v>9.6</v>
      </c>
      <c r="Z293" s="129">
        <v>0</v>
      </c>
      <c r="AA293" s="155">
        <f t="shared" si="26"/>
        <v>25.599999999999994</v>
      </c>
      <c r="AB293" s="98">
        <f t="shared" si="26"/>
        <v>9.1199999999999992</v>
      </c>
      <c r="AD293" s="97">
        <v>0</v>
      </c>
      <c r="AE293" s="92">
        <v>0</v>
      </c>
      <c r="AF293" s="98">
        <f t="shared" si="25"/>
        <v>0</v>
      </c>
      <c r="AG293" s="97">
        <v>0</v>
      </c>
      <c r="AH293" s="92">
        <v>0</v>
      </c>
      <c r="AI293" s="98">
        <f t="shared" si="22"/>
        <v>0</v>
      </c>
      <c r="AJ293" s="98">
        <f t="shared" si="24"/>
        <v>0</v>
      </c>
      <c r="AK293" s="102" t="str">
        <f>+IF(AB293+AA293+AJ293&lt;=0, "NO COMPRADOR", +IF(AJ293&lt;=0, "SIN COMPRA "&amp;+UPPER(TEXT('DINAMICA ENERO 26'!$C$2,"mmm 'yy")), "COMPRADOR"))</f>
        <v>SIN COMPRA FEB '26</v>
      </c>
      <c r="AN293" s="101"/>
      <c r="AO293" s="100"/>
    </row>
    <row r="294" spans="1:41">
      <c r="A294" s="88" t="s">
        <v>379</v>
      </c>
      <c r="B294" s="89" t="s">
        <v>380</v>
      </c>
      <c r="C294" s="89" t="s">
        <v>38</v>
      </c>
      <c r="D294" s="103">
        <v>100050090</v>
      </c>
      <c r="E294" s="89" t="s">
        <v>39</v>
      </c>
      <c r="F294" s="89">
        <v>100015167</v>
      </c>
      <c r="G294" s="128" t="s">
        <v>384</v>
      </c>
      <c r="H294" s="168"/>
      <c r="I294" s="169"/>
      <c r="J294" s="169"/>
      <c r="K294" s="92"/>
      <c r="L294" s="92"/>
      <c r="M294" s="94"/>
      <c r="N294" s="94"/>
      <c r="O294" s="129"/>
      <c r="P294" s="167" t="e">
        <f t="shared" si="23"/>
        <v>#DIV/0!</v>
      </c>
      <c r="Q294" s="91">
        <v>72</v>
      </c>
      <c r="R294" s="129">
        <v>36.479999999999997</v>
      </c>
      <c r="S294" s="91">
        <v>48</v>
      </c>
      <c r="T294" s="129">
        <v>0</v>
      </c>
      <c r="U294" s="93">
        <v>24</v>
      </c>
      <c r="V294" s="129">
        <v>22.799999999999997</v>
      </c>
      <c r="W294" s="93">
        <v>96</v>
      </c>
      <c r="X294" s="129">
        <v>0</v>
      </c>
      <c r="Y294" s="93">
        <v>0</v>
      </c>
      <c r="Z294" s="129">
        <v>0</v>
      </c>
      <c r="AA294" s="155">
        <f t="shared" si="26"/>
        <v>40</v>
      </c>
      <c r="AB294" s="98">
        <f t="shared" si="26"/>
        <v>7.5999999999999988</v>
      </c>
      <c r="AD294" s="97">
        <v>57.599999999999994</v>
      </c>
      <c r="AE294" s="92">
        <v>0</v>
      </c>
      <c r="AF294" s="98">
        <f t="shared" si="25"/>
        <v>57.599999999999994</v>
      </c>
      <c r="AG294" s="97">
        <v>54.72</v>
      </c>
      <c r="AH294" s="92">
        <v>0</v>
      </c>
      <c r="AI294" s="98">
        <f t="shared" si="22"/>
        <v>54.72</v>
      </c>
      <c r="AJ294" s="98">
        <f t="shared" si="24"/>
        <v>112.32</v>
      </c>
      <c r="AK294" s="102" t="str">
        <f>+IF(AB294+AA294+AJ294&lt;=0, "NO COMPRADOR", +IF(AJ294&lt;=0, "SIN COMPRA "&amp;+UPPER(TEXT('DINAMICA ENERO 26'!$C$2,"mmm 'yy")), "COMPRADOR"))</f>
        <v>COMPRADOR</v>
      </c>
      <c r="AN294" s="101"/>
      <c r="AO294" s="100"/>
    </row>
    <row r="295" spans="1:41" ht="15" thickBot="1">
      <c r="A295" s="88" t="s">
        <v>379</v>
      </c>
      <c r="B295" s="89" t="s">
        <v>380</v>
      </c>
      <c r="C295" s="89" t="s">
        <v>38</v>
      </c>
      <c r="D295" s="103">
        <v>100050090</v>
      </c>
      <c r="E295" s="89" t="s">
        <v>39</v>
      </c>
      <c r="F295" s="89">
        <v>100001979</v>
      </c>
      <c r="G295" s="128" t="s">
        <v>290</v>
      </c>
      <c r="H295" s="170"/>
      <c r="I295" s="171"/>
      <c r="J295" s="171"/>
      <c r="K295" s="116"/>
      <c r="L295" s="116"/>
      <c r="M295" s="118"/>
      <c r="N295" s="118"/>
      <c r="O295" s="172"/>
      <c r="P295" s="173" t="e">
        <f t="shared" si="23"/>
        <v>#DIV/0!</v>
      </c>
      <c r="Q295" s="91">
        <v>0</v>
      </c>
      <c r="R295" s="129">
        <v>0</v>
      </c>
      <c r="S295" s="91">
        <v>4.8</v>
      </c>
      <c r="T295" s="129">
        <v>13.68</v>
      </c>
      <c r="U295" s="93">
        <v>0</v>
      </c>
      <c r="V295" s="129">
        <v>0</v>
      </c>
      <c r="W295" s="93">
        <v>9.6</v>
      </c>
      <c r="X295" s="129">
        <v>9.1199999999999992</v>
      </c>
      <c r="Y295" s="93">
        <v>14.399999999999999</v>
      </c>
      <c r="Z295" s="129">
        <v>9.1199999999999992</v>
      </c>
      <c r="AA295" s="155">
        <f t="shared" si="26"/>
        <v>8</v>
      </c>
      <c r="AB295" s="98">
        <f t="shared" si="26"/>
        <v>6.0799999999999992</v>
      </c>
      <c r="AD295" s="97">
        <v>19.2</v>
      </c>
      <c r="AE295" s="92">
        <v>0</v>
      </c>
      <c r="AF295" s="98">
        <f t="shared" si="25"/>
        <v>19.2</v>
      </c>
      <c r="AG295" s="97">
        <v>9.1199999999999992</v>
      </c>
      <c r="AH295" s="92">
        <v>0</v>
      </c>
      <c r="AI295" s="98">
        <f t="shared" ref="AI295:AI358" si="27">+AG295+AH295</f>
        <v>9.1199999999999992</v>
      </c>
      <c r="AJ295" s="98">
        <f t="shared" si="24"/>
        <v>28.32</v>
      </c>
      <c r="AK295" s="102" t="str">
        <f>+IF(AB295+AA295+AJ295&lt;=0, "NO COMPRADOR", +IF(AJ295&lt;=0, "SIN COMPRA "&amp;+UPPER(TEXT('DINAMICA ENERO 26'!$C$2,"mmm 'yy")), "COMPRADOR"))</f>
        <v>COMPRADOR</v>
      </c>
      <c r="AN295" s="101"/>
      <c r="AO295" s="100"/>
    </row>
    <row r="296" spans="1:41">
      <c r="A296" s="88" t="s">
        <v>379</v>
      </c>
      <c r="B296" s="89" t="s">
        <v>380</v>
      </c>
      <c r="C296" s="89" t="s">
        <v>38</v>
      </c>
      <c r="D296" s="103">
        <v>100050090</v>
      </c>
      <c r="E296" s="89" t="s">
        <v>39</v>
      </c>
      <c r="F296" s="89">
        <v>100000650</v>
      </c>
      <c r="G296" s="128" t="s">
        <v>385</v>
      </c>
      <c r="Q296" s="91">
        <v>9.6</v>
      </c>
      <c r="R296" s="129">
        <v>31.919999999999995</v>
      </c>
      <c r="S296" s="91">
        <v>0</v>
      </c>
      <c r="T296" s="129">
        <v>4.5599999999999996</v>
      </c>
      <c r="U296" s="93">
        <v>9.6</v>
      </c>
      <c r="V296" s="129">
        <v>9.1199999999999992</v>
      </c>
      <c r="W296" s="93">
        <v>0</v>
      </c>
      <c r="X296" s="129">
        <v>4.5599999999999996</v>
      </c>
      <c r="Y296" s="93">
        <v>14.399999999999999</v>
      </c>
      <c r="Z296" s="129">
        <v>4.5599999999999996</v>
      </c>
      <c r="AA296" s="155">
        <f t="shared" si="26"/>
        <v>8</v>
      </c>
      <c r="AB296" s="98">
        <f t="shared" si="26"/>
        <v>6.0799999999999992</v>
      </c>
      <c r="AD296" s="97">
        <v>0</v>
      </c>
      <c r="AE296" s="92">
        <v>0</v>
      </c>
      <c r="AF296" s="98">
        <f t="shared" si="25"/>
        <v>0</v>
      </c>
      <c r="AG296" s="97">
        <v>0</v>
      </c>
      <c r="AH296" s="92">
        <v>0</v>
      </c>
      <c r="AI296" s="98">
        <f t="shared" si="27"/>
        <v>0</v>
      </c>
      <c r="AJ296" s="98">
        <f t="shared" si="24"/>
        <v>0</v>
      </c>
      <c r="AK296" s="102" t="str">
        <f>+IF(AB296+AA296+AJ296&lt;=0, "NO COMPRADOR", +IF(AJ296&lt;=0, "SIN COMPRA "&amp;+UPPER(TEXT('DINAMICA ENERO 26'!$C$2,"mmm 'yy")), "COMPRADOR"))</f>
        <v>SIN COMPRA FEB '26</v>
      </c>
    </row>
    <row r="297" spans="1:41">
      <c r="A297" s="88" t="s">
        <v>379</v>
      </c>
      <c r="B297" s="89" t="s">
        <v>380</v>
      </c>
      <c r="C297" s="89" t="s">
        <v>38</v>
      </c>
      <c r="D297" s="103">
        <v>100050090</v>
      </c>
      <c r="E297" s="89" t="s">
        <v>39</v>
      </c>
      <c r="F297" s="89">
        <v>100001938</v>
      </c>
      <c r="G297" s="128" t="s">
        <v>386</v>
      </c>
      <c r="Q297" s="91">
        <v>14.399999999999999</v>
      </c>
      <c r="R297" s="129">
        <v>95.76</v>
      </c>
      <c r="S297" s="91">
        <v>76.800000000000011</v>
      </c>
      <c r="T297" s="129">
        <v>45.599999999999994</v>
      </c>
      <c r="U297" s="93">
        <v>48</v>
      </c>
      <c r="V297" s="129">
        <v>27.36</v>
      </c>
      <c r="W297" s="93">
        <v>110.39999999999998</v>
      </c>
      <c r="X297" s="129">
        <v>72.959999999999994</v>
      </c>
      <c r="Y297" s="93">
        <v>763.19999999999993</v>
      </c>
      <c r="Z297" s="129">
        <v>36.479999999999997</v>
      </c>
      <c r="AA297" s="155">
        <f t="shared" si="26"/>
        <v>307.2</v>
      </c>
      <c r="AB297" s="98">
        <f t="shared" si="26"/>
        <v>45.599999999999994</v>
      </c>
      <c r="AD297" s="97">
        <v>182.40000000000003</v>
      </c>
      <c r="AE297" s="92">
        <v>0</v>
      </c>
      <c r="AF297" s="98">
        <f t="shared" si="25"/>
        <v>182.40000000000003</v>
      </c>
      <c r="AG297" s="97">
        <v>50.16</v>
      </c>
      <c r="AH297" s="92">
        <v>0</v>
      </c>
      <c r="AI297" s="98">
        <f t="shared" si="27"/>
        <v>50.16</v>
      </c>
      <c r="AJ297" s="98">
        <f t="shared" si="24"/>
        <v>232.56000000000003</v>
      </c>
      <c r="AK297" s="102" t="str">
        <f>+IF(AB297+AA297+AJ297&lt;=0, "NO COMPRADOR", +IF(AJ297&lt;=0, "SIN COMPRA "&amp;+UPPER(TEXT('DINAMICA ENERO 26'!$C$2,"mmm 'yy")), "COMPRADOR"))</f>
        <v>COMPRADOR</v>
      </c>
    </row>
    <row r="298" spans="1:41">
      <c r="A298" s="88" t="s">
        <v>379</v>
      </c>
      <c r="B298" s="89" t="s">
        <v>380</v>
      </c>
      <c r="C298" s="89" t="s">
        <v>38</v>
      </c>
      <c r="D298" s="103">
        <v>100050090</v>
      </c>
      <c r="E298" s="89" t="s">
        <v>39</v>
      </c>
      <c r="F298" s="89">
        <v>100001342</v>
      </c>
      <c r="G298" s="128" t="s">
        <v>387</v>
      </c>
      <c r="Q298" s="91">
        <v>33.6</v>
      </c>
      <c r="R298" s="129">
        <v>0</v>
      </c>
      <c r="S298" s="91">
        <v>24</v>
      </c>
      <c r="T298" s="129">
        <v>31.919999999999998</v>
      </c>
      <c r="U298" s="93">
        <v>14.399999999999999</v>
      </c>
      <c r="V298" s="129">
        <v>9.1199999999999992</v>
      </c>
      <c r="W298" s="93">
        <v>24</v>
      </c>
      <c r="X298" s="129">
        <v>18.239999999999998</v>
      </c>
      <c r="Y298" s="93">
        <v>19.2</v>
      </c>
      <c r="Z298" s="129">
        <v>31.919999999999995</v>
      </c>
      <c r="AA298" s="155">
        <f t="shared" si="26"/>
        <v>19.2</v>
      </c>
      <c r="AB298" s="98">
        <f t="shared" si="26"/>
        <v>19.759999999999998</v>
      </c>
      <c r="AD298" s="97">
        <v>38.4</v>
      </c>
      <c r="AE298" s="92">
        <v>0</v>
      </c>
      <c r="AF298" s="98">
        <f t="shared" si="25"/>
        <v>38.4</v>
      </c>
      <c r="AG298" s="97">
        <v>22.799999999999997</v>
      </c>
      <c r="AH298" s="92">
        <v>0</v>
      </c>
      <c r="AI298" s="98">
        <f t="shared" si="27"/>
        <v>22.799999999999997</v>
      </c>
      <c r="AJ298" s="98">
        <f t="shared" si="24"/>
        <v>61.199999999999996</v>
      </c>
      <c r="AK298" s="102" t="str">
        <f>+IF(AB298+AA298+AJ298&lt;=0, "NO COMPRADOR", +IF(AJ298&lt;=0, "SIN COMPRA "&amp;+UPPER(TEXT('DINAMICA ENERO 26'!$C$2,"mmm 'yy")), "COMPRADOR"))</f>
        <v>COMPRADOR</v>
      </c>
    </row>
    <row r="299" spans="1:41">
      <c r="A299" s="88" t="s">
        <v>379</v>
      </c>
      <c r="B299" s="89" t="s">
        <v>380</v>
      </c>
      <c r="C299" s="89" t="s">
        <v>38</v>
      </c>
      <c r="D299" s="103">
        <v>100075114</v>
      </c>
      <c r="E299" s="89" t="s">
        <v>40</v>
      </c>
      <c r="F299" s="89">
        <v>100001342</v>
      </c>
      <c r="G299" s="128" t="s">
        <v>387</v>
      </c>
      <c r="Q299" s="91">
        <v>0</v>
      </c>
      <c r="R299" s="129">
        <v>0</v>
      </c>
      <c r="S299" s="91">
        <v>0</v>
      </c>
      <c r="T299" s="129">
        <v>0</v>
      </c>
      <c r="U299" s="93">
        <v>119.99999999999997</v>
      </c>
      <c r="V299" s="129">
        <v>109.44000000000001</v>
      </c>
      <c r="W299" s="93">
        <v>172.79999999999995</v>
      </c>
      <c r="X299" s="129">
        <v>136.80000000000001</v>
      </c>
      <c r="Y299" s="93">
        <v>158.4</v>
      </c>
      <c r="Z299" s="129">
        <v>155.04000000000005</v>
      </c>
      <c r="AA299" s="155">
        <f t="shared" si="26"/>
        <v>150.39999999999998</v>
      </c>
      <c r="AB299" s="98">
        <f t="shared" si="26"/>
        <v>133.76000000000002</v>
      </c>
      <c r="AD299" s="97">
        <v>139.20000000000002</v>
      </c>
      <c r="AE299" s="92">
        <v>38.4</v>
      </c>
      <c r="AF299" s="98">
        <f t="shared" si="25"/>
        <v>177.60000000000002</v>
      </c>
      <c r="AG299" s="97">
        <v>118.56000000000003</v>
      </c>
      <c r="AH299" s="92">
        <v>45.599999999999994</v>
      </c>
      <c r="AI299" s="98">
        <f t="shared" si="27"/>
        <v>164.16000000000003</v>
      </c>
      <c r="AJ299" s="98">
        <f t="shared" si="24"/>
        <v>341.76000000000005</v>
      </c>
      <c r="AK299" s="102" t="str">
        <f>+IF(AB299+AA299+AJ299&lt;=0, "NO COMPRADOR", +IF(AJ299&lt;=0, "SIN COMPRA "&amp;+UPPER(TEXT('DINAMICA ENERO 26'!$C$2,"mmm 'yy")), "COMPRADOR"))</f>
        <v>COMPRADOR</v>
      </c>
    </row>
    <row r="300" spans="1:41">
      <c r="A300" s="88" t="s">
        <v>379</v>
      </c>
      <c r="B300" s="89" t="s">
        <v>380</v>
      </c>
      <c r="C300" s="89" t="s">
        <v>38</v>
      </c>
      <c r="D300" s="103">
        <v>100075114</v>
      </c>
      <c r="E300" s="89" t="s">
        <v>40</v>
      </c>
      <c r="F300" s="89">
        <v>100001850</v>
      </c>
      <c r="G300" s="128" t="s">
        <v>388</v>
      </c>
      <c r="Q300" s="91">
        <v>19.2</v>
      </c>
      <c r="R300" s="129">
        <v>4.5599999999999996</v>
      </c>
      <c r="S300" s="91">
        <v>28.799999999999997</v>
      </c>
      <c r="T300" s="129">
        <v>27.359999999999996</v>
      </c>
      <c r="U300" s="93">
        <v>9.6</v>
      </c>
      <c r="V300" s="129">
        <v>4.5599999999999996</v>
      </c>
      <c r="W300" s="93">
        <v>9.6</v>
      </c>
      <c r="X300" s="129">
        <v>4.5599999999999996</v>
      </c>
      <c r="Y300" s="93">
        <v>14.399999999999999</v>
      </c>
      <c r="Z300" s="129">
        <v>0</v>
      </c>
      <c r="AA300" s="155">
        <f t="shared" si="26"/>
        <v>11.199999999999998</v>
      </c>
      <c r="AB300" s="98">
        <f t="shared" si="26"/>
        <v>3.0399999999999996</v>
      </c>
      <c r="AD300" s="97">
        <v>9.6</v>
      </c>
      <c r="AE300" s="92">
        <v>14.399999999999999</v>
      </c>
      <c r="AF300" s="98">
        <f t="shared" si="25"/>
        <v>24</v>
      </c>
      <c r="AG300" s="97">
        <v>9.1199999999999992</v>
      </c>
      <c r="AH300" s="92">
        <v>13.68</v>
      </c>
      <c r="AI300" s="98">
        <f t="shared" si="27"/>
        <v>22.799999999999997</v>
      </c>
      <c r="AJ300" s="98">
        <f t="shared" si="24"/>
        <v>46.8</v>
      </c>
      <c r="AK300" s="102" t="str">
        <f>+IF(AB300+AA300+AJ300&lt;=0, "NO COMPRADOR", +IF(AJ300&lt;=0, "SIN COMPRA "&amp;+UPPER(TEXT('DINAMICA ENERO 26'!$C$2,"mmm 'yy")), "COMPRADOR"))</f>
        <v>COMPRADOR</v>
      </c>
    </row>
    <row r="301" spans="1:41">
      <c r="A301" s="88" t="s">
        <v>379</v>
      </c>
      <c r="B301" s="89" t="s">
        <v>380</v>
      </c>
      <c r="C301" s="89" t="s">
        <v>38</v>
      </c>
      <c r="D301" s="103">
        <v>100075114</v>
      </c>
      <c r="E301" s="89" t="s">
        <v>40</v>
      </c>
      <c r="F301" s="89">
        <v>100002199</v>
      </c>
      <c r="G301" s="128" t="s">
        <v>389</v>
      </c>
      <c r="Q301" s="91">
        <v>9.6</v>
      </c>
      <c r="R301" s="129">
        <v>4.5599999999999996</v>
      </c>
      <c r="S301" s="91">
        <v>24</v>
      </c>
      <c r="T301" s="129">
        <v>9.1199999999999992</v>
      </c>
      <c r="U301" s="93">
        <v>43.199999999999996</v>
      </c>
      <c r="V301" s="129">
        <v>36.479999999999997</v>
      </c>
      <c r="W301" s="93">
        <v>0</v>
      </c>
      <c r="X301" s="129">
        <v>0</v>
      </c>
      <c r="Y301" s="93">
        <v>43.199999999999996</v>
      </c>
      <c r="Z301" s="129">
        <v>27.36</v>
      </c>
      <c r="AA301" s="155">
        <f t="shared" si="26"/>
        <v>28.799999999999997</v>
      </c>
      <c r="AB301" s="98">
        <f t="shared" si="26"/>
        <v>21.279999999999998</v>
      </c>
      <c r="AD301" s="97">
        <v>0</v>
      </c>
      <c r="AE301" s="92">
        <v>0</v>
      </c>
      <c r="AF301" s="98">
        <f t="shared" si="25"/>
        <v>0</v>
      </c>
      <c r="AG301" s="97">
        <v>0</v>
      </c>
      <c r="AH301" s="92">
        <v>0</v>
      </c>
      <c r="AI301" s="98">
        <f t="shared" si="27"/>
        <v>0</v>
      </c>
      <c r="AJ301" s="98">
        <f t="shared" si="24"/>
        <v>0</v>
      </c>
      <c r="AK301" s="102" t="str">
        <f>+IF(AB301+AA301+AJ301&lt;=0, "NO COMPRADOR", +IF(AJ301&lt;=0, "SIN COMPRA "&amp;+UPPER(TEXT('DINAMICA ENERO 26'!$C$2,"mmm 'yy")), "COMPRADOR"))</f>
        <v>SIN COMPRA FEB '26</v>
      </c>
    </row>
    <row r="302" spans="1:41">
      <c r="A302" s="88" t="s">
        <v>379</v>
      </c>
      <c r="B302" s="89" t="s">
        <v>380</v>
      </c>
      <c r="C302" s="89" t="s">
        <v>38</v>
      </c>
      <c r="D302" s="103">
        <v>100075114</v>
      </c>
      <c r="E302" s="89" t="s">
        <v>40</v>
      </c>
      <c r="F302" s="89">
        <v>100001583</v>
      </c>
      <c r="G302" s="128" t="s">
        <v>390</v>
      </c>
      <c r="Q302" s="91">
        <v>14.399999999999999</v>
      </c>
      <c r="R302" s="129">
        <v>18.239999999999995</v>
      </c>
      <c r="S302" s="91">
        <v>76.8</v>
      </c>
      <c r="T302" s="129">
        <v>91.199999999999989</v>
      </c>
      <c r="U302" s="93">
        <v>48</v>
      </c>
      <c r="V302" s="129">
        <v>13.68</v>
      </c>
      <c r="W302" s="93">
        <v>43.199999999999996</v>
      </c>
      <c r="X302" s="129">
        <v>45.599999999999994</v>
      </c>
      <c r="Y302" s="93">
        <v>57.6</v>
      </c>
      <c r="Z302" s="129">
        <v>36.479999999999997</v>
      </c>
      <c r="AA302" s="155">
        <f t="shared" si="26"/>
        <v>49.599999999999994</v>
      </c>
      <c r="AB302" s="98">
        <f t="shared" si="26"/>
        <v>31.919999999999998</v>
      </c>
      <c r="AD302" s="97">
        <v>81.599999999999994</v>
      </c>
      <c r="AE302" s="92">
        <v>0</v>
      </c>
      <c r="AF302" s="98">
        <f t="shared" si="25"/>
        <v>81.599999999999994</v>
      </c>
      <c r="AG302" s="97">
        <v>50.159999999999989</v>
      </c>
      <c r="AH302" s="92">
        <v>0</v>
      </c>
      <c r="AI302" s="98">
        <f t="shared" si="27"/>
        <v>50.159999999999989</v>
      </c>
      <c r="AJ302" s="98">
        <f t="shared" si="24"/>
        <v>131.76</v>
      </c>
      <c r="AK302" s="102" t="str">
        <f>+IF(AB302+AA302+AJ302&lt;=0, "NO COMPRADOR", +IF(AJ302&lt;=0, "SIN COMPRA "&amp;+UPPER(TEXT('DINAMICA ENERO 26'!$C$2,"mmm 'yy")), "COMPRADOR"))</f>
        <v>COMPRADOR</v>
      </c>
    </row>
    <row r="303" spans="1:41">
      <c r="A303" s="88" t="s">
        <v>379</v>
      </c>
      <c r="B303" s="89" t="s">
        <v>380</v>
      </c>
      <c r="C303" s="89" t="s">
        <v>38</v>
      </c>
      <c r="D303" s="103">
        <v>100075114</v>
      </c>
      <c r="E303" s="89" t="s">
        <v>40</v>
      </c>
      <c r="F303" s="89">
        <v>100001186</v>
      </c>
      <c r="G303" s="128" t="s">
        <v>391</v>
      </c>
      <c r="Q303" s="91">
        <v>4.8</v>
      </c>
      <c r="R303" s="129">
        <v>4.5599999999999996</v>
      </c>
      <c r="S303" s="91">
        <v>91.199999999999989</v>
      </c>
      <c r="T303" s="129">
        <v>0</v>
      </c>
      <c r="U303" s="93">
        <v>43.199999999999989</v>
      </c>
      <c r="V303" s="129">
        <v>0</v>
      </c>
      <c r="W303" s="93">
        <v>81.599999999999994</v>
      </c>
      <c r="X303" s="129">
        <v>0</v>
      </c>
      <c r="Y303" s="93">
        <v>38.4</v>
      </c>
      <c r="Z303" s="129">
        <v>4.5599999999999996</v>
      </c>
      <c r="AA303" s="155">
        <f t="shared" si="26"/>
        <v>54.4</v>
      </c>
      <c r="AB303" s="98">
        <f t="shared" si="26"/>
        <v>1.5199999999999998</v>
      </c>
      <c r="AD303" s="97">
        <v>-4.8</v>
      </c>
      <c r="AE303" s="92">
        <v>0</v>
      </c>
      <c r="AF303" s="98">
        <f t="shared" si="25"/>
        <v>-4.8</v>
      </c>
      <c r="AG303" s="97">
        <v>4.5599999999999996</v>
      </c>
      <c r="AH303" s="92">
        <v>0</v>
      </c>
      <c r="AI303" s="98">
        <f t="shared" si="27"/>
        <v>4.5599999999999996</v>
      </c>
      <c r="AJ303" s="98">
        <f t="shared" si="24"/>
        <v>-0.24000000000000021</v>
      </c>
      <c r="AK303" s="102" t="str">
        <f>+IF(AB303+AA303+AJ303&lt;=0, "NO COMPRADOR", +IF(AJ303&lt;=0, "SIN COMPRA "&amp;+UPPER(TEXT('DINAMICA ENERO 26'!$C$2,"mmm 'yy")), "COMPRADOR"))</f>
        <v>SIN COMPRA FEB '26</v>
      </c>
    </row>
    <row r="304" spans="1:41">
      <c r="A304" s="88" t="s">
        <v>379</v>
      </c>
      <c r="B304" s="89" t="s">
        <v>380</v>
      </c>
      <c r="C304" s="89" t="s">
        <v>38</v>
      </c>
      <c r="D304" s="103">
        <v>100075114</v>
      </c>
      <c r="E304" s="89" t="s">
        <v>40</v>
      </c>
      <c r="F304" s="89">
        <v>100001979</v>
      </c>
      <c r="G304" s="128" t="s">
        <v>290</v>
      </c>
      <c r="Q304" s="91">
        <v>0</v>
      </c>
      <c r="R304" s="129">
        <v>0</v>
      </c>
      <c r="S304" s="91">
        <v>4.8</v>
      </c>
      <c r="T304" s="129">
        <v>0</v>
      </c>
      <c r="U304" s="93">
        <v>14.399999999999999</v>
      </c>
      <c r="V304" s="129">
        <v>4.5599999999999996</v>
      </c>
      <c r="W304" s="93">
        <v>4.8</v>
      </c>
      <c r="X304" s="129">
        <v>9.1199999999999992</v>
      </c>
      <c r="Y304" s="93">
        <v>0</v>
      </c>
      <c r="Z304" s="129">
        <v>0</v>
      </c>
      <c r="AA304" s="155">
        <f t="shared" si="26"/>
        <v>6.3999999999999995</v>
      </c>
      <c r="AB304" s="98">
        <f t="shared" si="26"/>
        <v>4.5599999999999996</v>
      </c>
      <c r="AD304" s="97">
        <v>9.6</v>
      </c>
      <c r="AE304" s="92">
        <v>0</v>
      </c>
      <c r="AF304" s="98">
        <f t="shared" si="25"/>
        <v>9.6</v>
      </c>
      <c r="AG304" s="97">
        <v>13.68</v>
      </c>
      <c r="AH304" s="92">
        <v>0</v>
      </c>
      <c r="AI304" s="98">
        <f t="shared" si="27"/>
        <v>13.68</v>
      </c>
      <c r="AJ304" s="98">
        <f t="shared" si="24"/>
        <v>23.28</v>
      </c>
      <c r="AK304" s="102" t="str">
        <f>+IF(AB304+AA304+AJ304&lt;=0, "NO COMPRADOR", +IF(AJ304&lt;=0, "SIN COMPRA "&amp;+UPPER(TEXT('DINAMICA ENERO 26'!$C$2,"mmm 'yy")), "COMPRADOR"))</f>
        <v>COMPRADOR</v>
      </c>
    </row>
    <row r="305" spans="1:37">
      <c r="A305" s="88" t="s">
        <v>379</v>
      </c>
      <c r="B305" s="89" t="s">
        <v>380</v>
      </c>
      <c r="C305" s="89" t="s">
        <v>38</v>
      </c>
      <c r="D305" s="103">
        <v>100075114</v>
      </c>
      <c r="E305" s="89" t="s">
        <v>40</v>
      </c>
      <c r="F305" s="89">
        <v>100002075</v>
      </c>
      <c r="G305" s="128" t="s">
        <v>392</v>
      </c>
      <c r="Q305" s="91">
        <v>143.99999999999997</v>
      </c>
      <c r="R305" s="129">
        <v>68.400000000000006</v>
      </c>
      <c r="S305" s="91">
        <v>168.00000000000006</v>
      </c>
      <c r="T305" s="129">
        <v>41.04</v>
      </c>
      <c r="U305" s="93">
        <v>124.79999999999997</v>
      </c>
      <c r="V305" s="129">
        <v>68.400000000000006</v>
      </c>
      <c r="W305" s="93">
        <v>115.19999999999996</v>
      </c>
      <c r="X305" s="129">
        <v>4.5599999999999996</v>
      </c>
      <c r="Y305" s="93">
        <v>124.79999999999994</v>
      </c>
      <c r="Z305" s="129">
        <v>27.359999999999996</v>
      </c>
      <c r="AA305" s="155">
        <f t="shared" si="26"/>
        <v>121.59999999999997</v>
      </c>
      <c r="AB305" s="98">
        <f t="shared" si="26"/>
        <v>33.440000000000005</v>
      </c>
      <c r="AD305" s="97">
        <v>62.399999999999984</v>
      </c>
      <c r="AE305" s="92">
        <v>9.6</v>
      </c>
      <c r="AF305" s="98">
        <f t="shared" si="25"/>
        <v>71.999999999999986</v>
      </c>
      <c r="AG305" s="97">
        <v>36.479999999999997</v>
      </c>
      <c r="AH305" s="92">
        <v>0</v>
      </c>
      <c r="AI305" s="98">
        <f t="shared" si="27"/>
        <v>36.479999999999997</v>
      </c>
      <c r="AJ305" s="98">
        <f t="shared" si="24"/>
        <v>108.47999999999999</v>
      </c>
      <c r="AK305" s="102" t="str">
        <f>+IF(AB305+AA305+AJ305&lt;=0, "NO COMPRADOR", +IF(AJ305&lt;=0, "SIN COMPRA "&amp;+UPPER(TEXT('DINAMICA ENERO 26'!$C$2,"mmm 'yy")), "COMPRADOR"))</f>
        <v>COMPRADOR</v>
      </c>
    </row>
    <row r="306" spans="1:37">
      <c r="A306" s="88" t="s">
        <v>379</v>
      </c>
      <c r="B306" s="89" t="s">
        <v>380</v>
      </c>
      <c r="C306" s="89" t="s">
        <v>38</v>
      </c>
      <c r="D306" s="103">
        <v>100075114</v>
      </c>
      <c r="E306" s="89" t="s">
        <v>40</v>
      </c>
      <c r="F306" s="89">
        <v>100001434</v>
      </c>
      <c r="G306" s="128" t="s">
        <v>381</v>
      </c>
      <c r="Q306" s="91">
        <v>19.2</v>
      </c>
      <c r="R306" s="129">
        <v>0</v>
      </c>
      <c r="S306" s="91">
        <v>14.399999999999999</v>
      </c>
      <c r="T306" s="129">
        <v>9.1199999999999992</v>
      </c>
      <c r="U306" s="93">
        <v>4.8</v>
      </c>
      <c r="V306" s="129">
        <v>9.1199999999999992</v>
      </c>
      <c r="W306" s="93">
        <v>28.799999999999997</v>
      </c>
      <c r="X306" s="129">
        <v>9.1199999999999992</v>
      </c>
      <c r="Y306" s="93">
        <v>9.6</v>
      </c>
      <c r="Z306" s="129">
        <v>9.1199999999999992</v>
      </c>
      <c r="AA306" s="155">
        <f t="shared" si="26"/>
        <v>14.399999999999999</v>
      </c>
      <c r="AB306" s="98">
        <f t="shared" si="26"/>
        <v>9.1199999999999992</v>
      </c>
      <c r="AD306" s="97">
        <v>43.199999999999996</v>
      </c>
      <c r="AE306" s="92">
        <v>0</v>
      </c>
      <c r="AF306" s="98">
        <f t="shared" si="25"/>
        <v>43.199999999999996</v>
      </c>
      <c r="AG306" s="97">
        <v>13.68</v>
      </c>
      <c r="AH306" s="92">
        <v>0</v>
      </c>
      <c r="AI306" s="98">
        <f t="shared" si="27"/>
        <v>13.68</v>
      </c>
      <c r="AJ306" s="98">
        <f t="shared" si="24"/>
        <v>56.879999999999995</v>
      </c>
      <c r="AK306" s="102" t="str">
        <f>+IF(AB306+AA306+AJ306&lt;=0, "NO COMPRADOR", +IF(AJ306&lt;=0, "SIN COMPRA "&amp;+UPPER(TEXT('DINAMICA ENERO 26'!$C$2,"mmm 'yy")), "COMPRADOR"))</f>
        <v>COMPRADOR</v>
      </c>
    </row>
    <row r="307" spans="1:37">
      <c r="A307" s="88" t="s">
        <v>379</v>
      </c>
      <c r="B307" s="89" t="s">
        <v>380</v>
      </c>
      <c r="C307" s="89" t="s">
        <v>38</v>
      </c>
      <c r="D307" s="103">
        <v>100071290</v>
      </c>
      <c r="E307" s="89" t="s">
        <v>41</v>
      </c>
      <c r="F307" s="89">
        <v>100002075</v>
      </c>
      <c r="G307" s="128" t="s">
        <v>392</v>
      </c>
      <c r="Q307" s="91">
        <v>0</v>
      </c>
      <c r="R307" s="129">
        <v>0</v>
      </c>
      <c r="S307" s="91">
        <v>0</v>
      </c>
      <c r="T307" s="129">
        <v>4.5599999999999996</v>
      </c>
      <c r="U307" s="93">
        <v>0</v>
      </c>
      <c r="V307" s="129">
        <v>0</v>
      </c>
      <c r="W307" s="93">
        <v>0</v>
      </c>
      <c r="X307" s="129">
        <v>0</v>
      </c>
      <c r="Y307" s="93">
        <v>4.8</v>
      </c>
      <c r="Z307" s="129">
        <v>4.5599999999999996</v>
      </c>
      <c r="AA307" s="155">
        <f t="shared" si="26"/>
        <v>1.5999999999999999</v>
      </c>
      <c r="AB307" s="98">
        <f t="shared" si="26"/>
        <v>1.5199999999999998</v>
      </c>
      <c r="AD307" s="97">
        <v>0</v>
      </c>
      <c r="AE307" s="92">
        <v>0</v>
      </c>
      <c r="AF307" s="98">
        <f t="shared" si="25"/>
        <v>0</v>
      </c>
      <c r="AG307" s="97">
        <v>-4.5599999999999996</v>
      </c>
      <c r="AH307" s="92">
        <v>0</v>
      </c>
      <c r="AI307" s="98">
        <f t="shared" si="27"/>
        <v>-4.5599999999999996</v>
      </c>
      <c r="AJ307" s="98">
        <f t="shared" si="24"/>
        <v>-4.5599999999999996</v>
      </c>
      <c r="AK307" s="102" t="str">
        <f>+IF(AB307+AA307+AJ307&lt;=0, "NO COMPRADOR", +IF(AJ307&lt;=0, "SIN COMPRA "&amp;+UPPER(TEXT('DINAMICA ENERO 26'!$C$2,"mmm 'yy")), "COMPRADOR"))</f>
        <v>NO COMPRADOR</v>
      </c>
    </row>
    <row r="308" spans="1:37">
      <c r="A308" s="88" t="s">
        <v>379</v>
      </c>
      <c r="B308" s="89" t="s">
        <v>380</v>
      </c>
      <c r="C308" s="89" t="s">
        <v>38</v>
      </c>
      <c r="D308" s="103">
        <v>100071290</v>
      </c>
      <c r="E308" s="89" t="s">
        <v>41</v>
      </c>
      <c r="F308" s="89">
        <v>100001272</v>
      </c>
      <c r="G308" s="128" t="s">
        <v>393</v>
      </c>
      <c r="Q308" s="91">
        <v>47.999999999999993</v>
      </c>
      <c r="R308" s="129">
        <v>50.160000000000004</v>
      </c>
      <c r="S308" s="91">
        <v>9.6</v>
      </c>
      <c r="T308" s="129">
        <v>27.359999999999996</v>
      </c>
      <c r="U308" s="93">
        <v>0</v>
      </c>
      <c r="V308" s="129">
        <v>59.280000000000008</v>
      </c>
      <c r="W308" s="93">
        <v>0</v>
      </c>
      <c r="X308" s="129">
        <v>50.160000000000004</v>
      </c>
      <c r="Y308" s="93">
        <v>62.399999999999984</v>
      </c>
      <c r="Z308" s="129">
        <v>45.6</v>
      </c>
      <c r="AA308" s="155">
        <f t="shared" si="26"/>
        <v>20.799999999999994</v>
      </c>
      <c r="AB308" s="98">
        <f t="shared" si="26"/>
        <v>51.680000000000007</v>
      </c>
      <c r="AD308" s="97">
        <v>-9.6</v>
      </c>
      <c r="AE308" s="92">
        <v>0</v>
      </c>
      <c r="AF308" s="98">
        <f t="shared" si="25"/>
        <v>-9.6</v>
      </c>
      <c r="AG308" s="97">
        <v>0</v>
      </c>
      <c r="AH308" s="92">
        <v>0</v>
      </c>
      <c r="AI308" s="98">
        <f t="shared" si="27"/>
        <v>0</v>
      </c>
      <c r="AJ308" s="98">
        <f t="shared" si="24"/>
        <v>-9.6</v>
      </c>
      <c r="AK308" s="102" t="str">
        <f>+IF(AB308+AA308+AJ308&lt;=0, "NO COMPRADOR", +IF(AJ308&lt;=0, "SIN COMPRA "&amp;+UPPER(TEXT('DINAMICA ENERO 26'!$C$2,"mmm 'yy")), "COMPRADOR"))</f>
        <v>SIN COMPRA FEB '26</v>
      </c>
    </row>
    <row r="309" spans="1:37">
      <c r="A309" s="88" t="s">
        <v>379</v>
      </c>
      <c r="B309" s="89" t="s">
        <v>380</v>
      </c>
      <c r="C309" s="89" t="s">
        <v>38</v>
      </c>
      <c r="D309" s="103">
        <v>100071290</v>
      </c>
      <c r="E309" s="89" t="s">
        <v>41</v>
      </c>
      <c r="F309" s="89">
        <v>100001342</v>
      </c>
      <c r="G309" s="128" t="s">
        <v>387</v>
      </c>
      <c r="Q309" s="91">
        <v>0</v>
      </c>
      <c r="R309" s="129">
        <v>0</v>
      </c>
      <c r="S309" s="91">
        <v>0</v>
      </c>
      <c r="T309" s="129">
        <v>0</v>
      </c>
      <c r="U309" s="93">
        <v>124.79999999999995</v>
      </c>
      <c r="V309" s="129">
        <v>86.640000000000015</v>
      </c>
      <c r="W309" s="93">
        <v>110.39999999999996</v>
      </c>
      <c r="X309" s="129">
        <v>59.280000000000008</v>
      </c>
      <c r="Y309" s="93">
        <v>177.60000000000008</v>
      </c>
      <c r="Z309" s="129">
        <v>136.80000000000004</v>
      </c>
      <c r="AA309" s="155">
        <f t="shared" si="26"/>
        <v>137.6</v>
      </c>
      <c r="AB309" s="98">
        <f t="shared" si="26"/>
        <v>94.240000000000009</v>
      </c>
      <c r="AD309" s="97">
        <v>71.999999999999986</v>
      </c>
      <c r="AE309" s="92">
        <v>62.399999999999984</v>
      </c>
      <c r="AF309" s="98">
        <f t="shared" si="25"/>
        <v>134.39999999999998</v>
      </c>
      <c r="AG309" s="97">
        <v>72.960000000000008</v>
      </c>
      <c r="AH309" s="92">
        <v>41.04</v>
      </c>
      <c r="AI309" s="98">
        <f t="shared" si="27"/>
        <v>114</v>
      </c>
      <c r="AJ309" s="98">
        <f t="shared" si="24"/>
        <v>248.39999999999998</v>
      </c>
      <c r="AK309" s="102" t="str">
        <f>+IF(AB309+AA309+AJ309&lt;=0, "NO COMPRADOR", +IF(AJ309&lt;=0, "SIN COMPRA "&amp;+UPPER(TEXT('DINAMICA ENERO 26'!$C$2,"mmm 'yy")), "COMPRADOR"))</f>
        <v>COMPRADOR</v>
      </c>
    </row>
    <row r="310" spans="1:37">
      <c r="A310" s="88" t="s">
        <v>379</v>
      </c>
      <c r="B310" s="89" t="s">
        <v>380</v>
      </c>
      <c r="C310" s="89" t="s">
        <v>38</v>
      </c>
      <c r="D310" s="103">
        <v>100071290</v>
      </c>
      <c r="E310" s="89" t="s">
        <v>41</v>
      </c>
      <c r="F310" s="89">
        <v>100001526</v>
      </c>
      <c r="G310" s="128" t="s">
        <v>394</v>
      </c>
      <c r="Q310" s="91">
        <v>9.6</v>
      </c>
      <c r="R310" s="129">
        <v>18.239999999999998</v>
      </c>
      <c r="S310" s="91">
        <v>0</v>
      </c>
      <c r="T310" s="129">
        <v>0</v>
      </c>
      <c r="U310" s="93">
        <v>4.8</v>
      </c>
      <c r="V310" s="129">
        <v>0</v>
      </c>
      <c r="W310" s="93">
        <v>14.399999999999999</v>
      </c>
      <c r="X310" s="129">
        <v>13.68</v>
      </c>
      <c r="Y310" s="93">
        <v>9.6</v>
      </c>
      <c r="Z310" s="129">
        <v>9.1199999999999992</v>
      </c>
      <c r="AA310" s="155">
        <f t="shared" si="26"/>
        <v>9.6</v>
      </c>
      <c r="AB310" s="98">
        <f t="shared" si="26"/>
        <v>7.5999999999999988</v>
      </c>
      <c r="AD310" s="97">
        <v>0</v>
      </c>
      <c r="AE310" s="92">
        <v>0</v>
      </c>
      <c r="AF310" s="98">
        <f t="shared" si="25"/>
        <v>0</v>
      </c>
      <c r="AG310" s="97">
        <v>4.5599999999999996</v>
      </c>
      <c r="AH310" s="92">
        <v>4.5599999999999996</v>
      </c>
      <c r="AI310" s="98">
        <f t="shared" si="27"/>
        <v>9.1199999999999992</v>
      </c>
      <c r="AJ310" s="98">
        <f t="shared" si="24"/>
        <v>9.1199999999999992</v>
      </c>
      <c r="AK310" s="102" t="str">
        <f>+IF(AB310+AA310+AJ310&lt;=0, "NO COMPRADOR", +IF(AJ310&lt;=0, "SIN COMPRA "&amp;+UPPER(TEXT('DINAMICA ENERO 26'!$C$2,"mmm 'yy")), "COMPRADOR"))</f>
        <v>COMPRADOR</v>
      </c>
    </row>
    <row r="311" spans="1:37">
      <c r="A311" s="88" t="s">
        <v>379</v>
      </c>
      <c r="B311" s="89" t="s">
        <v>380</v>
      </c>
      <c r="C311" s="89" t="s">
        <v>38</v>
      </c>
      <c r="D311" s="103">
        <v>100071290</v>
      </c>
      <c r="E311" s="89" t="s">
        <v>41</v>
      </c>
      <c r="F311" s="89">
        <v>100001979</v>
      </c>
      <c r="G311" s="128" t="s">
        <v>290</v>
      </c>
      <c r="Q311" s="91">
        <v>0</v>
      </c>
      <c r="R311" s="129">
        <v>0</v>
      </c>
      <c r="S311" s="91">
        <v>14.399999999999999</v>
      </c>
      <c r="T311" s="129">
        <v>9.1199999999999992</v>
      </c>
      <c r="U311" s="93">
        <v>9.6</v>
      </c>
      <c r="V311" s="129">
        <v>18.239999999999998</v>
      </c>
      <c r="W311" s="93">
        <v>33.6</v>
      </c>
      <c r="X311" s="129">
        <v>4.5599999999999996</v>
      </c>
      <c r="Y311" s="93">
        <v>28.8</v>
      </c>
      <c r="Z311" s="129">
        <v>9.1199999999999992</v>
      </c>
      <c r="AA311" s="155">
        <f t="shared" si="26"/>
        <v>24</v>
      </c>
      <c r="AB311" s="98">
        <f t="shared" si="26"/>
        <v>10.639999999999999</v>
      </c>
      <c r="AD311" s="97">
        <v>14.399999999999999</v>
      </c>
      <c r="AE311" s="92">
        <v>4.8</v>
      </c>
      <c r="AF311" s="98">
        <f t="shared" si="25"/>
        <v>19.2</v>
      </c>
      <c r="AG311" s="97">
        <v>13.68</v>
      </c>
      <c r="AH311" s="92">
        <v>4.5599999999999996</v>
      </c>
      <c r="AI311" s="98">
        <f t="shared" si="27"/>
        <v>18.239999999999998</v>
      </c>
      <c r="AJ311" s="98">
        <f t="shared" si="24"/>
        <v>37.44</v>
      </c>
      <c r="AK311" s="102" t="str">
        <f>+IF(AB311+AA311+AJ311&lt;=0, "NO COMPRADOR", +IF(AJ311&lt;=0, "SIN COMPRA "&amp;+UPPER(TEXT('DINAMICA ENERO 26'!$C$2,"mmm 'yy")), "COMPRADOR"))</f>
        <v>COMPRADOR</v>
      </c>
    </row>
    <row r="312" spans="1:37">
      <c r="A312" s="88" t="s">
        <v>379</v>
      </c>
      <c r="B312" s="89" t="s">
        <v>380</v>
      </c>
      <c r="C312" s="89" t="s">
        <v>38</v>
      </c>
      <c r="D312" s="103">
        <v>100071290</v>
      </c>
      <c r="E312" s="89" t="s">
        <v>41</v>
      </c>
      <c r="F312" s="89">
        <v>100063475</v>
      </c>
      <c r="G312" s="128" t="s">
        <v>395</v>
      </c>
      <c r="Q312" s="91">
        <v>96</v>
      </c>
      <c r="R312" s="129">
        <v>45.599999999999994</v>
      </c>
      <c r="S312" s="91">
        <v>24</v>
      </c>
      <c r="T312" s="129">
        <v>18.239999999999998</v>
      </c>
      <c r="U312" s="93">
        <v>96</v>
      </c>
      <c r="V312" s="129">
        <v>182.39999999999998</v>
      </c>
      <c r="W312" s="93">
        <v>0</v>
      </c>
      <c r="X312" s="129">
        <v>45.599999999999994</v>
      </c>
      <c r="Y312" s="93">
        <v>48</v>
      </c>
      <c r="Z312" s="129">
        <v>68.399999999999991</v>
      </c>
      <c r="AA312" s="155">
        <f t="shared" si="26"/>
        <v>48</v>
      </c>
      <c r="AB312" s="98">
        <f t="shared" si="26"/>
        <v>98.8</v>
      </c>
      <c r="AD312" s="97">
        <v>96</v>
      </c>
      <c r="AE312" s="92">
        <v>0</v>
      </c>
      <c r="AF312" s="98">
        <f t="shared" si="25"/>
        <v>96</v>
      </c>
      <c r="AG312" s="97">
        <v>22.799999999999997</v>
      </c>
      <c r="AH312" s="92">
        <v>0</v>
      </c>
      <c r="AI312" s="98">
        <f t="shared" si="27"/>
        <v>22.799999999999997</v>
      </c>
      <c r="AJ312" s="98">
        <f t="shared" si="24"/>
        <v>118.8</v>
      </c>
      <c r="AK312" s="102" t="str">
        <f>+IF(AB312+AA312+AJ312&lt;=0, "NO COMPRADOR", +IF(AJ312&lt;=0, "SIN COMPRA "&amp;+UPPER(TEXT('DINAMICA ENERO 26'!$C$2,"mmm 'yy")), "COMPRADOR"))</f>
        <v>COMPRADOR</v>
      </c>
    </row>
    <row r="313" spans="1:37">
      <c r="A313" s="88" t="s">
        <v>379</v>
      </c>
      <c r="B313" s="89" t="s">
        <v>380</v>
      </c>
      <c r="C313" s="89" t="s">
        <v>38</v>
      </c>
      <c r="D313" s="103">
        <v>100071290</v>
      </c>
      <c r="E313" s="89" t="s">
        <v>41</v>
      </c>
      <c r="F313" s="89">
        <v>100001583</v>
      </c>
      <c r="G313" s="128" t="s">
        <v>390</v>
      </c>
      <c r="Q313" s="91">
        <v>283.20000000000005</v>
      </c>
      <c r="R313" s="129">
        <v>200.64000000000004</v>
      </c>
      <c r="S313" s="91">
        <v>249.59999999999997</v>
      </c>
      <c r="T313" s="129">
        <v>287.28000000000009</v>
      </c>
      <c r="U313" s="93">
        <v>705.60000000000025</v>
      </c>
      <c r="V313" s="129">
        <v>797.99999999999955</v>
      </c>
      <c r="W313" s="93">
        <v>201.6</v>
      </c>
      <c r="X313" s="129">
        <v>469.68</v>
      </c>
      <c r="Y313" s="93">
        <v>91.199999999999989</v>
      </c>
      <c r="Z313" s="129">
        <v>282.72000000000003</v>
      </c>
      <c r="AA313" s="155">
        <f t="shared" si="26"/>
        <v>332.80000000000013</v>
      </c>
      <c r="AB313" s="98">
        <f t="shared" si="26"/>
        <v>516.79999999999984</v>
      </c>
      <c r="AD313" s="97">
        <v>177.60000000000002</v>
      </c>
      <c r="AE313" s="92">
        <v>0</v>
      </c>
      <c r="AF313" s="98">
        <f t="shared" si="25"/>
        <v>177.60000000000002</v>
      </c>
      <c r="AG313" s="97">
        <v>228.00000000000003</v>
      </c>
      <c r="AH313" s="92">
        <v>0</v>
      </c>
      <c r="AI313" s="98">
        <f t="shared" si="27"/>
        <v>228.00000000000003</v>
      </c>
      <c r="AJ313" s="98">
        <f t="shared" si="24"/>
        <v>405.6</v>
      </c>
      <c r="AK313" s="102" t="str">
        <f>+IF(AB313+AA313+AJ313&lt;=0, "NO COMPRADOR", +IF(AJ313&lt;=0, "SIN COMPRA "&amp;+UPPER(TEXT('DINAMICA ENERO 26'!$C$2,"mmm 'yy")), "COMPRADOR"))</f>
        <v>COMPRADOR</v>
      </c>
    </row>
    <row r="314" spans="1:37">
      <c r="A314" s="88" t="s">
        <v>379</v>
      </c>
      <c r="B314" s="89" t="s">
        <v>380</v>
      </c>
      <c r="C314" s="89" t="s">
        <v>38</v>
      </c>
      <c r="D314" s="103">
        <v>100071290</v>
      </c>
      <c r="E314" s="89" t="s">
        <v>41</v>
      </c>
      <c r="F314" s="89">
        <v>100002003</v>
      </c>
      <c r="G314" s="128" t="s">
        <v>396</v>
      </c>
      <c r="Q314" s="91">
        <v>0</v>
      </c>
      <c r="R314" s="129">
        <v>45.599999999999994</v>
      </c>
      <c r="S314" s="91">
        <v>81.599999999999994</v>
      </c>
      <c r="T314" s="129">
        <v>68.399999999999991</v>
      </c>
      <c r="U314" s="93">
        <v>38.4</v>
      </c>
      <c r="V314" s="129">
        <v>0</v>
      </c>
      <c r="W314" s="93">
        <v>72</v>
      </c>
      <c r="X314" s="129">
        <v>72.959999999999994</v>
      </c>
      <c r="Y314" s="93">
        <v>62.4</v>
      </c>
      <c r="Z314" s="129">
        <v>91.199999999999989</v>
      </c>
      <c r="AA314" s="155">
        <f t="shared" si="26"/>
        <v>57.6</v>
      </c>
      <c r="AB314" s="98">
        <f t="shared" si="26"/>
        <v>54.719999999999992</v>
      </c>
      <c r="AD314" s="97">
        <v>0</v>
      </c>
      <c r="AE314" s="92">
        <v>0</v>
      </c>
      <c r="AF314" s="98">
        <f t="shared" si="25"/>
        <v>0</v>
      </c>
      <c r="AG314" s="97">
        <v>0</v>
      </c>
      <c r="AH314" s="92">
        <v>0</v>
      </c>
      <c r="AI314" s="98">
        <f t="shared" si="27"/>
        <v>0</v>
      </c>
      <c r="AJ314" s="98">
        <f t="shared" si="24"/>
        <v>0</v>
      </c>
      <c r="AK314" s="102" t="str">
        <f>+IF(AB314+AA314+AJ314&lt;=0, "NO COMPRADOR", +IF(AJ314&lt;=0, "SIN COMPRA "&amp;+UPPER(TEXT('DINAMICA ENERO 26'!$C$2,"mmm 'yy")), "COMPRADOR"))</f>
        <v>SIN COMPRA FEB '26</v>
      </c>
    </row>
    <row r="315" spans="1:37">
      <c r="A315" s="88" t="s">
        <v>379</v>
      </c>
      <c r="B315" s="89" t="s">
        <v>380</v>
      </c>
      <c r="C315" s="89" t="s">
        <v>38</v>
      </c>
      <c r="D315" s="103">
        <v>100071290</v>
      </c>
      <c r="E315" s="89" t="s">
        <v>41</v>
      </c>
      <c r="F315" s="89">
        <v>100002411</v>
      </c>
      <c r="G315" s="128" t="s">
        <v>397</v>
      </c>
      <c r="Q315" s="91">
        <v>0</v>
      </c>
      <c r="R315" s="129">
        <v>0</v>
      </c>
      <c r="S315" s="91">
        <v>0</v>
      </c>
      <c r="T315" s="129">
        <v>0</v>
      </c>
      <c r="U315" s="93">
        <v>0</v>
      </c>
      <c r="V315" s="129">
        <v>0</v>
      </c>
      <c r="W315" s="93">
        <v>0</v>
      </c>
      <c r="X315" s="129">
        <v>0</v>
      </c>
      <c r="Y315" s="93">
        <v>0</v>
      </c>
      <c r="Z315" s="129">
        <v>0</v>
      </c>
      <c r="AA315" s="155">
        <f t="shared" si="26"/>
        <v>0</v>
      </c>
      <c r="AB315" s="98">
        <f t="shared" si="26"/>
        <v>0</v>
      </c>
      <c r="AD315" s="97">
        <v>0</v>
      </c>
      <c r="AE315" s="92">
        <v>0</v>
      </c>
      <c r="AF315" s="98">
        <f t="shared" si="25"/>
        <v>0</v>
      </c>
      <c r="AG315" s="97">
        <v>22.799999999999997</v>
      </c>
      <c r="AH315" s="92">
        <v>0</v>
      </c>
      <c r="AI315" s="98">
        <f t="shared" si="27"/>
        <v>22.799999999999997</v>
      </c>
      <c r="AJ315" s="98">
        <f t="shared" si="24"/>
        <v>22.799999999999997</v>
      </c>
      <c r="AK315" s="102" t="str">
        <f>+IF(AB315+AA315+AJ315&lt;=0, "NO COMPRADOR", +IF(AJ315&lt;=0, "SIN COMPRA "&amp;+UPPER(TEXT('DINAMICA ENERO 26'!$C$2,"mmm 'yy")), "COMPRADOR"))</f>
        <v>COMPRADOR</v>
      </c>
    </row>
    <row r="316" spans="1:37">
      <c r="A316" s="88" t="s">
        <v>379</v>
      </c>
      <c r="B316" s="89" t="s">
        <v>380</v>
      </c>
      <c r="C316" s="89" t="s">
        <v>38</v>
      </c>
      <c r="D316" s="103">
        <v>100071290</v>
      </c>
      <c r="E316" s="89" t="s">
        <v>41</v>
      </c>
      <c r="F316" s="89">
        <v>100002069</v>
      </c>
      <c r="G316" s="128" t="s">
        <v>398</v>
      </c>
      <c r="Q316" s="91">
        <v>14.399999999999999</v>
      </c>
      <c r="R316" s="129">
        <v>0</v>
      </c>
      <c r="S316" s="91">
        <v>0</v>
      </c>
      <c r="T316" s="129">
        <v>0</v>
      </c>
      <c r="U316" s="93">
        <v>28.799999999999997</v>
      </c>
      <c r="V316" s="129">
        <v>45.599999999999994</v>
      </c>
      <c r="W316" s="93">
        <v>0</v>
      </c>
      <c r="X316" s="129">
        <v>0</v>
      </c>
      <c r="Y316" s="93">
        <v>408</v>
      </c>
      <c r="Z316" s="129">
        <v>113.99999999999999</v>
      </c>
      <c r="AA316" s="155">
        <f t="shared" si="26"/>
        <v>145.6</v>
      </c>
      <c r="AB316" s="98">
        <f t="shared" si="26"/>
        <v>53.199999999999989</v>
      </c>
      <c r="AD316" s="97">
        <v>0</v>
      </c>
      <c r="AE316" s="92">
        <v>0</v>
      </c>
      <c r="AF316" s="98">
        <f t="shared" si="25"/>
        <v>0</v>
      </c>
      <c r="AG316" s="97">
        <v>0</v>
      </c>
      <c r="AH316" s="92">
        <v>0</v>
      </c>
      <c r="AI316" s="98">
        <f t="shared" si="27"/>
        <v>0</v>
      </c>
      <c r="AJ316" s="98">
        <f t="shared" si="24"/>
        <v>0</v>
      </c>
      <c r="AK316" s="102" t="str">
        <f>+IF(AB316+AA316+AJ316&lt;=0, "NO COMPRADOR", +IF(AJ316&lt;=0, "SIN COMPRA "&amp;+UPPER(TEXT('DINAMICA ENERO 26'!$C$2,"mmm 'yy")), "COMPRADOR"))</f>
        <v>SIN COMPRA FEB '26</v>
      </c>
    </row>
    <row r="317" spans="1:37">
      <c r="A317" s="88" t="s">
        <v>379</v>
      </c>
      <c r="B317" s="89" t="s">
        <v>380</v>
      </c>
      <c r="C317" s="89" t="s">
        <v>38</v>
      </c>
      <c r="D317" s="103">
        <v>100071290</v>
      </c>
      <c r="E317" s="89" t="s">
        <v>41</v>
      </c>
      <c r="F317" s="89">
        <v>100002068</v>
      </c>
      <c r="G317" s="128" t="s">
        <v>399</v>
      </c>
      <c r="Q317" s="91">
        <v>0</v>
      </c>
      <c r="R317" s="129">
        <v>0</v>
      </c>
      <c r="S317" s="91">
        <v>52.8</v>
      </c>
      <c r="T317" s="129">
        <v>45.599999999999994</v>
      </c>
      <c r="U317" s="93">
        <v>105.6</v>
      </c>
      <c r="V317" s="129">
        <v>104.88</v>
      </c>
      <c r="W317" s="93">
        <v>216</v>
      </c>
      <c r="X317" s="129">
        <v>91.199999999999989</v>
      </c>
      <c r="Y317" s="93">
        <v>432</v>
      </c>
      <c r="Z317" s="129">
        <v>141.35999999999999</v>
      </c>
      <c r="AA317" s="155">
        <f t="shared" si="26"/>
        <v>251.20000000000002</v>
      </c>
      <c r="AB317" s="98">
        <f t="shared" si="26"/>
        <v>112.47999999999998</v>
      </c>
      <c r="AD317" s="97">
        <v>0</v>
      </c>
      <c r="AE317" s="92">
        <v>0</v>
      </c>
      <c r="AF317" s="98">
        <f t="shared" si="25"/>
        <v>0</v>
      </c>
      <c r="AG317" s="97">
        <v>0</v>
      </c>
      <c r="AH317" s="92">
        <v>0</v>
      </c>
      <c r="AI317" s="98">
        <f t="shared" si="27"/>
        <v>0</v>
      </c>
      <c r="AJ317" s="98">
        <f t="shared" si="24"/>
        <v>0</v>
      </c>
      <c r="AK317" s="102" t="str">
        <f>+IF(AB317+AA317+AJ317&lt;=0, "NO COMPRADOR", +IF(AJ317&lt;=0, "SIN COMPRA "&amp;+UPPER(TEXT('DINAMICA ENERO 26'!$C$2,"mmm 'yy")), "COMPRADOR"))</f>
        <v>SIN COMPRA FEB '26</v>
      </c>
    </row>
    <row r="318" spans="1:37">
      <c r="A318" s="88" t="s">
        <v>379</v>
      </c>
      <c r="B318" s="89" t="s">
        <v>380</v>
      </c>
      <c r="C318" s="89" t="s">
        <v>38</v>
      </c>
      <c r="D318" s="103">
        <v>100071290</v>
      </c>
      <c r="E318" s="89" t="s">
        <v>41</v>
      </c>
      <c r="F318" s="89">
        <v>100008576</v>
      </c>
      <c r="G318" s="128" t="s">
        <v>400</v>
      </c>
      <c r="Q318" s="91">
        <v>0</v>
      </c>
      <c r="R318" s="129">
        <v>0</v>
      </c>
      <c r="S318" s="91">
        <v>0</v>
      </c>
      <c r="T318" s="129">
        <v>0</v>
      </c>
      <c r="U318" s="93">
        <v>432</v>
      </c>
      <c r="V318" s="129">
        <v>196.07999999999998</v>
      </c>
      <c r="W318" s="93">
        <v>0</v>
      </c>
      <c r="X318" s="129">
        <v>-13.68</v>
      </c>
      <c r="Y318" s="93">
        <v>0</v>
      </c>
      <c r="Z318" s="129">
        <v>59.279999999999994</v>
      </c>
      <c r="AA318" s="155">
        <f t="shared" si="26"/>
        <v>144</v>
      </c>
      <c r="AB318" s="98">
        <f t="shared" si="26"/>
        <v>80.559999999999988</v>
      </c>
      <c r="AD318" s="97">
        <v>144</v>
      </c>
      <c r="AE318" s="92">
        <v>57.6</v>
      </c>
      <c r="AF318" s="98">
        <f t="shared" si="25"/>
        <v>201.6</v>
      </c>
      <c r="AG318" s="97">
        <v>145.91999999999999</v>
      </c>
      <c r="AH318" s="92">
        <v>54.72</v>
      </c>
      <c r="AI318" s="98">
        <f t="shared" si="27"/>
        <v>200.64</v>
      </c>
      <c r="AJ318" s="98">
        <f t="shared" si="24"/>
        <v>402.24</v>
      </c>
      <c r="AK318" s="102" t="str">
        <f>+IF(AB318+AA318+AJ318&lt;=0, "NO COMPRADOR", +IF(AJ318&lt;=0, "SIN COMPRA "&amp;+UPPER(TEXT('DINAMICA ENERO 26'!$C$2,"mmm 'yy")), "COMPRADOR"))</f>
        <v>COMPRADOR</v>
      </c>
    </row>
    <row r="319" spans="1:37">
      <c r="A319" s="88" t="s">
        <v>379</v>
      </c>
      <c r="B319" s="89" t="s">
        <v>401</v>
      </c>
      <c r="C319" s="89" t="s">
        <v>60</v>
      </c>
      <c r="D319" s="103">
        <v>100088964</v>
      </c>
      <c r="E319" s="89" t="s">
        <v>64</v>
      </c>
      <c r="F319" s="89">
        <v>100001342</v>
      </c>
      <c r="G319" s="128" t="s">
        <v>387</v>
      </c>
      <c r="Q319" s="91">
        <v>0</v>
      </c>
      <c r="R319" s="129">
        <v>0</v>
      </c>
      <c r="S319" s="91">
        <v>33.6</v>
      </c>
      <c r="T319" s="129">
        <v>22.799999999999997</v>
      </c>
      <c r="U319" s="93">
        <v>71.999999999999986</v>
      </c>
      <c r="V319" s="129">
        <v>50.159999999999989</v>
      </c>
      <c r="W319" s="93">
        <v>158.4</v>
      </c>
      <c r="X319" s="129">
        <v>123.12000000000002</v>
      </c>
      <c r="Y319" s="93">
        <v>172.8</v>
      </c>
      <c r="Z319" s="129">
        <v>168.72000000000003</v>
      </c>
      <c r="AA319" s="155">
        <f t="shared" si="26"/>
        <v>134.4</v>
      </c>
      <c r="AB319" s="98">
        <f t="shared" si="26"/>
        <v>114</v>
      </c>
      <c r="AD319" s="97">
        <v>86.399999999999977</v>
      </c>
      <c r="AE319" s="92">
        <v>19.2</v>
      </c>
      <c r="AF319" s="98">
        <f t="shared" si="25"/>
        <v>105.59999999999998</v>
      </c>
      <c r="AG319" s="97">
        <v>45.599999999999994</v>
      </c>
      <c r="AH319" s="92">
        <v>18.239999999999998</v>
      </c>
      <c r="AI319" s="98">
        <f t="shared" si="27"/>
        <v>63.839999999999989</v>
      </c>
      <c r="AJ319" s="98">
        <f t="shared" si="24"/>
        <v>169.43999999999997</v>
      </c>
      <c r="AK319" s="102" t="str">
        <f>+IF(AB319+AA319+AJ319&lt;=0, "NO COMPRADOR", +IF(AJ319&lt;=0, "SIN COMPRA "&amp;+UPPER(TEXT('DINAMICA ENERO 26'!$C$2,"mmm 'yy")), "COMPRADOR"))</f>
        <v>COMPRADOR</v>
      </c>
    </row>
    <row r="320" spans="1:37">
      <c r="A320" s="88" t="s">
        <v>379</v>
      </c>
      <c r="B320" s="89" t="s">
        <v>401</v>
      </c>
      <c r="C320" s="89" t="s">
        <v>60</v>
      </c>
      <c r="D320" s="103">
        <v>100088964</v>
      </c>
      <c r="E320" s="89" t="s">
        <v>64</v>
      </c>
      <c r="F320" s="89">
        <v>100001434</v>
      </c>
      <c r="G320" s="128" t="s">
        <v>381</v>
      </c>
      <c r="Q320" s="91">
        <v>38.4</v>
      </c>
      <c r="R320" s="129">
        <v>0</v>
      </c>
      <c r="S320" s="91">
        <v>43.199999999999996</v>
      </c>
      <c r="T320" s="129">
        <v>72.960000000000008</v>
      </c>
      <c r="U320" s="93">
        <v>0</v>
      </c>
      <c r="V320" s="129">
        <v>0</v>
      </c>
      <c r="W320" s="93">
        <v>110.4</v>
      </c>
      <c r="X320" s="129">
        <v>95.759999999999991</v>
      </c>
      <c r="Y320" s="93">
        <v>196.8</v>
      </c>
      <c r="Z320" s="129">
        <v>186.95999999999998</v>
      </c>
      <c r="AA320" s="155">
        <f t="shared" si="26"/>
        <v>102.40000000000002</v>
      </c>
      <c r="AB320" s="98">
        <f t="shared" si="26"/>
        <v>94.24</v>
      </c>
      <c r="AD320" s="97">
        <v>4.8</v>
      </c>
      <c r="AE320" s="92">
        <v>43.199999999999996</v>
      </c>
      <c r="AF320" s="98">
        <f t="shared" si="25"/>
        <v>47.999999999999993</v>
      </c>
      <c r="AG320" s="97">
        <v>0</v>
      </c>
      <c r="AH320" s="92">
        <v>4.5599999999999996</v>
      </c>
      <c r="AI320" s="98">
        <f t="shared" si="27"/>
        <v>4.5599999999999996</v>
      </c>
      <c r="AJ320" s="98">
        <f t="shared" si="24"/>
        <v>52.559999999999995</v>
      </c>
      <c r="AK320" s="102" t="str">
        <f>+IF(AB320+AA320+AJ320&lt;=0, "NO COMPRADOR", +IF(AJ320&lt;=0, "SIN COMPRA "&amp;+UPPER(TEXT('DINAMICA ENERO 26'!$C$2,"mmm 'yy")), "COMPRADOR"))</f>
        <v>COMPRADOR</v>
      </c>
    </row>
    <row r="321" spans="1:37">
      <c r="A321" s="88" t="s">
        <v>379</v>
      </c>
      <c r="B321" s="89" t="s">
        <v>401</v>
      </c>
      <c r="C321" s="89" t="s">
        <v>60</v>
      </c>
      <c r="D321" s="103">
        <v>100088964</v>
      </c>
      <c r="E321" s="89" t="s">
        <v>64</v>
      </c>
      <c r="F321" s="89">
        <v>100001507</v>
      </c>
      <c r="G321" s="128" t="s">
        <v>402</v>
      </c>
      <c r="Q321" s="91">
        <v>0</v>
      </c>
      <c r="R321" s="129">
        <v>0</v>
      </c>
      <c r="S321" s="91">
        <v>0</v>
      </c>
      <c r="T321" s="129">
        <v>0</v>
      </c>
      <c r="U321" s="93">
        <v>0</v>
      </c>
      <c r="V321" s="129">
        <v>0</v>
      </c>
      <c r="W321" s="93">
        <v>9.6</v>
      </c>
      <c r="X321" s="129">
        <v>9.1199999999999992</v>
      </c>
      <c r="Y321" s="93">
        <v>0</v>
      </c>
      <c r="Z321" s="129">
        <v>0</v>
      </c>
      <c r="AA321" s="155">
        <f t="shared" si="26"/>
        <v>3.1999999999999997</v>
      </c>
      <c r="AB321" s="98">
        <f t="shared" si="26"/>
        <v>3.0399999999999996</v>
      </c>
      <c r="AD321" s="97">
        <v>9.6</v>
      </c>
      <c r="AE321" s="92">
        <v>0</v>
      </c>
      <c r="AF321" s="98">
        <f t="shared" si="25"/>
        <v>9.6</v>
      </c>
      <c r="AG321" s="97">
        <v>9.1199999999999992</v>
      </c>
      <c r="AH321" s="92">
        <v>0</v>
      </c>
      <c r="AI321" s="98">
        <f t="shared" si="27"/>
        <v>9.1199999999999992</v>
      </c>
      <c r="AJ321" s="98">
        <f t="shared" si="24"/>
        <v>18.72</v>
      </c>
      <c r="AK321" s="102" t="str">
        <f>+IF(AB321+AA321+AJ321&lt;=0, "NO COMPRADOR", +IF(AJ321&lt;=0, "SIN COMPRA "&amp;+UPPER(TEXT('DINAMICA ENERO 26'!$C$2,"mmm 'yy")), "COMPRADOR"))</f>
        <v>COMPRADOR</v>
      </c>
    </row>
    <row r="322" spans="1:37">
      <c r="A322" s="88" t="s">
        <v>379</v>
      </c>
      <c r="B322" s="89" t="s">
        <v>401</v>
      </c>
      <c r="C322" s="89" t="s">
        <v>60</v>
      </c>
      <c r="D322" s="103">
        <v>100088964</v>
      </c>
      <c r="E322" s="89" t="s">
        <v>64</v>
      </c>
      <c r="F322" s="89">
        <v>100074147</v>
      </c>
      <c r="G322" s="128" t="s">
        <v>403</v>
      </c>
      <c r="Q322" s="91">
        <v>0</v>
      </c>
      <c r="R322" s="129">
        <v>0</v>
      </c>
      <c r="S322" s="91">
        <v>0</v>
      </c>
      <c r="T322" s="129">
        <v>0</v>
      </c>
      <c r="U322" s="93">
        <v>0</v>
      </c>
      <c r="V322" s="129">
        <v>0</v>
      </c>
      <c r="W322" s="93">
        <v>0</v>
      </c>
      <c r="X322" s="129">
        <v>0</v>
      </c>
      <c r="Y322" s="93">
        <v>0</v>
      </c>
      <c r="Z322" s="129">
        <v>0</v>
      </c>
      <c r="AA322" s="155">
        <f t="shared" si="26"/>
        <v>0</v>
      </c>
      <c r="AB322" s="98">
        <f t="shared" si="26"/>
        <v>0</v>
      </c>
      <c r="AD322" s="97">
        <v>0</v>
      </c>
      <c r="AE322" s="92">
        <v>0</v>
      </c>
      <c r="AF322" s="98">
        <f t="shared" si="25"/>
        <v>0</v>
      </c>
      <c r="AG322" s="97">
        <v>0</v>
      </c>
      <c r="AH322" s="92">
        <v>0</v>
      </c>
      <c r="AI322" s="98">
        <f t="shared" si="27"/>
        <v>0</v>
      </c>
      <c r="AJ322" s="98">
        <f t="shared" si="24"/>
        <v>0</v>
      </c>
      <c r="AK322" s="102" t="str">
        <f>+IF(AB322+AA322+AJ322&lt;=0, "NO COMPRADOR", +IF(AJ322&lt;=0, "SIN COMPRA "&amp;+UPPER(TEXT('DINAMICA ENERO 26'!$C$2,"mmm 'yy")), "COMPRADOR"))</f>
        <v>NO COMPRADOR</v>
      </c>
    </row>
    <row r="323" spans="1:37">
      <c r="A323" s="88" t="s">
        <v>379</v>
      </c>
      <c r="B323" s="89" t="s">
        <v>401</v>
      </c>
      <c r="C323" s="89" t="s">
        <v>60</v>
      </c>
      <c r="D323" s="103">
        <v>100088964</v>
      </c>
      <c r="E323" s="89" t="s">
        <v>64</v>
      </c>
      <c r="F323" s="89">
        <v>100071913</v>
      </c>
      <c r="G323" s="128" t="s">
        <v>404</v>
      </c>
      <c r="Q323" s="91">
        <v>0</v>
      </c>
      <c r="R323" s="129">
        <v>0</v>
      </c>
      <c r="S323" s="91">
        <v>0</v>
      </c>
      <c r="T323" s="129">
        <v>0</v>
      </c>
      <c r="U323" s="93">
        <v>0</v>
      </c>
      <c r="V323" s="129">
        <v>0</v>
      </c>
      <c r="W323" s="93">
        <v>0</v>
      </c>
      <c r="X323" s="129">
        <v>0</v>
      </c>
      <c r="Y323" s="93">
        <v>0</v>
      </c>
      <c r="Z323" s="129">
        <v>0</v>
      </c>
      <c r="AA323" s="155">
        <f t="shared" si="26"/>
        <v>0</v>
      </c>
      <c r="AB323" s="98">
        <f t="shared" si="26"/>
        <v>0</v>
      </c>
      <c r="AD323" s="97">
        <v>0</v>
      </c>
      <c r="AE323" s="92">
        <v>0</v>
      </c>
      <c r="AF323" s="98">
        <f t="shared" si="25"/>
        <v>0</v>
      </c>
      <c r="AG323" s="97">
        <v>0</v>
      </c>
      <c r="AH323" s="92">
        <v>0</v>
      </c>
      <c r="AI323" s="98">
        <f t="shared" si="27"/>
        <v>0</v>
      </c>
      <c r="AJ323" s="98">
        <f t="shared" ref="AJ323:AJ380" si="28">+AF323+AI323</f>
        <v>0</v>
      </c>
      <c r="AK323" s="102" t="str">
        <f>+IF(AB323+AA323+AJ323&lt;=0, "NO COMPRADOR", +IF(AJ323&lt;=0, "SIN COMPRA "&amp;+UPPER(TEXT('DINAMICA ENERO 26'!$C$2,"mmm 'yy")), "COMPRADOR"))</f>
        <v>NO COMPRADOR</v>
      </c>
    </row>
    <row r="324" spans="1:37">
      <c r="A324" s="88" t="s">
        <v>379</v>
      </c>
      <c r="B324" s="89" t="s">
        <v>405</v>
      </c>
      <c r="C324" s="89" t="s">
        <v>32</v>
      </c>
      <c r="D324" s="103">
        <v>100089882</v>
      </c>
      <c r="E324" s="89" t="s">
        <v>36</v>
      </c>
      <c r="F324" s="89">
        <v>100001979</v>
      </c>
      <c r="G324" s="128" t="s">
        <v>290</v>
      </c>
      <c r="Q324" s="91">
        <v>0</v>
      </c>
      <c r="R324" s="129">
        <v>0</v>
      </c>
      <c r="S324" s="91">
        <v>4.8</v>
      </c>
      <c r="T324" s="129">
        <v>4.5599999999999996</v>
      </c>
      <c r="U324" s="93">
        <v>0</v>
      </c>
      <c r="V324" s="129">
        <v>4.5599999999999996</v>
      </c>
      <c r="W324" s="93">
        <v>0</v>
      </c>
      <c r="X324" s="129">
        <v>4.5599999999999996</v>
      </c>
      <c r="Y324" s="93">
        <v>4.8</v>
      </c>
      <c r="Z324" s="129">
        <v>0</v>
      </c>
      <c r="AA324" s="155">
        <f t="shared" si="26"/>
        <v>1.5999999999999999</v>
      </c>
      <c r="AB324" s="98">
        <f t="shared" si="26"/>
        <v>3.0399999999999996</v>
      </c>
      <c r="AD324" s="97">
        <v>0</v>
      </c>
      <c r="AE324" s="92">
        <v>0</v>
      </c>
      <c r="AF324" s="98">
        <f t="shared" ref="AF324:AF367" si="29">+AD324+AE324</f>
        <v>0</v>
      </c>
      <c r="AG324" s="97">
        <v>0</v>
      </c>
      <c r="AH324" s="92">
        <v>0</v>
      </c>
      <c r="AI324" s="98">
        <f t="shared" si="27"/>
        <v>0</v>
      </c>
      <c r="AJ324" s="98">
        <f t="shared" si="28"/>
        <v>0</v>
      </c>
      <c r="AK324" s="102" t="str">
        <f>+IF(AB324+AA324+AJ324&lt;=0, "NO COMPRADOR", +IF(AJ324&lt;=0, "SIN COMPRA "&amp;+UPPER(TEXT('DINAMICA ENERO 26'!$C$2,"mmm 'yy")), "COMPRADOR"))</f>
        <v>SIN COMPRA FEB '26</v>
      </c>
    </row>
    <row r="325" spans="1:37">
      <c r="A325" s="88" t="s">
        <v>379</v>
      </c>
      <c r="B325" s="89" t="s">
        <v>405</v>
      </c>
      <c r="C325" s="89" t="s">
        <v>32</v>
      </c>
      <c r="D325" s="103">
        <v>100089882</v>
      </c>
      <c r="E325" s="89" t="s">
        <v>36</v>
      </c>
      <c r="F325" s="89">
        <v>100001914</v>
      </c>
      <c r="G325" s="128" t="s">
        <v>406</v>
      </c>
      <c r="Q325" s="91">
        <v>33.599999999999994</v>
      </c>
      <c r="R325" s="129">
        <v>59.279999999999994</v>
      </c>
      <c r="S325" s="91">
        <v>105.6</v>
      </c>
      <c r="T325" s="129">
        <v>63.839999999999996</v>
      </c>
      <c r="U325" s="93">
        <v>86.399999999999977</v>
      </c>
      <c r="V325" s="129">
        <v>22.799999999999997</v>
      </c>
      <c r="W325" s="93">
        <v>216</v>
      </c>
      <c r="X325" s="129">
        <v>91.200000000000017</v>
      </c>
      <c r="Y325" s="93">
        <v>-33.600000000000009</v>
      </c>
      <c r="Z325" s="129">
        <v>-1.7763568394002505E-15</v>
      </c>
      <c r="AA325" s="155">
        <f t="shared" si="26"/>
        <v>89.59999999999998</v>
      </c>
      <c r="AB325" s="98">
        <f t="shared" si="26"/>
        <v>38.000000000000007</v>
      </c>
      <c r="AD325" s="97">
        <v>38.4</v>
      </c>
      <c r="AE325" s="92">
        <v>24</v>
      </c>
      <c r="AF325" s="98">
        <f t="shared" si="29"/>
        <v>62.4</v>
      </c>
      <c r="AG325" s="97">
        <v>27.359999999999996</v>
      </c>
      <c r="AH325" s="92">
        <v>18.239999999999998</v>
      </c>
      <c r="AI325" s="98">
        <f t="shared" si="27"/>
        <v>45.599999999999994</v>
      </c>
      <c r="AJ325" s="98">
        <f t="shared" si="28"/>
        <v>108</v>
      </c>
      <c r="AK325" s="102" t="str">
        <f>+IF(AB325+AA325+AJ325&lt;=0, "NO COMPRADOR", +IF(AJ325&lt;=0, "SIN COMPRA "&amp;+UPPER(TEXT('DINAMICA ENERO 26'!$C$2,"mmm 'yy")), "COMPRADOR"))</f>
        <v>COMPRADOR</v>
      </c>
    </row>
    <row r="326" spans="1:37">
      <c r="A326" s="88" t="s">
        <v>407</v>
      </c>
      <c r="B326" s="89" t="s">
        <v>407</v>
      </c>
      <c r="C326" s="89" t="s">
        <v>32</v>
      </c>
      <c r="D326" s="103">
        <v>100066387</v>
      </c>
      <c r="E326" s="89" t="s">
        <v>34</v>
      </c>
      <c r="F326" s="89">
        <v>100002258</v>
      </c>
      <c r="G326" s="128" t="s">
        <v>408</v>
      </c>
      <c r="Q326" s="91">
        <v>24</v>
      </c>
      <c r="R326" s="129">
        <v>0</v>
      </c>
      <c r="S326" s="91">
        <v>144</v>
      </c>
      <c r="T326" s="129">
        <v>91.199999999999989</v>
      </c>
      <c r="U326" s="93">
        <v>72</v>
      </c>
      <c r="V326" s="129">
        <v>0</v>
      </c>
      <c r="W326" s="93">
        <v>0</v>
      </c>
      <c r="X326" s="129">
        <v>22.799999999999997</v>
      </c>
      <c r="Y326" s="93">
        <v>96</v>
      </c>
      <c r="Z326" s="129">
        <v>45.599999999999994</v>
      </c>
      <c r="AA326" s="155">
        <f t="shared" si="26"/>
        <v>56</v>
      </c>
      <c r="AB326" s="98">
        <f t="shared" si="26"/>
        <v>22.799999999999997</v>
      </c>
      <c r="AD326" s="97">
        <v>0</v>
      </c>
      <c r="AE326" s="92">
        <v>0</v>
      </c>
      <c r="AF326" s="98">
        <f t="shared" si="29"/>
        <v>0</v>
      </c>
      <c r="AG326" s="97">
        <v>0</v>
      </c>
      <c r="AH326" s="92">
        <v>22.8</v>
      </c>
      <c r="AI326" s="98">
        <f t="shared" si="27"/>
        <v>22.8</v>
      </c>
      <c r="AJ326" s="98">
        <f t="shared" si="28"/>
        <v>22.8</v>
      </c>
      <c r="AK326" s="102" t="str">
        <f>+IF(AB326+AA326+AJ326&lt;=0, "NO COMPRADOR", +IF(AJ326&lt;=0, "SIN COMPRA "&amp;+UPPER(TEXT('DINAMICA ENERO 26'!$C$2,"mmm 'yy")), "COMPRADOR"))</f>
        <v>COMPRADOR</v>
      </c>
    </row>
    <row r="327" spans="1:37">
      <c r="A327" s="88" t="s">
        <v>407</v>
      </c>
      <c r="B327" s="89" t="s">
        <v>407</v>
      </c>
      <c r="C327" s="89" t="s">
        <v>32</v>
      </c>
      <c r="D327" s="103">
        <v>100087600</v>
      </c>
      <c r="E327" s="89" t="s">
        <v>33</v>
      </c>
      <c r="F327" s="89">
        <v>100002545</v>
      </c>
      <c r="G327" s="128" t="s">
        <v>409</v>
      </c>
      <c r="Q327" s="91">
        <v>292.8</v>
      </c>
      <c r="R327" s="129">
        <v>282.72000000000008</v>
      </c>
      <c r="S327" s="91">
        <v>230.4</v>
      </c>
      <c r="T327" s="129">
        <v>4.5599999999999987</v>
      </c>
      <c r="U327" s="93">
        <v>336.00000000000011</v>
      </c>
      <c r="V327" s="129">
        <v>22.799999999999997</v>
      </c>
      <c r="W327" s="93">
        <v>216.00000000000003</v>
      </c>
      <c r="X327" s="129">
        <v>72.960000000000008</v>
      </c>
      <c r="Y327" s="93">
        <v>72</v>
      </c>
      <c r="Z327" s="129">
        <v>22.799999999999997</v>
      </c>
      <c r="AA327" s="155">
        <f t="shared" si="26"/>
        <v>208.00000000000003</v>
      </c>
      <c r="AB327" s="98">
        <f t="shared" si="26"/>
        <v>39.520000000000003</v>
      </c>
      <c r="AD327" s="97">
        <v>81.59999999999998</v>
      </c>
      <c r="AE327" s="92">
        <v>9.6</v>
      </c>
      <c r="AF327" s="98">
        <f t="shared" si="29"/>
        <v>91.199999999999974</v>
      </c>
      <c r="AG327" s="97">
        <v>36.479999999999997</v>
      </c>
      <c r="AH327" s="92">
        <v>31.919999999999998</v>
      </c>
      <c r="AI327" s="98">
        <f t="shared" si="27"/>
        <v>68.399999999999991</v>
      </c>
      <c r="AJ327" s="98">
        <f t="shared" si="28"/>
        <v>159.59999999999997</v>
      </c>
      <c r="AK327" s="102" t="str">
        <f>+IF(AB327+AA327+AJ327&lt;=0, "NO COMPRADOR", +IF(AJ327&lt;=0, "SIN COMPRA "&amp;+UPPER(TEXT('DINAMICA ENERO 26'!$C$2,"mmm 'yy")), "COMPRADOR"))</f>
        <v>COMPRADOR</v>
      </c>
    </row>
    <row r="328" spans="1:37">
      <c r="A328" s="88" t="s">
        <v>407</v>
      </c>
      <c r="B328" s="89" t="s">
        <v>407</v>
      </c>
      <c r="C328" s="89" t="s">
        <v>32</v>
      </c>
      <c r="D328" s="103">
        <v>100087600</v>
      </c>
      <c r="E328" s="89" t="s">
        <v>33</v>
      </c>
      <c r="F328" s="89">
        <v>100002424</v>
      </c>
      <c r="G328" s="128" t="s">
        <v>410</v>
      </c>
      <c r="Q328" s="91">
        <v>47.999999999999993</v>
      </c>
      <c r="R328" s="129">
        <v>82.080000000000013</v>
      </c>
      <c r="S328" s="91">
        <v>129.6</v>
      </c>
      <c r="T328" s="129">
        <v>31.919999999999998</v>
      </c>
      <c r="U328" s="93">
        <v>100.8</v>
      </c>
      <c r="V328" s="129">
        <v>72.960000000000008</v>
      </c>
      <c r="W328" s="93">
        <v>52.79999999999999</v>
      </c>
      <c r="X328" s="129">
        <v>9.1199999999999992</v>
      </c>
      <c r="Y328" s="93">
        <v>105.59999999999998</v>
      </c>
      <c r="Z328" s="129">
        <v>36.479999999999997</v>
      </c>
      <c r="AA328" s="155">
        <f t="shared" si="26"/>
        <v>86.399999999999991</v>
      </c>
      <c r="AB328" s="98">
        <f t="shared" si="26"/>
        <v>39.520000000000003</v>
      </c>
      <c r="AD328" s="97">
        <v>33.6</v>
      </c>
      <c r="AE328" s="92">
        <v>28.799999999999997</v>
      </c>
      <c r="AF328" s="98">
        <f t="shared" si="29"/>
        <v>62.4</v>
      </c>
      <c r="AG328" s="97">
        <v>45.599999999999994</v>
      </c>
      <c r="AH328" s="92">
        <v>45.6</v>
      </c>
      <c r="AI328" s="98">
        <f t="shared" si="27"/>
        <v>91.199999999999989</v>
      </c>
      <c r="AJ328" s="98">
        <f t="shared" si="28"/>
        <v>153.6</v>
      </c>
      <c r="AK328" s="102" t="str">
        <f>+IF(AB328+AA328+AJ328&lt;=0, "NO COMPRADOR", +IF(AJ328&lt;=0, "SIN COMPRA "&amp;+UPPER(TEXT('DINAMICA ENERO 26'!$C$2,"mmm 'yy")), "COMPRADOR"))</f>
        <v>COMPRADOR</v>
      </c>
    </row>
    <row r="329" spans="1:37">
      <c r="A329" s="88" t="s">
        <v>407</v>
      </c>
      <c r="B329" s="89" t="s">
        <v>407</v>
      </c>
      <c r="C329" s="89" t="s">
        <v>32</v>
      </c>
      <c r="D329" s="103">
        <v>100087600</v>
      </c>
      <c r="E329" s="89" t="s">
        <v>33</v>
      </c>
      <c r="F329" s="89">
        <v>100002055</v>
      </c>
      <c r="G329" s="128" t="s">
        <v>411</v>
      </c>
      <c r="Q329" s="91">
        <v>451.20000000000016</v>
      </c>
      <c r="R329" s="129">
        <v>497.04</v>
      </c>
      <c r="S329" s="91">
        <v>696.00000000000011</v>
      </c>
      <c r="T329" s="129">
        <v>282.72000000000003</v>
      </c>
      <c r="U329" s="93">
        <v>720.00000000000034</v>
      </c>
      <c r="V329" s="129">
        <v>360.24</v>
      </c>
      <c r="W329" s="93">
        <v>864.00000000000045</v>
      </c>
      <c r="X329" s="129">
        <v>401.28000000000014</v>
      </c>
      <c r="Y329" s="93">
        <v>1876.8000000000004</v>
      </c>
      <c r="Z329" s="129">
        <v>323.76000000000005</v>
      </c>
      <c r="AA329" s="155">
        <f t="shared" si="26"/>
        <v>1153.6000000000004</v>
      </c>
      <c r="AB329" s="98">
        <f t="shared" si="26"/>
        <v>361.76000000000005</v>
      </c>
      <c r="AD329" s="97">
        <v>384</v>
      </c>
      <c r="AE329" s="92">
        <v>0</v>
      </c>
      <c r="AF329" s="98">
        <f t="shared" si="29"/>
        <v>384</v>
      </c>
      <c r="AG329" s="97">
        <v>41.04</v>
      </c>
      <c r="AH329" s="92">
        <v>22.799999999999997</v>
      </c>
      <c r="AI329" s="98">
        <f t="shared" si="27"/>
        <v>63.839999999999996</v>
      </c>
      <c r="AJ329" s="98">
        <f t="shared" si="28"/>
        <v>447.84</v>
      </c>
      <c r="AK329" s="102" t="str">
        <f>+IF(AB329+AA329+AJ329&lt;=0, "NO COMPRADOR", +IF(AJ329&lt;=0, "SIN COMPRA "&amp;+UPPER(TEXT('DINAMICA ENERO 26'!$C$2,"mmm 'yy")), "COMPRADOR"))</f>
        <v>COMPRADOR</v>
      </c>
    </row>
    <row r="330" spans="1:37">
      <c r="A330" s="88" t="s">
        <v>407</v>
      </c>
      <c r="B330" s="89" t="s">
        <v>407</v>
      </c>
      <c r="C330" s="89" t="s">
        <v>32</v>
      </c>
      <c r="D330" s="103">
        <v>100087600</v>
      </c>
      <c r="E330" s="89" t="s">
        <v>33</v>
      </c>
      <c r="F330" s="89">
        <v>100002054</v>
      </c>
      <c r="G330" s="128" t="s">
        <v>412</v>
      </c>
      <c r="Q330" s="91">
        <v>0</v>
      </c>
      <c r="R330" s="129">
        <v>150.48000000000005</v>
      </c>
      <c r="S330" s="91">
        <v>0</v>
      </c>
      <c r="T330" s="129">
        <v>36.479999999999997</v>
      </c>
      <c r="U330" s="93">
        <v>0</v>
      </c>
      <c r="V330" s="129">
        <v>145.92000000000002</v>
      </c>
      <c r="W330" s="93">
        <v>91.199999999999974</v>
      </c>
      <c r="X330" s="129">
        <v>13.679999999999996</v>
      </c>
      <c r="Y330" s="93">
        <v>67.199999999999989</v>
      </c>
      <c r="Z330" s="129">
        <v>100.32000000000002</v>
      </c>
      <c r="AA330" s="155">
        <f t="shared" si="26"/>
        <v>52.79999999999999</v>
      </c>
      <c r="AB330" s="98">
        <f t="shared" si="26"/>
        <v>86.640000000000029</v>
      </c>
      <c r="AD330" s="97">
        <v>38.4</v>
      </c>
      <c r="AE330" s="92">
        <v>0</v>
      </c>
      <c r="AF330" s="98">
        <f t="shared" si="29"/>
        <v>38.4</v>
      </c>
      <c r="AG330" s="97">
        <v>50.160000000000004</v>
      </c>
      <c r="AH330" s="92">
        <v>4.5599999999999996</v>
      </c>
      <c r="AI330" s="98">
        <f t="shared" si="27"/>
        <v>54.720000000000006</v>
      </c>
      <c r="AJ330" s="98">
        <f t="shared" si="28"/>
        <v>93.12</v>
      </c>
      <c r="AK330" s="102" t="str">
        <f>+IF(AB330+AA330+AJ330&lt;=0, "NO COMPRADOR", +IF(AJ330&lt;=0, "SIN COMPRA "&amp;+UPPER(TEXT('DINAMICA ENERO 26'!$C$2,"mmm 'yy")), "COMPRADOR"))</f>
        <v>COMPRADOR</v>
      </c>
    </row>
    <row r="331" spans="1:37">
      <c r="A331" s="88" t="s">
        <v>407</v>
      </c>
      <c r="B331" s="89" t="s">
        <v>407</v>
      </c>
      <c r="C331" s="89" t="s">
        <v>32</v>
      </c>
      <c r="D331" s="103">
        <v>100087600</v>
      </c>
      <c r="E331" s="89" t="s">
        <v>33</v>
      </c>
      <c r="F331" s="89">
        <v>100001241</v>
      </c>
      <c r="G331" s="128" t="s">
        <v>413</v>
      </c>
      <c r="Q331" s="91">
        <v>211.2000000000001</v>
      </c>
      <c r="R331" s="129">
        <v>442.32000000000016</v>
      </c>
      <c r="S331" s="91">
        <v>273.60000000000014</v>
      </c>
      <c r="T331" s="129">
        <v>191.52000000000007</v>
      </c>
      <c r="U331" s="93">
        <v>355.20000000000033</v>
      </c>
      <c r="V331" s="129">
        <v>278.16000000000008</v>
      </c>
      <c r="W331" s="93">
        <v>235.20000000000007</v>
      </c>
      <c r="X331" s="129">
        <v>141.36000000000004</v>
      </c>
      <c r="Y331" s="93">
        <v>403.20000000000044</v>
      </c>
      <c r="Z331" s="129">
        <v>328.32000000000011</v>
      </c>
      <c r="AA331" s="155">
        <f t="shared" si="26"/>
        <v>331.20000000000027</v>
      </c>
      <c r="AB331" s="98">
        <f t="shared" si="26"/>
        <v>249.28000000000006</v>
      </c>
      <c r="AD331" s="97">
        <v>264.00000000000011</v>
      </c>
      <c r="AE331" s="92">
        <v>254.40000000000012</v>
      </c>
      <c r="AF331" s="98">
        <f t="shared" si="29"/>
        <v>518.4000000000002</v>
      </c>
      <c r="AG331" s="97">
        <v>205.20000000000007</v>
      </c>
      <c r="AH331" s="92">
        <v>168.72000000000006</v>
      </c>
      <c r="AI331" s="98">
        <f t="shared" si="27"/>
        <v>373.92000000000013</v>
      </c>
      <c r="AJ331" s="98">
        <f t="shared" si="28"/>
        <v>892.32000000000039</v>
      </c>
      <c r="AK331" s="102" t="str">
        <f>+IF(AB331+AA331+AJ331&lt;=0, "NO COMPRADOR", +IF(AJ331&lt;=0, "SIN COMPRA "&amp;+UPPER(TEXT('DINAMICA ENERO 26'!$C$2,"mmm 'yy")), "COMPRADOR"))</f>
        <v>COMPRADOR</v>
      </c>
    </row>
    <row r="332" spans="1:37">
      <c r="A332" s="88" t="s">
        <v>379</v>
      </c>
      <c r="B332" s="89" t="s">
        <v>405</v>
      </c>
      <c r="C332" s="89" t="s">
        <v>32</v>
      </c>
      <c r="D332" s="103">
        <v>100066387</v>
      </c>
      <c r="E332" s="89" t="s">
        <v>34</v>
      </c>
      <c r="F332" s="89">
        <v>100086833</v>
      </c>
      <c r="G332" s="128" t="s">
        <v>414</v>
      </c>
      <c r="Q332" s="91">
        <v>1056</v>
      </c>
      <c r="R332" s="129">
        <v>241.67999999999998</v>
      </c>
      <c r="S332" s="91">
        <v>0</v>
      </c>
      <c r="T332" s="129">
        <v>0</v>
      </c>
      <c r="U332" s="93">
        <v>0</v>
      </c>
      <c r="V332" s="129">
        <v>0</v>
      </c>
      <c r="W332" s="93">
        <v>0</v>
      </c>
      <c r="X332" s="129">
        <v>0</v>
      </c>
      <c r="Y332" s="93">
        <v>240</v>
      </c>
      <c r="Z332" s="129">
        <v>182.39999999999998</v>
      </c>
      <c r="AA332" s="155">
        <f t="shared" si="26"/>
        <v>80</v>
      </c>
      <c r="AB332" s="98">
        <f t="shared" si="26"/>
        <v>60.79999999999999</v>
      </c>
      <c r="AD332" s="97">
        <v>0</v>
      </c>
      <c r="AE332" s="92">
        <v>0</v>
      </c>
      <c r="AF332" s="98">
        <f t="shared" si="29"/>
        <v>0</v>
      </c>
      <c r="AG332" s="97">
        <v>0</v>
      </c>
      <c r="AH332" s="92">
        <v>0</v>
      </c>
      <c r="AI332" s="98">
        <f t="shared" si="27"/>
        <v>0</v>
      </c>
      <c r="AJ332" s="98">
        <f t="shared" si="28"/>
        <v>0</v>
      </c>
      <c r="AK332" s="102" t="str">
        <f>+IF(AB332+AA332+AJ332&lt;=0, "NO COMPRADOR", +IF(AJ332&lt;=0, "SIN COMPRA "&amp;+UPPER(TEXT('DINAMICA ENERO 26'!$C$2,"mmm 'yy")), "COMPRADOR"))</f>
        <v>SIN COMPRA FEB '26</v>
      </c>
    </row>
    <row r="333" spans="1:37">
      <c r="A333" s="88" t="s">
        <v>379</v>
      </c>
      <c r="B333" s="89" t="s">
        <v>415</v>
      </c>
      <c r="C333" s="89" t="s">
        <v>32</v>
      </c>
      <c r="D333" s="110">
        <v>100066387</v>
      </c>
      <c r="E333" s="110" t="s">
        <v>34</v>
      </c>
      <c r="F333" s="89">
        <v>100001434</v>
      </c>
      <c r="G333" s="128" t="s">
        <v>381</v>
      </c>
      <c r="Q333" s="91">
        <v>2030.3999999999953</v>
      </c>
      <c r="R333" s="129">
        <v>0</v>
      </c>
      <c r="S333" s="91">
        <v>1598.3999999999969</v>
      </c>
      <c r="T333" s="129">
        <v>1016.8799999999977</v>
      </c>
      <c r="U333" s="93">
        <v>935.99999999999864</v>
      </c>
      <c r="V333" s="129">
        <v>433.20000000000016</v>
      </c>
      <c r="W333" s="93">
        <v>3532.8000000000011</v>
      </c>
      <c r="X333" s="129">
        <v>2106.719999999993</v>
      </c>
      <c r="Y333" s="93">
        <v>1070.3999999999999</v>
      </c>
      <c r="Z333" s="129">
        <v>469.68000000000018</v>
      </c>
      <c r="AA333" s="155">
        <f t="shared" si="26"/>
        <v>1846.3999999999996</v>
      </c>
      <c r="AB333" s="98">
        <f t="shared" si="26"/>
        <v>1003.1999999999979</v>
      </c>
      <c r="AD333" s="97">
        <v>1468.7999999999997</v>
      </c>
      <c r="AE333" s="92">
        <v>556.79999999999995</v>
      </c>
      <c r="AF333" s="98">
        <f t="shared" si="29"/>
        <v>2025.5999999999997</v>
      </c>
      <c r="AG333" s="97">
        <v>1924.3199999999986</v>
      </c>
      <c r="AH333" s="92">
        <v>369.36000000000007</v>
      </c>
      <c r="AI333" s="98">
        <f t="shared" si="27"/>
        <v>2293.6799999999985</v>
      </c>
      <c r="AJ333" s="98">
        <f t="shared" si="28"/>
        <v>4319.2799999999979</v>
      </c>
      <c r="AK333" s="102" t="str">
        <f>+IF(AB333+AA333+AJ333&lt;=0, "NO COMPRADOR", +IF(AJ333&lt;=0, "SIN COMPRA "&amp;+UPPER(TEXT('DINAMICA ENERO 26'!$C$2,"mmm 'yy")), "COMPRADOR"))</f>
        <v>COMPRADOR</v>
      </c>
    </row>
    <row r="334" spans="1:37">
      <c r="A334" s="88" t="s">
        <v>379</v>
      </c>
      <c r="B334" s="89" t="s">
        <v>415</v>
      </c>
      <c r="C334" s="89" t="s">
        <v>32</v>
      </c>
      <c r="D334" s="110">
        <v>100089882</v>
      </c>
      <c r="E334" s="110" t="s">
        <v>36</v>
      </c>
      <c r="F334" s="89">
        <v>100002273</v>
      </c>
      <c r="G334" s="128" t="s">
        <v>416</v>
      </c>
      <c r="Q334" s="91">
        <v>1056</v>
      </c>
      <c r="R334" s="129">
        <v>0</v>
      </c>
      <c r="S334" s="91">
        <v>1699.1999999999998</v>
      </c>
      <c r="T334" s="129">
        <v>0</v>
      </c>
      <c r="U334" s="93">
        <v>1584</v>
      </c>
      <c r="V334" s="129">
        <v>1003.1999999999999</v>
      </c>
      <c r="W334" s="93">
        <v>528</v>
      </c>
      <c r="X334" s="129">
        <v>1504.8</v>
      </c>
      <c r="Y334" s="93">
        <v>2112</v>
      </c>
      <c r="Z334" s="129">
        <v>0</v>
      </c>
      <c r="AA334" s="155">
        <f t="shared" si="26"/>
        <v>1408</v>
      </c>
      <c r="AB334" s="98">
        <f t="shared" si="26"/>
        <v>836</v>
      </c>
      <c r="AD334" s="97">
        <v>1056</v>
      </c>
      <c r="AE334" s="92">
        <v>0</v>
      </c>
      <c r="AF334" s="98">
        <f t="shared" si="29"/>
        <v>1056</v>
      </c>
      <c r="AG334" s="97">
        <v>1504.8</v>
      </c>
      <c r="AH334" s="92">
        <v>0</v>
      </c>
      <c r="AI334" s="98">
        <f t="shared" si="27"/>
        <v>1504.8</v>
      </c>
      <c r="AJ334" s="98">
        <f t="shared" si="28"/>
        <v>2560.8000000000002</v>
      </c>
      <c r="AK334" s="102" t="str">
        <f>+IF(AB334+AA334+AJ334&lt;=0, "NO COMPRADOR", +IF(AJ334&lt;=0, "SIN COMPRA "&amp;+UPPER(TEXT('DINAMICA ENERO 26'!$C$2,"mmm 'yy")), "COMPRADOR"))</f>
        <v>COMPRADOR</v>
      </c>
    </row>
    <row r="335" spans="1:37">
      <c r="A335" s="88" t="s">
        <v>379</v>
      </c>
      <c r="B335" s="89" t="s">
        <v>415</v>
      </c>
      <c r="C335" s="89" t="s">
        <v>32</v>
      </c>
      <c r="D335" s="110">
        <v>100002748</v>
      </c>
      <c r="E335" s="110" t="s">
        <v>35</v>
      </c>
      <c r="F335" s="89">
        <v>100005896</v>
      </c>
      <c r="G335" s="128" t="s">
        <v>417</v>
      </c>
      <c r="Q335" s="91">
        <v>3547.2000000000003</v>
      </c>
      <c r="R335" s="129">
        <v>196.08000000000004</v>
      </c>
      <c r="S335" s="91">
        <v>10627.200000000003</v>
      </c>
      <c r="T335" s="129">
        <v>542.64</v>
      </c>
      <c r="U335" s="93">
        <v>6796.8</v>
      </c>
      <c r="V335" s="129">
        <v>2877.36</v>
      </c>
      <c r="W335" s="93">
        <v>8428.7999999999956</v>
      </c>
      <c r="X335" s="129">
        <v>492.48000000000008</v>
      </c>
      <c r="Y335" s="93">
        <v>624.00000000000011</v>
      </c>
      <c r="Z335" s="129">
        <v>2435.0399999999977</v>
      </c>
      <c r="AA335" s="155">
        <f t="shared" si="26"/>
        <v>5283.199999999998</v>
      </c>
      <c r="AB335" s="98">
        <f t="shared" si="26"/>
        <v>1934.9599999999991</v>
      </c>
      <c r="AD335" s="97">
        <v>5798.4000000000005</v>
      </c>
      <c r="AE335" s="92">
        <v>2640.0000000000005</v>
      </c>
      <c r="AF335" s="98">
        <f t="shared" si="29"/>
        <v>8438.4000000000015</v>
      </c>
      <c r="AG335" s="97">
        <v>3657.119999999999</v>
      </c>
      <c r="AH335" s="92">
        <v>1760.1599999999996</v>
      </c>
      <c r="AI335" s="98">
        <f t="shared" si="27"/>
        <v>5417.2799999999988</v>
      </c>
      <c r="AJ335" s="98">
        <f t="shared" si="28"/>
        <v>13855.68</v>
      </c>
      <c r="AK335" s="102" t="str">
        <f>+IF(AB335+AA335+AJ335&lt;=0, "NO COMPRADOR", +IF(AJ335&lt;=0, "SIN COMPRA "&amp;+UPPER(TEXT('DINAMICA ENERO 26'!$C$2,"mmm 'yy")), "COMPRADOR"))</f>
        <v>COMPRADOR</v>
      </c>
    </row>
    <row r="336" spans="1:37">
      <c r="A336" s="88" t="s">
        <v>379</v>
      </c>
      <c r="B336" s="89" t="s">
        <v>415</v>
      </c>
      <c r="C336" s="89" t="s">
        <v>32</v>
      </c>
      <c r="D336" s="110">
        <v>100002748</v>
      </c>
      <c r="E336" s="110" t="s">
        <v>35</v>
      </c>
      <c r="F336" s="89">
        <v>100001550</v>
      </c>
      <c r="G336" s="128" t="s">
        <v>418</v>
      </c>
      <c r="Q336" s="91">
        <v>0</v>
      </c>
      <c r="R336" s="129">
        <v>0</v>
      </c>
      <c r="S336" s="91">
        <v>0</v>
      </c>
      <c r="T336" s="129">
        <v>0</v>
      </c>
      <c r="U336" s="93">
        <v>0</v>
      </c>
      <c r="V336" s="129">
        <v>0</v>
      </c>
      <c r="W336" s="93">
        <v>0</v>
      </c>
      <c r="X336" s="129">
        <v>0</v>
      </c>
      <c r="Y336" s="93">
        <v>0</v>
      </c>
      <c r="Z336" s="129">
        <v>0</v>
      </c>
      <c r="AA336" s="155">
        <f t="shared" si="26"/>
        <v>0</v>
      </c>
      <c r="AB336" s="98">
        <f t="shared" si="26"/>
        <v>0</v>
      </c>
      <c r="AD336" s="97">
        <v>8448</v>
      </c>
      <c r="AE336" s="92">
        <v>528</v>
      </c>
      <c r="AF336" s="98">
        <f t="shared" si="29"/>
        <v>8976</v>
      </c>
      <c r="AG336" s="97">
        <v>0</v>
      </c>
      <c r="AH336" s="92">
        <v>0</v>
      </c>
      <c r="AI336" s="98">
        <f t="shared" si="27"/>
        <v>0</v>
      </c>
      <c r="AJ336" s="98">
        <f t="shared" si="28"/>
        <v>8976</v>
      </c>
      <c r="AK336" s="102" t="str">
        <f>+IF(AB336+AA336+AJ336&lt;=0, "NO COMPRADOR", +IF(AJ336&lt;=0, "SIN COMPRA "&amp;+UPPER(TEXT('DINAMICA ENERO 26'!$C$2,"mmm 'yy")), "COMPRADOR"))</f>
        <v>COMPRADOR</v>
      </c>
    </row>
    <row r="337" spans="1:37">
      <c r="A337" s="88" t="s">
        <v>379</v>
      </c>
      <c r="B337" s="89" t="s">
        <v>415</v>
      </c>
      <c r="C337" s="89" t="s">
        <v>32</v>
      </c>
      <c r="D337" s="110">
        <v>100089882</v>
      </c>
      <c r="E337" s="110" t="s">
        <v>36</v>
      </c>
      <c r="F337" s="89">
        <v>100002492</v>
      </c>
      <c r="G337" s="128" t="s">
        <v>419</v>
      </c>
      <c r="Q337" s="91">
        <v>547.19999999999993</v>
      </c>
      <c r="R337" s="129">
        <v>533.52</v>
      </c>
      <c r="S337" s="91">
        <v>24</v>
      </c>
      <c r="T337" s="129">
        <v>50.16</v>
      </c>
      <c r="U337" s="93">
        <v>595.20000000000005</v>
      </c>
      <c r="V337" s="129">
        <v>506.15999999999991</v>
      </c>
      <c r="W337" s="93">
        <v>359.99999999999994</v>
      </c>
      <c r="X337" s="129">
        <v>337.44</v>
      </c>
      <c r="Y337" s="93">
        <v>859.19999999999993</v>
      </c>
      <c r="Z337" s="129">
        <v>50.160000000000025</v>
      </c>
      <c r="AA337" s="155">
        <f t="shared" si="26"/>
        <v>604.80000000000007</v>
      </c>
      <c r="AB337" s="98">
        <f t="shared" si="26"/>
        <v>297.92</v>
      </c>
      <c r="AD337" s="97">
        <v>0</v>
      </c>
      <c r="AE337" s="92">
        <v>129.6</v>
      </c>
      <c r="AF337" s="98">
        <f t="shared" si="29"/>
        <v>129.6</v>
      </c>
      <c r="AG337" s="97">
        <v>-36.479999999999961</v>
      </c>
      <c r="AH337" s="92">
        <v>36.479999999999997</v>
      </c>
      <c r="AI337" s="98">
        <f t="shared" si="27"/>
        <v>0</v>
      </c>
      <c r="AJ337" s="98">
        <f t="shared" si="28"/>
        <v>129.6</v>
      </c>
      <c r="AK337" s="102" t="str">
        <f>+IF(AB337+AA337+AJ337&lt;=0, "NO COMPRADOR", +IF(AJ337&lt;=0, "SIN COMPRA "&amp;+UPPER(TEXT('DINAMICA ENERO 26'!$C$2,"mmm 'yy")), "COMPRADOR"))</f>
        <v>COMPRADOR</v>
      </c>
    </row>
    <row r="338" spans="1:37">
      <c r="A338" s="88" t="s">
        <v>379</v>
      </c>
      <c r="B338" s="89" t="s">
        <v>415</v>
      </c>
      <c r="C338" s="89" t="s">
        <v>32</v>
      </c>
      <c r="D338" s="110">
        <v>100066387</v>
      </c>
      <c r="E338" s="110" t="s">
        <v>34</v>
      </c>
      <c r="F338" s="89">
        <v>100001342</v>
      </c>
      <c r="G338" s="128" t="s">
        <v>387</v>
      </c>
      <c r="Q338" s="91">
        <v>883.2</v>
      </c>
      <c r="R338" s="129">
        <v>255.36</v>
      </c>
      <c r="S338" s="91">
        <v>283.20000000000005</v>
      </c>
      <c r="T338" s="129">
        <v>383.04000000000008</v>
      </c>
      <c r="U338" s="93">
        <v>801.59999999999968</v>
      </c>
      <c r="V338" s="129">
        <v>670.31999999999948</v>
      </c>
      <c r="W338" s="93">
        <v>1171.1999999999985</v>
      </c>
      <c r="X338" s="129">
        <v>893.75999999999851</v>
      </c>
      <c r="Y338" s="93">
        <v>801.60000000000036</v>
      </c>
      <c r="Z338" s="129">
        <v>802.55999999999972</v>
      </c>
      <c r="AA338" s="155">
        <f t="shared" ref="AA338:AB381" si="30">+AVERAGE(U338,W338,Y338)</f>
        <v>924.79999999999961</v>
      </c>
      <c r="AB338" s="98">
        <f t="shared" si="30"/>
        <v>788.8799999999992</v>
      </c>
      <c r="AD338" s="97">
        <v>652.79999999999995</v>
      </c>
      <c r="AE338" s="92">
        <v>95.999999999999986</v>
      </c>
      <c r="AF338" s="98">
        <f t="shared" si="29"/>
        <v>748.8</v>
      </c>
      <c r="AG338" s="97">
        <v>497.04000000000019</v>
      </c>
      <c r="AH338" s="92">
        <v>82.08</v>
      </c>
      <c r="AI338" s="98">
        <f t="shared" si="27"/>
        <v>579.12000000000023</v>
      </c>
      <c r="AJ338" s="98">
        <f t="shared" si="28"/>
        <v>1327.92</v>
      </c>
      <c r="AK338" s="102" t="str">
        <f>+IF(AB338+AA338+AJ338&lt;=0, "NO COMPRADOR", +IF(AJ338&lt;=0, "SIN COMPRA "&amp;+UPPER(TEXT('DINAMICA ENERO 26'!$C$2,"mmm 'yy")), "COMPRADOR"))</f>
        <v>COMPRADOR</v>
      </c>
    </row>
    <row r="339" spans="1:37">
      <c r="A339" s="88" t="s">
        <v>85</v>
      </c>
      <c r="B339" s="89" t="s">
        <v>120</v>
      </c>
      <c r="C339" s="89" t="s">
        <v>52</v>
      </c>
      <c r="D339" s="110">
        <v>100088149</v>
      </c>
      <c r="E339" s="110" t="s">
        <v>56</v>
      </c>
      <c r="F339" s="89">
        <v>100089849</v>
      </c>
      <c r="G339" s="128" t="s">
        <v>420</v>
      </c>
      <c r="H339" s="73">
        <v>0</v>
      </c>
      <c r="I339" s="73">
        <v>0</v>
      </c>
      <c r="J339" s="73">
        <v>0</v>
      </c>
      <c r="K339" s="73">
        <v>0</v>
      </c>
      <c r="Q339" s="91">
        <v>0</v>
      </c>
      <c r="R339" s="129">
        <v>0</v>
      </c>
      <c r="S339" s="91">
        <v>0</v>
      </c>
      <c r="T339" s="129">
        <v>0</v>
      </c>
      <c r="U339" s="93">
        <v>0</v>
      </c>
      <c r="V339" s="129">
        <v>0</v>
      </c>
      <c r="W339" s="93">
        <v>0</v>
      </c>
      <c r="X339" s="129">
        <v>0</v>
      </c>
      <c r="Y339" s="93">
        <v>0</v>
      </c>
      <c r="Z339" s="129">
        <v>0</v>
      </c>
      <c r="AA339" s="155">
        <f t="shared" si="30"/>
        <v>0</v>
      </c>
      <c r="AB339" s="98">
        <f t="shared" si="30"/>
        <v>0</v>
      </c>
      <c r="AD339" s="97">
        <v>0</v>
      </c>
      <c r="AE339" s="92">
        <v>0</v>
      </c>
      <c r="AF339" s="98">
        <f t="shared" si="29"/>
        <v>0</v>
      </c>
      <c r="AG339" s="97">
        <v>0</v>
      </c>
      <c r="AH339" s="92">
        <v>0</v>
      </c>
      <c r="AI339" s="98">
        <f t="shared" si="27"/>
        <v>0</v>
      </c>
      <c r="AJ339" s="98">
        <f t="shared" si="28"/>
        <v>0</v>
      </c>
      <c r="AK339" s="102" t="str">
        <f>+IF(AB339+AA339+AJ339&lt;=0, "NO COMPRADOR", +IF(AJ339&lt;=0, "SIN COMPRA "&amp;+UPPER(TEXT('DINAMICA ENERO 26'!$C$2,"mmm 'yy")), "COMPRADOR"))</f>
        <v>NO COMPRADOR</v>
      </c>
    </row>
    <row r="340" spans="1:37">
      <c r="A340" s="88" t="s">
        <v>85</v>
      </c>
      <c r="B340" s="89" t="s">
        <v>120</v>
      </c>
      <c r="C340" s="89" t="s">
        <v>52</v>
      </c>
      <c r="D340" s="110">
        <v>100079515</v>
      </c>
      <c r="E340" s="110" t="s">
        <v>53</v>
      </c>
      <c r="F340" s="89">
        <v>100025640</v>
      </c>
      <c r="G340" s="128" t="s">
        <v>421</v>
      </c>
      <c r="H340" s="73">
        <v>0</v>
      </c>
      <c r="I340" s="73">
        <v>0</v>
      </c>
      <c r="J340" s="73">
        <v>0</v>
      </c>
      <c r="K340" s="73">
        <v>0</v>
      </c>
      <c r="Q340" s="91">
        <v>0</v>
      </c>
      <c r="R340" s="129">
        <v>0</v>
      </c>
      <c r="S340" s="91">
        <v>0</v>
      </c>
      <c r="T340" s="129">
        <v>0</v>
      </c>
      <c r="U340" s="93">
        <v>0</v>
      </c>
      <c r="V340" s="129">
        <v>0</v>
      </c>
      <c r="W340" s="93">
        <v>0</v>
      </c>
      <c r="X340" s="129">
        <v>0</v>
      </c>
      <c r="Y340" s="93">
        <v>0</v>
      </c>
      <c r="Z340" s="129">
        <v>0</v>
      </c>
      <c r="AA340" s="155">
        <f t="shared" si="30"/>
        <v>0</v>
      </c>
      <c r="AB340" s="98">
        <f t="shared" si="30"/>
        <v>0</v>
      </c>
      <c r="AD340" s="97">
        <v>0</v>
      </c>
      <c r="AE340" s="92">
        <v>0</v>
      </c>
      <c r="AF340" s="98">
        <f t="shared" si="29"/>
        <v>0</v>
      </c>
      <c r="AG340" s="97">
        <v>0</v>
      </c>
      <c r="AH340" s="92">
        <v>0</v>
      </c>
      <c r="AI340" s="98">
        <f t="shared" si="27"/>
        <v>0</v>
      </c>
      <c r="AJ340" s="98">
        <f t="shared" si="28"/>
        <v>0</v>
      </c>
      <c r="AK340" s="102" t="str">
        <f>+IF(AB340+AA340+AJ340&lt;=0, "NO COMPRADOR", +IF(AJ340&lt;=0, "SIN COMPRA "&amp;+UPPER(TEXT('DINAMICA ENERO 26'!$C$2,"mmm 'yy")), "COMPRADOR"))</f>
        <v>NO COMPRADOR</v>
      </c>
    </row>
    <row r="341" spans="1:37">
      <c r="A341" s="88" t="s">
        <v>85</v>
      </c>
      <c r="B341" s="89" t="s">
        <v>157</v>
      </c>
      <c r="C341" s="89" t="s">
        <v>52</v>
      </c>
      <c r="D341" s="110">
        <v>100079674</v>
      </c>
      <c r="E341" s="110" t="s">
        <v>57</v>
      </c>
      <c r="F341" s="89">
        <v>100080761</v>
      </c>
      <c r="G341" s="128" t="s">
        <v>422</v>
      </c>
      <c r="H341" s="73">
        <v>0</v>
      </c>
      <c r="I341" s="73">
        <v>0</v>
      </c>
      <c r="J341" s="73">
        <v>0</v>
      </c>
      <c r="K341" s="73">
        <v>0</v>
      </c>
      <c r="Q341" s="91">
        <v>0</v>
      </c>
      <c r="R341" s="129">
        <v>0</v>
      </c>
      <c r="S341" s="91">
        <v>0</v>
      </c>
      <c r="T341" s="129">
        <v>0</v>
      </c>
      <c r="U341" s="93">
        <v>0</v>
      </c>
      <c r="V341" s="129">
        <v>0</v>
      </c>
      <c r="W341" s="93">
        <v>0</v>
      </c>
      <c r="X341" s="129">
        <v>0</v>
      </c>
      <c r="Y341" s="93">
        <v>0</v>
      </c>
      <c r="Z341" s="129">
        <v>0</v>
      </c>
      <c r="AA341" s="155">
        <f t="shared" si="30"/>
        <v>0</v>
      </c>
      <c r="AB341" s="98">
        <f t="shared" si="30"/>
        <v>0</v>
      </c>
      <c r="AD341" s="97">
        <v>0</v>
      </c>
      <c r="AE341" s="92">
        <v>0</v>
      </c>
      <c r="AF341" s="98">
        <f t="shared" si="29"/>
        <v>0</v>
      </c>
      <c r="AG341" s="97">
        <v>0</v>
      </c>
      <c r="AH341" s="92">
        <v>0</v>
      </c>
      <c r="AI341" s="98">
        <f t="shared" si="27"/>
        <v>0</v>
      </c>
      <c r="AJ341" s="98">
        <f t="shared" si="28"/>
        <v>0</v>
      </c>
      <c r="AK341" s="102" t="str">
        <f>+IF(AB341+AA341+AJ341&lt;=0, "NO COMPRADOR", +IF(AJ341&lt;=0, "SIN COMPRA "&amp;+UPPER(TEXT('DINAMICA ENERO 26'!$C$2,"mmm 'yy")), "COMPRADOR"))</f>
        <v>NO COMPRADOR</v>
      </c>
    </row>
    <row r="342" spans="1:37">
      <c r="A342" s="88" t="s">
        <v>85</v>
      </c>
      <c r="B342" s="89" t="s">
        <v>157</v>
      </c>
      <c r="C342" s="89" t="s">
        <v>52</v>
      </c>
      <c r="D342" s="110">
        <v>100079674</v>
      </c>
      <c r="E342" s="110" t="s">
        <v>57</v>
      </c>
      <c r="F342" s="89">
        <v>100001878</v>
      </c>
      <c r="G342" s="128" t="s">
        <v>423</v>
      </c>
      <c r="H342" s="73">
        <v>0</v>
      </c>
      <c r="I342" s="73">
        <v>0</v>
      </c>
      <c r="J342" s="73">
        <v>0</v>
      </c>
      <c r="K342" s="73">
        <v>0</v>
      </c>
      <c r="Q342" s="91">
        <v>0</v>
      </c>
      <c r="R342" s="129">
        <v>0</v>
      </c>
      <c r="S342" s="91">
        <v>0</v>
      </c>
      <c r="T342" s="129">
        <v>0</v>
      </c>
      <c r="U342" s="93">
        <v>0</v>
      </c>
      <c r="V342" s="129">
        <v>0</v>
      </c>
      <c r="W342" s="93">
        <v>0</v>
      </c>
      <c r="X342" s="129">
        <v>0</v>
      </c>
      <c r="Y342" s="93">
        <v>0</v>
      </c>
      <c r="Z342" s="129">
        <v>0</v>
      </c>
      <c r="AA342" s="155">
        <f t="shared" si="30"/>
        <v>0</v>
      </c>
      <c r="AB342" s="98">
        <f t="shared" si="30"/>
        <v>0</v>
      </c>
      <c r="AD342" s="97">
        <v>0</v>
      </c>
      <c r="AE342" s="92">
        <v>0</v>
      </c>
      <c r="AF342" s="98">
        <f t="shared" si="29"/>
        <v>0</v>
      </c>
      <c r="AG342" s="97">
        <v>0</v>
      </c>
      <c r="AH342" s="92">
        <v>0</v>
      </c>
      <c r="AI342" s="98">
        <f t="shared" si="27"/>
        <v>0</v>
      </c>
      <c r="AJ342" s="98">
        <f t="shared" si="28"/>
        <v>0</v>
      </c>
      <c r="AK342" s="102" t="str">
        <f>+IF(AB342+AA342+AJ342&lt;=0, "NO COMPRADOR", +IF(AJ342&lt;=0, "SIN COMPRA "&amp;+UPPER(TEXT('DINAMICA ENERO 26'!$C$2,"mmm 'yy")), "COMPRADOR"))</f>
        <v>NO COMPRADOR</v>
      </c>
    </row>
    <row r="343" spans="1:37">
      <c r="A343" s="88" t="s">
        <v>85</v>
      </c>
      <c r="B343" s="89" t="s">
        <v>157</v>
      </c>
      <c r="C343" s="89" t="s">
        <v>52</v>
      </c>
      <c r="D343" s="110">
        <v>100079674</v>
      </c>
      <c r="E343" s="110" t="s">
        <v>57</v>
      </c>
      <c r="F343" s="89">
        <v>100085464</v>
      </c>
      <c r="G343" s="128" t="s">
        <v>424</v>
      </c>
      <c r="H343" s="73">
        <v>0</v>
      </c>
      <c r="I343" s="73">
        <v>0</v>
      </c>
      <c r="J343" s="73">
        <v>0</v>
      </c>
      <c r="K343" s="73">
        <v>0</v>
      </c>
      <c r="Q343" s="91">
        <v>0</v>
      </c>
      <c r="R343" s="129">
        <v>0</v>
      </c>
      <c r="S343" s="91">
        <v>0</v>
      </c>
      <c r="T343" s="129">
        <v>0</v>
      </c>
      <c r="U343" s="93">
        <v>0</v>
      </c>
      <c r="V343" s="129">
        <v>0</v>
      </c>
      <c r="W343" s="93">
        <v>0</v>
      </c>
      <c r="X343" s="129">
        <v>0</v>
      </c>
      <c r="Y343" s="93">
        <v>0</v>
      </c>
      <c r="Z343" s="129">
        <v>0</v>
      </c>
      <c r="AA343" s="155">
        <f t="shared" si="30"/>
        <v>0</v>
      </c>
      <c r="AB343" s="98">
        <f t="shared" si="30"/>
        <v>0</v>
      </c>
      <c r="AD343" s="97">
        <v>0</v>
      </c>
      <c r="AE343" s="92">
        <v>0</v>
      </c>
      <c r="AF343" s="98">
        <f t="shared" si="29"/>
        <v>0</v>
      </c>
      <c r="AG343" s="97">
        <v>0</v>
      </c>
      <c r="AH343" s="92">
        <v>0</v>
      </c>
      <c r="AI343" s="98">
        <f t="shared" si="27"/>
        <v>0</v>
      </c>
      <c r="AJ343" s="98">
        <f t="shared" si="28"/>
        <v>0</v>
      </c>
      <c r="AK343" s="102" t="str">
        <f>+IF(AB343+AA343+AJ343&lt;=0, "NO COMPRADOR", +IF(AJ343&lt;=0, "SIN COMPRA "&amp;+UPPER(TEXT('DINAMICA ENERO 26'!$C$2,"mmm 'yy")), "COMPRADOR"))</f>
        <v>NO COMPRADOR</v>
      </c>
    </row>
    <row r="344" spans="1:37">
      <c r="A344" s="88" t="s">
        <v>85</v>
      </c>
      <c r="B344" s="89" t="s">
        <v>157</v>
      </c>
      <c r="C344" s="89" t="s">
        <v>52</v>
      </c>
      <c r="D344" s="110">
        <v>100066856</v>
      </c>
      <c r="E344" s="110" t="s">
        <v>54</v>
      </c>
      <c r="F344" s="89">
        <v>100080160</v>
      </c>
      <c r="G344" s="128" t="s">
        <v>425</v>
      </c>
      <c r="H344" s="73">
        <v>0</v>
      </c>
      <c r="I344" s="73">
        <v>0</v>
      </c>
      <c r="J344" s="73">
        <v>0</v>
      </c>
      <c r="K344" s="73">
        <v>0</v>
      </c>
      <c r="Q344" s="91">
        <v>0</v>
      </c>
      <c r="R344" s="129">
        <v>0</v>
      </c>
      <c r="S344" s="91">
        <v>0</v>
      </c>
      <c r="T344" s="129">
        <v>0</v>
      </c>
      <c r="U344" s="93">
        <v>0</v>
      </c>
      <c r="V344" s="129">
        <v>0</v>
      </c>
      <c r="W344" s="93">
        <v>0</v>
      </c>
      <c r="X344" s="129">
        <v>0</v>
      </c>
      <c r="Y344" s="93">
        <v>0</v>
      </c>
      <c r="Z344" s="129">
        <v>0</v>
      </c>
      <c r="AA344" s="155">
        <f t="shared" si="30"/>
        <v>0</v>
      </c>
      <c r="AB344" s="98">
        <f t="shared" si="30"/>
        <v>0</v>
      </c>
      <c r="AD344" s="97">
        <v>0</v>
      </c>
      <c r="AE344" s="92">
        <v>0</v>
      </c>
      <c r="AF344" s="98">
        <f t="shared" si="29"/>
        <v>0</v>
      </c>
      <c r="AG344" s="97">
        <v>0</v>
      </c>
      <c r="AH344" s="92">
        <v>0</v>
      </c>
      <c r="AI344" s="98">
        <f t="shared" si="27"/>
        <v>0</v>
      </c>
      <c r="AJ344" s="98">
        <f t="shared" si="28"/>
        <v>0</v>
      </c>
      <c r="AK344" s="102" t="str">
        <f>+IF(AB344+AA344+AJ344&lt;=0, "NO COMPRADOR", +IF(AJ344&lt;=0, "SIN COMPRA "&amp;+UPPER(TEXT('DINAMICA ENERO 26'!$C$2,"mmm 'yy")), "COMPRADOR"))</f>
        <v>NO COMPRADOR</v>
      </c>
    </row>
    <row r="345" spans="1:37">
      <c r="A345" s="88" t="s">
        <v>85</v>
      </c>
      <c r="B345" s="89" t="s">
        <v>157</v>
      </c>
      <c r="C345" s="89" t="s">
        <v>52</v>
      </c>
      <c r="D345" s="110">
        <v>100066856</v>
      </c>
      <c r="E345" s="110" t="s">
        <v>54</v>
      </c>
      <c r="F345" s="89">
        <v>100077613</v>
      </c>
      <c r="G345" s="128" t="s">
        <v>426</v>
      </c>
      <c r="H345" s="73">
        <v>0</v>
      </c>
      <c r="I345" s="73">
        <v>0</v>
      </c>
      <c r="J345" s="73">
        <v>0</v>
      </c>
      <c r="K345" s="73">
        <v>0</v>
      </c>
      <c r="Q345" s="91">
        <v>0</v>
      </c>
      <c r="R345" s="129">
        <v>0</v>
      </c>
      <c r="S345" s="91">
        <v>0</v>
      </c>
      <c r="T345" s="129">
        <v>0</v>
      </c>
      <c r="U345" s="93">
        <v>0</v>
      </c>
      <c r="V345" s="129">
        <v>0</v>
      </c>
      <c r="W345" s="93">
        <v>0</v>
      </c>
      <c r="X345" s="129">
        <v>0</v>
      </c>
      <c r="Y345" s="93">
        <v>0</v>
      </c>
      <c r="Z345" s="129">
        <v>0</v>
      </c>
      <c r="AA345" s="155">
        <f t="shared" si="30"/>
        <v>0</v>
      </c>
      <c r="AB345" s="98">
        <f t="shared" si="30"/>
        <v>0</v>
      </c>
      <c r="AD345" s="97">
        <v>0</v>
      </c>
      <c r="AE345" s="92">
        <v>0</v>
      </c>
      <c r="AF345" s="98">
        <f t="shared" si="29"/>
        <v>0</v>
      </c>
      <c r="AG345" s="97">
        <v>0</v>
      </c>
      <c r="AH345" s="92">
        <v>0</v>
      </c>
      <c r="AI345" s="98">
        <f t="shared" si="27"/>
        <v>0</v>
      </c>
      <c r="AJ345" s="98">
        <f t="shared" si="28"/>
        <v>0</v>
      </c>
      <c r="AK345" s="102" t="str">
        <f>+IF(AB345+AA345+AJ345&lt;=0, "NO COMPRADOR", +IF(AJ345&lt;=0, "SIN COMPRA "&amp;+UPPER(TEXT('DINAMICA ENERO 26'!$C$2,"mmm 'yy")), "COMPRADOR"))</f>
        <v>NO COMPRADOR</v>
      </c>
    </row>
    <row r="346" spans="1:37">
      <c r="A346" s="88" t="s">
        <v>85</v>
      </c>
      <c r="B346" s="89" t="s">
        <v>157</v>
      </c>
      <c r="C346" s="89" t="s">
        <v>52</v>
      </c>
      <c r="D346" s="110">
        <v>100066856</v>
      </c>
      <c r="E346" s="110" t="s">
        <v>54</v>
      </c>
      <c r="F346" s="89">
        <v>100082823</v>
      </c>
      <c r="G346" s="128" t="s">
        <v>427</v>
      </c>
      <c r="H346" s="73">
        <v>0</v>
      </c>
      <c r="I346" s="73">
        <v>0</v>
      </c>
      <c r="J346" s="73">
        <v>0</v>
      </c>
      <c r="K346" s="73">
        <v>0</v>
      </c>
      <c r="Q346" s="91">
        <v>0</v>
      </c>
      <c r="R346" s="129">
        <v>0</v>
      </c>
      <c r="S346" s="91">
        <v>0</v>
      </c>
      <c r="T346" s="129">
        <v>0</v>
      </c>
      <c r="U346" s="93">
        <v>0</v>
      </c>
      <c r="V346" s="129">
        <v>0</v>
      </c>
      <c r="W346" s="93">
        <v>0</v>
      </c>
      <c r="X346" s="129">
        <v>0</v>
      </c>
      <c r="Y346" s="93">
        <v>0</v>
      </c>
      <c r="Z346" s="129">
        <v>0</v>
      </c>
      <c r="AA346" s="155">
        <f t="shared" si="30"/>
        <v>0</v>
      </c>
      <c r="AB346" s="98">
        <f t="shared" si="30"/>
        <v>0</v>
      </c>
      <c r="AD346" s="97">
        <v>0</v>
      </c>
      <c r="AE346" s="92">
        <v>0</v>
      </c>
      <c r="AF346" s="98">
        <f t="shared" si="29"/>
        <v>0</v>
      </c>
      <c r="AG346" s="97">
        <v>0</v>
      </c>
      <c r="AH346" s="92">
        <v>0</v>
      </c>
      <c r="AI346" s="98">
        <f t="shared" si="27"/>
        <v>0</v>
      </c>
      <c r="AJ346" s="98">
        <f t="shared" si="28"/>
        <v>0</v>
      </c>
      <c r="AK346" s="102" t="str">
        <f>+IF(AB346+AA346+AJ346&lt;=0, "NO COMPRADOR", +IF(AJ346&lt;=0, "SIN COMPRA "&amp;+UPPER(TEXT('DINAMICA ENERO 26'!$C$2,"mmm 'yy")), "COMPRADOR"))</f>
        <v>NO COMPRADOR</v>
      </c>
    </row>
    <row r="347" spans="1:37">
      <c r="A347" s="88" t="s">
        <v>85</v>
      </c>
      <c r="B347" s="89" t="s">
        <v>204</v>
      </c>
      <c r="C347" s="89" t="s">
        <v>52</v>
      </c>
      <c r="D347" s="110">
        <v>100089701</v>
      </c>
      <c r="E347" s="110" t="s">
        <v>58</v>
      </c>
      <c r="F347" s="89">
        <v>100079045</v>
      </c>
      <c r="G347" s="128" t="s">
        <v>428</v>
      </c>
      <c r="H347" s="73">
        <v>0</v>
      </c>
      <c r="I347" s="73">
        <v>0</v>
      </c>
      <c r="J347" s="73">
        <v>0</v>
      </c>
      <c r="K347" s="73">
        <v>0</v>
      </c>
      <c r="Q347" s="91">
        <v>0</v>
      </c>
      <c r="R347" s="129">
        <v>0</v>
      </c>
      <c r="S347" s="91">
        <v>0</v>
      </c>
      <c r="T347" s="129">
        <v>0</v>
      </c>
      <c r="U347" s="93">
        <v>0</v>
      </c>
      <c r="V347" s="129">
        <v>0</v>
      </c>
      <c r="W347" s="93">
        <v>0</v>
      </c>
      <c r="X347" s="129">
        <v>0</v>
      </c>
      <c r="Y347" s="93">
        <v>0</v>
      </c>
      <c r="Z347" s="129">
        <v>0</v>
      </c>
      <c r="AA347" s="155">
        <f t="shared" si="30"/>
        <v>0</v>
      </c>
      <c r="AB347" s="98">
        <f t="shared" si="30"/>
        <v>0</v>
      </c>
      <c r="AD347" s="97">
        <v>0</v>
      </c>
      <c r="AE347" s="92">
        <v>0</v>
      </c>
      <c r="AF347" s="98">
        <f t="shared" si="29"/>
        <v>0</v>
      </c>
      <c r="AG347" s="97">
        <v>0</v>
      </c>
      <c r="AH347" s="92">
        <v>0</v>
      </c>
      <c r="AI347" s="98">
        <f t="shared" si="27"/>
        <v>0</v>
      </c>
      <c r="AJ347" s="98">
        <f t="shared" si="28"/>
        <v>0</v>
      </c>
      <c r="AK347" s="102" t="str">
        <f>+IF(AB347+AA347+AJ347&lt;=0, "NO COMPRADOR", +IF(AJ347&lt;=0, "SIN COMPRA "&amp;+UPPER(TEXT('DINAMICA ENERO 26'!$C$2,"mmm 'yy")), "COMPRADOR"))</f>
        <v>NO COMPRADOR</v>
      </c>
    </row>
    <row r="348" spans="1:37">
      <c r="A348" s="88" t="s">
        <v>85</v>
      </c>
      <c r="B348" s="89" t="s">
        <v>204</v>
      </c>
      <c r="C348" s="89" t="s">
        <v>52</v>
      </c>
      <c r="D348" s="110">
        <v>100089701</v>
      </c>
      <c r="E348" s="110" t="s">
        <v>58</v>
      </c>
      <c r="F348" s="89">
        <v>100011496</v>
      </c>
      <c r="G348" s="128" t="s">
        <v>429</v>
      </c>
      <c r="H348" s="73">
        <v>0</v>
      </c>
      <c r="I348" s="73">
        <v>0</v>
      </c>
      <c r="J348" s="73">
        <v>0</v>
      </c>
      <c r="K348" s="73">
        <v>0</v>
      </c>
      <c r="Q348" s="91">
        <v>0</v>
      </c>
      <c r="R348" s="129">
        <v>0</v>
      </c>
      <c r="S348" s="91">
        <v>0</v>
      </c>
      <c r="T348" s="129">
        <v>0</v>
      </c>
      <c r="U348" s="93">
        <v>0</v>
      </c>
      <c r="V348" s="129">
        <v>0</v>
      </c>
      <c r="W348" s="93">
        <v>0</v>
      </c>
      <c r="X348" s="129">
        <v>0</v>
      </c>
      <c r="Y348" s="93">
        <v>0</v>
      </c>
      <c r="Z348" s="129">
        <v>0</v>
      </c>
      <c r="AA348" s="155">
        <f t="shared" si="30"/>
        <v>0</v>
      </c>
      <c r="AB348" s="98">
        <f t="shared" si="30"/>
        <v>0</v>
      </c>
      <c r="AD348" s="97">
        <v>0</v>
      </c>
      <c r="AE348" s="92">
        <v>0</v>
      </c>
      <c r="AF348" s="98">
        <f t="shared" si="29"/>
        <v>0</v>
      </c>
      <c r="AG348" s="97">
        <v>0</v>
      </c>
      <c r="AH348" s="92">
        <v>0</v>
      </c>
      <c r="AI348" s="98">
        <f t="shared" si="27"/>
        <v>0</v>
      </c>
      <c r="AJ348" s="98">
        <f t="shared" si="28"/>
        <v>0</v>
      </c>
      <c r="AK348" s="102" t="str">
        <f>+IF(AB348+AA348+AJ348&lt;=0, "NO COMPRADOR", +IF(AJ348&lt;=0, "SIN COMPRA "&amp;+UPPER(TEXT('DINAMICA ENERO 26'!$C$2,"mmm 'yy")), "COMPRADOR"))</f>
        <v>NO COMPRADOR</v>
      </c>
    </row>
    <row r="349" spans="1:37">
      <c r="A349" s="88" t="s">
        <v>85</v>
      </c>
      <c r="B349" s="89" t="s">
        <v>204</v>
      </c>
      <c r="C349" s="89" t="s">
        <v>52</v>
      </c>
      <c r="D349" s="110">
        <v>100073888</v>
      </c>
      <c r="E349" s="110" t="s">
        <v>55</v>
      </c>
      <c r="F349" s="89">
        <v>100001404</v>
      </c>
      <c r="G349" s="128" t="s">
        <v>430</v>
      </c>
      <c r="H349" s="73">
        <v>0</v>
      </c>
      <c r="I349" s="73">
        <v>0</v>
      </c>
      <c r="J349" s="73">
        <v>0</v>
      </c>
      <c r="K349" s="73">
        <v>0</v>
      </c>
      <c r="Q349" s="91">
        <v>0</v>
      </c>
      <c r="R349" s="129">
        <v>0</v>
      </c>
      <c r="S349" s="91">
        <v>0</v>
      </c>
      <c r="T349" s="129">
        <v>0</v>
      </c>
      <c r="U349" s="93">
        <v>0</v>
      </c>
      <c r="V349" s="129">
        <v>0</v>
      </c>
      <c r="W349" s="93">
        <v>0</v>
      </c>
      <c r="X349" s="129">
        <v>0</v>
      </c>
      <c r="Y349" s="93">
        <v>0</v>
      </c>
      <c r="Z349" s="129">
        <v>0</v>
      </c>
      <c r="AA349" s="155">
        <f t="shared" si="30"/>
        <v>0</v>
      </c>
      <c r="AB349" s="98">
        <f t="shared" si="30"/>
        <v>0</v>
      </c>
      <c r="AD349" s="97">
        <v>0</v>
      </c>
      <c r="AE349" s="92">
        <v>0</v>
      </c>
      <c r="AF349" s="98">
        <f t="shared" si="29"/>
        <v>0</v>
      </c>
      <c r="AG349" s="97">
        <v>0</v>
      </c>
      <c r="AH349" s="92">
        <v>0</v>
      </c>
      <c r="AI349" s="98">
        <f t="shared" si="27"/>
        <v>0</v>
      </c>
      <c r="AJ349" s="98">
        <f t="shared" si="28"/>
        <v>0</v>
      </c>
      <c r="AK349" s="102" t="str">
        <f>+IF(AB349+AA349+AJ349&lt;=0, "NO COMPRADOR", +IF(AJ349&lt;=0, "SIN COMPRA "&amp;+UPPER(TEXT('DINAMICA ENERO 26'!$C$2,"mmm 'yy")), "COMPRADOR"))</f>
        <v>NO COMPRADOR</v>
      </c>
    </row>
    <row r="350" spans="1:37">
      <c r="A350" s="88" t="s">
        <v>85</v>
      </c>
      <c r="B350" s="89" t="s">
        <v>204</v>
      </c>
      <c r="C350" s="89" t="s">
        <v>52</v>
      </c>
      <c r="D350" s="110">
        <v>100073888</v>
      </c>
      <c r="E350" s="110" t="s">
        <v>55</v>
      </c>
      <c r="F350" s="89">
        <v>100002253</v>
      </c>
      <c r="G350" s="128" t="s">
        <v>431</v>
      </c>
      <c r="H350" s="73">
        <v>0</v>
      </c>
      <c r="I350" s="73">
        <v>0</v>
      </c>
      <c r="J350" s="73">
        <v>0</v>
      </c>
      <c r="K350" s="73">
        <v>0</v>
      </c>
      <c r="Q350" s="91">
        <v>0</v>
      </c>
      <c r="R350" s="129">
        <v>0</v>
      </c>
      <c r="S350" s="91">
        <v>0</v>
      </c>
      <c r="T350" s="129">
        <v>0</v>
      </c>
      <c r="U350" s="93">
        <v>0</v>
      </c>
      <c r="V350" s="129">
        <v>0</v>
      </c>
      <c r="W350" s="93">
        <v>0</v>
      </c>
      <c r="X350" s="129">
        <v>0</v>
      </c>
      <c r="Y350" s="93">
        <v>0</v>
      </c>
      <c r="Z350" s="129">
        <v>0</v>
      </c>
      <c r="AA350" s="155">
        <f t="shared" si="30"/>
        <v>0</v>
      </c>
      <c r="AB350" s="98">
        <f t="shared" si="30"/>
        <v>0</v>
      </c>
      <c r="AD350" s="97">
        <v>0</v>
      </c>
      <c r="AE350" s="92">
        <v>0</v>
      </c>
      <c r="AF350" s="98">
        <f t="shared" si="29"/>
        <v>0</v>
      </c>
      <c r="AG350" s="97">
        <v>0</v>
      </c>
      <c r="AH350" s="92">
        <v>0</v>
      </c>
      <c r="AI350" s="98">
        <f t="shared" si="27"/>
        <v>0</v>
      </c>
      <c r="AJ350" s="98">
        <f t="shared" si="28"/>
        <v>0</v>
      </c>
      <c r="AK350" s="102" t="str">
        <f>+IF(AB350+AA350+AJ350&lt;=0, "NO COMPRADOR", +IF(AJ350&lt;=0, "SIN COMPRA "&amp;+UPPER(TEXT('DINAMICA ENERO 26'!$C$2,"mmm 'yy")), "COMPRADOR"))</f>
        <v>NO COMPRADOR</v>
      </c>
    </row>
    <row r="351" spans="1:37">
      <c r="A351" s="88" t="s">
        <v>85</v>
      </c>
      <c r="B351" s="89" t="s">
        <v>236</v>
      </c>
      <c r="C351" s="89" t="s">
        <v>68</v>
      </c>
      <c r="D351" s="110">
        <v>100031199</v>
      </c>
      <c r="E351" s="110" t="s">
        <v>69</v>
      </c>
      <c r="F351" s="89">
        <v>100089970</v>
      </c>
      <c r="G351" s="128" t="s">
        <v>432</v>
      </c>
      <c r="H351" s="73">
        <v>0</v>
      </c>
      <c r="I351" s="73">
        <v>0</v>
      </c>
      <c r="J351" s="73">
        <v>0</v>
      </c>
      <c r="K351" s="73">
        <v>0</v>
      </c>
      <c r="Q351" s="91">
        <v>0</v>
      </c>
      <c r="R351" s="129">
        <v>0</v>
      </c>
      <c r="S351" s="91">
        <v>0</v>
      </c>
      <c r="T351" s="129">
        <v>0</v>
      </c>
      <c r="U351" s="93">
        <v>0</v>
      </c>
      <c r="V351" s="129">
        <v>0</v>
      </c>
      <c r="W351" s="93">
        <v>0</v>
      </c>
      <c r="X351" s="129">
        <v>0</v>
      </c>
      <c r="Y351" s="93">
        <v>0</v>
      </c>
      <c r="Z351" s="129">
        <v>0</v>
      </c>
      <c r="AA351" s="155">
        <f t="shared" si="30"/>
        <v>0</v>
      </c>
      <c r="AB351" s="98">
        <f t="shared" si="30"/>
        <v>0</v>
      </c>
      <c r="AD351" s="97">
        <v>0</v>
      </c>
      <c r="AE351" s="92">
        <v>0</v>
      </c>
      <c r="AF351" s="98">
        <f t="shared" si="29"/>
        <v>0</v>
      </c>
      <c r="AG351" s="97">
        <v>0</v>
      </c>
      <c r="AH351" s="92">
        <v>0</v>
      </c>
      <c r="AI351" s="98">
        <f t="shared" si="27"/>
        <v>0</v>
      </c>
      <c r="AJ351" s="98">
        <f t="shared" si="28"/>
        <v>0</v>
      </c>
      <c r="AK351" s="102" t="str">
        <f>+IF(AB351+AA351+AJ351&lt;=0, "NO COMPRADOR", +IF(AJ351&lt;=0, "SIN COMPRA "&amp;+UPPER(TEXT('DINAMICA ENERO 26'!$C$2,"mmm 'yy")), "COMPRADOR"))</f>
        <v>NO COMPRADOR</v>
      </c>
    </row>
    <row r="352" spans="1:37">
      <c r="A352" s="88" t="s">
        <v>85</v>
      </c>
      <c r="B352" s="89" t="s">
        <v>257</v>
      </c>
      <c r="C352" s="89" t="s">
        <v>43</v>
      </c>
      <c r="D352" s="110">
        <v>100088690</v>
      </c>
      <c r="E352" s="110" t="s">
        <v>45</v>
      </c>
      <c r="F352" s="89">
        <v>100002208</v>
      </c>
      <c r="G352" s="128" t="s">
        <v>433</v>
      </c>
      <c r="H352" s="73">
        <v>0</v>
      </c>
      <c r="I352" s="73">
        <v>0</v>
      </c>
      <c r="J352" s="73">
        <v>0</v>
      </c>
      <c r="K352" s="73">
        <v>0</v>
      </c>
      <c r="Q352" s="91">
        <v>0</v>
      </c>
      <c r="R352" s="129">
        <v>0</v>
      </c>
      <c r="S352" s="91">
        <v>0</v>
      </c>
      <c r="T352" s="129">
        <v>0</v>
      </c>
      <c r="U352" s="93">
        <v>0</v>
      </c>
      <c r="V352" s="129">
        <v>0</v>
      </c>
      <c r="W352" s="93">
        <v>0</v>
      </c>
      <c r="X352" s="129">
        <v>0</v>
      </c>
      <c r="Y352" s="93">
        <v>0</v>
      </c>
      <c r="Z352" s="129">
        <v>0</v>
      </c>
      <c r="AA352" s="155">
        <f t="shared" si="30"/>
        <v>0</v>
      </c>
      <c r="AB352" s="98">
        <f t="shared" si="30"/>
        <v>0</v>
      </c>
      <c r="AD352" s="97">
        <v>0</v>
      </c>
      <c r="AE352" s="92">
        <v>0</v>
      </c>
      <c r="AF352" s="98">
        <f t="shared" si="29"/>
        <v>0</v>
      </c>
      <c r="AG352" s="97">
        <v>0</v>
      </c>
      <c r="AH352" s="92">
        <v>0</v>
      </c>
      <c r="AI352" s="98">
        <f t="shared" si="27"/>
        <v>0</v>
      </c>
      <c r="AJ352" s="98">
        <f t="shared" si="28"/>
        <v>0</v>
      </c>
      <c r="AK352" s="102" t="str">
        <f>+IF(AB352+AA352+AJ352&lt;=0, "NO COMPRADOR", +IF(AJ352&lt;=0, "SIN COMPRA "&amp;+UPPER(TEXT('DINAMICA ENERO 26'!$C$2,"mmm 'yy")), "COMPRADOR"))</f>
        <v>NO COMPRADOR</v>
      </c>
    </row>
    <row r="353" spans="1:37">
      <c r="A353" s="88" t="s">
        <v>85</v>
      </c>
      <c r="B353" s="89" t="s">
        <v>257</v>
      </c>
      <c r="C353" s="89" t="s">
        <v>43</v>
      </c>
      <c r="D353" s="110">
        <v>100088690</v>
      </c>
      <c r="E353" s="110" t="s">
        <v>45</v>
      </c>
      <c r="F353" s="89">
        <v>100001513</v>
      </c>
      <c r="G353" s="128" t="s">
        <v>287</v>
      </c>
      <c r="H353" s="73">
        <v>0</v>
      </c>
      <c r="I353" s="73">
        <v>0</v>
      </c>
      <c r="J353" s="73">
        <v>0</v>
      </c>
      <c r="K353" s="73">
        <v>0</v>
      </c>
      <c r="Q353" s="91">
        <v>0</v>
      </c>
      <c r="R353" s="129">
        <v>0</v>
      </c>
      <c r="S353" s="91">
        <v>0</v>
      </c>
      <c r="T353" s="129">
        <v>0</v>
      </c>
      <c r="U353" s="93">
        <v>0</v>
      </c>
      <c r="V353" s="129">
        <v>0</v>
      </c>
      <c r="W353" s="93">
        <v>0</v>
      </c>
      <c r="X353" s="129">
        <v>0</v>
      </c>
      <c r="Y353" s="93">
        <v>14.399999999999999</v>
      </c>
      <c r="Z353" s="129">
        <v>0</v>
      </c>
      <c r="AA353" s="155">
        <f t="shared" si="30"/>
        <v>4.8</v>
      </c>
      <c r="AB353" s="98">
        <f t="shared" si="30"/>
        <v>0</v>
      </c>
      <c r="AD353" s="97">
        <v>0</v>
      </c>
      <c r="AE353" s="92">
        <v>0</v>
      </c>
      <c r="AF353" s="98">
        <f t="shared" si="29"/>
        <v>0</v>
      </c>
      <c r="AG353" s="97">
        <v>0</v>
      </c>
      <c r="AH353" s="92">
        <v>0</v>
      </c>
      <c r="AI353" s="98">
        <f t="shared" si="27"/>
        <v>0</v>
      </c>
      <c r="AJ353" s="98">
        <f t="shared" si="28"/>
        <v>0</v>
      </c>
      <c r="AK353" s="102" t="str">
        <f>+IF(AB353+AA353+AJ353&lt;=0, "NO COMPRADOR", +IF(AJ353&lt;=0, "SIN COMPRA "&amp;+UPPER(TEXT('DINAMICA ENERO 26'!$C$2,"mmm 'yy")), "COMPRADOR"))</f>
        <v>SIN COMPRA FEB '26</v>
      </c>
    </row>
    <row r="354" spans="1:37">
      <c r="A354" s="88" t="s">
        <v>85</v>
      </c>
      <c r="B354" s="89" t="s">
        <v>257</v>
      </c>
      <c r="C354" s="89" t="s">
        <v>43</v>
      </c>
      <c r="D354" s="110">
        <v>100088690</v>
      </c>
      <c r="E354" s="110" t="s">
        <v>45</v>
      </c>
      <c r="F354" s="89">
        <v>100015740</v>
      </c>
      <c r="G354" s="128" t="s">
        <v>434</v>
      </c>
      <c r="H354" s="73">
        <v>0</v>
      </c>
      <c r="I354" s="73">
        <v>0</v>
      </c>
      <c r="J354" s="73">
        <v>0</v>
      </c>
      <c r="K354" s="73">
        <v>0</v>
      </c>
      <c r="Q354" s="91">
        <v>0</v>
      </c>
      <c r="R354" s="129">
        <v>0</v>
      </c>
      <c r="S354" s="91">
        <v>0</v>
      </c>
      <c r="T354" s="129">
        <v>0</v>
      </c>
      <c r="U354" s="93">
        <v>0</v>
      </c>
      <c r="V354" s="129">
        <v>0</v>
      </c>
      <c r="W354" s="93">
        <v>0</v>
      </c>
      <c r="X354" s="129">
        <v>0</v>
      </c>
      <c r="Y354" s="93">
        <v>0</v>
      </c>
      <c r="Z354" s="129">
        <v>0</v>
      </c>
      <c r="AA354" s="155">
        <f t="shared" si="30"/>
        <v>0</v>
      </c>
      <c r="AB354" s="98">
        <f t="shared" si="30"/>
        <v>0</v>
      </c>
      <c r="AD354" s="97">
        <v>0</v>
      </c>
      <c r="AE354" s="92">
        <v>0</v>
      </c>
      <c r="AF354" s="98">
        <f t="shared" si="29"/>
        <v>0</v>
      </c>
      <c r="AG354" s="97">
        <v>0</v>
      </c>
      <c r="AH354" s="92">
        <v>0</v>
      </c>
      <c r="AI354" s="98">
        <f t="shared" si="27"/>
        <v>0</v>
      </c>
      <c r="AJ354" s="98">
        <f t="shared" si="28"/>
        <v>0</v>
      </c>
      <c r="AK354" s="102" t="str">
        <f>+IF(AB354+AA354+AJ354&lt;=0, "NO COMPRADOR", +IF(AJ354&lt;=0, "SIN COMPRA "&amp;+UPPER(TEXT('DINAMICA ENERO 26'!$C$2,"mmm 'yy")), "COMPRADOR"))</f>
        <v>NO COMPRADOR</v>
      </c>
    </row>
    <row r="355" spans="1:37">
      <c r="A355" s="88" t="s">
        <v>85</v>
      </c>
      <c r="B355" s="89" t="s">
        <v>257</v>
      </c>
      <c r="C355" s="89" t="s">
        <v>43</v>
      </c>
      <c r="D355" s="110">
        <v>100089856</v>
      </c>
      <c r="E355" s="110" t="s">
        <v>49</v>
      </c>
      <c r="F355" s="89">
        <v>100013280</v>
      </c>
      <c r="G355" s="128" t="s">
        <v>435</v>
      </c>
      <c r="H355" s="73">
        <v>0</v>
      </c>
      <c r="I355" s="73">
        <v>0</v>
      </c>
      <c r="J355" s="73">
        <v>0</v>
      </c>
      <c r="K355" s="73">
        <v>0</v>
      </c>
      <c r="Q355" s="91">
        <v>0</v>
      </c>
      <c r="R355" s="129">
        <v>0</v>
      </c>
      <c r="S355" s="91">
        <v>0</v>
      </c>
      <c r="T355" s="129">
        <v>0</v>
      </c>
      <c r="U355" s="93">
        <v>0</v>
      </c>
      <c r="V355" s="129">
        <v>0</v>
      </c>
      <c r="W355" s="93">
        <v>0</v>
      </c>
      <c r="X355" s="129">
        <v>0</v>
      </c>
      <c r="Y355" s="93">
        <v>0</v>
      </c>
      <c r="Z355" s="129">
        <v>0</v>
      </c>
      <c r="AA355" s="155">
        <f t="shared" si="30"/>
        <v>0</v>
      </c>
      <c r="AB355" s="98">
        <f t="shared" si="30"/>
        <v>0</v>
      </c>
      <c r="AD355" s="97">
        <v>0</v>
      </c>
      <c r="AE355" s="92">
        <v>0</v>
      </c>
      <c r="AF355" s="98">
        <f t="shared" si="29"/>
        <v>0</v>
      </c>
      <c r="AG355" s="97">
        <v>0</v>
      </c>
      <c r="AH355" s="92">
        <v>0</v>
      </c>
      <c r="AI355" s="98">
        <f t="shared" si="27"/>
        <v>0</v>
      </c>
      <c r="AJ355" s="98">
        <f t="shared" si="28"/>
        <v>0</v>
      </c>
      <c r="AK355" s="102" t="str">
        <f>+IF(AB355+AA355+AJ355&lt;=0, "NO COMPRADOR", +IF(AJ355&lt;=0, "SIN COMPRA "&amp;+UPPER(TEXT('DINAMICA ENERO 26'!$C$2,"mmm 'yy")), "COMPRADOR"))</f>
        <v>NO COMPRADOR</v>
      </c>
    </row>
    <row r="356" spans="1:37">
      <c r="A356" s="88" t="s">
        <v>85</v>
      </c>
      <c r="B356" s="89" t="s">
        <v>257</v>
      </c>
      <c r="C356" s="89" t="s">
        <v>43</v>
      </c>
      <c r="D356" s="110">
        <v>100089856</v>
      </c>
      <c r="E356" s="110" t="s">
        <v>49</v>
      </c>
      <c r="F356" s="89">
        <v>100081920</v>
      </c>
      <c r="G356" s="128" t="s">
        <v>436</v>
      </c>
      <c r="H356" s="73">
        <v>0</v>
      </c>
      <c r="I356" s="73">
        <v>0</v>
      </c>
      <c r="J356" s="73">
        <v>0</v>
      </c>
      <c r="K356" s="73">
        <v>0</v>
      </c>
      <c r="Q356" s="91">
        <v>0</v>
      </c>
      <c r="R356" s="129">
        <v>0</v>
      </c>
      <c r="S356" s="91">
        <v>0</v>
      </c>
      <c r="T356" s="129">
        <v>0</v>
      </c>
      <c r="U356" s="93">
        <v>0</v>
      </c>
      <c r="V356" s="129">
        <v>0</v>
      </c>
      <c r="W356" s="93">
        <v>0</v>
      </c>
      <c r="X356" s="129">
        <v>0</v>
      </c>
      <c r="Y356" s="93">
        <v>0</v>
      </c>
      <c r="Z356" s="129">
        <v>0</v>
      </c>
      <c r="AA356" s="155">
        <f t="shared" si="30"/>
        <v>0</v>
      </c>
      <c r="AB356" s="98">
        <f t="shared" si="30"/>
        <v>0</v>
      </c>
      <c r="AD356" s="97">
        <v>0</v>
      </c>
      <c r="AE356" s="92">
        <v>0</v>
      </c>
      <c r="AF356" s="98">
        <f t="shared" si="29"/>
        <v>0</v>
      </c>
      <c r="AG356" s="97">
        <v>0</v>
      </c>
      <c r="AH356" s="92">
        <v>0</v>
      </c>
      <c r="AI356" s="98">
        <f t="shared" si="27"/>
        <v>0</v>
      </c>
      <c r="AJ356" s="98">
        <f t="shared" si="28"/>
        <v>0</v>
      </c>
      <c r="AK356" s="102" t="str">
        <f>+IF(AB356+AA356+AJ356&lt;=0, "NO COMPRADOR", +IF(AJ356&lt;=0, "SIN COMPRA "&amp;+UPPER(TEXT('DINAMICA ENERO 26'!$C$2,"mmm 'yy")), "COMPRADOR"))</f>
        <v>NO COMPRADOR</v>
      </c>
    </row>
    <row r="357" spans="1:37">
      <c r="A357" s="88" t="s">
        <v>85</v>
      </c>
      <c r="B357" s="89" t="s">
        <v>257</v>
      </c>
      <c r="C357" s="89" t="s">
        <v>43</v>
      </c>
      <c r="D357" s="110">
        <v>100089856</v>
      </c>
      <c r="E357" s="110" t="s">
        <v>49</v>
      </c>
      <c r="F357" s="89">
        <v>100087806</v>
      </c>
      <c r="G357" s="128" t="s">
        <v>437</v>
      </c>
      <c r="H357" s="73">
        <v>0</v>
      </c>
      <c r="I357" s="73">
        <v>0</v>
      </c>
      <c r="J357" s="73">
        <v>0</v>
      </c>
      <c r="K357" s="73">
        <v>0</v>
      </c>
      <c r="Q357" s="91">
        <v>0</v>
      </c>
      <c r="R357" s="129">
        <v>0</v>
      </c>
      <c r="S357" s="91">
        <v>0</v>
      </c>
      <c r="T357" s="129">
        <v>0</v>
      </c>
      <c r="U357" s="93">
        <v>0</v>
      </c>
      <c r="V357" s="129">
        <v>0</v>
      </c>
      <c r="W357" s="93">
        <v>0</v>
      </c>
      <c r="X357" s="129">
        <v>0</v>
      </c>
      <c r="Y357" s="93">
        <v>0</v>
      </c>
      <c r="Z357" s="129">
        <v>0</v>
      </c>
      <c r="AA357" s="155">
        <f t="shared" si="30"/>
        <v>0</v>
      </c>
      <c r="AB357" s="98">
        <f t="shared" si="30"/>
        <v>0</v>
      </c>
      <c r="AD357" s="97">
        <v>0</v>
      </c>
      <c r="AE357" s="92">
        <v>0</v>
      </c>
      <c r="AF357" s="98">
        <f t="shared" si="29"/>
        <v>0</v>
      </c>
      <c r="AG357" s="97">
        <v>0</v>
      </c>
      <c r="AH357" s="92">
        <v>0</v>
      </c>
      <c r="AI357" s="98">
        <f t="shared" si="27"/>
        <v>0</v>
      </c>
      <c r="AJ357" s="98">
        <f t="shared" si="28"/>
        <v>0</v>
      </c>
      <c r="AK357" s="102" t="str">
        <f>+IF(AB357+AA357+AJ357&lt;=0, "NO COMPRADOR", +IF(AJ357&lt;=0, "SIN COMPRA "&amp;+UPPER(TEXT('DINAMICA ENERO 26'!$C$2,"mmm 'yy")), "COMPRADOR"))</f>
        <v>NO COMPRADOR</v>
      </c>
    </row>
    <row r="358" spans="1:37">
      <c r="A358" s="88" t="s">
        <v>85</v>
      </c>
      <c r="B358" s="89" t="s">
        <v>257</v>
      </c>
      <c r="C358" s="89" t="s">
        <v>43</v>
      </c>
      <c r="D358" s="110">
        <v>100089856</v>
      </c>
      <c r="E358" s="110" t="s">
        <v>49</v>
      </c>
      <c r="F358" s="89">
        <v>100061574</v>
      </c>
      <c r="G358" s="128" t="s">
        <v>438</v>
      </c>
      <c r="H358" s="73">
        <v>0</v>
      </c>
      <c r="I358" s="73">
        <v>0</v>
      </c>
      <c r="J358" s="73">
        <v>0</v>
      </c>
      <c r="K358" s="73">
        <v>0</v>
      </c>
      <c r="Q358" s="91">
        <v>0</v>
      </c>
      <c r="R358" s="129">
        <v>0</v>
      </c>
      <c r="S358" s="91">
        <v>0</v>
      </c>
      <c r="T358" s="129">
        <v>0</v>
      </c>
      <c r="U358" s="93">
        <v>0</v>
      </c>
      <c r="V358" s="129">
        <v>0</v>
      </c>
      <c r="W358" s="93">
        <v>0</v>
      </c>
      <c r="X358" s="129">
        <v>0</v>
      </c>
      <c r="Y358" s="93">
        <v>0</v>
      </c>
      <c r="Z358" s="129">
        <v>0</v>
      </c>
      <c r="AA358" s="155">
        <f t="shared" si="30"/>
        <v>0</v>
      </c>
      <c r="AB358" s="98">
        <f t="shared" si="30"/>
        <v>0</v>
      </c>
      <c r="AD358" s="97">
        <v>0</v>
      </c>
      <c r="AE358" s="92">
        <v>0</v>
      </c>
      <c r="AF358" s="98">
        <f t="shared" si="29"/>
        <v>0</v>
      </c>
      <c r="AG358" s="97">
        <v>0</v>
      </c>
      <c r="AH358" s="92">
        <v>0</v>
      </c>
      <c r="AI358" s="98">
        <f t="shared" si="27"/>
        <v>0</v>
      </c>
      <c r="AJ358" s="98">
        <f t="shared" si="28"/>
        <v>0</v>
      </c>
      <c r="AK358" s="102" t="str">
        <f>+IF(AB358+AA358+AJ358&lt;=0, "NO COMPRADOR", +IF(AJ358&lt;=0, "SIN COMPRA "&amp;+UPPER(TEXT('DINAMICA ENERO 26'!$C$2,"mmm 'yy")), "COMPRADOR"))</f>
        <v>NO COMPRADOR</v>
      </c>
    </row>
    <row r="359" spans="1:37">
      <c r="A359" s="88" t="s">
        <v>85</v>
      </c>
      <c r="B359" s="89" t="s">
        <v>257</v>
      </c>
      <c r="C359" s="89" t="s">
        <v>43</v>
      </c>
      <c r="D359" s="110">
        <v>100089856</v>
      </c>
      <c r="E359" s="110" t="s">
        <v>49</v>
      </c>
      <c r="F359" s="89">
        <v>100005860</v>
      </c>
      <c r="G359" s="128" t="s">
        <v>439</v>
      </c>
      <c r="H359" s="73">
        <v>0</v>
      </c>
      <c r="I359" s="73">
        <v>0</v>
      </c>
      <c r="J359" s="73">
        <v>0</v>
      </c>
      <c r="K359" s="73">
        <v>0</v>
      </c>
      <c r="Q359" s="91">
        <v>0</v>
      </c>
      <c r="R359" s="129">
        <v>0</v>
      </c>
      <c r="S359" s="91">
        <v>0</v>
      </c>
      <c r="T359" s="129">
        <v>0</v>
      </c>
      <c r="U359" s="93">
        <v>0</v>
      </c>
      <c r="V359" s="129">
        <v>0</v>
      </c>
      <c r="W359" s="93">
        <v>0</v>
      </c>
      <c r="X359" s="129">
        <v>0</v>
      </c>
      <c r="Y359" s="93">
        <v>0</v>
      </c>
      <c r="Z359" s="129">
        <v>0</v>
      </c>
      <c r="AA359" s="155">
        <f t="shared" si="30"/>
        <v>0</v>
      </c>
      <c r="AB359" s="98">
        <f t="shared" si="30"/>
        <v>0</v>
      </c>
      <c r="AD359" s="97">
        <v>0</v>
      </c>
      <c r="AE359" s="92">
        <v>0</v>
      </c>
      <c r="AF359" s="98">
        <f t="shared" si="29"/>
        <v>0</v>
      </c>
      <c r="AG359" s="97">
        <v>0</v>
      </c>
      <c r="AH359" s="92">
        <v>0</v>
      </c>
      <c r="AI359" s="98">
        <f t="shared" ref="AI359:AI386" si="31">+AG359+AH359</f>
        <v>0</v>
      </c>
      <c r="AJ359" s="98">
        <f t="shared" si="28"/>
        <v>0</v>
      </c>
      <c r="AK359" s="102" t="str">
        <f>+IF(AB359+AA359+AJ359&lt;=0, "NO COMPRADOR", +IF(AJ359&lt;=0, "SIN COMPRA "&amp;+UPPER(TEXT('DINAMICA ENERO 26'!$C$2,"mmm 'yy")), "COMPRADOR"))</f>
        <v>NO COMPRADOR</v>
      </c>
    </row>
    <row r="360" spans="1:37">
      <c r="A360" s="88" t="s">
        <v>85</v>
      </c>
      <c r="B360" s="89" t="s">
        <v>257</v>
      </c>
      <c r="C360" s="89" t="s">
        <v>43</v>
      </c>
      <c r="D360" s="103">
        <v>100067806</v>
      </c>
      <c r="E360" s="110" t="s">
        <v>50</v>
      </c>
      <c r="F360" s="89">
        <v>100086144</v>
      </c>
      <c r="G360" s="128" t="s">
        <v>440</v>
      </c>
      <c r="H360" s="73">
        <v>0</v>
      </c>
      <c r="I360" s="73">
        <v>0</v>
      </c>
      <c r="J360" s="73">
        <v>0</v>
      </c>
      <c r="K360" s="73">
        <v>0</v>
      </c>
      <c r="Q360" s="91">
        <v>0</v>
      </c>
      <c r="R360" s="129">
        <v>0</v>
      </c>
      <c r="S360" s="91">
        <v>0</v>
      </c>
      <c r="T360" s="129">
        <v>0</v>
      </c>
      <c r="U360" s="93">
        <v>0</v>
      </c>
      <c r="V360" s="129">
        <v>0</v>
      </c>
      <c r="W360" s="93">
        <v>0</v>
      </c>
      <c r="X360" s="129">
        <v>0</v>
      </c>
      <c r="Y360" s="93">
        <v>0</v>
      </c>
      <c r="Z360" s="129">
        <v>0</v>
      </c>
      <c r="AA360" s="155">
        <f t="shared" si="30"/>
        <v>0</v>
      </c>
      <c r="AB360" s="98">
        <f t="shared" si="30"/>
        <v>0</v>
      </c>
      <c r="AD360" s="97">
        <v>0</v>
      </c>
      <c r="AE360" s="92">
        <v>0</v>
      </c>
      <c r="AF360" s="98">
        <f t="shared" si="29"/>
        <v>0</v>
      </c>
      <c r="AG360" s="97">
        <v>0</v>
      </c>
      <c r="AH360" s="92">
        <v>0</v>
      </c>
      <c r="AI360" s="98">
        <f t="shared" si="31"/>
        <v>0</v>
      </c>
      <c r="AJ360" s="98">
        <f t="shared" si="28"/>
        <v>0</v>
      </c>
      <c r="AK360" s="102" t="str">
        <f>+IF(AB360+AA360+AJ360&lt;=0, "NO COMPRADOR", +IF(AJ360&lt;=0, "SIN COMPRA "&amp;+UPPER(TEXT('DINAMICA ENERO 26'!$C$2,"mmm 'yy")), "COMPRADOR"))</f>
        <v>NO COMPRADOR</v>
      </c>
    </row>
    <row r="361" spans="1:37">
      <c r="A361" s="88" t="s">
        <v>85</v>
      </c>
      <c r="B361" s="89" t="s">
        <v>257</v>
      </c>
      <c r="C361" s="89" t="s">
        <v>43</v>
      </c>
      <c r="D361" s="103">
        <v>100067806</v>
      </c>
      <c r="E361" s="110" t="s">
        <v>50</v>
      </c>
      <c r="F361" s="89">
        <v>100001431</v>
      </c>
      <c r="G361" s="128" t="s">
        <v>441</v>
      </c>
      <c r="H361" s="73">
        <v>0</v>
      </c>
      <c r="I361" s="73">
        <v>0</v>
      </c>
      <c r="J361" s="73">
        <v>0</v>
      </c>
      <c r="K361" s="73">
        <v>0</v>
      </c>
      <c r="Q361" s="91">
        <v>0</v>
      </c>
      <c r="R361" s="129">
        <v>0</v>
      </c>
      <c r="S361" s="91">
        <v>0</v>
      </c>
      <c r="T361" s="129">
        <v>0</v>
      </c>
      <c r="U361" s="93">
        <v>0</v>
      </c>
      <c r="V361" s="129">
        <v>0</v>
      </c>
      <c r="W361" s="93">
        <v>0</v>
      </c>
      <c r="X361" s="129">
        <v>0</v>
      </c>
      <c r="Y361" s="93">
        <v>0</v>
      </c>
      <c r="Z361" s="129">
        <v>0</v>
      </c>
      <c r="AA361" s="155">
        <f t="shared" si="30"/>
        <v>0</v>
      </c>
      <c r="AB361" s="98">
        <f t="shared" si="30"/>
        <v>0</v>
      </c>
      <c r="AD361" s="97">
        <v>0</v>
      </c>
      <c r="AE361" s="92">
        <v>0</v>
      </c>
      <c r="AF361" s="98">
        <f t="shared" si="29"/>
        <v>0</v>
      </c>
      <c r="AG361" s="97">
        <v>0</v>
      </c>
      <c r="AH361" s="92">
        <v>0</v>
      </c>
      <c r="AI361" s="98">
        <f t="shared" si="31"/>
        <v>0</v>
      </c>
      <c r="AJ361" s="98">
        <f t="shared" si="28"/>
        <v>0</v>
      </c>
      <c r="AK361" s="102" t="str">
        <f>+IF(AB361+AA361+AJ361&lt;=0, "NO COMPRADOR", +IF(AJ361&lt;=0, "SIN COMPRA "&amp;+UPPER(TEXT('DINAMICA ENERO 26'!$C$2,"mmm 'yy")), "COMPRADOR"))</f>
        <v>NO COMPRADOR</v>
      </c>
    </row>
    <row r="362" spans="1:37">
      <c r="A362" s="88" t="s">
        <v>85</v>
      </c>
      <c r="B362" s="89" t="s">
        <v>315</v>
      </c>
      <c r="C362" s="89" t="s">
        <v>43</v>
      </c>
      <c r="D362" s="110">
        <v>100063546</v>
      </c>
      <c r="E362" s="110" t="s">
        <v>46</v>
      </c>
      <c r="F362" s="89">
        <v>100083281</v>
      </c>
      <c r="G362" s="128" t="s">
        <v>442</v>
      </c>
      <c r="H362" s="73">
        <v>0</v>
      </c>
      <c r="I362" s="73">
        <v>0</v>
      </c>
      <c r="J362" s="73">
        <v>0</v>
      </c>
      <c r="K362" s="73">
        <v>0</v>
      </c>
      <c r="Q362" s="91">
        <v>0</v>
      </c>
      <c r="R362" s="129">
        <v>0</v>
      </c>
      <c r="S362" s="91">
        <v>0</v>
      </c>
      <c r="T362" s="129">
        <v>0</v>
      </c>
      <c r="U362" s="93">
        <v>0</v>
      </c>
      <c r="V362" s="129">
        <v>0</v>
      </c>
      <c r="W362" s="93">
        <v>0</v>
      </c>
      <c r="X362" s="129">
        <v>0</v>
      </c>
      <c r="Y362" s="93">
        <v>0</v>
      </c>
      <c r="Z362" s="129">
        <v>0</v>
      </c>
      <c r="AA362" s="155">
        <f t="shared" si="30"/>
        <v>0</v>
      </c>
      <c r="AB362" s="98">
        <f t="shared" si="30"/>
        <v>0</v>
      </c>
      <c r="AD362" s="97">
        <v>0</v>
      </c>
      <c r="AE362" s="92">
        <v>0</v>
      </c>
      <c r="AF362" s="98">
        <f t="shared" si="29"/>
        <v>0</v>
      </c>
      <c r="AG362" s="97">
        <v>0</v>
      </c>
      <c r="AH362" s="92">
        <v>0</v>
      </c>
      <c r="AI362" s="98">
        <f t="shared" si="31"/>
        <v>0</v>
      </c>
      <c r="AJ362" s="98">
        <f t="shared" si="28"/>
        <v>0</v>
      </c>
      <c r="AK362" s="102" t="str">
        <f>+IF(AB362+AA362+AJ362&lt;=0, "NO COMPRADOR", +IF(AJ362&lt;=0, "SIN COMPRA "&amp;+UPPER(TEXT('DINAMICA ENERO 26'!$C$2,"mmm 'yy")), "COMPRADOR"))</f>
        <v>NO COMPRADOR</v>
      </c>
    </row>
    <row r="363" spans="1:37">
      <c r="A363" s="88" t="s">
        <v>85</v>
      </c>
      <c r="B363" s="89" t="s">
        <v>351</v>
      </c>
      <c r="C363" s="89" t="s">
        <v>43</v>
      </c>
      <c r="D363" s="110">
        <v>100070275</v>
      </c>
      <c r="E363" s="110" t="s">
        <v>47</v>
      </c>
      <c r="F363" s="89">
        <v>100086676</v>
      </c>
      <c r="G363" s="128" t="s">
        <v>443</v>
      </c>
      <c r="H363" s="73">
        <v>0</v>
      </c>
      <c r="I363" s="73">
        <v>0</v>
      </c>
      <c r="J363" s="73">
        <v>0</v>
      </c>
      <c r="K363" s="73">
        <v>0</v>
      </c>
      <c r="Q363" s="91">
        <v>0</v>
      </c>
      <c r="R363" s="129">
        <v>0</v>
      </c>
      <c r="S363" s="91">
        <v>0</v>
      </c>
      <c r="T363" s="129">
        <v>0</v>
      </c>
      <c r="U363" s="93">
        <v>0</v>
      </c>
      <c r="V363" s="129">
        <v>0</v>
      </c>
      <c r="W363" s="93">
        <v>0</v>
      </c>
      <c r="X363" s="129">
        <v>0</v>
      </c>
      <c r="Y363" s="93">
        <v>0</v>
      </c>
      <c r="Z363" s="129">
        <v>0</v>
      </c>
      <c r="AA363" s="155">
        <f t="shared" si="30"/>
        <v>0</v>
      </c>
      <c r="AB363" s="98">
        <f t="shared" si="30"/>
        <v>0</v>
      </c>
      <c r="AD363" s="97">
        <v>0</v>
      </c>
      <c r="AE363" s="92">
        <v>0</v>
      </c>
      <c r="AF363" s="98">
        <f t="shared" si="29"/>
        <v>0</v>
      </c>
      <c r="AG363" s="97">
        <v>0</v>
      </c>
      <c r="AH363" s="92">
        <v>0</v>
      </c>
      <c r="AI363" s="98">
        <f t="shared" si="31"/>
        <v>0</v>
      </c>
      <c r="AJ363" s="98">
        <f t="shared" si="28"/>
        <v>0</v>
      </c>
      <c r="AK363" s="102" t="str">
        <f>+IF(AB363+AA363+AJ363&lt;=0, "NO COMPRADOR", +IF(AJ363&lt;=0, "SIN COMPRA "&amp;+UPPER(TEXT('DINAMICA ENERO 26'!$C$2,"mmm 'yy")), "COMPRADOR"))</f>
        <v>NO COMPRADOR</v>
      </c>
    </row>
    <row r="364" spans="1:37">
      <c r="A364" s="88" t="s">
        <v>85</v>
      </c>
      <c r="B364" s="89" t="s">
        <v>351</v>
      </c>
      <c r="C364" s="89" t="s">
        <v>43</v>
      </c>
      <c r="D364" s="110">
        <v>100070275</v>
      </c>
      <c r="E364" s="110" t="s">
        <v>47</v>
      </c>
      <c r="F364" s="89">
        <v>100001521</v>
      </c>
      <c r="G364" s="128" t="s">
        <v>444</v>
      </c>
      <c r="H364" s="73">
        <v>0</v>
      </c>
      <c r="I364" s="73">
        <v>0</v>
      </c>
      <c r="J364" s="73">
        <v>0</v>
      </c>
      <c r="K364" s="73">
        <v>0</v>
      </c>
      <c r="Q364" s="91">
        <v>0</v>
      </c>
      <c r="R364" s="129">
        <v>0</v>
      </c>
      <c r="S364" s="91">
        <v>0</v>
      </c>
      <c r="T364" s="129">
        <v>0</v>
      </c>
      <c r="U364" s="93">
        <v>0</v>
      </c>
      <c r="V364" s="129">
        <v>0</v>
      </c>
      <c r="W364" s="93">
        <v>0</v>
      </c>
      <c r="X364" s="129">
        <v>0</v>
      </c>
      <c r="Y364" s="93">
        <v>0</v>
      </c>
      <c r="Z364" s="129">
        <v>0</v>
      </c>
      <c r="AA364" s="155">
        <f t="shared" si="30"/>
        <v>0</v>
      </c>
      <c r="AB364" s="98">
        <f t="shared" si="30"/>
        <v>0</v>
      </c>
      <c r="AD364" s="97">
        <v>0</v>
      </c>
      <c r="AE364" s="92">
        <v>0</v>
      </c>
      <c r="AF364" s="98">
        <f t="shared" si="29"/>
        <v>0</v>
      </c>
      <c r="AG364" s="97">
        <v>0</v>
      </c>
      <c r="AH364" s="92">
        <v>0</v>
      </c>
      <c r="AI364" s="98">
        <f t="shared" si="31"/>
        <v>0</v>
      </c>
      <c r="AJ364" s="98">
        <f t="shared" si="28"/>
        <v>0</v>
      </c>
      <c r="AK364" s="102" t="str">
        <f>+IF(AB364+AA364+AJ364&lt;=0, "NO COMPRADOR", +IF(AJ364&lt;=0, "SIN COMPRA "&amp;+UPPER(TEXT('DINAMICA ENERO 26'!$C$2,"mmm 'yy")), "COMPRADOR"))</f>
        <v>NO COMPRADOR</v>
      </c>
    </row>
    <row r="365" spans="1:37">
      <c r="A365" s="88" t="s">
        <v>85</v>
      </c>
      <c r="B365" s="89" t="s">
        <v>351</v>
      </c>
      <c r="C365" s="89" t="s">
        <v>43</v>
      </c>
      <c r="D365" s="110">
        <v>100070276</v>
      </c>
      <c r="E365" s="110" t="s">
        <v>47</v>
      </c>
      <c r="F365" s="89">
        <v>100088142</v>
      </c>
      <c r="G365" s="128" t="s">
        <v>445</v>
      </c>
      <c r="H365" s="73">
        <v>0</v>
      </c>
      <c r="I365" s="73">
        <v>0</v>
      </c>
      <c r="J365" s="73">
        <v>0</v>
      </c>
      <c r="K365" s="73">
        <v>0</v>
      </c>
      <c r="Q365" s="91">
        <v>0</v>
      </c>
      <c r="R365" s="129">
        <v>0</v>
      </c>
      <c r="S365" s="91">
        <v>0</v>
      </c>
      <c r="T365" s="129">
        <v>0</v>
      </c>
      <c r="U365" s="93">
        <v>0</v>
      </c>
      <c r="V365" s="129">
        <v>0</v>
      </c>
      <c r="W365" s="93">
        <v>0</v>
      </c>
      <c r="X365" s="129">
        <v>0</v>
      </c>
      <c r="Y365" s="93">
        <v>0</v>
      </c>
      <c r="Z365" s="129">
        <v>0</v>
      </c>
      <c r="AA365" s="155">
        <f t="shared" si="30"/>
        <v>0</v>
      </c>
      <c r="AB365" s="98">
        <f t="shared" si="30"/>
        <v>0</v>
      </c>
      <c r="AD365" s="97">
        <v>0</v>
      </c>
      <c r="AE365" s="92">
        <v>0</v>
      </c>
      <c r="AF365" s="98">
        <f t="shared" si="29"/>
        <v>0</v>
      </c>
      <c r="AG365" s="97">
        <v>0</v>
      </c>
      <c r="AH365" s="92">
        <v>0</v>
      </c>
      <c r="AI365" s="98">
        <f t="shared" si="31"/>
        <v>0</v>
      </c>
      <c r="AJ365" s="98">
        <f t="shared" si="28"/>
        <v>0</v>
      </c>
      <c r="AK365" s="102" t="str">
        <f>+IF(AB365+AA365+AJ365&lt;=0, "NO COMPRADOR", +IF(AJ365&lt;=0, "SIN COMPRA "&amp;+UPPER(TEXT('DINAMICA ENERO 26'!$C$2,"mmm 'yy")), "COMPRADOR"))</f>
        <v>NO COMPRADOR</v>
      </c>
    </row>
    <row r="366" spans="1:37">
      <c r="A366" s="88" t="s">
        <v>85</v>
      </c>
      <c r="B366" s="89" t="s">
        <v>351</v>
      </c>
      <c r="C366" s="89" t="s">
        <v>43</v>
      </c>
      <c r="D366" s="110">
        <v>100075073</v>
      </c>
      <c r="E366" s="110" t="s">
        <v>48</v>
      </c>
      <c r="F366" s="89">
        <v>100001336</v>
      </c>
      <c r="G366" s="128" t="s">
        <v>446</v>
      </c>
      <c r="H366" s="73">
        <v>0</v>
      </c>
      <c r="I366" s="73">
        <v>0</v>
      </c>
      <c r="J366" s="73">
        <v>0</v>
      </c>
      <c r="K366" s="73">
        <v>0</v>
      </c>
      <c r="Q366" s="91">
        <v>0</v>
      </c>
      <c r="R366" s="129">
        <v>0</v>
      </c>
      <c r="S366" s="91">
        <v>0</v>
      </c>
      <c r="T366" s="129">
        <v>0</v>
      </c>
      <c r="U366" s="93">
        <v>0</v>
      </c>
      <c r="V366" s="129">
        <v>0</v>
      </c>
      <c r="W366" s="93">
        <v>0</v>
      </c>
      <c r="X366" s="129">
        <v>0</v>
      </c>
      <c r="Y366" s="93">
        <v>0</v>
      </c>
      <c r="Z366" s="129">
        <v>0</v>
      </c>
      <c r="AA366" s="155">
        <f t="shared" si="30"/>
        <v>0</v>
      </c>
      <c r="AB366" s="98">
        <f t="shared" si="30"/>
        <v>0</v>
      </c>
      <c r="AD366" s="97">
        <v>0</v>
      </c>
      <c r="AE366" s="92">
        <v>0</v>
      </c>
      <c r="AF366" s="98">
        <f t="shared" si="29"/>
        <v>0</v>
      </c>
      <c r="AG366" s="97">
        <v>0</v>
      </c>
      <c r="AH366" s="92">
        <v>0</v>
      </c>
      <c r="AI366" s="98">
        <f t="shared" si="31"/>
        <v>0</v>
      </c>
      <c r="AJ366" s="98">
        <f t="shared" si="28"/>
        <v>0</v>
      </c>
      <c r="AK366" s="102" t="str">
        <f>+IF(AB366+AA366+AJ366&lt;=0, "NO COMPRADOR", +IF(AJ366&lt;=0, "SIN COMPRA "&amp;+UPPER(TEXT('DINAMICA ENERO 26'!$C$2,"mmm 'yy")), "COMPRADOR"))</f>
        <v>NO COMPRADOR</v>
      </c>
    </row>
  </sheetData>
  <autoFilter ref="A2:AP366" xr:uid="{00000000-0009-0000-0000-000005000000}"/>
  <mergeCells count="9">
    <mergeCell ref="AA1:AB1"/>
    <mergeCell ref="AD1:AF1"/>
    <mergeCell ref="AG1:AI1"/>
    <mergeCell ref="A1:G1"/>
    <mergeCell ref="Q1:R1"/>
    <mergeCell ref="S1:T1"/>
    <mergeCell ref="U1:V1"/>
    <mergeCell ref="W1:X1"/>
    <mergeCell ref="Y1:Z1"/>
  </mergeCells>
  <conditionalFormatting sqref="AA3:AB366 AF3:AF366 AI3:AK366">
    <cfRule type="cellIs" dxfId="1" priority="1" operator="less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56846-9488-4A6A-B068-850C57A940C5}">
  <sheetPr>
    <tabColor theme="5" tint="0.39997558519241921"/>
  </sheetPr>
  <dimension ref="A1:Z366"/>
  <sheetViews>
    <sheetView showGridLines="0" zoomScale="70" zoomScaleNormal="70" workbookViewId="0">
      <selection activeCell="J12" sqref="J12"/>
    </sheetView>
  </sheetViews>
  <sheetFormatPr baseColWidth="10" defaultColWidth="10.90625" defaultRowHeight="14.5"/>
  <cols>
    <col min="1" max="1" width="10.90625" style="73"/>
    <col min="2" max="2" width="14" style="73" bestFit="1" customWidth="1"/>
    <col min="3" max="3" width="26.7265625" style="73" bestFit="1" customWidth="1"/>
    <col min="4" max="4" width="17.90625" style="133" customWidth="1"/>
    <col min="5" max="5" width="31.90625" style="73" bestFit="1" customWidth="1"/>
    <col min="6" max="6" width="21.90625" style="73" customWidth="1"/>
    <col min="7" max="7" width="49.453125" style="156" customWidth="1"/>
    <col min="8" max="9" width="10.453125" style="73" hidden="1" customWidth="1"/>
    <col min="10" max="11" width="10.36328125" style="73" hidden="1" customWidth="1"/>
    <col min="12" max="12" width="11.90625" style="73" customWidth="1"/>
    <col min="13" max="13" width="12.08984375" style="73" customWidth="1"/>
    <col min="14" max="15" width="10.36328125" style="73" customWidth="1"/>
    <col min="16" max="17" width="9.6328125" style="73" customWidth="1"/>
    <col min="18" max="18" width="16.7265625" style="73" bestFit="1" customWidth="1"/>
    <col min="19" max="19" width="9.81640625" hidden="1" customWidth="1"/>
    <col min="20" max="26" width="11" customWidth="1"/>
    <col min="27" max="16384" width="10.90625" style="73"/>
  </cols>
  <sheetData>
    <row r="1" spans="1:26" ht="19" thickBot="1">
      <c r="A1" s="142" t="s">
        <v>450</v>
      </c>
      <c r="B1" s="142"/>
      <c r="C1" s="142"/>
      <c r="D1" s="142"/>
      <c r="E1" s="142"/>
      <c r="F1" s="142"/>
      <c r="G1" s="142"/>
      <c r="H1" s="70"/>
      <c r="I1" s="70"/>
      <c r="J1" s="70"/>
      <c r="K1" s="70"/>
      <c r="L1" s="70"/>
      <c r="M1" s="70" t="s">
        <v>471</v>
      </c>
      <c r="N1" s="70"/>
      <c r="O1" s="174" t="s">
        <v>471</v>
      </c>
      <c r="P1" s="174"/>
      <c r="Q1" s="174"/>
      <c r="R1" s="175"/>
      <c r="S1">
        <v>100521663</v>
      </c>
    </row>
    <row r="2" spans="1:26" s="127" customFormat="1" ht="39.5" thickBot="1">
      <c r="A2" s="176" t="s">
        <v>73</v>
      </c>
      <c r="B2" s="177" t="s">
        <v>74</v>
      </c>
      <c r="C2" s="177" t="s">
        <v>8</v>
      </c>
      <c r="D2" s="177" t="s">
        <v>75</v>
      </c>
      <c r="E2" s="177" t="s">
        <v>9</v>
      </c>
      <c r="F2" s="177" t="s">
        <v>76</v>
      </c>
      <c r="G2" s="178" t="s">
        <v>10</v>
      </c>
      <c r="H2" s="78" t="s">
        <v>77</v>
      </c>
      <c r="I2" s="79" t="s">
        <v>78</v>
      </c>
      <c r="J2" s="80" t="s">
        <v>79</v>
      </c>
      <c r="K2" s="81" t="s">
        <v>80</v>
      </c>
      <c r="L2" s="79" t="s">
        <v>81</v>
      </c>
      <c r="M2" s="81" t="s">
        <v>82</v>
      </c>
      <c r="N2" s="179" t="s">
        <v>83</v>
      </c>
      <c r="O2" s="83" t="str">
        <f>+UPPER(TEXT('DINAMICA ENERO 26'!$C$2,"mmm 'yy"))&amp;" FACT"</f>
        <v>FEB '26 FACT</v>
      </c>
      <c r="P2" s="84" t="str">
        <f>+UPPER(TEXT('DINAMICA ENERO 26'!$C$2,"mmm 'yy"))&amp;" PEND."</f>
        <v>FEB '26 PEND.</v>
      </c>
      <c r="Q2" s="85" t="str">
        <f>+UPPER(TEXT('DINAMICA ENERO 26'!$C$2,"mmm 'yy"))&amp;" TOTAL"</f>
        <v>FEB '26 TOTAL</v>
      </c>
      <c r="R2" s="126" t="s">
        <v>84</v>
      </c>
      <c r="S2"/>
      <c r="T2"/>
      <c r="U2"/>
      <c r="V2"/>
      <c r="W2"/>
      <c r="X2"/>
      <c r="Y2"/>
      <c r="Z2"/>
    </row>
    <row r="3" spans="1:26" s="100" customFormat="1">
      <c r="A3" s="180" t="s">
        <v>85</v>
      </c>
      <c r="B3" s="181" t="s">
        <v>86</v>
      </c>
      <c r="C3" s="181" t="s">
        <v>60</v>
      </c>
      <c r="D3" s="181">
        <v>100077477</v>
      </c>
      <c r="E3" s="181" t="s">
        <v>65</v>
      </c>
      <c r="F3" s="181">
        <v>100086577</v>
      </c>
      <c r="G3" s="182" t="s">
        <v>87</v>
      </c>
      <c r="H3" s="183"/>
      <c r="I3" s="184"/>
      <c r="J3" s="184"/>
      <c r="K3" s="95"/>
      <c r="L3" s="184">
        <v>0</v>
      </c>
      <c r="M3" s="185">
        <v>48</v>
      </c>
      <c r="N3" s="186">
        <f t="shared" ref="N3:N66" si="0">AVERAGE(L3,M3)</f>
        <v>24</v>
      </c>
      <c r="O3" s="187">
        <v>0</v>
      </c>
      <c r="P3" s="184">
        <v>0</v>
      </c>
      <c r="Q3" s="186">
        <f>+O3+P3</f>
        <v>0</v>
      </c>
      <c r="R3" s="188" t="str">
        <f>+IF(Q3+N3&lt;=0, "NO COMPRADOR", +IF(Q3&lt;=0, "SIN COMPRA "&amp;+UPPER(TEXT('DINAMICA ENERO 26'!$C$2,"mmm 'yy")), "COMPRADOR"))</f>
        <v>SIN COMPRA FEB '26</v>
      </c>
      <c r="S3"/>
      <c r="T3"/>
      <c r="U3"/>
      <c r="V3"/>
      <c r="W3"/>
      <c r="X3"/>
      <c r="Y3"/>
      <c r="Z3"/>
    </row>
    <row r="4" spans="1:26" s="100" customFormat="1">
      <c r="A4" s="88" t="s">
        <v>85</v>
      </c>
      <c r="B4" s="89" t="s">
        <v>86</v>
      </c>
      <c r="C4" s="89" t="s">
        <v>60</v>
      </c>
      <c r="D4" s="89">
        <v>100077477</v>
      </c>
      <c r="E4" s="89" t="s">
        <v>65</v>
      </c>
      <c r="F4" s="89">
        <v>100065731</v>
      </c>
      <c r="G4" s="128" t="s">
        <v>88</v>
      </c>
      <c r="H4" s="166"/>
      <c r="I4" s="92"/>
      <c r="J4" s="92"/>
      <c r="K4" s="94"/>
      <c r="L4" s="92">
        <v>0</v>
      </c>
      <c r="M4" s="93">
        <v>0</v>
      </c>
      <c r="N4" s="98">
        <f t="shared" si="0"/>
        <v>0</v>
      </c>
      <c r="O4" s="97">
        <v>0</v>
      </c>
      <c r="P4" s="92">
        <v>0</v>
      </c>
      <c r="Q4" s="98">
        <f t="shared" ref="Q4:Q67" si="1">+O4+P4</f>
        <v>0</v>
      </c>
      <c r="R4" s="99" t="str">
        <f>+IF(Q4+N4&lt;=0, "NO COMPRADOR", +IF(Q4&lt;=0, "SIN COMPRA "&amp;+UPPER(TEXT('DINAMICA ENERO 26'!$C$2,"mmm 'yy")), "COMPRADOR"))</f>
        <v>NO COMPRADOR</v>
      </c>
      <c r="S4"/>
      <c r="T4"/>
      <c r="U4"/>
      <c r="V4"/>
      <c r="W4"/>
      <c r="X4"/>
      <c r="Y4"/>
      <c r="Z4"/>
    </row>
    <row r="5" spans="1:26" s="104" customFormat="1">
      <c r="A5" s="88" t="s">
        <v>85</v>
      </c>
      <c r="B5" s="89" t="s">
        <v>86</v>
      </c>
      <c r="C5" s="89" t="s">
        <v>60</v>
      </c>
      <c r="D5" s="89">
        <v>100077477</v>
      </c>
      <c r="E5" s="89" t="s">
        <v>65</v>
      </c>
      <c r="F5" s="89">
        <v>100010095</v>
      </c>
      <c r="G5" s="128" t="s">
        <v>89</v>
      </c>
      <c r="H5" s="166"/>
      <c r="I5" s="92"/>
      <c r="J5" s="92"/>
      <c r="K5" s="94"/>
      <c r="L5" s="92">
        <v>0</v>
      </c>
      <c r="M5" s="93">
        <v>0</v>
      </c>
      <c r="N5" s="98">
        <f t="shared" si="0"/>
        <v>0</v>
      </c>
      <c r="O5" s="97">
        <v>0</v>
      </c>
      <c r="P5" s="92">
        <v>0</v>
      </c>
      <c r="Q5" s="98">
        <f t="shared" si="1"/>
        <v>0</v>
      </c>
      <c r="R5" s="99" t="str">
        <f>+IF(Q5+N5&lt;=0, "NO COMPRADOR", +IF(Q5&lt;=0, "SIN COMPRA "&amp;+UPPER(TEXT('DINAMICA ENERO 26'!$C$2,"mmm 'yy")), "COMPRADOR"))</f>
        <v>NO COMPRADOR</v>
      </c>
      <c r="S5"/>
      <c r="T5"/>
      <c r="U5"/>
      <c r="V5"/>
      <c r="W5"/>
      <c r="X5"/>
      <c r="Y5"/>
      <c r="Z5"/>
    </row>
    <row r="6" spans="1:26" s="100" customFormat="1">
      <c r="A6" s="88" t="s">
        <v>85</v>
      </c>
      <c r="B6" s="89" t="s">
        <v>86</v>
      </c>
      <c r="C6" s="89" t="s">
        <v>60</v>
      </c>
      <c r="D6" s="89">
        <v>100077477</v>
      </c>
      <c r="E6" s="89" t="s">
        <v>65</v>
      </c>
      <c r="F6" s="89">
        <v>100079173</v>
      </c>
      <c r="G6" s="128" t="s">
        <v>90</v>
      </c>
      <c r="H6" s="166"/>
      <c r="I6" s="92"/>
      <c r="J6" s="92"/>
      <c r="K6" s="94"/>
      <c r="L6" s="92">
        <v>110.4</v>
      </c>
      <c r="M6" s="93">
        <v>105.6</v>
      </c>
      <c r="N6" s="98">
        <f t="shared" si="0"/>
        <v>108</v>
      </c>
      <c r="O6" s="97">
        <v>0</v>
      </c>
      <c r="P6" s="92">
        <v>0</v>
      </c>
      <c r="Q6" s="98">
        <f t="shared" si="1"/>
        <v>0</v>
      </c>
      <c r="R6" s="99" t="str">
        <f>+IF(Q6+N6&lt;=0, "NO COMPRADOR", +IF(Q6&lt;=0, "SIN COMPRA "&amp;+UPPER(TEXT('DINAMICA ENERO 26'!$C$2,"mmm 'yy")), "COMPRADOR"))</f>
        <v>SIN COMPRA FEB '26</v>
      </c>
      <c r="S6"/>
      <c r="T6"/>
      <c r="U6"/>
      <c r="V6"/>
      <c r="W6"/>
      <c r="X6"/>
      <c r="Y6"/>
      <c r="Z6"/>
    </row>
    <row r="7" spans="1:26" s="100" customFormat="1">
      <c r="A7" s="88" t="s">
        <v>85</v>
      </c>
      <c r="B7" s="89" t="s">
        <v>86</v>
      </c>
      <c r="C7" s="89" t="s">
        <v>60</v>
      </c>
      <c r="D7" s="89">
        <v>100077477</v>
      </c>
      <c r="E7" s="89" t="s">
        <v>65</v>
      </c>
      <c r="F7" s="89">
        <v>100079594</v>
      </c>
      <c r="G7" s="128" t="s">
        <v>91</v>
      </c>
      <c r="H7" s="166"/>
      <c r="I7" s="92"/>
      <c r="J7" s="92"/>
      <c r="K7" s="94"/>
      <c r="L7" s="92">
        <v>4.8</v>
      </c>
      <c r="M7" s="93">
        <v>144</v>
      </c>
      <c r="N7" s="98">
        <f t="shared" si="0"/>
        <v>74.400000000000006</v>
      </c>
      <c r="O7" s="97">
        <v>24</v>
      </c>
      <c r="P7" s="92">
        <v>0</v>
      </c>
      <c r="Q7" s="98">
        <f t="shared" si="1"/>
        <v>24</v>
      </c>
      <c r="R7" s="99" t="str">
        <f>+IF(Q7+N7&lt;=0, "NO COMPRADOR", +IF(Q7&lt;=0, "SIN COMPRA "&amp;+UPPER(TEXT('DINAMICA ENERO 26'!$C$2,"mmm 'yy")), "COMPRADOR"))</f>
        <v>COMPRADOR</v>
      </c>
      <c r="S7"/>
      <c r="T7"/>
      <c r="U7"/>
      <c r="V7"/>
      <c r="W7"/>
      <c r="X7"/>
      <c r="Y7"/>
      <c r="Z7"/>
    </row>
    <row r="8" spans="1:26" s="100" customFormat="1">
      <c r="A8" s="88" t="s">
        <v>85</v>
      </c>
      <c r="B8" s="89" t="s">
        <v>86</v>
      </c>
      <c r="C8" s="89" t="s">
        <v>60</v>
      </c>
      <c r="D8" s="89">
        <v>100077477</v>
      </c>
      <c r="E8" s="89" t="s">
        <v>65</v>
      </c>
      <c r="F8" s="89">
        <v>100078788</v>
      </c>
      <c r="G8" s="128" t="s">
        <v>92</v>
      </c>
      <c r="H8" s="166"/>
      <c r="I8" s="92"/>
      <c r="J8" s="92"/>
      <c r="K8" s="94"/>
      <c r="L8" s="92">
        <v>81.599999999999994</v>
      </c>
      <c r="M8" s="93">
        <v>48</v>
      </c>
      <c r="N8" s="98">
        <f t="shared" si="0"/>
        <v>64.8</v>
      </c>
      <c r="O8" s="97">
        <v>0</v>
      </c>
      <c r="P8" s="92">
        <v>0</v>
      </c>
      <c r="Q8" s="98">
        <f t="shared" si="1"/>
        <v>0</v>
      </c>
      <c r="R8" s="99" t="str">
        <f>+IF(Q8+N8&lt;=0, "NO COMPRADOR", +IF(Q8&lt;=0, "SIN COMPRA "&amp;+UPPER(TEXT('DINAMICA ENERO 26'!$C$2,"mmm 'yy")), "COMPRADOR"))</f>
        <v>SIN COMPRA FEB '26</v>
      </c>
      <c r="S8"/>
      <c r="T8"/>
      <c r="U8"/>
      <c r="V8"/>
      <c r="W8"/>
      <c r="X8"/>
      <c r="Y8"/>
      <c r="Z8"/>
    </row>
    <row r="9" spans="1:26" s="100" customFormat="1">
      <c r="A9" s="88" t="s">
        <v>85</v>
      </c>
      <c r="B9" s="89" t="s">
        <v>86</v>
      </c>
      <c r="C9" s="89" t="s">
        <v>60</v>
      </c>
      <c r="D9" s="89">
        <v>100077477</v>
      </c>
      <c r="E9" s="89" t="s">
        <v>65</v>
      </c>
      <c r="F9" s="89">
        <v>100084185</v>
      </c>
      <c r="G9" s="128" t="s">
        <v>93</v>
      </c>
      <c r="H9" s="166"/>
      <c r="I9" s="92"/>
      <c r="J9" s="92"/>
      <c r="K9" s="94"/>
      <c r="L9" s="92">
        <v>0</v>
      </c>
      <c r="M9" s="93">
        <v>0</v>
      </c>
      <c r="N9" s="98">
        <f t="shared" si="0"/>
        <v>0</v>
      </c>
      <c r="O9" s="97">
        <v>0</v>
      </c>
      <c r="P9" s="92">
        <v>0</v>
      </c>
      <c r="Q9" s="98">
        <f t="shared" si="1"/>
        <v>0</v>
      </c>
      <c r="R9" s="99" t="str">
        <f>+IF(Q9+N9&lt;=0, "NO COMPRADOR", +IF(Q9&lt;=0, "SIN COMPRA "&amp;+UPPER(TEXT('DINAMICA ENERO 26'!$C$2,"mmm 'yy")), "COMPRADOR"))</f>
        <v>NO COMPRADOR</v>
      </c>
      <c r="S9"/>
      <c r="T9"/>
      <c r="U9"/>
      <c r="V9"/>
      <c r="W9"/>
      <c r="X9"/>
      <c r="Y9"/>
      <c r="Z9"/>
    </row>
    <row r="10" spans="1:26" s="104" customFormat="1">
      <c r="A10" s="88" t="s">
        <v>85</v>
      </c>
      <c r="B10" s="89" t="s">
        <v>86</v>
      </c>
      <c r="C10" s="89" t="s">
        <v>60</v>
      </c>
      <c r="D10" s="89">
        <v>100077477</v>
      </c>
      <c r="E10" s="89" t="s">
        <v>65</v>
      </c>
      <c r="F10" s="89">
        <v>100087922</v>
      </c>
      <c r="G10" s="128" t="s">
        <v>94</v>
      </c>
      <c r="H10" s="166"/>
      <c r="I10" s="92"/>
      <c r="J10" s="92"/>
      <c r="K10" s="94"/>
      <c r="L10" s="92">
        <v>0</v>
      </c>
      <c r="M10" s="93">
        <v>0</v>
      </c>
      <c r="N10" s="98">
        <f t="shared" si="0"/>
        <v>0</v>
      </c>
      <c r="O10" s="97">
        <v>0</v>
      </c>
      <c r="P10" s="92">
        <v>0</v>
      </c>
      <c r="Q10" s="98">
        <f t="shared" si="1"/>
        <v>0</v>
      </c>
      <c r="R10" s="99" t="str">
        <f>+IF(Q10+N10&lt;=0, "NO COMPRADOR", +IF(Q10&lt;=0, "SIN COMPRA "&amp;+UPPER(TEXT('DINAMICA ENERO 26'!$C$2,"mmm 'yy")), "COMPRADOR"))</f>
        <v>NO COMPRADOR</v>
      </c>
      <c r="S10"/>
      <c r="T10"/>
      <c r="U10"/>
      <c r="V10"/>
      <c r="W10"/>
      <c r="X10"/>
      <c r="Y10"/>
      <c r="Z10"/>
    </row>
    <row r="11" spans="1:26" s="100" customFormat="1">
      <c r="A11" s="88" t="s">
        <v>85</v>
      </c>
      <c r="B11" s="89" t="s">
        <v>86</v>
      </c>
      <c r="C11" s="89" t="s">
        <v>60</v>
      </c>
      <c r="D11" s="89">
        <v>100077477</v>
      </c>
      <c r="E11" s="89" t="s">
        <v>65</v>
      </c>
      <c r="F11" s="89">
        <v>100071741</v>
      </c>
      <c r="G11" s="128" t="s">
        <v>95</v>
      </c>
      <c r="H11" s="166"/>
      <c r="I11" s="92"/>
      <c r="J11" s="92"/>
      <c r="K11" s="94"/>
      <c r="L11" s="92">
        <v>0</v>
      </c>
      <c r="M11" s="93">
        <v>0</v>
      </c>
      <c r="N11" s="98">
        <f t="shared" si="0"/>
        <v>0</v>
      </c>
      <c r="O11" s="97">
        <v>0</v>
      </c>
      <c r="P11" s="92">
        <v>0</v>
      </c>
      <c r="Q11" s="98">
        <f t="shared" si="1"/>
        <v>0</v>
      </c>
      <c r="R11" s="99" t="str">
        <f>+IF(Q11+N11&lt;=0, "NO COMPRADOR", +IF(Q11&lt;=0, "SIN COMPRA "&amp;+UPPER(TEXT('DINAMICA ENERO 26'!$C$2,"mmm 'yy")), "COMPRADOR"))</f>
        <v>NO COMPRADOR</v>
      </c>
      <c r="S11"/>
      <c r="T11"/>
      <c r="U11"/>
      <c r="V11"/>
      <c r="W11"/>
      <c r="X11"/>
      <c r="Y11"/>
      <c r="Z11"/>
    </row>
    <row r="12" spans="1:26" s="100" customFormat="1">
      <c r="A12" s="88" t="s">
        <v>85</v>
      </c>
      <c r="B12" s="89" t="s">
        <v>86</v>
      </c>
      <c r="C12" s="89" t="s">
        <v>60</v>
      </c>
      <c r="D12" s="89">
        <v>100077477</v>
      </c>
      <c r="E12" s="89" t="s">
        <v>65</v>
      </c>
      <c r="F12" s="89">
        <v>100075448</v>
      </c>
      <c r="G12" s="128" t="s">
        <v>96</v>
      </c>
      <c r="H12" s="166"/>
      <c r="I12" s="92"/>
      <c r="J12" s="92"/>
      <c r="K12" s="94"/>
      <c r="L12" s="92">
        <v>33.6</v>
      </c>
      <c r="M12" s="93">
        <v>0</v>
      </c>
      <c r="N12" s="98">
        <f t="shared" si="0"/>
        <v>16.8</v>
      </c>
      <c r="O12" s="97">
        <v>24</v>
      </c>
      <c r="P12" s="92">
        <v>0</v>
      </c>
      <c r="Q12" s="98">
        <f t="shared" si="1"/>
        <v>24</v>
      </c>
      <c r="R12" s="99" t="str">
        <f>+IF(Q12+N12&lt;=0, "NO COMPRADOR", +IF(Q12&lt;=0, "SIN COMPRA "&amp;+UPPER(TEXT('DINAMICA ENERO 26'!$C$2,"mmm 'yy")), "COMPRADOR"))</f>
        <v>COMPRADOR</v>
      </c>
      <c r="S12"/>
      <c r="T12"/>
      <c r="U12"/>
      <c r="V12"/>
      <c r="W12"/>
      <c r="X12"/>
      <c r="Y12"/>
      <c r="Z12"/>
    </row>
    <row r="13" spans="1:26" s="100" customFormat="1">
      <c r="A13" s="88" t="s">
        <v>85</v>
      </c>
      <c r="B13" s="89" t="s">
        <v>86</v>
      </c>
      <c r="C13" s="89" t="s">
        <v>60</v>
      </c>
      <c r="D13" s="89">
        <v>100077477</v>
      </c>
      <c r="E13" s="89" t="s">
        <v>65</v>
      </c>
      <c r="F13" s="89">
        <v>100089232</v>
      </c>
      <c r="G13" s="128" t="s">
        <v>97</v>
      </c>
      <c r="H13" s="166"/>
      <c r="I13" s="92"/>
      <c r="J13" s="92"/>
      <c r="K13" s="94"/>
      <c r="L13" s="92">
        <v>0</v>
      </c>
      <c r="M13" s="93">
        <v>0</v>
      </c>
      <c r="N13" s="98">
        <f t="shared" si="0"/>
        <v>0</v>
      </c>
      <c r="O13" s="97">
        <v>0</v>
      </c>
      <c r="P13" s="92">
        <v>0</v>
      </c>
      <c r="Q13" s="98">
        <f t="shared" si="1"/>
        <v>0</v>
      </c>
      <c r="R13" s="99" t="str">
        <f>+IF(Q13+N13&lt;=0, "NO COMPRADOR", +IF(Q13&lt;=0, "SIN COMPRA "&amp;+UPPER(TEXT('DINAMICA ENERO 26'!$C$2,"mmm 'yy")), "COMPRADOR"))</f>
        <v>NO COMPRADOR</v>
      </c>
      <c r="S13"/>
      <c r="T13"/>
      <c r="U13"/>
      <c r="V13"/>
      <c r="W13"/>
      <c r="X13"/>
      <c r="Y13"/>
      <c r="Z13"/>
    </row>
    <row r="14" spans="1:26" s="100" customFormat="1">
      <c r="A14" s="88" t="s">
        <v>85</v>
      </c>
      <c r="B14" s="89" t="s">
        <v>98</v>
      </c>
      <c r="C14" s="89" t="s">
        <v>60</v>
      </c>
      <c r="D14" s="103">
        <v>100041217</v>
      </c>
      <c r="E14" s="89" t="s">
        <v>63</v>
      </c>
      <c r="F14" s="89">
        <v>100073953</v>
      </c>
      <c r="G14" s="128" t="s">
        <v>99</v>
      </c>
      <c r="H14" s="166"/>
      <c r="I14" s="92"/>
      <c r="J14" s="92"/>
      <c r="K14" s="94"/>
      <c r="L14" s="92">
        <v>0</v>
      </c>
      <c r="M14" s="93">
        <v>0</v>
      </c>
      <c r="N14" s="98">
        <f t="shared" si="0"/>
        <v>0</v>
      </c>
      <c r="O14" s="97">
        <v>0</v>
      </c>
      <c r="P14" s="92">
        <v>0</v>
      </c>
      <c r="Q14" s="98">
        <f t="shared" si="1"/>
        <v>0</v>
      </c>
      <c r="R14" s="99" t="str">
        <f>+IF(Q14+N14&lt;=0, "NO COMPRADOR", +IF(Q14&lt;=0, "SIN COMPRA "&amp;+UPPER(TEXT('DINAMICA ENERO 26'!$C$2,"mmm 'yy")), "COMPRADOR"))</f>
        <v>NO COMPRADOR</v>
      </c>
      <c r="S14"/>
      <c r="T14"/>
      <c r="U14"/>
      <c r="V14"/>
      <c r="W14"/>
      <c r="X14"/>
      <c r="Y14"/>
      <c r="Z14"/>
    </row>
    <row r="15" spans="1:26" s="100" customFormat="1">
      <c r="A15" s="88" t="s">
        <v>85</v>
      </c>
      <c r="B15" s="89" t="s">
        <v>98</v>
      </c>
      <c r="C15" s="89" t="s">
        <v>60</v>
      </c>
      <c r="D15" s="103">
        <v>100041217</v>
      </c>
      <c r="E15" s="89" t="s">
        <v>63</v>
      </c>
      <c r="F15" s="89">
        <v>100081405</v>
      </c>
      <c r="G15" s="128" t="s">
        <v>100</v>
      </c>
      <c r="H15" s="166"/>
      <c r="I15" s="92"/>
      <c r="J15" s="92"/>
      <c r="K15" s="94"/>
      <c r="L15" s="92">
        <v>14.399999999999999</v>
      </c>
      <c r="M15" s="93">
        <v>120</v>
      </c>
      <c r="N15" s="98">
        <f t="shared" si="0"/>
        <v>67.2</v>
      </c>
      <c r="O15" s="97">
        <v>48</v>
      </c>
      <c r="P15" s="92">
        <v>0</v>
      </c>
      <c r="Q15" s="98">
        <f t="shared" si="1"/>
        <v>48</v>
      </c>
      <c r="R15" s="99" t="str">
        <f>+IF(Q15+N15&lt;=0, "NO COMPRADOR", +IF(Q15&lt;=0, "SIN COMPRA "&amp;+UPPER(TEXT('DINAMICA ENERO 26'!$C$2,"mmm 'yy")), "COMPRADOR"))</f>
        <v>COMPRADOR</v>
      </c>
      <c r="S15"/>
      <c r="T15"/>
      <c r="U15"/>
      <c r="V15"/>
      <c r="W15"/>
      <c r="X15"/>
      <c r="Y15"/>
      <c r="Z15"/>
    </row>
    <row r="16" spans="1:26" s="100" customFormat="1">
      <c r="A16" s="88" t="s">
        <v>85</v>
      </c>
      <c r="B16" s="89" t="s">
        <v>98</v>
      </c>
      <c r="C16" s="89" t="s">
        <v>60</v>
      </c>
      <c r="D16" s="103">
        <v>100041217</v>
      </c>
      <c r="E16" s="89" t="s">
        <v>63</v>
      </c>
      <c r="F16" s="89">
        <v>100066079</v>
      </c>
      <c r="G16" s="128" t="s">
        <v>101</v>
      </c>
      <c r="H16" s="166"/>
      <c r="I16" s="92"/>
      <c r="J16" s="92"/>
      <c r="K16" s="94"/>
      <c r="L16" s="92">
        <v>144</v>
      </c>
      <c r="M16" s="93">
        <v>24</v>
      </c>
      <c r="N16" s="98">
        <f t="shared" si="0"/>
        <v>84</v>
      </c>
      <c r="O16" s="97">
        <v>96</v>
      </c>
      <c r="P16" s="92">
        <v>0</v>
      </c>
      <c r="Q16" s="98">
        <f t="shared" si="1"/>
        <v>96</v>
      </c>
      <c r="R16" s="99" t="str">
        <f>+IF(Q16+N16&lt;=0, "NO COMPRADOR", +IF(Q16&lt;=0, "SIN COMPRA "&amp;+UPPER(TEXT('DINAMICA ENERO 26'!$C$2,"mmm 'yy")), "COMPRADOR"))</f>
        <v>COMPRADOR</v>
      </c>
      <c r="S16"/>
      <c r="T16"/>
      <c r="U16"/>
      <c r="V16"/>
      <c r="W16"/>
      <c r="X16"/>
      <c r="Y16"/>
      <c r="Z16"/>
    </row>
    <row r="17" spans="1:26" s="100" customFormat="1">
      <c r="A17" s="88" t="s">
        <v>85</v>
      </c>
      <c r="B17" s="89" t="s">
        <v>98</v>
      </c>
      <c r="C17" s="89" t="s">
        <v>60</v>
      </c>
      <c r="D17" s="103">
        <v>100041217</v>
      </c>
      <c r="E17" s="89" t="s">
        <v>63</v>
      </c>
      <c r="F17" s="89">
        <v>100041131</v>
      </c>
      <c r="G17" s="128" t="s">
        <v>102</v>
      </c>
      <c r="H17" s="166"/>
      <c r="I17" s="92"/>
      <c r="J17" s="92"/>
      <c r="K17" s="94"/>
      <c r="L17" s="92">
        <v>139.19999999999999</v>
      </c>
      <c r="M17" s="93">
        <v>96</v>
      </c>
      <c r="N17" s="98">
        <f t="shared" si="0"/>
        <v>117.6</v>
      </c>
      <c r="O17" s="97">
        <v>0</v>
      </c>
      <c r="P17" s="92">
        <v>0</v>
      </c>
      <c r="Q17" s="98">
        <f t="shared" si="1"/>
        <v>0</v>
      </c>
      <c r="R17" s="99" t="str">
        <f>+IF(Q17+N17&lt;=0, "NO COMPRADOR", +IF(Q17&lt;=0, "SIN COMPRA "&amp;+UPPER(TEXT('DINAMICA ENERO 26'!$C$2,"mmm 'yy")), "COMPRADOR"))</f>
        <v>SIN COMPRA FEB '26</v>
      </c>
      <c r="S17"/>
      <c r="T17"/>
      <c r="U17"/>
      <c r="V17"/>
      <c r="W17"/>
      <c r="X17"/>
      <c r="Y17"/>
      <c r="Z17"/>
    </row>
    <row r="18" spans="1:26" s="104" customFormat="1">
      <c r="A18" s="88" t="s">
        <v>85</v>
      </c>
      <c r="B18" s="89" t="s">
        <v>98</v>
      </c>
      <c r="C18" s="89" t="s">
        <v>60</v>
      </c>
      <c r="D18" s="103">
        <v>100041217</v>
      </c>
      <c r="E18" s="89" t="s">
        <v>63</v>
      </c>
      <c r="F18" s="89">
        <v>100012634</v>
      </c>
      <c r="G18" s="128" t="s">
        <v>103</v>
      </c>
      <c r="H18" s="166"/>
      <c r="I18" s="92"/>
      <c r="J18" s="92"/>
      <c r="K18" s="94"/>
      <c r="L18" s="92">
        <v>0</v>
      </c>
      <c r="M18" s="93">
        <v>0</v>
      </c>
      <c r="N18" s="98">
        <f t="shared" si="0"/>
        <v>0</v>
      </c>
      <c r="O18" s="97">
        <v>0</v>
      </c>
      <c r="P18" s="92">
        <v>0</v>
      </c>
      <c r="Q18" s="98">
        <f t="shared" si="1"/>
        <v>0</v>
      </c>
      <c r="R18" s="99" t="str">
        <f>+IF(Q18+N18&lt;=0, "NO COMPRADOR", +IF(Q18&lt;=0, "SIN COMPRA "&amp;+UPPER(TEXT('DINAMICA ENERO 26'!$C$2,"mmm 'yy")), "COMPRADOR"))</f>
        <v>NO COMPRADOR</v>
      </c>
      <c r="S18"/>
      <c r="T18"/>
      <c r="U18"/>
      <c r="V18"/>
      <c r="W18"/>
      <c r="X18"/>
      <c r="Y18"/>
      <c r="Z18"/>
    </row>
    <row r="19" spans="1:26" s="100" customFormat="1">
      <c r="A19" s="88" t="s">
        <v>85</v>
      </c>
      <c r="B19" s="89" t="s">
        <v>98</v>
      </c>
      <c r="C19" s="89" t="s">
        <v>60</v>
      </c>
      <c r="D19" s="103">
        <v>100041217</v>
      </c>
      <c r="E19" s="89" t="s">
        <v>63</v>
      </c>
      <c r="F19" s="89">
        <v>100049700</v>
      </c>
      <c r="G19" s="128" t="s">
        <v>104</v>
      </c>
      <c r="H19" s="166"/>
      <c r="I19" s="92"/>
      <c r="J19" s="92"/>
      <c r="K19" s="94"/>
      <c r="L19" s="92">
        <v>0</v>
      </c>
      <c r="M19" s="93">
        <v>0</v>
      </c>
      <c r="N19" s="98">
        <f t="shared" si="0"/>
        <v>0</v>
      </c>
      <c r="O19" s="97">
        <v>0</v>
      </c>
      <c r="P19" s="92">
        <v>0</v>
      </c>
      <c r="Q19" s="98">
        <f t="shared" si="1"/>
        <v>0</v>
      </c>
      <c r="R19" s="99" t="str">
        <f>+IF(Q19+N19&lt;=0, "NO COMPRADOR", +IF(Q19&lt;=0, "SIN COMPRA "&amp;+UPPER(TEXT('DINAMICA ENERO 26'!$C$2,"mmm 'yy")), "COMPRADOR"))</f>
        <v>NO COMPRADOR</v>
      </c>
      <c r="S19"/>
      <c r="T19"/>
      <c r="U19"/>
      <c r="V19"/>
      <c r="W19"/>
      <c r="X19"/>
      <c r="Y19"/>
      <c r="Z19"/>
    </row>
    <row r="20" spans="1:26" s="100" customFormat="1">
      <c r="A20" s="88" t="s">
        <v>85</v>
      </c>
      <c r="B20" s="89" t="s">
        <v>105</v>
      </c>
      <c r="C20" s="89" t="s">
        <v>60</v>
      </c>
      <c r="D20" s="103">
        <v>100080146</v>
      </c>
      <c r="E20" s="89" t="s">
        <v>66</v>
      </c>
      <c r="F20" s="89">
        <v>100061718</v>
      </c>
      <c r="G20" s="128" t="s">
        <v>106</v>
      </c>
      <c r="H20" s="166"/>
      <c r="I20" s="92"/>
      <c r="J20" s="92"/>
      <c r="K20" s="94"/>
      <c r="L20" s="92">
        <v>168</v>
      </c>
      <c r="M20" s="93">
        <v>24</v>
      </c>
      <c r="N20" s="98">
        <f t="shared" si="0"/>
        <v>96</v>
      </c>
      <c r="O20" s="97">
        <v>0</v>
      </c>
      <c r="P20" s="92">
        <v>0</v>
      </c>
      <c r="Q20" s="98">
        <f t="shared" si="1"/>
        <v>0</v>
      </c>
      <c r="R20" s="99" t="str">
        <f>+IF(Q20+N20&lt;=0, "NO COMPRADOR", +IF(Q20&lt;=0, "SIN COMPRA "&amp;+UPPER(TEXT('DINAMICA ENERO 26'!$C$2,"mmm 'yy")), "COMPRADOR"))</f>
        <v>SIN COMPRA FEB '26</v>
      </c>
      <c r="S20"/>
      <c r="T20"/>
      <c r="U20"/>
      <c r="V20"/>
      <c r="W20"/>
      <c r="X20"/>
      <c r="Y20"/>
      <c r="Z20"/>
    </row>
    <row r="21" spans="1:26" s="100" customFormat="1">
      <c r="A21" s="88" t="s">
        <v>85</v>
      </c>
      <c r="B21" s="89" t="s">
        <v>105</v>
      </c>
      <c r="C21" s="89" t="s">
        <v>60</v>
      </c>
      <c r="D21" s="103">
        <v>100080146</v>
      </c>
      <c r="E21" s="89" t="s">
        <v>66</v>
      </c>
      <c r="F21" s="89">
        <v>100067160</v>
      </c>
      <c r="G21" s="128" t="s">
        <v>107</v>
      </c>
      <c r="H21" s="166"/>
      <c r="I21" s="92"/>
      <c r="J21" s="92"/>
      <c r="K21" s="94"/>
      <c r="L21" s="92">
        <v>240</v>
      </c>
      <c r="M21" s="93">
        <v>384</v>
      </c>
      <c r="N21" s="98">
        <f t="shared" si="0"/>
        <v>312</v>
      </c>
      <c r="O21" s="97">
        <v>0</v>
      </c>
      <c r="P21" s="92">
        <v>0</v>
      </c>
      <c r="Q21" s="98">
        <f t="shared" si="1"/>
        <v>0</v>
      </c>
      <c r="R21" s="99" t="str">
        <f>+IF(Q21+N21&lt;=0, "NO COMPRADOR", +IF(Q21&lt;=0, "SIN COMPRA "&amp;+UPPER(TEXT('DINAMICA ENERO 26'!$C$2,"mmm 'yy")), "COMPRADOR"))</f>
        <v>SIN COMPRA FEB '26</v>
      </c>
      <c r="S21"/>
      <c r="T21"/>
      <c r="U21"/>
      <c r="V21"/>
      <c r="W21"/>
      <c r="X21"/>
      <c r="Y21"/>
      <c r="Z21"/>
    </row>
    <row r="22" spans="1:26" s="100" customFormat="1">
      <c r="A22" s="88" t="s">
        <v>85</v>
      </c>
      <c r="B22" s="89" t="s">
        <v>105</v>
      </c>
      <c r="C22" s="89" t="s">
        <v>60</v>
      </c>
      <c r="D22" s="103">
        <v>100080146</v>
      </c>
      <c r="E22" s="89" t="s">
        <v>66</v>
      </c>
      <c r="F22" s="89">
        <v>100001763</v>
      </c>
      <c r="G22" s="128" t="s">
        <v>108</v>
      </c>
      <c r="H22" s="166"/>
      <c r="I22" s="92"/>
      <c r="J22" s="92"/>
      <c r="K22" s="94"/>
      <c r="L22" s="92">
        <v>120</v>
      </c>
      <c r="M22" s="93">
        <v>48</v>
      </c>
      <c r="N22" s="98">
        <f t="shared" si="0"/>
        <v>84</v>
      </c>
      <c r="O22" s="97">
        <v>0</v>
      </c>
      <c r="P22" s="92">
        <v>0</v>
      </c>
      <c r="Q22" s="98">
        <f t="shared" si="1"/>
        <v>0</v>
      </c>
      <c r="R22" s="99" t="str">
        <f>+IF(Q22+N22&lt;=0, "NO COMPRADOR", +IF(Q22&lt;=0, "SIN COMPRA "&amp;+UPPER(TEXT('DINAMICA ENERO 26'!$C$2,"mmm 'yy")), "COMPRADOR"))</f>
        <v>SIN COMPRA FEB '26</v>
      </c>
      <c r="S22"/>
      <c r="T22"/>
      <c r="U22"/>
      <c r="V22"/>
      <c r="W22"/>
      <c r="X22"/>
      <c r="Y22"/>
      <c r="Z22"/>
    </row>
    <row r="23" spans="1:26" s="100" customFormat="1">
      <c r="A23" s="88" t="s">
        <v>85</v>
      </c>
      <c r="B23" s="89" t="s">
        <v>105</v>
      </c>
      <c r="C23" s="89" t="s">
        <v>60</v>
      </c>
      <c r="D23" s="103">
        <v>100080146</v>
      </c>
      <c r="E23" s="89" t="s">
        <v>66</v>
      </c>
      <c r="F23" s="89">
        <v>100025425</v>
      </c>
      <c r="G23" s="128" t="s">
        <v>109</v>
      </c>
      <c r="H23" s="166"/>
      <c r="I23" s="92"/>
      <c r="J23" s="92"/>
      <c r="K23" s="94"/>
      <c r="L23" s="92">
        <v>0</v>
      </c>
      <c r="M23" s="93">
        <v>0</v>
      </c>
      <c r="N23" s="98">
        <f t="shared" si="0"/>
        <v>0</v>
      </c>
      <c r="O23" s="97">
        <v>0</v>
      </c>
      <c r="P23" s="92">
        <v>0</v>
      </c>
      <c r="Q23" s="98">
        <f t="shared" si="1"/>
        <v>0</v>
      </c>
      <c r="R23" s="99" t="str">
        <f>+IF(Q23+N23&lt;=0, "NO COMPRADOR", +IF(Q23&lt;=0, "SIN COMPRA "&amp;+UPPER(TEXT('DINAMICA ENERO 26'!$C$2,"mmm 'yy")), "COMPRADOR"))</f>
        <v>NO COMPRADOR</v>
      </c>
      <c r="S23"/>
      <c r="T23"/>
      <c r="U23"/>
      <c r="V23"/>
      <c r="W23"/>
      <c r="X23"/>
      <c r="Y23"/>
      <c r="Z23"/>
    </row>
    <row r="24" spans="1:26" s="100" customFormat="1">
      <c r="A24" s="88" t="s">
        <v>85</v>
      </c>
      <c r="B24" s="89" t="s">
        <v>105</v>
      </c>
      <c r="C24" s="89" t="s">
        <v>60</v>
      </c>
      <c r="D24" s="103">
        <v>100068884</v>
      </c>
      <c r="E24" s="89" t="s">
        <v>61</v>
      </c>
      <c r="F24" s="89">
        <v>100079808</v>
      </c>
      <c r="G24" s="128" t="s">
        <v>110</v>
      </c>
      <c r="H24" s="166"/>
      <c r="I24" s="92"/>
      <c r="J24" s="92"/>
      <c r="K24" s="94"/>
      <c r="L24" s="92">
        <v>264</v>
      </c>
      <c r="M24" s="93">
        <v>0</v>
      </c>
      <c r="N24" s="98">
        <f t="shared" si="0"/>
        <v>132</v>
      </c>
      <c r="O24" s="97">
        <v>0</v>
      </c>
      <c r="P24" s="92">
        <v>24</v>
      </c>
      <c r="Q24" s="98">
        <f t="shared" si="1"/>
        <v>24</v>
      </c>
      <c r="R24" s="99" t="str">
        <f>+IF(Q24+N24&lt;=0, "NO COMPRADOR", +IF(Q24&lt;=0, "SIN COMPRA "&amp;+UPPER(TEXT('DINAMICA ENERO 26'!$C$2,"mmm 'yy")), "COMPRADOR"))</f>
        <v>COMPRADOR</v>
      </c>
      <c r="S24"/>
      <c r="T24"/>
      <c r="U24"/>
      <c r="V24"/>
      <c r="W24"/>
      <c r="X24"/>
      <c r="Y24"/>
      <c r="Z24"/>
    </row>
    <row r="25" spans="1:26" s="104" customFormat="1">
      <c r="A25" s="88" t="s">
        <v>85</v>
      </c>
      <c r="B25" s="89" t="s">
        <v>105</v>
      </c>
      <c r="C25" s="89" t="s">
        <v>60</v>
      </c>
      <c r="D25" s="103">
        <v>100068884</v>
      </c>
      <c r="E25" s="89" t="s">
        <v>61</v>
      </c>
      <c r="F25" s="89">
        <v>100069053</v>
      </c>
      <c r="G25" s="128" t="s">
        <v>111</v>
      </c>
      <c r="H25" s="166"/>
      <c r="I25" s="92"/>
      <c r="J25" s="92"/>
      <c r="K25" s="94"/>
      <c r="L25" s="92">
        <v>24</v>
      </c>
      <c r="M25" s="93">
        <v>4.8</v>
      </c>
      <c r="N25" s="98">
        <f t="shared" si="0"/>
        <v>14.4</v>
      </c>
      <c r="O25" s="97">
        <v>0</v>
      </c>
      <c r="P25" s="92">
        <v>0</v>
      </c>
      <c r="Q25" s="98">
        <f t="shared" si="1"/>
        <v>0</v>
      </c>
      <c r="R25" s="99" t="str">
        <f>+IF(Q25+N25&lt;=0, "NO COMPRADOR", +IF(Q25&lt;=0, "SIN COMPRA "&amp;+UPPER(TEXT('DINAMICA ENERO 26'!$C$2,"mmm 'yy")), "COMPRADOR"))</f>
        <v>SIN COMPRA FEB '26</v>
      </c>
      <c r="S25"/>
      <c r="T25"/>
      <c r="U25"/>
      <c r="V25"/>
      <c r="W25"/>
      <c r="X25"/>
      <c r="Y25"/>
      <c r="Z25"/>
    </row>
    <row r="26" spans="1:26" s="100" customFormat="1">
      <c r="A26" s="88" t="s">
        <v>85</v>
      </c>
      <c r="B26" s="89" t="s">
        <v>105</v>
      </c>
      <c r="C26" s="89" t="s">
        <v>60</v>
      </c>
      <c r="D26" s="103">
        <v>100068884</v>
      </c>
      <c r="E26" s="89" t="s">
        <v>61</v>
      </c>
      <c r="F26" s="89">
        <v>100061654</v>
      </c>
      <c r="G26" s="128" t="s">
        <v>112</v>
      </c>
      <c r="H26" s="166"/>
      <c r="I26" s="92"/>
      <c r="J26" s="92"/>
      <c r="K26" s="94"/>
      <c r="L26" s="92">
        <v>528</v>
      </c>
      <c r="M26" s="93">
        <v>4.8</v>
      </c>
      <c r="N26" s="98">
        <f t="shared" si="0"/>
        <v>266.39999999999998</v>
      </c>
      <c r="O26" s="97">
        <v>0</v>
      </c>
      <c r="P26" s="92">
        <v>0</v>
      </c>
      <c r="Q26" s="98">
        <f t="shared" si="1"/>
        <v>0</v>
      </c>
      <c r="R26" s="99" t="str">
        <f>+IF(Q26+N26&lt;=0, "NO COMPRADOR", +IF(Q26&lt;=0, "SIN COMPRA "&amp;+UPPER(TEXT('DINAMICA ENERO 26'!$C$2,"mmm 'yy")), "COMPRADOR"))</f>
        <v>SIN COMPRA FEB '26</v>
      </c>
      <c r="S26"/>
      <c r="T26"/>
      <c r="U26"/>
      <c r="V26"/>
      <c r="W26"/>
      <c r="X26"/>
      <c r="Y26"/>
      <c r="Z26"/>
    </row>
    <row r="27" spans="1:26" s="100" customFormat="1">
      <c r="A27" s="88" t="s">
        <v>85</v>
      </c>
      <c r="B27" s="89" t="s">
        <v>113</v>
      </c>
      <c r="C27" s="89" t="s">
        <v>60</v>
      </c>
      <c r="D27" s="103">
        <v>100088165</v>
      </c>
      <c r="E27" s="89" t="s">
        <v>62</v>
      </c>
      <c r="F27" s="89">
        <v>100000073</v>
      </c>
      <c r="G27" s="128" t="s">
        <v>114</v>
      </c>
      <c r="H27" s="166"/>
      <c r="I27" s="92"/>
      <c r="J27" s="92"/>
      <c r="K27" s="94"/>
      <c r="L27" s="92">
        <v>144</v>
      </c>
      <c r="M27" s="93">
        <v>144</v>
      </c>
      <c r="N27" s="98">
        <f t="shared" si="0"/>
        <v>144</v>
      </c>
      <c r="O27" s="97">
        <v>105.6</v>
      </c>
      <c r="P27" s="92">
        <v>0</v>
      </c>
      <c r="Q27" s="98">
        <f t="shared" si="1"/>
        <v>105.6</v>
      </c>
      <c r="R27" s="99" t="str">
        <f>+IF(Q27+N27&lt;=0, "NO COMPRADOR", +IF(Q27&lt;=0, "SIN COMPRA "&amp;+UPPER(TEXT('DINAMICA ENERO 26'!$C$2,"mmm 'yy")), "COMPRADOR"))</f>
        <v>COMPRADOR</v>
      </c>
      <c r="S27"/>
      <c r="T27"/>
      <c r="U27"/>
      <c r="V27"/>
      <c r="W27"/>
      <c r="X27"/>
      <c r="Y27"/>
      <c r="Z27"/>
    </row>
    <row r="28" spans="1:26" s="100" customFormat="1">
      <c r="A28" s="88" t="s">
        <v>85</v>
      </c>
      <c r="B28" s="89" t="s">
        <v>113</v>
      </c>
      <c r="C28" s="89" t="s">
        <v>60</v>
      </c>
      <c r="D28" s="103">
        <v>100088165</v>
      </c>
      <c r="E28" s="89" t="s">
        <v>62</v>
      </c>
      <c r="F28" s="89">
        <v>100078580</v>
      </c>
      <c r="G28" s="128" t="s">
        <v>115</v>
      </c>
      <c r="H28" s="166"/>
      <c r="I28" s="92"/>
      <c r="J28" s="92"/>
      <c r="K28" s="94"/>
      <c r="L28" s="92">
        <v>57.6</v>
      </c>
      <c r="M28" s="93">
        <v>0</v>
      </c>
      <c r="N28" s="98">
        <f t="shared" si="0"/>
        <v>28.8</v>
      </c>
      <c r="O28" s="97">
        <v>0</v>
      </c>
      <c r="P28" s="92">
        <v>0</v>
      </c>
      <c r="Q28" s="98">
        <f t="shared" si="1"/>
        <v>0</v>
      </c>
      <c r="R28" s="99" t="str">
        <f>+IF(Q28+N28&lt;=0, "NO COMPRADOR", +IF(Q28&lt;=0, "SIN COMPRA "&amp;+UPPER(TEXT('DINAMICA ENERO 26'!$C$2,"mmm 'yy")), "COMPRADOR"))</f>
        <v>SIN COMPRA FEB '26</v>
      </c>
      <c r="S28"/>
      <c r="T28"/>
      <c r="U28"/>
      <c r="V28"/>
      <c r="W28"/>
      <c r="X28"/>
      <c r="Y28"/>
      <c r="Z28"/>
    </row>
    <row r="29" spans="1:26" s="104" customFormat="1">
      <c r="A29" s="88" t="s">
        <v>85</v>
      </c>
      <c r="B29" s="89" t="s">
        <v>113</v>
      </c>
      <c r="C29" s="89" t="s">
        <v>60</v>
      </c>
      <c r="D29" s="103">
        <v>100088165</v>
      </c>
      <c r="E29" s="89" t="s">
        <v>62</v>
      </c>
      <c r="F29" s="89">
        <v>100080926</v>
      </c>
      <c r="G29" s="128" t="s">
        <v>116</v>
      </c>
      <c r="H29" s="166"/>
      <c r="I29" s="92"/>
      <c r="J29" s="92"/>
      <c r="K29" s="94"/>
      <c r="L29" s="92">
        <v>408</v>
      </c>
      <c r="M29" s="93">
        <v>0</v>
      </c>
      <c r="N29" s="98">
        <f t="shared" si="0"/>
        <v>204</v>
      </c>
      <c r="O29" s="97">
        <v>0</v>
      </c>
      <c r="P29" s="92">
        <v>0</v>
      </c>
      <c r="Q29" s="98">
        <f t="shared" si="1"/>
        <v>0</v>
      </c>
      <c r="R29" s="99" t="str">
        <f>+IF(Q29+N29&lt;=0, "NO COMPRADOR", +IF(Q29&lt;=0, "SIN COMPRA "&amp;+UPPER(TEXT('DINAMICA ENERO 26'!$C$2,"mmm 'yy")), "COMPRADOR"))</f>
        <v>SIN COMPRA FEB '26</v>
      </c>
      <c r="S29"/>
      <c r="T29"/>
      <c r="U29"/>
      <c r="V29"/>
      <c r="W29"/>
      <c r="X29"/>
      <c r="Y29"/>
      <c r="Z29"/>
    </row>
    <row r="30" spans="1:26" s="100" customFormat="1">
      <c r="A30" s="88" t="s">
        <v>85</v>
      </c>
      <c r="B30" s="89" t="s">
        <v>113</v>
      </c>
      <c r="C30" s="89" t="s">
        <v>60</v>
      </c>
      <c r="D30" s="103">
        <v>100088165</v>
      </c>
      <c r="E30" s="89" t="s">
        <v>62</v>
      </c>
      <c r="F30" s="89">
        <v>100077115</v>
      </c>
      <c r="G30" s="128" t="s">
        <v>117</v>
      </c>
      <c r="H30" s="166"/>
      <c r="I30" s="92"/>
      <c r="J30" s="92"/>
      <c r="K30" s="94"/>
      <c r="L30" s="92">
        <v>0</v>
      </c>
      <c r="M30" s="93">
        <v>0</v>
      </c>
      <c r="N30" s="98">
        <f t="shared" si="0"/>
        <v>0</v>
      </c>
      <c r="O30" s="97">
        <v>0</v>
      </c>
      <c r="P30" s="92">
        <v>0</v>
      </c>
      <c r="Q30" s="98">
        <f t="shared" si="1"/>
        <v>0</v>
      </c>
      <c r="R30" s="99" t="str">
        <f>+IF(Q30+N30&lt;=0, "NO COMPRADOR", +IF(Q30&lt;=0, "SIN COMPRA "&amp;+UPPER(TEXT('DINAMICA ENERO 26'!$C$2,"mmm 'yy")), "COMPRADOR"))</f>
        <v>NO COMPRADOR</v>
      </c>
      <c r="S30"/>
      <c r="T30"/>
      <c r="U30"/>
      <c r="V30"/>
      <c r="W30"/>
      <c r="X30"/>
      <c r="Y30"/>
      <c r="Z30"/>
    </row>
    <row r="31" spans="1:26" s="100" customFormat="1">
      <c r="A31" s="88" t="s">
        <v>85</v>
      </c>
      <c r="B31" s="89" t="s">
        <v>113</v>
      </c>
      <c r="C31" s="89" t="s">
        <v>60</v>
      </c>
      <c r="D31" s="103">
        <v>100088165</v>
      </c>
      <c r="E31" s="89" t="s">
        <v>62</v>
      </c>
      <c r="F31" s="89">
        <v>100078578</v>
      </c>
      <c r="G31" s="128" t="s">
        <v>118</v>
      </c>
      <c r="H31" s="166"/>
      <c r="I31" s="92"/>
      <c r="J31" s="92"/>
      <c r="K31" s="94"/>
      <c r="L31" s="92">
        <v>4.8</v>
      </c>
      <c r="M31" s="93">
        <v>0</v>
      </c>
      <c r="N31" s="98">
        <f t="shared" si="0"/>
        <v>2.4</v>
      </c>
      <c r="O31" s="97">
        <v>0</v>
      </c>
      <c r="P31" s="92">
        <v>0</v>
      </c>
      <c r="Q31" s="98">
        <f t="shared" si="1"/>
        <v>0</v>
      </c>
      <c r="R31" s="99" t="str">
        <f>+IF(Q31+N31&lt;=0, "NO COMPRADOR", +IF(Q31&lt;=0, "SIN COMPRA "&amp;+UPPER(TEXT('DINAMICA ENERO 26'!$C$2,"mmm 'yy")), "COMPRADOR"))</f>
        <v>SIN COMPRA FEB '26</v>
      </c>
      <c r="S31"/>
      <c r="T31"/>
      <c r="U31"/>
      <c r="V31"/>
      <c r="W31"/>
      <c r="X31"/>
      <c r="Y31"/>
      <c r="Z31"/>
    </row>
    <row r="32" spans="1:26" s="104" customFormat="1">
      <c r="A32" s="88" t="s">
        <v>85</v>
      </c>
      <c r="B32" s="89" t="s">
        <v>113</v>
      </c>
      <c r="C32" s="89" t="s">
        <v>60</v>
      </c>
      <c r="D32" s="103">
        <v>100088165</v>
      </c>
      <c r="E32" s="89" t="s">
        <v>62</v>
      </c>
      <c r="F32" s="89">
        <v>100021337</v>
      </c>
      <c r="G32" s="128" t="s">
        <v>119</v>
      </c>
      <c r="H32" s="166"/>
      <c r="I32" s="92"/>
      <c r="J32" s="92"/>
      <c r="K32" s="94"/>
      <c r="L32" s="92">
        <v>0</v>
      </c>
      <c r="M32" s="93">
        <v>19.2</v>
      </c>
      <c r="N32" s="98">
        <f t="shared" si="0"/>
        <v>9.6</v>
      </c>
      <c r="O32" s="97">
        <v>0</v>
      </c>
      <c r="P32" s="92">
        <v>0</v>
      </c>
      <c r="Q32" s="98">
        <f t="shared" si="1"/>
        <v>0</v>
      </c>
      <c r="R32" s="99" t="str">
        <f>+IF(Q32+N32&lt;=0, "NO COMPRADOR", +IF(Q32&lt;=0, "SIN COMPRA "&amp;+UPPER(TEXT('DINAMICA ENERO 26'!$C$2,"mmm 'yy")), "COMPRADOR"))</f>
        <v>SIN COMPRA FEB '26</v>
      </c>
      <c r="S32"/>
      <c r="T32"/>
      <c r="U32"/>
      <c r="V32"/>
      <c r="W32"/>
      <c r="X32"/>
      <c r="Y32"/>
      <c r="Z32"/>
    </row>
    <row r="33" spans="1:26" s="104" customFormat="1">
      <c r="A33" s="88" t="s">
        <v>85</v>
      </c>
      <c r="B33" s="89" t="s">
        <v>120</v>
      </c>
      <c r="C33" s="89" t="s">
        <v>52</v>
      </c>
      <c r="D33" s="103">
        <v>100088149</v>
      </c>
      <c r="E33" s="89" t="s">
        <v>56</v>
      </c>
      <c r="F33" s="89">
        <v>100002239</v>
      </c>
      <c r="G33" s="128" t="s">
        <v>121</v>
      </c>
      <c r="H33" s="166"/>
      <c r="I33" s="92"/>
      <c r="J33" s="92"/>
      <c r="K33" s="94"/>
      <c r="L33" s="92">
        <v>24</v>
      </c>
      <c r="M33" s="93">
        <v>24</v>
      </c>
      <c r="N33" s="98">
        <f t="shared" si="0"/>
        <v>24</v>
      </c>
      <c r="O33" s="97">
        <v>408</v>
      </c>
      <c r="P33" s="92">
        <v>0</v>
      </c>
      <c r="Q33" s="98">
        <f t="shared" si="1"/>
        <v>408</v>
      </c>
      <c r="R33" s="99" t="str">
        <f>+IF(Q33+N33&lt;=0, "NO COMPRADOR", +IF(Q33&lt;=0, "SIN COMPRA "&amp;+UPPER(TEXT('DINAMICA ENERO 26'!$C$2,"mmm 'yy")), "COMPRADOR"))</f>
        <v>COMPRADOR</v>
      </c>
      <c r="S33"/>
      <c r="T33"/>
      <c r="U33"/>
      <c r="V33"/>
      <c r="W33"/>
      <c r="X33"/>
      <c r="Y33"/>
      <c r="Z33"/>
    </row>
    <row r="34" spans="1:26" s="100" customFormat="1">
      <c r="A34" s="88" t="s">
        <v>85</v>
      </c>
      <c r="B34" s="89" t="s">
        <v>120</v>
      </c>
      <c r="C34" s="89" t="s">
        <v>52</v>
      </c>
      <c r="D34" s="103">
        <v>100088149</v>
      </c>
      <c r="E34" s="89" t="s">
        <v>56</v>
      </c>
      <c r="F34" s="89">
        <v>100024103</v>
      </c>
      <c r="G34" s="128" t="s">
        <v>122</v>
      </c>
      <c r="H34" s="166"/>
      <c r="I34" s="92"/>
      <c r="J34" s="92"/>
      <c r="K34" s="94"/>
      <c r="L34" s="92">
        <v>0</v>
      </c>
      <c r="M34" s="93">
        <v>9.6</v>
      </c>
      <c r="N34" s="98">
        <f t="shared" si="0"/>
        <v>4.8</v>
      </c>
      <c r="O34" s="97">
        <v>0</v>
      </c>
      <c r="P34" s="92">
        <v>0</v>
      </c>
      <c r="Q34" s="98">
        <f t="shared" si="1"/>
        <v>0</v>
      </c>
      <c r="R34" s="99" t="str">
        <f>+IF(Q34+N34&lt;=0, "NO COMPRADOR", +IF(Q34&lt;=0, "SIN COMPRA "&amp;+UPPER(TEXT('DINAMICA ENERO 26'!$C$2,"mmm 'yy")), "COMPRADOR"))</f>
        <v>SIN COMPRA FEB '26</v>
      </c>
      <c r="S34"/>
      <c r="T34"/>
      <c r="U34"/>
      <c r="V34"/>
      <c r="W34"/>
      <c r="X34"/>
      <c r="Y34"/>
      <c r="Z34"/>
    </row>
    <row r="35" spans="1:26" s="100" customFormat="1">
      <c r="A35" s="88" t="s">
        <v>85</v>
      </c>
      <c r="B35" s="89" t="s">
        <v>120</v>
      </c>
      <c r="C35" s="89" t="s">
        <v>52</v>
      </c>
      <c r="D35" s="103">
        <v>100088149</v>
      </c>
      <c r="E35" s="89" t="s">
        <v>56</v>
      </c>
      <c r="F35" s="89">
        <v>100086135</v>
      </c>
      <c r="G35" s="128" t="s">
        <v>123</v>
      </c>
      <c r="H35" s="166"/>
      <c r="I35" s="92"/>
      <c r="J35" s="92"/>
      <c r="K35" s="94"/>
      <c r="L35" s="92">
        <v>0</v>
      </c>
      <c r="M35" s="93">
        <v>0</v>
      </c>
      <c r="N35" s="98">
        <f t="shared" si="0"/>
        <v>0</v>
      </c>
      <c r="O35" s="97">
        <v>0</v>
      </c>
      <c r="P35" s="92">
        <v>0</v>
      </c>
      <c r="Q35" s="98">
        <f t="shared" si="1"/>
        <v>0</v>
      </c>
      <c r="R35" s="99" t="str">
        <f>+IF(Q35+N35&lt;=0, "NO COMPRADOR", +IF(Q35&lt;=0, "SIN COMPRA "&amp;+UPPER(TEXT('DINAMICA ENERO 26'!$C$2,"mmm 'yy")), "COMPRADOR"))</f>
        <v>NO COMPRADOR</v>
      </c>
      <c r="S35"/>
      <c r="T35"/>
      <c r="U35"/>
      <c r="V35"/>
      <c r="W35"/>
      <c r="X35"/>
      <c r="Y35"/>
      <c r="Z35"/>
    </row>
    <row r="36" spans="1:26" s="100" customFormat="1">
      <c r="A36" s="88" t="s">
        <v>85</v>
      </c>
      <c r="B36" s="89" t="s">
        <v>120</v>
      </c>
      <c r="C36" s="89" t="s">
        <v>52</v>
      </c>
      <c r="D36" s="103">
        <v>100088149</v>
      </c>
      <c r="E36" s="89" t="s">
        <v>56</v>
      </c>
      <c r="F36" s="89">
        <v>100077830</v>
      </c>
      <c r="G36" s="128" t="s">
        <v>124</v>
      </c>
      <c r="H36" s="166"/>
      <c r="I36" s="92"/>
      <c r="J36" s="92"/>
      <c r="K36" s="94"/>
      <c r="L36" s="92">
        <v>0</v>
      </c>
      <c r="M36" s="93">
        <v>0</v>
      </c>
      <c r="N36" s="98">
        <f t="shared" si="0"/>
        <v>0</v>
      </c>
      <c r="O36" s="97">
        <v>0</v>
      </c>
      <c r="P36" s="92">
        <v>0</v>
      </c>
      <c r="Q36" s="98">
        <f t="shared" si="1"/>
        <v>0</v>
      </c>
      <c r="R36" s="99" t="str">
        <f>+IF(Q36+N36&lt;=0, "NO COMPRADOR", +IF(Q36&lt;=0, "SIN COMPRA "&amp;+UPPER(TEXT('DINAMICA ENERO 26'!$C$2,"mmm 'yy")), "COMPRADOR"))</f>
        <v>NO COMPRADOR</v>
      </c>
      <c r="S36"/>
      <c r="T36"/>
      <c r="U36"/>
      <c r="V36"/>
      <c r="W36"/>
      <c r="X36"/>
      <c r="Y36"/>
      <c r="Z36"/>
    </row>
    <row r="37" spans="1:26" s="100" customFormat="1">
      <c r="A37" s="88" t="s">
        <v>85</v>
      </c>
      <c r="B37" s="89" t="s">
        <v>120</v>
      </c>
      <c r="C37" s="89" t="s">
        <v>52</v>
      </c>
      <c r="D37" s="103">
        <v>100088149</v>
      </c>
      <c r="E37" s="89" t="s">
        <v>56</v>
      </c>
      <c r="F37" s="89">
        <v>100066030</v>
      </c>
      <c r="G37" s="128" t="s">
        <v>125</v>
      </c>
      <c r="H37" s="166"/>
      <c r="I37" s="92"/>
      <c r="J37" s="92"/>
      <c r="K37" s="94"/>
      <c r="L37" s="92">
        <v>0</v>
      </c>
      <c r="M37" s="93">
        <v>4.8</v>
      </c>
      <c r="N37" s="98">
        <f t="shared" si="0"/>
        <v>2.4</v>
      </c>
      <c r="O37" s="97">
        <v>0</v>
      </c>
      <c r="P37" s="92">
        <v>0</v>
      </c>
      <c r="Q37" s="98">
        <f t="shared" si="1"/>
        <v>0</v>
      </c>
      <c r="R37" s="99" t="str">
        <f>+IF(Q37+N37&lt;=0, "NO COMPRADOR", +IF(Q37&lt;=0, "SIN COMPRA "&amp;+UPPER(TEXT('DINAMICA ENERO 26'!$C$2,"mmm 'yy")), "COMPRADOR"))</f>
        <v>SIN COMPRA FEB '26</v>
      </c>
      <c r="S37"/>
      <c r="T37"/>
      <c r="U37"/>
      <c r="V37"/>
      <c r="W37"/>
      <c r="X37"/>
      <c r="Y37"/>
      <c r="Z37"/>
    </row>
    <row r="38" spans="1:26" s="100" customFormat="1">
      <c r="A38" s="88" t="s">
        <v>85</v>
      </c>
      <c r="B38" s="89" t="s">
        <v>120</v>
      </c>
      <c r="C38" s="89" t="s">
        <v>52</v>
      </c>
      <c r="D38" s="103">
        <v>100088149</v>
      </c>
      <c r="E38" s="89" t="s">
        <v>56</v>
      </c>
      <c r="F38" s="89">
        <v>100085622</v>
      </c>
      <c r="G38" s="128" t="s">
        <v>126</v>
      </c>
      <c r="H38" s="166"/>
      <c r="I38" s="92"/>
      <c r="J38" s="92"/>
      <c r="K38" s="94"/>
      <c r="L38" s="92">
        <v>9.6</v>
      </c>
      <c r="M38" s="93">
        <v>9.6</v>
      </c>
      <c r="N38" s="98">
        <f t="shared" si="0"/>
        <v>9.6</v>
      </c>
      <c r="O38" s="97">
        <v>0</v>
      </c>
      <c r="P38" s="92">
        <v>0</v>
      </c>
      <c r="Q38" s="98">
        <f t="shared" si="1"/>
        <v>0</v>
      </c>
      <c r="R38" s="99" t="str">
        <f>+IF(Q38+N38&lt;=0, "NO COMPRADOR", +IF(Q38&lt;=0, "SIN COMPRA "&amp;+UPPER(TEXT('DINAMICA ENERO 26'!$C$2,"mmm 'yy")), "COMPRADOR"))</f>
        <v>SIN COMPRA FEB '26</v>
      </c>
      <c r="S38"/>
      <c r="T38"/>
      <c r="U38"/>
      <c r="V38"/>
      <c r="W38"/>
      <c r="X38"/>
      <c r="Y38"/>
      <c r="Z38"/>
    </row>
    <row r="39" spans="1:26" s="104" customFormat="1">
      <c r="A39" s="88" t="s">
        <v>85</v>
      </c>
      <c r="B39" s="89" t="s">
        <v>120</v>
      </c>
      <c r="C39" s="89" t="s">
        <v>52</v>
      </c>
      <c r="D39" s="103">
        <v>100088149</v>
      </c>
      <c r="E39" s="89" t="s">
        <v>56</v>
      </c>
      <c r="F39" s="89">
        <v>100079184</v>
      </c>
      <c r="G39" s="128" t="s">
        <v>127</v>
      </c>
      <c r="H39" s="166"/>
      <c r="I39" s="92"/>
      <c r="J39" s="92"/>
      <c r="K39" s="94"/>
      <c r="L39" s="92">
        <v>0</v>
      </c>
      <c r="M39" s="93">
        <v>24</v>
      </c>
      <c r="N39" s="98">
        <f t="shared" si="0"/>
        <v>12</v>
      </c>
      <c r="O39" s="97">
        <v>24</v>
      </c>
      <c r="P39" s="92">
        <v>0</v>
      </c>
      <c r="Q39" s="98">
        <f t="shared" si="1"/>
        <v>24</v>
      </c>
      <c r="R39" s="99" t="str">
        <f>+IF(Q39+N39&lt;=0, "NO COMPRADOR", +IF(Q39&lt;=0, "SIN COMPRA "&amp;+UPPER(TEXT('DINAMICA ENERO 26'!$C$2,"mmm 'yy")), "COMPRADOR"))</f>
        <v>COMPRADOR</v>
      </c>
      <c r="S39"/>
      <c r="T39"/>
      <c r="U39"/>
      <c r="V39"/>
      <c r="W39"/>
      <c r="X39"/>
      <c r="Y39"/>
      <c r="Z39"/>
    </row>
    <row r="40" spans="1:26" s="104" customFormat="1">
      <c r="A40" s="88" t="s">
        <v>85</v>
      </c>
      <c r="B40" s="89" t="s">
        <v>120</v>
      </c>
      <c r="C40" s="89" t="s">
        <v>52</v>
      </c>
      <c r="D40" s="103">
        <v>100088149</v>
      </c>
      <c r="E40" s="89" t="s">
        <v>56</v>
      </c>
      <c r="F40" s="89">
        <v>100071982</v>
      </c>
      <c r="G40" s="128" t="s">
        <v>128</v>
      </c>
      <c r="H40" s="166"/>
      <c r="I40" s="92"/>
      <c r="J40" s="92"/>
      <c r="K40" s="94"/>
      <c r="L40" s="92">
        <v>24</v>
      </c>
      <c r="M40" s="93">
        <v>48</v>
      </c>
      <c r="N40" s="98">
        <f t="shared" si="0"/>
        <v>36</v>
      </c>
      <c r="O40" s="97">
        <v>43.199999999999996</v>
      </c>
      <c r="P40" s="92">
        <v>0</v>
      </c>
      <c r="Q40" s="98">
        <f t="shared" si="1"/>
        <v>43.199999999999996</v>
      </c>
      <c r="R40" s="99" t="str">
        <f>+IF(Q40+N40&lt;=0, "NO COMPRADOR", +IF(Q40&lt;=0, "SIN COMPRA "&amp;+UPPER(TEXT('DINAMICA ENERO 26'!$C$2,"mmm 'yy")), "COMPRADOR"))</f>
        <v>COMPRADOR</v>
      </c>
      <c r="S40"/>
      <c r="T40"/>
      <c r="U40"/>
      <c r="V40"/>
      <c r="W40"/>
      <c r="X40"/>
      <c r="Y40"/>
      <c r="Z40"/>
    </row>
    <row r="41" spans="1:26" s="100" customFormat="1">
      <c r="A41" s="88" t="s">
        <v>85</v>
      </c>
      <c r="B41" s="89" t="s">
        <v>120</v>
      </c>
      <c r="C41" s="89" t="s">
        <v>52</v>
      </c>
      <c r="D41" s="103">
        <v>100088149</v>
      </c>
      <c r="E41" s="89" t="s">
        <v>56</v>
      </c>
      <c r="F41" s="89">
        <v>100001605</v>
      </c>
      <c r="G41" s="128" t="s">
        <v>129</v>
      </c>
      <c r="H41" s="166"/>
      <c r="I41" s="92"/>
      <c r="J41" s="92"/>
      <c r="K41" s="94"/>
      <c r="L41" s="92">
        <v>9.6</v>
      </c>
      <c r="M41" s="93">
        <v>-9.6</v>
      </c>
      <c r="N41" s="98">
        <f t="shared" si="0"/>
        <v>0</v>
      </c>
      <c r="O41" s="97">
        <v>0</v>
      </c>
      <c r="P41" s="92">
        <v>0</v>
      </c>
      <c r="Q41" s="98">
        <f t="shared" si="1"/>
        <v>0</v>
      </c>
      <c r="R41" s="99" t="str">
        <f>+IF(Q41+N41&lt;=0, "NO COMPRADOR", +IF(Q41&lt;=0, "SIN COMPRA "&amp;+UPPER(TEXT('DINAMICA ENERO 26'!$C$2,"mmm 'yy")), "COMPRADOR"))</f>
        <v>NO COMPRADOR</v>
      </c>
      <c r="S41"/>
      <c r="T41"/>
      <c r="U41"/>
      <c r="V41"/>
      <c r="W41"/>
      <c r="X41"/>
      <c r="Y41"/>
      <c r="Z41"/>
    </row>
    <row r="42" spans="1:26" s="100" customFormat="1">
      <c r="A42" s="88" t="s">
        <v>85</v>
      </c>
      <c r="B42" s="89" t="s">
        <v>120</v>
      </c>
      <c r="C42" s="89" t="s">
        <v>52</v>
      </c>
      <c r="D42" s="103">
        <v>100088149</v>
      </c>
      <c r="E42" s="89" t="s">
        <v>56</v>
      </c>
      <c r="F42" s="89">
        <v>100082658</v>
      </c>
      <c r="G42" s="128" t="s">
        <v>130</v>
      </c>
      <c r="H42" s="166"/>
      <c r="I42" s="92"/>
      <c r="J42" s="92"/>
      <c r="K42" s="94"/>
      <c r="L42" s="92">
        <v>0</v>
      </c>
      <c r="M42" s="93">
        <v>0</v>
      </c>
      <c r="N42" s="98">
        <f t="shared" si="0"/>
        <v>0</v>
      </c>
      <c r="O42" s="97">
        <v>0</v>
      </c>
      <c r="P42" s="92">
        <v>0</v>
      </c>
      <c r="Q42" s="98">
        <f t="shared" si="1"/>
        <v>0</v>
      </c>
      <c r="R42" s="99" t="str">
        <f>+IF(Q42+N42&lt;=0, "NO COMPRADOR", +IF(Q42&lt;=0, "SIN COMPRA "&amp;+UPPER(TEXT('DINAMICA ENERO 26'!$C$2,"mmm 'yy")), "COMPRADOR"))</f>
        <v>NO COMPRADOR</v>
      </c>
      <c r="S42"/>
      <c r="T42"/>
      <c r="U42"/>
      <c r="V42"/>
      <c r="W42"/>
      <c r="X42"/>
      <c r="Y42"/>
      <c r="Z42"/>
    </row>
    <row r="43" spans="1:26" s="100" customFormat="1">
      <c r="A43" s="88" t="s">
        <v>85</v>
      </c>
      <c r="B43" s="89" t="s">
        <v>120</v>
      </c>
      <c r="C43" s="89" t="s">
        <v>52</v>
      </c>
      <c r="D43" s="103">
        <v>100088149</v>
      </c>
      <c r="E43" s="89" t="s">
        <v>56</v>
      </c>
      <c r="F43" s="89">
        <v>100060564</v>
      </c>
      <c r="G43" s="128" t="s">
        <v>131</v>
      </c>
      <c r="H43" s="166"/>
      <c r="I43" s="92"/>
      <c r="J43" s="92"/>
      <c r="K43" s="94"/>
      <c r="L43" s="92">
        <v>0</v>
      </c>
      <c r="M43" s="93">
        <v>0</v>
      </c>
      <c r="N43" s="98">
        <f t="shared" si="0"/>
        <v>0</v>
      </c>
      <c r="O43" s="97">
        <v>0</v>
      </c>
      <c r="P43" s="92">
        <v>0</v>
      </c>
      <c r="Q43" s="98">
        <f t="shared" si="1"/>
        <v>0</v>
      </c>
      <c r="R43" s="99" t="str">
        <f>+IF(Q43+N43&lt;=0, "NO COMPRADOR", +IF(Q43&lt;=0, "SIN COMPRA "&amp;+UPPER(TEXT('DINAMICA ENERO 26'!$C$2,"mmm 'yy")), "COMPRADOR"))</f>
        <v>NO COMPRADOR</v>
      </c>
      <c r="S43"/>
      <c r="T43"/>
      <c r="U43"/>
      <c r="V43"/>
      <c r="W43"/>
      <c r="X43"/>
      <c r="Y43"/>
      <c r="Z43"/>
    </row>
    <row r="44" spans="1:26" s="100" customFormat="1">
      <c r="A44" s="88" t="s">
        <v>85</v>
      </c>
      <c r="B44" s="89" t="s">
        <v>120</v>
      </c>
      <c r="C44" s="89" t="s">
        <v>52</v>
      </c>
      <c r="D44" s="103">
        <v>100088149</v>
      </c>
      <c r="E44" s="89" t="s">
        <v>56</v>
      </c>
      <c r="F44" s="89">
        <v>100001635</v>
      </c>
      <c r="G44" s="128" t="s">
        <v>132</v>
      </c>
      <c r="H44" s="166"/>
      <c r="I44" s="92"/>
      <c r="J44" s="92"/>
      <c r="K44" s="94"/>
      <c r="L44" s="92">
        <v>9.6</v>
      </c>
      <c r="M44" s="93">
        <v>0</v>
      </c>
      <c r="N44" s="98">
        <f t="shared" si="0"/>
        <v>4.8</v>
      </c>
      <c r="O44" s="97">
        <v>24</v>
      </c>
      <c r="P44" s="92">
        <v>0</v>
      </c>
      <c r="Q44" s="98">
        <f t="shared" si="1"/>
        <v>24</v>
      </c>
      <c r="R44" s="99" t="str">
        <f>+IF(Q44+N44&lt;=0, "NO COMPRADOR", +IF(Q44&lt;=0, "SIN COMPRA "&amp;+UPPER(TEXT('DINAMICA ENERO 26'!$C$2,"mmm 'yy")), "COMPRADOR"))</f>
        <v>COMPRADOR</v>
      </c>
      <c r="S44"/>
      <c r="T44"/>
      <c r="U44"/>
      <c r="V44"/>
      <c r="W44"/>
      <c r="X44"/>
      <c r="Y44"/>
      <c r="Z44"/>
    </row>
    <row r="45" spans="1:26" s="104" customFormat="1">
      <c r="A45" s="88" t="s">
        <v>85</v>
      </c>
      <c r="B45" s="89" t="s">
        <v>120</v>
      </c>
      <c r="C45" s="89" t="s">
        <v>52</v>
      </c>
      <c r="D45" s="103">
        <v>100088149</v>
      </c>
      <c r="E45" s="89" t="s">
        <v>56</v>
      </c>
      <c r="F45" s="89">
        <v>100001862</v>
      </c>
      <c r="G45" s="128" t="s">
        <v>133</v>
      </c>
      <c r="H45" s="166"/>
      <c r="I45" s="92"/>
      <c r="J45" s="92"/>
      <c r="K45" s="94"/>
      <c r="L45" s="92">
        <v>0</v>
      </c>
      <c r="M45" s="93">
        <v>28.8</v>
      </c>
      <c r="N45" s="98">
        <f t="shared" si="0"/>
        <v>14.4</v>
      </c>
      <c r="O45" s="97">
        <v>0</v>
      </c>
      <c r="P45" s="92">
        <v>0</v>
      </c>
      <c r="Q45" s="98">
        <f t="shared" si="1"/>
        <v>0</v>
      </c>
      <c r="R45" s="99" t="str">
        <f>+IF(Q45+N45&lt;=0, "NO COMPRADOR", +IF(Q45&lt;=0, "SIN COMPRA "&amp;+UPPER(TEXT('DINAMICA ENERO 26'!$C$2,"mmm 'yy")), "COMPRADOR"))</f>
        <v>SIN COMPRA FEB '26</v>
      </c>
      <c r="S45"/>
      <c r="T45"/>
      <c r="U45"/>
      <c r="V45"/>
      <c r="W45"/>
      <c r="X45"/>
      <c r="Y45"/>
      <c r="Z45"/>
    </row>
    <row r="46" spans="1:26" s="100" customFormat="1">
      <c r="A46" s="88" t="s">
        <v>85</v>
      </c>
      <c r="B46" s="89" t="s">
        <v>120</v>
      </c>
      <c r="C46" s="89" t="s">
        <v>52</v>
      </c>
      <c r="D46" s="103">
        <v>100088149</v>
      </c>
      <c r="E46" s="89" t="s">
        <v>56</v>
      </c>
      <c r="F46" s="89">
        <v>100010026</v>
      </c>
      <c r="G46" s="128" t="s">
        <v>134</v>
      </c>
      <c r="H46" s="166"/>
      <c r="I46" s="92"/>
      <c r="J46" s="92"/>
      <c r="K46" s="94"/>
      <c r="L46" s="92">
        <v>0</v>
      </c>
      <c r="M46" s="93">
        <v>0</v>
      </c>
      <c r="N46" s="98">
        <f t="shared" si="0"/>
        <v>0</v>
      </c>
      <c r="O46" s="97">
        <v>0</v>
      </c>
      <c r="P46" s="92">
        <v>0</v>
      </c>
      <c r="Q46" s="98">
        <f t="shared" si="1"/>
        <v>0</v>
      </c>
      <c r="R46" s="99" t="str">
        <f>+IF(Q46+N46&lt;=0, "NO COMPRADOR", +IF(Q46&lt;=0, "SIN COMPRA "&amp;+UPPER(TEXT('DINAMICA ENERO 26'!$C$2,"mmm 'yy")), "COMPRADOR"))</f>
        <v>NO COMPRADOR</v>
      </c>
      <c r="S46"/>
      <c r="T46"/>
      <c r="U46"/>
      <c r="V46"/>
      <c r="W46"/>
      <c r="X46"/>
      <c r="Y46"/>
      <c r="Z46"/>
    </row>
    <row r="47" spans="1:26" s="100" customFormat="1">
      <c r="A47" s="88" t="s">
        <v>85</v>
      </c>
      <c r="B47" s="89" t="s">
        <v>120</v>
      </c>
      <c r="C47" s="89" t="s">
        <v>52</v>
      </c>
      <c r="D47" s="103">
        <v>100088149</v>
      </c>
      <c r="E47" s="89" t="s">
        <v>56</v>
      </c>
      <c r="F47" s="89">
        <v>100064492</v>
      </c>
      <c r="G47" s="128" t="s">
        <v>135</v>
      </c>
      <c r="H47" s="166"/>
      <c r="I47" s="92"/>
      <c r="J47" s="92"/>
      <c r="K47" s="94"/>
      <c r="L47" s="92">
        <v>72</v>
      </c>
      <c r="M47" s="93">
        <v>24</v>
      </c>
      <c r="N47" s="98">
        <f t="shared" si="0"/>
        <v>48</v>
      </c>
      <c r="O47" s="97">
        <v>24</v>
      </c>
      <c r="P47" s="92">
        <v>0</v>
      </c>
      <c r="Q47" s="98">
        <f t="shared" si="1"/>
        <v>24</v>
      </c>
      <c r="R47" s="99" t="str">
        <f>+IF(Q47+N47&lt;=0, "NO COMPRADOR", +IF(Q47&lt;=0, "SIN COMPRA "&amp;+UPPER(TEXT('DINAMICA ENERO 26'!$C$2,"mmm 'yy")), "COMPRADOR"))</f>
        <v>COMPRADOR</v>
      </c>
      <c r="S47"/>
      <c r="T47"/>
      <c r="U47"/>
      <c r="V47"/>
      <c r="W47"/>
      <c r="X47"/>
      <c r="Y47"/>
      <c r="Z47"/>
    </row>
    <row r="48" spans="1:26" s="100" customFormat="1">
      <c r="A48" s="88" t="s">
        <v>85</v>
      </c>
      <c r="B48" s="89" t="s">
        <v>120</v>
      </c>
      <c r="C48" s="89" t="s">
        <v>52</v>
      </c>
      <c r="D48" s="103">
        <v>100088149</v>
      </c>
      <c r="E48" s="89" t="s">
        <v>56</v>
      </c>
      <c r="F48" s="89">
        <v>100084428</v>
      </c>
      <c r="G48" s="128" t="s">
        <v>136</v>
      </c>
      <c r="H48" s="166"/>
      <c r="I48" s="92"/>
      <c r="J48" s="92"/>
      <c r="K48" s="94"/>
      <c r="L48" s="92">
        <v>0</v>
      </c>
      <c r="M48" s="93">
        <v>0</v>
      </c>
      <c r="N48" s="98">
        <f t="shared" si="0"/>
        <v>0</v>
      </c>
      <c r="O48" s="97">
        <v>0</v>
      </c>
      <c r="P48" s="92">
        <v>0</v>
      </c>
      <c r="Q48" s="98">
        <f t="shared" si="1"/>
        <v>0</v>
      </c>
      <c r="R48" s="99" t="str">
        <f>+IF(Q48+N48&lt;=0, "NO COMPRADOR", +IF(Q48&lt;=0, "SIN COMPRA "&amp;+UPPER(TEXT('DINAMICA ENERO 26'!$C$2,"mmm 'yy")), "COMPRADOR"))</f>
        <v>NO COMPRADOR</v>
      </c>
      <c r="S48"/>
      <c r="T48"/>
      <c r="U48"/>
      <c r="V48"/>
      <c r="W48"/>
      <c r="X48"/>
      <c r="Y48"/>
      <c r="Z48"/>
    </row>
    <row r="49" spans="1:26" s="100" customFormat="1">
      <c r="A49" s="88" t="s">
        <v>85</v>
      </c>
      <c r="B49" s="89" t="s">
        <v>120</v>
      </c>
      <c r="C49" s="89" t="s">
        <v>52</v>
      </c>
      <c r="D49" s="103">
        <v>100088149</v>
      </c>
      <c r="E49" s="89" t="s">
        <v>56</v>
      </c>
      <c r="F49" s="89">
        <v>100088143</v>
      </c>
      <c r="G49" s="128" t="s">
        <v>137</v>
      </c>
      <c r="H49" s="166"/>
      <c r="I49" s="92"/>
      <c r="J49" s="92"/>
      <c r="K49" s="94"/>
      <c r="L49" s="92">
        <v>0</v>
      </c>
      <c r="M49" s="93">
        <v>0</v>
      </c>
      <c r="N49" s="98">
        <f t="shared" si="0"/>
        <v>0</v>
      </c>
      <c r="O49" s="97">
        <v>0</v>
      </c>
      <c r="P49" s="92">
        <v>0</v>
      </c>
      <c r="Q49" s="98">
        <f t="shared" si="1"/>
        <v>0</v>
      </c>
      <c r="R49" s="99" t="str">
        <f>+IF(Q49+N49&lt;=0, "NO COMPRADOR", +IF(Q49&lt;=0, "SIN COMPRA "&amp;+UPPER(TEXT('DINAMICA ENERO 26'!$C$2,"mmm 'yy")), "COMPRADOR"))</f>
        <v>NO COMPRADOR</v>
      </c>
      <c r="S49"/>
      <c r="T49"/>
      <c r="U49"/>
      <c r="V49"/>
      <c r="W49"/>
      <c r="X49"/>
      <c r="Y49"/>
      <c r="Z49"/>
    </row>
    <row r="50" spans="1:26" s="100" customFormat="1">
      <c r="A50" s="88" t="s">
        <v>85</v>
      </c>
      <c r="B50" s="89" t="s">
        <v>120</v>
      </c>
      <c r="C50" s="89" t="s">
        <v>52</v>
      </c>
      <c r="D50" s="103">
        <v>100088149</v>
      </c>
      <c r="E50" s="89" t="s">
        <v>56</v>
      </c>
      <c r="F50" s="89">
        <v>100069360</v>
      </c>
      <c r="G50" s="128" t="s">
        <v>138</v>
      </c>
      <c r="H50" s="166"/>
      <c r="I50" s="92"/>
      <c r="J50" s="92"/>
      <c r="K50" s="94"/>
      <c r="L50" s="92">
        <v>0</v>
      </c>
      <c r="M50" s="93">
        <v>0</v>
      </c>
      <c r="N50" s="98">
        <f t="shared" si="0"/>
        <v>0</v>
      </c>
      <c r="O50" s="97">
        <v>0</v>
      </c>
      <c r="P50" s="92">
        <v>9.6</v>
      </c>
      <c r="Q50" s="98">
        <f t="shared" si="1"/>
        <v>9.6</v>
      </c>
      <c r="R50" s="99" t="str">
        <f>+IF(Q50+N50&lt;=0, "NO COMPRADOR", +IF(Q50&lt;=0, "SIN COMPRA "&amp;+UPPER(TEXT('DINAMICA ENERO 26'!$C$2,"mmm 'yy")), "COMPRADOR"))</f>
        <v>COMPRADOR</v>
      </c>
      <c r="S50"/>
      <c r="T50"/>
      <c r="U50"/>
      <c r="V50"/>
      <c r="W50"/>
      <c r="X50"/>
      <c r="Y50"/>
      <c r="Z50"/>
    </row>
    <row r="51" spans="1:26" s="100" customFormat="1">
      <c r="A51" s="88" t="s">
        <v>85</v>
      </c>
      <c r="B51" s="89" t="s">
        <v>120</v>
      </c>
      <c r="C51" s="89" t="s">
        <v>52</v>
      </c>
      <c r="D51" s="103">
        <v>100088149</v>
      </c>
      <c r="E51" s="89" t="s">
        <v>56</v>
      </c>
      <c r="F51" s="89">
        <v>100022632</v>
      </c>
      <c r="G51" s="128" t="s">
        <v>139</v>
      </c>
      <c r="H51" s="166"/>
      <c r="I51" s="92"/>
      <c r="J51" s="92"/>
      <c r="K51" s="94"/>
      <c r="L51" s="92">
        <v>24</v>
      </c>
      <c r="M51" s="93">
        <v>52.8</v>
      </c>
      <c r="N51" s="98">
        <f t="shared" si="0"/>
        <v>38.4</v>
      </c>
      <c r="O51" s="97">
        <v>0</v>
      </c>
      <c r="P51" s="92">
        <v>0</v>
      </c>
      <c r="Q51" s="98">
        <f t="shared" si="1"/>
        <v>0</v>
      </c>
      <c r="R51" s="99" t="str">
        <f>+IF(Q51+N51&lt;=0, "NO COMPRADOR", +IF(Q51&lt;=0, "SIN COMPRA "&amp;+UPPER(TEXT('DINAMICA ENERO 26'!$C$2,"mmm 'yy")), "COMPRADOR"))</f>
        <v>SIN COMPRA FEB '26</v>
      </c>
      <c r="S51"/>
      <c r="T51"/>
      <c r="U51"/>
      <c r="V51"/>
      <c r="W51"/>
      <c r="X51"/>
      <c r="Y51"/>
      <c r="Z51"/>
    </row>
    <row r="52" spans="1:26" s="104" customFormat="1">
      <c r="A52" s="88" t="s">
        <v>85</v>
      </c>
      <c r="B52" s="89" t="s">
        <v>120</v>
      </c>
      <c r="C52" s="89" t="s">
        <v>52</v>
      </c>
      <c r="D52" s="103">
        <v>100088149</v>
      </c>
      <c r="E52" s="89" t="s">
        <v>56</v>
      </c>
      <c r="F52" s="89">
        <v>100089326</v>
      </c>
      <c r="G52" s="128" t="s">
        <v>140</v>
      </c>
      <c r="H52" s="166"/>
      <c r="I52" s="92"/>
      <c r="J52" s="92"/>
      <c r="K52" s="94"/>
      <c r="L52" s="92">
        <v>62.4</v>
      </c>
      <c r="M52" s="93">
        <v>0</v>
      </c>
      <c r="N52" s="98">
        <f t="shared" si="0"/>
        <v>31.2</v>
      </c>
      <c r="O52" s="97">
        <v>38.4</v>
      </c>
      <c r="P52" s="92">
        <v>0</v>
      </c>
      <c r="Q52" s="98">
        <f t="shared" si="1"/>
        <v>38.4</v>
      </c>
      <c r="R52" s="99" t="str">
        <f>+IF(Q52+N52&lt;=0, "NO COMPRADOR", +IF(Q52&lt;=0, "SIN COMPRA "&amp;+UPPER(TEXT('DINAMICA ENERO 26'!$C$2,"mmm 'yy")), "COMPRADOR"))</f>
        <v>COMPRADOR</v>
      </c>
      <c r="S52"/>
      <c r="T52"/>
      <c r="U52"/>
      <c r="V52"/>
      <c r="W52"/>
      <c r="X52"/>
      <c r="Y52"/>
      <c r="Z52"/>
    </row>
    <row r="53" spans="1:26" s="100" customFormat="1">
      <c r="A53" s="88" t="s">
        <v>85</v>
      </c>
      <c r="B53" s="89" t="s">
        <v>120</v>
      </c>
      <c r="C53" s="89" t="s">
        <v>52</v>
      </c>
      <c r="D53" s="103">
        <v>100088149</v>
      </c>
      <c r="E53" s="89" t="s">
        <v>56</v>
      </c>
      <c r="F53" s="89">
        <v>100001380</v>
      </c>
      <c r="G53" s="128" t="s">
        <v>141</v>
      </c>
      <c r="H53" s="166"/>
      <c r="I53" s="92"/>
      <c r="J53" s="92"/>
      <c r="K53" s="94"/>
      <c r="L53" s="92">
        <v>14.399999999999999</v>
      </c>
      <c r="M53" s="93">
        <v>52.8</v>
      </c>
      <c r="N53" s="98">
        <f t="shared" si="0"/>
        <v>33.599999999999994</v>
      </c>
      <c r="O53" s="97">
        <v>72</v>
      </c>
      <c r="P53" s="92">
        <v>0</v>
      </c>
      <c r="Q53" s="98">
        <f t="shared" si="1"/>
        <v>72</v>
      </c>
      <c r="R53" s="99" t="str">
        <f>+IF(Q53+N53&lt;=0, "NO COMPRADOR", +IF(Q53&lt;=0, "SIN COMPRA "&amp;+UPPER(TEXT('DINAMICA ENERO 26'!$C$2,"mmm 'yy")), "COMPRADOR"))</f>
        <v>COMPRADOR</v>
      </c>
      <c r="S53"/>
      <c r="T53"/>
      <c r="U53"/>
      <c r="V53"/>
      <c r="W53"/>
      <c r="X53"/>
      <c r="Y53"/>
      <c r="Z53"/>
    </row>
    <row r="54" spans="1:26" s="100" customFormat="1">
      <c r="A54" s="88" t="s">
        <v>85</v>
      </c>
      <c r="B54" s="89" t="s">
        <v>120</v>
      </c>
      <c r="C54" s="89" t="s">
        <v>52</v>
      </c>
      <c r="D54" s="103">
        <v>100079515</v>
      </c>
      <c r="E54" s="89" t="s">
        <v>53</v>
      </c>
      <c r="F54" s="89">
        <v>100070470</v>
      </c>
      <c r="G54" s="128" t="s">
        <v>142</v>
      </c>
      <c r="H54" s="166"/>
      <c r="I54" s="92"/>
      <c r="J54" s="92"/>
      <c r="K54" s="94"/>
      <c r="L54" s="92">
        <v>48</v>
      </c>
      <c r="M54" s="93">
        <v>0</v>
      </c>
      <c r="N54" s="98">
        <f t="shared" si="0"/>
        <v>24</v>
      </c>
      <c r="O54" s="97">
        <v>0</v>
      </c>
      <c r="P54" s="92">
        <v>24</v>
      </c>
      <c r="Q54" s="98">
        <f t="shared" si="1"/>
        <v>24</v>
      </c>
      <c r="R54" s="99" t="str">
        <f>+IF(Q54+N54&lt;=0, "NO COMPRADOR", +IF(Q54&lt;=0, "SIN COMPRA "&amp;+UPPER(TEXT('DINAMICA ENERO 26'!$C$2,"mmm 'yy")), "COMPRADOR"))</f>
        <v>COMPRADOR</v>
      </c>
      <c r="S54"/>
      <c r="T54"/>
      <c r="U54"/>
      <c r="V54"/>
      <c r="W54"/>
      <c r="X54"/>
      <c r="Y54"/>
      <c r="Z54"/>
    </row>
    <row r="55" spans="1:26" s="104" customFormat="1">
      <c r="A55" s="88" t="s">
        <v>85</v>
      </c>
      <c r="B55" s="89" t="s">
        <v>120</v>
      </c>
      <c r="C55" s="89" t="s">
        <v>52</v>
      </c>
      <c r="D55" s="103">
        <v>100079515</v>
      </c>
      <c r="E55" s="89" t="s">
        <v>53</v>
      </c>
      <c r="F55" s="89">
        <v>100082270</v>
      </c>
      <c r="G55" s="128" t="s">
        <v>143</v>
      </c>
      <c r="H55" s="166"/>
      <c r="I55" s="92"/>
      <c r="J55" s="92"/>
      <c r="K55" s="94"/>
      <c r="L55" s="92">
        <v>4.8</v>
      </c>
      <c r="M55" s="93">
        <v>0</v>
      </c>
      <c r="N55" s="98">
        <f t="shared" si="0"/>
        <v>2.4</v>
      </c>
      <c r="O55" s="97">
        <v>0</v>
      </c>
      <c r="P55" s="92">
        <v>0</v>
      </c>
      <c r="Q55" s="98">
        <f t="shared" si="1"/>
        <v>0</v>
      </c>
      <c r="R55" s="99" t="str">
        <f>+IF(Q55+N55&lt;=0, "NO COMPRADOR", +IF(Q55&lt;=0, "SIN COMPRA "&amp;+UPPER(TEXT('DINAMICA ENERO 26'!$C$2,"mmm 'yy")), "COMPRADOR"))</f>
        <v>SIN COMPRA FEB '26</v>
      </c>
      <c r="S55"/>
      <c r="T55"/>
      <c r="U55"/>
      <c r="V55"/>
      <c r="W55"/>
      <c r="X55"/>
      <c r="Y55"/>
      <c r="Z55"/>
    </row>
    <row r="56" spans="1:26" s="100" customFormat="1">
      <c r="A56" s="88" t="s">
        <v>85</v>
      </c>
      <c r="B56" s="89" t="s">
        <v>120</v>
      </c>
      <c r="C56" s="89" t="s">
        <v>52</v>
      </c>
      <c r="D56" s="103">
        <v>100079515</v>
      </c>
      <c r="E56" s="89" t="s">
        <v>53</v>
      </c>
      <c r="F56" s="89">
        <v>100080489</v>
      </c>
      <c r="G56" s="128" t="s">
        <v>144</v>
      </c>
      <c r="H56" s="166"/>
      <c r="I56" s="92"/>
      <c r="J56" s="92"/>
      <c r="K56" s="94"/>
      <c r="L56" s="92">
        <v>4.8</v>
      </c>
      <c r="M56" s="93">
        <v>0</v>
      </c>
      <c r="N56" s="98">
        <f t="shared" si="0"/>
        <v>2.4</v>
      </c>
      <c r="O56" s="97">
        <v>9.6</v>
      </c>
      <c r="P56" s="92">
        <v>0</v>
      </c>
      <c r="Q56" s="98">
        <f t="shared" si="1"/>
        <v>9.6</v>
      </c>
      <c r="R56" s="99" t="str">
        <f>+IF(Q56+N56&lt;=0, "NO COMPRADOR", +IF(Q56&lt;=0, "SIN COMPRA "&amp;+UPPER(TEXT('DINAMICA ENERO 26'!$C$2,"mmm 'yy")), "COMPRADOR"))</f>
        <v>COMPRADOR</v>
      </c>
      <c r="S56"/>
      <c r="T56"/>
      <c r="U56"/>
      <c r="V56"/>
      <c r="W56"/>
      <c r="X56"/>
      <c r="Y56"/>
      <c r="Z56"/>
    </row>
    <row r="57" spans="1:26" s="104" customFormat="1">
      <c r="A57" s="88" t="s">
        <v>85</v>
      </c>
      <c r="B57" s="89" t="s">
        <v>120</v>
      </c>
      <c r="C57" s="89" t="s">
        <v>52</v>
      </c>
      <c r="D57" s="103">
        <v>100079515</v>
      </c>
      <c r="E57" s="89" t="s">
        <v>53</v>
      </c>
      <c r="F57" s="89">
        <v>100080370</v>
      </c>
      <c r="G57" s="128" t="s">
        <v>145</v>
      </c>
      <c r="H57" s="166"/>
      <c r="I57" s="92"/>
      <c r="J57" s="92"/>
      <c r="K57" s="94"/>
      <c r="L57" s="92">
        <v>4.8</v>
      </c>
      <c r="M57" s="93">
        <v>0</v>
      </c>
      <c r="N57" s="98">
        <f t="shared" si="0"/>
        <v>2.4</v>
      </c>
      <c r="O57" s="97">
        <v>4.8</v>
      </c>
      <c r="P57" s="92">
        <v>0</v>
      </c>
      <c r="Q57" s="98">
        <f t="shared" si="1"/>
        <v>4.8</v>
      </c>
      <c r="R57" s="99" t="str">
        <f>+IF(Q57+N57&lt;=0, "NO COMPRADOR", +IF(Q57&lt;=0, "SIN COMPRA "&amp;+UPPER(TEXT('DINAMICA ENERO 26'!$C$2,"mmm 'yy")), "COMPRADOR"))</f>
        <v>COMPRADOR</v>
      </c>
      <c r="S57"/>
      <c r="T57"/>
      <c r="U57"/>
      <c r="V57"/>
      <c r="W57"/>
      <c r="X57"/>
      <c r="Y57"/>
      <c r="Z57"/>
    </row>
    <row r="58" spans="1:26" s="100" customFormat="1">
      <c r="A58" s="88" t="s">
        <v>85</v>
      </c>
      <c r="B58" s="89" t="s">
        <v>120</v>
      </c>
      <c r="C58" s="89" t="s">
        <v>52</v>
      </c>
      <c r="D58" s="103">
        <v>100079515</v>
      </c>
      <c r="E58" s="89" t="s">
        <v>53</v>
      </c>
      <c r="F58" s="89">
        <v>100083809</v>
      </c>
      <c r="G58" s="128" t="s">
        <v>146</v>
      </c>
      <c r="H58" s="166"/>
      <c r="I58" s="92"/>
      <c r="J58" s="92"/>
      <c r="K58" s="94"/>
      <c r="L58" s="92">
        <v>0</v>
      </c>
      <c r="M58" s="93">
        <v>0</v>
      </c>
      <c r="N58" s="98">
        <f t="shared" si="0"/>
        <v>0</v>
      </c>
      <c r="O58" s="97">
        <v>0</v>
      </c>
      <c r="P58" s="92">
        <v>0</v>
      </c>
      <c r="Q58" s="98">
        <f t="shared" si="1"/>
        <v>0</v>
      </c>
      <c r="R58" s="99" t="str">
        <f>+IF(Q58+N58&lt;=0, "NO COMPRADOR", +IF(Q58&lt;=0, "SIN COMPRA "&amp;+UPPER(TEXT('DINAMICA ENERO 26'!$C$2,"mmm 'yy")), "COMPRADOR"))</f>
        <v>NO COMPRADOR</v>
      </c>
      <c r="S58"/>
      <c r="T58"/>
      <c r="U58"/>
      <c r="V58"/>
      <c r="W58"/>
      <c r="X58"/>
      <c r="Y58"/>
      <c r="Z58"/>
    </row>
    <row r="59" spans="1:26" s="100" customFormat="1">
      <c r="A59" s="88" t="s">
        <v>85</v>
      </c>
      <c r="B59" s="89" t="s">
        <v>120</v>
      </c>
      <c r="C59" s="89" t="s">
        <v>52</v>
      </c>
      <c r="D59" s="103">
        <v>100079515</v>
      </c>
      <c r="E59" s="89" t="s">
        <v>53</v>
      </c>
      <c r="F59" s="89">
        <v>100082448</v>
      </c>
      <c r="G59" s="128" t="s">
        <v>147</v>
      </c>
      <c r="H59" s="166"/>
      <c r="I59" s="92"/>
      <c r="J59" s="92"/>
      <c r="K59" s="94"/>
      <c r="L59" s="92">
        <v>0</v>
      </c>
      <c r="M59" s="93">
        <v>0</v>
      </c>
      <c r="N59" s="98">
        <f t="shared" si="0"/>
        <v>0</v>
      </c>
      <c r="O59" s="97">
        <v>0</v>
      </c>
      <c r="P59" s="92">
        <v>0</v>
      </c>
      <c r="Q59" s="98">
        <f t="shared" si="1"/>
        <v>0</v>
      </c>
      <c r="R59" s="99" t="str">
        <f>+IF(Q59+N59&lt;=0, "NO COMPRADOR", +IF(Q59&lt;=0, "SIN COMPRA "&amp;+UPPER(TEXT('DINAMICA ENERO 26'!$C$2,"mmm 'yy")), "COMPRADOR"))</f>
        <v>NO COMPRADOR</v>
      </c>
      <c r="S59"/>
      <c r="T59"/>
      <c r="U59"/>
      <c r="V59"/>
      <c r="W59"/>
      <c r="X59"/>
      <c r="Y59"/>
      <c r="Z59"/>
    </row>
    <row r="60" spans="1:26" s="100" customFormat="1">
      <c r="A60" s="88" t="s">
        <v>85</v>
      </c>
      <c r="B60" s="89" t="s">
        <v>120</v>
      </c>
      <c r="C60" s="89" t="s">
        <v>52</v>
      </c>
      <c r="D60" s="103">
        <v>100079515</v>
      </c>
      <c r="E60" s="89" t="s">
        <v>53</v>
      </c>
      <c r="F60" s="89">
        <v>100079845</v>
      </c>
      <c r="G60" s="128" t="s">
        <v>148</v>
      </c>
      <c r="H60" s="166"/>
      <c r="I60" s="92"/>
      <c r="J60" s="92"/>
      <c r="K60" s="94"/>
      <c r="L60" s="92">
        <v>9.6</v>
      </c>
      <c r="M60" s="93">
        <v>43.2</v>
      </c>
      <c r="N60" s="98">
        <f t="shared" si="0"/>
        <v>26.400000000000002</v>
      </c>
      <c r="O60" s="97">
        <v>4.8</v>
      </c>
      <c r="P60" s="92">
        <v>0</v>
      </c>
      <c r="Q60" s="98">
        <f t="shared" si="1"/>
        <v>4.8</v>
      </c>
      <c r="R60" s="99" t="str">
        <f>+IF(Q60+N60&lt;=0, "NO COMPRADOR", +IF(Q60&lt;=0, "SIN COMPRA "&amp;+UPPER(TEXT('DINAMICA ENERO 26'!$C$2,"mmm 'yy")), "COMPRADOR"))</f>
        <v>COMPRADOR</v>
      </c>
      <c r="S60"/>
      <c r="T60"/>
      <c r="U60"/>
      <c r="V60"/>
      <c r="W60"/>
      <c r="X60"/>
      <c r="Y60"/>
      <c r="Z60"/>
    </row>
    <row r="61" spans="1:26" s="100" customFormat="1">
      <c r="A61" s="88" t="s">
        <v>85</v>
      </c>
      <c r="B61" s="89" t="s">
        <v>120</v>
      </c>
      <c r="C61" s="89" t="s">
        <v>52</v>
      </c>
      <c r="D61" s="103">
        <v>100079515</v>
      </c>
      <c r="E61" s="89" t="s">
        <v>53</v>
      </c>
      <c r="F61" s="89">
        <v>100002289</v>
      </c>
      <c r="G61" s="128" t="s">
        <v>149</v>
      </c>
      <c r="H61" s="166"/>
      <c r="I61" s="92"/>
      <c r="J61" s="92"/>
      <c r="K61" s="94"/>
      <c r="L61" s="92">
        <v>0</v>
      </c>
      <c r="M61" s="93">
        <v>0</v>
      </c>
      <c r="N61" s="98">
        <f t="shared" si="0"/>
        <v>0</v>
      </c>
      <c r="O61" s="97">
        <v>0</v>
      </c>
      <c r="P61" s="92">
        <v>0</v>
      </c>
      <c r="Q61" s="98">
        <f t="shared" si="1"/>
        <v>0</v>
      </c>
      <c r="R61" s="99" t="str">
        <f>+IF(Q61+N61&lt;=0, "NO COMPRADOR", +IF(Q61&lt;=0, "SIN COMPRA "&amp;+UPPER(TEXT('DINAMICA ENERO 26'!$C$2,"mmm 'yy")), "COMPRADOR"))</f>
        <v>NO COMPRADOR</v>
      </c>
      <c r="S61"/>
      <c r="T61"/>
      <c r="U61"/>
      <c r="V61"/>
      <c r="W61"/>
      <c r="X61"/>
      <c r="Y61"/>
      <c r="Z61"/>
    </row>
    <row r="62" spans="1:26" s="104" customFormat="1">
      <c r="A62" s="88" t="s">
        <v>85</v>
      </c>
      <c r="B62" s="89" t="s">
        <v>120</v>
      </c>
      <c r="C62" s="89" t="s">
        <v>52</v>
      </c>
      <c r="D62" s="103">
        <v>100079515</v>
      </c>
      <c r="E62" s="89" t="s">
        <v>53</v>
      </c>
      <c r="F62" s="89">
        <v>100078959</v>
      </c>
      <c r="G62" s="128" t="s">
        <v>150</v>
      </c>
      <c r="H62" s="166"/>
      <c r="I62" s="92"/>
      <c r="J62" s="92"/>
      <c r="K62" s="94"/>
      <c r="L62" s="92">
        <v>0</v>
      </c>
      <c r="M62" s="93">
        <v>0</v>
      </c>
      <c r="N62" s="98">
        <f t="shared" si="0"/>
        <v>0</v>
      </c>
      <c r="O62" s="97">
        <v>0</v>
      </c>
      <c r="P62" s="92">
        <v>0</v>
      </c>
      <c r="Q62" s="98">
        <f t="shared" si="1"/>
        <v>0</v>
      </c>
      <c r="R62" s="99" t="str">
        <f>+IF(Q62+N62&lt;=0, "NO COMPRADOR", +IF(Q62&lt;=0, "SIN COMPRA "&amp;+UPPER(TEXT('DINAMICA ENERO 26'!$C$2,"mmm 'yy")), "COMPRADOR"))</f>
        <v>NO COMPRADOR</v>
      </c>
      <c r="S62"/>
      <c r="T62"/>
      <c r="U62"/>
      <c r="V62"/>
      <c r="W62"/>
      <c r="X62"/>
      <c r="Y62"/>
      <c r="Z62"/>
    </row>
    <row r="63" spans="1:26" s="100" customFormat="1">
      <c r="A63" s="88" t="s">
        <v>85</v>
      </c>
      <c r="B63" s="89" t="s">
        <v>120</v>
      </c>
      <c r="C63" s="89" t="s">
        <v>52</v>
      </c>
      <c r="D63" s="103">
        <v>100079515</v>
      </c>
      <c r="E63" s="89" t="s">
        <v>53</v>
      </c>
      <c r="F63" s="89">
        <v>100084977</v>
      </c>
      <c r="G63" s="128" t="s">
        <v>151</v>
      </c>
      <c r="H63" s="166"/>
      <c r="I63" s="92"/>
      <c r="J63" s="92"/>
      <c r="K63" s="94"/>
      <c r="L63" s="92">
        <v>4.8</v>
      </c>
      <c r="M63" s="93">
        <v>0</v>
      </c>
      <c r="N63" s="98">
        <f t="shared" si="0"/>
        <v>2.4</v>
      </c>
      <c r="O63" s="97">
        <v>0</v>
      </c>
      <c r="P63" s="92">
        <v>0</v>
      </c>
      <c r="Q63" s="98">
        <f t="shared" si="1"/>
        <v>0</v>
      </c>
      <c r="R63" s="99" t="str">
        <f>+IF(Q63+N63&lt;=0, "NO COMPRADOR", +IF(Q63&lt;=0, "SIN COMPRA "&amp;+UPPER(TEXT('DINAMICA ENERO 26'!$C$2,"mmm 'yy")), "COMPRADOR"))</f>
        <v>SIN COMPRA FEB '26</v>
      </c>
      <c r="S63"/>
      <c r="T63"/>
      <c r="U63"/>
      <c r="V63"/>
      <c r="W63"/>
      <c r="X63"/>
      <c r="Y63"/>
      <c r="Z63"/>
    </row>
    <row r="64" spans="1:26" s="100" customFormat="1">
      <c r="A64" s="88" t="s">
        <v>85</v>
      </c>
      <c r="B64" s="89" t="s">
        <v>120</v>
      </c>
      <c r="C64" s="89" t="s">
        <v>52</v>
      </c>
      <c r="D64" s="103">
        <v>100079515</v>
      </c>
      <c r="E64" s="89" t="s">
        <v>53</v>
      </c>
      <c r="F64" s="89">
        <v>100074170</v>
      </c>
      <c r="G64" s="128" t="s">
        <v>152</v>
      </c>
      <c r="H64" s="166"/>
      <c r="I64" s="92"/>
      <c r="J64" s="92"/>
      <c r="K64" s="94"/>
      <c r="L64" s="92">
        <v>4.8</v>
      </c>
      <c r="M64" s="93">
        <v>192</v>
      </c>
      <c r="N64" s="98">
        <f t="shared" si="0"/>
        <v>98.4</v>
      </c>
      <c r="O64" s="97">
        <v>48</v>
      </c>
      <c r="P64" s="92">
        <v>0</v>
      </c>
      <c r="Q64" s="98">
        <f t="shared" si="1"/>
        <v>48</v>
      </c>
      <c r="R64" s="99" t="str">
        <f>+IF(Q64+N64&lt;=0, "NO COMPRADOR", +IF(Q64&lt;=0, "SIN COMPRA "&amp;+UPPER(TEXT('DINAMICA ENERO 26'!$C$2,"mmm 'yy")), "COMPRADOR"))</f>
        <v>COMPRADOR</v>
      </c>
      <c r="S64"/>
      <c r="T64"/>
      <c r="U64"/>
      <c r="V64"/>
      <c r="W64"/>
      <c r="X64"/>
      <c r="Y64"/>
      <c r="Z64"/>
    </row>
    <row r="65" spans="1:26" s="104" customFormat="1">
      <c r="A65" s="88" t="s">
        <v>85</v>
      </c>
      <c r="B65" s="89" t="s">
        <v>120</v>
      </c>
      <c r="C65" s="89" t="s">
        <v>52</v>
      </c>
      <c r="D65" s="103">
        <v>100079515</v>
      </c>
      <c r="E65" s="89" t="s">
        <v>53</v>
      </c>
      <c r="F65" s="89">
        <v>100087942</v>
      </c>
      <c r="G65" s="128" t="s">
        <v>153</v>
      </c>
      <c r="H65" s="166"/>
      <c r="I65" s="92"/>
      <c r="J65" s="92"/>
      <c r="K65" s="94"/>
      <c r="L65" s="92">
        <v>4.8</v>
      </c>
      <c r="M65" s="93">
        <v>9.6</v>
      </c>
      <c r="N65" s="98">
        <f t="shared" si="0"/>
        <v>7.1999999999999993</v>
      </c>
      <c r="O65" s="97">
        <v>0</v>
      </c>
      <c r="P65" s="92">
        <v>0</v>
      </c>
      <c r="Q65" s="98">
        <f t="shared" si="1"/>
        <v>0</v>
      </c>
      <c r="R65" s="99" t="str">
        <f>+IF(Q65+N65&lt;=0, "NO COMPRADOR", +IF(Q65&lt;=0, "SIN COMPRA "&amp;+UPPER(TEXT('DINAMICA ENERO 26'!$C$2,"mmm 'yy")), "COMPRADOR"))</f>
        <v>SIN COMPRA FEB '26</v>
      </c>
      <c r="S65"/>
      <c r="T65"/>
      <c r="U65"/>
      <c r="V65"/>
      <c r="W65"/>
      <c r="X65"/>
      <c r="Y65"/>
      <c r="Z65"/>
    </row>
    <row r="66" spans="1:26" s="100" customFormat="1">
      <c r="A66" s="88" t="s">
        <v>85</v>
      </c>
      <c r="B66" s="89" t="s">
        <v>120</v>
      </c>
      <c r="C66" s="89" t="s">
        <v>52</v>
      </c>
      <c r="D66" s="103">
        <v>100079515</v>
      </c>
      <c r="E66" s="89" t="s">
        <v>53</v>
      </c>
      <c r="F66" s="89">
        <v>100068357</v>
      </c>
      <c r="G66" s="128" t="s">
        <v>154</v>
      </c>
      <c r="H66" s="166"/>
      <c r="I66" s="92"/>
      <c r="J66" s="92"/>
      <c r="K66" s="94"/>
      <c r="L66" s="92">
        <v>0</v>
      </c>
      <c r="M66" s="93">
        <v>24</v>
      </c>
      <c r="N66" s="98">
        <f t="shared" si="0"/>
        <v>12</v>
      </c>
      <c r="O66" s="97">
        <v>0</v>
      </c>
      <c r="P66" s="92">
        <v>0</v>
      </c>
      <c r="Q66" s="98">
        <f t="shared" si="1"/>
        <v>0</v>
      </c>
      <c r="R66" s="99" t="str">
        <f>+IF(Q66+N66&lt;=0, "NO COMPRADOR", +IF(Q66&lt;=0, "SIN COMPRA "&amp;+UPPER(TEXT('DINAMICA ENERO 26'!$C$2,"mmm 'yy")), "COMPRADOR"))</f>
        <v>SIN COMPRA FEB '26</v>
      </c>
      <c r="S66"/>
      <c r="T66"/>
      <c r="U66"/>
      <c r="V66"/>
      <c r="W66"/>
      <c r="X66"/>
      <c r="Y66"/>
      <c r="Z66"/>
    </row>
    <row r="67" spans="1:26" s="104" customFormat="1">
      <c r="A67" s="88" t="s">
        <v>85</v>
      </c>
      <c r="B67" s="89" t="s">
        <v>120</v>
      </c>
      <c r="C67" s="89" t="s">
        <v>52</v>
      </c>
      <c r="D67" s="103">
        <v>100079515</v>
      </c>
      <c r="E67" s="89" t="s">
        <v>53</v>
      </c>
      <c r="F67" s="89">
        <v>100001391</v>
      </c>
      <c r="G67" s="128" t="s">
        <v>155</v>
      </c>
      <c r="H67" s="166"/>
      <c r="I67" s="92"/>
      <c r="J67" s="92"/>
      <c r="K67" s="94"/>
      <c r="L67" s="92">
        <v>0</v>
      </c>
      <c r="M67" s="93">
        <v>302.40000000000026</v>
      </c>
      <c r="N67" s="98">
        <f t="shared" ref="N67:N130" si="2">AVERAGE(L67,M67)</f>
        <v>151.20000000000013</v>
      </c>
      <c r="O67" s="97">
        <v>52.79999999999999</v>
      </c>
      <c r="P67" s="92">
        <v>76.799999999999983</v>
      </c>
      <c r="Q67" s="98">
        <f t="shared" si="1"/>
        <v>129.59999999999997</v>
      </c>
      <c r="R67" s="99" t="str">
        <f>+IF(Q67+N67&lt;=0, "NO COMPRADOR", +IF(Q67&lt;=0, "SIN COMPRA "&amp;+UPPER(TEXT('DINAMICA ENERO 26'!$C$2,"mmm 'yy")), "COMPRADOR"))</f>
        <v>COMPRADOR</v>
      </c>
      <c r="S67"/>
      <c r="T67"/>
      <c r="U67"/>
      <c r="V67"/>
      <c r="W67"/>
      <c r="X67"/>
      <c r="Y67"/>
      <c r="Z67"/>
    </row>
    <row r="68" spans="1:26" s="100" customFormat="1">
      <c r="A68" s="88" t="s">
        <v>85</v>
      </c>
      <c r="B68" s="89" t="s">
        <v>120</v>
      </c>
      <c r="C68" s="89" t="s">
        <v>52</v>
      </c>
      <c r="D68" s="103">
        <v>100079515</v>
      </c>
      <c r="E68" s="89" t="s">
        <v>53</v>
      </c>
      <c r="F68" s="89">
        <v>100085149</v>
      </c>
      <c r="G68" s="128" t="s">
        <v>156</v>
      </c>
      <c r="H68" s="166"/>
      <c r="I68" s="92"/>
      <c r="J68" s="92"/>
      <c r="K68" s="94"/>
      <c r="L68" s="92">
        <v>0</v>
      </c>
      <c r="M68" s="93">
        <v>4.8</v>
      </c>
      <c r="N68" s="98">
        <f t="shared" si="2"/>
        <v>2.4</v>
      </c>
      <c r="O68" s="97">
        <v>0</v>
      </c>
      <c r="P68" s="92">
        <v>0</v>
      </c>
      <c r="Q68" s="98">
        <f t="shared" ref="Q68:Q131" si="3">+O68+P68</f>
        <v>0</v>
      </c>
      <c r="R68" s="99" t="str">
        <f>+IF(Q68+N68&lt;=0, "NO COMPRADOR", +IF(Q68&lt;=0, "SIN COMPRA "&amp;+UPPER(TEXT('DINAMICA ENERO 26'!$C$2,"mmm 'yy")), "COMPRADOR"))</f>
        <v>SIN COMPRA FEB '26</v>
      </c>
      <c r="S68"/>
      <c r="T68"/>
      <c r="U68"/>
      <c r="V68"/>
      <c r="W68"/>
      <c r="X68"/>
      <c r="Y68"/>
      <c r="Z68"/>
    </row>
    <row r="69" spans="1:26" s="100" customFormat="1">
      <c r="A69" s="88" t="s">
        <v>85</v>
      </c>
      <c r="B69" s="89" t="s">
        <v>157</v>
      </c>
      <c r="C69" s="89" t="s">
        <v>52</v>
      </c>
      <c r="D69" s="103">
        <v>100079674</v>
      </c>
      <c r="E69" s="89" t="s">
        <v>57</v>
      </c>
      <c r="F69" s="89">
        <v>100079807</v>
      </c>
      <c r="G69" s="128" t="s">
        <v>158</v>
      </c>
      <c r="H69" s="166"/>
      <c r="I69" s="92"/>
      <c r="J69" s="92"/>
      <c r="K69" s="94"/>
      <c r="L69" s="92">
        <v>0</v>
      </c>
      <c r="M69" s="93">
        <v>0</v>
      </c>
      <c r="N69" s="98">
        <f t="shared" si="2"/>
        <v>0</v>
      </c>
      <c r="O69" s="97">
        <v>0</v>
      </c>
      <c r="P69" s="92">
        <v>0</v>
      </c>
      <c r="Q69" s="98">
        <f t="shared" si="3"/>
        <v>0</v>
      </c>
      <c r="R69" s="99" t="str">
        <f>+IF(Q69+N69&lt;=0, "NO COMPRADOR", +IF(Q69&lt;=0, "SIN COMPRA "&amp;+UPPER(TEXT('DINAMICA ENERO 26'!$C$2,"mmm 'yy")), "COMPRADOR"))</f>
        <v>NO COMPRADOR</v>
      </c>
      <c r="S69"/>
      <c r="T69"/>
      <c r="U69"/>
      <c r="V69"/>
      <c r="W69"/>
      <c r="X69"/>
      <c r="Y69"/>
      <c r="Z69"/>
    </row>
    <row r="70" spans="1:26" s="100" customFormat="1">
      <c r="A70" s="88" t="s">
        <v>85</v>
      </c>
      <c r="B70" s="89" t="s">
        <v>157</v>
      </c>
      <c r="C70" s="89" t="s">
        <v>52</v>
      </c>
      <c r="D70" s="103">
        <v>100079674</v>
      </c>
      <c r="E70" s="89" t="s">
        <v>57</v>
      </c>
      <c r="F70" s="89">
        <v>100086113</v>
      </c>
      <c r="G70" s="128" t="s">
        <v>159</v>
      </c>
      <c r="H70" s="166"/>
      <c r="I70" s="92"/>
      <c r="J70" s="92"/>
      <c r="K70" s="94"/>
      <c r="L70" s="92">
        <v>0</v>
      </c>
      <c r="M70" s="93">
        <v>0</v>
      </c>
      <c r="N70" s="98">
        <f t="shared" si="2"/>
        <v>0</v>
      </c>
      <c r="O70" s="97">
        <v>0</v>
      </c>
      <c r="P70" s="92">
        <v>0</v>
      </c>
      <c r="Q70" s="98">
        <f t="shared" si="3"/>
        <v>0</v>
      </c>
      <c r="R70" s="99" t="str">
        <f>+IF(Q70+N70&lt;=0, "NO COMPRADOR", +IF(Q70&lt;=0, "SIN COMPRA "&amp;+UPPER(TEXT('DINAMICA ENERO 26'!$C$2,"mmm 'yy")), "COMPRADOR"))</f>
        <v>NO COMPRADOR</v>
      </c>
      <c r="S70"/>
      <c r="T70"/>
      <c r="U70"/>
      <c r="V70"/>
      <c r="W70"/>
      <c r="X70"/>
      <c r="Y70"/>
      <c r="Z70"/>
    </row>
    <row r="71" spans="1:26" s="100" customFormat="1">
      <c r="A71" s="88" t="s">
        <v>85</v>
      </c>
      <c r="B71" s="89" t="s">
        <v>157</v>
      </c>
      <c r="C71" s="89" t="s">
        <v>52</v>
      </c>
      <c r="D71" s="103">
        <v>100079674</v>
      </c>
      <c r="E71" s="89" t="s">
        <v>57</v>
      </c>
      <c r="F71" s="89">
        <v>100086648</v>
      </c>
      <c r="G71" s="128" t="s">
        <v>160</v>
      </c>
      <c r="H71" s="166"/>
      <c r="I71" s="92"/>
      <c r="J71" s="92"/>
      <c r="K71" s="94"/>
      <c r="L71" s="92">
        <v>9.6</v>
      </c>
      <c r="M71" s="93">
        <v>4.8</v>
      </c>
      <c r="N71" s="98">
        <f t="shared" si="2"/>
        <v>7.1999999999999993</v>
      </c>
      <c r="O71" s="97">
        <v>0</v>
      </c>
      <c r="P71" s="92">
        <v>0</v>
      </c>
      <c r="Q71" s="98">
        <f t="shared" si="3"/>
        <v>0</v>
      </c>
      <c r="R71" s="99" t="str">
        <f>+IF(Q71+N71&lt;=0, "NO COMPRADOR", +IF(Q71&lt;=0, "SIN COMPRA "&amp;+UPPER(TEXT('DINAMICA ENERO 26'!$C$2,"mmm 'yy")), "COMPRADOR"))</f>
        <v>SIN COMPRA FEB '26</v>
      </c>
      <c r="S71"/>
      <c r="T71"/>
      <c r="U71"/>
      <c r="V71"/>
      <c r="W71"/>
      <c r="X71"/>
      <c r="Y71"/>
      <c r="Z71"/>
    </row>
    <row r="72" spans="1:26" s="100" customFormat="1">
      <c r="A72" s="88" t="s">
        <v>85</v>
      </c>
      <c r="B72" s="89" t="s">
        <v>157</v>
      </c>
      <c r="C72" s="89" t="s">
        <v>52</v>
      </c>
      <c r="D72" s="103">
        <v>100079674</v>
      </c>
      <c r="E72" s="89" t="s">
        <v>57</v>
      </c>
      <c r="F72" s="89">
        <v>100085802</v>
      </c>
      <c r="G72" s="128" t="s">
        <v>161</v>
      </c>
      <c r="H72" s="166"/>
      <c r="I72" s="92"/>
      <c r="J72" s="92"/>
      <c r="K72" s="94"/>
      <c r="L72" s="92">
        <v>0</v>
      </c>
      <c r="M72" s="93">
        <v>0</v>
      </c>
      <c r="N72" s="98">
        <f t="shared" si="2"/>
        <v>0</v>
      </c>
      <c r="O72" s="97">
        <v>0</v>
      </c>
      <c r="P72" s="92">
        <v>0</v>
      </c>
      <c r="Q72" s="98">
        <f t="shared" si="3"/>
        <v>0</v>
      </c>
      <c r="R72" s="99" t="str">
        <f>+IF(Q72+N72&lt;=0, "NO COMPRADOR", +IF(Q72&lt;=0, "SIN COMPRA "&amp;+UPPER(TEXT('DINAMICA ENERO 26'!$C$2,"mmm 'yy")), "COMPRADOR"))</f>
        <v>NO COMPRADOR</v>
      </c>
      <c r="S72"/>
      <c r="T72"/>
      <c r="U72"/>
      <c r="V72"/>
      <c r="W72"/>
      <c r="X72"/>
      <c r="Y72"/>
      <c r="Z72"/>
    </row>
    <row r="73" spans="1:26" s="100" customFormat="1">
      <c r="A73" s="88" t="s">
        <v>85</v>
      </c>
      <c r="B73" s="89" t="s">
        <v>157</v>
      </c>
      <c r="C73" s="89" t="s">
        <v>52</v>
      </c>
      <c r="D73" s="103">
        <v>100079674</v>
      </c>
      <c r="E73" s="89" t="s">
        <v>57</v>
      </c>
      <c r="F73" s="89">
        <v>100079430</v>
      </c>
      <c r="G73" s="128" t="s">
        <v>162</v>
      </c>
      <c r="H73" s="166"/>
      <c r="I73" s="92"/>
      <c r="J73" s="92"/>
      <c r="K73" s="94"/>
      <c r="L73" s="92">
        <v>0</v>
      </c>
      <c r="M73" s="93">
        <v>0</v>
      </c>
      <c r="N73" s="98">
        <f t="shared" si="2"/>
        <v>0</v>
      </c>
      <c r="O73" s="97">
        <v>0</v>
      </c>
      <c r="P73" s="92">
        <v>0</v>
      </c>
      <c r="Q73" s="98">
        <f t="shared" si="3"/>
        <v>0</v>
      </c>
      <c r="R73" s="99" t="str">
        <f>+IF(Q73+N73&lt;=0, "NO COMPRADOR", +IF(Q73&lt;=0, "SIN COMPRA "&amp;+UPPER(TEXT('DINAMICA ENERO 26'!$C$2,"mmm 'yy")), "COMPRADOR"))</f>
        <v>NO COMPRADOR</v>
      </c>
      <c r="S73"/>
      <c r="T73"/>
      <c r="U73"/>
      <c r="V73"/>
      <c r="W73"/>
      <c r="X73"/>
      <c r="Y73"/>
      <c r="Z73"/>
    </row>
    <row r="74" spans="1:26" s="100" customFormat="1">
      <c r="A74" s="88" t="s">
        <v>85</v>
      </c>
      <c r="B74" s="89" t="s">
        <v>157</v>
      </c>
      <c r="C74" s="89" t="s">
        <v>52</v>
      </c>
      <c r="D74" s="103">
        <v>100079674</v>
      </c>
      <c r="E74" s="89" t="s">
        <v>57</v>
      </c>
      <c r="F74" s="89">
        <v>100001212</v>
      </c>
      <c r="G74" s="128" t="s">
        <v>163</v>
      </c>
      <c r="H74" s="166"/>
      <c r="I74" s="92"/>
      <c r="J74" s="92"/>
      <c r="K74" s="94"/>
      <c r="L74" s="92">
        <v>4.8</v>
      </c>
      <c r="M74" s="93">
        <v>4.8</v>
      </c>
      <c r="N74" s="98">
        <f t="shared" si="2"/>
        <v>4.8</v>
      </c>
      <c r="O74" s="97">
        <v>4.8</v>
      </c>
      <c r="P74" s="92">
        <v>0</v>
      </c>
      <c r="Q74" s="98">
        <f t="shared" si="3"/>
        <v>4.8</v>
      </c>
      <c r="R74" s="99" t="str">
        <f>+IF(Q74+N74&lt;=0, "NO COMPRADOR", +IF(Q74&lt;=0, "SIN COMPRA "&amp;+UPPER(TEXT('DINAMICA ENERO 26'!$C$2,"mmm 'yy")), "COMPRADOR"))</f>
        <v>COMPRADOR</v>
      </c>
      <c r="S74"/>
      <c r="T74"/>
      <c r="U74"/>
      <c r="V74"/>
      <c r="W74"/>
      <c r="X74"/>
      <c r="Y74"/>
      <c r="Z74"/>
    </row>
    <row r="75" spans="1:26" s="104" customFormat="1">
      <c r="A75" s="88" t="s">
        <v>85</v>
      </c>
      <c r="B75" s="89" t="s">
        <v>157</v>
      </c>
      <c r="C75" s="89" t="s">
        <v>52</v>
      </c>
      <c r="D75" s="103">
        <v>100079674</v>
      </c>
      <c r="E75" s="89" t="s">
        <v>57</v>
      </c>
      <c r="F75" s="89">
        <v>100001259</v>
      </c>
      <c r="G75" s="128" t="s">
        <v>164</v>
      </c>
      <c r="H75" s="166"/>
      <c r="I75" s="92"/>
      <c r="J75" s="92"/>
      <c r="K75" s="94"/>
      <c r="L75" s="92">
        <v>0</v>
      </c>
      <c r="M75" s="93">
        <v>0</v>
      </c>
      <c r="N75" s="98">
        <f t="shared" si="2"/>
        <v>0</v>
      </c>
      <c r="O75" s="97">
        <v>0</v>
      </c>
      <c r="P75" s="92">
        <v>0</v>
      </c>
      <c r="Q75" s="98">
        <f t="shared" si="3"/>
        <v>0</v>
      </c>
      <c r="R75" s="99" t="str">
        <f>+IF(Q75+N75&lt;=0, "NO COMPRADOR", +IF(Q75&lt;=0, "SIN COMPRA "&amp;+UPPER(TEXT('DINAMICA ENERO 26'!$C$2,"mmm 'yy")), "COMPRADOR"))</f>
        <v>NO COMPRADOR</v>
      </c>
      <c r="S75"/>
      <c r="T75"/>
      <c r="U75"/>
      <c r="V75"/>
      <c r="W75"/>
      <c r="X75"/>
      <c r="Y75"/>
      <c r="Z75"/>
    </row>
    <row r="76" spans="1:26" s="104" customFormat="1">
      <c r="A76" s="88" t="s">
        <v>85</v>
      </c>
      <c r="B76" s="89" t="s">
        <v>157</v>
      </c>
      <c r="C76" s="89" t="s">
        <v>52</v>
      </c>
      <c r="D76" s="103">
        <v>100079674</v>
      </c>
      <c r="E76" s="89" t="s">
        <v>57</v>
      </c>
      <c r="F76" s="89">
        <v>100082864</v>
      </c>
      <c r="G76" s="128" t="s">
        <v>165</v>
      </c>
      <c r="H76" s="166"/>
      <c r="I76" s="92"/>
      <c r="J76" s="92"/>
      <c r="K76" s="94"/>
      <c r="L76" s="92">
        <v>24</v>
      </c>
      <c r="M76" s="93">
        <v>0</v>
      </c>
      <c r="N76" s="98">
        <f t="shared" si="2"/>
        <v>12</v>
      </c>
      <c r="O76" s="97">
        <v>0</v>
      </c>
      <c r="P76" s="92">
        <v>0</v>
      </c>
      <c r="Q76" s="98">
        <f t="shared" si="3"/>
        <v>0</v>
      </c>
      <c r="R76" s="99" t="str">
        <f>+IF(Q76+N76&lt;=0, "NO COMPRADOR", +IF(Q76&lt;=0, "SIN COMPRA "&amp;+UPPER(TEXT('DINAMICA ENERO 26'!$C$2,"mmm 'yy")), "COMPRADOR"))</f>
        <v>SIN COMPRA FEB '26</v>
      </c>
      <c r="S76"/>
      <c r="T76"/>
      <c r="U76"/>
      <c r="V76"/>
      <c r="W76"/>
      <c r="X76"/>
      <c r="Y76"/>
      <c r="Z76"/>
    </row>
    <row r="77" spans="1:26" s="104" customFormat="1">
      <c r="A77" s="88" t="s">
        <v>85</v>
      </c>
      <c r="B77" s="89" t="s">
        <v>157</v>
      </c>
      <c r="C77" s="89" t="s">
        <v>52</v>
      </c>
      <c r="D77" s="103">
        <v>100079674</v>
      </c>
      <c r="E77" s="89" t="s">
        <v>57</v>
      </c>
      <c r="F77" s="89">
        <v>100073859</v>
      </c>
      <c r="G77" s="128" t="s">
        <v>166</v>
      </c>
      <c r="H77" s="166"/>
      <c r="I77" s="92"/>
      <c r="J77" s="92"/>
      <c r="K77" s="94"/>
      <c r="L77" s="92">
        <v>24</v>
      </c>
      <c r="M77" s="93">
        <v>0</v>
      </c>
      <c r="N77" s="98">
        <f t="shared" si="2"/>
        <v>12</v>
      </c>
      <c r="O77" s="97">
        <v>0</v>
      </c>
      <c r="P77" s="92">
        <v>0</v>
      </c>
      <c r="Q77" s="98">
        <f t="shared" si="3"/>
        <v>0</v>
      </c>
      <c r="R77" s="99" t="str">
        <f>+IF(Q77+N77&lt;=0, "NO COMPRADOR", +IF(Q77&lt;=0, "SIN COMPRA "&amp;+UPPER(TEXT('DINAMICA ENERO 26'!$C$2,"mmm 'yy")), "COMPRADOR"))</f>
        <v>SIN COMPRA FEB '26</v>
      </c>
      <c r="S77"/>
      <c r="T77"/>
      <c r="U77"/>
      <c r="V77"/>
      <c r="W77"/>
      <c r="X77"/>
      <c r="Y77"/>
      <c r="Z77"/>
    </row>
    <row r="78" spans="1:26" s="104" customFormat="1">
      <c r="A78" s="88" t="s">
        <v>85</v>
      </c>
      <c r="B78" s="89" t="s">
        <v>157</v>
      </c>
      <c r="C78" s="89" t="s">
        <v>52</v>
      </c>
      <c r="D78" s="103">
        <v>100079674</v>
      </c>
      <c r="E78" s="89" t="s">
        <v>57</v>
      </c>
      <c r="F78" s="89">
        <v>100001941</v>
      </c>
      <c r="G78" s="128" t="s">
        <v>167</v>
      </c>
      <c r="H78" s="166"/>
      <c r="I78" s="92"/>
      <c r="J78" s="92"/>
      <c r="K78" s="94"/>
      <c r="L78" s="92">
        <v>4.8</v>
      </c>
      <c r="M78" s="93">
        <v>0</v>
      </c>
      <c r="N78" s="98">
        <f t="shared" si="2"/>
        <v>2.4</v>
      </c>
      <c r="O78" s="97">
        <v>4.8</v>
      </c>
      <c r="P78" s="92">
        <v>0</v>
      </c>
      <c r="Q78" s="98">
        <f t="shared" si="3"/>
        <v>4.8</v>
      </c>
      <c r="R78" s="99" t="str">
        <f>+IF(Q78+N78&lt;=0, "NO COMPRADOR", +IF(Q78&lt;=0, "SIN COMPRA "&amp;+UPPER(TEXT('DINAMICA ENERO 26'!$C$2,"mmm 'yy")), "COMPRADOR"))</f>
        <v>COMPRADOR</v>
      </c>
      <c r="S78"/>
      <c r="T78"/>
      <c r="U78"/>
      <c r="V78"/>
      <c r="W78"/>
      <c r="X78"/>
      <c r="Y78"/>
      <c r="Z78"/>
    </row>
    <row r="79" spans="1:26" s="104" customFormat="1">
      <c r="A79" s="88" t="s">
        <v>85</v>
      </c>
      <c r="B79" s="89" t="s">
        <v>157</v>
      </c>
      <c r="C79" s="89" t="s">
        <v>52</v>
      </c>
      <c r="D79" s="103">
        <v>100079674</v>
      </c>
      <c r="E79" s="89" t="s">
        <v>57</v>
      </c>
      <c r="F79" s="89">
        <v>100005864</v>
      </c>
      <c r="G79" s="128" t="s">
        <v>168</v>
      </c>
      <c r="H79" s="166"/>
      <c r="I79" s="92"/>
      <c r="J79" s="92"/>
      <c r="K79" s="94"/>
      <c r="L79" s="92">
        <v>0</v>
      </c>
      <c r="M79" s="93">
        <v>0</v>
      </c>
      <c r="N79" s="98">
        <f t="shared" si="2"/>
        <v>0</v>
      </c>
      <c r="O79" s="97">
        <v>0</v>
      </c>
      <c r="P79" s="92">
        <v>0</v>
      </c>
      <c r="Q79" s="98">
        <f t="shared" si="3"/>
        <v>0</v>
      </c>
      <c r="R79" s="99" t="str">
        <f>+IF(Q79+N79&lt;=0, "NO COMPRADOR", +IF(Q79&lt;=0, "SIN COMPRA "&amp;+UPPER(TEXT('DINAMICA ENERO 26'!$C$2,"mmm 'yy")), "COMPRADOR"))</f>
        <v>NO COMPRADOR</v>
      </c>
      <c r="S79"/>
      <c r="T79"/>
      <c r="U79"/>
      <c r="V79"/>
      <c r="W79"/>
      <c r="X79"/>
      <c r="Y79"/>
      <c r="Z79"/>
    </row>
    <row r="80" spans="1:26" s="100" customFormat="1">
      <c r="A80" s="88" t="s">
        <v>85</v>
      </c>
      <c r="B80" s="89" t="s">
        <v>157</v>
      </c>
      <c r="C80" s="89" t="s">
        <v>52</v>
      </c>
      <c r="D80" s="103">
        <v>100079674</v>
      </c>
      <c r="E80" s="89" t="s">
        <v>57</v>
      </c>
      <c r="F80" s="89">
        <v>100009067</v>
      </c>
      <c r="G80" s="128" t="s">
        <v>169</v>
      </c>
      <c r="H80" s="166"/>
      <c r="I80" s="92"/>
      <c r="J80" s="92"/>
      <c r="K80" s="94"/>
      <c r="L80" s="92">
        <v>0</v>
      </c>
      <c r="M80" s="93">
        <v>0</v>
      </c>
      <c r="N80" s="98">
        <f t="shared" si="2"/>
        <v>0</v>
      </c>
      <c r="O80" s="97">
        <v>24</v>
      </c>
      <c r="P80" s="92">
        <v>0</v>
      </c>
      <c r="Q80" s="98">
        <f t="shared" si="3"/>
        <v>24</v>
      </c>
      <c r="R80" s="99" t="str">
        <f>+IF(Q80+N80&lt;=0, "NO COMPRADOR", +IF(Q80&lt;=0, "SIN COMPRA "&amp;+UPPER(TEXT('DINAMICA ENERO 26'!$C$2,"mmm 'yy")), "COMPRADOR"))</f>
        <v>COMPRADOR</v>
      </c>
      <c r="S80"/>
      <c r="T80"/>
      <c r="U80"/>
      <c r="V80"/>
      <c r="W80"/>
      <c r="X80"/>
      <c r="Y80"/>
      <c r="Z80"/>
    </row>
    <row r="81" spans="1:26" s="104" customFormat="1">
      <c r="A81" s="88" t="s">
        <v>85</v>
      </c>
      <c r="B81" s="89" t="s">
        <v>157</v>
      </c>
      <c r="C81" s="89" t="s">
        <v>52</v>
      </c>
      <c r="D81" s="103">
        <v>100079674</v>
      </c>
      <c r="E81" s="89" t="s">
        <v>57</v>
      </c>
      <c r="F81" s="89">
        <v>100059556</v>
      </c>
      <c r="G81" s="128" t="s">
        <v>170</v>
      </c>
      <c r="H81" s="166"/>
      <c r="I81" s="92"/>
      <c r="J81" s="92"/>
      <c r="K81" s="94"/>
      <c r="L81" s="92">
        <v>0</v>
      </c>
      <c r="M81" s="93">
        <v>0</v>
      </c>
      <c r="N81" s="98">
        <f t="shared" si="2"/>
        <v>0</v>
      </c>
      <c r="O81" s="97">
        <v>0</v>
      </c>
      <c r="P81" s="92">
        <v>0</v>
      </c>
      <c r="Q81" s="98">
        <f t="shared" si="3"/>
        <v>0</v>
      </c>
      <c r="R81" s="99" t="str">
        <f>+IF(Q81+N81&lt;=0, "NO COMPRADOR", +IF(Q81&lt;=0, "SIN COMPRA "&amp;+UPPER(TEXT('DINAMICA ENERO 26'!$C$2,"mmm 'yy")), "COMPRADOR"))</f>
        <v>NO COMPRADOR</v>
      </c>
      <c r="S81"/>
      <c r="T81"/>
      <c r="U81"/>
      <c r="V81"/>
      <c r="W81"/>
      <c r="X81"/>
      <c r="Y81"/>
      <c r="Z81"/>
    </row>
    <row r="82" spans="1:26" s="104" customFormat="1">
      <c r="A82" s="88" t="s">
        <v>85</v>
      </c>
      <c r="B82" s="89" t="s">
        <v>157</v>
      </c>
      <c r="C82" s="89" t="s">
        <v>52</v>
      </c>
      <c r="D82" s="103">
        <v>100079674</v>
      </c>
      <c r="E82" s="89" t="s">
        <v>57</v>
      </c>
      <c r="F82" s="89">
        <v>100082635</v>
      </c>
      <c r="G82" s="128" t="s">
        <v>171</v>
      </c>
      <c r="H82" s="166"/>
      <c r="I82" s="92"/>
      <c r="J82" s="92"/>
      <c r="K82" s="94"/>
      <c r="L82" s="92">
        <v>4.8</v>
      </c>
      <c r="M82" s="93">
        <v>4.8</v>
      </c>
      <c r="N82" s="98">
        <f t="shared" si="2"/>
        <v>4.8</v>
      </c>
      <c r="O82" s="97">
        <v>0</v>
      </c>
      <c r="P82" s="92">
        <v>4.8</v>
      </c>
      <c r="Q82" s="98">
        <f t="shared" si="3"/>
        <v>4.8</v>
      </c>
      <c r="R82" s="99" t="str">
        <f>+IF(Q82+N82&lt;=0, "NO COMPRADOR", +IF(Q82&lt;=0, "SIN COMPRA "&amp;+UPPER(TEXT('DINAMICA ENERO 26'!$C$2,"mmm 'yy")), "COMPRADOR"))</f>
        <v>COMPRADOR</v>
      </c>
      <c r="S82"/>
      <c r="T82"/>
      <c r="U82"/>
      <c r="V82"/>
      <c r="W82"/>
      <c r="X82"/>
      <c r="Y82"/>
      <c r="Z82"/>
    </row>
    <row r="83" spans="1:26" s="104" customFormat="1">
      <c r="A83" s="88" t="s">
        <v>85</v>
      </c>
      <c r="B83" s="89" t="s">
        <v>157</v>
      </c>
      <c r="C83" s="89" t="s">
        <v>52</v>
      </c>
      <c r="D83" s="103">
        <v>100079674</v>
      </c>
      <c r="E83" s="89" t="s">
        <v>57</v>
      </c>
      <c r="F83" s="89">
        <v>100087436</v>
      </c>
      <c r="G83" s="128" t="s">
        <v>172</v>
      </c>
      <c r="H83" s="166"/>
      <c r="I83" s="92"/>
      <c r="J83" s="92"/>
      <c r="K83" s="94"/>
      <c r="L83" s="92">
        <v>9.6</v>
      </c>
      <c r="M83" s="93">
        <v>0</v>
      </c>
      <c r="N83" s="98">
        <f t="shared" si="2"/>
        <v>4.8</v>
      </c>
      <c r="O83" s="97">
        <v>0</v>
      </c>
      <c r="P83" s="92">
        <v>0</v>
      </c>
      <c r="Q83" s="98">
        <f t="shared" si="3"/>
        <v>0</v>
      </c>
      <c r="R83" s="99" t="str">
        <f>+IF(Q83+N83&lt;=0, "NO COMPRADOR", +IF(Q83&lt;=0, "SIN COMPRA "&amp;+UPPER(TEXT('DINAMICA ENERO 26'!$C$2,"mmm 'yy")), "COMPRADOR"))</f>
        <v>SIN COMPRA FEB '26</v>
      </c>
      <c r="S83"/>
      <c r="T83"/>
      <c r="U83"/>
      <c r="V83"/>
      <c r="W83"/>
      <c r="X83"/>
      <c r="Y83"/>
      <c r="Z83"/>
    </row>
    <row r="84" spans="1:26" s="100" customFormat="1">
      <c r="A84" s="88" t="s">
        <v>85</v>
      </c>
      <c r="B84" s="89" t="s">
        <v>157</v>
      </c>
      <c r="C84" s="89" t="s">
        <v>52</v>
      </c>
      <c r="D84" s="103">
        <v>100079674</v>
      </c>
      <c r="E84" s="89" t="s">
        <v>57</v>
      </c>
      <c r="F84" s="89">
        <v>100072236</v>
      </c>
      <c r="G84" s="128" t="s">
        <v>173</v>
      </c>
      <c r="H84" s="166"/>
      <c r="I84" s="92"/>
      <c r="J84" s="92"/>
      <c r="K84" s="94"/>
      <c r="L84" s="92">
        <v>14.399999999999999</v>
      </c>
      <c r="M84" s="93">
        <v>62.4</v>
      </c>
      <c r="N84" s="98">
        <f t="shared" si="2"/>
        <v>38.4</v>
      </c>
      <c r="O84" s="97">
        <v>43.199999999999996</v>
      </c>
      <c r="P84" s="92">
        <v>0</v>
      </c>
      <c r="Q84" s="98">
        <f t="shared" si="3"/>
        <v>43.199999999999996</v>
      </c>
      <c r="R84" s="99" t="str">
        <f>+IF(Q84+N84&lt;=0, "NO COMPRADOR", +IF(Q84&lt;=0, "SIN COMPRA "&amp;+UPPER(TEXT('DINAMICA ENERO 26'!$C$2,"mmm 'yy")), "COMPRADOR"))</f>
        <v>COMPRADOR</v>
      </c>
      <c r="S84"/>
      <c r="T84"/>
      <c r="U84"/>
      <c r="V84"/>
      <c r="W84"/>
      <c r="X84"/>
      <c r="Y84"/>
      <c r="Z84"/>
    </row>
    <row r="85" spans="1:26" s="100" customFormat="1">
      <c r="A85" s="88" t="s">
        <v>85</v>
      </c>
      <c r="B85" s="89" t="s">
        <v>157</v>
      </c>
      <c r="C85" s="89" t="s">
        <v>52</v>
      </c>
      <c r="D85" s="103">
        <v>100079674</v>
      </c>
      <c r="E85" s="89" t="s">
        <v>57</v>
      </c>
      <c r="F85" s="89">
        <v>100087960</v>
      </c>
      <c r="G85" s="128" t="s">
        <v>174</v>
      </c>
      <c r="H85" s="166"/>
      <c r="I85" s="92"/>
      <c r="J85" s="92"/>
      <c r="K85" s="94"/>
      <c r="L85" s="92">
        <v>0</v>
      </c>
      <c r="M85" s="93">
        <v>0</v>
      </c>
      <c r="N85" s="98">
        <f t="shared" si="2"/>
        <v>0</v>
      </c>
      <c r="O85" s="97">
        <v>4.8</v>
      </c>
      <c r="P85" s="92">
        <v>0</v>
      </c>
      <c r="Q85" s="98">
        <f t="shared" si="3"/>
        <v>4.8</v>
      </c>
      <c r="R85" s="99" t="str">
        <f>+IF(Q85+N85&lt;=0, "NO COMPRADOR", +IF(Q85&lt;=0, "SIN COMPRA "&amp;+UPPER(TEXT('DINAMICA ENERO 26'!$C$2,"mmm 'yy")), "COMPRADOR"))</f>
        <v>COMPRADOR</v>
      </c>
      <c r="S85"/>
      <c r="T85"/>
      <c r="U85"/>
      <c r="V85"/>
      <c r="W85"/>
      <c r="X85"/>
      <c r="Y85"/>
      <c r="Z85"/>
    </row>
    <row r="86" spans="1:26" s="104" customFormat="1">
      <c r="A86" s="88" t="s">
        <v>85</v>
      </c>
      <c r="B86" s="89" t="s">
        <v>157</v>
      </c>
      <c r="C86" s="89" t="s">
        <v>52</v>
      </c>
      <c r="D86" s="103">
        <v>100079674</v>
      </c>
      <c r="E86" s="89" t="s">
        <v>57</v>
      </c>
      <c r="F86" s="89">
        <v>100080270</v>
      </c>
      <c r="G86" s="128" t="s">
        <v>175</v>
      </c>
      <c r="H86" s="166"/>
      <c r="I86" s="92"/>
      <c r="J86" s="92"/>
      <c r="K86" s="94"/>
      <c r="L86" s="92">
        <v>43.2</v>
      </c>
      <c r="M86" s="93">
        <v>14.399999999999999</v>
      </c>
      <c r="N86" s="98">
        <f t="shared" si="2"/>
        <v>28.8</v>
      </c>
      <c r="O86" s="97">
        <v>48</v>
      </c>
      <c r="P86" s="92">
        <v>0</v>
      </c>
      <c r="Q86" s="98">
        <f t="shared" si="3"/>
        <v>48</v>
      </c>
      <c r="R86" s="99" t="str">
        <f>+IF(Q86+N86&lt;=0, "NO COMPRADOR", +IF(Q86&lt;=0, "SIN COMPRA "&amp;+UPPER(TEXT('DINAMICA ENERO 26'!$C$2,"mmm 'yy")), "COMPRADOR"))</f>
        <v>COMPRADOR</v>
      </c>
      <c r="S86"/>
      <c r="T86"/>
      <c r="U86"/>
      <c r="V86"/>
      <c r="W86"/>
      <c r="X86"/>
      <c r="Y86"/>
      <c r="Z86"/>
    </row>
    <row r="87" spans="1:26">
      <c r="A87" s="88" t="s">
        <v>85</v>
      </c>
      <c r="B87" s="89" t="s">
        <v>157</v>
      </c>
      <c r="C87" s="89" t="s">
        <v>52</v>
      </c>
      <c r="D87" s="103">
        <v>100079674</v>
      </c>
      <c r="E87" s="89" t="s">
        <v>57</v>
      </c>
      <c r="F87" s="89">
        <v>100073740</v>
      </c>
      <c r="G87" s="128" t="s">
        <v>176</v>
      </c>
      <c r="H87" s="166"/>
      <c r="I87" s="92"/>
      <c r="J87" s="92"/>
      <c r="K87" s="94"/>
      <c r="L87" s="92">
        <v>0</v>
      </c>
      <c r="M87" s="93">
        <v>9.6</v>
      </c>
      <c r="N87" s="98">
        <f t="shared" si="2"/>
        <v>4.8</v>
      </c>
      <c r="O87" s="97">
        <v>0</v>
      </c>
      <c r="P87" s="92">
        <v>0</v>
      </c>
      <c r="Q87" s="98">
        <f t="shared" si="3"/>
        <v>0</v>
      </c>
      <c r="R87" s="99" t="str">
        <f>+IF(Q87+N87&lt;=0, "NO COMPRADOR", +IF(Q87&lt;=0, "SIN COMPRA "&amp;+UPPER(TEXT('DINAMICA ENERO 26'!$C$2,"mmm 'yy")), "COMPRADOR"))</f>
        <v>SIN COMPRA FEB '26</v>
      </c>
    </row>
    <row r="88" spans="1:26" s="100" customFormat="1">
      <c r="A88" s="88" t="s">
        <v>85</v>
      </c>
      <c r="B88" s="89" t="s">
        <v>157</v>
      </c>
      <c r="C88" s="89" t="s">
        <v>52</v>
      </c>
      <c r="D88" s="103">
        <v>100079674</v>
      </c>
      <c r="E88" s="89" t="s">
        <v>57</v>
      </c>
      <c r="F88" s="89">
        <v>100073876</v>
      </c>
      <c r="G88" s="128" t="s">
        <v>177</v>
      </c>
      <c r="H88" s="166"/>
      <c r="I88" s="92"/>
      <c r="J88" s="92"/>
      <c r="K88" s="94"/>
      <c r="L88" s="92">
        <v>4.8</v>
      </c>
      <c r="M88" s="93">
        <v>4.8</v>
      </c>
      <c r="N88" s="98">
        <f t="shared" si="2"/>
        <v>4.8</v>
      </c>
      <c r="O88" s="97">
        <v>4.8</v>
      </c>
      <c r="P88" s="92">
        <v>0</v>
      </c>
      <c r="Q88" s="98">
        <f t="shared" si="3"/>
        <v>4.8</v>
      </c>
      <c r="R88" s="99" t="str">
        <f>+IF(Q88+N88&lt;=0, "NO COMPRADOR", +IF(Q88&lt;=0, "SIN COMPRA "&amp;+UPPER(TEXT('DINAMICA ENERO 26'!$C$2,"mmm 'yy")), "COMPRADOR"))</f>
        <v>COMPRADOR</v>
      </c>
      <c r="S88"/>
      <c r="T88"/>
      <c r="U88"/>
      <c r="V88"/>
      <c r="W88"/>
      <c r="X88"/>
      <c r="Y88"/>
      <c r="Z88"/>
    </row>
    <row r="89" spans="1:26" s="100" customFormat="1">
      <c r="A89" s="88" t="s">
        <v>85</v>
      </c>
      <c r="B89" s="89" t="s">
        <v>157</v>
      </c>
      <c r="C89" s="89" t="s">
        <v>52</v>
      </c>
      <c r="D89" s="103">
        <v>100079674</v>
      </c>
      <c r="E89" s="89" t="s">
        <v>57</v>
      </c>
      <c r="F89" s="89">
        <v>100077196</v>
      </c>
      <c r="G89" s="128" t="s">
        <v>178</v>
      </c>
      <c r="H89" s="166"/>
      <c r="I89" s="92"/>
      <c r="J89" s="92"/>
      <c r="K89" s="94"/>
      <c r="L89" s="92">
        <v>0</v>
      </c>
      <c r="M89" s="93">
        <v>0</v>
      </c>
      <c r="N89" s="98">
        <f t="shared" si="2"/>
        <v>0</v>
      </c>
      <c r="O89" s="97">
        <v>4.8</v>
      </c>
      <c r="P89" s="92">
        <v>0</v>
      </c>
      <c r="Q89" s="98">
        <f t="shared" si="3"/>
        <v>4.8</v>
      </c>
      <c r="R89" s="99" t="str">
        <f>+IF(Q89+N89&lt;=0, "NO COMPRADOR", +IF(Q89&lt;=0, "SIN COMPRA "&amp;+UPPER(TEXT('DINAMICA ENERO 26'!$C$2,"mmm 'yy")), "COMPRADOR"))</f>
        <v>COMPRADOR</v>
      </c>
      <c r="S89"/>
      <c r="T89"/>
      <c r="U89"/>
      <c r="V89"/>
      <c r="W89"/>
      <c r="X89"/>
      <c r="Y89"/>
      <c r="Z89"/>
    </row>
    <row r="90" spans="1:26" s="104" customFormat="1">
      <c r="A90" s="88" t="s">
        <v>85</v>
      </c>
      <c r="B90" s="89" t="s">
        <v>157</v>
      </c>
      <c r="C90" s="89" t="s">
        <v>52</v>
      </c>
      <c r="D90" s="103">
        <v>100079674</v>
      </c>
      <c r="E90" s="89" t="s">
        <v>57</v>
      </c>
      <c r="F90" s="89">
        <v>100063753</v>
      </c>
      <c r="G90" s="128" t="s">
        <v>179</v>
      </c>
      <c r="H90" s="166"/>
      <c r="I90" s="92"/>
      <c r="J90" s="92"/>
      <c r="K90" s="94"/>
      <c r="L90" s="92">
        <v>0</v>
      </c>
      <c r="M90" s="93">
        <v>28.8</v>
      </c>
      <c r="N90" s="98">
        <f t="shared" si="2"/>
        <v>14.4</v>
      </c>
      <c r="O90" s="97">
        <v>4.8</v>
      </c>
      <c r="P90" s="92">
        <v>0</v>
      </c>
      <c r="Q90" s="98">
        <f t="shared" si="3"/>
        <v>4.8</v>
      </c>
      <c r="R90" s="99" t="str">
        <f>+IF(Q90+N90&lt;=0, "NO COMPRADOR", +IF(Q90&lt;=0, "SIN COMPRA "&amp;+UPPER(TEXT('DINAMICA ENERO 26'!$C$2,"mmm 'yy")), "COMPRADOR"))</f>
        <v>COMPRADOR</v>
      </c>
      <c r="S90"/>
      <c r="T90"/>
      <c r="U90"/>
      <c r="V90"/>
      <c r="W90"/>
      <c r="X90"/>
      <c r="Y90"/>
      <c r="Z90"/>
    </row>
    <row r="91" spans="1:26" s="100" customFormat="1">
      <c r="A91" s="88" t="s">
        <v>85</v>
      </c>
      <c r="B91" s="89" t="s">
        <v>157</v>
      </c>
      <c r="C91" s="89" t="s">
        <v>52</v>
      </c>
      <c r="D91" s="103">
        <v>100079674</v>
      </c>
      <c r="E91" s="89" t="s">
        <v>57</v>
      </c>
      <c r="F91" s="89">
        <v>100084198</v>
      </c>
      <c r="G91" s="128" t="s">
        <v>180</v>
      </c>
      <c r="H91" s="166"/>
      <c r="I91" s="92"/>
      <c r="J91" s="92"/>
      <c r="K91" s="94"/>
      <c r="L91" s="92">
        <v>0</v>
      </c>
      <c r="M91" s="93">
        <v>28.8</v>
      </c>
      <c r="N91" s="98">
        <f t="shared" si="2"/>
        <v>14.4</v>
      </c>
      <c r="O91" s="97">
        <v>0</v>
      </c>
      <c r="P91" s="92">
        <v>0</v>
      </c>
      <c r="Q91" s="98">
        <f t="shared" si="3"/>
        <v>0</v>
      </c>
      <c r="R91" s="99" t="str">
        <f>+IF(Q91+N91&lt;=0, "NO COMPRADOR", +IF(Q91&lt;=0, "SIN COMPRA "&amp;+UPPER(TEXT('DINAMICA ENERO 26'!$C$2,"mmm 'yy")), "COMPRADOR"))</f>
        <v>SIN COMPRA FEB '26</v>
      </c>
      <c r="S91"/>
      <c r="T91"/>
      <c r="U91"/>
      <c r="V91"/>
      <c r="W91"/>
      <c r="X91"/>
      <c r="Y91"/>
      <c r="Z91"/>
    </row>
    <row r="92" spans="1:26" s="100" customFormat="1">
      <c r="A92" s="88" t="s">
        <v>85</v>
      </c>
      <c r="B92" s="89" t="s">
        <v>157</v>
      </c>
      <c r="C92" s="89" t="s">
        <v>52</v>
      </c>
      <c r="D92" s="103">
        <v>100079674</v>
      </c>
      <c r="E92" s="89" t="s">
        <v>57</v>
      </c>
      <c r="F92" s="89">
        <v>100084321</v>
      </c>
      <c r="G92" s="128" t="s">
        <v>181</v>
      </c>
      <c r="H92" s="166"/>
      <c r="I92" s="92"/>
      <c r="J92" s="92"/>
      <c r="K92" s="94"/>
      <c r="L92" s="92">
        <v>4.8</v>
      </c>
      <c r="M92" s="93">
        <v>0</v>
      </c>
      <c r="N92" s="98">
        <f t="shared" si="2"/>
        <v>2.4</v>
      </c>
      <c r="O92" s="97">
        <v>0</v>
      </c>
      <c r="P92" s="92">
        <v>0</v>
      </c>
      <c r="Q92" s="98">
        <f t="shared" si="3"/>
        <v>0</v>
      </c>
      <c r="R92" s="99" t="str">
        <f>+IF(Q92+N92&lt;=0, "NO COMPRADOR", +IF(Q92&lt;=0, "SIN COMPRA "&amp;+UPPER(TEXT('DINAMICA ENERO 26'!$C$2,"mmm 'yy")), "COMPRADOR"))</f>
        <v>SIN COMPRA FEB '26</v>
      </c>
      <c r="S92"/>
      <c r="T92"/>
      <c r="U92"/>
      <c r="V92"/>
      <c r="W92"/>
      <c r="X92"/>
      <c r="Y92"/>
      <c r="Z92"/>
    </row>
    <row r="93" spans="1:26" s="104" customFormat="1">
      <c r="A93" s="88" t="s">
        <v>85</v>
      </c>
      <c r="B93" s="89" t="s">
        <v>157</v>
      </c>
      <c r="C93" s="89" t="s">
        <v>52</v>
      </c>
      <c r="D93" s="103">
        <v>100079674</v>
      </c>
      <c r="E93" s="89" t="s">
        <v>57</v>
      </c>
      <c r="F93" s="89">
        <v>100088056</v>
      </c>
      <c r="G93" s="128" t="s">
        <v>182</v>
      </c>
      <c r="H93" s="166"/>
      <c r="I93" s="92"/>
      <c r="J93" s="92"/>
      <c r="K93" s="94"/>
      <c r="L93" s="92">
        <v>4.8</v>
      </c>
      <c r="M93" s="93">
        <v>28.8</v>
      </c>
      <c r="N93" s="98">
        <f t="shared" si="2"/>
        <v>16.8</v>
      </c>
      <c r="O93" s="97">
        <v>4.8</v>
      </c>
      <c r="P93" s="92">
        <v>0</v>
      </c>
      <c r="Q93" s="98">
        <f t="shared" si="3"/>
        <v>4.8</v>
      </c>
      <c r="R93" s="99" t="str">
        <f>+IF(Q93+N93&lt;=0, "NO COMPRADOR", +IF(Q93&lt;=0, "SIN COMPRA "&amp;+UPPER(TEXT('DINAMICA ENERO 26'!$C$2,"mmm 'yy")), "COMPRADOR"))</f>
        <v>COMPRADOR</v>
      </c>
      <c r="S93"/>
      <c r="T93"/>
      <c r="U93"/>
      <c r="V93"/>
      <c r="W93"/>
      <c r="X93"/>
      <c r="Y93"/>
      <c r="Z93"/>
    </row>
    <row r="94" spans="1:26" s="100" customFormat="1">
      <c r="A94" s="88" t="s">
        <v>85</v>
      </c>
      <c r="B94" s="89" t="s">
        <v>157</v>
      </c>
      <c r="C94" s="89" t="s">
        <v>52</v>
      </c>
      <c r="D94" s="103">
        <v>100079674</v>
      </c>
      <c r="E94" s="89" t="s">
        <v>57</v>
      </c>
      <c r="F94" s="89">
        <v>100089829</v>
      </c>
      <c r="G94" s="128" t="s">
        <v>183</v>
      </c>
      <c r="H94" s="166"/>
      <c r="I94" s="92"/>
      <c r="J94" s="92"/>
      <c r="K94" s="94"/>
      <c r="L94" s="92">
        <v>120</v>
      </c>
      <c r="M94" s="93">
        <v>48</v>
      </c>
      <c r="N94" s="98">
        <f t="shared" si="2"/>
        <v>84</v>
      </c>
      <c r="O94" s="97">
        <v>0</v>
      </c>
      <c r="P94" s="92">
        <v>0</v>
      </c>
      <c r="Q94" s="98">
        <f t="shared" si="3"/>
        <v>0</v>
      </c>
      <c r="R94" s="99" t="str">
        <f>+IF(Q94+N94&lt;=0, "NO COMPRADOR", +IF(Q94&lt;=0, "SIN COMPRA "&amp;+UPPER(TEXT('DINAMICA ENERO 26'!$C$2,"mmm 'yy")), "COMPRADOR"))</f>
        <v>SIN COMPRA FEB '26</v>
      </c>
      <c r="S94"/>
      <c r="T94"/>
      <c r="U94"/>
      <c r="V94"/>
      <c r="W94"/>
      <c r="X94"/>
      <c r="Y94"/>
      <c r="Z94"/>
    </row>
    <row r="95" spans="1:26" s="100" customFormat="1">
      <c r="A95" s="88" t="s">
        <v>85</v>
      </c>
      <c r="B95" s="89" t="s">
        <v>157</v>
      </c>
      <c r="C95" s="89" t="s">
        <v>52</v>
      </c>
      <c r="D95" s="103">
        <v>100066856</v>
      </c>
      <c r="E95" s="89" t="s">
        <v>54</v>
      </c>
      <c r="F95" s="89">
        <v>100080175</v>
      </c>
      <c r="G95" s="128" t="s">
        <v>184</v>
      </c>
      <c r="H95" s="166"/>
      <c r="I95" s="92"/>
      <c r="J95" s="92"/>
      <c r="K95" s="94"/>
      <c r="L95" s="92">
        <v>4.8</v>
      </c>
      <c r="M95" s="93">
        <v>0</v>
      </c>
      <c r="N95" s="98">
        <f t="shared" si="2"/>
        <v>2.4</v>
      </c>
      <c r="O95" s="97">
        <v>0</v>
      </c>
      <c r="P95" s="92">
        <v>0</v>
      </c>
      <c r="Q95" s="98">
        <f t="shared" si="3"/>
        <v>0</v>
      </c>
      <c r="R95" s="99" t="str">
        <f>+IF(Q95+N95&lt;=0, "NO COMPRADOR", +IF(Q95&lt;=0, "SIN COMPRA "&amp;+UPPER(TEXT('DINAMICA ENERO 26'!$C$2,"mmm 'yy")), "COMPRADOR"))</f>
        <v>SIN COMPRA FEB '26</v>
      </c>
      <c r="S95"/>
      <c r="T95"/>
      <c r="U95"/>
      <c r="V95"/>
      <c r="W95"/>
      <c r="X95"/>
      <c r="Y95"/>
      <c r="Z95"/>
    </row>
    <row r="96" spans="1:26" s="100" customFormat="1">
      <c r="A96" s="88" t="s">
        <v>85</v>
      </c>
      <c r="B96" s="89" t="s">
        <v>157</v>
      </c>
      <c r="C96" s="89" t="s">
        <v>52</v>
      </c>
      <c r="D96" s="103">
        <v>100066856</v>
      </c>
      <c r="E96" s="89" t="s">
        <v>54</v>
      </c>
      <c r="F96" s="89">
        <v>100086921</v>
      </c>
      <c r="G96" s="128" t="s">
        <v>185</v>
      </c>
      <c r="H96" s="166"/>
      <c r="I96" s="92"/>
      <c r="J96" s="92"/>
      <c r="K96" s="94"/>
      <c r="L96" s="92">
        <v>9.6</v>
      </c>
      <c r="M96" s="93">
        <v>0</v>
      </c>
      <c r="N96" s="98">
        <f t="shared" si="2"/>
        <v>4.8</v>
      </c>
      <c r="O96" s="97">
        <v>0</v>
      </c>
      <c r="P96" s="92">
        <v>0</v>
      </c>
      <c r="Q96" s="98">
        <f t="shared" si="3"/>
        <v>0</v>
      </c>
      <c r="R96" s="99" t="str">
        <f>+IF(Q96+N96&lt;=0, "NO COMPRADOR", +IF(Q96&lt;=0, "SIN COMPRA "&amp;+UPPER(TEXT('DINAMICA ENERO 26'!$C$2,"mmm 'yy")), "COMPRADOR"))</f>
        <v>SIN COMPRA FEB '26</v>
      </c>
      <c r="S96"/>
      <c r="T96"/>
      <c r="U96"/>
      <c r="V96"/>
      <c r="W96"/>
      <c r="X96"/>
      <c r="Y96"/>
      <c r="Z96"/>
    </row>
    <row r="97" spans="1:26" s="100" customFormat="1">
      <c r="A97" s="88" t="s">
        <v>85</v>
      </c>
      <c r="B97" s="89" t="s">
        <v>157</v>
      </c>
      <c r="C97" s="89" t="s">
        <v>52</v>
      </c>
      <c r="D97" s="103">
        <v>100066856</v>
      </c>
      <c r="E97" s="89" t="s">
        <v>54</v>
      </c>
      <c r="F97" s="89">
        <v>100063903</v>
      </c>
      <c r="G97" s="128" t="s">
        <v>186</v>
      </c>
      <c r="H97" s="166"/>
      <c r="I97" s="92"/>
      <c r="J97" s="92"/>
      <c r="K97" s="94"/>
      <c r="L97" s="92">
        <v>0</v>
      </c>
      <c r="M97" s="93">
        <v>0</v>
      </c>
      <c r="N97" s="98">
        <f t="shared" si="2"/>
        <v>0</v>
      </c>
      <c r="O97" s="97">
        <v>0</v>
      </c>
      <c r="P97" s="92">
        <v>0</v>
      </c>
      <c r="Q97" s="98">
        <f t="shared" si="3"/>
        <v>0</v>
      </c>
      <c r="R97" s="99" t="str">
        <f>+IF(Q97+N97&lt;=0, "NO COMPRADOR", +IF(Q97&lt;=0, "SIN COMPRA "&amp;+UPPER(TEXT('DINAMICA ENERO 26'!$C$2,"mmm 'yy")), "COMPRADOR"))</f>
        <v>NO COMPRADOR</v>
      </c>
      <c r="S97"/>
      <c r="T97"/>
      <c r="U97"/>
      <c r="V97"/>
      <c r="W97"/>
      <c r="X97"/>
      <c r="Y97"/>
      <c r="Z97"/>
    </row>
    <row r="98" spans="1:26" s="104" customFormat="1">
      <c r="A98" s="88" t="s">
        <v>85</v>
      </c>
      <c r="B98" s="89" t="s">
        <v>157</v>
      </c>
      <c r="C98" s="89" t="s">
        <v>52</v>
      </c>
      <c r="D98" s="103">
        <v>100066856</v>
      </c>
      <c r="E98" s="89" t="s">
        <v>54</v>
      </c>
      <c r="F98" s="89">
        <v>100081047</v>
      </c>
      <c r="G98" s="128" t="s">
        <v>187</v>
      </c>
      <c r="H98" s="166"/>
      <c r="I98" s="92"/>
      <c r="J98" s="92"/>
      <c r="K98" s="94"/>
      <c r="L98" s="92">
        <v>4.8</v>
      </c>
      <c r="M98" s="93">
        <v>0</v>
      </c>
      <c r="N98" s="98">
        <f t="shared" si="2"/>
        <v>2.4</v>
      </c>
      <c r="O98" s="97">
        <v>0</v>
      </c>
      <c r="P98" s="92">
        <v>0</v>
      </c>
      <c r="Q98" s="98">
        <f t="shared" si="3"/>
        <v>0</v>
      </c>
      <c r="R98" s="99" t="str">
        <f>+IF(Q98+N98&lt;=0, "NO COMPRADOR", +IF(Q98&lt;=0, "SIN COMPRA "&amp;+UPPER(TEXT('DINAMICA ENERO 26'!$C$2,"mmm 'yy")), "COMPRADOR"))</f>
        <v>SIN COMPRA FEB '26</v>
      </c>
      <c r="S98"/>
      <c r="T98"/>
      <c r="U98"/>
      <c r="V98"/>
      <c r="W98"/>
      <c r="X98"/>
      <c r="Y98"/>
      <c r="Z98"/>
    </row>
    <row r="99" spans="1:26" s="100" customFormat="1">
      <c r="A99" s="88" t="s">
        <v>85</v>
      </c>
      <c r="B99" s="89" t="s">
        <v>157</v>
      </c>
      <c r="C99" s="89" t="s">
        <v>52</v>
      </c>
      <c r="D99" s="103">
        <v>100066856</v>
      </c>
      <c r="E99" s="89" t="s">
        <v>54</v>
      </c>
      <c r="F99" s="89">
        <v>100081503</v>
      </c>
      <c r="G99" s="128" t="s">
        <v>188</v>
      </c>
      <c r="H99" s="166"/>
      <c r="I99" s="92"/>
      <c r="J99" s="92"/>
      <c r="K99" s="94"/>
      <c r="L99" s="92">
        <v>0</v>
      </c>
      <c r="M99" s="93">
        <v>0</v>
      </c>
      <c r="N99" s="98">
        <f t="shared" si="2"/>
        <v>0</v>
      </c>
      <c r="O99" s="97">
        <v>0</v>
      </c>
      <c r="P99" s="92">
        <v>0</v>
      </c>
      <c r="Q99" s="98">
        <f t="shared" si="3"/>
        <v>0</v>
      </c>
      <c r="R99" s="99" t="str">
        <f>+IF(Q99+N99&lt;=0, "NO COMPRADOR", +IF(Q99&lt;=0, "SIN COMPRA "&amp;+UPPER(TEXT('DINAMICA ENERO 26'!$C$2,"mmm 'yy")), "COMPRADOR"))</f>
        <v>NO COMPRADOR</v>
      </c>
      <c r="S99"/>
      <c r="T99"/>
      <c r="U99"/>
      <c r="V99"/>
      <c r="W99"/>
      <c r="X99"/>
      <c r="Y99"/>
      <c r="Z99"/>
    </row>
    <row r="100" spans="1:26" s="104" customFormat="1">
      <c r="A100" s="88" t="s">
        <v>85</v>
      </c>
      <c r="B100" s="89" t="s">
        <v>157</v>
      </c>
      <c r="C100" s="89" t="s">
        <v>52</v>
      </c>
      <c r="D100" s="103">
        <v>100066856</v>
      </c>
      <c r="E100" s="89" t="s">
        <v>54</v>
      </c>
      <c r="F100" s="89">
        <v>100087607</v>
      </c>
      <c r="G100" s="128" t="s">
        <v>189</v>
      </c>
      <c r="H100" s="166"/>
      <c r="I100" s="92"/>
      <c r="J100" s="92"/>
      <c r="K100" s="94"/>
      <c r="L100" s="92">
        <v>9.6</v>
      </c>
      <c r="M100" s="93">
        <v>9.6</v>
      </c>
      <c r="N100" s="98">
        <f t="shared" si="2"/>
        <v>9.6</v>
      </c>
      <c r="O100" s="97">
        <v>28.799999999999997</v>
      </c>
      <c r="P100" s="92">
        <v>0</v>
      </c>
      <c r="Q100" s="98">
        <f t="shared" si="3"/>
        <v>28.799999999999997</v>
      </c>
      <c r="R100" s="99" t="str">
        <f>+IF(Q100+N100&lt;=0, "NO COMPRADOR", +IF(Q100&lt;=0, "SIN COMPRA "&amp;+UPPER(TEXT('DINAMICA ENERO 26'!$C$2,"mmm 'yy")), "COMPRADOR"))</f>
        <v>COMPRADOR</v>
      </c>
      <c r="S100"/>
      <c r="T100"/>
      <c r="U100"/>
      <c r="V100"/>
      <c r="W100"/>
      <c r="X100"/>
      <c r="Y100"/>
      <c r="Z100"/>
    </row>
    <row r="101" spans="1:26" s="104" customFormat="1">
      <c r="A101" s="88" t="s">
        <v>85</v>
      </c>
      <c r="B101" s="89" t="s">
        <v>157</v>
      </c>
      <c r="C101" s="89" t="s">
        <v>52</v>
      </c>
      <c r="D101" s="103">
        <v>100066856</v>
      </c>
      <c r="E101" s="89" t="s">
        <v>54</v>
      </c>
      <c r="F101" s="89">
        <v>100088062</v>
      </c>
      <c r="G101" s="128" t="s">
        <v>190</v>
      </c>
      <c r="H101" s="166"/>
      <c r="I101" s="92"/>
      <c r="J101" s="92"/>
      <c r="K101" s="94"/>
      <c r="L101" s="92">
        <v>33.6</v>
      </c>
      <c r="M101" s="93">
        <v>0</v>
      </c>
      <c r="N101" s="98">
        <f t="shared" si="2"/>
        <v>16.8</v>
      </c>
      <c r="O101" s="97">
        <v>0</v>
      </c>
      <c r="P101" s="92">
        <v>0</v>
      </c>
      <c r="Q101" s="98">
        <f t="shared" si="3"/>
        <v>0</v>
      </c>
      <c r="R101" s="99" t="str">
        <f>+IF(Q101+N101&lt;=0, "NO COMPRADOR", +IF(Q101&lt;=0, "SIN COMPRA "&amp;+UPPER(TEXT('DINAMICA ENERO 26'!$C$2,"mmm 'yy")), "COMPRADOR"))</f>
        <v>SIN COMPRA FEB '26</v>
      </c>
      <c r="S101"/>
      <c r="T101"/>
      <c r="U101"/>
      <c r="V101"/>
      <c r="W101"/>
      <c r="X101"/>
      <c r="Y101"/>
      <c r="Z101"/>
    </row>
    <row r="102" spans="1:26" s="104" customFormat="1">
      <c r="A102" s="88" t="s">
        <v>85</v>
      </c>
      <c r="B102" s="89" t="s">
        <v>157</v>
      </c>
      <c r="C102" s="89" t="s">
        <v>52</v>
      </c>
      <c r="D102" s="103">
        <v>100066856</v>
      </c>
      <c r="E102" s="89" t="s">
        <v>54</v>
      </c>
      <c r="F102" s="89">
        <v>100087789</v>
      </c>
      <c r="G102" s="128" t="s">
        <v>191</v>
      </c>
      <c r="H102" s="166"/>
      <c r="I102" s="92"/>
      <c r="J102" s="92"/>
      <c r="K102" s="94"/>
      <c r="L102" s="92">
        <v>24</v>
      </c>
      <c r="M102" s="93">
        <v>0</v>
      </c>
      <c r="N102" s="98">
        <f t="shared" si="2"/>
        <v>12</v>
      </c>
      <c r="O102" s="97">
        <v>0</v>
      </c>
      <c r="P102" s="92">
        <v>0</v>
      </c>
      <c r="Q102" s="98">
        <f t="shared" si="3"/>
        <v>0</v>
      </c>
      <c r="R102" s="99" t="str">
        <f>+IF(Q102+N102&lt;=0, "NO COMPRADOR", +IF(Q102&lt;=0, "SIN COMPRA "&amp;+UPPER(TEXT('DINAMICA ENERO 26'!$C$2,"mmm 'yy")), "COMPRADOR"))</f>
        <v>SIN COMPRA FEB '26</v>
      </c>
      <c r="S102"/>
      <c r="T102"/>
      <c r="U102"/>
      <c r="V102"/>
      <c r="W102"/>
      <c r="X102"/>
      <c r="Y102"/>
      <c r="Z102"/>
    </row>
    <row r="103" spans="1:26" s="104" customFormat="1">
      <c r="A103" s="88" t="s">
        <v>85</v>
      </c>
      <c r="B103" s="89" t="s">
        <v>157</v>
      </c>
      <c r="C103" s="89" t="s">
        <v>52</v>
      </c>
      <c r="D103" s="103">
        <v>100066856</v>
      </c>
      <c r="E103" s="89" t="s">
        <v>54</v>
      </c>
      <c r="F103" s="89">
        <v>100016352</v>
      </c>
      <c r="G103" s="128" t="s">
        <v>192</v>
      </c>
      <c r="H103" s="166"/>
      <c r="I103" s="92"/>
      <c r="J103" s="92"/>
      <c r="K103" s="94"/>
      <c r="L103" s="92">
        <v>0</v>
      </c>
      <c r="M103" s="93">
        <v>0</v>
      </c>
      <c r="N103" s="98">
        <f t="shared" si="2"/>
        <v>0</v>
      </c>
      <c r="O103" s="97">
        <v>0</v>
      </c>
      <c r="P103" s="92">
        <v>0</v>
      </c>
      <c r="Q103" s="98">
        <f t="shared" si="3"/>
        <v>0</v>
      </c>
      <c r="R103" s="99" t="str">
        <f>+IF(Q103+N103&lt;=0, "NO COMPRADOR", +IF(Q103&lt;=0, "SIN COMPRA "&amp;+UPPER(TEXT('DINAMICA ENERO 26'!$C$2,"mmm 'yy")), "COMPRADOR"))</f>
        <v>NO COMPRADOR</v>
      </c>
      <c r="S103"/>
      <c r="T103"/>
      <c r="U103"/>
      <c r="V103"/>
      <c r="W103"/>
      <c r="X103"/>
      <c r="Y103"/>
      <c r="Z103"/>
    </row>
    <row r="104" spans="1:26" s="100" customFormat="1">
      <c r="A104" s="88" t="s">
        <v>85</v>
      </c>
      <c r="B104" s="89" t="s">
        <v>157</v>
      </c>
      <c r="C104" s="89" t="s">
        <v>52</v>
      </c>
      <c r="D104" s="103">
        <v>100066856</v>
      </c>
      <c r="E104" s="89" t="s">
        <v>54</v>
      </c>
      <c r="F104" s="89">
        <v>100083764</v>
      </c>
      <c r="G104" s="128" t="s">
        <v>193</v>
      </c>
      <c r="H104" s="166"/>
      <c r="I104" s="92"/>
      <c r="J104" s="92"/>
      <c r="K104" s="94"/>
      <c r="L104" s="92">
        <v>4.8</v>
      </c>
      <c r="M104" s="93">
        <v>-4.8</v>
      </c>
      <c r="N104" s="98">
        <f t="shared" si="2"/>
        <v>0</v>
      </c>
      <c r="O104" s="97">
        <v>0</v>
      </c>
      <c r="P104" s="92">
        <v>0</v>
      </c>
      <c r="Q104" s="98">
        <f t="shared" si="3"/>
        <v>0</v>
      </c>
      <c r="R104" s="99" t="str">
        <f>+IF(Q104+N104&lt;=0, "NO COMPRADOR", +IF(Q104&lt;=0, "SIN COMPRA "&amp;+UPPER(TEXT('DINAMICA ENERO 26'!$C$2,"mmm 'yy")), "COMPRADOR"))</f>
        <v>NO COMPRADOR</v>
      </c>
      <c r="S104"/>
      <c r="T104"/>
      <c r="U104"/>
      <c r="V104"/>
      <c r="W104"/>
      <c r="X104"/>
      <c r="Y104"/>
      <c r="Z104"/>
    </row>
    <row r="105" spans="1:26" s="100" customFormat="1">
      <c r="A105" s="88" t="s">
        <v>85</v>
      </c>
      <c r="B105" s="89" t="s">
        <v>157</v>
      </c>
      <c r="C105" s="89" t="s">
        <v>52</v>
      </c>
      <c r="D105" s="103">
        <v>100066856</v>
      </c>
      <c r="E105" s="89" t="s">
        <v>54</v>
      </c>
      <c r="F105" s="89">
        <v>100071616</v>
      </c>
      <c r="G105" s="128" t="s">
        <v>194</v>
      </c>
      <c r="H105" s="166"/>
      <c r="I105" s="92"/>
      <c r="J105" s="92"/>
      <c r="K105" s="94"/>
      <c r="L105" s="92">
        <v>33.6</v>
      </c>
      <c r="M105" s="93">
        <v>72</v>
      </c>
      <c r="N105" s="98">
        <f t="shared" si="2"/>
        <v>52.8</v>
      </c>
      <c r="O105" s="97">
        <v>14.399999999999999</v>
      </c>
      <c r="P105" s="92">
        <v>0</v>
      </c>
      <c r="Q105" s="98">
        <f t="shared" si="3"/>
        <v>14.399999999999999</v>
      </c>
      <c r="R105" s="99" t="str">
        <f>+IF(Q105+N105&lt;=0, "NO COMPRADOR", +IF(Q105&lt;=0, "SIN COMPRA "&amp;+UPPER(TEXT('DINAMICA ENERO 26'!$C$2,"mmm 'yy")), "COMPRADOR"))</f>
        <v>COMPRADOR</v>
      </c>
      <c r="S105"/>
      <c r="T105"/>
      <c r="U105"/>
      <c r="V105"/>
      <c r="W105"/>
      <c r="X105"/>
      <c r="Y105"/>
      <c r="Z105"/>
    </row>
    <row r="106" spans="1:26" s="100" customFormat="1">
      <c r="A106" s="88" t="s">
        <v>85</v>
      </c>
      <c r="B106" s="89" t="s">
        <v>157</v>
      </c>
      <c r="C106" s="89" t="s">
        <v>52</v>
      </c>
      <c r="D106" s="103">
        <v>100066856</v>
      </c>
      <c r="E106" s="89" t="s">
        <v>54</v>
      </c>
      <c r="F106" s="89">
        <v>100011726</v>
      </c>
      <c r="G106" s="128" t="s">
        <v>195</v>
      </c>
      <c r="H106" s="166"/>
      <c r="I106" s="92"/>
      <c r="J106" s="92"/>
      <c r="K106" s="94"/>
      <c r="L106" s="92">
        <v>4.8</v>
      </c>
      <c r="M106" s="93">
        <v>0</v>
      </c>
      <c r="N106" s="98">
        <f t="shared" si="2"/>
        <v>2.4</v>
      </c>
      <c r="O106" s="97">
        <v>0</v>
      </c>
      <c r="P106" s="92">
        <v>0</v>
      </c>
      <c r="Q106" s="98">
        <f t="shared" si="3"/>
        <v>0</v>
      </c>
      <c r="R106" s="99" t="str">
        <f>+IF(Q106+N106&lt;=0, "NO COMPRADOR", +IF(Q106&lt;=0, "SIN COMPRA "&amp;+UPPER(TEXT('DINAMICA ENERO 26'!$C$2,"mmm 'yy")), "COMPRADOR"))</f>
        <v>SIN COMPRA FEB '26</v>
      </c>
      <c r="S106"/>
      <c r="T106"/>
      <c r="U106"/>
      <c r="V106"/>
      <c r="W106"/>
      <c r="X106"/>
      <c r="Y106"/>
      <c r="Z106"/>
    </row>
    <row r="107" spans="1:26" s="100" customFormat="1">
      <c r="A107" s="88" t="s">
        <v>85</v>
      </c>
      <c r="B107" s="89" t="s">
        <v>157</v>
      </c>
      <c r="C107" s="89" t="s">
        <v>52</v>
      </c>
      <c r="D107" s="103">
        <v>100066856</v>
      </c>
      <c r="E107" s="89" t="s">
        <v>54</v>
      </c>
      <c r="F107" s="89">
        <v>100077612</v>
      </c>
      <c r="G107" s="128" t="s">
        <v>196</v>
      </c>
      <c r="H107" s="166"/>
      <c r="I107" s="92"/>
      <c r="J107" s="92"/>
      <c r="K107" s="94"/>
      <c r="L107" s="92">
        <v>0</v>
      </c>
      <c r="M107" s="93">
        <v>0</v>
      </c>
      <c r="N107" s="98">
        <f t="shared" si="2"/>
        <v>0</v>
      </c>
      <c r="O107" s="97">
        <v>0</v>
      </c>
      <c r="P107" s="92">
        <v>0</v>
      </c>
      <c r="Q107" s="98">
        <f t="shared" si="3"/>
        <v>0</v>
      </c>
      <c r="R107" s="99" t="str">
        <f>+IF(Q107+N107&lt;=0, "NO COMPRADOR", +IF(Q107&lt;=0, "SIN COMPRA "&amp;+UPPER(TEXT('DINAMICA ENERO 26'!$C$2,"mmm 'yy")), "COMPRADOR"))</f>
        <v>NO COMPRADOR</v>
      </c>
      <c r="S107"/>
      <c r="T107"/>
      <c r="U107"/>
      <c r="V107"/>
      <c r="W107"/>
      <c r="X107"/>
      <c r="Y107"/>
      <c r="Z107"/>
    </row>
    <row r="108" spans="1:26" s="104" customFormat="1">
      <c r="A108" s="88" t="s">
        <v>85</v>
      </c>
      <c r="B108" s="89" t="s">
        <v>157</v>
      </c>
      <c r="C108" s="89" t="s">
        <v>52</v>
      </c>
      <c r="D108" s="103">
        <v>100066856</v>
      </c>
      <c r="E108" s="89" t="s">
        <v>54</v>
      </c>
      <c r="F108" s="89">
        <v>100073860</v>
      </c>
      <c r="G108" s="128" t="s">
        <v>197</v>
      </c>
      <c r="H108" s="166"/>
      <c r="I108" s="92"/>
      <c r="J108" s="92"/>
      <c r="K108" s="94"/>
      <c r="L108" s="92">
        <v>4.8</v>
      </c>
      <c r="M108" s="93">
        <v>9.6</v>
      </c>
      <c r="N108" s="98">
        <f t="shared" si="2"/>
        <v>7.1999999999999993</v>
      </c>
      <c r="O108" s="97">
        <v>14.399999999999999</v>
      </c>
      <c r="P108" s="92">
        <v>0</v>
      </c>
      <c r="Q108" s="98">
        <f t="shared" si="3"/>
        <v>14.399999999999999</v>
      </c>
      <c r="R108" s="99" t="str">
        <f>+IF(Q108+N108&lt;=0, "NO COMPRADOR", +IF(Q108&lt;=0, "SIN COMPRA "&amp;+UPPER(TEXT('DINAMICA ENERO 26'!$C$2,"mmm 'yy")), "COMPRADOR"))</f>
        <v>COMPRADOR</v>
      </c>
      <c r="S108"/>
      <c r="T108"/>
      <c r="U108"/>
      <c r="V108"/>
      <c r="W108"/>
      <c r="X108"/>
      <c r="Y108"/>
      <c r="Z108"/>
    </row>
    <row r="109" spans="1:26" s="100" customFormat="1">
      <c r="A109" s="88" t="s">
        <v>85</v>
      </c>
      <c r="B109" s="89" t="s">
        <v>157</v>
      </c>
      <c r="C109" s="89" t="s">
        <v>52</v>
      </c>
      <c r="D109" s="103">
        <v>100066856</v>
      </c>
      <c r="E109" s="89" t="s">
        <v>54</v>
      </c>
      <c r="F109" s="89">
        <v>100002246</v>
      </c>
      <c r="G109" s="128" t="s">
        <v>198</v>
      </c>
      <c r="H109" s="166"/>
      <c r="I109" s="92"/>
      <c r="J109" s="92"/>
      <c r="K109" s="94"/>
      <c r="L109" s="92">
        <v>4.8</v>
      </c>
      <c r="M109" s="93">
        <v>0</v>
      </c>
      <c r="N109" s="98">
        <f t="shared" si="2"/>
        <v>2.4</v>
      </c>
      <c r="O109" s="97">
        <v>0</v>
      </c>
      <c r="P109" s="92">
        <v>0</v>
      </c>
      <c r="Q109" s="98">
        <f t="shared" si="3"/>
        <v>0</v>
      </c>
      <c r="R109" s="99" t="str">
        <f>+IF(Q109+N109&lt;=0, "NO COMPRADOR", +IF(Q109&lt;=0, "SIN COMPRA "&amp;+UPPER(TEXT('DINAMICA ENERO 26'!$C$2,"mmm 'yy")), "COMPRADOR"))</f>
        <v>SIN COMPRA FEB '26</v>
      </c>
      <c r="S109"/>
      <c r="T109"/>
      <c r="U109"/>
      <c r="V109"/>
      <c r="W109"/>
      <c r="X109"/>
      <c r="Y109"/>
      <c r="Z109"/>
    </row>
    <row r="110" spans="1:26" s="104" customFormat="1">
      <c r="A110" s="88" t="s">
        <v>85</v>
      </c>
      <c r="B110" s="89" t="s">
        <v>157</v>
      </c>
      <c r="C110" s="89" t="s">
        <v>52</v>
      </c>
      <c r="D110" s="103">
        <v>100066856</v>
      </c>
      <c r="E110" s="89" t="s">
        <v>54</v>
      </c>
      <c r="F110" s="89">
        <v>100071232</v>
      </c>
      <c r="G110" s="128" t="s">
        <v>199</v>
      </c>
      <c r="H110" s="166"/>
      <c r="I110" s="92"/>
      <c r="J110" s="92"/>
      <c r="K110" s="94"/>
      <c r="L110" s="92">
        <v>0</v>
      </c>
      <c r="M110" s="93">
        <v>0</v>
      </c>
      <c r="N110" s="98">
        <f t="shared" si="2"/>
        <v>0</v>
      </c>
      <c r="O110" s="97">
        <v>4.8</v>
      </c>
      <c r="P110" s="92">
        <v>0</v>
      </c>
      <c r="Q110" s="98">
        <f t="shared" si="3"/>
        <v>4.8</v>
      </c>
      <c r="R110" s="99" t="str">
        <f>+IF(Q110+N110&lt;=0, "NO COMPRADOR", +IF(Q110&lt;=0, "SIN COMPRA "&amp;+UPPER(TEXT('DINAMICA ENERO 26'!$C$2,"mmm 'yy")), "COMPRADOR"))</f>
        <v>COMPRADOR</v>
      </c>
      <c r="S110"/>
      <c r="T110"/>
      <c r="U110"/>
      <c r="V110"/>
      <c r="W110"/>
      <c r="X110"/>
      <c r="Y110"/>
      <c r="Z110"/>
    </row>
    <row r="111" spans="1:26" s="104" customFormat="1">
      <c r="A111" s="88" t="s">
        <v>85</v>
      </c>
      <c r="B111" s="89" t="s">
        <v>157</v>
      </c>
      <c r="C111" s="89" t="s">
        <v>52</v>
      </c>
      <c r="D111" s="103">
        <v>100066856</v>
      </c>
      <c r="E111" s="89" t="s">
        <v>54</v>
      </c>
      <c r="F111" s="89">
        <v>100076868</v>
      </c>
      <c r="G111" s="128" t="s">
        <v>200</v>
      </c>
      <c r="H111" s="166"/>
      <c r="I111" s="92"/>
      <c r="J111" s="92"/>
      <c r="K111" s="94"/>
      <c r="L111" s="92">
        <v>4.8</v>
      </c>
      <c r="M111" s="93">
        <v>0</v>
      </c>
      <c r="N111" s="98">
        <f t="shared" si="2"/>
        <v>2.4</v>
      </c>
      <c r="O111" s="97">
        <v>0</v>
      </c>
      <c r="P111" s="92">
        <v>0</v>
      </c>
      <c r="Q111" s="98">
        <f t="shared" si="3"/>
        <v>0</v>
      </c>
      <c r="R111" s="99" t="str">
        <f>+IF(Q111+N111&lt;=0, "NO COMPRADOR", +IF(Q111&lt;=0, "SIN COMPRA "&amp;+UPPER(TEXT('DINAMICA ENERO 26'!$C$2,"mmm 'yy")), "COMPRADOR"))</f>
        <v>SIN COMPRA FEB '26</v>
      </c>
      <c r="S111"/>
      <c r="T111"/>
      <c r="U111"/>
      <c r="V111"/>
      <c r="W111"/>
      <c r="X111"/>
      <c r="Y111"/>
      <c r="Z111"/>
    </row>
    <row r="112" spans="1:26" s="100" customFormat="1">
      <c r="A112" s="88" t="s">
        <v>85</v>
      </c>
      <c r="B112" s="89" t="s">
        <v>157</v>
      </c>
      <c r="C112" s="89" t="s">
        <v>52</v>
      </c>
      <c r="D112" s="103">
        <v>100066856</v>
      </c>
      <c r="E112" s="89" t="s">
        <v>54</v>
      </c>
      <c r="F112" s="89">
        <v>100007082</v>
      </c>
      <c r="G112" s="128" t="s">
        <v>201</v>
      </c>
      <c r="H112" s="166"/>
      <c r="I112" s="92"/>
      <c r="J112" s="92"/>
      <c r="K112" s="94"/>
      <c r="L112" s="92">
        <v>0</v>
      </c>
      <c r="M112" s="93">
        <v>0</v>
      </c>
      <c r="N112" s="98">
        <f t="shared" si="2"/>
        <v>0</v>
      </c>
      <c r="O112" s="97">
        <v>0</v>
      </c>
      <c r="P112" s="92">
        <v>0</v>
      </c>
      <c r="Q112" s="98">
        <f t="shared" si="3"/>
        <v>0</v>
      </c>
      <c r="R112" s="99" t="str">
        <f>+IF(Q112+N112&lt;=0, "NO COMPRADOR", +IF(Q112&lt;=0, "SIN COMPRA "&amp;+UPPER(TEXT('DINAMICA ENERO 26'!$C$2,"mmm 'yy")), "COMPRADOR"))</f>
        <v>NO COMPRADOR</v>
      </c>
      <c r="S112"/>
      <c r="T112"/>
      <c r="U112"/>
      <c r="V112"/>
      <c r="W112"/>
      <c r="X112"/>
      <c r="Y112"/>
      <c r="Z112"/>
    </row>
    <row r="113" spans="1:26" s="100" customFormat="1">
      <c r="A113" s="88" t="s">
        <v>85</v>
      </c>
      <c r="B113" s="89" t="s">
        <v>157</v>
      </c>
      <c r="C113" s="89" t="s">
        <v>52</v>
      </c>
      <c r="D113" s="103">
        <v>100066856</v>
      </c>
      <c r="E113" s="89" t="s">
        <v>54</v>
      </c>
      <c r="F113" s="89">
        <v>100084941</v>
      </c>
      <c r="G113" s="128" t="s">
        <v>202</v>
      </c>
      <c r="H113" s="166"/>
      <c r="I113" s="92"/>
      <c r="J113" s="92"/>
      <c r="K113" s="94"/>
      <c r="L113" s="92">
        <v>0</v>
      </c>
      <c r="M113" s="93">
        <v>0</v>
      </c>
      <c r="N113" s="98">
        <f t="shared" si="2"/>
        <v>0</v>
      </c>
      <c r="O113" s="97">
        <v>0</v>
      </c>
      <c r="P113" s="92">
        <v>0</v>
      </c>
      <c r="Q113" s="98">
        <f t="shared" si="3"/>
        <v>0</v>
      </c>
      <c r="R113" s="99" t="str">
        <f>+IF(Q113+N113&lt;=0, "NO COMPRADOR", +IF(Q113&lt;=0, "SIN COMPRA "&amp;+UPPER(TEXT('DINAMICA ENERO 26'!$C$2,"mmm 'yy")), "COMPRADOR"))</f>
        <v>NO COMPRADOR</v>
      </c>
      <c r="S113"/>
      <c r="T113"/>
      <c r="U113"/>
      <c r="V113"/>
      <c r="W113"/>
      <c r="X113"/>
      <c r="Y113"/>
      <c r="Z113"/>
    </row>
    <row r="114" spans="1:26" s="100" customFormat="1">
      <c r="A114" s="88" t="s">
        <v>85</v>
      </c>
      <c r="B114" s="89" t="s">
        <v>157</v>
      </c>
      <c r="C114" s="89" t="s">
        <v>52</v>
      </c>
      <c r="D114" s="103">
        <v>100066856</v>
      </c>
      <c r="E114" s="89" t="s">
        <v>54</v>
      </c>
      <c r="F114" s="89">
        <v>100071677</v>
      </c>
      <c r="G114" s="128" t="s">
        <v>203</v>
      </c>
      <c r="H114" s="166"/>
      <c r="I114" s="92"/>
      <c r="J114" s="92"/>
      <c r="K114" s="94"/>
      <c r="L114" s="92">
        <v>4.8</v>
      </c>
      <c r="M114" s="93">
        <v>14.399999999999999</v>
      </c>
      <c r="N114" s="98">
        <f t="shared" si="2"/>
        <v>9.6</v>
      </c>
      <c r="O114" s="97">
        <v>0</v>
      </c>
      <c r="P114" s="92">
        <v>0</v>
      </c>
      <c r="Q114" s="98">
        <f t="shared" si="3"/>
        <v>0</v>
      </c>
      <c r="R114" s="99" t="str">
        <f>+IF(Q114+N114&lt;=0, "NO COMPRADOR", +IF(Q114&lt;=0, "SIN COMPRA "&amp;+UPPER(TEXT('DINAMICA ENERO 26'!$C$2,"mmm 'yy")), "COMPRADOR"))</f>
        <v>SIN COMPRA FEB '26</v>
      </c>
      <c r="S114"/>
      <c r="T114"/>
      <c r="U114"/>
      <c r="V114"/>
      <c r="W114"/>
      <c r="X114"/>
      <c r="Y114"/>
      <c r="Z114"/>
    </row>
    <row r="115" spans="1:26" s="100" customFormat="1">
      <c r="A115" s="88" t="s">
        <v>85</v>
      </c>
      <c r="B115" s="89" t="s">
        <v>204</v>
      </c>
      <c r="C115" s="89" t="s">
        <v>52</v>
      </c>
      <c r="D115" s="103">
        <v>100089701</v>
      </c>
      <c r="E115" s="89" t="s">
        <v>58</v>
      </c>
      <c r="F115" s="89">
        <v>100082346</v>
      </c>
      <c r="G115" s="128" t="s">
        <v>205</v>
      </c>
      <c r="H115" s="166"/>
      <c r="I115" s="92"/>
      <c r="J115" s="92"/>
      <c r="K115" s="94"/>
      <c r="L115" s="92">
        <v>28.8</v>
      </c>
      <c r="M115" s="93">
        <v>72</v>
      </c>
      <c r="N115" s="98">
        <f t="shared" si="2"/>
        <v>50.4</v>
      </c>
      <c r="O115" s="97">
        <v>33.6</v>
      </c>
      <c r="P115" s="92">
        <v>0</v>
      </c>
      <c r="Q115" s="98">
        <f t="shared" si="3"/>
        <v>33.6</v>
      </c>
      <c r="R115" s="99" t="str">
        <f>+IF(Q115+N115&lt;=0, "NO COMPRADOR", +IF(Q115&lt;=0, "SIN COMPRA "&amp;+UPPER(TEXT('DINAMICA ENERO 26'!$C$2,"mmm 'yy")), "COMPRADOR"))</f>
        <v>COMPRADOR</v>
      </c>
      <c r="S115"/>
      <c r="T115"/>
      <c r="U115"/>
      <c r="V115"/>
      <c r="W115"/>
      <c r="X115"/>
      <c r="Y115"/>
      <c r="Z115"/>
    </row>
    <row r="116" spans="1:26" s="100" customFormat="1">
      <c r="A116" s="88" t="s">
        <v>85</v>
      </c>
      <c r="B116" s="89" t="s">
        <v>204</v>
      </c>
      <c r="C116" s="89" t="s">
        <v>52</v>
      </c>
      <c r="D116" s="103">
        <v>100089701</v>
      </c>
      <c r="E116" s="89" t="s">
        <v>58</v>
      </c>
      <c r="F116" s="89">
        <v>100009863</v>
      </c>
      <c r="G116" s="128" t="s">
        <v>206</v>
      </c>
      <c r="H116" s="166"/>
      <c r="I116" s="92"/>
      <c r="J116" s="92"/>
      <c r="K116" s="94"/>
      <c r="L116" s="92">
        <v>0</v>
      </c>
      <c r="M116" s="93">
        <v>0</v>
      </c>
      <c r="N116" s="98">
        <f t="shared" si="2"/>
        <v>0</v>
      </c>
      <c r="O116" s="97">
        <v>0</v>
      </c>
      <c r="P116" s="92">
        <v>0</v>
      </c>
      <c r="Q116" s="98">
        <f t="shared" si="3"/>
        <v>0</v>
      </c>
      <c r="R116" s="99" t="str">
        <f>+IF(Q116+N116&lt;=0, "NO COMPRADOR", +IF(Q116&lt;=0, "SIN COMPRA "&amp;+UPPER(TEXT('DINAMICA ENERO 26'!$C$2,"mmm 'yy")), "COMPRADOR"))</f>
        <v>NO COMPRADOR</v>
      </c>
      <c r="S116"/>
      <c r="T116"/>
      <c r="U116"/>
      <c r="V116"/>
      <c r="W116"/>
      <c r="X116"/>
      <c r="Y116"/>
      <c r="Z116"/>
    </row>
    <row r="117" spans="1:26" s="104" customFormat="1">
      <c r="A117" s="88" t="s">
        <v>85</v>
      </c>
      <c r="B117" s="89" t="s">
        <v>204</v>
      </c>
      <c r="C117" s="89" t="s">
        <v>52</v>
      </c>
      <c r="D117" s="103">
        <v>100089701</v>
      </c>
      <c r="E117" s="89" t="s">
        <v>58</v>
      </c>
      <c r="F117" s="89">
        <v>100080357</v>
      </c>
      <c r="G117" s="128" t="s">
        <v>207</v>
      </c>
      <c r="H117" s="166"/>
      <c r="I117" s="92"/>
      <c r="J117" s="92"/>
      <c r="K117" s="94"/>
      <c r="L117" s="92">
        <v>33.6</v>
      </c>
      <c r="M117" s="93">
        <v>4.8</v>
      </c>
      <c r="N117" s="98">
        <f t="shared" si="2"/>
        <v>19.2</v>
      </c>
      <c r="O117" s="97">
        <v>0</v>
      </c>
      <c r="P117" s="92">
        <v>0</v>
      </c>
      <c r="Q117" s="98">
        <f t="shared" si="3"/>
        <v>0</v>
      </c>
      <c r="R117" s="99" t="str">
        <f>+IF(Q117+N117&lt;=0, "NO COMPRADOR", +IF(Q117&lt;=0, "SIN COMPRA "&amp;+UPPER(TEXT('DINAMICA ENERO 26'!$C$2,"mmm 'yy")), "COMPRADOR"))</f>
        <v>SIN COMPRA FEB '26</v>
      </c>
      <c r="S117"/>
      <c r="T117"/>
      <c r="U117"/>
      <c r="V117"/>
      <c r="W117"/>
      <c r="X117"/>
      <c r="Y117"/>
      <c r="Z117"/>
    </row>
    <row r="118" spans="1:26" s="100" customFormat="1">
      <c r="A118" s="88" t="s">
        <v>85</v>
      </c>
      <c r="B118" s="89" t="s">
        <v>204</v>
      </c>
      <c r="C118" s="89" t="s">
        <v>52</v>
      </c>
      <c r="D118" s="103">
        <v>100089701</v>
      </c>
      <c r="E118" s="89" t="s">
        <v>58</v>
      </c>
      <c r="F118" s="89">
        <v>100046307</v>
      </c>
      <c r="G118" s="128" t="s">
        <v>208</v>
      </c>
      <c r="H118" s="166"/>
      <c r="I118" s="92"/>
      <c r="J118" s="92"/>
      <c r="K118" s="94"/>
      <c r="L118" s="92">
        <v>14.399999999999999</v>
      </c>
      <c r="M118" s="93">
        <v>0</v>
      </c>
      <c r="N118" s="98">
        <f t="shared" si="2"/>
        <v>7.1999999999999993</v>
      </c>
      <c r="O118" s="97">
        <v>14.399999999999999</v>
      </c>
      <c r="P118" s="92">
        <v>0</v>
      </c>
      <c r="Q118" s="98">
        <f t="shared" si="3"/>
        <v>14.399999999999999</v>
      </c>
      <c r="R118" s="99" t="str">
        <f>+IF(Q118+N118&lt;=0, "NO COMPRADOR", +IF(Q118&lt;=0, "SIN COMPRA "&amp;+UPPER(TEXT('DINAMICA ENERO 26'!$C$2,"mmm 'yy")), "COMPRADOR"))</f>
        <v>COMPRADOR</v>
      </c>
      <c r="S118"/>
      <c r="T118"/>
      <c r="U118"/>
      <c r="V118"/>
      <c r="W118"/>
      <c r="X118"/>
      <c r="Y118"/>
      <c r="Z118"/>
    </row>
    <row r="119" spans="1:26" s="104" customFormat="1">
      <c r="A119" s="88" t="s">
        <v>85</v>
      </c>
      <c r="B119" s="89" t="s">
        <v>204</v>
      </c>
      <c r="C119" s="89" t="s">
        <v>52</v>
      </c>
      <c r="D119" s="103">
        <v>100089701</v>
      </c>
      <c r="E119" s="89" t="s">
        <v>58</v>
      </c>
      <c r="F119" s="89">
        <v>100087065</v>
      </c>
      <c r="G119" s="128" t="s">
        <v>209</v>
      </c>
      <c r="H119" s="166"/>
      <c r="I119" s="92"/>
      <c r="J119" s="92"/>
      <c r="K119" s="94"/>
      <c r="L119" s="92">
        <v>4.8</v>
      </c>
      <c r="M119" s="93">
        <v>0</v>
      </c>
      <c r="N119" s="98">
        <f t="shared" si="2"/>
        <v>2.4</v>
      </c>
      <c r="O119" s="97">
        <v>0</v>
      </c>
      <c r="P119" s="92">
        <v>0</v>
      </c>
      <c r="Q119" s="98">
        <f t="shared" si="3"/>
        <v>0</v>
      </c>
      <c r="R119" s="99" t="str">
        <f>+IF(Q119+N119&lt;=0, "NO COMPRADOR", +IF(Q119&lt;=0, "SIN COMPRA "&amp;+UPPER(TEXT('DINAMICA ENERO 26'!$C$2,"mmm 'yy")), "COMPRADOR"))</f>
        <v>SIN COMPRA FEB '26</v>
      </c>
      <c r="S119"/>
      <c r="T119"/>
      <c r="U119"/>
      <c r="V119"/>
      <c r="W119"/>
      <c r="X119"/>
      <c r="Y119"/>
      <c r="Z119"/>
    </row>
    <row r="120" spans="1:26" s="104" customFormat="1">
      <c r="A120" s="88" t="s">
        <v>85</v>
      </c>
      <c r="B120" s="89" t="s">
        <v>204</v>
      </c>
      <c r="C120" s="89" t="s">
        <v>52</v>
      </c>
      <c r="D120" s="103">
        <v>100089701</v>
      </c>
      <c r="E120" s="89" t="s">
        <v>58</v>
      </c>
      <c r="F120" s="89">
        <v>100087742</v>
      </c>
      <c r="G120" s="128" t="s">
        <v>210</v>
      </c>
      <c r="H120" s="166"/>
      <c r="I120" s="92"/>
      <c r="J120" s="92"/>
      <c r="K120" s="94"/>
      <c r="L120" s="92">
        <v>0</v>
      </c>
      <c r="M120" s="93">
        <v>0</v>
      </c>
      <c r="N120" s="98">
        <f t="shared" si="2"/>
        <v>0</v>
      </c>
      <c r="O120" s="97">
        <v>0</v>
      </c>
      <c r="P120" s="92">
        <v>0</v>
      </c>
      <c r="Q120" s="98">
        <f t="shared" si="3"/>
        <v>0</v>
      </c>
      <c r="R120" s="99" t="str">
        <f>+IF(Q120+N120&lt;=0, "NO COMPRADOR", +IF(Q120&lt;=0, "SIN COMPRA "&amp;+UPPER(TEXT('DINAMICA ENERO 26'!$C$2,"mmm 'yy")), "COMPRADOR"))</f>
        <v>NO COMPRADOR</v>
      </c>
      <c r="S120"/>
      <c r="T120"/>
      <c r="U120"/>
      <c r="V120"/>
      <c r="W120"/>
      <c r="X120"/>
      <c r="Y120"/>
      <c r="Z120"/>
    </row>
    <row r="121" spans="1:26" s="104" customFormat="1">
      <c r="A121" s="88" t="s">
        <v>85</v>
      </c>
      <c r="B121" s="89" t="s">
        <v>204</v>
      </c>
      <c r="C121" s="89" t="s">
        <v>52</v>
      </c>
      <c r="D121" s="103">
        <v>100089701</v>
      </c>
      <c r="E121" s="89" t="s">
        <v>58</v>
      </c>
      <c r="F121" s="89">
        <v>100087748</v>
      </c>
      <c r="G121" s="128" t="s">
        <v>211</v>
      </c>
      <c r="H121" s="166"/>
      <c r="I121" s="92"/>
      <c r="J121" s="92"/>
      <c r="K121" s="94"/>
      <c r="L121" s="92">
        <v>0</v>
      </c>
      <c r="M121" s="93">
        <v>0</v>
      </c>
      <c r="N121" s="98">
        <f t="shared" si="2"/>
        <v>0</v>
      </c>
      <c r="O121" s="97">
        <v>0</v>
      </c>
      <c r="P121" s="92">
        <v>0</v>
      </c>
      <c r="Q121" s="98">
        <f t="shared" si="3"/>
        <v>0</v>
      </c>
      <c r="R121" s="99" t="str">
        <f>+IF(Q121+N121&lt;=0, "NO COMPRADOR", +IF(Q121&lt;=0, "SIN COMPRA "&amp;+UPPER(TEXT('DINAMICA ENERO 26'!$C$2,"mmm 'yy")), "COMPRADOR"))</f>
        <v>NO COMPRADOR</v>
      </c>
      <c r="S121"/>
      <c r="T121"/>
      <c r="U121"/>
      <c r="V121"/>
      <c r="W121"/>
      <c r="X121"/>
      <c r="Y121"/>
      <c r="Z121"/>
    </row>
    <row r="122" spans="1:26" s="104" customFormat="1">
      <c r="A122" s="88" t="s">
        <v>85</v>
      </c>
      <c r="B122" s="89" t="s">
        <v>204</v>
      </c>
      <c r="C122" s="89" t="s">
        <v>52</v>
      </c>
      <c r="D122" s="103">
        <v>100089701</v>
      </c>
      <c r="E122" s="89" t="s">
        <v>58</v>
      </c>
      <c r="F122" s="89">
        <v>100022260</v>
      </c>
      <c r="G122" s="128" t="s">
        <v>212</v>
      </c>
      <c r="H122" s="166"/>
      <c r="I122" s="92"/>
      <c r="J122" s="92"/>
      <c r="K122" s="94"/>
      <c r="L122" s="92">
        <v>4.8</v>
      </c>
      <c r="M122" s="93">
        <v>0</v>
      </c>
      <c r="N122" s="98">
        <f t="shared" si="2"/>
        <v>2.4</v>
      </c>
      <c r="O122" s="97">
        <v>0</v>
      </c>
      <c r="P122" s="92">
        <v>0</v>
      </c>
      <c r="Q122" s="98">
        <f t="shared" si="3"/>
        <v>0</v>
      </c>
      <c r="R122" s="99" t="str">
        <f>+IF(Q122+N122&lt;=0, "NO COMPRADOR", +IF(Q122&lt;=0, "SIN COMPRA "&amp;+UPPER(TEXT('DINAMICA ENERO 26'!$C$2,"mmm 'yy")), "COMPRADOR"))</f>
        <v>SIN COMPRA FEB '26</v>
      </c>
      <c r="S122"/>
      <c r="T122"/>
      <c r="U122"/>
      <c r="V122"/>
      <c r="W122"/>
      <c r="X122"/>
      <c r="Y122"/>
      <c r="Z122"/>
    </row>
    <row r="123" spans="1:26" s="104" customFormat="1">
      <c r="A123" s="88" t="s">
        <v>85</v>
      </c>
      <c r="B123" s="89" t="s">
        <v>204</v>
      </c>
      <c r="C123" s="89" t="s">
        <v>52</v>
      </c>
      <c r="D123" s="103">
        <v>100089701</v>
      </c>
      <c r="E123" s="89" t="s">
        <v>58</v>
      </c>
      <c r="F123" s="89">
        <v>100085159</v>
      </c>
      <c r="G123" s="128" t="s">
        <v>213</v>
      </c>
      <c r="H123" s="166"/>
      <c r="I123" s="92"/>
      <c r="J123" s="92"/>
      <c r="K123" s="94"/>
      <c r="L123" s="92">
        <v>0</v>
      </c>
      <c r="M123" s="93">
        <v>0</v>
      </c>
      <c r="N123" s="98">
        <f t="shared" si="2"/>
        <v>0</v>
      </c>
      <c r="O123" s="97">
        <v>0</v>
      </c>
      <c r="P123" s="92">
        <v>0</v>
      </c>
      <c r="Q123" s="98">
        <f t="shared" si="3"/>
        <v>0</v>
      </c>
      <c r="R123" s="99" t="str">
        <f>+IF(Q123+N123&lt;=0, "NO COMPRADOR", +IF(Q123&lt;=0, "SIN COMPRA "&amp;+UPPER(TEXT('DINAMICA ENERO 26'!$C$2,"mmm 'yy")), "COMPRADOR"))</f>
        <v>NO COMPRADOR</v>
      </c>
      <c r="S123"/>
      <c r="T123"/>
      <c r="U123"/>
      <c r="V123"/>
      <c r="W123"/>
      <c r="X123"/>
      <c r="Y123"/>
      <c r="Z123"/>
    </row>
    <row r="124" spans="1:26" s="104" customFormat="1">
      <c r="A124" s="88" t="s">
        <v>85</v>
      </c>
      <c r="B124" s="89" t="s">
        <v>204</v>
      </c>
      <c r="C124" s="89" t="s">
        <v>52</v>
      </c>
      <c r="D124" s="103">
        <v>100089701</v>
      </c>
      <c r="E124" s="89" t="s">
        <v>58</v>
      </c>
      <c r="F124" s="89">
        <v>100087283</v>
      </c>
      <c r="G124" s="128" t="s">
        <v>214</v>
      </c>
      <c r="H124" s="166"/>
      <c r="I124" s="92"/>
      <c r="J124" s="92"/>
      <c r="K124" s="94"/>
      <c r="L124" s="92">
        <v>0</v>
      </c>
      <c r="M124" s="93">
        <v>0</v>
      </c>
      <c r="N124" s="98">
        <f t="shared" si="2"/>
        <v>0</v>
      </c>
      <c r="O124" s="97">
        <v>0</v>
      </c>
      <c r="P124" s="92">
        <v>0</v>
      </c>
      <c r="Q124" s="98">
        <f t="shared" si="3"/>
        <v>0</v>
      </c>
      <c r="R124" s="99" t="str">
        <f>+IF(Q124+N124&lt;=0, "NO COMPRADOR", +IF(Q124&lt;=0, "SIN COMPRA "&amp;+UPPER(TEXT('DINAMICA ENERO 26'!$C$2,"mmm 'yy")), "COMPRADOR"))</f>
        <v>NO COMPRADOR</v>
      </c>
      <c r="S124"/>
      <c r="T124"/>
      <c r="U124"/>
      <c r="V124"/>
      <c r="W124"/>
      <c r="X124"/>
      <c r="Y124"/>
      <c r="Z124"/>
    </row>
    <row r="125" spans="1:26" s="104" customFormat="1">
      <c r="A125" s="88" t="s">
        <v>85</v>
      </c>
      <c r="B125" s="89" t="s">
        <v>204</v>
      </c>
      <c r="C125" s="89" t="s">
        <v>52</v>
      </c>
      <c r="D125" s="103">
        <v>100089701</v>
      </c>
      <c r="E125" s="89" t="s">
        <v>58</v>
      </c>
      <c r="F125" s="89">
        <v>100001601</v>
      </c>
      <c r="G125" s="128" t="s">
        <v>215</v>
      </c>
      <c r="H125" s="166"/>
      <c r="I125" s="92"/>
      <c r="J125" s="92"/>
      <c r="K125" s="94"/>
      <c r="L125" s="92">
        <v>0</v>
      </c>
      <c r="M125" s="93">
        <v>4.8</v>
      </c>
      <c r="N125" s="98">
        <f t="shared" si="2"/>
        <v>2.4</v>
      </c>
      <c r="O125" s="97">
        <v>0</v>
      </c>
      <c r="P125" s="92">
        <v>0</v>
      </c>
      <c r="Q125" s="98">
        <f t="shared" si="3"/>
        <v>0</v>
      </c>
      <c r="R125" s="99" t="str">
        <f>+IF(Q125+N125&lt;=0, "NO COMPRADOR", +IF(Q125&lt;=0, "SIN COMPRA "&amp;+UPPER(TEXT('DINAMICA ENERO 26'!$C$2,"mmm 'yy")), "COMPRADOR"))</f>
        <v>SIN COMPRA FEB '26</v>
      </c>
      <c r="S125"/>
      <c r="T125"/>
      <c r="U125"/>
      <c r="V125"/>
      <c r="W125"/>
      <c r="X125"/>
      <c r="Y125"/>
      <c r="Z125"/>
    </row>
    <row r="126" spans="1:26" s="104" customFormat="1">
      <c r="A126" s="88" t="s">
        <v>85</v>
      </c>
      <c r="B126" s="89" t="s">
        <v>204</v>
      </c>
      <c r="C126" s="89" t="s">
        <v>52</v>
      </c>
      <c r="D126" s="103">
        <v>100089701</v>
      </c>
      <c r="E126" s="89" t="s">
        <v>58</v>
      </c>
      <c r="F126" s="89">
        <v>100081880</v>
      </c>
      <c r="G126" s="128" t="s">
        <v>216</v>
      </c>
      <c r="H126" s="166"/>
      <c r="I126" s="92"/>
      <c r="J126" s="92"/>
      <c r="K126" s="94"/>
      <c r="L126" s="92">
        <v>0</v>
      </c>
      <c r="M126" s="93">
        <v>0</v>
      </c>
      <c r="N126" s="98">
        <f t="shared" si="2"/>
        <v>0</v>
      </c>
      <c r="O126" s="97">
        <v>0</v>
      </c>
      <c r="P126" s="92">
        <v>0</v>
      </c>
      <c r="Q126" s="98">
        <f t="shared" si="3"/>
        <v>0</v>
      </c>
      <c r="R126" s="99" t="str">
        <f>+IF(Q126+N126&lt;=0, "NO COMPRADOR", +IF(Q126&lt;=0, "SIN COMPRA "&amp;+UPPER(TEXT('DINAMICA ENERO 26'!$C$2,"mmm 'yy")), "COMPRADOR"))</f>
        <v>NO COMPRADOR</v>
      </c>
      <c r="S126"/>
      <c r="T126"/>
      <c r="U126"/>
      <c r="V126"/>
      <c r="W126"/>
      <c r="X126"/>
      <c r="Y126"/>
      <c r="Z126"/>
    </row>
    <row r="127" spans="1:26" s="104" customFormat="1">
      <c r="A127" s="88" t="s">
        <v>85</v>
      </c>
      <c r="B127" s="89" t="s">
        <v>204</v>
      </c>
      <c r="C127" s="89" t="s">
        <v>52</v>
      </c>
      <c r="D127" s="103">
        <v>100089701</v>
      </c>
      <c r="E127" s="89" t="s">
        <v>58</v>
      </c>
      <c r="F127" s="89">
        <v>100083522</v>
      </c>
      <c r="G127" s="128" t="s">
        <v>217</v>
      </c>
      <c r="H127" s="166"/>
      <c r="I127" s="92"/>
      <c r="J127" s="92"/>
      <c r="K127" s="94"/>
      <c r="L127" s="92">
        <v>4.8</v>
      </c>
      <c r="M127" s="93">
        <v>0</v>
      </c>
      <c r="N127" s="98">
        <f t="shared" si="2"/>
        <v>2.4</v>
      </c>
      <c r="O127" s="97">
        <v>0</v>
      </c>
      <c r="P127" s="92">
        <v>0</v>
      </c>
      <c r="Q127" s="98">
        <f t="shared" si="3"/>
        <v>0</v>
      </c>
      <c r="R127" s="99" t="str">
        <f>+IF(Q127+N127&lt;=0, "NO COMPRADOR", +IF(Q127&lt;=0, "SIN COMPRA "&amp;+UPPER(TEXT('DINAMICA ENERO 26'!$C$2,"mmm 'yy")), "COMPRADOR"))</f>
        <v>SIN COMPRA FEB '26</v>
      </c>
      <c r="S127"/>
      <c r="T127"/>
      <c r="U127"/>
      <c r="V127"/>
      <c r="W127"/>
      <c r="X127"/>
      <c r="Y127"/>
      <c r="Z127"/>
    </row>
    <row r="128" spans="1:26" s="104" customFormat="1">
      <c r="A128" s="88" t="s">
        <v>85</v>
      </c>
      <c r="B128" s="89" t="s">
        <v>204</v>
      </c>
      <c r="C128" s="89" t="s">
        <v>52</v>
      </c>
      <c r="D128" s="103">
        <v>100089701</v>
      </c>
      <c r="E128" s="89" t="s">
        <v>58</v>
      </c>
      <c r="F128" s="89">
        <v>100073281</v>
      </c>
      <c r="G128" s="128" t="s">
        <v>218</v>
      </c>
      <c r="H128" s="166"/>
      <c r="I128" s="92"/>
      <c r="J128" s="92"/>
      <c r="K128" s="94"/>
      <c r="L128" s="92">
        <v>0</v>
      </c>
      <c r="M128" s="93">
        <v>0</v>
      </c>
      <c r="N128" s="98">
        <f t="shared" si="2"/>
        <v>0</v>
      </c>
      <c r="O128" s="97">
        <v>0</v>
      </c>
      <c r="P128" s="92">
        <v>0</v>
      </c>
      <c r="Q128" s="98">
        <f t="shared" si="3"/>
        <v>0</v>
      </c>
      <c r="R128" s="99" t="str">
        <f>+IF(Q128+N128&lt;=0, "NO COMPRADOR", +IF(Q128&lt;=0, "SIN COMPRA "&amp;+UPPER(TEXT('DINAMICA ENERO 26'!$C$2,"mmm 'yy")), "COMPRADOR"))</f>
        <v>NO COMPRADOR</v>
      </c>
      <c r="S128"/>
      <c r="T128"/>
      <c r="U128"/>
      <c r="V128"/>
      <c r="W128"/>
      <c r="X128"/>
      <c r="Y128"/>
      <c r="Z128"/>
    </row>
    <row r="129" spans="1:26" s="104" customFormat="1">
      <c r="A129" s="88" t="s">
        <v>85</v>
      </c>
      <c r="B129" s="89" t="s">
        <v>204</v>
      </c>
      <c r="C129" s="89" t="s">
        <v>52</v>
      </c>
      <c r="D129" s="103">
        <v>100089701</v>
      </c>
      <c r="E129" s="89" t="s">
        <v>58</v>
      </c>
      <c r="F129" s="89">
        <v>100051099</v>
      </c>
      <c r="G129" s="128" t="s">
        <v>219</v>
      </c>
      <c r="H129" s="166"/>
      <c r="I129" s="92"/>
      <c r="J129" s="92"/>
      <c r="K129" s="94"/>
      <c r="L129" s="92">
        <v>0</v>
      </c>
      <c r="M129" s="93">
        <v>0</v>
      </c>
      <c r="N129" s="98">
        <f t="shared" si="2"/>
        <v>0</v>
      </c>
      <c r="O129" s="97">
        <v>0</v>
      </c>
      <c r="P129" s="92">
        <v>0</v>
      </c>
      <c r="Q129" s="98">
        <f t="shared" si="3"/>
        <v>0</v>
      </c>
      <c r="R129" s="99" t="str">
        <f>+IF(Q129+N129&lt;=0, "NO COMPRADOR", +IF(Q129&lt;=0, "SIN COMPRA "&amp;+UPPER(TEXT('DINAMICA ENERO 26'!$C$2,"mmm 'yy")), "COMPRADOR"))</f>
        <v>NO COMPRADOR</v>
      </c>
      <c r="S129"/>
      <c r="T129"/>
      <c r="U129"/>
      <c r="V129"/>
      <c r="W129"/>
      <c r="X129"/>
      <c r="Y129"/>
      <c r="Z129"/>
    </row>
    <row r="130" spans="1:26" s="104" customFormat="1">
      <c r="A130" s="88" t="s">
        <v>85</v>
      </c>
      <c r="B130" s="89" t="s">
        <v>204</v>
      </c>
      <c r="C130" s="89" t="s">
        <v>52</v>
      </c>
      <c r="D130" s="103">
        <v>100089701</v>
      </c>
      <c r="E130" s="89" t="s">
        <v>58</v>
      </c>
      <c r="F130" s="89">
        <v>100087844</v>
      </c>
      <c r="G130" s="128" t="s">
        <v>220</v>
      </c>
      <c r="H130" s="166"/>
      <c r="I130" s="92"/>
      <c r="J130" s="92"/>
      <c r="K130" s="94"/>
      <c r="L130" s="92">
        <v>0</v>
      </c>
      <c r="M130" s="93">
        <v>4.8</v>
      </c>
      <c r="N130" s="98">
        <f t="shared" si="2"/>
        <v>2.4</v>
      </c>
      <c r="O130" s="97">
        <v>0</v>
      </c>
      <c r="P130" s="92">
        <v>0</v>
      </c>
      <c r="Q130" s="98">
        <f t="shared" si="3"/>
        <v>0</v>
      </c>
      <c r="R130" s="99" t="str">
        <f>+IF(Q130+N130&lt;=0, "NO COMPRADOR", +IF(Q130&lt;=0, "SIN COMPRA "&amp;+UPPER(TEXT('DINAMICA ENERO 26'!$C$2,"mmm 'yy")), "COMPRADOR"))</f>
        <v>SIN COMPRA FEB '26</v>
      </c>
      <c r="S130"/>
      <c r="T130"/>
      <c r="U130"/>
      <c r="V130"/>
      <c r="W130"/>
      <c r="X130"/>
      <c r="Y130"/>
      <c r="Z130"/>
    </row>
    <row r="131" spans="1:26" s="104" customFormat="1">
      <c r="A131" s="88" t="s">
        <v>85</v>
      </c>
      <c r="B131" s="89" t="s">
        <v>204</v>
      </c>
      <c r="C131" s="89" t="s">
        <v>52</v>
      </c>
      <c r="D131" s="103">
        <v>100089701</v>
      </c>
      <c r="E131" s="89" t="s">
        <v>58</v>
      </c>
      <c r="F131" s="89">
        <v>100088156</v>
      </c>
      <c r="G131" s="128" t="s">
        <v>221</v>
      </c>
      <c r="H131" s="166"/>
      <c r="I131" s="92"/>
      <c r="J131" s="92"/>
      <c r="K131" s="94"/>
      <c r="L131" s="92">
        <v>0</v>
      </c>
      <c r="M131" s="93">
        <v>0</v>
      </c>
      <c r="N131" s="98">
        <f t="shared" ref="N131:N194" si="4">AVERAGE(L131,M131)</f>
        <v>0</v>
      </c>
      <c r="O131" s="97">
        <v>0</v>
      </c>
      <c r="P131" s="92">
        <v>0</v>
      </c>
      <c r="Q131" s="98">
        <f t="shared" si="3"/>
        <v>0</v>
      </c>
      <c r="R131" s="99" t="str">
        <f>+IF(Q131+N131&lt;=0, "NO COMPRADOR", +IF(Q131&lt;=0, "SIN COMPRA "&amp;+UPPER(TEXT('DINAMICA ENERO 26'!$C$2,"mmm 'yy")), "COMPRADOR"))</f>
        <v>NO COMPRADOR</v>
      </c>
      <c r="S131"/>
      <c r="T131"/>
      <c r="U131"/>
      <c r="V131"/>
      <c r="W131"/>
      <c r="X131"/>
      <c r="Y131"/>
      <c r="Z131"/>
    </row>
    <row r="132" spans="1:26" s="104" customFormat="1">
      <c r="A132" s="88" t="s">
        <v>85</v>
      </c>
      <c r="B132" s="89" t="s">
        <v>204</v>
      </c>
      <c r="C132" s="89" t="s">
        <v>52</v>
      </c>
      <c r="D132" s="103">
        <v>100089701</v>
      </c>
      <c r="E132" s="89" t="s">
        <v>58</v>
      </c>
      <c r="F132" s="89">
        <v>100088609</v>
      </c>
      <c r="G132" s="128" t="s">
        <v>222</v>
      </c>
      <c r="H132" s="166"/>
      <c r="I132" s="92"/>
      <c r="J132" s="92"/>
      <c r="K132" s="94"/>
      <c r="L132" s="92">
        <v>24</v>
      </c>
      <c r="M132" s="93">
        <v>0</v>
      </c>
      <c r="N132" s="98">
        <f t="shared" si="4"/>
        <v>12</v>
      </c>
      <c r="O132" s="97">
        <v>0</v>
      </c>
      <c r="P132" s="92">
        <v>0</v>
      </c>
      <c r="Q132" s="98">
        <f t="shared" ref="Q132:Q158" si="5">+O132+P132</f>
        <v>0</v>
      </c>
      <c r="R132" s="99" t="str">
        <f>+IF(Q132+N132&lt;=0, "NO COMPRADOR", +IF(Q132&lt;=0, "SIN COMPRA "&amp;+UPPER(TEXT('DINAMICA ENERO 26'!$C$2,"mmm 'yy")), "COMPRADOR"))</f>
        <v>SIN COMPRA FEB '26</v>
      </c>
      <c r="S132"/>
      <c r="T132"/>
      <c r="U132"/>
      <c r="V132"/>
      <c r="W132"/>
      <c r="X132"/>
      <c r="Y132"/>
      <c r="Z132"/>
    </row>
    <row r="133" spans="1:26" s="104" customFormat="1">
      <c r="A133" s="88" t="s">
        <v>85</v>
      </c>
      <c r="B133" s="89" t="s">
        <v>204</v>
      </c>
      <c r="C133" s="89" t="s">
        <v>52</v>
      </c>
      <c r="D133" s="103">
        <v>100073888</v>
      </c>
      <c r="E133" s="89" t="s">
        <v>55</v>
      </c>
      <c r="F133" s="89">
        <v>100001215</v>
      </c>
      <c r="G133" s="128" t="s">
        <v>223</v>
      </c>
      <c r="H133" s="166"/>
      <c r="I133" s="92"/>
      <c r="J133" s="92"/>
      <c r="K133" s="94"/>
      <c r="L133" s="92">
        <v>19.2</v>
      </c>
      <c r="M133" s="93">
        <v>0</v>
      </c>
      <c r="N133" s="98">
        <f t="shared" si="4"/>
        <v>9.6</v>
      </c>
      <c r="O133" s="97">
        <v>9.6</v>
      </c>
      <c r="P133" s="92">
        <v>0</v>
      </c>
      <c r="Q133" s="98">
        <f t="shared" si="5"/>
        <v>9.6</v>
      </c>
      <c r="R133" s="99" t="str">
        <f>+IF(Q133+N133&lt;=0, "NO COMPRADOR", +IF(Q133&lt;=0, "SIN COMPRA "&amp;+UPPER(TEXT('DINAMICA ENERO 26'!$C$2,"mmm 'yy")), "COMPRADOR"))</f>
        <v>COMPRADOR</v>
      </c>
      <c r="S133"/>
      <c r="T133"/>
      <c r="U133"/>
      <c r="V133"/>
      <c r="W133"/>
      <c r="X133"/>
      <c r="Y133"/>
      <c r="Z133"/>
    </row>
    <row r="134" spans="1:26" s="104" customFormat="1">
      <c r="A134" s="88" t="s">
        <v>85</v>
      </c>
      <c r="B134" s="89" t="s">
        <v>204</v>
      </c>
      <c r="C134" s="89" t="s">
        <v>52</v>
      </c>
      <c r="D134" s="103">
        <v>100073888</v>
      </c>
      <c r="E134" s="89" t="s">
        <v>55</v>
      </c>
      <c r="F134" s="89">
        <v>100060702</v>
      </c>
      <c r="G134" s="128" t="s">
        <v>224</v>
      </c>
      <c r="H134" s="166"/>
      <c r="I134" s="92"/>
      <c r="J134" s="92"/>
      <c r="K134" s="94"/>
      <c r="L134" s="92">
        <v>0</v>
      </c>
      <c r="M134" s="93">
        <v>19.2</v>
      </c>
      <c r="N134" s="98">
        <f t="shared" si="4"/>
        <v>9.6</v>
      </c>
      <c r="O134" s="97">
        <v>-19.2</v>
      </c>
      <c r="P134" s="92">
        <v>0</v>
      </c>
      <c r="Q134" s="98">
        <f t="shared" si="5"/>
        <v>-19.2</v>
      </c>
      <c r="R134" s="99" t="str">
        <f>+IF(Q134+N134&lt;=0, "NO COMPRADOR", +IF(Q134&lt;=0, "SIN COMPRA "&amp;+UPPER(TEXT('DINAMICA ENERO 26'!$C$2,"mmm 'yy")), "COMPRADOR"))</f>
        <v>NO COMPRADOR</v>
      </c>
      <c r="S134"/>
      <c r="T134"/>
      <c r="U134"/>
      <c r="V134"/>
      <c r="W134"/>
      <c r="X134"/>
      <c r="Y134"/>
      <c r="Z134"/>
    </row>
    <row r="135" spans="1:26" s="104" customFormat="1">
      <c r="A135" s="88" t="s">
        <v>85</v>
      </c>
      <c r="B135" s="89" t="s">
        <v>204</v>
      </c>
      <c r="C135" s="89" t="s">
        <v>52</v>
      </c>
      <c r="D135" s="103">
        <v>100073888</v>
      </c>
      <c r="E135" s="89" t="s">
        <v>55</v>
      </c>
      <c r="F135" s="89">
        <v>100086804</v>
      </c>
      <c r="G135" s="128" t="s">
        <v>225</v>
      </c>
      <c r="H135" s="166"/>
      <c r="I135" s="92"/>
      <c r="J135" s="92"/>
      <c r="K135" s="94"/>
      <c r="L135" s="92">
        <v>9.6</v>
      </c>
      <c r="M135" s="93">
        <v>24</v>
      </c>
      <c r="N135" s="98">
        <f t="shared" si="4"/>
        <v>16.8</v>
      </c>
      <c r="O135" s="97">
        <v>19.2</v>
      </c>
      <c r="P135" s="92">
        <v>0</v>
      </c>
      <c r="Q135" s="98">
        <f t="shared" si="5"/>
        <v>19.2</v>
      </c>
      <c r="R135" s="99" t="str">
        <f>+IF(Q135+N135&lt;=0, "NO COMPRADOR", +IF(Q135&lt;=0, "SIN COMPRA "&amp;+UPPER(TEXT('DINAMICA ENERO 26'!$C$2,"mmm 'yy")), "COMPRADOR"))</f>
        <v>COMPRADOR</v>
      </c>
      <c r="S135"/>
      <c r="T135"/>
      <c r="U135"/>
      <c r="V135"/>
      <c r="W135"/>
      <c r="X135"/>
      <c r="Y135"/>
      <c r="Z135"/>
    </row>
    <row r="136" spans="1:26" s="104" customFormat="1">
      <c r="A136" s="88" t="s">
        <v>85</v>
      </c>
      <c r="B136" s="89" t="s">
        <v>204</v>
      </c>
      <c r="C136" s="89" t="s">
        <v>52</v>
      </c>
      <c r="D136" s="103">
        <v>100073888</v>
      </c>
      <c r="E136" s="89" t="s">
        <v>55</v>
      </c>
      <c r="F136" s="89">
        <v>100084349</v>
      </c>
      <c r="G136" s="128" t="s">
        <v>226</v>
      </c>
      <c r="H136" s="166"/>
      <c r="I136" s="92"/>
      <c r="J136" s="92"/>
      <c r="K136" s="94"/>
      <c r="L136" s="92">
        <v>100.8</v>
      </c>
      <c r="M136" s="93">
        <v>24</v>
      </c>
      <c r="N136" s="98">
        <f t="shared" si="4"/>
        <v>62.4</v>
      </c>
      <c r="O136" s="97">
        <v>0</v>
      </c>
      <c r="P136" s="92">
        <v>0</v>
      </c>
      <c r="Q136" s="98">
        <f t="shared" si="5"/>
        <v>0</v>
      </c>
      <c r="R136" s="99" t="str">
        <f>+IF(Q136+N136&lt;=0, "NO COMPRADOR", +IF(Q136&lt;=0, "SIN COMPRA "&amp;+UPPER(TEXT('DINAMICA ENERO 26'!$C$2,"mmm 'yy")), "COMPRADOR"))</f>
        <v>SIN COMPRA FEB '26</v>
      </c>
      <c r="S136"/>
      <c r="T136"/>
      <c r="U136"/>
      <c r="V136"/>
      <c r="W136"/>
      <c r="X136"/>
      <c r="Y136"/>
      <c r="Z136"/>
    </row>
    <row r="137" spans="1:26" s="100" customFormat="1">
      <c r="A137" s="88" t="s">
        <v>85</v>
      </c>
      <c r="B137" s="89" t="s">
        <v>204</v>
      </c>
      <c r="C137" s="89" t="s">
        <v>52</v>
      </c>
      <c r="D137" s="103">
        <v>100073888</v>
      </c>
      <c r="E137" s="89" t="s">
        <v>55</v>
      </c>
      <c r="F137" s="89">
        <v>100001752</v>
      </c>
      <c r="G137" s="128" t="s">
        <v>227</v>
      </c>
      <c r="H137" s="166"/>
      <c r="I137" s="92"/>
      <c r="J137" s="92"/>
      <c r="K137" s="94"/>
      <c r="L137" s="92">
        <v>62.4</v>
      </c>
      <c r="M137" s="93">
        <v>0</v>
      </c>
      <c r="N137" s="98">
        <f t="shared" si="4"/>
        <v>31.2</v>
      </c>
      <c r="O137" s="97">
        <v>24</v>
      </c>
      <c r="P137" s="92">
        <v>0</v>
      </c>
      <c r="Q137" s="98">
        <f t="shared" si="5"/>
        <v>24</v>
      </c>
      <c r="R137" s="99" t="str">
        <f>+IF(Q137+N137&lt;=0, "NO COMPRADOR", +IF(Q137&lt;=0, "SIN COMPRA "&amp;+UPPER(TEXT('DINAMICA ENERO 26'!$C$2,"mmm 'yy")), "COMPRADOR"))</f>
        <v>COMPRADOR</v>
      </c>
      <c r="S137"/>
      <c r="T137"/>
      <c r="U137"/>
      <c r="V137"/>
      <c r="W137"/>
      <c r="X137"/>
      <c r="Y137"/>
      <c r="Z137"/>
    </row>
    <row r="138" spans="1:26" s="100" customFormat="1">
      <c r="A138" s="88" t="s">
        <v>85</v>
      </c>
      <c r="B138" s="89" t="s">
        <v>204</v>
      </c>
      <c r="C138" s="89" t="s">
        <v>52</v>
      </c>
      <c r="D138" s="103">
        <v>100073888</v>
      </c>
      <c r="E138" s="89" t="s">
        <v>55</v>
      </c>
      <c r="F138" s="89">
        <v>100081166</v>
      </c>
      <c r="G138" s="128" t="s">
        <v>228</v>
      </c>
      <c r="H138" s="166"/>
      <c r="I138" s="92"/>
      <c r="J138" s="92"/>
      <c r="K138" s="94"/>
      <c r="L138" s="92">
        <v>0</v>
      </c>
      <c r="M138" s="93">
        <v>0</v>
      </c>
      <c r="N138" s="98">
        <f t="shared" si="4"/>
        <v>0</v>
      </c>
      <c r="O138" s="97">
        <v>0</v>
      </c>
      <c r="P138" s="92">
        <v>0</v>
      </c>
      <c r="Q138" s="98">
        <f t="shared" si="5"/>
        <v>0</v>
      </c>
      <c r="R138" s="99" t="str">
        <f>+IF(Q138+N138&lt;=0, "NO COMPRADOR", +IF(Q138&lt;=0, "SIN COMPRA "&amp;+UPPER(TEXT('DINAMICA ENERO 26'!$C$2,"mmm 'yy")), "COMPRADOR"))</f>
        <v>NO COMPRADOR</v>
      </c>
      <c r="S138"/>
      <c r="T138"/>
      <c r="U138"/>
      <c r="V138"/>
      <c r="W138"/>
      <c r="X138"/>
      <c r="Y138"/>
      <c r="Z138"/>
    </row>
    <row r="139" spans="1:26" s="100" customFormat="1">
      <c r="A139" s="88" t="s">
        <v>85</v>
      </c>
      <c r="B139" s="89" t="s">
        <v>204</v>
      </c>
      <c r="C139" s="89" t="s">
        <v>52</v>
      </c>
      <c r="D139" s="103">
        <v>100073888</v>
      </c>
      <c r="E139" s="89" t="s">
        <v>55</v>
      </c>
      <c r="F139" s="89">
        <v>100064228</v>
      </c>
      <c r="G139" s="128" t="s">
        <v>229</v>
      </c>
      <c r="H139" s="166"/>
      <c r="I139" s="92"/>
      <c r="J139" s="92"/>
      <c r="K139" s="94"/>
      <c r="L139" s="92">
        <v>0</v>
      </c>
      <c r="M139" s="93">
        <v>201.6</v>
      </c>
      <c r="N139" s="98">
        <f t="shared" si="4"/>
        <v>100.8</v>
      </c>
      <c r="O139" s="97">
        <v>4.8</v>
      </c>
      <c r="P139" s="92">
        <v>0</v>
      </c>
      <c r="Q139" s="98">
        <f t="shared" si="5"/>
        <v>4.8</v>
      </c>
      <c r="R139" s="99" t="str">
        <f>+IF(Q139+N139&lt;=0, "NO COMPRADOR", +IF(Q139&lt;=0, "SIN COMPRA "&amp;+UPPER(TEXT('DINAMICA ENERO 26'!$C$2,"mmm 'yy")), "COMPRADOR"))</f>
        <v>COMPRADOR</v>
      </c>
      <c r="S139"/>
      <c r="T139"/>
      <c r="U139"/>
      <c r="V139"/>
      <c r="W139"/>
      <c r="X139"/>
      <c r="Y139"/>
      <c r="Z139"/>
    </row>
    <row r="140" spans="1:26" s="100" customFormat="1">
      <c r="A140" s="88" t="s">
        <v>85</v>
      </c>
      <c r="B140" s="89" t="s">
        <v>204</v>
      </c>
      <c r="C140" s="89" t="s">
        <v>52</v>
      </c>
      <c r="D140" s="103">
        <v>100073888</v>
      </c>
      <c r="E140" s="89" t="s">
        <v>55</v>
      </c>
      <c r="F140" s="89">
        <v>100083588</v>
      </c>
      <c r="G140" s="128" t="s">
        <v>230</v>
      </c>
      <c r="H140" s="166"/>
      <c r="I140" s="92"/>
      <c r="J140" s="92"/>
      <c r="K140" s="94"/>
      <c r="L140" s="92">
        <v>9.6</v>
      </c>
      <c r="M140" s="93">
        <v>48</v>
      </c>
      <c r="N140" s="98">
        <f t="shared" si="4"/>
        <v>28.8</v>
      </c>
      <c r="O140" s="97">
        <v>24</v>
      </c>
      <c r="P140" s="92">
        <v>0</v>
      </c>
      <c r="Q140" s="98">
        <f t="shared" si="5"/>
        <v>24</v>
      </c>
      <c r="R140" s="99" t="str">
        <f>+IF(Q140+N140&lt;=0, "NO COMPRADOR", +IF(Q140&lt;=0, "SIN COMPRA "&amp;+UPPER(TEXT('DINAMICA ENERO 26'!$C$2,"mmm 'yy")), "COMPRADOR"))</f>
        <v>COMPRADOR</v>
      </c>
      <c r="S140"/>
      <c r="T140"/>
      <c r="U140"/>
      <c r="V140"/>
      <c r="W140"/>
      <c r="X140"/>
      <c r="Y140"/>
      <c r="Z140"/>
    </row>
    <row r="141" spans="1:26" s="100" customFormat="1">
      <c r="A141" s="88" t="s">
        <v>85</v>
      </c>
      <c r="B141" s="89" t="s">
        <v>204</v>
      </c>
      <c r="C141" s="89" t="s">
        <v>52</v>
      </c>
      <c r="D141" s="103">
        <v>100073888</v>
      </c>
      <c r="E141" s="89" t="s">
        <v>55</v>
      </c>
      <c r="F141" s="89">
        <v>100010576</v>
      </c>
      <c r="G141" s="128" t="s">
        <v>231</v>
      </c>
      <c r="H141" s="166"/>
      <c r="I141" s="92"/>
      <c r="J141" s="92"/>
      <c r="K141" s="94"/>
      <c r="L141" s="92">
        <v>0</v>
      </c>
      <c r="M141" s="93">
        <v>0</v>
      </c>
      <c r="N141" s="98">
        <f t="shared" si="4"/>
        <v>0</v>
      </c>
      <c r="O141" s="97">
        <v>0</v>
      </c>
      <c r="P141" s="92">
        <v>0</v>
      </c>
      <c r="Q141" s="98">
        <f t="shared" si="5"/>
        <v>0</v>
      </c>
      <c r="R141" s="99" t="str">
        <f>+IF(Q141+N141&lt;=0, "NO COMPRADOR", +IF(Q141&lt;=0, "SIN COMPRA "&amp;+UPPER(TEXT('DINAMICA ENERO 26'!$C$2,"mmm 'yy")), "COMPRADOR"))</f>
        <v>NO COMPRADOR</v>
      </c>
      <c r="S141"/>
      <c r="T141"/>
      <c r="U141"/>
      <c r="V141"/>
      <c r="W141"/>
      <c r="X141"/>
      <c r="Y141"/>
      <c r="Z141"/>
    </row>
    <row r="142" spans="1:26" s="100" customFormat="1">
      <c r="A142" s="88" t="s">
        <v>85</v>
      </c>
      <c r="B142" s="89" t="s">
        <v>204</v>
      </c>
      <c r="C142" s="89" t="s">
        <v>52</v>
      </c>
      <c r="D142" s="103">
        <v>100073888</v>
      </c>
      <c r="E142" s="89" t="s">
        <v>55</v>
      </c>
      <c r="F142" s="89">
        <v>100002203</v>
      </c>
      <c r="G142" s="128" t="s">
        <v>232</v>
      </c>
      <c r="H142" s="166"/>
      <c r="I142" s="92"/>
      <c r="J142" s="92"/>
      <c r="K142" s="94"/>
      <c r="L142" s="92">
        <v>62.399999999999991</v>
      </c>
      <c r="M142" s="93">
        <v>9.6000000000000014</v>
      </c>
      <c r="N142" s="98">
        <f t="shared" si="4"/>
        <v>36</v>
      </c>
      <c r="O142" s="97">
        <v>0</v>
      </c>
      <c r="P142" s="92">
        <v>0</v>
      </c>
      <c r="Q142" s="98">
        <f t="shared" si="5"/>
        <v>0</v>
      </c>
      <c r="R142" s="99" t="str">
        <f>+IF(Q142+N142&lt;=0, "NO COMPRADOR", +IF(Q142&lt;=0, "SIN COMPRA "&amp;+UPPER(TEXT('DINAMICA ENERO 26'!$C$2,"mmm 'yy")), "COMPRADOR"))</f>
        <v>SIN COMPRA FEB '26</v>
      </c>
      <c r="S142"/>
      <c r="T142"/>
      <c r="U142"/>
      <c r="V142"/>
      <c r="W142"/>
      <c r="X142"/>
      <c r="Y142"/>
      <c r="Z142"/>
    </row>
    <row r="143" spans="1:26" s="100" customFormat="1">
      <c r="A143" s="88" t="s">
        <v>85</v>
      </c>
      <c r="B143" s="89" t="s">
        <v>204</v>
      </c>
      <c r="C143" s="89" t="s">
        <v>52</v>
      </c>
      <c r="D143" s="103">
        <v>100073888</v>
      </c>
      <c r="E143" s="89" t="s">
        <v>55</v>
      </c>
      <c r="F143" s="89">
        <v>100001329</v>
      </c>
      <c r="G143" s="128" t="s">
        <v>233</v>
      </c>
      <c r="H143" s="166"/>
      <c r="I143" s="92"/>
      <c r="J143" s="92"/>
      <c r="K143" s="94"/>
      <c r="L143" s="92">
        <v>0</v>
      </c>
      <c r="M143" s="93">
        <v>9.6</v>
      </c>
      <c r="N143" s="98">
        <f t="shared" si="4"/>
        <v>4.8</v>
      </c>
      <c r="O143" s="97">
        <v>0</v>
      </c>
      <c r="P143" s="92">
        <v>0</v>
      </c>
      <c r="Q143" s="98">
        <f t="shared" si="5"/>
        <v>0</v>
      </c>
      <c r="R143" s="99" t="str">
        <f>+IF(Q143+N143&lt;=0, "NO COMPRADOR", +IF(Q143&lt;=0, "SIN COMPRA "&amp;+UPPER(TEXT('DINAMICA ENERO 26'!$C$2,"mmm 'yy")), "COMPRADOR"))</f>
        <v>SIN COMPRA FEB '26</v>
      </c>
      <c r="S143"/>
      <c r="T143"/>
      <c r="U143"/>
      <c r="V143"/>
      <c r="W143"/>
      <c r="X143"/>
      <c r="Y143"/>
      <c r="Z143"/>
    </row>
    <row r="144" spans="1:26" s="100" customFormat="1">
      <c r="A144" s="88" t="s">
        <v>85</v>
      </c>
      <c r="B144" s="89" t="s">
        <v>204</v>
      </c>
      <c r="C144" s="89" t="s">
        <v>52</v>
      </c>
      <c r="D144" s="103">
        <v>100073888</v>
      </c>
      <c r="E144" s="89" t="s">
        <v>55</v>
      </c>
      <c r="F144" s="89">
        <v>100077493</v>
      </c>
      <c r="G144" s="128" t="s">
        <v>234</v>
      </c>
      <c r="H144" s="166"/>
      <c r="I144" s="92"/>
      <c r="J144" s="92"/>
      <c r="K144" s="94"/>
      <c r="L144" s="92">
        <v>0</v>
      </c>
      <c r="M144" s="93">
        <v>0</v>
      </c>
      <c r="N144" s="98">
        <f t="shared" si="4"/>
        <v>0</v>
      </c>
      <c r="O144" s="97">
        <v>0</v>
      </c>
      <c r="P144" s="92">
        <v>0</v>
      </c>
      <c r="Q144" s="98">
        <f t="shared" si="5"/>
        <v>0</v>
      </c>
      <c r="R144" s="99" t="str">
        <f>+IF(Q144+N144&lt;=0, "NO COMPRADOR", +IF(Q144&lt;=0, "SIN COMPRA "&amp;+UPPER(TEXT('DINAMICA ENERO 26'!$C$2,"mmm 'yy")), "COMPRADOR"))</f>
        <v>NO COMPRADOR</v>
      </c>
      <c r="S144"/>
      <c r="T144"/>
      <c r="U144"/>
      <c r="V144"/>
      <c r="W144"/>
      <c r="X144"/>
      <c r="Y144"/>
      <c r="Z144"/>
    </row>
    <row r="145" spans="1:26" s="100" customFormat="1">
      <c r="A145" s="88" t="s">
        <v>85</v>
      </c>
      <c r="B145" s="89" t="s">
        <v>204</v>
      </c>
      <c r="C145" s="89" t="s">
        <v>52</v>
      </c>
      <c r="D145" s="103">
        <v>100073888</v>
      </c>
      <c r="E145" s="89" t="s">
        <v>55</v>
      </c>
      <c r="F145" s="89">
        <v>100084330</v>
      </c>
      <c r="G145" s="128" t="s">
        <v>235</v>
      </c>
      <c r="H145" s="166"/>
      <c r="I145" s="92"/>
      <c r="J145" s="92"/>
      <c r="K145" s="94"/>
      <c r="L145" s="92">
        <v>14.399999999999999</v>
      </c>
      <c r="M145" s="93">
        <v>0</v>
      </c>
      <c r="N145" s="98">
        <f t="shared" si="4"/>
        <v>7.1999999999999993</v>
      </c>
      <c r="O145" s="97">
        <v>0</v>
      </c>
      <c r="P145" s="92">
        <v>0</v>
      </c>
      <c r="Q145" s="98">
        <f t="shared" si="5"/>
        <v>0</v>
      </c>
      <c r="R145" s="99" t="str">
        <f>+IF(Q145+N145&lt;=0, "NO COMPRADOR", +IF(Q145&lt;=0, "SIN COMPRA "&amp;+UPPER(TEXT('DINAMICA ENERO 26'!$C$2,"mmm 'yy")), "COMPRADOR"))</f>
        <v>SIN COMPRA FEB '26</v>
      </c>
      <c r="S145"/>
      <c r="T145"/>
      <c r="U145"/>
      <c r="V145"/>
      <c r="W145"/>
      <c r="X145"/>
      <c r="Y145"/>
      <c r="Z145"/>
    </row>
    <row r="146" spans="1:26" s="100" customFormat="1">
      <c r="A146" s="88" t="s">
        <v>85</v>
      </c>
      <c r="B146" s="89" t="s">
        <v>236</v>
      </c>
      <c r="C146" s="89" t="s">
        <v>68</v>
      </c>
      <c r="D146" s="103">
        <v>100089354</v>
      </c>
      <c r="E146" s="89" t="s">
        <v>68</v>
      </c>
      <c r="F146" s="89">
        <v>100058447</v>
      </c>
      <c r="G146" s="128" t="s">
        <v>237</v>
      </c>
      <c r="H146" s="166"/>
      <c r="I146" s="92"/>
      <c r="J146" s="92"/>
      <c r="K146" s="94"/>
      <c r="L146" s="92">
        <v>0</v>
      </c>
      <c r="M146" s="93">
        <v>0</v>
      </c>
      <c r="N146" s="98">
        <f t="shared" si="4"/>
        <v>0</v>
      </c>
      <c r="O146" s="97">
        <v>0</v>
      </c>
      <c r="P146" s="92">
        <v>0</v>
      </c>
      <c r="Q146" s="98">
        <f t="shared" si="5"/>
        <v>0</v>
      </c>
      <c r="R146" s="99" t="str">
        <f>+IF(Q146+N146&lt;=0, "NO COMPRADOR", +IF(Q146&lt;=0, "SIN COMPRA "&amp;+UPPER(TEXT('DINAMICA ENERO 26'!$C$2,"mmm 'yy")), "COMPRADOR"))</f>
        <v>NO COMPRADOR</v>
      </c>
      <c r="S146"/>
      <c r="T146"/>
      <c r="U146"/>
      <c r="V146"/>
      <c r="W146"/>
      <c r="X146"/>
      <c r="Y146"/>
      <c r="Z146"/>
    </row>
    <row r="147" spans="1:26" s="100" customFormat="1">
      <c r="A147" s="88" t="s">
        <v>85</v>
      </c>
      <c r="B147" s="89" t="s">
        <v>236</v>
      </c>
      <c r="C147" s="89" t="s">
        <v>68</v>
      </c>
      <c r="D147" s="103">
        <v>100089354</v>
      </c>
      <c r="E147" s="89" t="s">
        <v>68</v>
      </c>
      <c r="F147" s="89">
        <v>100079903</v>
      </c>
      <c r="G147" s="128" t="s">
        <v>238</v>
      </c>
      <c r="H147" s="166"/>
      <c r="I147" s="92"/>
      <c r="J147" s="92"/>
      <c r="K147" s="94"/>
      <c r="L147" s="92">
        <v>0</v>
      </c>
      <c r="M147" s="93">
        <v>0</v>
      </c>
      <c r="N147" s="98">
        <f t="shared" si="4"/>
        <v>0</v>
      </c>
      <c r="O147" s="97">
        <v>0</v>
      </c>
      <c r="P147" s="92">
        <v>0</v>
      </c>
      <c r="Q147" s="98">
        <f t="shared" si="5"/>
        <v>0</v>
      </c>
      <c r="R147" s="99" t="str">
        <f>+IF(Q147+N147&lt;=0, "NO COMPRADOR", +IF(Q147&lt;=0, "SIN COMPRA "&amp;+UPPER(TEXT('DINAMICA ENERO 26'!$C$2,"mmm 'yy")), "COMPRADOR"))</f>
        <v>NO COMPRADOR</v>
      </c>
      <c r="S147"/>
      <c r="T147"/>
      <c r="U147"/>
      <c r="V147"/>
      <c r="W147"/>
      <c r="X147"/>
      <c r="Y147"/>
      <c r="Z147"/>
    </row>
    <row r="148" spans="1:26" s="104" customFormat="1">
      <c r="A148" s="88" t="s">
        <v>85</v>
      </c>
      <c r="B148" s="89" t="s">
        <v>236</v>
      </c>
      <c r="C148" s="89" t="s">
        <v>68</v>
      </c>
      <c r="D148" s="103">
        <v>100089354</v>
      </c>
      <c r="E148" s="89" t="s">
        <v>68</v>
      </c>
      <c r="F148" s="89">
        <v>100083681</v>
      </c>
      <c r="G148" s="128" t="s">
        <v>239</v>
      </c>
      <c r="H148" s="166"/>
      <c r="I148" s="92"/>
      <c r="J148" s="92"/>
      <c r="K148" s="94"/>
      <c r="L148" s="92">
        <v>0</v>
      </c>
      <c r="M148" s="93">
        <v>0</v>
      </c>
      <c r="N148" s="98">
        <f t="shared" si="4"/>
        <v>0</v>
      </c>
      <c r="O148" s="97">
        <v>0</v>
      </c>
      <c r="P148" s="92">
        <v>0</v>
      </c>
      <c r="Q148" s="98">
        <f t="shared" si="5"/>
        <v>0</v>
      </c>
      <c r="R148" s="99" t="str">
        <f>+IF(Q148+N148&lt;=0, "NO COMPRADOR", +IF(Q148&lt;=0, "SIN COMPRA "&amp;+UPPER(TEXT('DINAMICA ENERO 26'!$C$2,"mmm 'yy")), "COMPRADOR"))</f>
        <v>NO COMPRADOR</v>
      </c>
      <c r="S148"/>
      <c r="T148"/>
      <c r="U148"/>
      <c r="V148"/>
      <c r="W148"/>
      <c r="X148"/>
      <c r="Y148"/>
      <c r="Z148"/>
    </row>
    <row r="149" spans="1:26" s="100" customFormat="1">
      <c r="A149" s="88" t="s">
        <v>85</v>
      </c>
      <c r="B149" s="89" t="s">
        <v>236</v>
      </c>
      <c r="C149" s="89" t="s">
        <v>68</v>
      </c>
      <c r="D149" s="103">
        <v>100031199</v>
      </c>
      <c r="E149" s="89" t="s">
        <v>69</v>
      </c>
      <c r="F149" s="89">
        <v>100088905</v>
      </c>
      <c r="G149" s="128" t="s">
        <v>240</v>
      </c>
      <c r="H149" s="166"/>
      <c r="I149" s="92"/>
      <c r="J149" s="92"/>
      <c r="K149" s="94"/>
      <c r="L149" s="92">
        <v>0</v>
      </c>
      <c r="M149" s="93">
        <v>0</v>
      </c>
      <c r="N149" s="98">
        <f t="shared" si="4"/>
        <v>0</v>
      </c>
      <c r="O149" s="97">
        <v>0</v>
      </c>
      <c r="P149" s="92">
        <v>0</v>
      </c>
      <c r="Q149" s="98">
        <f t="shared" si="5"/>
        <v>0</v>
      </c>
      <c r="R149" s="99" t="str">
        <f>+IF(Q149+N149&lt;=0, "NO COMPRADOR", +IF(Q149&lt;=0, "SIN COMPRA "&amp;+UPPER(TEXT('DINAMICA ENERO 26'!$C$2,"mmm 'yy")), "COMPRADOR"))</f>
        <v>NO COMPRADOR</v>
      </c>
      <c r="S149"/>
      <c r="T149"/>
      <c r="U149"/>
      <c r="V149"/>
      <c r="W149"/>
      <c r="X149"/>
      <c r="Y149"/>
      <c r="Z149"/>
    </row>
    <row r="150" spans="1:26" s="104" customFormat="1">
      <c r="A150" s="88" t="s">
        <v>85</v>
      </c>
      <c r="B150" s="89" t="s">
        <v>236</v>
      </c>
      <c r="C150" s="89" t="s">
        <v>68</v>
      </c>
      <c r="D150" s="103">
        <v>100031199</v>
      </c>
      <c r="E150" s="89" t="s">
        <v>69</v>
      </c>
      <c r="F150" s="89">
        <v>100087340</v>
      </c>
      <c r="G150" s="128" t="s">
        <v>241</v>
      </c>
      <c r="H150" s="166"/>
      <c r="I150" s="92"/>
      <c r="J150" s="92"/>
      <c r="K150" s="94"/>
      <c r="L150" s="92">
        <v>0</v>
      </c>
      <c r="M150" s="93">
        <v>0</v>
      </c>
      <c r="N150" s="98">
        <f t="shared" si="4"/>
        <v>0</v>
      </c>
      <c r="O150" s="97">
        <v>0</v>
      </c>
      <c r="P150" s="92">
        <v>0</v>
      </c>
      <c r="Q150" s="98">
        <f t="shared" si="5"/>
        <v>0</v>
      </c>
      <c r="R150" s="99" t="str">
        <f>+IF(Q150+N150&lt;=0, "NO COMPRADOR", +IF(Q150&lt;=0, "SIN COMPRA "&amp;+UPPER(TEXT('DINAMICA ENERO 26'!$C$2,"mmm 'yy")), "COMPRADOR"))</f>
        <v>NO COMPRADOR</v>
      </c>
      <c r="S150"/>
      <c r="T150"/>
      <c r="U150"/>
      <c r="V150"/>
      <c r="W150"/>
      <c r="X150"/>
      <c r="Y150"/>
      <c r="Z150"/>
    </row>
    <row r="151" spans="1:26" s="100" customFormat="1">
      <c r="A151" s="88" t="s">
        <v>85</v>
      </c>
      <c r="B151" s="89" t="s">
        <v>236</v>
      </c>
      <c r="C151" s="89" t="s">
        <v>68</v>
      </c>
      <c r="D151" s="103">
        <v>100031199</v>
      </c>
      <c r="E151" s="89" t="s">
        <v>69</v>
      </c>
      <c r="F151" s="89">
        <v>100087098</v>
      </c>
      <c r="G151" s="128" t="s">
        <v>242</v>
      </c>
      <c r="H151" s="166"/>
      <c r="I151" s="92"/>
      <c r="J151" s="92"/>
      <c r="K151" s="94"/>
      <c r="L151" s="92">
        <v>0</v>
      </c>
      <c r="M151" s="93">
        <v>0</v>
      </c>
      <c r="N151" s="98">
        <f t="shared" si="4"/>
        <v>0</v>
      </c>
      <c r="O151" s="97">
        <v>0</v>
      </c>
      <c r="P151" s="92">
        <v>0</v>
      </c>
      <c r="Q151" s="98">
        <f t="shared" si="5"/>
        <v>0</v>
      </c>
      <c r="R151" s="99" t="str">
        <f>+IF(Q151+N151&lt;=0, "NO COMPRADOR", +IF(Q151&lt;=0, "SIN COMPRA "&amp;+UPPER(TEXT('DINAMICA ENERO 26'!$C$2,"mmm 'yy")), "COMPRADOR"))</f>
        <v>NO COMPRADOR</v>
      </c>
      <c r="S151"/>
      <c r="T151"/>
      <c r="U151"/>
      <c r="V151"/>
      <c r="W151"/>
      <c r="X151"/>
      <c r="Y151"/>
      <c r="Z151"/>
    </row>
    <row r="152" spans="1:26" s="104" customFormat="1">
      <c r="A152" s="88" t="s">
        <v>85</v>
      </c>
      <c r="B152" s="89" t="s">
        <v>236</v>
      </c>
      <c r="C152" s="89" t="s">
        <v>68</v>
      </c>
      <c r="D152" s="103">
        <v>100031199</v>
      </c>
      <c r="E152" s="89" t="s">
        <v>69</v>
      </c>
      <c r="F152" s="89">
        <v>100085167</v>
      </c>
      <c r="G152" s="128" t="s">
        <v>243</v>
      </c>
      <c r="H152" s="166"/>
      <c r="I152" s="92"/>
      <c r="J152" s="92"/>
      <c r="K152" s="94"/>
      <c r="L152" s="92">
        <v>0</v>
      </c>
      <c r="M152" s="93">
        <v>0</v>
      </c>
      <c r="N152" s="98">
        <f t="shared" si="4"/>
        <v>0</v>
      </c>
      <c r="O152" s="97">
        <v>0</v>
      </c>
      <c r="P152" s="92">
        <v>0</v>
      </c>
      <c r="Q152" s="98">
        <f t="shared" si="5"/>
        <v>0</v>
      </c>
      <c r="R152" s="99" t="str">
        <f>+IF(Q152+N152&lt;=0, "NO COMPRADOR", +IF(Q152&lt;=0, "SIN COMPRA "&amp;+UPPER(TEXT('DINAMICA ENERO 26'!$C$2,"mmm 'yy")), "COMPRADOR"))</f>
        <v>NO COMPRADOR</v>
      </c>
      <c r="S152"/>
      <c r="T152"/>
      <c r="U152"/>
      <c r="V152"/>
      <c r="W152"/>
      <c r="X152"/>
      <c r="Y152"/>
      <c r="Z152"/>
    </row>
    <row r="153" spans="1:26" s="104" customFormat="1">
      <c r="A153" s="88" t="s">
        <v>85</v>
      </c>
      <c r="B153" s="89" t="s">
        <v>236</v>
      </c>
      <c r="C153" s="89" t="s">
        <v>68</v>
      </c>
      <c r="D153" s="103">
        <v>100031199</v>
      </c>
      <c r="E153" s="89" t="s">
        <v>69</v>
      </c>
      <c r="F153" s="89">
        <v>100085481</v>
      </c>
      <c r="G153" s="128" t="s">
        <v>244</v>
      </c>
      <c r="H153" s="166"/>
      <c r="I153" s="92"/>
      <c r="J153" s="92"/>
      <c r="K153" s="94"/>
      <c r="L153" s="92">
        <v>0</v>
      </c>
      <c r="M153" s="93">
        <v>0</v>
      </c>
      <c r="N153" s="98">
        <f t="shared" si="4"/>
        <v>0</v>
      </c>
      <c r="O153" s="97">
        <v>0</v>
      </c>
      <c r="P153" s="92">
        <v>0</v>
      </c>
      <c r="Q153" s="98">
        <f t="shared" si="5"/>
        <v>0</v>
      </c>
      <c r="R153" s="99" t="str">
        <f>+IF(Q153+N153&lt;=0, "NO COMPRADOR", +IF(Q153&lt;=0, "SIN COMPRA "&amp;+UPPER(TEXT('DINAMICA ENERO 26'!$C$2,"mmm 'yy")), "COMPRADOR"))</f>
        <v>NO COMPRADOR</v>
      </c>
      <c r="S153"/>
      <c r="T153"/>
      <c r="U153"/>
      <c r="V153"/>
      <c r="W153"/>
      <c r="X153"/>
      <c r="Y153"/>
      <c r="Z153"/>
    </row>
    <row r="154" spans="1:26" s="100" customFormat="1">
      <c r="A154" s="88" t="s">
        <v>85</v>
      </c>
      <c r="B154" s="89" t="s">
        <v>236</v>
      </c>
      <c r="C154" s="89" t="s">
        <v>68</v>
      </c>
      <c r="D154" s="103">
        <v>100031199</v>
      </c>
      <c r="E154" s="89" t="s">
        <v>69</v>
      </c>
      <c r="F154" s="89">
        <v>100008613</v>
      </c>
      <c r="G154" s="128" t="s">
        <v>245</v>
      </c>
      <c r="H154" s="166"/>
      <c r="I154" s="92"/>
      <c r="J154" s="92"/>
      <c r="K154" s="94"/>
      <c r="L154" s="92">
        <v>0</v>
      </c>
      <c r="M154" s="93">
        <v>0</v>
      </c>
      <c r="N154" s="98">
        <f t="shared" si="4"/>
        <v>0</v>
      </c>
      <c r="O154" s="97">
        <v>0</v>
      </c>
      <c r="P154" s="92">
        <v>0</v>
      </c>
      <c r="Q154" s="98">
        <f t="shared" si="5"/>
        <v>0</v>
      </c>
      <c r="R154" s="99" t="str">
        <f>+IF(Q154+N154&lt;=0, "NO COMPRADOR", +IF(Q154&lt;=0, "SIN COMPRA "&amp;+UPPER(TEXT('DINAMICA ENERO 26'!$C$2,"mmm 'yy")), "COMPRADOR"))</f>
        <v>NO COMPRADOR</v>
      </c>
      <c r="S154"/>
      <c r="T154"/>
      <c r="U154"/>
      <c r="V154"/>
      <c r="W154"/>
      <c r="X154"/>
      <c r="Y154"/>
      <c r="Z154"/>
    </row>
    <row r="155" spans="1:26" s="100" customFormat="1">
      <c r="A155" s="88" t="s">
        <v>85</v>
      </c>
      <c r="B155" s="89" t="s">
        <v>236</v>
      </c>
      <c r="C155" s="89" t="s">
        <v>68</v>
      </c>
      <c r="D155" s="103">
        <v>100031199</v>
      </c>
      <c r="E155" s="89" t="s">
        <v>69</v>
      </c>
      <c r="F155" s="89">
        <v>100002250</v>
      </c>
      <c r="G155" s="128" t="s">
        <v>246</v>
      </c>
      <c r="H155" s="166"/>
      <c r="I155" s="92"/>
      <c r="J155" s="92"/>
      <c r="K155" s="94"/>
      <c r="L155" s="92">
        <v>0</v>
      </c>
      <c r="M155" s="93">
        <v>48</v>
      </c>
      <c r="N155" s="98">
        <f t="shared" si="4"/>
        <v>24</v>
      </c>
      <c r="O155" s="97">
        <v>14.399999999999999</v>
      </c>
      <c r="P155" s="92">
        <v>0</v>
      </c>
      <c r="Q155" s="98">
        <f t="shared" si="5"/>
        <v>14.399999999999999</v>
      </c>
      <c r="R155" s="99" t="str">
        <f>+IF(Q155+N155&lt;=0, "NO COMPRADOR", +IF(Q155&lt;=0, "SIN COMPRA "&amp;+UPPER(TEXT('DINAMICA ENERO 26'!$C$2,"mmm 'yy")), "COMPRADOR"))</f>
        <v>COMPRADOR</v>
      </c>
      <c r="S155"/>
      <c r="T155"/>
      <c r="U155"/>
      <c r="V155"/>
      <c r="W155"/>
      <c r="X155"/>
      <c r="Y155"/>
      <c r="Z155"/>
    </row>
    <row r="156" spans="1:26" s="104" customFormat="1">
      <c r="A156" s="88" t="s">
        <v>85</v>
      </c>
      <c r="B156" s="89" t="s">
        <v>236</v>
      </c>
      <c r="C156" s="89" t="s">
        <v>68</v>
      </c>
      <c r="D156" s="103">
        <v>100031199</v>
      </c>
      <c r="E156" s="89" t="s">
        <v>69</v>
      </c>
      <c r="F156" s="89">
        <v>100002229</v>
      </c>
      <c r="G156" s="128" t="s">
        <v>247</v>
      </c>
      <c r="H156" s="166"/>
      <c r="I156" s="92"/>
      <c r="J156" s="92"/>
      <c r="K156" s="94"/>
      <c r="L156" s="92">
        <v>0</v>
      </c>
      <c r="M156" s="93">
        <v>0</v>
      </c>
      <c r="N156" s="98">
        <f t="shared" si="4"/>
        <v>0</v>
      </c>
      <c r="O156" s="97">
        <v>0</v>
      </c>
      <c r="P156" s="92">
        <v>0</v>
      </c>
      <c r="Q156" s="98">
        <f t="shared" si="5"/>
        <v>0</v>
      </c>
      <c r="R156" s="99" t="str">
        <f>+IF(Q156+N156&lt;=0, "NO COMPRADOR", +IF(Q156&lt;=0, "SIN COMPRA "&amp;+UPPER(TEXT('DINAMICA ENERO 26'!$C$2,"mmm 'yy")), "COMPRADOR"))</f>
        <v>NO COMPRADOR</v>
      </c>
      <c r="S156"/>
      <c r="T156"/>
      <c r="U156"/>
      <c r="V156"/>
      <c r="W156"/>
      <c r="X156"/>
      <c r="Y156"/>
      <c r="Z156"/>
    </row>
    <row r="157" spans="1:26" s="100" customFormat="1">
      <c r="A157" s="88" t="s">
        <v>85</v>
      </c>
      <c r="B157" s="89" t="s">
        <v>236</v>
      </c>
      <c r="C157" s="89" t="s">
        <v>68</v>
      </c>
      <c r="D157" s="103">
        <v>100031199</v>
      </c>
      <c r="E157" s="89" t="s">
        <v>69</v>
      </c>
      <c r="F157" s="89">
        <v>100022327</v>
      </c>
      <c r="G157" s="128" t="s">
        <v>248</v>
      </c>
      <c r="H157" s="166"/>
      <c r="I157" s="92"/>
      <c r="J157" s="92"/>
      <c r="K157" s="94"/>
      <c r="L157" s="92">
        <v>0</v>
      </c>
      <c r="M157" s="93">
        <v>0</v>
      </c>
      <c r="N157" s="98">
        <f t="shared" si="4"/>
        <v>0</v>
      </c>
      <c r="O157" s="97">
        <v>48</v>
      </c>
      <c r="P157" s="92">
        <v>0</v>
      </c>
      <c r="Q157" s="98">
        <f t="shared" si="5"/>
        <v>48</v>
      </c>
      <c r="R157" s="99" t="str">
        <f>+IF(Q157+N157&lt;=0, "NO COMPRADOR", +IF(Q157&lt;=0, "SIN COMPRA "&amp;+UPPER(TEXT('DINAMICA ENERO 26'!$C$2,"mmm 'yy")), "COMPRADOR"))</f>
        <v>COMPRADOR</v>
      </c>
      <c r="S157"/>
      <c r="T157"/>
      <c r="U157"/>
      <c r="V157"/>
      <c r="W157"/>
      <c r="X157"/>
      <c r="Y157"/>
      <c r="Z157"/>
    </row>
    <row r="158" spans="1:26" s="100" customFormat="1">
      <c r="A158" s="88" t="s">
        <v>85</v>
      </c>
      <c r="B158" s="89" t="s">
        <v>236</v>
      </c>
      <c r="C158" s="89" t="s">
        <v>68</v>
      </c>
      <c r="D158" s="103">
        <v>100031199</v>
      </c>
      <c r="E158" s="89" t="s">
        <v>69</v>
      </c>
      <c r="F158" s="89">
        <v>100002225</v>
      </c>
      <c r="G158" s="128" t="s">
        <v>249</v>
      </c>
      <c r="H158" s="166"/>
      <c r="I158" s="92"/>
      <c r="J158" s="92"/>
      <c r="K158" s="94"/>
      <c r="L158" s="92">
        <v>0</v>
      </c>
      <c r="M158" s="93">
        <v>14.399999999999999</v>
      </c>
      <c r="N158" s="98">
        <f t="shared" si="4"/>
        <v>7.1999999999999993</v>
      </c>
      <c r="O158" s="97">
        <v>9.6</v>
      </c>
      <c r="P158" s="92">
        <v>0</v>
      </c>
      <c r="Q158" s="98">
        <f t="shared" si="5"/>
        <v>9.6</v>
      </c>
      <c r="R158" s="99" t="str">
        <f>+IF(Q158+N158&lt;=0, "NO COMPRADOR", +IF(Q158&lt;=0, "SIN COMPRA "&amp;+UPPER(TEXT('DINAMICA ENERO 26'!$C$2,"mmm 'yy")), "COMPRADOR"))</f>
        <v>COMPRADOR</v>
      </c>
      <c r="S158"/>
      <c r="T158"/>
      <c r="U158"/>
      <c r="V158"/>
      <c r="W158"/>
      <c r="X158"/>
      <c r="Y158"/>
      <c r="Z158"/>
    </row>
    <row r="159" spans="1:26" s="100" customFormat="1">
      <c r="A159" s="88" t="s">
        <v>85</v>
      </c>
      <c r="B159" s="89" t="s">
        <v>236</v>
      </c>
      <c r="C159" s="89" t="s">
        <v>68</v>
      </c>
      <c r="D159" s="103">
        <v>100031199</v>
      </c>
      <c r="E159" s="89" t="s">
        <v>69</v>
      </c>
      <c r="F159" s="89">
        <v>100071477</v>
      </c>
      <c r="G159" s="128" t="s">
        <v>250</v>
      </c>
      <c r="H159" s="166"/>
      <c r="I159" s="92"/>
      <c r="J159" s="92"/>
      <c r="K159" s="94"/>
      <c r="L159" s="92">
        <v>0</v>
      </c>
      <c r="M159" s="93">
        <v>0</v>
      </c>
      <c r="N159" s="98">
        <f t="shared" si="4"/>
        <v>0</v>
      </c>
      <c r="O159" s="97">
        <v>0</v>
      </c>
      <c r="P159" s="92">
        <v>0</v>
      </c>
      <c r="Q159" s="98">
        <f>+O159+P159</f>
        <v>0</v>
      </c>
      <c r="R159" s="99" t="str">
        <f>+IF(Q159+N159&lt;=0, "NO COMPRADOR", +IF(Q159&lt;=0, "SIN COMPRA "&amp;+UPPER(TEXT('DINAMICA ENERO 26'!$C$2,"mmm 'yy")), "COMPRADOR"))</f>
        <v>NO COMPRADOR</v>
      </c>
      <c r="S159"/>
      <c r="T159"/>
      <c r="U159"/>
      <c r="V159"/>
      <c r="W159"/>
      <c r="X159"/>
      <c r="Y159"/>
      <c r="Z159"/>
    </row>
    <row r="160" spans="1:26" s="100" customFormat="1">
      <c r="A160" s="88" t="s">
        <v>85</v>
      </c>
      <c r="B160" s="89" t="s">
        <v>236</v>
      </c>
      <c r="C160" s="89" t="s">
        <v>68</v>
      </c>
      <c r="D160" s="103">
        <v>100031199</v>
      </c>
      <c r="E160" s="89" t="s">
        <v>69</v>
      </c>
      <c r="F160" s="89">
        <v>100073868</v>
      </c>
      <c r="G160" s="128" t="s">
        <v>251</v>
      </c>
      <c r="H160" s="166"/>
      <c r="I160" s="92"/>
      <c r="J160" s="92"/>
      <c r="K160" s="94"/>
      <c r="L160" s="92">
        <v>0</v>
      </c>
      <c r="M160" s="93">
        <v>0</v>
      </c>
      <c r="N160" s="98">
        <f t="shared" si="4"/>
        <v>0</v>
      </c>
      <c r="O160" s="97">
        <v>0</v>
      </c>
      <c r="P160" s="92">
        <v>0</v>
      </c>
      <c r="Q160" s="98">
        <f t="shared" ref="Q160:Q165" si="6">+O160+P160</f>
        <v>0</v>
      </c>
      <c r="R160" s="99" t="str">
        <f>+IF(Q160+N160&lt;=0, "NO COMPRADOR", +IF(Q160&lt;=0, "SIN COMPRA "&amp;+UPPER(TEXT('DINAMICA ENERO 26'!$C$2,"mmm 'yy")), "COMPRADOR"))</f>
        <v>NO COMPRADOR</v>
      </c>
      <c r="S160"/>
      <c r="T160"/>
      <c r="U160"/>
      <c r="V160"/>
      <c r="W160"/>
      <c r="X160"/>
      <c r="Y160"/>
      <c r="Z160"/>
    </row>
    <row r="161" spans="1:26" s="100" customFormat="1">
      <c r="A161" s="88" t="s">
        <v>85</v>
      </c>
      <c r="B161" s="89" t="s">
        <v>236</v>
      </c>
      <c r="C161" s="89" t="s">
        <v>68</v>
      </c>
      <c r="D161" s="103">
        <v>100031199</v>
      </c>
      <c r="E161" s="89" t="s">
        <v>69</v>
      </c>
      <c r="F161" s="89">
        <v>100040021</v>
      </c>
      <c r="G161" s="128" t="s">
        <v>252</v>
      </c>
      <c r="H161" s="166"/>
      <c r="I161" s="92"/>
      <c r="J161" s="92"/>
      <c r="K161" s="94"/>
      <c r="L161" s="92">
        <v>0</v>
      </c>
      <c r="M161" s="93">
        <v>9.6</v>
      </c>
      <c r="N161" s="98">
        <f t="shared" si="4"/>
        <v>4.8</v>
      </c>
      <c r="O161" s="97">
        <v>14.399999999999999</v>
      </c>
      <c r="P161" s="92">
        <v>0</v>
      </c>
      <c r="Q161" s="98">
        <f t="shared" si="6"/>
        <v>14.399999999999999</v>
      </c>
      <c r="R161" s="99" t="str">
        <f>+IF(Q161+N161&lt;=0, "NO COMPRADOR", +IF(Q161&lt;=0, "SIN COMPRA "&amp;+UPPER(TEXT('DINAMICA ENERO 26'!$C$2,"mmm 'yy")), "COMPRADOR"))</f>
        <v>COMPRADOR</v>
      </c>
      <c r="S161"/>
      <c r="T161"/>
      <c r="U161"/>
      <c r="V161"/>
      <c r="W161"/>
      <c r="X161"/>
      <c r="Y161"/>
      <c r="Z161"/>
    </row>
    <row r="162" spans="1:26" s="100" customFormat="1">
      <c r="A162" s="88" t="s">
        <v>85</v>
      </c>
      <c r="B162" s="89" t="s">
        <v>236</v>
      </c>
      <c r="C162" s="89" t="s">
        <v>68</v>
      </c>
      <c r="D162" s="103">
        <v>100031199</v>
      </c>
      <c r="E162" s="89" t="s">
        <v>69</v>
      </c>
      <c r="F162" s="89">
        <v>100019451</v>
      </c>
      <c r="G162" s="128" t="s">
        <v>253</v>
      </c>
      <c r="H162" s="166"/>
      <c r="I162" s="92"/>
      <c r="J162" s="92"/>
      <c r="K162" s="94"/>
      <c r="L162" s="92">
        <v>0</v>
      </c>
      <c r="M162" s="93">
        <v>24</v>
      </c>
      <c r="N162" s="98">
        <f t="shared" si="4"/>
        <v>12</v>
      </c>
      <c r="O162" s="97">
        <v>0</v>
      </c>
      <c r="P162" s="92">
        <v>0</v>
      </c>
      <c r="Q162" s="98">
        <f t="shared" si="6"/>
        <v>0</v>
      </c>
      <c r="R162" s="99" t="str">
        <f>+IF(Q162+N162&lt;=0, "NO COMPRADOR", +IF(Q162&lt;=0, "SIN COMPRA "&amp;+UPPER(TEXT('DINAMICA ENERO 26'!$C$2,"mmm 'yy")), "COMPRADOR"))</f>
        <v>SIN COMPRA FEB '26</v>
      </c>
      <c r="S162"/>
      <c r="T162"/>
      <c r="U162"/>
      <c r="V162"/>
      <c r="W162"/>
      <c r="X162"/>
      <c r="Y162"/>
      <c r="Z162"/>
    </row>
    <row r="163" spans="1:26" s="100" customFormat="1">
      <c r="A163" s="88" t="s">
        <v>85</v>
      </c>
      <c r="B163" s="89" t="s">
        <v>236</v>
      </c>
      <c r="C163" s="89" t="s">
        <v>68</v>
      </c>
      <c r="D163" s="103">
        <v>100031199</v>
      </c>
      <c r="E163" s="89" t="s">
        <v>69</v>
      </c>
      <c r="F163" s="89">
        <v>100066048</v>
      </c>
      <c r="G163" s="128" t="s">
        <v>254</v>
      </c>
      <c r="H163" s="166"/>
      <c r="I163" s="92"/>
      <c r="J163" s="92"/>
      <c r="K163" s="94"/>
      <c r="L163" s="92">
        <v>0</v>
      </c>
      <c r="M163" s="93">
        <v>0</v>
      </c>
      <c r="N163" s="98">
        <f t="shared" si="4"/>
        <v>0</v>
      </c>
      <c r="O163" s="97">
        <v>0</v>
      </c>
      <c r="P163" s="92">
        <v>96</v>
      </c>
      <c r="Q163" s="98">
        <f t="shared" si="6"/>
        <v>96</v>
      </c>
      <c r="R163" s="99" t="str">
        <f>+IF(Q163+N163&lt;=0, "NO COMPRADOR", +IF(Q163&lt;=0, "SIN COMPRA "&amp;+UPPER(TEXT('DINAMICA ENERO 26'!$C$2,"mmm 'yy")), "COMPRADOR"))</f>
        <v>COMPRADOR</v>
      </c>
      <c r="S163"/>
      <c r="T163"/>
      <c r="U163"/>
      <c r="V163"/>
      <c r="W163"/>
      <c r="X163"/>
      <c r="Y163"/>
      <c r="Z163"/>
    </row>
    <row r="164" spans="1:26" s="100" customFormat="1">
      <c r="A164" s="88" t="s">
        <v>85</v>
      </c>
      <c r="B164" s="89" t="s">
        <v>236</v>
      </c>
      <c r="C164" s="89" t="s">
        <v>68</v>
      </c>
      <c r="D164" s="103">
        <v>100031199</v>
      </c>
      <c r="E164" s="89" t="s">
        <v>69</v>
      </c>
      <c r="F164" s="89">
        <v>100086078</v>
      </c>
      <c r="G164" s="128" t="s">
        <v>255</v>
      </c>
      <c r="H164" s="166"/>
      <c r="I164" s="92"/>
      <c r="J164" s="92"/>
      <c r="K164" s="94"/>
      <c r="L164" s="92">
        <v>0</v>
      </c>
      <c r="M164" s="93">
        <v>0</v>
      </c>
      <c r="N164" s="98">
        <f t="shared" si="4"/>
        <v>0</v>
      </c>
      <c r="O164" s="97">
        <v>0</v>
      </c>
      <c r="P164" s="92">
        <v>0</v>
      </c>
      <c r="Q164" s="98">
        <f t="shared" si="6"/>
        <v>0</v>
      </c>
      <c r="R164" s="99" t="str">
        <f>+IF(Q164+N164&lt;=0, "NO COMPRADOR", +IF(Q164&lt;=0, "SIN COMPRA "&amp;+UPPER(TEXT('DINAMICA ENERO 26'!$C$2,"mmm 'yy")), "COMPRADOR"))</f>
        <v>NO COMPRADOR</v>
      </c>
      <c r="S164"/>
      <c r="T164"/>
      <c r="U164"/>
      <c r="V164"/>
      <c r="W164"/>
      <c r="X164"/>
      <c r="Y164"/>
      <c r="Z164"/>
    </row>
    <row r="165" spans="1:26" s="100" customFormat="1">
      <c r="A165" s="88" t="s">
        <v>85</v>
      </c>
      <c r="B165" s="89" t="s">
        <v>236</v>
      </c>
      <c r="C165" s="89" t="s">
        <v>68</v>
      </c>
      <c r="D165" s="103">
        <v>100031199</v>
      </c>
      <c r="E165" s="89" t="s">
        <v>69</v>
      </c>
      <c r="F165" s="89">
        <v>100089860</v>
      </c>
      <c r="G165" s="128" t="s">
        <v>256</v>
      </c>
      <c r="H165" s="166"/>
      <c r="I165" s="92"/>
      <c r="J165" s="92"/>
      <c r="K165" s="94"/>
      <c r="L165" s="92">
        <v>0</v>
      </c>
      <c r="M165" s="93">
        <v>0</v>
      </c>
      <c r="N165" s="98">
        <f t="shared" si="4"/>
        <v>0</v>
      </c>
      <c r="O165" s="97">
        <v>0</v>
      </c>
      <c r="P165" s="92">
        <v>0</v>
      </c>
      <c r="Q165" s="98">
        <f t="shared" si="6"/>
        <v>0</v>
      </c>
      <c r="R165" s="99" t="str">
        <f>+IF(Q165+N165&lt;=0, "NO COMPRADOR", +IF(Q165&lt;=0, "SIN COMPRA "&amp;+UPPER(TEXT('DINAMICA ENERO 26'!$C$2,"mmm 'yy")), "COMPRADOR"))</f>
        <v>NO COMPRADOR</v>
      </c>
      <c r="S165"/>
      <c r="T165"/>
      <c r="U165"/>
      <c r="V165"/>
      <c r="W165"/>
      <c r="X165"/>
      <c r="Y165"/>
      <c r="Z165"/>
    </row>
    <row r="166" spans="1:26" s="100" customFormat="1">
      <c r="A166" s="88" t="s">
        <v>85</v>
      </c>
      <c r="B166" s="89" t="s">
        <v>257</v>
      </c>
      <c r="C166" s="89" t="s">
        <v>43</v>
      </c>
      <c r="D166" s="103">
        <v>100088690</v>
      </c>
      <c r="E166" s="89" t="s">
        <v>45</v>
      </c>
      <c r="F166" s="89">
        <v>100080700</v>
      </c>
      <c r="G166" s="128" t="s">
        <v>258</v>
      </c>
      <c r="H166" s="166"/>
      <c r="I166" s="92"/>
      <c r="J166" s="92"/>
      <c r="K166" s="94"/>
      <c r="L166" s="92">
        <v>4.8</v>
      </c>
      <c r="M166" s="93">
        <v>0</v>
      </c>
      <c r="N166" s="98">
        <f t="shared" si="4"/>
        <v>2.4</v>
      </c>
      <c r="O166" s="97">
        <v>0</v>
      </c>
      <c r="P166" s="92">
        <v>0</v>
      </c>
      <c r="Q166" s="98">
        <f>+O166+P166</f>
        <v>0</v>
      </c>
      <c r="R166" s="99" t="str">
        <f>+IF(Q166+N166&lt;=0, "NO COMPRADOR", +IF(Q166&lt;=0, "SIN COMPRA "&amp;+UPPER(TEXT('DINAMICA ENERO 26'!$C$2,"mmm 'yy")), "COMPRADOR"))</f>
        <v>SIN COMPRA FEB '26</v>
      </c>
      <c r="S166"/>
      <c r="T166"/>
      <c r="U166"/>
      <c r="V166"/>
      <c r="W166"/>
      <c r="X166"/>
      <c r="Y166"/>
      <c r="Z166"/>
    </row>
    <row r="167" spans="1:26" s="104" customFormat="1">
      <c r="A167" s="88" t="s">
        <v>85</v>
      </c>
      <c r="B167" s="89" t="s">
        <v>257</v>
      </c>
      <c r="C167" s="89" t="s">
        <v>43</v>
      </c>
      <c r="D167" s="103">
        <v>100088690</v>
      </c>
      <c r="E167" s="89" t="s">
        <v>45</v>
      </c>
      <c r="F167" s="89">
        <v>100082871</v>
      </c>
      <c r="G167" s="128" t="s">
        <v>259</v>
      </c>
      <c r="H167" s="166"/>
      <c r="I167" s="92"/>
      <c r="J167" s="92"/>
      <c r="K167" s="94"/>
      <c r="L167" s="92">
        <v>0</v>
      </c>
      <c r="M167" s="93">
        <v>0</v>
      </c>
      <c r="N167" s="98">
        <f t="shared" si="4"/>
        <v>0</v>
      </c>
      <c r="O167" s="97">
        <v>0</v>
      </c>
      <c r="P167" s="92">
        <v>0</v>
      </c>
      <c r="Q167" s="98">
        <f t="shared" ref="Q167:Q230" si="7">+O167+P167</f>
        <v>0</v>
      </c>
      <c r="R167" s="99" t="str">
        <f>+IF(Q167+N167&lt;=0, "NO COMPRADOR", +IF(Q167&lt;=0, "SIN COMPRA "&amp;+UPPER(TEXT('DINAMICA ENERO 26'!$C$2,"mmm 'yy")), "COMPRADOR"))</f>
        <v>NO COMPRADOR</v>
      </c>
      <c r="S167"/>
      <c r="T167"/>
      <c r="U167"/>
      <c r="V167"/>
      <c r="W167"/>
      <c r="X167"/>
      <c r="Y167"/>
      <c r="Z167"/>
    </row>
    <row r="168" spans="1:26" s="104" customFormat="1">
      <c r="A168" s="88" t="s">
        <v>85</v>
      </c>
      <c r="B168" s="89" t="s">
        <v>257</v>
      </c>
      <c r="C168" s="89" t="s">
        <v>43</v>
      </c>
      <c r="D168" s="103">
        <v>100088690</v>
      </c>
      <c r="E168" s="89" t="s">
        <v>45</v>
      </c>
      <c r="F168" s="89">
        <v>100001500</v>
      </c>
      <c r="G168" s="128" t="s">
        <v>260</v>
      </c>
      <c r="H168" s="166"/>
      <c r="I168" s="92"/>
      <c r="J168" s="92"/>
      <c r="K168" s="94"/>
      <c r="L168" s="92">
        <v>0</v>
      </c>
      <c r="M168" s="93">
        <v>0</v>
      </c>
      <c r="N168" s="98">
        <f t="shared" si="4"/>
        <v>0</v>
      </c>
      <c r="O168" s="97">
        <v>0</v>
      </c>
      <c r="P168" s="92">
        <v>0</v>
      </c>
      <c r="Q168" s="98">
        <f t="shared" si="7"/>
        <v>0</v>
      </c>
      <c r="R168" s="99" t="str">
        <f>+IF(Q168+N168&lt;=0, "NO COMPRADOR", +IF(Q168&lt;=0, "SIN COMPRA "&amp;+UPPER(TEXT('DINAMICA ENERO 26'!$C$2,"mmm 'yy")), "COMPRADOR"))</f>
        <v>NO COMPRADOR</v>
      </c>
      <c r="S168"/>
      <c r="T168"/>
      <c r="U168"/>
      <c r="V168"/>
      <c r="W168"/>
      <c r="X168"/>
      <c r="Y168"/>
      <c r="Z168"/>
    </row>
    <row r="169" spans="1:26" s="104" customFormat="1">
      <c r="A169" s="88" t="s">
        <v>85</v>
      </c>
      <c r="B169" s="89" t="s">
        <v>257</v>
      </c>
      <c r="C169" s="89" t="s">
        <v>43</v>
      </c>
      <c r="D169" s="103">
        <v>100088690</v>
      </c>
      <c r="E169" s="89" t="s">
        <v>45</v>
      </c>
      <c r="F169" s="89">
        <v>100026401</v>
      </c>
      <c r="G169" s="128" t="s">
        <v>261</v>
      </c>
      <c r="H169" s="166"/>
      <c r="I169" s="92"/>
      <c r="J169" s="92"/>
      <c r="K169" s="94"/>
      <c r="L169" s="92">
        <v>33.6</v>
      </c>
      <c r="M169" s="93">
        <v>62.399999999999991</v>
      </c>
      <c r="N169" s="98">
        <f t="shared" si="4"/>
        <v>48</v>
      </c>
      <c r="O169" s="97">
        <v>38.4</v>
      </c>
      <c r="P169" s="92">
        <v>0</v>
      </c>
      <c r="Q169" s="98">
        <f t="shared" si="7"/>
        <v>38.4</v>
      </c>
      <c r="R169" s="99" t="str">
        <f>+IF(Q169+N169&lt;=0, "NO COMPRADOR", +IF(Q169&lt;=0, "SIN COMPRA "&amp;+UPPER(TEXT('DINAMICA ENERO 26'!$C$2,"mmm 'yy")), "COMPRADOR"))</f>
        <v>COMPRADOR</v>
      </c>
      <c r="S169"/>
      <c r="T169"/>
      <c r="U169"/>
      <c r="V169"/>
      <c r="W169"/>
      <c r="X169"/>
      <c r="Y169"/>
      <c r="Z169"/>
    </row>
    <row r="170" spans="1:26" s="100" customFormat="1">
      <c r="A170" s="88" t="s">
        <v>85</v>
      </c>
      <c r="B170" s="89" t="s">
        <v>257</v>
      </c>
      <c r="C170" s="89" t="s">
        <v>43</v>
      </c>
      <c r="D170" s="103">
        <v>100088690</v>
      </c>
      <c r="E170" s="89" t="s">
        <v>45</v>
      </c>
      <c r="F170" s="89">
        <v>100067627</v>
      </c>
      <c r="G170" s="128" t="s">
        <v>262</v>
      </c>
      <c r="H170" s="166"/>
      <c r="I170" s="92"/>
      <c r="J170" s="92"/>
      <c r="K170" s="94"/>
      <c r="L170" s="92">
        <v>192</v>
      </c>
      <c r="M170" s="93">
        <v>144</v>
      </c>
      <c r="N170" s="98">
        <f t="shared" si="4"/>
        <v>168</v>
      </c>
      <c r="O170" s="97">
        <v>115.19999999999999</v>
      </c>
      <c r="P170" s="92">
        <v>0</v>
      </c>
      <c r="Q170" s="98">
        <f t="shared" si="7"/>
        <v>115.19999999999999</v>
      </c>
      <c r="R170" s="99" t="str">
        <f>+IF(Q170+N170&lt;=0, "NO COMPRADOR", +IF(Q170&lt;=0, "SIN COMPRA "&amp;+UPPER(TEXT('DINAMICA ENERO 26'!$C$2,"mmm 'yy")), "COMPRADOR"))</f>
        <v>COMPRADOR</v>
      </c>
      <c r="S170"/>
      <c r="T170"/>
      <c r="U170"/>
      <c r="V170"/>
      <c r="W170"/>
      <c r="X170"/>
      <c r="Y170"/>
      <c r="Z170"/>
    </row>
    <row r="171" spans="1:26" s="100" customFormat="1">
      <c r="A171" s="88" t="s">
        <v>85</v>
      </c>
      <c r="B171" s="89" t="s">
        <v>257</v>
      </c>
      <c r="C171" s="89" t="s">
        <v>43</v>
      </c>
      <c r="D171" s="103">
        <v>100088690</v>
      </c>
      <c r="E171" s="89" t="s">
        <v>45</v>
      </c>
      <c r="F171" s="89">
        <v>100072066</v>
      </c>
      <c r="G171" s="128" t="s">
        <v>263</v>
      </c>
      <c r="H171" s="166"/>
      <c r="I171" s="92"/>
      <c r="J171" s="92"/>
      <c r="K171" s="94"/>
      <c r="L171" s="92">
        <v>4.8</v>
      </c>
      <c r="M171" s="93">
        <v>4.8</v>
      </c>
      <c r="N171" s="98">
        <f t="shared" si="4"/>
        <v>4.8</v>
      </c>
      <c r="O171" s="97">
        <v>4.8</v>
      </c>
      <c r="P171" s="92">
        <v>0</v>
      </c>
      <c r="Q171" s="98">
        <f t="shared" si="7"/>
        <v>4.8</v>
      </c>
      <c r="R171" s="99" t="str">
        <f>+IF(Q171+N171&lt;=0, "NO COMPRADOR", +IF(Q171&lt;=0, "SIN COMPRA "&amp;+UPPER(TEXT('DINAMICA ENERO 26'!$C$2,"mmm 'yy")), "COMPRADOR"))</f>
        <v>COMPRADOR</v>
      </c>
      <c r="S171"/>
      <c r="T171"/>
      <c r="U171"/>
      <c r="V171"/>
      <c r="W171"/>
      <c r="X171"/>
      <c r="Y171"/>
      <c r="Z171"/>
    </row>
    <row r="172" spans="1:26" s="100" customFormat="1">
      <c r="A172" s="88" t="s">
        <v>85</v>
      </c>
      <c r="B172" s="89" t="s">
        <v>257</v>
      </c>
      <c r="C172" s="89" t="s">
        <v>43</v>
      </c>
      <c r="D172" s="103">
        <v>100088690</v>
      </c>
      <c r="E172" s="89" t="s">
        <v>45</v>
      </c>
      <c r="F172" s="89">
        <v>100081814</v>
      </c>
      <c r="G172" s="128" t="s">
        <v>264</v>
      </c>
      <c r="H172" s="166"/>
      <c r="I172" s="92"/>
      <c r="J172" s="92"/>
      <c r="K172" s="94"/>
      <c r="L172" s="92">
        <v>0</v>
      </c>
      <c r="M172" s="93">
        <v>0</v>
      </c>
      <c r="N172" s="98">
        <f t="shared" si="4"/>
        <v>0</v>
      </c>
      <c r="O172" s="97">
        <v>0</v>
      </c>
      <c r="P172" s="92">
        <v>0</v>
      </c>
      <c r="Q172" s="98">
        <f t="shared" si="7"/>
        <v>0</v>
      </c>
      <c r="R172" s="99" t="str">
        <f>+IF(Q172+N172&lt;=0, "NO COMPRADOR", +IF(Q172&lt;=0, "SIN COMPRA "&amp;+UPPER(TEXT('DINAMICA ENERO 26'!$C$2,"mmm 'yy")), "COMPRADOR"))</f>
        <v>NO COMPRADOR</v>
      </c>
      <c r="S172"/>
      <c r="T172"/>
      <c r="U172"/>
      <c r="V172"/>
      <c r="W172"/>
      <c r="X172"/>
      <c r="Y172"/>
      <c r="Z172"/>
    </row>
    <row r="173" spans="1:26" s="100" customFormat="1">
      <c r="A173" s="88" t="s">
        <v>85</v>
      </c>
      <c r="B173" s="89" t="s">
        <v>257</v>
      </c>
      <c r="C173" s="89" t="s">
        <v>43</v>
      </c>
      <c r="D173" s="103">
        <v>100088690</v>
      </c>
      <c r="E173" s="89" t="s">
        <v>45</v>
      </c>
      <c r="F173" s="89">
        <v>100072064</v>
      </c>
      <c r="G173" s="128" t="s">
        <v>265</v>
      </c>
      <c r="H173" s="166"/>
      <c r="I173" s="92"/>
      <c r="J173" s="92"/>
      <c r="K173" s="94"/>
      <c r="L173" s="92">
        <v>19.2</v>
      </c>
      <c r="M173" s="93">
        <v>0</v>
      </c>
      <c r="N173" s="98">
        <f t="shared" si="4"/>
        <v>9.6</v>
      </c>
      <c r="O173" s="97">
        <v>9.6</v>
      </c>
      <c r="P173" s="92">
        <v>0</v>
      </c>
      <c r="Q173" s="98">
        <f t="shared" si="7"/>
        <v>9.6</v>
      </c>
      <c r="R173" s="99" t="str">
        <f>+IF(Q173+N173&lt;=0, "NO COMPRADOR", +IF(Q173&lt;=0, "SIN COMPRA "&amp;+UPPER(TEXT('DINAMICA ENERO 26'!$C$2,"mmm 'yy")), "COMPRADOR"))</f>
        <v>COMPRADOR</v>
      </c>
      <c r="S173"/>
      <c r="T173"/>
      <c r="U173"/>
      <c r="V173"/>
      <c r="W173"/>
      <c r="X173"/>
      <c r="Y173"/>
      <c r="Z173"/>
    </row>
    <row r="174" spans="1:26" s="100" customFormat="1">
      <c r="A174" s="88" t="s">
        <v>85</v>
      </c>
      <c r="B174" s="89" t="s">
        <v>257</v>
      </c>
      <c r="C174" s="89" t="s">
        <v>43</v>
      </c>
      <c r="D174" s="103">
        <v>100088690</v>
      </c>
      <c r="E174" s="89" t="s">
        <v>45</v>
      </c>
      <c r="F174" s="89">
        <v>100080445</v>
      </c>
      <c r="G174" s="128" t="s">
        <v>266</v>
      </c>
      <c r="H174" s="166"/>
      <c r="I174" s="92"/>
      <c r="J174" s="92"/>
      <c r="K174" s="94"/>
      <c r="L174" s="92">
        <v>0</v>
      </c>
      <c r="M174" s="93">
        <v>9.6</v>
      </c>
      <c r="N174" s="98">
        <f t="shared" si="4"/>
        <v>4.8</v>
      </c>
      <c r="O174" s="97">
        <v>24</v>
      </c>
      <c r="P174" s="92">
        <v>0</v>
      </c>
      <c r="Q174" s="98">
        <f t="shared" si="7"/>
        <v>24</v>
      </c>
      <c r="R174" s="99" t="str">
        <f>+IF(Q174+N174&lt;=0, "NO COMPRADOR", +IF(Q174&lt;=0, "SIN COMPRA "&amp;+UPPER(TEXT('DINAMICA ENERO 26'!$C$2,"mmm 'yy")), "COMPRADOR"))</f>
        <v>COMPRADOR</v>
      </c>
      <c r="S174"/>
      <c r="T174"/>
      <c r="U174"/>
      <c r="V174"/>
      <c r="W174"/>
      <c r="X174"/>
      <c r="Y174"/>
      <c r="Z174"/>
    </row>
    <row r="175" spans="1:26" s="100" customFormat="1">
      <c r="A175" s="88" t="s">
        <v>85</v>
      </c>
      <c r="B175" s="89" t="s">
        <v>257</v>
      </c>
      <c r="C175" s="89" t="s">
        <v>43</v>
      </c>
      <c r="D175" s="103">
        <v>100088690</v>
      </c>
      <c r="E175" s="89" t="s">
        <v>45</v>
      </c>
      <c r="F175" s="89">
        <v>100018910</v>
      </c>
      <c r="G175" s="128" t="s">
        <v>267</v>
      </c>
      <c r="H175" s="166"/>
      <c r="I175" s="92"/>
      <c r="J175" s="92"/>
      <c r="K175" s="94"/>
      <c r="L175" s="92">
        <v>9.6</v>
      </c>
      <c r="M175" s="93">
        <v>4.8</v>
      </c>
      <c r="N175" s="98">
        <f t="shared" si="4"/>
        <v>7.1999999999999993</v>
      </c>
      <c r="O175" s="97">
        <v>0</v>
      </c>
      <c r="P175" s="92">
        <v>0</v>
      </c>
      <c r="Q175" s="98">
        <f t="shared" si="7"/>
        <v>0</v>
      </c>
      <c r="R175" s="99" t="str">
        <f>+IF(Q175+N175&lt;=0, "NO COMPRADOR", +IF(Q175&lt;=0, "SIN COMPRA "&amp;+UPPER(TEXT('DINAMICA ENERO 26'!$C$2,"mmm 'yy")), "COMPRADOR"))</f>
        <v>SIN COMPRA FEB '26</v>
      </c>
      <c r="S175"/>
      <c r="T175"/>
      <c r="U175"/>
      <c r="V175"/>
      <c r="W175"/>
      <c r="X175"/>
      <c r="Y175"/>
      <c r="Z175"/>
    </row>
    <row r="176" spans="1:26" s="100" customFormat="1">
      <c r="A176" s="88" t="s">
        <v>85</v>
      </c>
      <c r="B176" s="89" t="s">
        <v>257</v>
      </c>
      <c r="C176" s="89" t="s">
        <v>43</v>
      </c>
      <c r="D176" s="103">
        <v>100088690</v>
      </c>
      <c r="E176" s="89" t="s">
        <v>45</v>
      </c>
      <c r="F176" s="89">
        <v>100072065</v>
      </c>
      <c r="G176" s="128" t="s">
        <v>268</v>
      </c>
      <c r="H176" s="166"/>
      <c r="I176" s="92"/>
      <c r="J176" s="92"/>
      <c r="K176" s="94"/>
      <c r="L176" s="92">
        <v>9.6</v>
      </c>
      <c r="M176" s="93">
        <v>9.6</v>
      </c>
      <c r="N176" s="98">
        <f t="shared" si="4"/>
        <v>9.6</v>
      </c>
      <c r="O176" s="97">
        <v>14.399999999999999</v>
      </c>
      <c r="P176" s="92">
        <v>0</v>
      </c>
      <c r="Q176" s="98">
        <f t="shared" si="7"/>
        <v>14.399999999999999</v>
      </c>
      <c r="R176" s="99" t="str">
        <f>+IF(Q176+N176&lt;=0, "NO COMPRADOR", +IF(Q176&lt;=0, "SIN COMPRA "&amp;+UPPER(TEXT('DINAMICA ENERO 26'!$C$2,"mmm 'yy")), "COMPRADOR"))</f>
        <v>COMPRADOR</v>
      </c>
      <c r="S176"/>
      <c r="T176"/>
      <c r="U176"/>
      <c r="V176"/>
      <c r="W176"/>
      <c r="X176"/>
      <c r="Y176"/>
      <c r="Z176"/>
    </row>
    <row r="177" spans="1:26" s="104" customFormat="1">
      <c r="A177" s="88" t="s">
        <v>85</v>
      </c>
      <c r="B177" s="89" t="s">
        <v>257</v>
      </c>
      <c r="C177" s="89" t="s">
        <v>43</v>
      </c>
      <c r="D177" s="103">
        <v>100088690</v>
      </c>
      <c r="E177" s="89" t="s">
        <v>45</v>
      </c>
      <c r="F177" s="89">
        <v>100068677</v>
      </c>
      <c r="G177" s="128" t="s">
        <v>269</v>
      </c>
      <c r="H177" s="166"/>
      <c r="I177" s="92"/>
      <c r="J177" s="92"/>
      <c r="K177" s="94"/>
      <c r="L177" s="92">
        <v>0</v>
      </c>
      <c r="M177" s="93">
        <v>0</v>
      </c>
      <c r="N177" s="98">
        <f t="shared" si="4"/>
        <v>0</v>
      </c>
      <c r="O177" s="97">
        <v>0</v>
      </c>
      <c r="P177" s="92">
        <v>0</v>
      </c>
      <c r="Q177" s="98">
        <f t="shared" si="7"/>
        <v>0</v>
      </c>
      <c r="R177" s="99" t="str">
        <f>+IF(Q177+N177&lt;=0, "NO COMPRADOR", +IF(Q177&lt;=0, "SIN COMPRA "&amp;+UPPER(TEXT('DINAMICA ENERO 26'!$C$2,"mmm 'yy")), "COMPRADOR"))</f>
        <v>NO COMPRADOR</v>
      </c>
      <c r="S177"/>
      <c r="T177"/>
      <c r="U177"/>
      <c r="V177"/>
      <c r="W177"/>
      <c r="X177"/>
      <c r="Y177"/>
      <c r="Z177"/>
    </row>
    <row r="178" spans="1:26" s="100" customFormat="1">
      <c r="A178" s="88" t="s">
        <v>85</v>
      </c>
      <c r="B178" s="89" t="s">
        <v>257</v>
      </c>
      <c r="C178" s="89" t="s">
        <v>43</v>
      </c>
      <c r="D178" s="103">
        <v>100088690</v>
      </c>
      <c r="E178" s="89" t="s">
        <v>45</v>
      </c>
      <c r="F178" s="89">
        <v>100017754</v>
      </c>
      <c r="G178" s="128" t="s">
        <v>270</v>
      </c>
      <c r="H178" s="166"/>
      <c r="I178" s="92"/>
      <c r="J178" s="92"/>
      <c r="K178" s="94"/>
      <c r="L178" s="92">
        <v>0</v>
      </c>
      <c r="M178" s="93">
        <v>9.6</v>
      </c>
      <c r="N178" s="98">
        <f t="shared" si="4"/>
        <v>4.8</v>
      </c>
      <c r="O178" s="97">
        <v>0</v>
      </c>
      <c r="P178" s="92">
        <v>0</v>
      </c>
      <c r="Q178" s="98">
        <f t="shared" si="7"/>
        <v>0</v>
      </c>
      <c r="R178" s="99" t="str">
        <f>+IF(Q178+N178&lt;=0, "NO COMPRADOR", +IF(Q178&lt;=0, "SIN COMPRA "&amp;+UPPER(TEXT('DINAMICA ENERO 26'!$C$2,"mmm 'yy")), "COMPRADOR"))</f>
        <v>SIN COMPRA FEB '26</v>
      </c>
      <c r="S178"/>
      <c r="T178"/>
      <c r="U178"/>
      <c r="V178"/>
      <c r="W178"/>
      <c r="X178"/>
      <c r="Y178"/>
      <c r="Z178"/>
    </row>
    <row r="179" spans="1:26" s="104" customFormat="1">
      <c r="A179" s="88" t="s">
        <v>85</v>
      </c>
      <c r="B179" s="89" t="s">
        <v>257</v>
      </c>
      <c r="C179" s="89" t="s">
        <v>43</v>
      </c>
      <c r="D179" s="103">
        <v>100088690</v>
      </c>
      <c r="E179" s="89" t="s">
        <v>45</v>
      </c>
      <c r="F179" s="89">
        <v>100024126</v>
      </c>
      <c r="G179" s="128" t="s">
        <v>271</v>
      </c>
      <c r="H179" s="166"/>
      <c r="I179" s="92"/>
      <c r="J179" s="92"/>
      <c r="K179" s="94"/>
      <c r="L179" s="92">
        <v>0</v>
      </c>
      <c r="M179" s="93">
        <v>0</v>
      </c>
      <c r="N179" s="98">
        <f t="shared" si="4"/>
        <v>0</v>
      </c>
      <c r="O179" s="97">
        <v>24</v>
      </c>
      <c r="P179" s="92">
        <v>0</v>
      </c>
      <c r="Q179" s="98">
        <f t="shared" si="7"/>
        <v>24</v>
      </c>
      <c r="R179" s="99" t="str">
        <f>+IF(Q179+N179&lt;=0, "NO COMPRADOR", +IF(Q179&lt;=0, "SIN COMPRA "&amp;+UPPER(TEXT('DINAMICA ENERO 26'!$C$2,"mmm 'yy")), "COMPRADOR"))</f>
        <v>COMPRADOR</v>
      </c>
      <c r="S179"/>
      <c r="T179"/>
      <c r="U179"/>
      <c r="V179"/>
      <c r="W179"/>
      <c r="X179"/>
      <c r="Y179"/>
      <c r="Z179"/>
    </row>
    <row r="180" spans="1:26" s="100" customFormat="1">
      <c r="A180" s="88" t="s">
        <v>85</v>
      </c>
      <c r="B180" s="89" t="s">
        <v>257</v>
      </c>
      <c r="C180" s="89" t="s">
        <v>43</v>
      </c>
      <c r="D180" s="103">
        <v>100088690</v>
      </c>
      <c r="E180" s="89" t="s">
        <v>45</v>
      </c>
      <c r="F180" s="89">
        <v>100071480</v>
      </c>
      <c r="G180" s="128" t="s">
        <v>272</v>
      </c>
      <c r="H180" s="166"/>
      <c r="I180" s="92"/>
      <c r="J180" s="92"/>
      <c r="K180" s="94"/>
      <c r="L180" s="92">
        <v>4.8</v>
      </c>
      <c r="M180" s="93">
        <v>0</v>
      </c>
      <c r="N180" s="98">
        <f t="shared" si="4"/>
        <v>2.4</v>
      </c>
      <c r="O180" s="97">
        <v>0</v>
      </c>
      <c r="P180" s="92">
        <v>0</v>
      </c>
      <c r="Q180" s="98">
        <f t="shared" si="7"/>
        <v>0</v>
      </c>
      <c r="R180" s="99" t="str">
        <f>+IF(Q180+N180&lt;=0, "NO COMPRADOR", +IF(Q180&lt;=0, "SIN COMPRA "&amp;+UPPER(TEXT('DINAMICA ENERO 26'!$C$2,"mmm 'yy")), "COMPRADOR"))</f>
        <v>SIN COMPRA FEB '26</v>
      </c>
      <c r="S180"/>
      <c r="T180"/>
      <c r="U180"/>
      <c r="V180"/>
      <c r="W180"/>
      <c r="X180"/>
      <c r="Y180"/>
      <c r="Z180"/>
    </row>
    <row r="181" spans="1:26" s="104" customFormat="1">
      <c r="A181" s="88" t="s">
        <v>85</v>
      </c>
      <c r="B181" s="89" t="s">
        <v>257</v>
      </c>
      <c r="C181" s="89" t="s">
        <v>43</v>
      </c>
      <c r="D181" s="103">
        <v>100088690</v>
      </c>
      <c r="E181" s="89" t="s">
        <v>45</v>
      </c>
      <c r="F181" s="89">
        <v>100063075</v>
      </c>
      <c r="G181" s="128" t="s">
        <v>273</v>
      </c>
      <c r="H181" s="166"/>
      <c r="I181" s="92"/>
      <c r="J181" s="92"/>
      <c r="K181" s="94"/>
      <c r="L181" s="92">
        <v>0</v>
      </c>
      <c r="M181" s="93">
        <v>0</v>
      </c>
      <c r="N181" s="98">
        <f t="shared" si="4"/>
        <v>0</v>
      </c>
      <c r="O181" s="97">
        <v>0</v>
      </c>
      <c r="P181" s="92">
        <v>0</v>
      </c>
      <c r="Q181" s="98">
        <f t="shared" si="7"/>
        <v>0</v>
      </c>
      <c r="R181" s="99" t="str">
        <f>+IF(Q181+N181&lt;=0, "NO COMPRADOR", +IF(Q181&lt;=0, "SIN COMPRA "&amp;+UPPER(TEXT('DINAMICA ENERO 26'!$C$2,"mmm 'yy")), "COMPRADOR"))</f>
        <v>NO COMPRADOR</v>
      </c>
      <c r="S181"/>
      <c r="T181"/>
      <c r="U181"/>
      <c r="V181"/>
      <c r="W181"/>
      <c r="X181"/>
      <c r="Y181"/>
      <c r="Z181"/>
    </row>
    <row r="182" spans="1:26" s="104" customFormat="1">
      <c r="A182" s="88" t="s">
        <v>85</v>
      </c>
      <c r="B182" s="89" t="s">
        <v>257</v>
      </c>
      <c r="C182" s="89" t="s">
        <v>43</v>
      </c>
      <c r="D182" s="103">
        <v>100088690</v>
      </c>
      <c r="E182" s="89" t="s">
        <v>45</v>
      </c>
      <c r="F182" s="89">
        <v>100072084</v>
      </c>
      <c r="G182" s="128" t="s">
        <v>274</v>
      </c>
      <c r="H182" s="166"/>
      <c r="I182" s="92"/>
      <c r="J182" s="92"/>
      <c r="K182" s="94"/>
      <c r="L182" s="92">
        <v>4.8</v>
      </c>
      <c r="M182" s="93">
        <v>9.6</v>
      </c>
      <c r="N182" s="98">
        <f t="shared" si="4"/>
        <v>7.1999999999999993</v>
      </c>
      <c r="O182" s="97">
        <v>4.8</v>
      </c>
      <c r="P182" s="92">
        <v>0</v>
      </c>
      <c r="Q182" s="98">
        <f t="shared" si="7"/>
        <v>4.8</v>
      </c>
      <c r="R182" s="99" t="str">
        <f>+IF(Q182+N182&lt;=0, "NO COMPRADOR", +IF(Q182&lt;=0, "SIN COMPRA "&amp;+UPPER(TEXT('DINAMICA ENERO 26'!$C$2,"mmm 'yy")), "COMPRADOR"))</f>
        <v>COMPRADOR</v>
      </c>
      <c r="S182"/>
      <c r="T182"/>
      <c r="U182"/>
      <c r="V182"/>
      <c r="W182"/>
      <c r="X182"/>
      <c r="Y182"/>
      <c r="Z182"/>
    </row>
    <row r="183" spans="1:26" s="100" customFormat="1">
      <c r="A183" s="88" t="s">
        <v>85</v>
      </c>
      <c r="B183" s="89" t="s">
        <v>257</v>
      </c>
      <c r="C183" s="89" t="s">
        <v>43</v>
      </c>
      <c r="D183" s="103">
        <v>100088690</v>
      </c>
      <c r="E183" s="89" t="s">
        <v>45</v>
      </c>
      <c r="F183" s="89">
        <v>100000283</v>
      </c>
      <c r="G183" s="128" t="s">
        <v>275</v>
      </c>
      <c r="H183" s="166"/>
      <c r="I183" s="92"/>
      <c r="J183" s="92"/>
      <c r="K183" s="94"/>
      <c r="L183" s="92">
        <v>43.2</v>
      </c>
      <c r="M183" s="93">
        <v>52.8</v>
      </c>
      <c r="N183" s="98">
        <f t="shared" si="4"/>
        <v>48</v>
      </c>
      <c r="O183" s="97">
        <v>24</v>
      </c>
      <c r="P183" s="92">
        <v>0</v>
      </c>
      <c r="Q183" s="98">
        <f t="shared" si="7"/>
        <v>24</v>
      </c>
      <c r="R183" s="99" t="str">
        <f>+IF(Q183+N183&lt;=0, "NO COMPRADOR", +IF(Q183&lt;=0, "SIN COMPRA "&amp;+UPPER(TEXT('DINAMICA ENERO 26'!$C$2,"mmm 'yy")), "COMPRADOR"))</f>
        <v>COMPRADOR</v>
      </c>
      <c r="S183"/>
      <c r="T183"/>
      <c r="U183"/>
      <c r="V183"/>
      <c r="W183"/>
      <c r="X183"/>
      <c r="Y183"/>
      <c r="Z183"/>
    </row>
    <row r="184" spans="1:26" s="104" customFormat="1">
      <c r="A184" s="88" t="s">
        <v>85</v>
      </c>
      <c r="B184" s="89" t="s">
        <v>257</v>
      </c>
      <c r="C184" s="89" t="s">
        <v>43</v>
      </c>
      <c r="D184" s="103">
        <v>100088690</v>
      </c>
      <c r="E184" s="89" t="s">
        <v>45</v>
      </c>
      <c r="F184" s="89">
        <v>100001254</v>
      </c>
      <c r="G184" s="128" t="s">
        <v>276</v>
      </c>
      <c r="H184" s="166"/>
      <c r="I184" s="92"/>
      <c r="J184" s="92"/>
      <c r="K184" s="94"/>
      <c r="L184" s="92">
        <v>0</v>
      </c>
      <c r="M184" s="93">
        <v>0</v>
      </c>
      <c r="N184" s="98">
        <f t="shared" si="4"/>
        <v>0</v>
      </c>
      <c r="O184" s="97">
        <v>0</v>
      </c>
      <c r="P184" s="92">
        <v>0</v>
      </c>
      <c r="Q184" s="98">
        <f t="shared" si="7"/>
        <v>0</v>
      </c>
      <c r="R184" s="99" t="str">
        <f>+IF(Q184+N184&lt;=0, "NO COMPRADOR", +IF(Q184&lt;=0, "SIN COMPRA "&amp;+UPPER(TEXT('DINAMICA ENERO 26'!$C$2,"mmm 'yy")), "COMPRADOR"))</f>
        <v>NO COMPRADOR</v>
      </c>
      <c r="S184"/>
      <c r="T184"/>
      <c r="U184"/>
      <c r="V184"/>
      <c r="W184"/>
      <c r="X184"/>
      <c r="Y184"/>
      <c r="Z184"/>
    </row>
    <row r="185" spans="1:26" s="104" customFormat="1">
      <c r="A185" s="88" t="s">
        <v>85</v>
      </c>
      <c r="B185" s="89" t="s">
        <v>257</v>
      </c>
      <c r="C185" s="89" t="s">
        <v>43</v>
      </c>
      <c r="D185" s="103">
        <v>100088690</v>
      </c>
      <c r="E185" s="89" t="s">
        <v>45</v>
      </c>
      <c r="F185" s="89">
        <v>100088794</v>
      </c>
      <c r="G185" s="128" t="s">
        <v>277</v>
      </c>
      <c r="H185" s="166"/>
      <c r="I185" s="92"/>
      <c r="J185" s="92"/>
      <c r="K185" s="94"/>
      <c r="L185" s="92">
        <v>0</v>
      </c>
      <c r="M185" s="93">
        <v>0</v>
      </c>
      <c r="N185" s="98">
        <f t="shared" si="4"/>
        <v>0</v>
      </c>
      <c r="O185" s="97">
        <v>0</v>
      </c>
      <c r="P185" s="92">
        <v>0</v>
      </c>
      <c r="Q185" s="98">
        <f t="shared" si="7"/>
        <v>0</v>
      </c>
      <c r="R185" s="99" t="str">
        <f>+IF(Q185+N185&lt;=0, "NO COMPRADOR", +IF(Q185&lt;=0, "SIN COMPRA "&amp;+UPPER(TEXT('DINAMICA ENERO 26'!$C$2,"mmm 'yy")), "COMPRADOR"))</f>
        <v>NO COMPRADOR</v>
      </c>
      <c r="S185"/>
      <c r="T185"/>
      <c r="U185"/>
      <c r="V185"/>
      <c r="W185"/>
      <c r="X185"/>
      <c r="Y185"/>
      <c r="Z185"/>
    </row>
    <row r="186" spans="1:26" s="100" customFormat="1">
      <c r="A186" s="88" t="s">
        <v>85</v>
      </c>
      <c r="B186" s="89" t="s">
        <v>257</v>
      </c>
      <c r="C186" s="89" t="s">
        <v>43</v>
      </c>
      <c r="D186" s="103">
        <v>100088690</v>
      </c>
      <c r="E186" s="89" t="s">
        <v>45</v>
      </c>
      <c r="F186" s="89">
        <v>100088316</v>
      </c>
      <c r="G186" s="128" t="s">
        <v>278</v>
      </c>
      <c r="H186" s="166"/>
      <c r="I186" s="92"/>
      <c r="J186" s="92"/>
      <c r="K186" s="94"/>
      <c r="L186" s="92">
        <v>4.8</v>
      </c>
      <c r="M186" s="93">
        <v>43.199999999999996</v>
      </c>
      <c r="N186" s="98">
        <f t="shared" si="4"/>
        <v>23.999999999999996</v>
      </c>
      <c r="O186" s="97">
        <v>76.8</v>
      </c>
      <c r="P186" s="92">
        <v>0</v>
      </c>
      <c r="Q186" s="98">
        <f t="shared" si="7"/>
        <v>76.8</v>
      </c>
      <c r="R186" s="99" t="str">
        <f>+IF(Q186+N186&lt;=0, "NO COMPRADOR", +IF(Q186&lt;=0, "SIN COMPRA "&amp;+UPPER(TEXT('DINAMICA ENERO 26'!$C$2,"mmm 'yy")), "COMPRADOR"))</f>
        <v>COMPRADOR</v>
      </c>
      <c r="S186"/>
      <c r="T186"/>
      <c r="U186"/>
      <c r="V186"/>
      <c r="W186"/>
      <c r="X186"/>
      <c r="Y186"/>
      <c r="Z186"/>
    </row>
    <row r="187" spans="1:26" s="100" customFormat="1">
      <c r="A187" s="88" t="s">
        <v>85</v>
      </c>
      <c r="B187" s="89" t="s">
        <v>257</v>
      </c>
      <c r="C187" s="89" t="s">
        <v>43</v>
      </c>
      <c r="D187" s="103">
        <v>100088690</v>
      </c>
      <c r="E187" s="89" t="s">
        <v>45</v>
      </c>
      <c r="F187" s="89">
        <v>100089468</v>
      </c>
      <c r="G187" s="128" t="s">
        <v>279</v>
      </c>
      <c r="H187" s="166"/>
      <c r="I187" s="92"/>
      <c r="J187" s="92"/>
      <c r="K187" s="94"/>
      <c r="L187" s="92">
        <v>4.8</v>
      </c>
      <c r="M187" s="93">
        <v>19.2</v>
      </c>
      <c r="N187" s="98">
        <f t="shared" si="4"/>
        <v>12</v>
      </c>
      <c r="O187" s="97">
        <v>19.2</v>
      </c>
      <c r="P187" s="92">
        <v>0</v>
      </c>
      <c r="Q187" s="98">
        <f t="shared" si="7"/>
        <v>19.2</v>
      </c>
      <c r="R187" s="99" t="str">
        <f>+IF(Q187+N187&lt;=0, "NO COMPRADOR", +IF(Q187&lt;=0, "SIN COMPRA "&amp;+UPPER(TEXT('DINAMICA ENERO 26'!$C$2,"mmm 'yy")), "COMPRADOR"))</f>
        <v>COMPRADOR</v>
      </c>
      <c r="S187"/>
      <c r="T187"/>
      <c r="U187"/>
      <c r="V187"/>
      <c r="W187"/>
      <c r="X187"/>
      <c r="Y187"/>
      <c r="Z187"/>
    </row>
    <row r="188" spans="1:26" s="100" customFormat="1">
      <c r="A188" s="88" t="s">
        <v>85</v>
      </c>
      <c r="B188" s="89" t="s">
        <v>257</v>
      </c>
      <c r="C188" s="89" t="s">
        <v>43</v>
      </c>
      <c r="D188" s="103">
        <v>100089856</v>
      </c>
      <c r="E188" s="89" t="s">
        <v>49</v>
      </c>
      <c r="F188" s="89">
        <v>100001543</v>
      </c>
      <c r="G188" s="128" t="s">
        <v>280</v>
      </c>
      <c r="H188" s="166"/>
      <c r="I188" s="92"/>
      <c r="J188" s="92"/>
      <c r="K188" s="94"/>
      <c r="L188" s="92">
        <v>4.8</v>
      </c>
      <c r="M188" s="93">
        <v>0</v>
      </c>
      <c r="N188" s="98">
        <f t="shared" si="4"/>
        <v>2.4</v>
      </c>
      <c r="O188" s="97">
        <v>0</v>
      </c>
      <c r="P188" s="92">
        <v>0</v>
      </c>
      <c r="Q188" s="98">
        <f t="shared" si="7"/>
        <v>0</v>
      </c>
      <c r="R188" s="99" t="str">
        <f>+IF(Q188+N188&lt;=0, "NO COMPRADOR", +IF(Q188&lt;=0, "SIN COMPRA "&amp;+UPPER(TEXT('DINAMICA ENERO 26'!$C$2,"mmm 'yy")), "COMPRADOR"))</f>
        <v>SIN COMPRA FEB '26</v>
      </c>
      <c r="S188"/>
      <c r="T188"/>
      <c r="U188"/>
      <c r="V188"/>
      <c r="W188"/>
      <c r="X188"/>
      <c r="Y188"/>
      <c r="Z188"/>
    </row>
    <row r="189" spans="1:26" s="104" customFormat="1">
      <c r="A189" s="88" t="s">
        <v>85</v>
      </c>
      <c r="B189" s="89" t="s">
        <v>257</v>
      </c>
      <c r="C189" s="89" t="s">
        <v>43</v>
      </c>
      <c r="D189" s="103">
        <v>100089856</v>
      </c>
      <c r="E189" s="89" t="s">
        <v>49</v>
      </c>
      <c r="F189" s="89">
        <v>100066164</v>
      </c>
      <c r="G189" s="128" t="s">
        <v>281</v>
      </c>
      <c r="H189" s="166"/>
      <c r="I189" s="92"/>
      <c r="J189" s="92"/>
      <c r="K189" s="94"/>
      <c r="L189" s="92">
        <v>19.2</v>
      </c>
      <c r="M189" s="93">
        <v>4.8</v>
      </c>
      <c r="N189" s="98">
        <f t="shared" si="4"/>
        <v>12</v>
      </c>
      <c r="O189" s="97">
        <v>19.2</v>
      </c>
      <c r="P189" s="92">
        <v>0</v>
      </c>
      <c r="Q189" s="98">
        <f t="shared" si="7"/>
        <v>19.2</v>
      </c>
      <c r="R189" s="99" t="str">
        <f>+IF(Q189+N189&lt;=0, "NO COMPRADOR", +IF(Q189&lt;=0, "SIN COMPRA "&amp;+UPPER(TEXT('DINAMICA ENERO 26'!$C$2,"mmm 'yy")), "COMPRADOR"))</f>
        <v>COMPRADOR</v>
      </c>
      <c r="S189"/>
      <c r="T189"/>
      <c r="U189"/>
      <c r="V189"/>
      <c r="W189"/>
      <c r="X189"/>
      <c r="Y189"/>
      <c r="Z189"/>
    </row>
    <row r="190" spans="1:26" s="104" customFormat="1">
      <c r="A190" s="88" t="s">
        <v>85</v>
      </c>
      <c r="B190" s="89" t="s">
        <v>257</v>
      </c>
      <c r="C190" s="89" t="s">
        <v>43</v>
      </c>
      <c r="D190" s="103">
        <v>100089856</v>
      </c>
      <c r="E190" s="89" t="s">
        <v>49</v>
      </c>
      <c r="F190" s="89">
        <v>100034611</v>
      </c>
      <c r="G190" s="128" t="s">
        <v>282</v>
      </c>
      <c r="H190" s="166"/>
      <c r="I190" s="92"/>
      <c r="J190" s="92"/>
      <c r="K190" s="94"/>
      <c r="L190" s="92">
        <v>0</v>
      </c>
      <c r="M190" s="93">
        <v>0</v>
      </c>
      <c r="N190" s="98">
        <f t="shared" si="4"/>
        <v>0</v>
      </c>
      <c r="O190" s="97">
        <v>0</v>
      </c>
      <c r="P190" s="92">
        <v>0</v>
      </c>
      <c r="Q190" s="98">
        <f t="shared" si="7"/>
        <v>0</v>
      </c>
      <c r="R190" s="99" t="str">
        <f>+IF(Q190+N190&lt;=0, "NO COMPRADOR", +IF(Q190&lt;=0, "SIN COMPRA "&amp;+UPPER(TEXT('DINAMICA ENERO 26'!$C$2,"mmm 'yy")), "COMPRADOR"))</f>
        <v>NO COMPRADOR</v>
      </c>
      <c r="S190"/>
      <c r="T190"/>
      <c r="U190"/>
      <c r="V190"/>
      <c r="W190"/>
      <c r="X190"/>
      <c r="Y190"/>
      <c r="Z190"/>
    </row>
    <row r="191" spans="1:26" s="104" customFormat="1">
      <c r="A191" s="88" t="s">
        <v>85</v>
      </c>
      <c r="B191" s="89" t="s">
        <v>257</v>
      </c>
      <c r="C191" s="89" t="s">
        <v>43</v>
      </c>
      <c r="D191" s="103">
        <v>100089856</v>
      </c>
      <c r="E191" s="89" t="s">
        <v>49</v>
      </c>
      <c r="F191" s="89">
        <v>100001907</v>
      </c>
      <c r="G191" s="128" t="s">
        <v>283</v>
      </c>
      <c r="H191" s="166"/>
      <c r="I191" s="92"/>
      <c r="J191" s="92"/>
      <c r="K191" s="94"/>
      <c r="L191" s="92">
        <v>288</v>
      </c>
      <c r="M191" s="93">
        <v>0</v>
      </c>
      <c r="N191" s="98">
        <f t="shared" si="4"/>
        <v>144</v>
      </c>
      <c r="O191" s="97">
        <v>0</v>
      </c>
      <c r="P191" s="92">
        <v>0</v>
      </c>
      <c r="Q191" s="98">
        <f t="shared" si="7"/>
        <v>0</v>
      </c>
      <c r="R191" s="99" t="str">
        <f>+IF(Q191+N191&lt;=0, "NO COMPRADOR", +IF(Q191&lt;=0, "SIN COMPRA "&amp;+UPPER(TEXT('DINAMICA ENERO 26'!$C$2,"mmm 'yy")), "COMPRADOR"))</f>
        <v>SIN COMPRA FEB '26</v>
      </c>
      <c r="S191"/>
      <c r="T191"/>
      <c r="U191"/>
      <c r="V191"/>
      <c r="W191"/>
      <c r="X191"/>
      <c r="Y191"/>
      <c r="Z191"/>
    </row>
    <row r="192" spans="1:26" s="104" customFormat="1">
      <c r="A192" s="88" t="s">
        <v>85</v>
      </c>
      <c r="B192" s="89" t="s">
        <v>257</v>
      </c>
      <c r="C192" s="89" t="s">
        <v>43</v>
      </c>
      <c r="D192" s="103">
        <v>100089856</v>
      </c>
      <c r="E192" s="89" t="s">
        <v>49</v>
      </c>
      <c r="F192" s="89">
        <v>100068177</v>
      </c>
      <c r="G192" s="128" t="s">
        <v>284</v>
      </c>
      <c r="H192" s="166"/>
      <c r="I192" s="92"/>
      <c r="J192" s="92"/>
      <c r="K192" s="94"/>
      <c r="L192" s="92">
        <v>28.799999999999997</v>
      </c>
      <c r="M192" s="93">
        <v>38.4</v>
      </c>
      <c r="N192" s="98">
        <f t="shared" si="4"/>
        <v>33.599999999999994</v>
      </c>
      <c r="O192" s="97">
        <v>0</v>
      </c>
      <c r="P192" s="92">
        <v>0</v>
      </c>
      <c r="Q192" s="98">
        <f t="shared" si="7"/>
        <v>0</v>
      </c>
      <c r="R192" s="99" t="str">
        <f>+IF(Q192+N192&lt;=0, "NO COMPRADOR", +IF(Q192&lt;=0, "SIN COMPRA "&amp;+UPPER(TEXT('DINAMICA ENERO 26'!$C$2,"mmm 'yy")), "COMPRADOR"))</f>
        <v>SIN COMPRA FEB '26</v>
      </c>
      <c r="S192"/>
      <c r="T192"/>
      <c r="U192"/>
      <c r="V192"/>
      <c r="W192"/>
      <c r="X192"/>
      <c r="Y192"/>
      <c r="Z192"/>
    </row>
    <row r="193" spans="1:26" s="100" customFormat="1">
      <c r="A193" s="88" t="s">
        <v>85</v>
      </c>
      <c r="B193" s="89" t="s">
        <v>257</v>
      </c>
      <c r="C193" s="89" t="s">
        <v>43</v>
      </c>
      <c r="D193" s="103">
        <v>100089856</v>
      </c>
      <c r="E193" s="89" t="s">
        <v>49</v>
      </c>
      <c r="F193" s="89">
        <v>100062882</v>
      </c>
      <c r="G193" s="128" t="s">
        <v>285</v>
      </c>
      <c r="H193" s="166"/>
      <c r="I193" s="92"/>
      <c r="J193" s="92"/>
      <c r="K193" s="94"/>
      <c r="L193" s="92">
        <v>4.8</v>
      </c>
      <c r="M193" s="93">
        <v>4.8</v>
      </c>
      <c r="N193" s="98">
        <f t="shared" si="4"/>
        <v>4.8</v>
      </c>
      <c r="O193" s="97">
        <v>0</v>
      </c>
      <c r="P193" s="92">
        <v>0</v>
      </c>
      <c r="Q193" s="98">
        <f t="shared" si="7"/>
        <v>0</v>
      </c>
      <c r="R193" s="99" t="str">
        <f>+IF(Q193+N193&lt;=0, "NO COMPRADOR", +IF(Q193&lt;=0, "SIN COMPRA "&amp;+UPPER(TEXT('DINAMICA ENERO 26'!$C$2,"mmm 'yy")), "COMPRADOR"))</f>
        <v>SIN COMPRA FEB '26</v>
      </c>
      <c r="S193"/>
      <c r="T193"/>
      <c r="U193"/>
      <c r="V193"/>
      <c r="W193"/>
      <c r="X193"/>
      <c r="Y193"/>
      <c r="Z193"/>
    </row>
    <row r="194" spans="1:26" s="104" customFormat="1">
      <c r="A194" s="88" t="s">
        <v>85</v>
      </c>
      <c r="B194" s="89" t="s">
        <v>257</v>
      </c>
      <c r="C194" s="89" t="s">
        <v>43</v>
      </c>
      <c r="D194" s="103">
        <v>100089856</v>
      </c>
      <c r="E194" s="89" t="s">
        <v>49</v>
      </c>
      <c r="F194" s="89">
        <v>100001936</v>
      </c>
      <c r="G194" s="128" t="s">
        <v>286</v>
      </c>
      <c r="H194" s="166"/>
      <c r="I194" s="92"/>
      <c r="J194" s="92"/>
      <c r="K194" s="94"/>
      <c r="L194" s="92">
        <v>4.8</v>
      </c>
      <c r="M194" s="93">
        <v>0</v>
      </c>
      <c r="N194" s="98">
        <f t="shared" si="4"/>
        <v>2.4</v>
      </c>
      <c r="O194" s="97">
        <v>4.8</v>
      </c>
      <c r="P194" s="92">
        <v>0</v>
      </c>
      <c r="Q194" s="98">
        <f t="shared" si="7"/>
        <v>4.8</v>
      </c>
      <c r="R194" s="99" t="str">
        <f>+IF(Q194+N194&lt;=0, "NO COMPRADOR", +IF(Q194&lt;=0, "SIN COMPRA "&amp;+UPPER(TEXT('DINAMICA ENERO 26'!$C$2,"mmm 'yy")), "COMPRADOR"))</f>
        <v>COMPRADOR</v>
      </c>
      <c r="S194"/>
      <c r="T194"/>
      <c r="U194"/>
      <c r="V194"/>
      <c r="W194"/>
      <c r="X194"/>
      <c r="Y194"/>
      <c r="Z194"/>
    </row>
    <row r="195" spans="1:26" s="104" customFormat="1">
      <c r="A195" s="88" t="s">
        <v>85</v>
      </c>
      <c r="B195" s="89" t="s">
        <v>257</v>
      </c>
      <c r="C195" s="89" t="s">
        <v>43</v>
      </c>
      <c r="D195" s="103">
        <v>100089856</v>
      </c>
      <c r="E195" s="89" t="s">
        <v>49</v>
      </c>
      <c r="F195" s="89">
        <v>100001513</v>
      </c>
      <c r="G195" s="128" t="s">
        <v>287</v>
      </c>
      <c r="H195" s="166"/>
      <c r="I195" s="92"/>
      <c r="J195" s="92"/>
      <c r="K195" s="94"/>
      <c r="L195" s="92">
        <v>0</v>
      </c>
      <c r="M195" s="93">
        <v>0</v>
      </c>
      <c r="N195" s="98">
        <f t="shared" ref="N195:N258" si="8">AVERAGE(L195,M195)</f>
        <v>0</v>
      </c>
      <c r="O195" s="97">
        <v>0</v>
      </c>
      <c r="P195" s="92">
        <v>0</v>
      </c>
      <c r="Q195" s="98">
        <f t="shared" si="7"/>
        <v>0</v>
      </c>
      <c r="R195" s="99" t="str">
        <f>+IF(Q195+N195&lt;=0, "NO COMPRADOR", +IF(Q195&lt;=0, "SIN COMPRA "&amp;+UPPER(TEXT('DINAMICA ENERO 26'!$C$2,"mmm 'yy")), "COMPRADOR"))</f>
        <v>NO COMPRADOR</v>
      </c>
      <c r="S195"/>
      <c r="T195"/>
      <c r="U195"/>
      <c r="V195"/>
      <c r="W195"/>
      <c r="X195"/>
      <c r="Y195"/>
      <c r="Z195"/>
    </row>
    <row r="196" spans="1:26" s="104" customFormat="1">
      <c r="A196" s="88" t="s">
        <v>85</v>
      </c>
      <c r="B196" s="89" t="s">
        <v>257</v>
      </c>
      <c r="C196" s="89" t="s">
        <v>43</v>
      </c>
      <c r="D196" s="103">
        <v>100089856</v>
      </c>
      <c r="E196" s="89" t="s">
        <v>49</v>
      </c>
      <c r="F196" s="89">
        <v>100059754</v>
      </c>
      <c r="G196" s="128" t="s">
        <v>288</v>
      </c>
      <c r="H196" s="166"/>
      <c r="I196" s="92"/>
      <c r="J196" s="92"/>
      <c r="K196" s="94"/>
      <c r="L196" s="92">
        <v>4.8</v>
      </c>
      <c r="M196" s="93">
        <v>0</v>
      </c>
      <c r="N196" s="98">
        <f t="shared" si="8"/>
        <v>2.4</v>
      </c>
      <c r="O196" s="97">
        <v>0</v>
      </c>
      <c r="P196" s="92">
        <v>0</v>
      </c>
      <c r="Q196" s="98">
        <f t="shared" si="7"/>
        <v>0</v>
      </c>
      <c r="R196" s="99" t="str">
        <f>+IF(Q196+N196&lt;=0, "NO COMPRADOR", +IF(Q196&lt;=0, "SIN COMPRA "&amp;+UPPER(TEXT('DINAMICA ENERO 26'!$C$2,"mmm 'yy")), "COMPRADOR"))</f>
        <v>SIN COMPRA FEB '26</v>
      </c>
      <c r="S196"/>
      <c r="T196"/>
      <c r="U196"/>
      <c r="V196"/>
      <c r="W196"/>
      <c r="X196"/>
      <c r="Y196"/>
      <c r="Z196"/>
    </row>
    <row r="197" spans="1:26" s="100" customFormat="1">
      <c r="A197" s="88" t="s">
        <v>85</v>
      </c>
      <c r="B197" s="89" t="s">
        <v>257</v>
      </c>
      <c r="C197" s="89" t="s">
        <v>43</v>
      </c>
      <c r="D197" s="103">
        <v>100089856</v>
      </c>
      <c r="E197" s="89" t="s">
        <v>49</v>
      </c>
      <c r="F197" s="89">
        <v>100064962</v>
      </c>
      <c r="G197" s="128" t="s">
        <v>289</v>
      </c>
      <c r="H197" s="166"/>
      <c r="I197" s="92"/>
      <c r="J197" s="92"/>
      <c r="K197" s="94"/>
      <c r="L197" s="92">
        <v>0</v>
      </c>
      <c r="M197" s="93">
        <v>0</v>
      </c>
      <c r="N197" s="98">
        <f t="shared" si="8"/>
        <v>0</v>
      </c>
      <c r="O197" s="97">
        <v>0</v>
      </c>
      <c r="P197" s="92">
        <v>0</v>
      </c>
      <c r="Q197" s="98">
        <f t="shared" si="7"/>
        <v>0</v>
      </c>
      <c r="R197" s="99" t="str">
        <f>+IF(Q197+N197&lt;=0, "NO COMPRADOR", +IF(Q197&lt;=0, "SIN COMPRA "&amp;+UPPER(TEXT('DINAMICA ENERO 26'!$C$2,"mmm 'yy")), "COMPRADOR"))</f>
        <v>NO COMPRADOR</v>
      </c>
      <c r="S197"/>
      <c r="T197"/>
      <c r="U197"/>
      <c r="V197"/>
      <c r="W197"/>
      <c r="X197"/>
      <c r="Y197"/>
      <c r="Z197"/>
    </row>
    <row r="198" spans="1:26" s="100" customFormat="1">
      <c r="A198" s="88" t="s">
        <v>85</v>
      </c>
      <c r="B198" s="89" t="s">
        <v>257</v>
      </c>
      <c r="C198" s="89" t="s">
        <v>43</v>
      </c>
      <c r="D198" s="103">
        <v>100067806</v>
      </c>
      <c r="E198" s="89" t="s">
        <v>50</v>
      </c>
      <c r="F198" s="89">
        <v>100001979</v>
      </c>
      <c r="G198" s="128" t="s">
        <v>290</v>
      </c>
      <c r="H198" s="166"/>
      <c r="I198" s="92"/>
      <c r="J198" s="92"/>
      <c r="K198" s="94"/>
      <c r="L198" s="92">
        <v>0</v>
      </c>
      <c r="M198" s="93">
        <v>0</v>
      </c>
      <c r="N198" s="98">
        <f t="shared" si="8"/>
        <v>0</v>
      </c>
      <c r="O198" s="97">
        <v>0</v>
      </c>
      <c r="P198" s="92">
        <v>0</v>
      </c>
      <c r="Q198" s="98">
        <f t="shared" si="7"/>
        <v>0</v>
      </c>
      <c r="R198" s="99" t="str">
        <f>+IF(Q198+N198&lt;=0, "NO COMPRADOR", +IF(Q198&lt;=0, "SIN COMPRA "&amp;+UPPER(TEXT('DINAMICA ENERO 26'!$C$2,"mmm 'yy")), "COMPRADOR"))</f>
        <v>NO COMPRADOR</v>
      </c>
      <c r="S198"/>
      <c r="T198"/>
      <c r="U198"/>
      <c r="V198"/>
      <c r="W198"/>
      <c r="X198"/>
      <c r="Y198"/>
      <c r="Z198"/>
    </row>
    <row r="199" spans="1:26" s="104" customFormat="1">
      <c r="A199" s="88" t="s">
        <v>85</v>
      </c>
      <c r="B199" s="89" t="s">
        <v>257</v>
      </c>
      <c r="C199" s="89" t="s">
        <v>43</v>
      </c>
      <c r="D199" s="103">
        <v>100067806</v>
      </c>
      <c r="E199" s="89" t="s">
        <v>50</v>
      </c>
      <c r="F199" s="89">
        <v>100002252</v>
      </c>
      <c r="G199" s="128" t="s">
        <v>291</v>
      </c>
      <c r="H199" s="166"/>
      <c r="I199" s="92"/>
      <c r="J199" s="92"/>
      <c r="K199" s="94"/>
      <c r="L199" s="92">
        <v>0</v>
      </c>
      <c r="M199" s="93">
        <v>0</v>
      </c>
      <c r="N199" s="98">
        <f t="shared" si="8"/>
        <v>0</v>
      </c>
      <c r="O199" s="97">
        <v>0</v>
      </c>
      <c r="P199" s="92">
        <v>0</v>
      </c>
      <c r="Q199" s="98">
        <f t="shared" si="7"/>
        <v>0</v>
      </c>
      <c r="R199" s="99" t="str">
        <f>+IF(Q199+N199&lt;=0, "NO COMPRADOR", +IF(Q199&lt;=0, "SIN COMPRA "&amp;+UPPER(TEXT('DINAMICA ENERO 26'!$C$2,"mmm 'yy")), "COMPRADOR"))</f>
        <v>NO COMPRADOR</v>
      </c>
      <c r="S199"/>
      <c r="T199"/>
      <c r="U199"/>
      <c r="V199"/>
      <c r="W199"/>
      <c r="X199"/>
      <c r="Y199"/>
      <c r="Z199"/>
    </row>
    <row r="200" spans="1:26" s="100" customFormat="1">
      <c r="A200" s="88" t="s">
        <v>85</v>
      </c>
      <c r="B200" s="89" t="s">
        <v>257</v>
      </c>
      <c r="C200" s="89" t="s">
        <v>43</v>
      </c>
      <c r="D200" s="103">
        <v>100067806</v>
      </c>
      <c r="E200" s="89" t="s">
        <v>50</v>
      </c>
      <c r="F200" s="89">
        <v>100085225</v>
      </c>
      <c r="G200" s="128" t="s">
        <v>292</v>
      </c>
      <c r="H200" s="166"/>
      <c r="I200" s="92"/>
      <c r="J200" s="92"/>
      <c r="K200" s="94"/>
      <c r="L200" s="92">
        <v>0</v>
      </c>
      <c r="M200" s="93">
        <v>0</v>
      </c>
      <c r="N200" s="98">
        <f t="shared" si="8"/>
        <v>0</v>
      </c>
      <c r="O200" s="97">
        <v>0</v>
      </c>
      <c r="P200" s="92">
        <v>0</v>
      </c>
      <c r="Q200" s="98">
        <f t="shared" si="7"/>
        <v>0</v>
      </c>
      <c r="R200" s="99" t="str">
        <f>+IF(Q200+N200&lt;=0, "NO COMPRADOR", +IF(Q200&lt;=0, "SIN COMPRA "&amp;+UPPER(TEXT('DINAMICA ENERO 26'!$C$2,"mmm 'yy")), "COMPRADOR"))</f>
        <v>NO COMPRADOR</v>
      </c>
      <c r="S200"/>
      <c r="T200"/>
      <c r="U200"/>
      <c r="V200"/>
      <c r="W200"/>
      <c r="X200"/>
      <c r="Y200"/>
      <c r="Z200"/>
    </row>
    <row r="201" spans="1:26" s="100" customFormat="1">
      <c r="A201" s="88" t="s">
        <v>85</v>
      </c>
      <c r="B201" s="89" t="s">
        <v>257</v>
      </c>
      <c r="C201" s="89" t="s">
        <v>43</v>
      </c>
      <c r="D201" s="103">
        <v>100067806</v>
      </c>
      <c r="E201" s="89" t="s">
        <v>50</v>
      </c>
      <c r="F201" s="89">
        <v>100001891</v>
      </c>
      <c r="G201" s="128" t="s">
        <v>293</v>
      </c>
      <c r="H201" s="166"/>
      <c r="I201" s="92"/>
      <c r="J201" s="92"/>
      <c r="K201" s="94"/>
      <c r="L201" s="92">
        <v>4.8</v>
      </c>
      <c r="M201" s="93">
        <v>9.6</v>
      </c>
      <c r="N201" s="98">
        <f t="shared" si="8"/>
        <v>7.1999999999999993</v>
      </c>
      <c r="O201" s="97">
        <v>38.4</v>
      </c>
      <c r="P201" s="92">
        <v>0</v>
      </c>
      <c r="Q201" s="98">
        <f t="shared" si="7"/>
        <v>38.4</v>
      </c>
      <c r="R201" s="99" t="str">
        <f>+IF(Q201+N201&lt;=0, "NO COMPRADOR", +IF(Q201&lt;=0, "SIN COMPRA "&amp;+UPPER(TEXT('DINAMICA ENERO 26'!$C$2,"mmm 'yy")), "COMPRADOR"))</f>
        <v>COMPRADOR</v>
      </c>
      <c r="S201"/>
      <c r="T201"/>
      <c r="U201"/>
      <c r="V201"/>
      <c r="W201"/>
      <c r="X201"/>
      <c r="Y201"/>
      <c r="Z201"/>
    </row>
    <row r="202" spans="1:26" s="100" customFormat="1">
      <c r="A202" s="88" t="s">
        <v>85</v>
      </c>
      <c r="B202" s="89" t="s">
        <v>257</v>
      </c>
      <c r="C202" s="89" t="s">
        <v>43</v>
      </c>
      <c r="D202" s="103">
        <v>100067806</v>
      </c>
      <c r="E202" s="89" t="s">
        <v>50</v>
      </c>
      <c r="F202" s="89">
        <v>100001593</v>
      </c>
      <c r="G202" s="128" t="s">
        <v>294</v>
      </c>
      <c r="H202" s="166"/>
      <c r="I202" s="92"/>
      <c r="J202" s="92"/>
      <c r="K202" s="94"/>
      <c r="L202" s="92">
        <v>9.6</v>
      </c>
      <c r="M202" s="93">
        <v>38.4</v>
      </c>
      <c r="N202" s="98">
        <f t="shared" si="8"/>
        <v>24</v>
      </c>
      <c r="O202" s="97">
        <v>-4.8</v>
      </c>
      <c r="P202" s="92">
        <v>0</v>
      </c>
      <c r="Q202" s="98">
        <f t="shared" si="7"/>
        <v>-4.8</v>
      </c>
      <c r="R202" s="99" t="str">
        <f>+IF(Q202+N202&lt;=0, "NO COMPRADOR", +IF(Q202&lt;=0, "SIN COMPRA "&amp;+UPPER(TEXT('DINAMICA ENERO 26'!$C$2,"mmm 'yy")), "COMPRADOR"))</f>
        <v>SIN COMPRA FEB '26</v>
      </c>
      <c r="S202"/>
      <c r="T202"/>
      <c r="U202"/>
      <c r="V202"/>
      <c r="W202"/>
      <c r="X202"/>
      <c r="Y202"/>
      <c r="Z202"/>
    </row>
    <row r="203" spans="1:26" s="104" customFormat="1">
      <c r="A203" s="88" t="s">
        <v>85</v>
      </c>
      <c r="B203" s="89" t="s">
        <v>257</v>
      </c>
      <c r="C203" s="89" t="s">
        <v>43</v>
      </c>
      <c r="D203" s="103">
        <v>100067806</v>
      </c>
      <c r="E203" s="89" t="s">
        <v>50</v>
      </c>
      <c r="F203" s="89">
        <v>100081330</v>
      </c>
      <c r="G203" s="128" t="s">
        <v>295</v>
      </c>
      <c r="H203" s="166"/>
      <c r="I203" s="92"/>
      <c r="J203" s="92"/>
      <c r="K203" s="94"/>
      <c r="L203" s="92">
        <v>0</v>
      </c>
      <c r="M203" s="93">
        <v>0</v>
      </c>
      <c r="N203" s="98">
        <f t="shared" si="8"/>
        <v>0</v>
      </c>
      <c r="O203" s="97">
        <v>0</v>
      </c>
      <c r="P203" s="92">
        <v>0</v>
      </c>
      <c r="Q203" s="98">
        <f t="shared" si="7"/>
        <v>0</v>
      </c>
      <c r="R203" s="99" t="str">
        <f>+IF(Q203+N203&lt;=0, "NO COMPRADOR", +IF(Q203&lt;=0, "SIN COMPRA "&amp;+UPPER(TEXT('DINAMICA ENERO 26'!$C$2,"mmm 'yy")), "COMPRADOR"))</f>
        <v>NO COMPRADOR</v>
      </c>
      <c r="S203"/>
      <c r="T203"/>
      <c r="U203"/>
      <c r="V203"/>
      <c r="W203"/>
      <c r="X203"/>
      <c r="Y203"/>
      <c r="Z203"/>
    </row>
    <row r="204" spans="1:26" s="100" customFormat="1">
      <c r="A204" s="88" t="s">
        <v>85</v>
      </c>
      <c r="B204" s="89" t="s">
        <v>257</v>
      </c>
      <c r="C204" s="89" t="s">
        <v>43</v>
      </c>
      <c r="D204" s="103">
        <v>100067806</v>
      </c>
      <c r="E204" s="89" t="s">
        <v>50</v>
      </c>
      <c r="F204" s="89">
        <v>100079383</v>
      </c>
      <c r="G204" s="128" t="s">
        <v>296</v>
      </c>
      <c r="H204" s="166"/>
      <c r="I204" s="92"/>
      <c r="J204" s="92"/>
      <c r="K204" s="94"/>
      <c r="L204" s="92">
        <v>0</v>
      </c>
      <c r="M204" s="93">
        <v>0</v>
      </c>
      <c r="N204" s="98">
        <f t="shared" si="8"/>
        <v>0</v>
      </c>
      <c r="O204" s="97">
        <v>0</v>
      </c>
      <c r="P204" s="92">
        <v>0</v>
      </c>
      <c r="Q204" s="98">
        <f t="shared" si="7"/>
        <v>0</v>
      </c>
      <c r="R204" s="99" t="str">
        <f>+IF(Q204+N204&lt;=0, "NO COMPRADOR", +IF(Q204&lt;=0, "SIN COMPRA "&amp;+UPPER(TEXT('DINAMICA ENERO 26'!$C$2,"mmm 'yy")), "COMPRADOR"))</f>
        <v>NO COMPRADOR</v>
      </c>
      <c r="S204"/>
      <c r="T204"/>
      <c r="U204"/>
      <c r="V204"/>
      <c r="W204"/>
      <c r="X204"/>
      <c r="Y204"/>
      <c r="Z204"/>
    </row>
    <row r="205" spans="1:26" s="100" customFormat="1">
      <c r="A205" s="88" t="s">
        <v>85</v>
      </c>
      <c r="B205" s="89" t="s">
        <v>257</v>
      </c>
      <c r="C205" s="89" t="s">
        <v>43</v>
      </c>
      <c r="D205" s="103">
        <v>100067806</v>
      </c>
      <c r="E205" s="89" t="s">
        <v>50</v>
      </c>
      <c r="F205" s="89">
        <v>100079030</v>
      </c>
      <c r="G205" s="128" t="s">
        <v>297</v>
      </c>
      <c r="H205" s="166"/>
      <c r="I205" s="92"/>
      <c r="J205" s="92"/>
      <c r="K205" s="94"/>
      <c r="L205" s="92">
        <v>4.8</v>
      </c>
      <c r="M205" s="93">
        <v>24</v>
      </c>
      <c r="N205" s="98">
        <f t="shared" si="8"/>
        <v>14.4</v>
      </c>
      <c r="O205" s="97">
        <v>0</v>
      </c>
      <c r="P205" s="92">
        <v>0</v>
      </c>
      <c r="Q205" s="98">
        <f t="shared" si="7"/>
        <v>0</v>
      </c>
      <c r="R205" s="99" t="str">
        <f>+IF(Q205+N205&lt;=0, "NO COMPRADOR", +IF(Q205&lt;=0, "SIN COMPRA "&amp;+UPPER(TEXT('DINAMICA ENERO 26'!$C$2,"mmm 'yy")), "COMPRADOR"))</f>
        <v>SIN COMPRA FEB '26</v>
      </c>
      <c r="S205"/>
      <c r="T205"/>
      <c r="U205"/>
      <c r="V205"/>
      <c r="W205"/>
      <c r="X205"/>
      <c r="Y205"/>
      <c r="Z205"/>
    </row>
    <row r="206" spans="1:26" s="100" customFormat="1">
      <c r="A206" s="88" t="s">
        <v>85</v>
      </c>
      <c r="B206" s="89" t="s">
        <v>257</v>
      </c>
      <c r="C206" s="89" t="s">
        <v>43</v>
      </c>
      <c r="D206" s="103">
        <v>100067806</v>
      </c>
      <c r="E206" s="89" t="s">
        <v>50</v>
      </c>
      <c r="F206" s="89">
        <v>100024035</v>
      </c>
      <c r="G206" s="128" t="s">
        <v>298</v>
      </c>
      <c r="H206" s="166"/>
      <c r="I206" s="92"/>
      <c r="J206" s="92"/>
      <c r="K206" s="94"/>
      <c r="L206" s="92">
        <v>4.8</v>
      </c>
      <c r="M206" s="93">
        <v>19.199999999999996</v>
      </c>
      <c r="N206" s="98">
        <f t="shared" si="8"/>
        <v>11.999999999999998</v>
      </c>
      <c r="O206" s="97">
        <v>14.399999999999999</v>
      </c>
      <c r="P206" s="92">
        <v>0</v>
      </c>
      <c r="Q206" s="98">
        <f t="shared" si="7"/>
        <v>14.399999999999999</v>
      </c>
      <c r="R206" s="99" t="str">
        <f>+IF(Q206+N206&lt;=0, "NO COMPRADOR", +IF(Q206&lt;=0, "SIN COMPRA "&amp;+UPPER(TEXT('DINAMICA ENERO 26'!$C$2,"mmm 'yy")), "COMPRADOR"))</f>
        <v>COMPRADOR</v>
      </c>
      <c r="S206"/>
      <c r="T206"/>
      <c r="U206"/>
      <c r="V206"/>
      <c r="W206"/>
      <c r="X206"/>
      <c r="Y206"/>
      <c r="Z206"/>
    </row>
    <row r="207" spans="1:26" s="104" customFormat="1">
      <c r="A207" s="88" t="s">
        <v>85</v>
      </c>
      <c r="B207" s="89" t="s">
        <v>257</v>
      </c>
      <c r="C207" s="89" t="s">
        <v>43</v>
      </c>
      <c r="D207" s="103">
        <v>100067806</v>
      </c>
      <c r="E207" s="89" t="s">
        <v>50</v>
      </c>
      <c r="F207" s="89">
        <v>100054056</v>
      </c>
      <c r="G207" s="128" t="s">
        <v>299</v>
      </c>
      <c r="H207" s="166"/>
      <c r="I207" s="92"/>
      <c r="J207" s="92"/>
      <c r="K207" s="94"/>
      <c r="L207" s="92">
        <v>38.4</v>
      </c>
      <c r="M207" s="93">
        <v>9.6</v>
      </c>
      <c r="N207" s="98">
        <f t="shared" si="8"/>
        <v>24</v>
      </c>
      <c r="O207" s="97">
        <v>0</v>
      </c>
      <c r="P207" s="92">
        <v>0</v>
      </c>
      <c r="Q207" s="98">
        <f t="shared" si="7"/>
        <v>0</v>
      </c>
      <c r="R207" s="99" t="str">
        <f>+IF(Q207+N207&lt;=0, "NO COMPRADOR", +IF(Q207&lt;=0, "SIN COMPRA "&amp;+UPPER(TEXT('DINAMICA ENERO 26'!$C$2,"mmm 'yy")), "COMPRADOR"))</f>
        <v>SIN COMPRA FEB '26</v>
      </c>
      <c r="S207"/>
      <c r="T207"/>
      <c r="U207"/>
      <c r="V207"/>
      <c r="W207"/>
      <c r="X207"/>
      <c r="Y207"/>
      <c r="Z207"/>
    </row>
    <row r="208" spans="1:26" s="100" customFormat="1">
      <c r="A208" s="88" t="s">
        <v>85</v>
      </c>
      <c r="B208" s="89" t="s">
        <v>257</v>
      </c>
      <c r="C208" s="89" t="s">
        <v>43</v>
      </c>
      <c r="D208" s="103">
        <v>100067806</v>
      </c>
      <c r="E208" s="89" t="s">
        <v>50</v>
      </c>
      <c r="F208" s="89">
        <v>100076315</v>
      </c>
      <c r="G208" s="128" t="s">
        <v>300</v>
      </c>
      <c r="H208" s="166"/>
      <c r="I208" s="92"/>
      <c r="J208" s="92"/>
      <c r="K208" s="94"/>
      <c r="L208" s="92">
        <v>57.599999999999994</v>
      </c>
      <c r="M208" s="93">
        <v>0</v>
      </c>
      <c r="N208" s="98">
        <f t="shared" si="8"/>
        <v>28.799999999999997</v>
      </c>
      <c r="O208" s="97">
        <v>24</v>
      </c>
      <c r="P208" s="92">
        <v>57.6</v>
      </c>
      <c r="Q208" s="98">
        <f t="shared" si="7"/>
        <v>81.599999999999994</v>
      </c>
      <c r="R208" s="99" t="str">
        <f>+IF(Q208+N208&lt;=0, "NO COMPRADOR", +IF(Q208&lt;=0, "SIN COMPRA "&amp;+UPPER(TEXT('DINAMICA ENERO 26'!$C$2,"mmm 'yy")), "COMPRADOR"))</f>
        <v>COMPRADOR</v>
      </c>
      <c r="S208"/>
      <c r="T208"/>
      <c r="U208"/>
      <c r="V208"/>
      <c r="W208"/>
      <c r="X208"/>
      <c r="Y208"/>
      <c r="Z208"/>
    </row>
    <row r="209" spans="1:26" s="100" customFormat="1">
      <c r="A209" s="88" t="s">
        <v>85</v>
      </c>
      <c r="B209" s="89" t="s">
        <v>257</v>
      </c>
      <c r="C209" s="89" t="s">
        <v>43</v>
      </c>
      <c r="D209" s="103">
        <v>100067806</v>
      </c>
      <c r="E209" s="89" t="s">
        <v>50</v>
      </c>
      <c r="F209" s="89">
        <v>100002218</v>
      </c>
      <c r="G209" s="128" t="s">
        <v>301</v>
      </c>
      <c r="H209" s="166"/>
      <c r="I209" s="92"/>
      <c r="J209" s="92"/>
      <c r="K209" s="94"/>
      <c r="L209" s="92">
        <v>0</v>
      </c>
      <c r="M209" s="93">
        <v>0</v>
      </c>
      <c r="N209" s="98">
        <f t="shared" si="8"/>
        <v>0</v>
      </c>
      <c r="O209" s="97">
        <v>0</v>
      </c>
      <c r="P209" s="92">
        <v>0</v>
      </c>
      <c r="Q209" s="98">
        <f t="shared" si="7"/>
        <v>0</v>
      </c>
      <c r="R209" s="99" t="str">
        <f>+IF(Q209+N209&lt;=0, "NO COMPRADOR", +IF(Q209&lt;=0, "SIN COMPRA "&amp;+UPPER(TEXT('DINAMICA ENERO 26'!$C$2,"mmm 'yy")), "COMPRADOR"))</f>
        <v>NO COMPRADOR</v>
      </c>
      <c r="S209"/>
      <c r="T209"/>
      <c r="U209"/>
      <c r="V209"/>
      <c r="W209"/>
      <c r="X209"/>
      <c r="Y209"/>
      <c r="Z209"/>
    </row>
    <row r="210" spans="1:26" s="100" customFormat="1">
      <c r="A210" s="88" t="s">
        <v>85</v>
      </c>
      <c r="B210" s="89" t="s">
        <v>257</v>
      </c>
      <c r="C210" s="89" t="s">
        <v>43</v>
      </c>
      <c r="D210" s="103">
        <v>100067806</v>
      </c>
      <c r="E210" s="89" t="s">
        <v>50</v>
      </c>
      <c r="F210" s="89">
        <v>100076218</v>
      </c>
      <c r="G210" s="128" t="s">
        <v>302</v>
      </c>
      <c r="H210" s="166"/>
      <c r="I210" s="92"/>
      <c r="J210" s="92"/>
      <c r="K210" s="94"/>
      <c r="L210" s="92">
        <v>4.8</v>
      </c>
      <c r="M210" s="93">
        <v>-4.8</v>
      </c>
      <c r="N210" s="98">
        <f t="shared" si="8"/>
        <v>0</v>
      </c>
      <c r="O210" s="97">
        <v>0</v>
      </c>
      <c r="P210" s="92">
        <v>0</v>
      </c>
      <c r="Q210" s="98">
        <f t="shared" si="7"/>
        <v>0</v>
      </c>
      <c r="R210" s="99" t="str">
        <f>+IF(Q210+N210&lt;=0, "NO COMPRADOR", +IF(Q210&lt;=0, "SIN COMPRA "&amp;+UPPER(TEXT('DINAMICA ENERO 26'!$C$2,"mmm 'yy")), "COMPRADOR"))</f>
        <v>NO COMPRADOR</v>
      </c>
      <c r="S210"/>
      <c r="T210"/>
      <c r="U210"/>
      <c r="V210"/>
      <c r="W210"/>
      <c r="X210"/>
      <c r="Y210"/>
      <c r="Z210"/>
    </row>
    <row r="211" spans="1:26" s="100" customFormat="1">
      <c r="A211" s="88" t="s">
        <v>85</v>
      </c>
      <c r="B211" s="89" t="s">
        <v>257</v>
      </c>
      <c r="C211" s="89" t="s">
        <v>43</v>
      </c>
      <c r="D211" s="103">
        <v>100067806</v>
      </c>
      <c r="E211" s="89" t="s">
        <v>50</v>
      </c>
      <c r="F211" s="89">
        <v>100071903</v>
      </c>
      <c r="G211" s="128" t="s">
        <v>303</v>
      </c>
      <c r="H211" s="166"/>
      <c r="I211" s="92"/>
      <c r="J211" s="92"/>
      <c r="K211" s="94"/>
      <c r="L211" s="92">
        <v>0</v>
      </c>
      <c r="M211" s="93">
        <v>0</v>
      </c>
      <c r="N211" s="98">
        <f t="shared" si="8"/>
        <v>0</v>
      </c>
      <c r="O211" s="97">
        <v>0</v>
      </c>
      <c r="P211" s="92">
        <v>0</v>
      </c>
      <c r="Q211" s="98">
        <f t="shared" si="7"/>
        <v>0</v>
      </c>
      <c r="R211" s="99" t="str">
        <f>+IF(Q211+N211&lt;=0, "NO COMPRADOR", +IF(Q211&lt;=0, "SIN COMPRA "&amp;+UPPER(TEXT('DINAMICA ENERO 26'!$C$2,"mmm 'yy")), "COMPRADOR"))</f>
        <v>NO COMPRADOR</v>
      </c>
      <c r="S211"/>
      <c r="T211"/>
      <c r="U211"/>
      <c r="V211"/>
      <c r="W211"/>
      <c r="X211"/>
      <c r="Y211"/>
      <c r="Z211"/>
    </row>
    <row r="212" spans="1:26" s="104" customFormat="1">
      <c r="A212" s="88" t="s">
        <v>85</v>
      </c>
      <c r="B212" s="89" t="s">
        <v>257</v>
      </c>
      <c r="C212" s="89" t="s">
        <v>43</v>
      </c>
      <c r="D212" s="103">
        <v>100067806</v>
      </c>
      <c r="E212" s="89" t="s">
        <v>50</v>
      </c>
      <c r="F212" s="89">
        <v>100080254</v>
      </c>
      <c r="G212" s="128" t="s">
        <v>304</v>
      </c>
      <c r="H212" s="166"/>
      <c r="I212" s="92"/>
      <c r="J212" s="92"/>
      <c r="K212" s="94"/>
      <c r="L212" s="92">
        <v>0</v>
      </c>
      <c r="M212" s="93">
        <v>0</v>
      </c>
      <c r="N212" s="98">
        <f t="shared" si="8"/>
        <v>0</v>
      </c>
      <c r="O212" s="97">
        <v>0</v>
      </c>
      <c r="P212" s="92">
        <v>0</v>
      </c>
      <c r="Q212" s="98">
        <f t="shared" si="7"/>
        <v>0</v>
      </c>
      <c r="R212" s="99" t="str">
        <f>+IF(Q212+N212&lt;=0, "NO COMPRADOR", +IF(Q212&lt;=0, "SIN COMPRA "&amp;+UPPER(TEXT('DINAMICA ENERO 26'!$C$2,"mmm 'yy")), "COMPRADOR"))</f>
        <v>NO COMPRADOR</v>
      </c>
      <c r="S212"/>
      <c r="T212"/>
      <c r="U212"/>
      <c r="V212"/>
      <c r="W212"/>
      <c r="X212"/>
      <c r="Y212"/>
      <c r="Z212"/>
    </row>
    <row r="213" spans="1:26" s="104" customFormat="1">
      <c r="A213" s="88" t="s">
        <v>85</v>
      </c>
      <c r="B213" s="89" t="s">
        <v>257</v>
      </c>
      <c r="C213" s="89" t="s">
        <v>43</v>
      </c>
      <c r="D213" s="103">
        <v>100067806</v>
      </c>
      <c r="E213" s="89" t="s">
        <v>50</v>
      </c>
      <c r="F213" s="89">
        <v>100080176</v>
      </c>
      <c r="G213" s="128" t="s">
        <v>305</v>
      </c>
      <c r="H213" s="166"/>
      <c r="I213" s="92"/>
      <c r="J213" s="92"/>
      <c r="K213" s="94"/>
      <c r="L213" s="92">
        <v>0</v>
      </c>
      <c r="M213" s="93">
        <v>4.8</v>
      </c>
      <c r="N213" s="98">
        <f t="shared" si="8"/>
        <v>2.4</v>
      </c>
      <c r="O213" s="97">
        <v>0</v>
      </c>
      <c r="P213" s="92">
        <v>0</v>
      </c>
      <c r="Q213" s="98">
        <f t="shared" si="7"/>
        <v>0</v>
      </c>
      <c r="R213" s="99" t="str">
        <f>+IF(Q213+N213&lt;=0, "NO COMPRADOR", +IF(Q213&lt;=0, "SIN COMPRA "&amp;+UPPER(TEXT('DINAMICA ENERO 26'!$C$2,"mmm 'yy")), "COMPRADOR"))</f>
        <v>SIN COMPRA FEB '26</v>
      </c>
      <c r="S213"/>
      <c r="T213"/>
      <c r="U213"/>
      <c r="V213"/>
      <c r="W213"/>
      <c r="X213"/>
      <c r="Y213"/>
      <c r="Z213"/>
    </row>
    <row r="214" spans="1:26" s="100" customFormat="1">
      <c r="A214" s="88" t="s">
        <v>85</v>
      </c>
      <c r="B214" s="89" t="s">
        <v>257</v>
      </c>
      <c r="C214" s="89" t="s">
        <v>43</v>
      </c>
      <c r="D214" s="103">
        <v>100067806</v>
      </c>
      <c r="E214" s="89" t="s">
        <v>50</v>
      </c>
      <c r="F214" s="89">
        <v>100085312</v>
      </c>
      <c r="G214" s="128" t="s">
        <v>306</v>
      </c>
      <c r="H214" s="166"/>
      <c r="I214" s="92"/>
      <c r="J214" s="92"/>
      <c r="K214" s="94"/>
      <c r="L214" s="92">
        <v>0</v>
      </c>
      <c r="M214" s="93">
        <v>0</v>
      </c>
      <c r="N214" s="98">
        <f t="shared" si="8"/>
        <v>0</v>
      </c>
      <c r="O214" s="97">
        <v>0</v>
      </c>
      <c r="P214" s="92">
        <v>4.8</v>
      </c>
      <c r="Q214" s="98">
        <f t="shared" si="7"/>
        <v>4.8</v>
      </c>
      <c r="R214" s="99" t="str">
        <f>+IF(Q214+N214&lt;=0, "NO COMPRADOR", +IF(Q214&lt;=0, "SIN COMPRA "&amp;+UPPER(TEXT('DINAMICA ENERO 26'!$C$2,"mmm 'yy")), "COMPRADOR"))</f>
        <v>COMPRADOR</v>
      </c>
      <c r="S214"/>
      <c r="T214"/>
      <c r="U214"/>
      <c r="V214"/>
      <c r="W214"/>
      <c r="X214"/>
      <c r="Y214"/>
      <c r="Z214"/>
    </row>
    <row r="215" spans="1:26" s="100" customFormat="1">
      <c r="A215" s="88" t="s">
        <v>85</v>
      </c>
      <c r="B215" s="89" t="s">
        <v>257</v>
      </c>
      <c r="C215" s="89" t="s">
        <v>43</v>
      </c>
      <c r="D215" s="103">
        <v>100067806</v>
      </c>
      <c r="E215" s="89" t="s">
        <v>50</v>
      </c>
      <c r="F215" s="89">
        <v>100076730</v>
      </c>
      <c r="G215" s="128" t="s">
        <v>307</v>
      </c>
      <c r="H215" s="166"/>
      <c r="I215" s="92"/>
      <c r="J215" s="92"/>
      <c r="K215" s="94"/>
      <c r="L215" s="92">
        <v>0</v>
      </c>
      <c r="M215" s="93">
        <v>0</v>
      </c>
      <c r="N215" s="98">
        <f t="shared" si="8"/>
        <v>0</v>
      </c>
      <c r="O215" s="97">
        <v>0</v>
      </c>
      <c r="P215" s="92">
        <v>4.8</v>
      </c>
      <c r="Q215" s="98">
        <f t="shared" si="7"/>
        <v>4.8</v>
      </c>
      <c r="R215" s="99" t="str">
        <f>+IF(Q215+N215&lt;=0, "NO COMPRADOR", +IF(Q215&lt;=0, "SIN COMPRA "&amp;+UPPER(TEXT('DINAMICA ENERO 26'!$C$2,"mmm 'yy")), "COMPRADOR"))</f>
        <v>COMPRADOR</v>
      </c>
      <c r="S215"/>
      <c r="T215"/>
      <c r="U215"/>
      <c r="V215"/>
      <c r="W215"/>
      <c r="X215"/>
      <c r="Y215"/>
      <c r="Z215"/>
    </row>
    <row r="216" spans="1:26" s="100" customFormat="1">
      <c r="A216" s="88" t="s">
        <v>85</v>
      </c>
      <c r="B216" s="89" t="s">
        <v>257</v>
      </c>
      <c r="C216" s="89" t="s">
        <v>43</v>
      </c>
      <c r="D216" s="103">
        <v>100067806</v>
      </c>
      <c r="E216" s="89" t="s">
        <v>50</v>
      </c>
      <c r="F216" s="89">
        <v>100009892</v>
      </c>
      <c r="G216" s="128" t="s">
        <v>308</v>
      </c>
      <c r="H216" s="166"/>
      <c r="I216" s="92"/>
      <c r="J216" s="92"/>
      <c r="K216" s="94"/>
      <c r="L216" s="92">
        <v>0</v>
      </c>
      <c r="M216" s="93">
        <v>0</v>
      </c>
      <c r="N216" s="98">
        <f t="shared" si="8"/>
        <v>0</v>
      </c>
      <c r="O216" s="97">
        <v>0</v>
      </c>
      <c r="P216" s="92">
        <v>0</v>
      </c>
      <c r="Q216" s="98">
        <f t="shared" si="7"/>
        <v>0</v>
      </c>
      <c r="R216" s="99" t="str">
        <f>+IF(Q216+N216&lt;=0, "NO COMPRADOR", +IF(Q216&lt;=0, "SIN COMPRA "&amp;+UPPER(TEXT('DINAMICA ENERO 26'!$C$2,"mmm 'yy")), "COMPRADOR"))</f>
        <v>NO COMPRADOR</v>
      </c>
      <c r="S216"/>
      <c r="T216"/>
      <c r="U216"/>
      <c r="V216"/>
      <c r="W216"/>
      <c r="X216"/>
      <c r="Y216"/>
      <c r="Z216"/>
    </row>
    <row r="217" spans="1:26" s="104" customFormat="1">
      <c r="A217" s="88" t="s">
        <v>85</v>
      </c>
      <c r="B217" s="89" t="s">
        <v>257</v>
      </c>
      <c r="C217" s="89" t="s">
        <v>43</v>
      </c>
      <c r="D217" s="103">
        <v>100067806</v>
      </c>
      <c r="E217" s="89" t="s">
        <v>50</v>
      </c>
      <c r="F217" s="89">
        <v>100063728</v>
      </c>
      <c r="G217" s="128" t="s">
        <v>309</v>
      </c>
      <c r="H217" s="166"/>
      <c r="I217" s="92"/>
      <c r="J217" s="92"/>
      <c r="K217" s="94"/>
      <c r="L217" s="92">
        <v>240</v>
      </c>
      <c r="M217" s="93">
        <v>19.2</v>
      </c>
      <c r="N217" s="98">
        <f t="shared" si="8"/>
        <v>129.6</v>
      </c>
      <c r="O217" s="97">
        <v>0</v>
      </c>
      <c r="P217" s="92">
        <v>0</v>
      </c>
      <c r="Q217" s="98">
        <f t="shared" si="7"/>
        <v>0</v>
      </c>
      <c r="R217" s="99" t="str">
        <f>+IF(Q217+N217&lt;=0, "NO COMPRADOR", +IF(Q217&lt;=0, "SIN COMPRA "&amp;+UPPER(TEXT('DINAMICA ENERO 26'!$C$2,"mmm 'yy")), "COMPRADOR"))</f>
        <v>SIN COMPRA FEB '26</v>
      </c>
      <c r="S217"/>
      <c r="T217"/>
      <c r="U217"/>
      <c r="V217"/>
      <c r="W217"/>
      <c r="X217"/>
      <c r="Y217"/>
      <c r="Z217"/>
    </row>
    <row r="218" spans="1:26" s="100" customFormat="1">
      <c r="A218" s="88" t="s">
        <v>85</v>
      </c>
      <c r="B218" s="89" t="s">
        <v>257</v>
      </c>
      <c r="C218" s="89" t="s">
        <v>43</v>
      </c>
      <c r="D218" s="103">
        <v>100067806</v>
      </c>
      <c r="E218" s="89" t="s">
        <v>50</v>
      </c>
      <c r="F218" s="89">
        <v>100084491</v>
      </c>
      <c r="G218" s="128" t="s">
        <v>310</v>
      </c>
      <c r="H218" s="166"/>
      <c r="I218" s="92"/>
      <c r="J218" s="92"/>
      <c r="K218" s="94"/>
      <c r="L218" s="92">
        <v>0</v>
      </c>
      <c r="M218" s="93">
        <v>0</v>
      </c>
      <c r="N218" s="98">
        <f t="shared" si="8"/>
        <v>0</v>
      </c>
      <c r="O218" s="97">
        <v>0</v>
      </c>
      <c r="P218" s="92">
        <v>0</v>
      </c>
      <c r="Q218" s="98">
        <f t="shared" si="7"/>
        <v>0</v>
      </c>
      <c r="R218" s="99" t="str">
        <f>+IF(Q218+N218&lt;=0, "NO COMPRADOR", +IF(Q218&lt;=0, "SIN COMPRA "&amp;+UPPER(TEXT('DINAMICA ENERO 26'!$C$2,"mmm 'yy")), "COMPRADOR"))</f>
        <v>NO COMPRADOR</v>
      </c>
      <c r="S218"/>
      <c r="T218"/>
      <c r="U218"/>
      <c r="V218"/>
      <c r="W218"/>
      <c r="X218"/>
      <c r="Y218"/>
      <c r="Z218"/>
    </row>
    <row r="219" spans="1:26" s="100" customFormat="1">
      <c r="A219" s="88" t="s">
        <v>85</v>
      </c>
      <c r="B219" s="89" t="s">
        <v>257</v>
      </c>
      <c r="C219" s="89" t="s">
        <v>43</v>
      </c>
      <c r="D219" s="103">
        <v>100067806</v>
      </c>
      <c r="E219" s="89" t="s">
        <v>50</v>
      </c>
      <c r="F219" s="89">
        <v>100062883</v>
      </c>
      <c r="G219" s="128" t="s">
        <v>311</v>
      </c>
      <c r="H219" s="166"/>
      <c r="I219" s="92"/>
      <c r="J219" s="92"/>
      <c r="K219" s="94"/>
      <c r="L219" s="92">
        <v>0</v>
      </c>
      <c r="M219" s="93">
        <v>0</v>
      </c>
      <c r="N219" s="98">
        <f t="shared" si="8"/>
        <v>0</v>
      </c>
      <c r="O219" s="97">
        <v>9.6</v>
      </c>
      <c r="P219" s="92">
        <v>0</v>
      </c>
      <c r="Q219" s="98">
        <f t="shared" si="7"/>
        <v>9.6</v>
      </c>
      <c r="R219" s="99" t="str">
        <f>+IF(Q219+N219&lt;=0, "NO COMPRADOR", +IF(Q219&lt;=0, "SIN COMPRA "&amp;+UPPER(TEXT('DINAMICA ENERO 26'!$C$2,"mmm 'yy")), "COMPRADOR"))</f>
        <v>COMPRADOR</v>
      </c>
      <c r="S219"/>
      <c r="T219"/>
      <c r="U219"/>
      <c r="V219"/>
      <c r="W219"/>
      <c r="X219"/>
      <c r="Y219"/>
      <c r="Z219"/>
    </row>
    <row r="220" spans="1:26" s="100" customFormat="1">
      <c r="A220" s="88" t="s">
        <v>85</v>
      </c>
      <c r="B220" s="89" t="s">
        <v>257</v>
      </c>
      <c r="C220" s="89" t="s">
        <v>43</v>
      </c>
      <c r="D220" s="103">
        <v>100067806</v>
      </c>
      <c r="E220" s="89" t="s">
        <v>50</v>
      </c>
      <c r="F220" s="89">
        <v>100014014</v>
      </c>
      <c r="G220" s="128" t="s">
        <v>312</v>
      </c>
      <c r="H220" s="166"/>
      <c r="I220" s="92"/>
      <c r="J220" s="92"/>
      <c r="K220" s="94"/>
      <c r="L220" s="92">
        <v>9.6</v>
      </c>
      <c r="M220" s="93">
        <v>9.6</v>
      </c>
      <c r="N220" s="98">
        <f t="shared" si="8"/>
        <v>9.6</v>
      </c>
      <c r="O220" s="97">
        <v>0</v>
      </c>
      <c r="P220" s="92">
        <v>0</v>
      </c>
      <c r="Q220" s="98">
        <f t="shared" si="7"/>
        <v>0</v>
      </c>
      <c r="R220" s="99" t="str">
        <f>+IF(Q220+N220&lt;=0, "NO COMPRADOR", +IF(Q220&lt;=0, "SIN COMPRA "&amp;+UPPER(TEXT('DINAMICA ENERO 26'!$C$2,"mmm 'yy")), "COMPRADOR"))</f>
        <v>SIN COMPRA FEB '26</v>
      </c>
      <c r="S220"/>
      <c r="T220"/>
      <c r="U220"/>
      <c r="V220"/>
      <c r="W220"/>
      <c r="X220"/>
      <c r="Y220"/>
      <c r="Z220"/>
    </row>
    <row r="221" spans="1:26" s="104" customFormat="1">
      <c r="A221" s="88" t="s">
        <v>85</v>
      </c>
      <c r="B221" s="89" t="s">
        <v>257</v>
      </c>
      <c r="C221" s="89" t="s">
        <v>43</v>
      </c>
      <c r="D221" s="103">
        <v>100067806</v>
      </c>
      <c r="E221" s="89" t="s">
        <v>50</v>
      </c>
      <c r="F221" s="89">
        <v>100088613</v>
      </c>
      <c r="G221" s="128" t="s">
        <v>313</v>
      </c>
      <c r="H221" s="166"/>
      <c r="I221" s="92"/>
      <c r="J221" s="92"/>
      <c r="K221" s="94"/>
      <c r="L221" s="92">
        <v>4.8</v>
      </c>
      <c r="M221" s="93">
        <v>0</v>
      </c>
      <c r="N221" s="98">
        <f t="shared" si="8"/>
        <v>2.4</v>
      </c>
      <c r="O221" s="97">
        <v>14.399999999999999</v>
      </c>
      <c r="P221" s="92">
        <v>0</v>
      </c>
      <c r="Q221" s="98">
        <f t="shared" si="7"/>
        <v>14.399999999999999</v>
      </c>
      <c r="R221" s="99" t="str">
        <f>+IF(Q221+N221&lt;=0, "NO COMPRADOR", +IF(Q221&lt;=0, "SIN COMPRA "&amp;+UPPER(TEXT('DINAMICA ENERO 26'!$C$2,"mmm 'yy")), "COMPRADOR"))</f>
        <v>COMPRADOR</v>
      </c>
      <c r="S221"/>
      <c r="T221"/>
      <c r="U221"/>
      <c r="V221"/>
      <c r="W221"/>
      <c r="X221"/>
      <c r="Y221"/>
      <c r="Z221"/>
    </row>
    <row r="222" spans="1:26" s="104" customFormat="1">
      <c r="A222" s="88" t="s">
        <v>85</v>
      </c>
      <c r="B222" s="89" t="s">
        <v>257</v>
      </c>
      <c r="C222" s="89" t="s">
        <v>43</v>
      </c>
      <c r="D222" s="103">
        <v>100067806</v>
      </c>
      <c r="E222" s="89" t="s">
        <v>50</v>
      </c>
      <c r="F222" s="89">
        <v>100001513</v>
      </c>
      <c r="G222" s="128" t="s">
        <v>287</v>
      </c>
      <c r="H222" s="166"/>
      <c r="I222" s="92"/>
      <c r="J222" s="92"/>
      <c r="K222" s="94"/>
      <c r="L222" s="92">
        <v>0</v>
      </c>
      <c r="M222" s="93">
        <v>38.4</v>
      </c>
      <c r="N222" s="98">
        <f t="shared" si="8"/>
        <v>19.2</v>
      </c>
      <c r="O222" s="97">
        <v>0</v>
      </c>
      <c r="P222" s="92">
        <v>0</v>
      </c>
      <c r="Q222" s="98">
        <f t="shared" si="7"/>
        <v>0</v>
      </c>
      <c r="R222" s="99" t="str">
        <f>+IF(Q222+N222&lt;=0, "NO COMPRADOR", +IF(Q222&lt;=0, "SIN COMPRA "&amp;+UPPER(TEXT('DINAMICA ENERO 26'!$C$2,"mmm 'yy")), "COMPRADOR"))</f>
        <v>SIN COMPRA FEB '26</v>
      </c>
      <c r="S222"/>
      <c r="T222"/>
      <c r="U222"/>
      <c r="V222"/>
      <c r="W222"/>
      <c r="X222"/>
      <c r="Y222"/>
      <c r="Z222"/>
    </row>
    <row r="223" spans="1:26" s="100" customFormat="1">
      <c r="A223" s="88" t="s">
        <v>85</v>
      </c>
      <c r="B223" s="89" t="s">
        <v>257</v>
      </c>
      <c r="C223" s="89" t="s">
        <v>43</v>
      </c>
      <c r="D223" s="103">
        <v>100067806</v>
      </c>
      <c r="E223" s="89" t="s">
        <v>50</v>
      </c>
      <c r="F223" s="89">
        <v>100001295</v>
      </c>
      <c r="G223" s="128" t="s">
        <v>314</v>
      </c>
      <c r="H223" s="166"/>
      <c r="I223" s="92"/>
      <c r="J223" s="92"/>
      <c r="K223" s="94"/>
      <c r="L223" s="92">
        <v>0</v>
      </c>
      <c r="M223" s="93">
        <v>0</v>
      </c>
      <c r="N223" s="98">
        <f t="shared" si="8"/>
        <v>0</v>
      </c>
      <c r="O223" s="97">
        <v>0</v>
      </c>
      <c r="P223" s="92">
        <v>0</v>
      </c>
      <c r="Q223" s="98">
        <f t="shared" si="7"/>
        <v>0</v>
      </c>
      <c r="R223" s="99" t="str">
        <f>+IF(Q223+N223&lt;=0, "NO COMPRADOR", +IF(Q223&lt;=0, "SIN COMPRA "&amp;+UPPER(TEXT('DINAMICA ENERO 26'!$C$2,"mmm 'yy")), "COMPRADOR"))</f>
        <v>NO COMPRADOR</v>
      </c>
      <c r="S223"/>
      <c r="T223"/>
      <c r="U223"/>
      <c r="V223"/>
      <c r="W223"/>
      <c r="X223"/>
      <c r="Y223"/>
      <c r="Z223"/>
    </row>
    <row r="224" spans="1:26" s="100" customFormat="1">
      <c r="A224" s="88" t="s">
        <v>85</v>
      </c>
      <c r="B224" s="89" t="s">
        <v>315</v>
      </c>
      <c r="C224" s="89" t="s">
        <v>43</v>
      </c>
      <c r="D224" s="103">
        <v>100063546</v>
      </c>
      <c r="E224" s="89" t="s">
        <v>46</v>
      </c>
      <c r="F224" s="89">
        <v>100001979</v>
      </c>
      <c r="G224" s="128" t="s">
        <v>290</v>
      </c>
      <c r="H224" s="166"/>
      <c r="I224" s="92"/>
      <c r="J224" s="92"/>
      <c r="K224" s="94"/>
      <c r="L224" s="92">
        <v>9.6</v>
      </c>
      <c r="M224" s="93">
        <v>0</v>
      </c>
      <c r="N224" s="98">
        <f t="shared" si="8"/>
        <v>4.8</v>
      </c>
      <c r="O224" s="97">
        <v>0</v>
      </c>
      <c r="P224" s="92">
        <v>0</v>
      </c>
      <c r="Q224" s="98">
        <f t="shared" si="7"/>
        <v>0</v>
      </c>
      <c r="R224" s="99" t="str">
        <f>+IF(Q224+N224&lt;=0, "NO COMPRADOR", +IF(Q224&lt;=0, "SIN COMPRA "&amp;+UPPER(TEXT('DINAMICA ENERO 26'!$C$2,"mmm 'yy")), "COMPRADOR"))</f>
        <v>SIN COMPRA FEB '26</v>
      </c>
      <c r="S224"/>
      <c r="T224"/>
      <c r="U224"/>
      <c r="V224"/>
      <c r="W224"/>
      <c r="X224"/>
      <c r="Y224"/>
      <c r="Z224"/>
    </row>
    <row r="225" spans="1:26" s="100" customFormat="1">
      <c r="A225" s="88" t="s">
        <v>85</v>
      </c>
      <c r="B225" s="89" t="s">
        <v>315</v>
      </c>
      <c r="C225" s="89" t="s">
        <v>43</v>
      </c>
      <c r="D225" s="103">
        <v>100063546</v>
      </c>
      <c r="E225" s="89" t="s">
        <v>46</v>
      </c>
      <c r="F225" s="89">
        <v>100001709</v>
      </c>
      <c r="G225" s="128" t="s">
        <v>316</v>
      </c>
      <c r="H225" s="166"/>
      <c r="I225" s="92"/>
      <c r="J225" s="92"/>
      <c r="K225" s="94"/>
      <c r="L225" s="92">
        <v>9.6</v>
      </c>
      <c r="M225" s="93">
        <v>4.8</v>
      </c>
      <c r="N225" s="98">
        <f t="shared" si="8"/>
        <v>7.1999999999999993</v>
      </c>
      <c r="O225" s="97">
        <v>0</v>
      </c>
      <c r="P225" s="92">
        <v>28.8</v>
      </c>
      <c r="Q225" s="98">
        <f t="shared" si="7"/>
        <v>28.8</v>
      </c>
      <c r="R225" s="99" t="str">
        <f>+IF(Q225+N225&lt;=0, "NO COMPRADOR", +IF(Q225&lt;=0, "SIN COMPRA "&amp;+UPPER(TEXT('DINAMICA ENERO 26'!$C$2,"mmm 'yy")), "COMPRADOR"))</f>
        <v>COMPRADOR</v>
      </c>
      <c r="S225"/>
      <c r="T225"/>
      <c r="U225"/>
      <c r="V225"/>
      <c r="W225"/>
      <c r="X225"/>
      <c r="Y225"/>
      <c r="Z225"/>
    </row>
    <row r="226" spans="1:26" s="100" customFormat="1">
      <c r="A226" s="88" t="s">
        <v>85</v>
      </c>
      <c r="B226" s="89" t="s">
        <v>315</v>
      </c>
      <c r="C226" s="89" t="s">
        <v>43</v>
      </c>
      <c r="D226" s="103">
        <v>100063546</v>
      </c>
      <c r="E226" s="89" t="s">
        <v>46</v>
      </c>
      <c r="F226" s="89">
        <v>100001939</v>
      </c>
      <c r="G226" s="128" t="s">
        <v>317</v>
      </c>
      <c r="H226" s="166"/>
      <c r="I226" s="92"/>
      <c r="J226" s="92"/>
      <c r="K226" s="94"/>
      <c r="L226" s="92">
        <v>24</v>
      </c>
      <c r="M226" s="93">
        <v>19.2</v>
      </c>
      <c r="N226" s="98">
        <f t="shared" si="8"/>
        <v>21.6</v>
      </c>
      <c r="O226" s="97">
        <v>0</v>
      </c>
      <c r="P226" s="92">
        <v>0</v>
      </c>
      <c r="Q226" s="98">
        <f t="shared" si="7"/>
        <v>0</v>
      </c>
      <c r="R226" s="99" t="str">
        <f>+IF(Q226+N226&lt;=0, "NO COMPRADOR", +IF(Q226&lt;=0, "SIN COMPRA "&amp;+UPPER(TEXT('DINAMICA ENERO 26'!$C$2,"mmm 'yy")), "COMPRADOR"))</f>
        <v>SIN COMPRA FEB '26</v>
      </c>
      <c r="S226"/>
      <c r="T226"/>
      <c r="U226"/>
      <c r="V226"/>
      <c r="W226"/>
      <c r="X226"/>
      <c r="Y226"/>
      <c r="Z226"/>
    </row>
    <row r="227" spans="1:26" s="100" customFormat="1">
      <c r="A227" s="88" t="s">
        <v>85</v>
      </c>
      <c r="B227" s="89" t="s">
        <v>315</v>
      </c>
      <c r="C227" s="89" t="s">
        <v>43</v>
      </c>
      <c r="D227" s="103">
        <v>100063546</v>
      </c>
      <c r="E227" s="89" t="s">
        <v>46</v>
      </c>
      <c r="F227" s="89">
        <v>100065432</v>
      </c>
      <c r="G227" s="128" t="s">
        <v>318</v>
      </c>
      <c r="H227" s="166"/>
      <c r="I227" s="92"/>
      <c r="J227" s="92"/>
      <c r="K227" s="94"/>
      <c r="L227" s="92">
        <v>4.8</v>
      </c>
      <c r="M227" s="93">
        <v>4.8</v>
      </c>
      <c r="N227" s="98">
        <f t="shared" si="8"/>
        <v>4.8</v>
      </c>
      <c r="O227" s="97">
        <v>9.6</v>
      </c>
      <c r="P227" s="92">
        <v>0</v>
      </c>
      <c r="Q227" s="98">
        <f t="shared" si="7"/>
        <v>9.6</v>
      </c>
      <c r="R227" s="99" t="str">
        <f>+IF(Q227+N227&lt;=0, "NO COMPRADOR", +IF(Q227&lt;=0, "SIN COMPRA "&amp;+UPPER(TEXT('DINAMICA ENERO 26'!$C$2,"mmm 'yy")), "COMPRADOR"))</f>
        <v>COMPRADOR</v>
      </c>
      <c r="S227"/>
      <c r="T227"/>
      <c r="U227"/>
      <c r="V227"/>
      <c r="W227"/>
      <c r="X227"/>
      <c r="Y227"/>
      <c r="Z227"/>
    </row>
    <row r="228" spans="1:26" s="100" customFormat="1">
      <c r="A228" s="88" t="s">
        <v>85</v>
      </c>
      <c r="B228" s="89" t="s">
        <v>315</v>
      </c>
      <c r="C228" s="89" t="s">
        <v>43</v>
      </c>
      <c r="D228" s="103">
        <v>100063546</v>
      </c>
      <c r="E228" s="89" t="s">
        <v>46</v>
      </c>
      <c r="F228" s="89">
        <v>100084929</v>
      </c>
      <c r="G228" s="128" t="s">
        <v>319</v>
      </c>
      <c r="H228" s="166"/>
      <c r="I228" s="92"/>
      <c r="J228" s="92"/>
      <c r="K228" s="94"/>
      <c r="L228" s="92">
        <v>0</v>
      </c>
      <c r="M228" s="93">
        <v>0</v>
      </c>
      <c r="N228" s="98">
        <f t="shared" si="8"/>
        <v>0</v>
      </c>
      <c r="O228" s="97">
        <v>0</v>
      </c>
      <c r="P228" s="92">
        <v>0</v>
      </c>
      <c r="Q228" s="98">
        <f t="shared" si="7"/>
        <v>0</v>
      </c>
      <c r="R228" s="99" t="str">
        <f>+IF(Q228+N228&lt;=0, "NO COMPRADOR", +IF(Q228&lt;=0, "SIN COMPRA "&amp;+UPPER(TEXT('DINAMICA ENERO 26'!$C$2,"mmm 'yy")), "COMPRADOR"))</f>
        <v>NO COMPRADOR</v>
      </c>
      <c r="S228"/>
      <c r="T228"/>
      <c r="U228"/>
      <c r="V228"/>
      <c r="W228"/>
      <c r="X228"/>
      <c r="Y228"/>
      <c r="Z228"/>
    </row>
    <row r="229" spans="1:26" s="104" customFormat="1">
      <c r="A229" s="88" t="s">
        <v>85</v>
      </c>
      <c r="B229" s="89" t="s">
        <v>315</v>
      </c>
      <c r="C229" s="89" t="s">
        <v>43</v>
      </c>
      <c r="D229" s="103">
        <v>100063546</v>
      </c>
      <c r="E229" s="89" t="s">
        <v>46</v>
      </c>
      <c r="F229" s="89">
        <v>100001196</v>
      </c>
      <c r="G229" s="128" t="s">
        <v>320</v>
      </c>
      <c r="H229" s="166"/>
      <c r="I229" s="92"/>
      <c r="J229" s="92"/>
      <c r="K229" s="94"/>
      <c r="L229" s="92">
        <v>0</v>
      </c>
      <c r="M229" s="93">
        <v>0</v>
      </c>
      <c r="N229" s="98">
        <f t="shared" si="8"/>
        <v>0</v>
      </c>
      <c r="O229" s="97">
        <v>0</v>
      </c>
      <c r="P229" s="92">
        <v>0</v>
      </c>
      <c r="Q229" s="98">
        <f t="shared" si="7"/>
        <v>0</v>
      </c>
      <c r="R229" s="99" t="str">
        <f>+IF(Q229+N229&lt;=0, "NO COMPRADOR", +IF(Q229&lt;=0, "SIN COMPRA "&amp;+UPPER(TEXT('DINAMICA ENERO 26'!$C$2,"mmm 'yy")), "COMPRADOR"))</f>
        <v>NO COMPRADOR</v>
      </c>
      <c r="S229"/>
      <c r="T229"/>
      <c r="U229"/>
      <c r="V229"/>
      <c r="W229"/>
      <c r="X229"/>
      <c r="Y229"/>
      <c r="Z229"/>
    </row>
    <row r="230" spans="1:26" s="100" customFormat="1">
      <c r="A230" s="88" t="s">
        <v>85</v>
      </c>
      <c r="B230" s="89" t="s">
        <v>315</v>
      </c>
      <c r="C230" s="89" t="s">
        <v>43</v>
      </c>
      <c r="D230" s="103">
        <v>100063546</v>
      </c>
      <c r="E230" s="89" t="s">
        <v>46</v>
      </c>
      <c r="F230" s="89">
        <v>100005901</v>
      </c>
      <c r="G230" s="128" t="s">
        <v>321</v>
      </c>
      <c r="H230" s="166"/>
      <c r="I230" s="92"/>
      <c r="J230" s="92"/>
      <c r="K230" s="94"/>
      <c r="L230" s="92">
        <v>0</v>
      </c>
      <c r="M230" s="93">
        <v>0</v>
      </c>
      <c r="N230" s="98">
        <f t="shared" si="8"/>
        <v>0</v>
      </c>
      <c r="O230" s="97">
        <v>0</v>
      </c>
      <c r="P230" s="92">
        <v>0</v>
      </c>
      <c r="Q230" s="98">
        <f t="shared" si="7"/>
        <v>0</v>
      </c>
      <c r="R230" s="99" t="str">
        <f>+IF(Q230+N230&lt;=0, "NO COMPRADOR", +IF(Q230&lt;=0, "SIN COMPRA "&amp;+UPPER(TEXT('DINAMICA ENERO 26'!$C$2,"mmm 'yy")), "COMPRADOR"))</f>
        <v>NO COMPRADOR</v>
      </c>
      <c r="S230"/>
      <c r="T230"/>
      <c r="U230"/>
      <c r="V230"/>
      <c r="W230"/>
      <c r="X230"/>
      <c r="Y230"/>
      <c r="Z230"/>
    </row>
    <row r="231" spans="1:26" s="100" customFormat="1">
      <c r="A231" s="88" t="s">
        <v>85</v>
      </c>
      <c r="B231" s="89" t="s">
        <v>315</v>
      </c>
      <c r="C231" s="89" t="s">
        <v>43</v>
      </c>
      <c r="D231" s="103">
        <v>100063546</v>
      </c>
      <c r="E231" s="89" t="s">
        <v>46</v>
      </c>
      <c r="F231" s="89">
        <v>100015382</v>
      </c>
      <c r="G231" s="128" t="s">
        <v>322</v>
      </c>
      <c r="H231" s="166"/>
      <c r="I231" s="92"/>
      <c r="J231" s="92"/>
      <c r="K231" s="94"/>
      <c r="L231" s="92">
        <v>0</v>
      </c>
      <c r="M231" s="93">
        <v>0</v>
      </c>
      <c r="N231" s="98">
        <f t="shared" si="8"/>
        <v>0</v>
      </c>
      <c r="O231" s="97">
        <v>0</v>
      </c>
      <c r="P231" s="92">
        <v>0</v>
      </c>
      <c r="Q231" s="98">
        <f t="shared" ref="Q231:Q294" si="9">+O231+P231</f>
        <v>0</v>
      </c>
      <c r="R231" s="99" t="str">
        <f>+IF(Q231+N231&lt;=0, "NO COMPRADOR", +IF(Q231&lt;=0, "SIN COMPRA "&amp;+UPPER(TEXT('DINAMICA ENERO 26'!$C$2,"mmm 'yy")), "COMPRADOR"))</f>
        <v>NO COMPRADOR</v>
      </c>
      <c r="S231"/>
      <c r="T231"/>
      <c r="U231"/>
      <c r="V231"/>
      <c r="W231"/>
      <c r="X231"/>
      <c r="Y231"/>
      <c r="Z231"/>
    </row>
    <row r="232" spans="1:26" s="104" customFormat="1">
      <c r="A232" s="88" t="s">
        <v>85</v>
      </c>
      <c r="B232" s="89" t="s">
        <v>315</v>
      </c>
      <c r="C232" s="89" t="s">
        <v>43</v>
      </c>
      <c r="D232" s="103">
        <v>100063546</v>
      </c>
      <c r="E232" s="89" t="s">
        <v>46</v>
      </c>
      <c r="F232" s="89">
        <v>100001715</v>
      </c>
      <c r="G232" s="128" t="s">
        <v>323</v>
      </c>
      <c r="H232" s="166"/>
      <c r="I232" s="92"/>
      <c r="J232" s="92"/>
      <c r="K232" s="94"/>
      <c r="L232" s="92">
        <v>9.6</v>
      </c>
      <c r="M232" s="93">
        <v>-9.6</v>
      </c>
      <c r="N232" s="98">
        <f t="shared" si="8"/>
        <v>0</v>
      </c>
      <c r="O232" s="97">
        <v>0</v>
      </c>
      <c r="P232" s="92">
        <v>0</v>
      </c>
      <c r="Q232" s="98">
        <f t="shared" si="9"/>
        <v>0</v>
      </c>
      <c r="R232" s="99" t="str">
        <f>+IF(Q232+N232&lt;=0, "NO COMPRADOR", +IF(Q232&lt;=0, "SIN COMPRA "&amp;+UPPER(TEXT('DINAMICA ENERO 26'!$C$2,"mmm 'yy")), "COMPRADOR"))</f>
        <v>NO COMPRADOR</v>
      </c>
      <c r="S232"/>
      <c r="T232"/>
      <c r="U232"/>
      <c r="V232"/>
      <c r="W232"/>
      <c r="X232"/>
      <c r="Y232"/>
      <c r="Z232"/>
    </row>
    <row r="233" spans="1:26" s="100" customFormat="1">
      <c r="A233" s="88" t="s">
        <v>85</v>
      </c>
      <c r="B233" s="89" t="s">
        <v>315</v>
      </c>
      <c r="C233" s="89" t="s">
        <v>43</v>
      </c>
      <c r="D233" s="103">
        <v>100063546</v>
      </c>
      <c r="E233" s="89" t="s">
        <v>46</v>
      </c>
      <c r="F233" s="89">
        <v>100001825</v>
      </c>
      <c r="G233" s="128" t="s">
        <v>324</v>
      </c>
      <c r="H233" s="166"/>
      <c r="I233" s="92"/>
      <c r="J233" s="92"/>
      <c r="K233" s="94"/>
      <c r="L233" s="92">
        <v>4.8</v>
      </c>
      <c r="M233" s="93">
        <v>0</v>
      </c>
      <c r="N233" s="98">
        <f t="shared" si="8"/>
        <v>2.4</v>
      </c>
      <c r="O233" s="97">
        <v>0</v>
      </c>
      <c r="P233" s="92">
        <v>0</v>
      </c>
      <c r="Q233" s="98">
        <f t="shared" si="9"/>
        <v>0</v>
      </c>
      <c r="R233" s="99" t="str">
        <f>+IF(Q233+N233&lt;=0, "NO COMPRADOR", +IF(Q233&lt;=0, "SIN COMPRA "&amp;+UPPER(TEXT('DINAMICA ENERO 26'!$C$2,"mmm 'yy")), "COMPRADOR"))</f>
        <v>SIN COMPRA FEB '26</v>
      </c>
      <c r="S233"/>
      <c r="T233"/>
      <c r="U233"/>
      <c r="V233"/>
      <c r="W233"/>
      <c r="X233"/>
      <c r="Y233"/>
      <c r="Z233"/>
    </row>
    <row r="234" spans="1:26" s="100" customFormat="1">
      <c r="A234" s="88" t="s">
        <v>85</v>
      </c>
      <c r="B234" s="89" t="s">
        <v>315</v>
      </c>
      <c r="C234" s="89" t="s">
        <v>43</v>
      </c>
      <c r="D234" s="103">
        <v>100063546</v>
      </c>
      <c r="E234" s="89" t="s">
        <v>46</v>
      </c>
      <c r="F234" s="89">
        <v>100071034</v>
      </c>
      <c r="G234" s="128" t="s">
        <v>325</v>
      </c>
      <c r="H234" s="166"/>
      <c r="I234" s="92"/>
      <c r="J234" s="92"/>
      <c r="K234" s="94"/>
      <c r="L234" s="92">
        <v>0</v>
      </c>
      <c r="M234" s="93">
        <v>0</v>
      </c>
      <c r="N234" s="98">
        <f t="shared" si="8"/>
        <v>0</v>
      </c>
      <c r="O234" s="97">
        <v>0</v>
      </c>
      <c r="P234" s="92">
        <v>0</v>
      </c>
      <c r="Q234" s="98">
        <f t="shared" si="9"/>
        <v>0</v>
      </c>
      <c r="R234" s="99" t="str">
        <f>+IF(Q234+N234&lt;=0, "NO COMPRADOR", +IF(Q234&lt;=0, "SIN COMPRA "&amp;+UPPER(TEXT('DINAMICA ENERO 26'!$C$2,"mmm 'yy")), "COMPRADOR"))</f>
        <v>NO COMPRADOR</v>
      </c>
      <c r="S234"/>
      <c r="T234"/>
      <c r="U234"/>
      <c r="V234"/>
      <c r="W234"/>
      <c r="X234"/>
      <c r="Y234"/>
      <c r="Z234"/>
    </row>
    <row r="235" spans="1:26" s="100" customFormat="1">
      <c r="A235" s="88" t="s">
        <v>85</v>
      </c>
      <c r="B235" s="89" t="s">
        <v>315</v>
      </c>
      <c r="C235" s="89" t="s">
        <v>43</v>
      </c>
      <c r="D235" s="103">
        <v>100063546</v>
      </c>
      <c r="E235" s="89" t="s">
        <v>46</v>
      </c>
      <c r="F235" s="89">
        <v>100001510</v>
      </c>
      <c r="G235" s="128" t="s">
        <v>326</v>
      </c>
      <c r="H235" s="166"/>
      <c r="I235" s="92"/>
      <c r="J235" s="92"/>
      <c r="K235" s="94"/>
      <c r="L235" s="92">
        <v>4.8</v>
      </c>
      <c r="M235" s="93">
        <v>-4.8</v>
      </c>
      <c r="N235" s="98">
        <f t="shared" si="8"/>
        <v>0</v>
      </c>
      <c r="O235" s="97">
        <v>0</v>
      </c>
      <c r="P235" s="92">
        <v>0</v>
      </c>
      <c r="Q235" s="98">
        <f t="shared" si="9"/>
        <v>0</v>
      </c>
      <c r="R235" s="99" t="str">
        <f>+IF(Q235+N235&lt;=0, "NO COMPRADOR", +IF(Q235&lt;=0, "SIN COMPRA "&amp;+UPPER(TEXT('DINAMICA ENERO 26'!$C$2,"mmm 'yy")), "COMPRADOR"))</f>
        <v>NO COMPRADOR</v>
      </c>
      <c r="S235"/>
      <c r="T235"/>
      <c r="U235"/>
      <c r="V235"/>
      <c r="W235"/>
      <c r="X235"/>
      <c r="Y235"/>
      <c r="Z235"/>
    </row>
    <row r="236" spans="1:26" s="104" customFormat="1">
      <c r="A236" s="88" t="s">
        <v>85</v>
      </c>
      <c r="B236" s="89" t="s">
        <v>315</v>
      </c>
      <c r="C236" s="89" t="s">
        <v>43</v>
      </c>
      <c r="D236" s="103">
        <v>100063546</v>
      </c>
      <c r="E236" s="89" t="s">
        <v>46</v>
      </c>
      <c r="F236" s="89">
        <v>100086920</v>
      </c>
      <c r="G236" s="128" t="s">
        <v>327</v>
      </c>
      <c r="H236" s="166"/>
      <c r="I236" s="92"/>
      <c r="J236" s="92"/>
      <c r="K236" s="94"/>
      <c r="L236" s="92">
        <v>0</v>
      </c>
      <c r="M236" s="93">
        <v>0</v>
      </c>
      <c r="N236" s="98">
        <f t="shared" si="8"/>
        <v>0</v>
      </c>
      <c r="O236" s="97">
        <v>0</v>
      </c>
      <c r="P236" s="92">
        <v>0</v>
      </c>
      <c r="Q236" s="98">
        <f t="shared" si="9"/>
        <v>0</v>
      </c>
      <c r="R236" s="99" t="str">
        <f>+IF(Q236+N236&lt;=0, "NO COMPRADOR", +IF(Q236&lt;=0, "SIN COMPRA "&amp;+UPPER(TEXT('DINAMICA ENERO 26'!$C$2,"mmm 'yy")), "COMPRADOR"))</f>
        <v>NO COMPRADOR</v>
      </c>
      <c r="S236"/>
      <c r="T236"/>
      <c r="U236"/>
      <c r="V236"/>
      <c r="W236"/>
      <c r="X236"/>
      <c r="Y236"/>
      <c r="Z236"/>
    </row>
    <row r="237" spans="1:26" s="100" customFormat="1">
      <c r="A237" s="88" t="s">
        <v>85</v>
      </c>
      <c r="B237" s="89" t="s">
        <v>315</v>
      </c>
      <c r="C237" s="89" t="s">
        <v>43</v>
      </c>
      <c r="D237" s="103">
        <v>100063546</v>
      </c>
      <c r="E237" s="89" t="s">
        <v>46</v>
      </c>
      <c r="F237" s="89">
        <v>100076015</v>
      </c>
      <c r="G237" s="128" t="s">
        <v>328</v>
      </c>
      <c r="H237" s="166"/>
      <c r="I237" s="92"/>
      <c r="J237" s="92"/>
      <c r="K237" s="94"/>
      <c r="L237" s="92">
        <v>0</v>
      </c>
      <c r="M237" s="93">
        <v>4.8</v>
      </c>
      <c r="N237" s="98">
        <f t="shared" si="8"/>
        <v>2.4</v>
      </c>
      <c r="O237" s="97">
        <v>9.6</v>
      </c>
      <c r="P237" s="92">
        <v>0</v>
      </c>
      <c r="Q237" s="98">
        <f t="shared" si="9"/>
        <v>9.6</v>
      </c>
      <c r="R237" s="99" t="str">
        <f>+IF(Q237+N237&lt;=0, "NO COMPRADOR", +IF(Q237&lt;=0, "SIN COMPRA "&amp;+UPPER(TEXT('DINAMICA ENERO 26'!$C$2,"mmm 'yy")), "COMPRADOR"))</f>
        <v>COMPRADOR</v>
      </c>
      <c r="S237"/>
      <c r="T237"/>
      <c r="U237"/>
      <c r="V237"/>
      <c r="W237"/>
      <c r="X237"/>
      <c r="Y237"/>
      <c r="Z237"/>
    </row>
    <row r="238" spans="1:26" s="104" customFormat="1">
      <c r="A238" s="88" t="s">
        <v>85</v>
      </c>
      <c r="B238" s="89" t="s">
        <v>315</v>
      </c>
      <c r="C238" s="89" t="s">
        <v>43</v>
      </c>
      <c r="D238" s="103">
        <v>100063546</v>
      </c>
      <c r="E238" s="89" t="s">
        <v>46</v>
      </c>
      <c r="F238" s="89">
        <v>100071319</v>
      </c>
      <c r="G238" s="128" t="s">
        <v>329</v>
      </c>
      <c r="H238" s="166"/>
      <c r="I238" s="92"/>
      <c r="J238" s="92"/>
      <c r="K238" s="94"/>
      <c r="L238" s="92">
        <v>9.6</v>
      </c>
      <c r="M238" s="93">
        <v>19.2</v>
      </c>
      <c r="N238" s="98">
        <f t="shared" si="8"/>
        <v>14.399999999999999</v>
      </c>
      <c r="O238" s="97">
        <v>0</v>
      </c>
      <c r="P238" s="92">
        <v>0</v>
      </c>
      <c r="Q238" s="98">
        <f t="shared" si="9"/>
        <v>0</v>
      </c>
      <c r="R238" s="99" t="str">
        <f>+IF(Q238+N238&lt;=0, "NO COMPRADOR", +IF(Q238&lt;=0, "SIN COMPRA "&amp;+UPPER(TEXT('DINAMICA ENERO 26'!$C$2,"mmm 'yy")), "COMPRADOR"))</f>
        <v>SIN COMPRA FEB '26</v>
      </c>
      <c r="S238"/>
      <c r="T238"/>
      <c r="U238"/>
      <c r="V238"/>
      <c r="W238"/>
      <c r="X238"/>
      <c r="Y238"/>
      <c r="Z238"/>
    </row>
    <row r="239" spans="1:26" s="100" customFormat="1">
      <c r="A239" s="88" t="s">
        <v>85</v>
      </c>
      <c r="B239" s="89" t="s">
        <v>315</v>
      </c>
      <c r="C239" s="89" t="s">
        <v>43</v>
      </c>
      <c r="D239" s="103">
        <v>100063546</v>
      </c>
      <c r="E239" s="89" t="s">
        <v>46</v>
      </c>
      <c r="F239" s="89">
        <v>100069083</v>
      </c>
      <c r="G239" s="128" t="s">
        <v>330</v>
      </c>
      <c r="H239" s="166"/>
      <c r="I239" s="92"/>
      <c r="J239" s="92"/>
      <c r="K239" s="94"/>
      <c r="L239" s="92">
        <v>4.8</v>
      </c>
      <c r="M239" s="93">
        <v>4.8</v>
      </c>
      <c r="N239" s="98">
        <f t="shared" si="8"/>
        <v>4.8</v>
      </c>
      <c r="O239" s="97">
        <v>-4.8</v>
      </c>
      <c r="P239" s="92">
        <v>0</v>
      </c>
      <c r="Q239" s="98">
        <f t="shared" si="9"/>
        <v>-4.8</v>
      </c>
      <c r="R239" s="99" t="str">
        <f>+IF(Q239+N239&lt;=0, "NO COMPRADOR", +IF(Q239&lt;=0, "SIN COMPRA "&amp;+UPPER(TEXT('DINAMICA ENERO 26'!$C$2,"mmm 'yy")), "COMPRADOR"))</f>
        <v>NO COMPRADOR</v>
      </c>
      <c r="S239"/>
      <c r="T239"/>
      <c r="U239"/>
      <c r="V239"/>
      <c r="W239"/>
      <c r="X239"/>
      <c r="Y239"/>
      <c r="Z239"/>
    </row>
    <row r="240" spans="1:26" s="100" customFormat="1">
      <c r="A240" s="88" t="s">
        <v>85</v>
      </c>
      <c r="B240" s="89" t="s">
        <v>315</v>
      </c>
      <c r="C240" s="89" t="s">
        <v>43</v>
      </c>
      <c r="D240" s="103">
        <v>100063546</v>
      </c>
      <c r="E240" s="89" t="s">
        <v>46</v>
      </c>
      <c r="F240" s="89">
        <v>100072087</v>
      </c>
      <c r="G240" s="128" t="s">
        <v>331</v>
      </c>
      <c r="H240" s="166"/>
      <c r="I240" s="92"/>
      <c r="J240" s="92"/>
      <c r="K240" s="94"/>
      <c r="L240" s="92">
        <v>0</v>
      </c>
      <c r="M240" s="93">
        <v>4.8</v>
      </c>
      <c r="N240" s="98">
        <f t="shared" si="8"/>
        <v>2.4</v>
      </c>
      <c r="O240" s="97">
        <v>19.2</v>
      </c>
      <c r="P240" s="92">
        <v>0</v>
      </c>
      <c r="Q240" s="98">
        <f t="shared" si="9"/>
        <v>19.2</v>
      </c>
      <c r="R240" s="99" t="str">
        <f>+IF(Q240+N240&lt;=0, "NO COMPRADOR", +IF(Q240&lt;=0, "SIN COMPRA "&amp;+UPPER(TEXT('DINAMICA ENERO 26'!$C$2,"mmm 'yy")), "COMPRADOR"))</f>
        <v>COMPRADOR</v>
      </c>
      <c r="S240"/>
      <c r="T240"/>
      <c r="U240"/>
      <c r="V240"/>
      <c r="W240"/>
      <c r="X240"/>
      <c r="Y240"/>
      <c r="Z240"/>
    </row>
    <row r="241" spans="1:26" s="100" customFormat="1">
      <c r="A241" s="88" t="s">
        <v>85</v>
      </c>
      <c r="B241" s="89" t="s">
        <v>315</v>
      </c>
      <c r="C241" s="89" t="s">
        <v>43</v>
      </c>
      <c r="D241" s="103">
        <v>100063546</v>
      </c>
      <c r="E241" s="89" t="s">
        <v>46</v>
      </c>
      <c r="F241" s="89">
        <v>100078525</v>
      </c>
      <c r="G241" s="128" t="s">
        <v>332</v>
      </c>
      <c r="H241" s="166"/>
      <c r="I241" s="92"/>
      <c r="J241" s="92"/>
      <c r="K241" s="94"/>
      <c r="L241" s="92">
        <v>0</v>
      </c>
      <c r="M241" s="93">
        <v>0</v>
      </c>
      <c r="N241" s="98">
        <f t="shared" si="8"/>
        <v>0</v>
      </c>
      <c r="O241" s="97">
        <v>0</v>
      </c>
      <c r="P241" s="92">
        <v>0</v>
      </c>
      <c r="Q241" s="98">
        <f t="shared" si="9"/>
        <v>0</v>
      </c>
      <c r="R241" s="99" t="str">
        <f>+IF(Q241+N241&lt;=0, "NO COMPRADOR", +IF(Q241&lt;=0, "SIN COMPRA "&amp;+UPPER(TEXT('DINAMICA ENERO 26'!$C$2,"mmm 'yy")), "COMPRADOR"))</f>
        <v>NO COMPRADOR</v>
      </c>
      <c r="S241"/>
      <c r="T241"/>
      <c r="U241"/>
      <c r="V241"/>
      <c r="W241"/>
      <c r="X241"/>
      <c r="Y241"/>
      <c r="Z241"/>
    </row>
    <row r="242" spans="1:26" s="100" customFormat="1">
      <c r="A242" s="88" t="s">
        <v>85</v>
      </c>
      <c r="B242" s="89" t="s">
        <v>315</v>
      </c>
      <c r="C242" s="89" t="s">
        <v>43</v>
      </c>
      <c r="D242" s="103">
        <v>100063546</v>
      </c>
      <c r="E242" s="89" t="s">
        <v>46</v>
      </c>
      <c r="F242" s="89">
        <v>100078986</v>
      </c>
      <c r="G242" s="128" t="s">
        <v>333</v>
      </c>
      <c r="H242" s="166"/>
      <c r="I242" s="92"/>
      <c r="J242" s="92"/>
      <c r="K242" s="94"/>
      <c r="L242" s="92">
        <v>0</v>
      </c>
      <c r="M242" s="93">
        <v>0</v>
      </c>
      <c r="N242" s="98">
        <f t="shared" si="8"/>
        <v>0</v>
      </c>
      <c r="O242" s="97">
        <v>0</v>
      </c>
      <c r="P242" s="92">
        <v>0</v>
      </c>
      <c r="Q242" s="98">
        <f t="shared" si="9"/>
        <v>0</v>
      </c>
      <c r="R242" s="99" t="str">
        <f>+IF(Q242+N242&lt;=0, "NO COMPRADOR", +IF(Q242&lt;=0, "SIN COMPRA "&amp;+UPPER(TEXT('DINAMICA ENERO 26'!$C$2,"mmm 'yy")), "COMPRADOR"))</f>
        <v>NO COMPRADOR</v>
      </c>
      <c r="S242"/>
      <c r="T242"/>
      <c r="U242"/>
      <c r="V242"/>
      <c r="W242"/>
      <c r="X242"/>
      <c r="Y242"/>
      <c r="Z242"/>
    </row>
    <row r="243" spans="1:26" s="104" customFormat="1">
      <c r="A243" s="88" t="s">
        <v>85</v>
      </c>
      <c r="B243" s="89" t="s">
        <v>315</v>
      </c>
      <c r="C243" s="89" t="s">
        <v>43</v>
      </c>
      <c r="D243" s="103">
        <v>100063546</v>
      </c>
      <c r="E243" s="89" t="s">
        <v>46</v>
      </c>
      <c r="F243" s="89">
        <v>100053840</v>
      </c>
      <c r="G243" s="128" t="s">
        <v>334</v>
      </c>
      <c r="H243" s="166"/>
      <c r="I243" s="92"/>
      <c r="J243" s="92"/>
      <c r="K243" s="94"/>
      <c r="L243" s="92">
        <v>4.8</v>
      </c>
      <c r="M243" s="93">
        <v>0</v>
      </c>
      <c r="N243" s="98">
        <f t="shared" si="8"/>
        <v>2.4</v>
      </c>
      <c r="O243" s="97">
        <v>-4.8</v>
      </c>
      <c r="P243" s="92">
        <v>0</v>
      </c>
      <c r="Q243" s="98">
        <f t="shared" si="9"/>
        <v>-4.8</v>
      </c>
      <c r="R243" s="99" t="str">
        <f>+IF(Q243+N243&lt;=0, "NO COMPRADOR", +IF(Q243&lt;=0, "SIN COMPRA "&amp;+UPPER(TEXT('DINAMICA ENERO 26'!$C$2,"mmm 'yy")), "COMPRADOR"))</f>
        <v>NO COMPRADOR</v>
      </c>
      <c r="S243"/>
      <c r="T243"/>
      <c r="U243"/>
      <c r="V243"/>
      <c r="W243"/>
      <c r="X243"/>
      <c r="Y243"/>
      <c r="Z243"/>
    </row>
    <row r="244" spans="1:26" s="100" customFormat="1">
      <c r="A244" s="88" t="s">
        <v>85</v>
      </c>
      <c r="B244" s="89" t="s">
        <v>315</v>
      </c>
      <c r="C244" s="89" t="s">
        <v>43</v>
      </c>
      <c r="D244" s="103">
        <v>100063546</v>
      </c>
      <c r="E244" s="89" t="s">
        <v>46</v>
      </c>
      <c r="F244" s="89">
        <v>100084699</v>
      </c>
      <c r="G244" s="128" t="s">
        <v>335</v>
      </c>
      <c r="H244" s="166"/>
      <c r="I244" s="92"/>
      <c r="J244" s="92"/>
      <c r="K244" s="94"/>
      <c r="L244" s="92">
        <v>4.8</v>
      </c>
      <c r="M244" s="93">
        <v>4.8</v>
      </c>
      <c r="N244" s="98">
        <f t="shared" si="8"/>
        <v>4.8</v>
      </c>
      <c r="O244" s="97">
        <v>0</v>
      </c>
      <c r="P244" s="92">
        <v>0</v>
      </c>
      <c r="Q244" s="98">
        <f t="shared" si="9"/>
        <v>0</v>
      </c>
      <c r="R244" s="99" t="str">
        <f>+IF(Q244+N244&lt;=0, "NO COMPRADOR", +IF(Q244&lt;=0, "SIN COMPRA "&amp;+UPPER(TEXT('DINAMICA ENERO 26'!$C$2,"mmm 'yy")), "COMPRADOR"))</f>
        <v>SIN COMPRA FEB '26</v>
      </c>
      <c r="S244"/>
      <c r="T244"/>
      <c r="U244"/>
      <c r="V244"/>
      <c r="W244"/>
      <c r="X244"/>
      <c r="Y244"/>
      <c r="Z244"/>
    </row>
    <row r="245" spans="1:26" s="104" customFormat="1">
      <c r="A245" s="88" t="s">
        <v>85</v>
      </c>
      <c r="B245" s="89" t="s">
        <v>315</v>
      </c>
      <c r="C245" s="89" t="s">
        <v>43</v>
      </c>
      <c r="D245" s="103">
        <v>100063546</v>
      </c>
      <c r="E245" s="89" t="s">
        <v>46</v>
      </c>
      <c r="F245" s="89">
        <v>100080253</v>
      </c>
      <c r="G245" s="128" t="s">
        <v>336</v>
      </c>
      <c r="H245" s="166"/>
      <c r="I245" s="92"/>
      <c r="J245" s="92"/>
      <c r="K245" s="94"/>
      <c r="L245" s="92">
        <v>0</v>
      </c>
      <c r="M245" s="93">
        <v>4.8</v>
      </c>
      <c r="N245" s="98">
        <f t="shared" si="8"/>
        <v>2.4</v>
      </c>
      <c r="O245" s="97">
        <v>0</v>
      </c>
      <c r="P245" s="92">
        <v>0</v>
      </c>
      <c r="Q245" s="98">
        <f t="shared" si="9"/>
        <v>0</v>
      </c>
      <c r="R245" s="99" t="str">
        <f>+IF(Q245+N245&lt;=0, "NO COMPRADOR", +IF(Q245&lt;=0, "SIN COMPRA "&amp;+UPPER(TEXT('DINAMICA ENERO 26'!$C$2,"mmm 'yy")), "COMPRADOR"))</f>
        <v>SIN COMPRA FEB '26</v>
      </c>
      <c r="S245"/>
      <c r="T245"/>
      <c r="U245"/>
      <c r="V245"/>
      <c r="W245"/>
      <c r="X245"/>
      <c r="Y245"/>
      <c r="Z245"/>
    </row>
    <row r="246" spans="1:26" s="104" customFormat="1">
      <c r="A246" s="88" t="s">
        <v>85</v>
      </c>
      <c r="B246" s="89" t="s">
        <v>315</v>
      </c>
      <c r="C246" s="89" t="s">
        <v>43</v>
      </c>
      <c r="D246" s="103">
        <v>100063546</v>
      </c>
      <c r="E246" s="89" t="s">
        <v>46</v>
      </c>
      <c r="F246" s="89">
        <v>100089146</v>
      </c>
      <c r="G246" s="128" t="s">
        <v>337</v>
      </c>
      <c r="H246" s="166"/>
      <c r="I246" s="92"/>
      <c r="J246" s="92"/>
      <c r="K246" s="94"/>
      <c r="L246" s="92">
        <v>0</v>
      </c>
      <c r="M246" s="93">
        <v>0</v>
      </c>
      <c r="N246" s="98">
        <f t="shared" si="8"/>
        <v>0</v>
      </c>
      <c r="O246" s="97">
        <v>0</v>
      </c>
      <c r="P246" s="92">
        <v>0</v>
      </c>
      <c r="Q246" s="98">
        <f t="shared" si="9"/>
        <v>0</v>
      </c>
      <c r="R246" s="99" t="str">
        <f>+IF(Q246+N246&lt;=0, "NO COMPRADOR", +IF(Q246&lt;=0, "SIN COMPRA "&amp;+UPPER(TEXT('DINAMICA ENERO 26'!$C$2,"mmm 'yy")), "COMPRADOR"))</f>
        <v>NO COMPRADOR</v>
      </c>
      <c r="S246"/>
      <c r="T246"/>
      <c r="U246"/>
      <c r="V246"/>
      <c r="W246"/>
      <c r="X246"/>
      <c r="Y246"/>
      <c r="Z246"/>
    </row>
    <row r="247" spans="1:26" s="100" customFormat="1">
      <c r="A247" s="88" t="s">
        <v>85</v>
      </c>
      <c r="B247" s="89" t="s">
        <v>315</v>
      </c>
      <c r="C247" s="89" t="s">
        <v>43</v>
      </c>
      <c r="D247" s="103">
        <v>100087724</v>
      </c>
      <c r="E247" s="89" t="s">
        <v>44</v>
      </c>
      <c r="F247" s="89">
        <v>100001196</v>
      </c>
      <c r="G247" s="128" t="s">
        <v>320</v>
      </c>
      <c r="H247" s="166"/>
      <c r="I247" s="92"/>
      <c r="J247" s="92"/>
      <c r="K247" s="94"/>
      <c r="L247" s="92">
        <v>0</v>
      </c>
      <c r="M247" s="93">
        <v>0</v>
      </c>
      <c r="N247" s="98">
        <f t="shared" si="8"/>
        <v>0</v>
      </c>
      <c r="O247" s="97">
        <v>0</v>
      </c>
      <c r="P247" s="92">
        <v>0</v>
      </c>
      <c r="Q247" s="98">
        <f t="shared" si="9"/>
        <v>0</v>
      </c>
      <c r="R247" s="99" t="str">
        <f>+IF(Q247+N247&lt;=0, "NO COMPRADOR", +IF(Q247&lt;=0, "SIN COMPRA "&amp;+UPPER(TEXT('DINAMICA ENERO 26'!$C$2,"mmm 'yy")), "COMPRADOR"))</f>
        <v>NO COMPRADOR</v>
      </c>
      <c r="S247"/>
      <c r="T247"/>
      <c r="U247"/>
      <c r="V247"/>
      <c r="W247"/>
      <c r="X247"/>
      <c r="Y247"/>
      <c r="Z247"/>
    </row>
    <row r="248" spans="1:26" s="104" customFormat="1">
      <c r="A248" s="88" t="s">
        <v>85</v>
      </c>
      <c r="B248" s="89" t="s">
        <v>315</v>
      </c>
      <c r="C248" s="89" t="s">
        <v>43</v>
      </c>
      <c r="D248" s="103">
        <v>100087724</v>
      </c>
      <c r="E248" s="89" t="s">
        <v>44</v>
      </c>
      <c r="F248" s="89">
        <v>100001979</v>
      </c>
      <c r="G248" s="128" t="s">
        <v>290</v>
      </c>
      <c r="H248" s="166"/>
      <c r="I248" s="92"/>
      <c r="J248" s="92"/>
      <c r="K248" s="94"/>
      <c r="L248" s="92">
        <v>14.399999999999999</v>
      </c>
      <c r="M248" s="93">
        <v>4.8</v>
      </c>
      <c r="N248" s="98">
        <f t="shared" si="8"/>
        <v>9.6</v>
      </c>
      <c r="O248" s="97">
        <v>4.8</v>
      </c>
      <c r="P248" s="92">
        <v>0</v>
      </c>
      <c r="Q248" s="98">
        <f t="shared" si="9"/>
        <v>4.8</v>
      </c>
      <c r="R248" s="99" t="str">
        <f>+IF(Q248+N248&lt;=0, "NO COMPRADOR", +IF(Q248&lt;=0, "SIN COMPRA "&amp;+UPPER(TEXT('DINAMICA ENERO 26'!$C$2,"mmm 'yy")), "COMPRADOR"))</f>
        <v>COMPRADOR</v>
      </c>
      <c r="S248"/>
      <c r="T248"/>
      <c r="U248"/>
      <c r="V248"/>
      <c r="W248"/>
      <c r="X248"/>
      <c r="Y248"/>
      <c r="Z248"/>
    </row>
    <row r="249" spans="1:26" s="100" customFormat="1">
      <c r="A249" s="88" t="s">
        <v>85</v>
      </c>
      <c r="B249" s="89" t="s">
        <v>315</v>
      </c>
      <c r="C249" s="89" t="s">
        <v>43</v>
      </c>
      <c r="D249" s="103">
        <v>100087724</v>
      </c>
      <c r="E249" s="89" t="s">
        <v>44</v>
      </c>
      <c r="F249" s="89">
        <v>100002471</v>
      </c>
      <c r="G249" s="128" t="s">
        <v>338</v>
      </c>
      <c r="H249" s="166"/>
      <c r="I249" s="92"/>
      <c r="J249" s="92"/>
      <c r="K249" s="94"/>
      <c r="L249" s="92">
        <v>0</v>
      </c>
      <c r="M249" s="93">
        <v>0</v>
      </c>
      <c r="N249" s="98">
        <f t="shared" si="8"/>
        <v>0</v>
      </c>
      <c r="O249" s="97">
        <v>0</v>
      </c>
      <c r="P249" s="92">
        <v>0</v>
      </c>
      <c r="Q249" s="98">
        <f t="shared" si="9"/>
        <v>0</v>
      </c>
      <c r="R249" s="99" t="str">
        <f>+IF(Q249+N249&lt;=0, "NO COMPRADOR", +IF(Q249&lt;=0, "SIN COMPRA "&amp;+UPPER(TEXT('DINAMICA ENERO 26'!$C$2,"mmm 'yy")), "COMPRADOR"))</f>
        <v>NO COMPRADOR</v>
      </c>
      <c r="S249"/>
      <c r="T249"/>
      <c r="U249"/>
      <c r="V249"/>
      <c r="W249"/>
      <c r="X249"/>
      <c r="Y249"/>
      <c r="Z249"/>
    </row>
    <row r="250" spans="1:26" s="100" customFormat="1">
      <c r="A250" s="88" t="s">
        <v>85</v>
      </c>
      <c r="B250" s="89" t="s">
        <v>315</v>
      </c>
      <c r="C250" s="89" t="s">
        <v>43</v>
      </c>
      <c r="D250" s="103">
        <v>100087724</v>
      </c>
      <c r="E250" s="89" t="s">
        <v>44</v>
      </c>
      <c r="F250" s="89">
        <v>100005866</v>
      </c>
      <c r="G250" s="128" t="s">
        <v>339</v>
      </c>
      <c r="H250" s="166"/>
      <c r="I250" s="92"/>
      <c r="J250" s="92"/>
      <c r="K250" s="94"/>
      <c r="L250" s="92">
        <v>4.8</v>
      </c>
      <c r="M250" s="93">
        <v>0</v>
      </c>
      <c r="N250" s="98">
        <f t="shared" si="8"/>
        <v>2.4</v>
      </c>
      <c r="O250" s="97">
        <v>0</v>
      </c>
      <c r="P250" s="92">
        <v>0</v>
      </c>
      <c r="Q250" s="98">
        <f t="shared" si="9"/>
        <v>0</v>
      </c>
      <c r="R250" s="99" t="str">
        <f>+IF(Q250+N250&lt;=0, "NO COMPRADOR", +IF(Q250&lt;=0, "SIN COMPRA "&amp;+UPPER(TEXT('DINAMICA ENERO 26'!$C$2,"mmm 'yy")), "COMPRADOR"))</f>
        <v>SIN COMPRA FEB '26</v>
      </c>
      <c r="S250"/>
      <c r="T250"/>
      <c r="U250"/>
      <c r="V250"/>
      <c r="W250"/>
      <c r="X250"/>
      <c r="Y250"/>
      <c r="Z250"/>
    </row>
    <row r="251" spans="1:26" s="100" customFormat="1">
      <c r="A251" s="88" t="s">
        <v>85</v>
      </c>
      <c r="B251" s="89" t="s">
        <v>315</v>
      </c>
      <c r="C251" s="89" t="s">
        <v>43</v>
      </c>
      <c r="D251" s="103">
        <v>100087724</v>
      </c>
      <c r="E251" s="89" t="s">
        <v>44</v>
      </c>
      <c r="F251" s="89">
        <v>100025209</v>
      </c>
      <c r="G251" s="128" t="s">
        <v>340</v>
      </c>
      <c r="H251" s="166"/>
      <c r="I251" s="92"/>
      <c r="J251" s="92"/>
      <c r="K251" s="94"/>
      <c r="L251" s="92">
        <v>676.8</v>
      </c>
      <c r="M251" s="93">
        <v>0</v>
      </c>
      <c r="N251" s="98">
        <f t="shared" si="8"/>
        <v>338.4</v>
      </c>
      <c r="O251" s="97">
        <v>0</v>
      </c>
      <c r="P251" s="92">
        <v>0</v>
      </c>
      <c r="Q251" s="98">
        <f t="shared" si="9"/>
        <v>0</v>
      </c>
      <c r="R251" s="99" t="str">
        <f>+IF(Q251+N251&lt;=0, "NO COMPRADOR", +IF(Q251&lt;=0, "SIN COMPRA "&amp;+UPPER(TEXT('DINAMICA ENERO 26'!$C$2,"mmm 'yy")), "COMPRADOR"))</f>
        <v>SIN COMPRA FEB '26</v>
      </c>
      <c r="S251"/>
      <c r="T251"/>
      <c r="U251"/>
      <c r="V251"/>
      <c r="W251"/>
      <c r="X251"/>
      <c r="Y251"/>
      <c r="Z251"/>
    </row>
    <row r="252" spans="1:26" s="100" customFormat="1">
      <c r="A252" s="88" t="s">
        <v>85</v>
      </c>
      <c r="B252" s="89" t="s">
        <v>315</v>
      </c>
      <c r="C252" s="89" t="s">
        <v>43</v>
      </c>
      <c r="D252" s="103">
        <v>100087724</v>
      </c>
      <c r="E252" s="89" t="s">
        <v>44</v>
      </c>
      <c r="F252" s="89">
        <v>100087941</v>
      </c>
      <c r="G252" s="128" t="s">
        <v>341</v>
      </c>
      <c r="H252" s="166"/>
      <c r="I252" s="92"/>
      <c r="J252" s="92"/>
      <c r="K252" s="94"/>
      <c r="L252" s="92">
        <v>9.6</v>
      </c>
      <c r="M252" s="93">
        <v>28.799999999999997</v>
      </c>
      <c r="N252" s="98">
        <f t="shared" si="8"/>
        <v>19.2</v>
      </c>
      <c r="O252" s="97">
        <v>14.399999999999999</v>
      </c>
      <c r="P252" s="92">
        <v>0</v>
      </c>
      <c r="Q252" s="98">
        <f t="shared" si="9"/>
        <v>14.399999999999999</v>
      </c>
      <c r="R252" s="99" t="str">
        <f>+IF(Q252+N252&lt;=0, "NO COMPRADOR", +IF(Q252&lt;=0, "SIN COMPRA "&amp;+UPPER(TEXT('DINAMICA ENERO 26'!$C$2,"mmm 'yy")), "COMPRADOR"))</f>
        <v>COMPRADOR</v>
      </c>
      <c r="S252"/>
      <c r="T252"/>
      <c r="U252"/>
      <c r="V252"/>
      <c r="W252"/>
      <c r="X252"/>
      <c r="Y252"/>
      <c r="Z252"/>
    </row>
    <row r="253" spans="1:26" s="100" customFormat="1">
      <c r="A253" s="88" t="s">
        <v>85</v>
      </c>
      <c r="B253" s="89" t="s">
        <v>315</v>
      </c>
      <c r="C253" s="89" t="s">
        <v>43</v>
      </c>
      <c r="D253" s="103">
        <v>100087724</v>
      </c>
      <c r="E253" s="89" t="s">
        <v>44</v>
      </c>
      <c r="F253" s="89">
        <v>100067528</v>
      </c>
      <c r="G253" s="128" t="s">
        <v>342</v>
      </c>
      <c r="H253" s="166"/>
      <c r="I253" s="92"/>
      <c r="J253" s="92"/>
      <c r="K253" s="94"/>
      <c r="L253" s="92">
        <v>0</v>
      </c>
      <c r="M253" s="93">
        <v>4.8</v>
      </c>
      <c r="N253" s="98">
        <f t="shared" si="8"/>
        <v>2.4</v>
      </c>
      <c r="O253" s="97">
        <v>0</v>
      </c>
      <c r="P253" s="92">
        <v>4.8</v>
      </c>
      <c r="Q253" s="98">
        <f t="shared" si="9"/>
        <v>4.8</v>
      </c>
      <c r="R253" s="99" t="str">
        <f>+IF(Q253+N253&lt;=0, "NO COMPRADOR", +IF(Q253&lt;=0, "SIN COMPRA "&amp;+UPPER(TEXT('DINAMICA ENERO 26'!$C$2,"mmm 'yy")), "COMPRADOR"))</f>
        <v>COMPRADOR</v>
      </c>
      <c r="S253"/>
      <c r="T253"/>
      <c r="U253"/>
      <c r="V253"/>
      <c r="W253"/>
      <c r="X253"/>
      <c r="Y253"/>
      <c r="Z253"/>
    </row>
    <row r="254" spans="1:26" s="104" customFormat="1">
      <c r="A254" s="88" t="s">
        <v>85</v>
      </c>
      <c r="B254" s="89" t="s">
        <v>315</v>
      </c>
      <c r="C254" s="89" t="s">
        <v>43</v>
      </c>
      <c r="D254" s="103">
        <v>100087724</v>
      </c>
      <c r="E254" s="89" t="s">
        <v>44</v>
      </c>
      <c r="F254" s="89">
        <v>100087924</v>
      </c>
      <c r="G254" s="128" t="s">
        <v>343</v>
      </c>
      <c r="H254" s="166"/>
      <c r="I254" s="92"/>
      <c r="J254" s="92"/>
      <c r="K254" s="94"/>
      <c r="L254" s="92">
        <v>4.8</v>
      </c>
      <c r="M254" s="93">
        <v>0</v>
      </c>
      <c r="N254" s="98">
        <f t="shared" si="8"/>
        <v>2.4</v>
      </c>
      <c r="O254" s="97">
        <v>0</v>
      </c>
      <c r="P254" s="92">
        <v>0</v>
      </c>
      <c r="Q254" s="98">
        <f t="shared" si="9"/>
        <v>0</v>
      </c>
      <c r="R254" s="99" t="str">
        <f>+IF(Q254+N254&lt;=0, "NO COMPRADOR", +IF(Q254&lt;=0, "SIN COMPRA "&amp;+UPPER(TEXT('DINAMICA ENERO 26'!$C$2,"mmm 'yy")), "COMPRADOR"))</f>
        <v>SIN COMPRA FEB '26</v>
      </c>
      <c r="S254"/>
      <c r="T254"/>
      <c r="U254"/>
      <c r="V254"/>
      <c r="W254"/>
      <c r="X254"/>
      <c r="Y254"/>
      <c r="Z254"/>
    </row>
    <row r="255" spans="1:26" s="104" customFormat="1">
      <c r="A255" s="88" t="s">
        <v>85</v>
      </c>
      <c r="B255" s="89" t="s">
        <v>315</v>
      </c>
      <c r="C255" s="89" t="s">
        <v>43</v>
      </c>
      <c r="D255" s="103">
        <v>100087724</v>
      </c>
      <c r="E255" s="89" t="s">
        <v>44</v>
      </c>
      <c r="F255" s="89">
        <v>100069181</v>
      </c>
      <c r="G255" s="128" t="s">
        <v>344</v>
      </c>
      <c r="H255" s="166"/>
      <c r="I255" s="92"/>
      <c r="J255" s="92"/>
      <c r="K255" s="94"/>
      <c r="L255" s="92">
        <v>0</v>
      </c>
      <c r="M255" s="93">
        <v>4.8</v>
      </c>
      <c r="N255" s="98">
        <f t="shared" si="8"/>
        <v>2.4</v>
      </c>
      <c r="O255" s="97">
        <v>48</v>
      </c>
      <c r="P255" s="92">
        <v>0</v>
      </c>
      <c r="Q255" s="98">
        <f t="shared" si="9"/>
        <v>48</v>
      </c>
      <c r="R255" s="99" t="str">
        <f>+IF(Q255+N255&lt;=0, "NO COMPRADOR", +IF(Q255&lt;=0, "SIN COMPRA "&amp;+UPPER(TEXT('DINAMICA ENERO 26'!$C$2,"mmm 'yy")), "COMPRADOR"))</f>
        <v>COMPRADOR</v>
      </c>
      <c r="S255"/>
      <c r="T255"/>
      <c r="U255"/>
      <c r="V255"/>
      <c r="W255"/>
      <c r="X255"/>
      <c r="Y255"/>
      <c r="Z255"/>
    </row>
    <row r="256" spans="1:26" s="104" customFormat="1">
      <c r="A256" s="88" t="s">
        <v>85</v>
      </c>
      <c r="B256" s="89" t="s">
        <v>315</v>
      </c>
      <c r="C256" s="89" t="s">
        <v>43</v>
      </c>
      <c r="D256" s="103">
        <v>100087724</v>
      </c>
      <c r="E256" s="89" t="s">
        <v>44</v>
      </c>
      <c r="F256" s="89">
        <v>100070616</v>
      </c>
      <c r="G256" s="128" t="s">
        <v>345</v>
      </c>
      <c r="H256" s="166"/>
      <c r="I256" s="92"/>
      <c r="J256" s="92"/>
      <c r="K256" s="94"/>
      <c r="L256" s="92">
        <v>0</v>
      </c>
      <c r="M256" s="93">
        <v>24</v>
      </c>
      <c r="N256" s="98">
        <f t="shared" si="8"/>
        <v>12</v>
      </c>
      <c r="O256" s="97">
        <v>0</v>
      </c>
      <c r="P256" s="92">
        <v>0</v>
      </c>
      <c r="Q256" s="98">
        <f t="shared" si="9"/>
        <v>0</v>
      </c>
      <c r="R256" s="99" t="str">
        <f>+IF(Q256+N256&lt;=0, "NO COMPRADOR", +IF(Q256&lt;=0, "SIN COMPRA "&amp;+UPPER(TEXT('DINAMICA ENERO 26'!$C$2,"mmm 'yy")), "COMPRADOR"))</f>
        <v>SIN COMPRA FEB '26</v>
      </c>
      <c r="S256"/>
      <c r="T256"/>
      <c r="U256"/>
      <c r="V256"/>
      <c r="W256"/>
      <c r="X256"/>
      <c r="Y256"/>
      <c r="Z256"/>
    </row>
    <row r="257" spans="1:26" s="100" customFormat="1">
      <c r="A257" s="88" t="s">
        <v>85</v>
      </c>
      <c r="B257" s="89" t="s">
        <v>315</v>
      </c>
      <c r="C257" s="89" t="s">
        <v>43</v>
      </c>
      <c r="D257" s="103">
        <v>100087724</v>
      </c>
      <c r="E257" s="89" t="s">
        <v>44</v>
      </c>
      <c r="F257" s="89">
        <v>100079876</v>
      </c>
      <c r="G257" s="128" t="s">
        <v>346</v>
      </c>
      <c r="H257" s="166"/>
      <c r="I257" s="92"/>
      <c r="J257" s="92"/>
      <c r="K257" s="94"/>
      <c r="L257" s="92">
        <v>0</v>
      </c>
      <c r="M257" s="93">
        <v>9.6</v>
      </c>
      <c r="N257" s="98">
        <f t="shared" si="8"/>
        <v>4.8</v>
      </c>
      <c r="O257" s="97">
        <v>9.6</v>
      </c>
      <c r="P257" s="92">
        <v>0</v>
      </c>
      <c r="Q257" s="98">
        <f t="shared" si="9"/>
        <v>9.6</v>
      </c>
      <c r="R257" s="99" t="str">
        <f>+IF(Q257+N257&lt;=0, "NO COMPRADOR", +IF(Q257&lt;=0, "SIN COMPRA "&amp;+UPPER(TEXT('DINAMICA ENERO 26'!$C$2,"mmm 'yy")), "COMPRADOR"))</f>
        <v>COMPRADOR</v>
      </c>
      <c r="S257"/>
      <c r="T257"/>
      <c r="U257"/>
      <c r="V257"/>
      <c r="W257"/>
      <c r="X257"/>
      <c r="Y257"/>
      <c r="Z257"/>
    </row>
    <row r="258" spans="1:26" s="100" customFormat="1">
      <c r="A258" s="88" t="s">
        <v>85</v>
      </c>
      <c r="B258" s="89" t="s">
        <v>315</v>
      </c>
      <c r="C258" s="89" t="s">
        <v>43</v>
      </c>
      <c r="D258" s="103">
        <v>100087724</v>
      </c>
      <c r="E258" s="89" t="s">
        <v>44</v>
      </c>
      <c r="F258" s="89">
        <v>100081157</v>
      </c>
      <c r="G258" s="128" t="s">
        <v>347</v>
      </c>
      <c r="H258" s="166"/>
      <c r="I258" s="92"/>
      <c r="J258" s="92"/>
      <c r="K258" s="94"/>
      <c r="L258" s="92">
        <v>4.8</v>
      </c>
      <c r="M258" s="93">
        <v>0</v>
      </c>
      <c r="N258" s="98">
        <f t="shared" si="8"/>
        <v>2.4</v>
      </c>
      <c r="O258" s="97">
        <v>4.8</v>
      </c>
      <c r="P258" s="92">
        <v>0</v>
      </c>
      <c r="Q258" s="98">
        <f t="shared" si="9"/>
        <v>4.8</v>
      </c>
      <c r="R258" s="99" t="str">
        <f>+IF(Q258+N258&lt;=0, "NO COMPRADOR", +IF(Q258&lt;=0, "SIN COMPRA "&amp;+UPPER(TEXT('DINAMICA ENERO 26'!$C$2,"mmm 'yy")), "COMPRADOR"))</f>
        <v>COMPRADOR</v>
      </c>
      <c r="S258"/>
      <c r="T258"/>
      <c r="U258"/>
      <c r="V258"/>
      <c r="W258"/>
      <c r="X258"/>
      <c r="Y258"/>
      <c r="Z258"/>
    </row>
    <row r="259" spans="1:26" s="104" customFormat="1">
      <c r="A259" s="88" t="s">
        <v>85</v>
      </c>
      <c r="B259" s="89" t="s">
        <v>315</v>
      </c>
      <c r="C259" s="89" t="s">
        <v>43</v>
      </c>
      <c r="D259" s="103">
        <v>100087724</v>
      </c>
      <c r="E259" s="89" t="s">
        <v>44</v>
      </c>
      <c r="F259" s="89">
        <v>100083001</v>
      </c>
      <c r="G259" s="128" t="s">
        <v>348</v>
      </c>
      <c r="H259" s="166"/>
      <c r="I259" s="92"/>
      <c r="J259" s="92"/>
      <c r="K259" s="94"/>
      <c r="L259" s="92">
        <v>14.399999999999999</v>
      </c>
      <c r="M259" s="93">
        <v>4.8</v>
      </c>
      <c r="N259" s="98">
        <f t="shared" ref="N259:N322" si="10">AVERAGE(L259,M259)</f>
        <v>9.6</v>
      </c>
      <c r="O259" s="97">
        <v>14.399999999999999</v>
      </c>
      <c r="P259" s="92">
        <v>0</v>
      </c>
      <c r="Q259" s="98">
        <f t="shared" si="9"/>
        <v>14.399999999999999</v>
      </c>
      <c r="R259" s="99" t="str">
        <f>+IF(Q259+N259&lt;=0, "NO COMPRADOR", +IF(Q259&lt;=0, "SIN COMPRA "&amp;+UPPER(TEXT('DINAMICA ENERO 26'!$C$2,"mmm 'yy")), "COMPRADOR"))</f>
        <v>COMPRADOR</v>
      </c>
      <c r="S259"/>
      <c r="T259"/>
      <c r="U259"/>
      <c r="V259"/>
      <c r="W259"/>
      <c r="X259"/>
      <c r="Y259"/>
      <c r="Z259"/>
    </row>
    <row r="260" spans="1:26" s="100" customFormat="1">
      <c r="A260" s="88" t="s">
        <v>85</v>
      </c>
      <c r="B260" s="89" t="s">
        <v>315</v>
      </c>
      <c r="C260" s="89" t="s">
        <v>43</v>
      </c>
      <c r="D260" s="103">
        <v>100087724</v>
      </c>
      <c r="E260" s="89" t="s">
        <v>44</v>
      </c>
      <c r="F260" s="89">
        <v>100084045</v>
      </c>
      <c r="G260" s="128" t="s">
        <v>349</v>
      </c>
      <c r="H260" s="166"/>
      <c r="I260" s="92"/>
      <c r="J260" s="92"/>
      <c r="K260" s="94"/>
      <c r="L260" s="92">
        <v>4.8</v>
      </c>
      <c r="M260" s="93">
        <v>4.8</v>
      </c>
      <c r="N260" s="98">
        <f t="shared" si="10"/>
        <v>4.8</v>
      </c>
      <c r="O260" s="97">
        <v>24</v>
      </c>
      <c r="P260" s="92">
        <v>0</v>
      </c>
      <c r="Q260" s="98">
        <f t="shared" si="9"/>
        <v>24</v>
      </c>
      <c r="R260" s="99" t="str">
        <f>+IF(Q260+N260&lt;=0, "NO COMPRADOR", +IF(Q260&lt;=0, "SIN COMPRA "&amp;+UPPER(TEXT('DINAMICA ENERO 26'!$C$2,"mmm 'yy")), "COMPRADOR"))</f>
        <v>COMPRADOR</v>
      </c>
      <c r="S260"/>
      <c r="T260"/>
      <c r="U260"/>
      <c r="V260"/>
      <c r="W260"/>
      <c r="X260"/>
      <c r="Y260"/>
      <c r="Z260"/>
    </row>
    <row r="261" spans="1:26" s="104" customFormat="1">
      <c r="A261" s="88" t="s">
        <v>85</v>
      </c>
      <c r="B261" s="89" t="s">
        <v>315</v>
      </c>
      <c r="C261" s="89" t="s">
        <v>43</v>
      </c>
      <c r="D261" s="103">
        <v>100087724</v>
      </c>
      <c r="E261" s="89" t="s">
        <v>44</v>
      </c>
      <c r="F261" s="89">
        <v>100087681</v>
      </c>
      <c r="G261" s="128" t="s">
        <v>350</v>
      </c>
      <c r="H261" s="166"/>
      <c r="I261" s="92"/>
      <c r="J261" s="92"/>
      <c r="K261" s="94"/>
      <c r="L261" s="92">
        <v>24</v>
      </c>
      <c r="M261" s="93">
        <v>48</v>
      </c>
      <c r="N261" s="98">
        <f t="shared" si="10"/>
        <v>36</v>
      </c>
      <c r="O261" s="97">
        <v>4.8</v>
      </c>
      <c r="P261" s="92">
        <v>0</v>
      </c>
      <c r="Q261" s="98">
        <f t="shared" si="9"/>
        <v>4.8</v>
      </c>
      <c r="R261" s="99" t="str">
        <f>+IF(Q261+N261&lt;=0, "NO COMPRADOR", +IF(Q261&lt;=0, "SIN COMPRA "&amp;+UPPER(TEXT('DINAMICA ENERO 26'!$C$2,"mmm 'yy")), "COMPRADOR"))</f>
        <v>COMPRADOR</v>
      </c>
      <c r="S261"/>
      <c r="T261"/>
      <c r="U261"/>
      <c r="V261"/>
      <c r="W261"/>
      <c r="X261"/>
      <c r="Y261"/>
      <c r="Z261"/>
    </row>
    <row r="262" spans="1:26" s="100" customFormat="1">
      <c r="A262" s="88" t="s">
        <v>85</v>
      </c>
      <c r="B262" s="89" t="s">
        <v>351</v>
      </c>
      <c r="C262" s="89" t="s">
        <v>43</v>
      </c>
      <c r="D262" s="103">
        <v>100070275</v>
      </c>
      <c r="E262" s="89" t="s">
        <v>47</v>
      </c>
      <c r="F262" s="89">
        <v>100079420</v>
      </c>
      <c r="G262" s="128" t="s">
        <v>352</v>
      </c>
      <c r="H262" s="166"/>
      <c r="I262" s="92"/>
      <c r="J262" s="92"/>
      <c r="K262" s="94"/>
      <c r="L262" s="92">
        <v>0</v>
      </c>
      <c r="M262" s="93">
        <v>0</v>
      </c>
      <c r="N262" s="98">
        <f t="shared" si="10"/>
        <v>0</v>
      </c>
      <c r="O262" s="97">
        <v>0</v>
      </c>
      <c r="P262" s="92">
        <v>0</v>
      </c>
      <c r="Q262" s="98">
        <f t="shared" si="9"/>
        <v>0</v>
      </c>
      <c r="R262" s="99" t="str">
        <f>+IF(Q262+N262&lt;=0, "NO COMPRADOR", +IF(Q262&lt;=0, "SIN COMPRA "&amp;+UPPER(TEXT('DINAMICA ENERO 26'!$C$2,"mmm 'yy")), "COMPRADOR"))</f>
        <v>NO COMPRADOR</v>
      </c>
      <c r="S262"/>
      <c r="T262"/>
      <c r="U262"/>
      <c r="V262"/>
      <c r="W262"/>
      <c r="X262"/>
      <c r="Y262"/>
      <c r="Z262"/>
    </row>
    <row r="263" spans="1:26" s="104" customFormat="1">
      <c r="A263" s="88" t="s">
        <v>85</v>
      </c>
      <c r="B263" s="89" t="s">
        <v>351</v>
      </c>
      <c r="C263" s="89" t="s">
        <v>43</v>
      </c>
      <c r="D263" s="103">
        <v>100070275</v>
      </c>
      <c r="E263" s="89" t="s">
        <v>47</v>
      </c>
      <c r="F263" s="89">
        <v>100078680</v>
      </c>
      <c r="G263" s="128" t="s">
        <v>353</v>
      </c>
      <c r="H263" s="166"/>
      <c r="I263" s="92"/>
      <c r="J263" s="92"/>
      <c r="K263" s="94"/>
      <c r="L263" s="92">
        <v>0</v>
      </c>
      <c r="M263" s="93">
        <v>0</v>
      </c>
      <c r="N263" s="98">
        <f t="shared" si="10"/>
        <v>0</v>
      </c>
      <c r="O263" s="97">
        <v>0</v>
      </c>
      <c r="P263" s="92">
        <v>0</v>
      </c>
      <c r="Q263" s="98">
        <f t="shared" si="9"/>
        <v>0</v>
      </c>
      <c r="R263" s="99" t="str">
        <f>+IF(Q263+N263&lt;=0, "NO COMPRADOR", +IF(Q263&lt;=0, "SIN COMPRA "&amp;+UPPER(TEXT('DINAMICA ENERO 26'!$C$2,"mmm 'yy")), "COMPRADOR"))</f>
        <v>NO COMPRADOR</v>
      </c>
      <c r="S263"/>
      <c r="T263"/>
      <c r="U263"/>
      <c r="V263"/>
      <c r="W263"/>
      <c r="X263"/>
      <c r="Y263"/>
      <c r="Z263"/>
    </row>
    <row r="264" spans="1:26" s="104" customFormat="1">
      <c r="A264" s="88" t="s">
        <v>85</v>
      </c>
      <c r="B264" s="89" t="s">
        <v>351</v>
      </c>
      <c r="C264" s="89" t="s">
        <v>43</v>
      </c>
      <c r="D264" s="103">
        <v>100070275</v>
      </c>
      <c r="E264" s="89" t="s">
        <v>47</v>
      </c>
      <c r="F264" s="89">
        <v>100064271</v>
      </c>
      <c r="G264" s="128" t="s">
        <v>354</v>
      </c>
      <c r="H264" s="166"/>
      <c r="I264" s="92"/>
      <c r="J264" s="92"/>
      <c r="K264" s="94"/>
      <c r="L264" s="92">
        <v>0</v>
      </c>
      <c r="M264" s="93">
        <v>0</v>
      </c>
      <c r="N264" s="98">
        <f t="shared" si="10"/>
        <v>0</v>
      </c>
      <c r="O264" s="97">
        <v>0</v>
      </c>
      <c r="P264" s="92">
        <v>0</v>
      </c>
      <c r="Q264" s="98">
        <f t="shared" si="9"/>
        <v>0</v>
      </c>
      <c r="R264" s="99" t="str">
        <f>+IF(Q264+N264&lt;=0, "NO COMPRADOR", +IF(Q264&lt;=0, "SIN COMPRA "&amp;+UPPER(TEXT('DINAMICA ENERO 26'!$C$2,"mmm 'yy")), "COMPRADOR"))</f>
        <v>NO COMPRADOR</v>
      </c>
      <c r="S264"/>
      <c r="T264"/>
      <c r="U264"/>
      <c r="V264"/>
      <c r="W264"/>
      <c r="X264"/>
      <c r="Y264"/>
      <c r="Z264"/>
    </row>
    <row r="265" spans="1:26" s="104" customFormat="1">
      <c r="A265" s="88" t="s">
        <v>85</v>
      </c>
      <c r="B265" s="89" t="s">
        <v>351</v>
      </c>
      <c r="C265" s="89" t="s">
        <v>43</v>
      </c>
      <c r="D265" s="103">
        <v>100070275</v>
      </c>
      <c r="E265" s="89" t="s">
        <v>47</v>
      </c>
      <c r="F265" s="89">
        <v>100069359</v>
      </c>
      <c r="G265" s="128" t="s">
        <v>355</v>
      </c>
      <c r="H265" s="166"/>
      <c r="I265" s="92"/>
      <c r="J265" s="92"/>
      <c r="K265" s="94"/>
      <c r="L265" s="92">
        <v>4.8</v>
      </c>
      <c r="M265" s="93">
        <v>0</v>
      </c>
      <c r="N265" s="98">
        <f t="shared" si="10"/>
        <v>2.4</v>
      </c>
      <c r="O265" s="97">
        <v>0</v>
      </c>
      <c r="P265" s="92">
        <v>0</v>
      </c>
      <c r="Q265" s="98">
        <f t="shared" si="9"/>
        <v>0</v>
      </c>
      <c r="R265" s="99" t="str">
        <f>+IF(Q265+N265&lt;=0, "NO COMPRADOR", +IF(Q265&lt;=0, "SIN COMPRA "&amp;+UPPER(TEXT('DINAMICA ENERO 26'!$C$2,"mmm 'yy")), "COMPRADOR"))</f>
        <v>SIN COMPRA FEB '26</v>
      </c>
      <c r="S265"/>
      <c r="T265"/>
      <c r="U265"/>
      <c r="V265"/>
      <c r="W265"/>
      <c r="X265"/>
      <c r="Y265"/>
      <c r="Z265"/>
    </row>
    <row r="266" spans="1:26" s="104" customFormat="1">
      <c r="A266" s="88" t="s">
        <v>85</v>
      </c>
      <c r="B266" s="89" t="s">
        <v>351</v>
      </c>
      <c r="C266" s="89" t="s">
        <v>43</v>
      </c>
      <c r="D266" s="103">
        <v>100070275</v>
      </c>
      <c r="E266" s="89" t="s">
        <v>47</v>
      </c>
      <c r="F266" s="89">
        <v>100078132</v>
      </c>
      <c r="G266" s="128" t="s">
        <v>356</v>
      </c>
      <c r="H266" s="166"/>
      <c r="I266" s="92"/>
      <c r="J266" s="92"/>
      <c r="K266" s="94"/>
      <c r="L266" s="92">
        <v>19.2</v>
      </c>
      <c r="M266" s="93">
        <v>0</v>
      </c>
      <c r="N266" s="98">
        <f t="shared" si="10"/>
        <v>9.6</v>
      </c>
      <c r="O266" s="97">
        <v>-4.8</v>
      </c>
      <c r="P266" s="92">
        <v>0</v>
      </c>
      <c r="Q266" s="98">
        <f t="shared" si="9"/>
        <v>-4.8</v>
      </c>
      <c r="R266" s="99" t="str">
        <f>+IF(Q266+N266&lt;=0, "NO COMPRADOR", +IF(Q266&lt;=0, "SIN COMPRA "&amp;+UPPER(TEXT('DINAMICA ENERO 26'!$C$2,"mmm 'yy")), "COMPRADOR"))</f>
        <v>SIN COMPRA FEB '26</v>
      </c>
      <c r="S266"/>
      <c r="T266"/>
      <c r="U266"/>
      <c r="V266"/>
      <c r="W266"/>
      <c r="X266"/>
      <c r="Y266"/>
      <c r="Z266"/>
    </row>
    <row r="267" spans="1:26" s="100" customFormat="1">
      <c r="A267" s="88" t="s">
        <v>85</v>
      </c>
      <c r="B267" s="89" t="s">
        <v>351</v>
      </c>
      <c r="C267" s="89" t="s">
        <v>43</v>
      </c>
      <c r="D267" s="103">
        <v>100070275</v>
      </c>
      <c r="E267" s="89" t="s">
        <v>47</v>
      </c>
      <c r="F267" s="89">
        <v>100023921</v>
      </c>
      <c r="G267" s="128" t="s">
        <v>357</v>
      </c>
      <c r="H267" s="166"/>
      <c r="I267" s="92"/>
      <c r="J267" s="92"/>
      <c r="K267" s="94"/>
      <c r="L267" s="92">
        <v>4.8</v>
      </c>
      <c r="M267" s="93">
        <v>0</v>
      </c>
      <c r="N267" s="98">
        <f t="shared" si="10"/>
        <v>2.4</v>
      </c>
      <c r="O267" s="97">
        <v>-4.8</v>
      </c>
      <c r="P267" s="92">
        <v>0</v>
      </c>
      <c r="Q267" s="98">
        <f t="shared" si="9"/>
        <v>-4.8</v>
      </c>
      <c r="R267" s="99" t="str">
        <f>+IF(Q267+N267&lt;=0, "NO COMPRADOR", +IF(Q267&lt;=0, "SIN COMPRA "&amp;+UPPER(TEXT('DINAMICA ENERO 26'!$C$2,"mmm 'yy")), "COMPRADOR"))</f>
        <v>NO COMPRADOR</v>
      </c>
      <c r="S267"/>
      <c r="T267"/>
      <c r="U267"/>
      <c r="V267"/>
      <c r="W267"/>
      <c r="X267"/>
      <c r="Y267"/>
      <c r="Z267"/>
    </row>
    <row r="268" spans="1:26" s="100" customFormat="1">
      <c r="A268" s="88" t="s">
        <v>85</v>
      </c>
      <c r="B268" s="89" t="s">
        <v>351</v>
      </c>
      <c r="C268" s="89" t="s">
        <v>43</v>
      </c>
      <c r="D268" s="103">
        <v>100070275</v>
      </c>
      <c r="E268" s="89" t="s">
        <v>47</v>
      </c>
      <c r="F268" s="89">
        <v>100082844</v>
      </c>
      <c r="G268" s="128" t="s">
        <v>358</v>
      </c>
      <c r="H268" s="166"/>
      <c r="I268" s="92"/>
      <c r="J268" s="92"/>
      <c r="K268" s="94"/>
      <c r="L268" s="92">
        <v>4.8</v>
      </c>
      <c r="M268" s="93">
        <v>0</v>
      </c>
      <c r="N268" s="98">
        <f t="shared" si="10"/>
        <v>2.4</v>
      </c>
      <c r="O268" s="97">
        <v>-9.6</v>
      </c>
      <c r="P268" s="92">
        <v>0</v>
      </c>
      <c r="Q268" s="98">
        <f t="shared" si="9"/>
        <v>-9.6</v>
      </c>
      <c r="R268" s="99" t="str">
        <f>+IF(Q268+N268&lt;=0, "NO COMPRADOR", +IF(Q268&lt;=0, "SIN COMPRA "&amp;+UPPER(TEXT('DINAMICA ENERO 26'!$C$2,"mmm 'yy")), "COMPRADOR"))</f>
        <v>NO COMPRADOR</v>
      </c>
      <c r="S268"/>
      <c r="T268"/>
      <c r="U268"/>
      <c r="V268"/>
      <c r="W268"/>
      <c r="X268"/>
      <c r="Y268"/>
      <c r="Z268"/>
    </row>
    <row r="269" spans="1:26">
      <c r="A269" s="88" t="s">
        <v>85</v>
      </c>
      <c r="B269" s="89" t="s">
        <v>351</v>
      </c>
      <c r="C269" s="89" t="s">
        <v>43</v>
      </c>
      <c r="D269" s="103">
        <v>100070275</v>
      </c>
      <c r="E269" s="89" t="s">
        <v>47</v>
      </c>
      <c r="F269" s="89">
        <v>100001577</v>
      </c>
      <c r="G269" s="128" t="s">
        <v>359</v>
      </c>
      <c r="H269" s="166"/>
      <c r="I269" s="92"/>
      <c r="J269" s="92"/>
      <c r="K269" s="94"/>
      <c r="L269" s="92">
        <v>0</v>
      </c>
      <c r="M269" s="93">
        <v>0</v>
      </c>
      <c r="N269" s="98">
        <f t="shared" si="10"/>
        <v>0</v>
      </c>
      <c r="O269" s="97">
        <v>0</v>
      </c>
      <c r="P269" s="92">
        <v>0</v>
      </c>
      <c r="Q269" s="98">
        <f t="shared" si="9"/>
        <v>0</v>
      </c>
      <c r="R269" s="99" t="str">
        <f>+IF(Q269+N269&lt;=0, "NO COMPRADOR", +IF(Q269&lt;=0, "SIN COMPRA "&amp;+UPPER(TEXT('DINAMICA ENERO 26'!$C$2,"mmm 'yy")), "COMPRADOR"))</f>
        <v>NO COMPRADOR</v>
      </c>
    </row>
    <row r="270" spans="1:26">
      <c r="A270" s="88" t="s">
        <v>85</v>
      </c>
      <c r="B270" s="89" t="s">
        <v>351</v>
      </c>
      <c r="C270" s="89" t="s">
        <v>43</v>
      </c>
      <c r="D270" s="103">
        <v>100070275</v>
      </c>
      <c r="E270" s="89" t="s">
        <v>47</v>
      </c>
      <c r="F270" s="89">
        <v>100078048</v>
      </c>
      <c r="G270" s="128" t="s">
        <v>360</v>
      </c>
      <c r="H270" s="166"/>
      <c r="I270" s="92"/>
      <c r="J270" s="92"/>
      <c r="K270" s="94"/>
      <c r="L270" s="92">
        <v>9.6</v>
      </c>
      <c r="M270" s="93">
        <v>-4.8</v>
      </c>
      <c r="N270" s="98">
        <f t="shared" si="10"/>
        <v>2.4</v>
      </c>
      <c r="O270" s="97">
        <v>0</v>
      </c>
      <c r="P270" s="92">
        <v>0</v>
      </c>
      <c r="Q270" s="98">
        <f t="shared" si="9"/>
        <v>0</v>
      </c>
      <c r="R270" s="99" t="str">
        <f>+IF(Q270+N270&lt;=0, "NO COMPRADOR", +IF(Q270&lt;=0, "SIN COMPRA "&amp;+UPPER(TEXT('DINAMICA ENERO 26'!$C$2,"mmm 'yy")), "COMPRADOR"))</f>
        <v>SIN COMPRA FEB '26</v>
      </c>
    </row>
    <row r="271" spans="1:26">
      <c r="A271" s="88" t="s">
        <v>85</v>
      </c>
      <c r="B271" s="89" t="s">
        <v>351</v>
      </c>
      <c r="C271" s="89" t="s">
        <v>43</v>
      </c>
      <c r="D271" s="103">
        <v>100070275</v>
      </c>
      <c r="E271" s="89" t="s">
        <v>47</v>
      </c>
      <c r="F271" s="89">
        <v>100001301</v>
      </c>
      <c r="G271" s="128" t="s">
        <v>361</v>
      </c>
      <c r="H271" s="166"/>
      <c r="I271" s="92"/>
      <c r="J271" s="92"/>
      <c r="K271" s="94"/>
      <c r="L271" s="92">
        <v>0</v>
      </c>
      <c r="M271" s="93">
        <v>0</v>
      </c>
      <c r="N271" s="98">
        <f t="shared" si="10"/>
        <v>0</v>
      </c>
      <c r="O271" s="97">
        <v>0</v>
      </c>
      <c r="P271" s="92">
        <v>0</v>
      </c>
      <c r="Q271" s="98">
        <f t="shared" si="9"/>
        <v>0</v>
      </c>
      <c r="R271" s="99" t="str">
        <f>+IF(Q271+N271&lt;=0, "NO COMPRADOR", +IF(Q271&lt;=0, "SIN COMPRA "&amp;+UPPER(TEXT('DINAMICA ENERO 26'!$C$2,"mmm 'yy")), "COMPRADOR"))</f>
        <v>NO COMPRADOR</v>
      </c>
    </row>
    <row r="272" spans="1:26" s="100" customFormat="1">
      <c r="A272" s="88" t="s">
        <v>85</v>
      </c>
      <c r="B272" s="89" t="s">
        <v>351</v>
      </c>
      <c r="C272" s="89" t="s">
        <v>43</v>
      </c>
      <c r="D272" s="103">
        <v>100070275</v>
      </c>
      <c r="E272" s="89" t="s">
        <v>47</v>
      </c>
      <c r="F272" s="89">
        <v>100002071</v>
      </c>
      <c r="G272" s="128" t="s">
        <v>362</v>
      </c>
      <c r="H272" s="166"/>
      <c r="I272" s="92"/>
      <c r="J272" s="92"/>
      <c r="K272" s="94"/>
      <c r="L272" s="92">
        <v>4.8</v>
      </c>
      <c r="M272" s="93">
        <v>72</v>
      </c>
      <c r="N272" s="98">
        <f t="shared" si="10"/>
        <v>38.4</v>
      </c>
      <c r="O272" s="97">
        <v>0</v>
      </c>
      <c r="P272" s="92">
        <v>0</v>
      </c>
      <c r="Q272" s="98">
        <f t="shared" si="9"/>
        <v>0</v>
      </c>
      <c r="R272" s="99" t="str">
        <f>+IF(Q272+N272&lt;=0, "NO COMPRADOR", +IF(Q272&lt;=0, "SIN COMPRA "&amp;+UPPER(TEXT('DINAMICA ENERO 26'!$C$2,"mmm 'yy")), "COMPRADOR"))</f>
        <v>SIN COMPRA FEB '26</v>
      </c>
      <c r="S272"/>
      <c r="T272"/>
      <c r="U272"/>
      <c r="V272"/>
      <c r="W272"/>
      <c r="X272"/>
      <c r="Y272"/>
      <c r="Z272"/>
    </row>
    <row r="273" spans="1:26" s="104" customFormat="1">
      <c r="A273" s="88" t="s">
        <v>85</v>
      </c>
      <c r="B273" s="89" t="s">
        <v>351</v>
      </c>
      <c r="C273" s="89" t="s">
        <v>43</v>
      </c>
      <c r="D273" s="103">
        <v>100070275</v>
      </c>
      <c r="E273" s="89" t="s">
        <v>47</v>
      </c>
      <c r="F273" s="89">
        <v>100001979</v>
      </c>
      <c r="G273" s="128" t="s">
        <v>290</v>
      </c>
      <c r="H273" s="166"/>
      <c r="I273" s="92"/>
      <c r="J273" s="92"/>
      <c r="K273" s="94"/>
      <c r="L273" s="92">
        <v>14.399999999999999</v>
      </c>
      <c r="M273" s="93">
        <v>4.8</v>
      </c>
      <c r="N273" s="98">
        <f t="shared" si="10"/>
        <v>9.6</v>
      </c>
      <c r="O273" s="97">
        <v>0</v>
      </c>
      <c r="P273" s="92">
        <v>0</v>
      </c>
      <c r="Q273" s="98">
        <f t="shared" si="9"/>
        <v>0</v>
      </c>
      <c r="R273" s="99" t="str">
        <f>+IF(Q273+N273&lt;=0, "NO COMPRADOR", +IF(Q273&lt;=0, "SIN COMPRA "&amp;+UPPER(TEXT('DINAMICA ENERO 26'!$C$2,"mmm 'yy")), "COMPRADOR"))</f>
        <v>SIN COMPRA FEB '26</v>
      </c>
      <c r="S273"/>
      <c r="T273"/>
      <c r="U273"/>
      <c r="V273"/>
      <c r="W273"/>
      <c r="X273"/>
      <c r="Y273"/>
      <c r="Z273"/>
    </row>
    <row r="274" spans="1:26" s="100" customFormat="1">
      <c r="A274" s="88" t="s">
        <v>85</v>
      </c>
      <c r="B274" s="89" t="s">
        <v>351</v>
      </c>
      <c r="C274" s="89" t="s">
        <v>43</v>
      </c>
      <c r="D274" s="103">
        <v>100070275</v>
      </c>
      <c r="E274" s="89" t="s">
        <v>47</v>
      </c>
      <c r="F274" s="89">
        <v>100001679</v>
      </c>
      <c r="G274" s="128" t="s">
        <v>363</v>
      </c>
      <c r="H274" s="166"/>
      <c r="I274" s="92"/>
      <c r="J274" s="92"/>
      <c r="K274" s="94"/>
      <c r="L274" s="92">
        <v>0</v>
      </c>
      <c r="M274" s="93">
        <v>0</v>
      </c>
      <c r="N274" s="98">
        <f t="shared" si="10"/>
        <v>0</v>
      </c>
      <c r="O274" s="97">
        <v>0</v>
      </c>
      <c r="P274" s="92">
        <v>0</v>
      </c>
      <c r="Q274" s="98">
        <f t="shared" si="9"/>
        <v>0</v>
      </c>
      <c r="R274" s="99" t="str">
        <f>+IF(Q274+N274&lt;=0, "NO COMPRADOR", +IF(Q274&lt;=0, "SIN COMPRA "&amp;+UPPER(TEXT('DINAMICA ENERO 26'!$C$2,"mmm 'yy")), "COMPRADOR"))</f>
        <v>NO COMPRADOR</v>
      </c>
      <c r="S274"/>
      <c r="T274"/>
      <c r="U274"/>
      <c r="V274"/>
      <c r="W274"/>
      <c r="X274"/>
      <c r="Y274"/>
      <c r="Z274"/>
    </row>
    <row r="275" spans="1:26" s="104" customFormat="1">
      <c r="A275" s="88" t="s">
        <v>85</v>
      </c>
      <c r="B275" s="89" t="s">
        <v>351</v>
      </c>
      <c r="C275" s="89" t="s">
        <v>43</v>
      </c>
      <c r="D275" s="103">
        <v>100070275</v>
      </c>
      <c r="E275" s="89" t="s">
        <v>47</v>
      </c>
      <c r="F275" s="89">
        <v>100001246</v>
      </c>
      <c r="G275" s="128" t="s">
        <v>364</v>
      </c>
      <c r="H275" s="166"/>
      <c r="I275" s="92"/>
      <c r="J275" s="92"/>
      <c r="K275" s="94"/>
      <c r="L275" s="92">
        <v>4.8</v>
      </c>
      <c r="M275" s="93">
        <v>0</v>
      </c>
      <c r="N275" s="98">
        <f t="shared" si="10"/>
        <v>2.4</v>
      </c>
      <c r="O275" s="97">
        <v>0</v>
      </c>
      <c r="P275" s="92">
        <v>0</v>
      </c>
      <c r="Q275" s="98">
        <f t="shared" si="9"/>
        <v>0</v>
      </c>
      <c r="R275" s="99" t="str">
        <f>+IF(Q275+N275&lt;=0, "NO COMPRADOR", +IF(Q275&lt;=0, "SIN COMPRA "&amp;+UPPER(TEXT('DINAMICA ENERO 26'!$C$2,"mmm 'yy")), "COMPRADOR"))</f>
        <v>SIN COMPRA FEB '26</v>
      </c>
      <c r="S275"/>
      <c r="T275"/>
      <c r="U275"/>
      <c r="V275"/>
      <c r="W275"/>
      <c r="X275"/>
      <c r="Y275"/>
      <c r="Z275"/>
    </row>
    <row r="276" spans="1:26" s="100" customFormat="1">
      <c r="A276" s="88" t="s">
        <v>85</v>
      </c>
      <c r="B276" s="89" t="s">
        <v>351</v>
      </c>
      <c r="C276" s="89" t="s">
        <v>43</v>
      </c>
      <c r="D276" s="103">
        <v>100070275</v>
      </c>
      <c r="E276" s="89" t="s">
        <v>47</v>
      </c>
      <c r="F276" s="89">
        <v>100083239</v>
      </c>
      <c r="G276" s="128" t="s">
        <v>365</v>
      </c>
      <c r="H276" s="166"/>
      <c r="I276" s="92"/>
      <c r="J276" s="92"/>
      <c r="K276" s="94"/>
      <c r="L276" s="92">
        <v>4.8</v>
      </c>
      <c r="M276" s="93">
        <v>0</v>
      </c>
      <c r="N276" s="98">
        <f t="shared" si="10"/>
        <v>2.4</v>
      </c>
      <c r="O276" s="97">
        <v>0</v>
      </c>
      <c r="P276" s="92">
        <v>0</v>
      </c>
      <c r="Q276" s="98">
        <f t="shared" si="9"/>
        <v>0</v>
      </c>
      <c r="R276" s="99" t="str">
        <f>+IF(Q276+N276&lt;=0, "NO COMPRADOR", +IF(Q276&lt;=0, "SIN COMPRA "&amp;+UPPER(TEXT('DINAMICA ENERO 26'!$C$2,"mmm 'yy")), "COMPRADOR"))</f>
        <v>SIN COMPRA FEB '26</v>
      </c>
      <c r="S276"/>
      <c r="T276"/>
      <c r="U276"/>
      <c r="V276"/>
      <c r="W276"/>
      <c r="X276"/>
      <c r="Y276"/>
      <c r="Z276"/>
    </row>
    <row r="277" spans="1:26" s="100" customFormat="1">
      <c r="A277" s="88" t="s">
        <v>85</v>
      </c>
      <c r="B277" s="89" t="s">
        <v>351</v>
      </c>
      <c r="C277" s="89" t="s">
        <v>43</v>
      </c>
      <c r="D277" s="103">
        <v>100070275</v>
      </c>
      <c r="E277" s="89" t="s">
        <v>47</v>
      </c>
      <c r="F277" s="89">
        <v>100066082</v>
      </c>
      <c r="G277" s="128" t="s">
        <v>366</v>
      </c>
      <c r="H277" s="166"/>
      <c r="I277" s="92"/>
      <c r="J277" s="92"/>
      <c r="K277" s="94"/>
      <c r="L277" s="92">
        <v>0</v>
      </c>
      <c r="M277" s="93">
        <v>0</v>
      </c>
      <c r="N277" s="98">
        <f t="shared" si="10"/>
        <v>0</v>
      </c>
      <c r="O277" s="97">
        <v>0</v>
      </c>
      <c r="P277" s="92">
        <v>0</v>
      </c>
      <c r="Q277" s="98">
        <f t="shared" si="9"/>
        <v>0</v>
      </c>
      <c r="R277" s="99" t="str">
        <f>+IF(Q277+N277&lt;=0, "NO COMPRADOR", +IF(Q277&lt;=0, "SIN COMPRA "&amp;+UPPER(TEXT('DINAMICA ENERO 26'!$C$2,"mmm 'yy")), "COMPRADOR"))</f>
        <v>NO COMPRADOR</v>
      </c>
      <c r="S277"/>
      <c r="T277"/>
      <c r="U277"/>
      <c r="V277"/>
      <c r="W277"/>
      <c r="X277"/>
      <c r="Y277"/>
      <c r="Z277"/>
    </row>
    <row r="278" spans="1:26" s="100" customFormat="1">
      <c r="A278" s="88" t="s">
        <v>85</v>
      </c>
      <c r="B278" s="89" t="s">
        <v>351</v>
      </c>
      <c r="C278" s="89" t="s">
        <v>43</v>
      </c>
      <c r="D278" s="103">
        <v>100075073</v>
      </c>
      <c r="E278" s="89" t="s">
        <v>48</v>
      </c>
      <c r="F278" s="89">
        <v>100001979</v>
      </c>
      <c r="G278" s="128" t="s">
        <v>290</v>
      </c>
      <c r="H278" s="166"/>
      <c r="I278" s="92"/>
      <c r="J278" s="92"/>
      <c r="K278" s="94"/>
      <c r="L278" s="92">
        <v>14.399999999999999</v>
      </c>
      <c r="M278" s="93">
        <v>0</v>
      </c>
      <c r="N278" s="98">
        <f t="shared" si="10"/>
        <v>7.1999999999999993</v>
      </c>
      <c r="O278" s="97">
        <v>0</v>
      </c>
      <c r="P278" s="92">
        <v>0</v>
      </c>
      <c r="Q278" s="98">
        <f t="shared" si="9"/>
        <v>0</v>
      </c>
      <c r="R278" s="99" t="str">
        <f>+IF(Q278+N278&lt;=0, "NO COMPRADOR", +IF(Q278&lt;=0, "SIN COMPRA "&amp;+UPPER(TEXT('DINAMICA ENERO 26'!$C$2,"mmm 'yy")), "COMPRADOR"))</f>
        <v>SIN COMPRA FEB '26</v>
      </c>
      <c r="S278"/>
      <c r="T278"/>
      <c r="U278"/>
      <c r="V278"/>
      <c r="W278"/>
      <c r="X278"/>
      <c r="Y278"/>
      <c r="Z278"/>
    </row>
    <row r="279" spans="1:26" s="104" customFormat="1">
      <c r="A279" s="88" t="s">
        <v>85</v>
      </c>
      <c r="B279" s="89" t="s">
        <v>351</v>
      </c>
      <c r="C279" s="89" t="s">
        <v>43</v>
      </c>
      <c r="D279" s="103">
        <v>100075073</v>
      </c>
      <c r="E279" s="89" t="s">
        <v>48</v>
      </c>
      <c r="F279" s="89">
        <v>100014590</v>
      </c>
      <c r="G279" s="128" t="s">
        <v>367</v>
      </c>
      <c r="H279" s="166"/>
      <c r="I279" s="92"/>
      <c r="J279" s="92"/>
      <c r="K279" s="94"/>
      <c r="L279" s="92">
        <v>4.8</v>
      </c>
      <c r="M279" s="93">
        <v>0</v>
      </c>
      <c r="N279" s="98">
        <f t="shared" si="10"/>
        <v>2.4</v>
      </c>
      <c r="O279" s="97">
        <v>0</v>
      </c>
      <c r="P279" s="92">
        <v>0</v>
      </c>
      <c r="Q279" s="98">
        <f t="shared" si="9"/>
        <v>0</v>
      </c>
      <c r="R279" s="99" t="str">
        <f>+IF(Q279+N279&lt;=0, "NO COMPRADOR", +IF(Q279&lt;=0, "SIN COMPRA "&amp;+UPPER(TEXT('DINAMICA ENERO 26'!$C$2,"mmm 'yy")), "COMPRADOR"))</f>
        <v>SIN COMPRA FEB '26</v>
      </c>
      <c r="S279"/>
      <c r="T279"/>
      <c r="U279"/>
      <c r="V279"/>
      <c r="W279"/>
      <c r="X279"/>
      <c r="Y279"/>
      <c r="Z279"/>
    </row>
    <row r="280" spans="1:26" s="104" customFormat="1">
      <c r="A280" s="88" t="s">
        <v>85</v>
      </c>
      <c r="B280" s="89" t="s">
        <v>351</v>
      </c>
      <c r="C280" s="89" t="s">
        <v>43</v>
      </c>
      <c r="D280" s="103">
        <v>100075073</v>
      </c>
      <c r="E280" s="89" t="s">
        <v>48</v>
      </c>
      <c r="F280" s="89">
        <v>100001197</v>
      </c>
      <c r="G280" s="128" t="s">
        <v>368</v>
      </c>
      <c r="H280" s="166"/>
      <c r="I280" s="92"/>
      <c r="J280" s="92"/>
      <c r="K280" s="94"/>
      <c r="L280" s="92">
        <v>9.6</v>
      </c>
      <c r="M280" s="93">
        <v>0</v>
      </c>
      <c r="N280" s="98">
        <f t="shared" si="10"/>
        <v>4.8</v>
      </c>
      <c r="O280" s="97">
        <v>-9.6</v>
      </c>
      <c r="P280" s="92">
        <v>0</v>
      </c>
      <c r="Q280" s="98">
        <f t="shared" si="9"/>
        <v>-9.6</v>
      </c>
      <c r="R280" s="99" t="str">
        <f>+IF(Q280+N280&lt;=0, "NO COMPRADOR", +IF(Q280&lt;=0, "SIN COMPRA "&amp;+UPPER(TEXT('DINAMICA ENERO 26'!$C$2,"mmm 'yy")), "COMPRADOR"))</f>
        <v>NO COMPRADOR</v>
      </c>
      <c r="S280"/>
      <c r="T280"/>
      <c r="U280"/>
      <c r="V280"/>
      <c r="W280"/>
      <c r="X280"/>
      <c r="Y280"/>
      <c r="Z280"/>
    </row>
    <row r="281" spans="1:26" s="104" customFormat="1">
      <c r="A281" s="88" t="s">
        <v>85</v>
      </c>
      <c r="B281" s="89" t="s">
        <v>351</v>
      </c>
      <c r="C281" s="89" t="s">
        <v>43</v>
      </c>
      <c r="D281" s="103">
        <v>100075073</v>
      </c>
      <c r="E281" s="89" t="s">
        <v>48</v>
      </c>
      <c r="F281" s="89">
        <v>100087851</v>
      </c>
      <c r="G281" s="128" t="s">
        <v>369</v>
      </c>
      <c r="H281" s="166"/>
      <c r="I281" s="92"/>
      <c r="J281" s="92"/>
      <c r="K281" s="94"/>
      <c r="L281" s="92">
        <v>0</v>
      </c>
      <c r="M281" s="93">
        <v>0</v>
      </c>
      <c r="N281" s="98">
        <f t="shared" si="10"/>
        <v>0</v>
      </c>
      <c r="O281" s="97">
        <v>4.8</v>
      </c>
      <c r="P281" s="92">
        <v>0</v>
      </c>
      <c r="Q281" s="98">
        <f t="shared" si="9"/>
        <v>4.8</v>
      </c>
      <c r="R281" s="99" t="str">
        <f>+IF(Q281+N281&lt;=0, "NO COMPRADOR", +IF(Q281&lt;=0, "SIN COMPRA "&amp;+UPPER(TEXT('DINAMICA ENERO 26'!$C$2,"mmm 'yy")), "COMPRADOR"))</f>
        <v>COMPRADOR</v>
      </c>
      <c r="S281"/>
      <c r="T281"/>
      <c r="U281"/>
      <c r="V281"/>
      <c r="W281"/>
      <c r="X281"/>
      <c r="Y281"/>
      <c r="Z281"/>
    </row>
    <row r="282" spans="1:26">
      <c r="A282" s="88" t="s">
        <v>85</v>
      </c>
      <c r="B282" s="89" t="s">
        <v>351</v>
      </c>
      <c r="C282" s="89" t="s">
        <v>43</v>
      </c>
      <c r="D282" s="103">
        <v>100075073</v>
      </c>
      <c r="E282" s="89" t="s">
        <v>48</v>
      </c>
      <c r="F282" s="89">
        <v>100001807</v>
      </c>
      <c r="G282" s="128" t="s">
        <v>370</v>
      </c>
      <c r="H282" s="166"/>
      <c r="I282" s="92"/>
      <c r="J282" s="92"/>
      <c r="K282" s="94"/>
      <c r="L282" s="92">
        <v>0</v>
      </c>
      <c r="M282" s="93">
        <v>0</v>
      </c>
      <c r="N282" s="98">
        <f t="shared" si="10"/>
        <v>0</v>
      </c>
      <c r="O282" s="97">
        <v>0</v>
      </c>
      <c r="P282" s="92">
        <v>0</v>
      </c>
      <c r="Q282" s="98">
        <f t="shared" si="9"/>
        <v>0</v>
      </c>
      <c r="R282" s="99" t="str">
        <f>+IF(Q282+N282&lt;=0, "NO COMPRADOR", +IF(Q282&lt;=0, "SIN COMPRA "&amp;+UPPER(TEXT('DINAMICA ENERO 26'!$C$2,"mmm 'yy")), "COMPRADOR"))</f>
        <v>NO COMPRADOR</v>
      </c>
    </row>
    <row r="283" spans="1:26">
      <c r="A283" s="88" t="s">
        <v>85</v>
      </c>
      <c r="B283" s="89" t="s">
        <v>351</v>
      </c>
      <c r="C283" s="89" t="s">
        <v>43</v>
      </c>
      <c r="D283" s="103">
        <v>100075073</v>
      </c>
      <c r="E283" s="89" t="s">
        <v>48</v>
      </c>
      <c r="F283" s="89">
        <v>100001935</v>
      </c>
      <c r="G283" s="128" t="s">
        <v>371</v>
      </c>
      <c r="H283" s="166"/>
      <c r="I283" s="92"/>
      <c r="J283" s="92"/>
      <c r="K283" s="94"/>
      <c r="L283" s="92">
        <v>0</v>
      </c>
      <c r="M283" s="93">
        <v>0</v>
      </c>
      <c r="N283" s="98">
        <f t="shared" si="10"/>
        <v>0</v>
      </c>
      <c r="O283" s="97">
        <v>0</v>
      </c>
      <c r="P283" s="92">
        <v>0</v>
      </c>
      <c r="Q283" s="98">
        <f t="shared" si="9"/>
        <v>0</v>
      </c>
      <c r="R283" s="99" t="str">
        <f>+IF(Q283+N283&lt;=0, "NO COMPRADOR", +IF(Q283&lt;=0, "SIN COMPRA "&amp;+UPPER(TEXT('DINAMICA ENERO 26'!$C$2,"mmm 'yy")), "COMPRADOR"))</f>
        <v>NO COMPRADOR</v>
      </c>
    </row>
    <row r="284" spans="1:26">
      <c r="A284" s="88" t="s">
        <v>85</v>
      </c>
      <c r="B284" s="89" t="s">
        <v>351</v>
      </c>
      <c r="C284" s="89" t="s">
        <v>43</v>
      </c>
      <c r="D284" s="103">
        <v>100075073</v>
      </c>
      <c r="E284" s="89" t="s">
        <v>48</v>
      </c>
      <c r="F284" s="89">
        <v>100082353</v>
      </c>
      <c r="G284" s="128" t="s">
        <v>372</v>
      </c>
      <c r="H284" s="166"/>
      <c r="I284" s="92"/>
      <c r="J284" s="92"/>
      <c r="K284" s="94"/>
      <c r="L284" s="92">
        <v>4.8</v>
      </c>
      <c r="M284" s="93">
        <v>0</v>
      </c>
      <c r="N284" s="98">
        <f t="shared" si="10"/>
        <v>2.4</v>
      </c>
      <c r="O284" s="97">
        <v>0</v>
      </c>
      <c r="P284" s="92">
        <v>0</v>
      </c>
      <c r="Q284" s="98">
        <f t="shared" si="9"/>
        <v>0</v>
      </c>
      <c r="R284" s="99" t="str">
        <f>+IF(Q284+N284&lt;=0, "NO COMPRADOR", +IF(Q284&lt;=0, "SIN COMPRA "&amp;+UPPER(TEXT('DINAMICA ENERO 26'!$C$2,"mmm 'yy")), "COMPRADOR"))</f>
        <v>SIN COMPRA FEB '26</v>
      </c>
    </row>
    <row r="285" spans="1:26">
      <c r="A285" s="88" t="s">
        <v>85</v>
      </c>
      <c r="B285" s="89" t="s">
        <v>351</v>
      </c>
      <c r="C285" s="89" t="s">
        <v>43</v>
      </c>
      <c r="D285" s="103">
        <v>100075073</v>
      </c>
      <c r="E285" s="89" t="s">
        <v>48</v>
      </c>
      <c r="F285" s="89">
        <v>100075136</v>
      </c>
      <c r="G285" s="128" t="s">
        <v>373</v>
      </c>
      <c r="H285" s="166"/>
      <c r="I285" s="92"/>
      <c r="J285" s="92"/>
      <c r="K285" s="94"/>
      <c r="L285" s="92">
        <v>4.8</v>
      </c>
      <c r="M285" s="93">
        <v>0</v>
      </c>
      <c r="N285" s="98">
        <f t="shared" si="10"/>
        <v>2.4</v>
      </c>
      <c r="O285" s="97">
        <v>0</v>
      </c>
      <c r="P285" s="92">
        <v>0</v>
      </c>
      <c r="Q285" s="98">
        <f t="shared" si="9"/>
        <v>0</v>
      </c>
      <c r="R285" s="99" t="str">
        <f>+IF(Q285+N285&lt;=0, "NO COMPRADOR", +IF(Q285&lt;=0, "SIN COMPRA "&amp;+UPPER(TEXT('DINAMICA ENERO 26'!$C$2,"mmm 'yy")), "COMPRADOR"))</f>
        <v>SIN COMPRA FEB '26</v>
      </c>
    </row>
    <row r="286" spans="1:26">
      <c r="A286" s="88" t="s">
        <v>85</v>
      </c>
      <c r="B286" s="89" t="s">
        <v>351</v>
      </c>
      <c r="C286" s="89" t="s">
        <v>43</v>
      </c>
      <c r="D286" s="103">
        <v>100075073</v>
      </c>
      <c r="E286" s="89" t="s">
        <v>48</v>
      </c>
      <c r="F286" s="89">
        <v>100002420</v>
      </c>
      <c r="G286" s="128" t="s">
        <v>374</v>
      </c>
      <c r="H286" s="166"/>
      <c r="I286" s="92"/>
      <c r="J286" s="92"/>
      <c r="K286" s="94"/>
      <c r="L286" s="92">
        <v>0</v>
      </c>
      <c r="M286" s="93">
        <v>0</v>
      </c>
      <c r="N286" s="98">
        <f t="shared" si="10"/>
        <v>0</v>
      </c>
      <c r="O286" s="97">
        <v>0</v>
      </c>
      <c r="P286" s="92">
        <v>0</v>
      </c>
      <c r="Q286" s="98">
        <f t="shared" si="9"/>
        <v>0</v>
      </c>
      <c r="R286" s="99" t="str">
        <f>+IF(Q286+N286&lt;=0, "NO COMPRADOR", +IF(Q286&lt;=0, "SIN COMPRA "&amp;+UPPER(TEXT('DINAMICA ENERO 26'!$C$2,"mmm 'yy")), "COMPRADOR"))</f>
        <v>NO COMPRADOR</v>
      </c>
    </row>
    <row r="287" spans="1:26">
      <c r="A287" s="88" t="s">
        <v>85</v>
      </c>
      <c r="B287" s="89" t="s">
        <v>351</v>
      </c>
      <c r="C287" s="89" t="s">
        <v>43</v>
      </c>
      <c r="D287" s="103">
        <v>100075073</v>
      </c>
      <c r="E287" s="89" t="s">
        <v>48</v>
      </c>
      <c r="F287" s="89">
        <v>100064325</v>
      </c>
      <c r="G287" s="128" t="s">
        <v>375</v>
      </c>
      <c r="H287" s="166"/>
      <c r="I287" s="92"/>
      <c r="J287" s="92"/>
      <c r="K287" s="94"/>
      <c r="L287" s="92">
        <v>0</v>
      </c>
      <c r="M287" s="93">
        <v>0</v>
      </c>
      <c r="N287" s="98">
        <f t="shared" si="10"/>
        <v>0</v>
      </c>
      <c r="O287" s="97">
        <v>0</v>
      </c>
      <c r="P287" s="92">
        <v>0</v>
      </c>
      <c r="Q287" s="98">
        <f t="shared" si="9"/>
        <v>0</v>
      </c>
      <c r="R287" s="99" t="str">
        <f>+IF(Q287+N287&lt;=0, "NO COMPRADOR", +IF(Q287&lt;=0, "SIN COMPRA "&amp;+UPPER(TEXT('DINAMICA ENERO 26'!$C$2,"mmm 'yy")), "COMPRADOR"))</f>
        <v>NO COMPRADOR</v>
      </c>
    </row>
    <row r="288" spans="1:26">
      <c r="A288" s="88" t="s">
        <v>85</v>
      </c>
      <c r="B288" s="89" t="s">
        <v>351</v>
      </c>
      <c r="C288" s="89" t="s">
        <v>43</v>
      </c>
      <c r="D288" s="103">
        <v>100075073</v>
      </c>
      <c r="E288" s="89" t="s">
        <v>48</v>
      </c>
      <c r="F288" s="89">
        <v>100085596</v>
      </c>
      <c r="G288" s="128" t="s">
        <v>376</v>
      </c>
      <c r="H288" s="166"/>
      <c r="I288" s="92"/>
      <c r="J288" s="92"/>
      <c r="K288" s="94"/>
      <c r="L288" s="92">
        <v>0</v>
      </c>
      <c r="M288" s="93">
        <v>0</v>
      </c>
      <c r="N288" s="98">
        <f t="shared" si="10"/>
        <v>0</v>
      </c>
      <c r="O288" s="97">
        <v>0</v>
      </c>
      <c r="P288" s="92">
        <v>0</v>
      </c>
      <c r="Q288" s="98">
        <f t="shared" si="9"/>
        <v>0</v>
      </c>
      <c r="R288" s="99" t="str">
        <f>+IF(Q288+N288&lt;=0, "NO COMPRADOR", +IF(Q288&lt;=0, "SIN COMPRA "&amp;+UPPER(TEXT('DINAMICA ENERO 26'!$C$2,"mmm 'yy")), "COMPRADOR"))</f>
        <v>NO COMPRADOR</v>
      </c>
    </row>
    <row r="289" spans="1:18">
      <c r="A289" s="88" t="s">
        <v>85</v>
      </c>
      <c r="B289" s="89" t="s">
        <v>351</v>
      </c>
      <c r="C289" s="89" t="s">
        <v>43</v>
      </c>
      <c r="D289" s="103">
        <v>100075073</v>
      </c>
      <c r="E289" s="89" t="s">
        <v>48</v>
      </c>
      <c r="F289" s="89">
        <v>100001738</v>
      </c>
      <c r="G289" s="128" t="s">
        <v>377</v>
      </c>
      <c r="H289" s="166"/>
      <c r="I289" s="92"/>
      <c r="J289" s="92"/>
      <c r="K289" s="94"/>
      <c r="L289" s="92">
        <v>0</v>
      </c>
      <c r="M289" s="93">
        <v>0</v>
      </c>
      <c r="N289" s="98">
        <f t="shared" si="10"/>
        <v>0</v>
      </c>
      <c r="O289" s="97">
        <v>0</v>
      </c>
      <c r="P289" s="92">
        <v>0</v>
      </c>
      <c r="Q289" s="98">
        <f t="shared" si="9"/>
        <v>0</v>
      </c>
      <c r="R289" s="99" t="str">
        <f>+IF(Q289+N289&lt;=0, "NO COMPRADOR", +IF(Q289&lt;=0, "SIN COMPRA "&amp;+UPPER(TEXT('DINAMICA ENERO 26'!$C$2,"mmm 'yy")), "COMPRADOR"))</f>
        <v>NO COMPRADOR</v>
      </c>
    </row>
    <row r="290" spans="1:18">
      <c r="A290" s="88" t="s">
        <v>85</v>
      </c>
      <c r="B290" s="89" t="s">
        <v>351</v>
      </c>
      <c r="C290" s="89" t="s">
        <v>43</v>
      </c>
      <c r="D290" s="103">
        <v>100075073</v>
      </c>
      <c r="E290" s="89" t="s">
        <v>48</v>
      </c>
      <c r="F290" s="89">
        <v>100088892</v>
      </c>
      <c r="G290" s="128" t="s">
        <v>378</v>
      </c>
      <c r="H290" s="168"/>
      <c r="I290" s="169"/>
      <c r="J290" s="169"/>
      <c r="K290" s="94"/>
      <c r="L290" s="92">
        <v>4.8</v>
      </c>
      <c r="M290" s="93">
        <v>0</v>
      </c>
      <c r="N290" s="98">
        <f t="shared" si="10"/>
        <v>2.4</v>
      </c>
      <c r="O290" s="97">
        <v>0</v>
      </c>
      <c r="P290" s="92">
        <v>0</v>
      </c>
      <c r="Q290" s="98">
        <f t="shared" si="9"/>
        <v>0</v>
      </c>
      <c r="R290" s="99" t="str">
        <f>+IF(Q290+N290&lt;=0, "NO COMPRADOR", +IF(Q290&lt;=0, "SIN COMPRA "&amp;+UPPER(TEXT('DINAMICA ENERO 26'!$C$2,"mmm 'yy")), "COMPRADOR"))</f>
        <v>SIN COMPRA FEB '26</v>
      </c>
    </row>
    <row r="291" spans="1:18">
      <c r="A291" s="88" t="s">
        <v>379</v>
      </c>
      <c r="B291" s="89" t="s">
        <v>380</v>
      </c>
      <c r="C291" s="89" t="s">
        <v>38</v>
      </c>
      <c r="D291" s="103">
        <v>100050090</v>
      </c>
      <c r="E291" s="89" t="s">
        <v>39</v>
      </c>
      <c r="F291" s="89">
        <v>100001434</v>
      </c>
      <c r="G291" s="128" t="s">
        <v>381</v>
      </c>
      <c r="H291" s="168"/>
      <c r="I291" s="169"/>
      <c r="J291" s="169"/>
      <c r="K291" s="94"/>
      <c r="L291" s="92">
        <v>0</v>
      </c>
      <c r="M291" s="93">
        <v>0</v>
      </c>
      <c r="N291" s="98">
        <f t="shared" si="10"/>
        <v>0</v>
      </c>
      <c r="O291" s="97">
        <v>268.79999999999995</v>
      </c>
      <c r="P291" s="92">
        <v>0</v>
      </c>
      <c r="Q291" s="98">
        <f t="shared" si="9"/>
        <v>268.79999999999995</v>
      </c>
      <c r="R291" s="99" t="str">
        <f>+IF(Q291+N291&lt;=0, "NO COMPRADOR", +IF(Q291&lt;=0, "SIN COMPRA "&amp;+UPPER(TEXT('DINAMICA ENERO 26'!$C$2,"mmm 'yy")), "COMPRADOR"))</f>
        <v>COMPRADOR</v>
      </c>
    </row>
    <row r="292" spans="1:18">
      <c r="A292" s="88" t="s">
        <v>379</v>
      </c>
      <c r="B292" s="89" t="s">
        <v>380</v>
      </c>
      <c r="C292" s="89" t="s">
        <v>38</v>
      </c>
      <c r="D292" s="103">
        <v>100050090</v>
      </c>
      <c r="E292" s="89" t="s">
        <v>39</v>
      </c>
      <c r="F292" s="89">
        <v>100014442</v>
      </c>
      <c r="G292" s="128" t="s">
        <v>382</v>
      </c>
      <c r="H292" s="168"/>
      <c r="I292" s="169"/>
      <c r="J292" s="169"/>
      <c r="K292" s="94"/>
      <c r="L292" s="92">
        <v>0</v>
      </c>
      <c r="M292" s="93">
        <v>0</v>
      </c>
      <c r="N292" s="98">
        <f t="shared" si="10"/>
        <v>0</v>
      </c>
      <c r="O292" s="97">
        <v>0</v>
      </c>
      <c r="P292" s="92">
        <v>0</v>
      </c>
      <c r="Q292" s="98">
        <f t="shared" si="9"/>
        <v>0</v>
      </c>
      <c r="R292" s="99" t="str">
        <f>+IF(Q292+N292&lt;=0, "NO COMPRADOR", +IF(Q292&lt;=0, "SIN COMPRA "&amp;+UPPER(TEXT('DINAMICA ENERO 26'!$C$2,"mmm 'yy")), "COMPRADOR"))</f>
        <v>NO COMPRADOR</v>
      </c>
    </row>
    <row r="293" spans="1:18">
      <c r="A293" s="88" t="s">
        <v>379</v>
      </c>
      <c r="B293" s="89" t="s">
        <v>380</v>
      </c>
      <c r="C293" s="89" t="s">
        <v>38</v>
      </c>
      <c r="D293" s="103">
        <v>100050090</v>
      </c>
      <c r="E293" s="89" t="s">
        <v>39</v>
      </c>
      <c r="F293" s="89">
        <v>100018913</v>
      </c>
      <c r="G293" s="128" t="s">
        <v>383</v>
      </c>
      <c r="H293" s="168"/>
      <c r="I293" s="169"/>
      <c r="J293" s="169"/>
      <c r="K293" s="94"/>
      <c r="L293" s="92">
        <v>0</v>
      </c>
      <c r="M293" s="93">
        <v>0</v>
      </c>
      <c r="N293" s="98">
        <f t="shared" si="10"/>
        <v>0</v>
      </c>
      <c r="O293" s="97">
        <v>0</v>
      </c>
      <c r="P293" s="92">
        <v>0</v>
      </c>
      <c r="Q293" s="98">
        <f t="shared" si="9"/>
        <v>0</v>
      </c>
      <c r="R293" s="99" t="str">
        <f>+IF(Q293+N293&lt;=0, "NO COMPRADOR", +IF(Q293&lt;=0, "SIN COMPRA "&amp;+UPPER(TEXT('DINAMICA ENERO 26'!$C$2,"mmm 'yy")), "COMPRADOR"))</f>
        <v>NO COMPRADOR</v>
      </c>
    </row>
    <row r="294" spans="1:18">
      <c r="A294" s="88" t="s">
        <v>379</v>
      </c>
      <c r="B294" s="89" t="s">
        <v>380</v>
      </c>
      <c r="C294" s="89" t="s">
        <v>38</v>
      </c>
      <c r="D294" s="103">
        <v>100050090</v>
      </c>
      <c r="E294" s="89" t="s">
        <v>39</v>
      </c>
      <c r="F294" s="89">
        <v>100015167</v>
      </c>
      <c r="G294" s="128" t="s">
        <v>384</v>
      </c>
      <c r="H294" s="168"/>
      <c r="I294" s="169"/>
      <c r="J294" s="169"/>
      <c r="K294" s="94"/>
      <c r="L294" s="92">
        <v>96</v>
      </c>
      <c r="M294" s="93">
        <v>24</v>
      </c>
      <c r="N294" s="98">
        <f t="shared" si="10"/>
        <v>60</v>
      </c>
      <c r="O294" s="97">
        <v>0</v>
      </c>
      <c r="P294" s="92">
        <v>0</v>
      </c>
      <c r="Q294" s="98">
        <f t="shared" si="9"/>
        <v>0</v>
      </c>
      <c r="R294" s="99" t="str">
        <f>+IF(Q294+N294&lt;=0, "NO COMPRADOR", +IF(Q294&lt;=0, "SIN COMPRA "&amp;+UPPER(TEXT('DINAMICA ENERO 26'!$C$2,"mmm 'yy")), "COMPRADOR"))</f>
        <v>SIN COMPRA FEB '26</v>
      </c>
    </row>
    <row r="295" spans="1:18">
      <c r="A295" s="88" t="s">
        <v>379</v>
      </c>
      <c r="B295" s="89" t="s">
        <v>380</v>
      </c>
      <c r="C295" s="89" t="s">
        <v>38</v>
      </c>
      <c r="D295" s="103">
        <v>100050090</v>
      </c>
      <c r="E295" s="89" t="s">
        <v>39</v>
      </c>
      <c r="F295" s="89">
        <v>100001979</v>
      </c>
      <c r="G295" s="128" t="s">
        <v>290</v>
      </c>
      <c r="H295" s="168"/>
      <c r="I295" s="169"/>
      <c r="J295" s="169"/>
      <c r="K295" s="94"/>
      <c r="L295" s="92">
        <v>9.6</v>
      </c>
      <c r="M295" s="93">
        <v>4.8</v>
      </c>
      <c r="N295" s="98">
        <f t="shared" si="10"/>
        <v>7.1999999999999993</v>
      </c>
      <c r="O295" s="97">
        <v>0</v>
      </c>
      <c r="P295" s="92">
        <v>0</v>
      </c>
      <c r="Q295" s="98">
        <f t="shared" ref="Q295:Q358" si="11">+O295+P295</f>
        <v>0</v>
      </c>
      <c r="R295" s="99" t="str">
        <f>+IF(Q295+N295&lt;=0, "NO COMPRADOR", +IF(Q295&lt;=0, "SIN COMPRA "&amp;+UPPER(TEXT('DINAMICA ENERO 26'!$C$2,"mmm 'yy")), "COMPRADOR"))</f>
        <v>SIN COMPRA FEB '26</v>
      </c>
    </row>
    <row r="296" spans="1:18">
      <c r="A296" s="88" t="s">
        <v>379</v>
      </c>
      <c r="B296" s="89" t="s">
        <v>380</v>
      </c>
      <c r="C296" s="89" t="s">
        <v>38</v>
      </c>
      <c r="D296" s="103">
        <v>100050090</v>
      </c>
      <c r="E296" s="89" t="s">
        <v>39</v>
      </c>
      <c r="F296" s="89">
        <v>100000650</v>
      </c>
      <c r="G296" s="128" t="s">
        <v>385</v>
      </c>
      <c r="H296" s="168"/>
      <c r="I296" s="169"/>
      <c r="J296" s="169"/>
      <c r="K296" s="94"/>
      <c r="L296" s="92">
        <v>0</v>
      </c>
      <c r="M296" s="93">
        <v>4.8</v>
      </c>
      <c r="N296" s="98">
        <f t="shared" si="10"/>
        <v>2.4</v>
      </c>
      <c r="O296" s="97">
        <v>0</v>
      </c>
      <c r="P296" s="92">
        <v>0</v>
      </c>
      <c r="Q296" s="98">
        <f t="shared" si="11"/>
        <v>0</v>
      </c>
      <c r="R296" s="99" t="str">
        <f>+IF(Q296+N296&lt;=0, "NO COMPRADOR", +IF(Q296&lt;=0, "SIN COMPRA "&amp;+UPPER(TEXT('DINAMICA ENERO 26'!$C$2,"mmm 'yy")), "COMPRADOR"))</f>
        <v>SIN COMPRA FEB '26</v>
      </c>
    </row>
    <row r="297" spans="1:18">
      <c r="A297" s="88" t="s">
        <v>379</v>
      </c>
      <c r="B297" s="89" t="s">
        <v>380</v>
      </c>
      <c r="C297" s="89" t="s">
        <v>38</v>
      </c>
      <c r="D297" s="103">
        <v>100050090</v>
      </c>
      <c r="E297" s="89" t="s">
        <v>39</v>
      </c>
      <c r="F297" s="89">
        <v>100001938</v>
      </c>
      <c r="G297" s="128" t="s">
        <v>386</v>
      </c>
      <c r="H297" s="168"/>
      <c r="I297" s="169"/>
      <c r="J297" s="169"/>
      <c r="K297" s="94"/>
      <c r="L297" s="92">
        <v>96</v>
      </c>
      <c r="M297" s="93">
        <v>95.999999999999986</v>
      </c>
      <c r="N297" s="98">
        <f t="shared" si="10"/>
        <v>96</v>
      </c>
      <c r="O297" s="97">
        <v>52.8</v>
      </c>
      <c r="P297" s="92">
        <v>4.8</v>
      </c>
      <c r="Q297" s="98">
        <f t="shared" si="11"/>
        <v>57.599999999999994</v>
      </c>
      <c r="R297" s="99" t="str">
        <f>+IF(Q297+N297&lt;=0, "NO COMPRADOR", +IF(Q297&lt;=0, "SIN COMPRA "&amp;+UPPER(TEXT('DINAMICA ENERO 26'!$C$2,"mmm 'yy")), "COMPRADOR"))</f>
        <v>COMPRADOR</v>
      </c>
    </row>
    <row r="298" spans="1:18">
      <c r="A298" s="88" t="s">
        <v>379</v>
      </c>
      <c r="B298" s="89" t="s">
        <v>380</v>
      </c>
      <c r="C298" s="89" t="s">
        <v>38</v>
      </c>
      <c r="D298" s="103">
        <v>100050090</v>
      </c>
      <c r="E298" s="89" t="s">
        <v>39</v>
      </c>
      <c r="F298" s="89">
        <v>100001342</v>
      </c>
      <c r="G298" s="128" t="s">
        <v>387</v>
      </c>
      <c r="H298" s="168"/>
      <c r="I298" s="169"/>
      <c r="J298" s="169"/>
      <c r="K298" s="94"/>
      <c r="L298" s="92">
        <v>4.8</v>
      </c>
      <c r="M298" s="93">
        <v>14.399999999999999</v>
      </c>
      <c r="N298" s="98">
        <f t="shared" si="10"/>
        <v>9.6</v>
      </c>
      <c r="O298" s="97">
        <v>19.2</v>
      </c>
      <c r="P298" s="92">
        <v>0</v>
      </c>
      <c r="Q298" s="98">
        <f t="shared" si="11"/>
        <v>19.2</v>
      </c>
      <c r="R298" s="99" t="str">
        <f>+IF(Q298+N298&lt;=0, "NO COMPRADOR", +IF(Q298&lt;=0, "SIN COMPRA "&amp;+UPPER(TEXT('DINAMICA ENERO 26'!$C$2,"mmm 'yy")), "COMPRADOR"))</f>
        <v>COMPRADOR</v>
      </c>
    </row>
    <row r="299" spans="1:18">
      <c r="A299" s="88" t="s">
        <v>379</v>
      </c>
      <c r="B299" s="89" t="s">
        <v>380</v>
      </c>
      <c r="C299" s="89" t="s">
        <v>38</v>
      </c>
      <c r="D299" s="103">
        <v>100075114</v>
      </c>
      <c r="E299" s="89" t="s">
        <v>40</v>
      </c>
      <c r="F299" s="89">
        <v>100001342</v>
      </c>
      <c r="G299" s="128" t="s">
        <v>387</v>
      </c>
      <c r="H299" s="168"/>
      <c r="I299" s="169"/>
      <c r="J299" s="169"/>
      <c r="K299" s="94"/>
      <c r="L299" s="92">
        <v>0</v>
      </c>
      <c r="M299" s="93">
        <v>57.599999999999987</v>
      </c>
      <c r="N299" s="98">
        <f t="shared" si="10"/>
        <v>28.799999999999994</v>
      </c>
      <c r="O299" s="97">
        <v>48</v>
      </c>
      <c r="P299" s="92">
        <v>9.6</v>
      </c>
      <c r="Q299" s="98">
        <f t="shared" si="11"/>
        <v>57.6</v>
      </c>
      <c r="R299" s="99" t="str">
        <f>+IF(Q299+N299&lt;=0, "NO COMPRADOR", +IF(Q299&lt;=0, "SIN COMPRA "&amp;+UPPER(TEXT('DINAMICA ENERO 26'!$C$2,"mmm 'yy")), "COMPRADOR"))</f>
        <v>COMPRADOR</v>
      </c>
    </row>
    <row r="300" spans="1:18">
      <c r="A300" s="88" t="s">
        <v>379</v>
      </c>
      <c r="B300" s="89" t="s">
        <v>380</v>
      </c>
      <c r="C300" s="89" t="s">
        <v>38</v>
      </c>
      <c r="D300" s="103">
        <v>100075114</v>
      </c>
      <c r="E300" s="89" t="s">
        <v>40</v>
      </c>
      <c r="F300" s="89">
        <v>100001850</v>
      </c>
      <c r="G300" s="128" t="s">
        <v>388</v>
      </c>
      <c r="H300" s="168"/>
      <c r="I300" s="169"/>
      <c r="J300" s="169"/>
      <c r="K300" s="94"/>
      <c r="L300" s="92">
        <v>0</v>
      </c>
      <c r="M300" s="93">
        <v>0</v>
      </c>
      <c r="N300" s="98">
        <f t="shared" si="10"/>
        <v>0</v>
      </c>
      <c r="O300" s="97">
        <v>0</v>
      </c>
      <c r="P300" s="92">
        <v>0</v>
      </c>
      <c r="Q300" s="98">
        <f t="shared" si="11"/>
        <v>0</v>
      </c>
      <c r="R300" s="99" t="str">
        <f>+IF(Q300+N300&lt;=0, "NO COMPRADOR", +IF(Q300&lt;=0, "SIN COMPRA "&amp;+UPPER(TEXT('DINAMICA ENERO 26'!$C$2,"mmm 'yy")), "COMPRADOR"))</f>
        <v>NO COMPRADOR</v>
      </c>
    </row>
    <row r="301" spans="1:18">
      <c r="A301" s="88" t="s">
        <v>379</v>
      </c>
      <c r="B301" s="89" t="s">
        <v>380</v>
      </c>
      <c r="C301" s="89" t="s">
        <v>38</v>
      </c>
      <c r="D301" s="103">
        <v>100075114</v>
      </c>
      <c r="E301" s="89" t="s">
        <v>40</v>
      </c>
      <c r="F301" s="89">
        <v>100002199</v>
      </c>
      <c r="G301" s="128" t="s">
        <v>389</v>
      </c>
      <c r="H301" s="168"/>
      <c r="I301" s="169"/>
      <c r="J301" s="169"/>
      <c r="K301" s="94"/>
      <c r="L301" s="92">
        <v>4.8</v>
      </c>
      <c r="M301" s="93">
        <v>0</v>
      </c>
      <c r="N301" s="98">
        <f t="shared" si="10"/>
        <v>2.4</v>
      </c>
      <c r="O301" s="97">
        <v>0</v>
      </c>
      <c r="P301" s="92">
        <v>0</v>
      </c>
      <c r="Q301" s="98">
        <f t="shared" si="11"/>
        <v>0</v>
      </c>
      <c r="R301" s="99" t="str">
        <f>+IF(Q301+N301&lt;=0, "NO COMPRADOR", +IF(Q301&lt;=0, "SIN COMPRA "&amp;+UPPER(TEXT('DINAMICA ENERO 26'!$C$2,"mmm 'yy")), "COMPRADOR"))</f>
        <v>SIN COMPRA FEB '26</v>
      </c>
    </row>
    <row r="302" spans="1:18">
      <c r="A302" s="88" t="s">
        <v>379</v>
      </c>
      <c r="B302" s="89" t="s">
        <v>380</v>
      </c>
      <c r="C302" s="89" t="s">
        <v>38</v>
      </c>
      <c r="D302" s="103">
        <v>100075114</v>
      </c>
      <c r="E302" s="89" t="s">
        <v>40</v>
      </c>
      <c r="F302" s="89">
        <v>100001583</v>
      </c>
      <c r="G302" s="128" t="s">
        <v>390</v>
      </c>
      <c r="H302" s="168"/>
      <c r="I302" s="169"/>
      <c r="J302" s="169"/>
      <c r="K302" s="94"/>
      <c r="L302" s="92">
        <v>28.799999999999997</v>
      </c>
      <c r="M302" s="93">
        <v>0</v>
      </c>
      <c r="N302" s="98">
        <f t="shared" si="10"/>
        <v>14.399999999999999</v>
      </c>
      <c r="O302" s="97">
        <v>0</v>
      </c>
      <c r="P302" s="92">
        <v>0</v>
      </c>
      <c r="Q302" s="98">
        <f t="shared" si="11"/>
        <v>0</v>
      </c>
      <c r="R302" s="99" t="str">
        <f>+IF(Q302+N302&lt;=0, "NO COMPRADOR", +IF(Q302&lt;=0, "SIN COMPRA "&amp;+UPPER(TEXT('DINAMICA ENERO 26'!$C$2,"mmm 'yy")), "COMPRADOR"))</f>
        <v>SIN COMPRA FEB '26</v>
      </c>
    </row>
    <row r="303" spans="1:18">
      <c r="A303" s="88" t="s">
        <v>379</v>
      </c>
      <c r="B303" s="89" t="s">
        <v>380</v>
      </c>
      <c r="C303" s="89" t="s">
        <v>38</v>
      </c>
      <c r="D303" s="103">
        <v>100075114</v>
      </c>
      <c r="E303" s="89" t="s">
        <v>40</v>
      </c>
      <c r="F303" s="89">
        <v>100001186</v>
      </c>
      <c r="G303" s="128" t="s">
        <v>391</v>
      </c>
      <c r="H303" s="168"/>
      <c r="I303" s="169"/>
      <c r="J303" s="169"/>
      <c r="K303" s="94"/>
      <c r="L303" s="92">
        <v>4.8</v>
      </c>
      <c r="M303" s="93">
        <v>4.8</v>
      </c>
      <c r="N303" s="98">
        <f t="shared" si="10"/>
        <v>4.8</v>
      </c>
      <c r="O303" s="97">
        <v>0</v>
      </c>
      <c r="P303" s="92">
        <v>0</v>
      </c>
      <c r="Q303" s="98">
        <f t="shared" si="11"/>
        <v>0</v>
      </c>
      <c r="R303" s="99" t="str">
        <f>+IF(Q303+N303&lt;=0, "NO COMPRADOR", +IF(Q303&lt;=0, "SIN COMPRA "&amp;+UPPER(TEXT('DINAMICA ENERO 26'!$C$2,"mmm 'yy")), "COMPRADOR"))</f>
        <v>SIN COMPRA FEB '26</v>
      </c>
    </row>
    <row r="304" spans="1:18">
      <c r="A304" s="88" t="s">
        <v>379</v>
      </c>
      <c r="B304" s="89" t="s">
        <v>380</v>
      </c>
      <c r="C304" s="89" t="s">
        <v>38</v>
      </c>
      <c r="D304" s="103">
        <v>100075114</v>
      </c>
      <c r="E304" s="89" t="s">
        <v>40</v>
      </c>
      <c r="F304" s="89">
        <v>100001979</v>
      </c>
      <c r="G304" s="128" t="s">
        <v>290</v>
      </c>
      <c r="H304" s="168"/>
      <c r="I304" s="169"/>
      <c r="J304" s="169"/>
      <c r="K304" s="94"/>
      <c r="L304" s="92">
        <v>4.8</v>
      </c>
      <c r="M304" s="93">
        <v>4.8</v>
      </c>
      <c r="N304" s="98">
        <f t="shared" si="10"/>
        <v>4.8</v>
      </c>
      <c r="O304" s="97">
        <v>4.8</v>
      </c>
      <c r="P304" s="92">
        <v>0</v>
      </c>
      <c r="Q304" s="98">
        <f t="shared" si="11"/>
        <v>4.8</v>
      </c>
      <c r="R304" s="99" t="str">
        <f>+IF(Q304+N304&lt;=0, "NO COMPRADOR", +IF(Q304&lt;=0, "SIN COMPRA "&amp;+UPPER(TEXT('DINAMICA ENERO 26'!$C$2,"mmm 'yy")), "COMPRADOR"))</f>
        <v>COMPRADOR</v>
      </c>
    </row>
    <row r="305" spans="1:18">
      <c r="A305" s="88" t="s">
        <v>379</v>
      </c>
      <c r="B305" s="89" t="s">
        <v>380</v>
      </c>
      <c r="C305" s="89" t="s">
        <v>38</v>
      </c>
      <c r="D305" s="103">
        <v>100075114</v>
      </c>
      <c r="E305" s="89" t="s">
        <v>40</v>
      </c>
      <c r="F305" s="89">
        <v>100002075</v>
      </c>
      <c r="G305" s="128" t="s">
        <v>392</v>
      </c>
      <c r="H305" s="168"/>
      <c r="I305" s="169"/>
      <c r="J305" s="169"/>
      <c r="K305" s="94"/>
      <c r="L305" s="92">
        <v>0</v>
      </c>
      <c r="M305" s="93">
        <v>24</v>
      </c>
      <c r="N305" s="98">
        <f t="shared" si="10"/>
        <v>12</v>
      </c>
      <c r="O305" s="97">
        <v>47.999999999999993</v>
      </c>
      <c r="P305" s="92">
        <v>4.8</v>
      </c>
      <c r="Q305" s="98">
        <f t="shared" si="11"/>
        <v>52.79999999999999</v>
      </c>
      <c r="R305" s="99" t="str">
        <f>+IF(Q305+N305&lt;=0, "NO COMPRADOR", +IF(Q305&lt;=0, "SIN COMPRA "&amp;+UPPER(TEXT('DINAMICA ENERO 26'!$C$2,"mmm 'yy")), "COMPRADOR"))</f>
        <v>COMPRADOR</v>
      </c>
    </row>
    <row r="306" spans="1:18">
      <c r="A306" s="88" t="s">
        <v>379</v>
      </c>
      <c r="B306" s="89" t="s">
        <v>380</v>
      </c>
      <c r="C306" s="89" t="s">
        <v>38</v>
      </c>
      <c r="D306" s="103">
        <v>100075114</v>
      </c>
      <c r="E306" s="89" t="s">
        <v>40</v>
      </c>
      <c r="F306" s="89">
        <v>100001434</v>
      </c>
      <c r="G306" s="128" t="s">
        <v>381</v>
      </c>
      <c r="H306" s="168"/>
      <c r="I306" s="169"/>
      <c r="J306" s="169"/>
      <c r="K306" s="94"/>
      <c r="L306" s="92">
        <v>0</v>
      </c>
      <c r="M306" s="93">
        <v>0</v>
      </c>
      <c r="N306" s="98">
        <f t="shared" si="10"/>
        <v>0</v>
      </c>
      <c r="O306" s="97">
        <v>33.599999999999994</v>
      </c>
      <c r="P306" s="92">
        <v>0</v>
      </c>
      <c r="Q306" s="98">
        <f t="shared" si="11"/>
        <v>33.599999999999994</v>
      </c>
      <c r="R306" s="99" t="str">
        <f>+IF(Q306+N306&lt;=0, "NO COMPRADOR", +IF(Q306&lt;=0, "SIN COMPRA "&amp;+UPPER(TEXT('DINAMICA ENERO 26'!$C$2,"mmm 'yy")), "COMPRADOR"))</f>
        <v>COMPRADOR</v>
      </c>
    </row>
    <row r="307" spans="1:18">
      <c r="A307" s="88" t="s">
        <v>379</v>
      </c>
      <c r="B307" s="89" t="s">
        <v>380</v>
      </c>
      <c r="C307" s="89" t="s">
        <v>38</v>
      </c>
      <c r="D307" s="103">
        <v>100071290</v>
      </c>
      <c r="E307" s="89" t="s">
        <v>41</v>
      </c>
      <c r="F307" s="89">
        <v>100002075</v>
      </c>
      <c r="G307" s="128" t="s">
        <v>392</v>
      </c>
      <c r="H307" s="168"/>
      <c r="I307" s="169"/>
      <c r="J307" s="169"/>
      <c r="K307" s="94"/>
      <c r="L307" s="92">
        <v>0</v>
      </c>
      <c r="M307" s="93">
        <v>0</v>
      </c>
      <c r="N307" s="98">
        <f t="shared" si="10"/>
        <v>0</v>
      </c>
      <c r="O307" s="97">
        <v>0</v>
      </c>
      <c r="P307" s="92">
        <v>0</v>
      </c>
      <c r="Q307" s="98">
        <f t="shared" si="11"/>
        <v>0</v>
      </c>
      <c r="R307" s="99" t="str">
        <f>+IF(Q307+N307&lt;=0, "NO COMPRADOR", +IF(Q307&lt;=0, "SIN COMPRA "&amp;+UPPER(TEXT('DINAMICA ENERO 26'!$C$2,"mmm 'yy")), "COMPRADOR"))</f>
        <v>NO COMPRADOR</v>
      </c>
    </row>
    <row r="308" spans="1:18">
      <c r="A308" s="88" t="s">
        <v>379</v>
      </c>
      <c r="B308" s="89" t="s">
        <v>380</v>
      </c>
      <c r="C308" s="89" t="s">
        <v>38</v>
      </c>
      <c r="D308" s="103">
        <v>100071290</v>
      </c>
      <c r="E308" s="89" t="s">
        <v>41</v>
      </c>
      <c r="F308" s="89">
        <v>100001272</v>
      </c>
      <c r="G308" s="128" t="s">
        <v>393</v>
      </c>
      <c r="H308" s="168"/>
      <c r="I308" s="169"/>
      <c r="J308" s="169"/>
      <c r="K308" s="94"/>
      <c r="L308" s="92">
        <v>0</v>
      </c>
      <c r="M308" s="93">
        <v>38.4</v>
      </c>
      <c r="N308" s="98">
        <f t="shared" si="10"/>
        <v>19.2</v>
      </c>
      <c r="O308" s="97">
        <v>0</v>
      </c>
      <c r="P308" s="92">
        <v>0</v>
      </c>
      <c r="Q308" s="98">
        <f t="shared" si="11"/>
        <v>0</v>
      </c>
      <c r="R308" s="99" t="str">
        <f>+IF(Q308+N308&lt;=0, "NO COMPRADOR", +IF(Q308&lt;=0, "SIN COMPRA "&amp;+UPPER(TEXT('DINAMICA ENERO 26'!$C$2,"mmm 'yy")), "COMPRADOR"))</f>
        <v>SIN COMPRA FEB '26</v>
      </c>
    </row>
    <row r="309" spans="1:18">
      <c r="A309" s="88" t="s">
        <v>379</v>
      </c>
      <c r="B309" s="89" t="s">
        <v>380</v>
      </c>
      <c r="C309" s="89" t="s">
        <v>38</v>
      </c>
      <c r="D309" s="103">
        <v>100071290</v>
      </c>
      <c r="E309" s="89" t="s">
        <v>41</v>
      </c>
      <c r="F309" s="89">
        <v>100001342</v>
      </c>
      <c r="G309" s="128" t="s">
        <v>387</v>
      </c>
      <c r="H309" s="168"/>
      <c r="I309" s="169"/>
      <c r="J309" s="169"/>
      <c r="K309" s="94"/>
      <c r="L309" s="92">
        <v>9.6</v>
      </c>
      <c r="M309" s="93">
        <v>28.799999999999997</v>
      </c>
      <c r="N309" s="98">
        <f t="shared" si="10"/>
        <v>19.2</v>
      </c>
      <c r="O309" s="97">
        <v>28.8</v>
      </c>
      <c r="P309" s="92">
        <v>9.6</v>
      </c>
      <c r="Q309" s="98">
        <f t="shared" si="11"/>
        <v>38.4</v>
      </c>
      <c r="R309" s="99" t="str">
        <f>+IF(Q309+N309&lt;=0, "NO COMPRADOR", +IF(Q309&lt;=0, "SIN COMPRA "&amp;+UPPER(TEXT('DINAMICA ENERO 26'!$C$2,"mmm 'yy")), "COMPRADOR"))</f>
        <v>COMPRADOR</v>
      </c>
    </row>
    <row r="310" spans="1:18">
      <c r="A310" s="88" t="s">
        <v>379</v>
      </c>
      <c r="B310" s="89" t="s">
        <v>380</v>
      </c>
      <c r="C310" s="89" t="s">
        <v>38</v>
      </c>
      <c r="D310" s="103">
        <v>100071290</v>
      </c>
      <c r="E310" s="89" t="s">
        <v>41</v>
      </c>
      <c r="F310" s="89">
        <v>100001526</v>
      </c>
      <c r="G310" s="128" t="s">
        <v>394</v>
      </c>
      <c r="H310" s="168"/>
      <c r="I310" s="169"/>
      <c r="J310" s="169"/>
      <c r="K310" s="94"/>
      <c r="L310" s="92">
        <v>14.399999999999999</v>
      </c>
      <c r="M310" s="93">
        <v>0</v>
      </c>
      <c r="N310" s="98">
        <f t="shared" si="10"/>
        <v>7.1999999999999993</v>
      </c>
      <c r="O310" s="97">
        <v>0</v>
      </c>
      <c r="P310" s="92">
        <v>4.8</v>
      </c>
      <c r="Q310" s="98">
        <f t="shared" si="11"/>
        <v>4.8</v>
      </c>
      <c r="R310" s="99" t="str">
        <f>+IF(Q310+N310&lt;=0, "NO COMPRADOR", +IF(Q310&lt;=0, "SIN COMPRA "&amp;+UPPER(TEXT('DINAMICA ENERO 26'!$C$2,"mmm 'yy")), "COMPRADOR"))</f>
        <v>COMPRADOR</v>
      </c>
    </row>
    <row r="311" spans="1:18">
      <c r="A311" s="88" t="s">
        <v>379</v>
      </c>
      <c r="B311" s="89" t="s">
        <v>380</v>
      </c>
      <c r="C311" s="89" t="s">
        <v>38</v>
      </c>
      <c r="D311" s="103">
        <v>100071290</v>
      </c>
      <c r="E311" s="89" t="s">
        <v>41</v>
      </c>
      <c r="F311" s="89">
        <v>100001979</v>
      </c>
      <c r="G311" s="128" t="s">
        <v>290</v>
      </c>
      <c r="H311" s="168"/>
      <c r="I311" s="169"/>
      <c r="J311" s="169"/>
      <c r="K311" s="94"/>
      <c r="L311" s="92">
        <v>24</v>
      </c>
      <c r="M311" s="93">
        <v>14.399999999999999</v>
      </c>
      <c r="N311" s="98">
        <f t="shared" si="10"/>
        <v>19.2</v>
      </c>
      <c r="O311" s="97">
        <v>0</v>
      </c>
      <c r="P311" s="92">
        <v>9.6</v>
      </c>
      <c r="Q311" s="98">
        <f t="shared" si="11"/>
        <v>9.6</v>
      </c>
      <c r="R311" s="99" t="str">
        <f>+IF(Q311+N311&lt;=0, "NO COMPRADOR", +IF(Q311&lt;=0, "SIN COMPRA "&amp;+UPPER(TEXT('DINAMICA ENERO 26'!$C$2,"mmm 'yy")), "COMPRADOR"))</f>
        <v>COMPRADOR</v>
      </c>
    </row>
    <row r="312" spans="1:18">
      <c r="A312" s="88" t="s">
        <v>379</v>
      </c>
      <c r="B312" s="89" t="s">
        <v>380</v>
      </c>
      <c r="C312" s="89" t="s">
        <v>38</v>
      </c>
      <c r="D312" s="103">
        <v>100071290</v>
      </c>
      <c r="E312" s="89" t="s">
        <v>41</v>
      </c>
      <c r="F312" s="89">
        <v>100063475</v>
      </c>
      <c r="G312" s="128" t="s">
        <v>395</v>
      </c>
      <c r="H312" s="168"/>
      <c r="I312" s="169"/>
      <c r="J312" s="169"/>
      <c r="K312" s="94"/>
      <c r="L312" s="92">
        <v>4.8</v>
      </c>
      <c r="M312" s="93">
        <v>19.2</v>
      </c>
      <c r="N312" s="98">
        <f t="shared" si="10"/>
        <v>12</v>
      </c>
      <c r="O312" s="97">
        <v>0</v>
      </c>
      <c r="P312" s="92">
        <v>0</v>
      </c>
      <c r="Q312" s="98">
        <f t="shared" si="11"/>
        <v>0</v>
      </c>
      <c r="R312" s="99" t="str">
        <f>+IF(Q312+N312&lt;=0, "NO COMPRADOR", +IF(Q312&lt;=0, "SIN COMPRA "&amp;+UPPER(TEXT('DINAMICA ENERO 26'!$C$2,"mmm 'yy")), "COMPRADOR"))</f>
        <v>SIN COMPRA FEB '26</v>
      </c>
    </row>
    <row r="313" spans="1:18">
      <c r="A313" s="88" t="s">
        <v>379</v>
      </c>
      <c r="B313" s="89" t="s">
        <v>380</v>
      </c>
      <c r="C313" s="89" t="s">
        <v>38</v>
      </c>
      <c r="D313" s="103">
        <v>100071290</v>
      </c>
      <c r="E313" s="89" t="s">
        <v>41</v>
      </c>
      <c r="F313" s="89">
        <v>100001583</v>
      </c>
      <c r="G313" s="128" t="s">
        <v>390</v>
      </c>
      <c r="H313" s="168"/>
      <c r="I313" s="169"/>
      <c r="J313" s="169"/>
      <c r="K313" s="94"/>
      <c r="L313" s="92">
        <v>216</v>
      </c>
      <c r="M313" s="93">
        <v>19.2</v>
      </c>
      <c r="N313" s="98">
        <f t="shared" si="10"/>
        <v>117.6</v>
      </c>
      <c r="O313" s="97">
        <v>47.999999999999986</v>
      </c>
      <c r="P313" s="92">
        <v>0</v>
      </c>
      <c r="Q313" s="98">
        <f t="shared" si="11"/>
        <v>47.999999999999986</v>
      </c>
      <c r="R313" s="99" t="str">
        <f>+IF(Q313+N313&lt;=0, "NO COMPRADOR", +IF(Q313&lt;=0, "SIN COMPRA "&amp;+UPPER(TEXT('DINAMICA ENERO 26'!$C$2,"mmm 'yy")), "COMPRADOR"))</f>
        <v>COMPRADOR</v>
      </c>
    </row>
    <row r="314" spans="1:18">
      <c r="A314" s="88" t="s">
        <v>379</v>
      </c>
      <c r="B314" s="89" t="s">
        <v>380</v>
      </c>
      <c r="C314" s="89" t="s">
        <v>38</v>
      </c>
      <c r="D314" s="103">
        <v>100071290</v>
      </c>
      <c r="E314" s="89" t="s">
        <v>41</v>
      </c>
      <c r="F314" s="89">
        <v>100002003</v>
      </c>
      <c r="G314" s="128" t="s">
        <v>396</v>
      </c>
      <c r="H314" s="168"/>
      <c r="I314" s="169"/>
      <c r="J314" s="169"/>
      <c r="K314" s="94"/>
      <c r="L314" s="92">
        <v>0</v>
      </c>
      <c r="M314" s="93">
        <v>0</v>
      </c>
      <c r="N314" s="98">
        <f t="shared" si="10"/>
        <v>0</v>
      </c>
      <c r="O314" s="97">
        <v>0</v>
      </c>
      <c r="P314" s="92">
        <v>0</v>
      </c>
      <c r="Q314" s="98">
        <f t="shared" si="11"/>
        <v>0</v>
      </c>
      <c r="R314" s="99" t="str">
        <f>+IF(Q314+N314&lt;=0, "NO COMPRADOR", +IF(Q314&lt;=0, "SIN COMPRA "&amp;+UPPER(TEXT('DINAMICA ENERO 26'!$C$2,"mmm 'yy")), "COMPRADOR"))</f>
        <v>NO COMPRADOR</v>
      </c>
    </row>
    <row r="315" spans="1:18">
      <c r="A315" s="88" t="s">
        <v>379</v>
      </c>
      <c r="B315" s="89" t="s">
        <v>380</v>
      </c>
      <c r="C315" s="89" t="s">
        <v>38</v>
      </c>
      <c r="D315" s="103">
        <v>100071290</v>
      </c>
      <c r="E315" s="89" t="s">
        <v>41</v>
      </c>
      <c r="F315" s="89">
        <v>100002411</v>
      </c>
      <c r="G315" s="128" t="s">
        <v>397</v>
      </c>
      <c r="H315" s="168"/>
      <c r="I315" s="169"/>
      <c r="J315" s="169"/>
      <c r="K315" s="94"/>
      <c r="L315" s="92">
        <v>0</v>
      </c>
      <c r="M315" s="93">
        <v>0</v>
      </c>
      <c r="N315" s="98">
        <f t="shared" si="10"/>
        <v>0</v>
      </c>
      <c r="O315" s="97">
        <v>0</v>
      </c>
      <c r="P315" s="92">
        <v>0</v>
      </c>
      <c r="Q315" s="98">
        <f t="shared" si="11"/>
        <v>0</v>
      </c>
      <c r="R315" s="99" t="str">
        <f>+IF(Q315+N315&lt;=0, "NO COMPRADOR", +IF(Q315&lt;=0, "SIN COMPRA "&amp;+UPPER(TEXT('DINAMICA ENERO 26'!$C$2,"mmm 'yy")), "COMPRADOR"))</f>
        <v>NO COMPRADOR</v>
      </c>
    </row>
    <row r="316" spans="1:18">
      <c r="A316" s="88" t="s">
        <v>379</v>
      </c>
      <c r="B316" s="89" t="s">
        <v>380</v>
      </c>
      <c r="C316" s="89" t="s">
        <v>38</v>
      </c>
      <c r="D316" s="103">
        <v>100071290</v>
      </c>
      <c r="E316" s="89" t="s">
        <v>41</v>
      </c>
      <c r="F316" s="89">
        <v>100002069</v>
      </c>
      <c r="G316" s="128" t="s">
        <v>398</v>
      </c>
      <c r="H316" s="168"/>
      <c r="I316" s="169"/>
      <c r="J316" s="169"/>
      <c r="K316" s="94"/>
      <c r="L316" s="92">
        <v>0</v>
      </c>
      <c r="M316" s="93">
        <v>48</v>
      </c>
      <c r="N316" s="98">
        <f t="shared" si="10"/>
        <v>24</v>
      </c>
      <c r="O316" s="97">
        <v>0</v>
      </c>
      <c r="P316" s="92">
        <v>0</v>
      </c>
      <c r="Q316" s="98">
        <f t="shared" si="11"/>
        <v>0</v>
      </c>
      <c r="R316" s="99" t="str">
        <f>+IF(Q316+N316&lt;=0, "NO COMPRADOR", +IF(Q316&lt;=0, "SIN COMPRA "&amp;+UPPER(TEXT('DINAMICA ENERO 26'!$C$2,"mmm 'yy")), "COMPRADOR"))</f>
        <v>SIN COMPRA FEB '26</v>
      </c>
    </row>
    <row r="317" spans="1:18">
      <c r="A317" s="88" t="s">
        <v>379</v>
      </c>
      <c r="B317" s="89" t="s">
        <v>380</v>
      </c>
      <c r="C317" s="89" t="s">
        <v>38</v>
      </c>
      <c r="D317" s="103">
        <v>100071290</v>
      </c>
      <c r="E317" s="89" t="s">
        <v>41</v>
      </c>
      <c r="F317" s="89">
        <v>100002068</v>
      </c>
      <c r="G317" s="128" t="s">
        <v>399</v>
      </c>
      <c r="H317" s="168"/>
      <c r="I317" s="169"/>
      <c r="J317" s="169"/>
      <c r="K317" s="94"/>
      <c r="L317" s="92">
        <v>0</v>
      </c>
      <c r="M317" s="93">
        <v>0</v>
      </c>
      <c r="N317" s="98">
        <f t="shared" si="10"/>
        <v>0</v>
      </c>
      <c r="O317" s="97">
        <v>0</v>
      </c>
      <c r="P317" s="92">
        <v>0</v>
      </c>
      <c r="Q317" s="98">
        <f t="shared" si="11"/>
        <v>0</v>
      </c>
      <c r="R317" s="99" t="str">
        <f>+IF(Q317+N317&lt;=0, "NO COMPRADOR", +IF(Q317&lt;=0, "SIN COMPRA "&amp;+UPPER(TEXT('DINAMICA ENERO 26'!$C$2,"mmm 'yy")), "COMPRADOR"))</f>
        <v>NO COMPRADOR</v>
      </c>
    </row>
    <row r="318" spans="1:18">
      <c r="A318" s="88" t="s">
        <v>379</v>
      </c>
      <c r="B318" s="89" t="s">
        <v>380</v>
      </c>
      <c r="C318" s="89" t="s">
        <v>38</v>
      </c>
      <c r="D318" s="103">
        <v>100071290</v>
      </c>
      <c r="E318" s="89" t="s">
        <v>41</v>
      </c>
      <c r="F318" s="89">
        <v>100008576</v>
      </c>
      <c r="G318" s="128" t="s">
        <v>400</v>
      </c>
      <c r="H318" s="168"/>
      <c r="I318" s="169"/>
      <c r="J318" s="169"/>
      <c r="K318" s="94"/>
      <c r="L318" s="92">
        <v>0</v>
      </c>
      <c r="M318" s="93">
        <v>0</v>
      </c>
      <c r="N318" s="98">
        <f t="shared" si="10"/>
        <v>0</v>
      </c>
      <c r="O318" s="97">
        <v>0</v>
      </c>
      <c r="P318" s="92">
        <v>0</v>
      </c>
      <c r="Q318" s="98">
        <f t="shared" si="11"/>
        <v>0</v>
      </c>
      <c r="R318" s="99" t="str">
        <f>+IF(Q318+N318&lt;=0, "NO COMPRADOR", +IF(Q318&lt;=0, "SIN COMPRA "&amp;+UPPER(TEXT('DINAMICA ENERO 26'!$C$2,"mmm 'yy")), "COMPRADOR"))</f>
        <v>NO COMPRADOR</v>
      </c>
    </row>
    <row r="319" spans="1:18">
      <c r="A319" s="88" t="s">
        <v>379</v>
      </c>
      <c r="B319" s="89" t="s">
        <v>401</v>
      </c>
      <c r="C319" s="89" t="s">
        <v>60</v>
      </c>
      <c r="D319" s="103">
        <v>100088964</v>
      </c>
      <c r="E319" s="89" t="s">
        <v>64</v>
      </c>
      <c r="F319" s="89">
        <v>100001342</v>
      </c>
      <c r="G319" s="128" t="s">
        <v>387</v>
      </c>
      <c r="H319" s="168"/>
      <c r="I319" s="169"/>
      <c r="J319" s="169"/>
      <c r="K319" s="94"/>
      <c r="L319" s="92">
        <v>33.6</v>
      </c>
      <c r="M319" s="93">
        <v>153.60000000000002</v>
      </c>
      <c r="N319" s="98">
        <f t="shared" si="10"/>
        <v>93.600000000000009</v>
      </c>
      <c r="O319" s="97">
        <v>48</v>
      </c>
      <c r="P319" s="92">
        <v>28.799999999999997</v>
      </c>
      <c r="Q319" s="98">
        <f t="shared" si="11"/>
        <v>76.8</v>
      </c>
      <c r="R319" s="99" t="str">
        <f>+IF(Q319+N319&lt;=0, "NO COMPRADOR", +IF(Q319&lt;=0, "SIN COMPRA "&amp;+UPPER(TEXT('DINAMICA ENERO 26'!$C$2,"mmm 'yy")), "COMPRADOR"))</f>
        <v>COMPRADOR</v>
      </c>
    </row>
    <row r="320" spans="1:18">
      <c r="A320" s="88" t="s">
        <v>379</v>
      </c>
      <c r="B320" s="89" t="s">
        <v>401</v>
      </c>
      <c r="C320" s="89" t="s">
        <v>60</v>
      </c>
      <c r="D320" s="103">
        <v>100088964</v>
      </c>
      <c r="E320" s="89" t="s">
        <v>64</v>
      </c>
      <c r="F320" s="89">
        <v>100001434</v>
      </c>
      <c r="G320" s="128" t="s">
        <v>381</v>
      </c>
      <c r="H320" s="168"/>
      <c r="I320" s="169"/>
      <c r="J320" s="169"/>
      <c r="K320" s="94"/>
      <c r="L320" s="92">
        <v>0</v>
      </c>
      <c r="M320" s="93">
        <v>0</v>
      </c>
      <c r="N320" s="98">
        <f t="shared" si="10"/>
        <v>0</v>
      </c>
      <c r="O320" s="97">
        <v>76.8</v>
      </c>
      <c r="P320" s="92">
        <v>9.6</v>
      </c>
      <c r="Q320" s="98">
        <f t="shared" si="11"/>
        <v>86.399999999999991</v>
      </c>
      <c r="R320" s="99" t="str">
        <f>+IF(Q320+N320&lt;=0, "NO COMPRADOR", +IF(Q320&lt;=0, "SIN COMPRA "&amp;+UPPER(TEXT('DINAMICA ENERO 26'!$C$2,"mmm 'yy")), "COMPRADOR"))</f>
        <v>COMPRADOR</v>
      </c>
    </row>
    <row r="321" spans="1:18">
      <c r="A321" s="88" t="s">
        <v>379</v>
      </c>
      <c r="B321" s="89" t="s">
        <v>401</v>
      </c>
      <c r="C321" s="89" t="s">
        <v>60</v>
      </c>
      <c r="D321" s="103">
        <v>100088964</v>
      </c>
      <c r="E321" s="89" t="s">
        <v>64</v>
      </c>
      <c r="F321" s="89">
        <v>100001507</v>
      </c>
      <c r="G321" s="128" t="s">
        <v>402</v>
      </c>
      <c r="H321" s="168"/>
      <c r="I321" s="169"/>
      <c r="J321" s="169"/>
      <c r="K321" s="94"/>
      <c r="L321" s="92">
        <v>0</v>
      </c>
      <c r="M321" s="93">
        <v>0</v>
      </c>
      <c r="N321" s="98">
        <f t="shared" si="10"/>
        <v>0</v>
      </c>
      <c r="O321" s="97">
        <v>0</v>
      </c>
      <c r="P321" s="92">
        <v>0</v>
      </c>
      <c r="Q321" s="98">
        <f t="shared" si="11"/>
        <v>0</v>
      </c>
      <c r="R321" s="99" t="str">
        <f>+IF(Q321+N321&lt;=0, "NO COMPRADOR", +IF(Q321&lt;=0, "SIN COMPRA "&amp;+UPPER(TEXT('DINAMICA ENERO 26'!$C$2,"mmm 'yy")), "COMPRADOR"))</f>
        <v>NO COMPRADOR</v>
      </c>
    </row>
    <row r="322" spans="1:18">
      <c r="A322" s="88" t="s">
        <v>379</v>
      </c>
      <c r="B322" s="89" t="s">
        <v>401</v>
      </c>
      <c r="C322" s="89" t="s">
        <v>60</v>
      </c>
      <c r="D322" s="103">
        <v>100088964</v>
      </c>
      <c r="E322" s="89" t="s">
        <v>64</v>
      </c>
      <c r="F322" s="89">
        <v>100074147</v>
      </c>
      <c r="G322" s="128" t="s">
        <v>403</v>
      </c>
      <c r="H322" s="168"/>
      <c r="I322" s="169"/>
      <c r="J322" s="169"/>
      <c r="K322" s="94"/>
      <c r="L322" s="92">
        <v>0</v>
      </c>
      <c r="M322" s="93">
        <v>0</v>
      </c>
      <c r="N322" s="98">
        <f t="shared" si="10"/>
        <v>0</v>
      </c>
      <c r="O322" s="97">
        <v>0</v>
      </c>
      <c r="P322" s="92">
        <v>0</v>
      </c>
      <c r="Q322" s="98">
        <f t="shared" si="11"/>
        <v>0</v>
      </c>
      <c r="R322" s="99" t="str">
        <f>+IF(Q322+N322&lt;=0, "NO COMPRADOR", +IF(Q322&lt;=0, "SIN COMPRA "&amp;+UPPER(TEXT('DINAMICA ENERO 26'!$C$2,"mmm 'yy")), "COMPRADOR"))</f>
        <v>NO COMPRADOR</v>
      </c>
    </row>
    <row r="323" spans="1:18">
      <c r="A323" s="88" t="s">
        <v>379</v>
      </c>
      <c r="B323" s="89" t="s">
        <v>401</v>
      </c>
      <c r="C323" s="89" t="s">
        <v>60</v>
      </c>
      <c r="D323" s="103">
        <v>100088964</v>
      </c>
      <c r="E323" s="89" t="s">
        <v>64</v>
      </c>
      <c r="F323" s="89">
        <v>100071913</v>
      </c>
      <c r="G323" s="128" t="s">
        <v>404</v>
      </c>
      <c r="H323" s="168"/>
      <c r="I323" s="169"/>
      <c r="J323" s="169"/>
      <c r="K323" s="94"/>
      <c r="L323" s="92">
        <v>0</v>
      </c>
      <c r="M323" s="93">
        <v>0</v>
      </c>
      <c r="N323" s="98">
        <f t="shared" ref="N323:N366" si="12">AVERAGE(L323,M323)</f>
        <v>0</v>
      </c>
      <c r="O323" s="97">
        <v>0</v>
      </c>
      <c r="P323" s="92">
        <v>0</v>
      </c>
      <c r="Q323" s="98">
        <f t="shared" si="11"/>
        <v>0</v>
      </c>
      <c r="R323" s="99" t="str">
        <f>+IF(Q323+N323&lt;=0, "NO COMPRADOR", +IF(Q323&lt;=0, "SIN COMPRA "&amp;+UPPER(TEXT('DINAMICA ENERO 26'!$C$2,"mmm 'yy")), "COMPRADOR"))</f>
        <v>NO COMPRADOR</v>
      </c>
    </row>
    <row r="324" spans="1:18">
      <c r="A324" s="88" t="s">
        <v>379</v>
      </c>
      <c r="B324" s="89" t="s">
        <v>405</v>
      </c>
      <c r="C324" s="89" t="s">
        <v>32</v>
      </c>
      <c r="D324" s="103">
        <v>100089882</v>
      </c>
      <c r="E324" s="89" t="s">
        <v>36</v>
      </c>
      <c r="F324" s="89">
        <v>100001979</v>
      </c>
      <c r="G324" s="128" t="s">
        <v>290</v>
      </c>
      <c r="H324" s="168"/>
      <c r="I324" s="169"/>
      <c r="J324" s="169"/>
      <c r="K324" s="94"/>
      <c r="L324" s="92">
        <v>28.799999999999997</v>
      </c>
      <c r="M324" s="93">
        <v>-14.399999999999999</v>
      </c>
      <c r="N324" s="98">
        <f t="shared" si="12"/>
        <v>7.1999999999999993</v>
      </c>
      <c r="O324" s="97">
        <v>-4.8</v>
      </c>
      <c r="P324" s="92">
        <v>0</v>
      </c>
      <c r="Q324" s="98">
        <f t="shared" si="11"/>
        <v>-4.8</v>
      </c>
      <c r="R324" s="99" t="str">
        <f>+IF(Q324+N324&lt;=0, "NO COMPRADOR", +IF(Q324&lt;=0, "SIN COMPRA "&amp;+UPPER(TEXT('DINAMICA ENERO 26'!$C$2,"mmm 'yy")), "COMPRADOR"))</f>
        <v>SIN COMPRA FEB '26</v>
      </c>
    </row>
    <row r="325" spans="1:18">
      <c r="A325" s="88" t="s">
        <v>379</v>
      </c>
      <c r="B325" s="89" t="s">
        <v>405</v>
      </c>
      <c r="C325" s="89" t="s">
        <v>32</v>
      </c>
      <c r="D325" s="103">
        <v>100089882</v>
      </c>
      <c r="E325" s="89" t="s">
        <v>36</v>
      </c>
      <c r="F325" s="89">
        <v>100001914</v>
      </c>
      <c r="G325" s="128" t="s">
        <v>406</v>
      </c>
      <c r="H325" s="168"/>
      <c r="I325" s="169"/>
      <c r="J325" s="169"/>
      <c r="K325" s="94"/>
      <c r="L325" s="92">
        <v>0</v>
      </c>
      <c r="M325" s="93">
        <v>0</v>
      </c>
      <c r="N325" s="98">
        <f t="shared" si="12"/>
        <v>0</v>
      </c>
      <c r="O325" s="97">
        <v>0</v>
      </c>
      <c r="P325" s="92">
        <v>0</v>
      </c>
      <c r="Q325" s="98">
        <f t="shared" si="11"/>
        <v>0</v>
      </c>
      <c r="R325" s="99" t="str">
        <f>+IF(Q325+N325&lt;=0, "NO COMPRADOR", +IF(Q325&lt;=0, "SIN COMPRA "&amp;+UPPER(TEXT('DINAMICA ENERO 26'!$C$2,"mmm 'yy")), "COMPRADOR"))</f>
        <v>NO COMPRADOR</v>
      </c>
    </row>
    <row r="326" spans="1:18">
      <c r="A326" s="88" t="s">
        <v>407</v>
      </c>
      <c r="B326" s="89" t="s">
        <v>407</v>
      </c>
      <c r="C326" s="89" t="s">
        <v>32</v>
      </c>
      <c r="D326" s="103">
        <v>100066387</v>
      </c>
      <c r="E326" s="89" t="s">
        <v>34</v>
      </c>
      <c r="F326" s="89">
        <v>100002258</v>
      </c>
      <c r="G326" s="128" t="s">
        <v>408</v>
      </c>
      <c r="H326" s="168"/>
      <c r="I326" s="169"/>
      <c r="J326" s="169"/>
      <c r="K326" s="94"/>
      <c r="L326" s="92">
        <v>62.4</v>
      </c>
      <c r="M326" s="93">
        <v>14.399999999999999</v>
      </c>
      <c r="N326" s="98">
        <f t="shared" si="12"/>
        <v>38.4</v>
      </c>
      <c r="O326" s="97">
        <v>0</v>
      </c>
      <c r="P326" s="92">
        <v>0</v>
      </c>
      <c r="Q326" s="98">
        <f t="shared" si="11"/>
        <v>0</v>
      </c>
      <c r="R326" s="99" t="str">
        <f>+IF(Q326+N326&lt;=0, "NO COMPRADOR", +IF(Q326&lt;=0, "SIN COMPRA "&amp;+UPPER(TEXT('DINAMICA ENERO 26'!$C$2,"mmm 'yy")), "COMPRADOR"))</f>
        <v>SIN COMPRA FEB '26</v>
      </c>
    </row>
    <row r="327" spans="1:18">
      <c r="A327" s="88" t="s">
        <v>407</v>
      </c>
      <c r="B327" s="89" t="s">
        <v>407</v>
      </c>
      <c r="C327" s="89" t="s">
        <v>32</v>
      </c>
      <c r="D327" s="103">
        <v>100087600</v>
      </c>
      <c r="E327" s="89" t="s">
        <v>33</v>
      </c>
      <c r="F327" s="89">
        <v>100002545</v>
      </c>
      <c r="G327" s="128" t="s">
        <v>409</v>
      </c>
      <c r="H327" s="168"/>
      <c r="I327" s="169"/>
      <c r="J327" s="169"/>
      <c r="K327" s="94"/>
      <c r="L327" s="92">
        <v>168</v>
      </c>
      <c r="M327" s="93">
        <v>71.999999999999986</v>
      </c>
      <c r="N327" s="98">
        <f t="shared" si="12"/>
        <v>120</v>
      </c>
      <c r="O327" s="97">
        <v>76.8</v>
      </c>
      <c r="P327" s="92">
        <v>38.4</v>
      </c>
      <c r="Q327" s="98">
        <f t="shared" si="11"/>
        <v>115.19999999999999</v>
      </c>
      <c r="R327" s="99" t="str">
        <f>+IF(Q327+N327&lt;=0, "NO COMPRADOR", +IF(Q327&lt;=0, "SIN COMPRA "&amp;+UPPER(TEXT('DINAMICA ENERO 26'!$C$2,"mmm 'yy")), "COMPRADOR"))</f>
        <v>COMPRADOR</v>
      </c>
    </row>
    <row r="328" spans="1:18">
      <c r="A328" s="88" t="s">
        <v>407</v>
      </c>
      <c r="B328" s="89" t="s">
        <v>407</v>
      </c>
      <c r="C328" s="89" t="s">
        <v>32</v>
      </c>
      <c r="D328" s="103">
        <v>100087600</v>
      </c>
      <c r="E328" s="89" t="s">
        <v>33</v>
      </c>
      <c r="F328" s="89">
        <v>100002424</v>
      </c>
      <c r="G328" s="128" t="s">
        <v>410</v>
      </c>
      <c r="H328" s="168"/>
      <c r="I328" s="169"/>
      <c r="J328" s="169"/>
      <c r="K328" s="94"/>
      <c r="L328" s="92">
        <v>47.999999999999993</v>
      </c>
      <c r="M328" s="93">
        <v>124.79999999999995</v>
      </c>
      <c r="N328" s="98">
        <f t="shared" si="12"/>
        <v>86.399999999999977</v>
      </c>
      <c r="O328" s="97">
        <v>14.399999999999999</v>
      </c>
      <c r="P328" s="92">
        <v>19.2</v>
      </c>
      <c r="Q328" s="98">
        <f t="shared" si="11"/>
        <v>33.599999999999994</v>
      </c>
      <c r="R328" s="99" t="str">
        <f>+IF(Q328+N328&lt;=0, "NO COMPRADOR", +IF(Q328&lt;=0, "SIN COMPRA "&amp;+UPPER(TEXT('DINAMICA ENERO 26'!$C$2,"mmm 'yy")), "COMPRADOR"))</f>
        <v>COMPRADOR</v>
      </c>
    </row>
    <row r="329" spans="1:18">
      <c r="A329" s="88" t="s">
        <v>407</v>
      </c>
      <c r="B329" s="89" t="s">
        <v>407</v>
      </c>
      <c r="C329" s="89" t="s">
        <v>32</v>
      </c>
      <c r="D329" s="103">
        <v>100087600</v>
      </c>
      <c r="E329" s="89" t="s">
        <v>33</v>
      </c>
      <c r="F329" s="89">
        <v>100002055</v>
      </c>
      <c r="G329" s="128" t="s">
        <v>411</v>
      </c>
      <c r="H329" s="168"/>
      <c r="I329" s="169"/>
      <c r="J329" s="169"/>
      <c r="K329" s="94"/>
      <c r="L329" s="92">
        <v>403.20000000000005</v>
      </c>
      <c r="M329" s="93">
        <v>211.1999999999999</v>
      </c>
      <c r="N329" s="98">
        <f t="shared" si="12"/>
        <v>307.2</v>
      </c>
      <c r="O329" s="97">
        <v>187.19999999999996</v>
      </c>
      <c r="P329" s="92">
        <v>134.4</v>
      </c>
      <c r="Q329" s="98">
        <f t="shared" si="11"/>
        <v>321.59999999999997</v>
      </c>
      <c r="R329" s="99" t="str">
        <f>+IF(Q329+N329&lt;=0, "NO COMPRADOR", +IF(Q329&lt;=0, "SIN COMPRA "&amp;+UPPER(TEXT('DINAMICA ENERO 26'!$C$2,"mmm 'yy")), "COMPRADOR"))</f>
        <v>COMPRADOR</v>
      </c>
    </row>
    <row r="330" spans="1:18">
      <c r="A330" s="88" t="s">
        <v>407</v>
      </c>
      <c r="B330" s="89" t="s">
        <v>407</v>
      </c>
      <c r="C330" s="89" t="s">
        <v>32</v>
      </c>
      <c r="D330" s="103">
        <v>100087600</v>
      </c>
      <c r="E330" s="89" t="s">
        <v>33</v>
      </c>
      <c r="F330" s="89">
        <v>100002054</v>
      </c>
      <c r="G330" s="128" t="s">
        <v>412</v>
      </c>
      <c r="H330" s="168"/>
      <c r="I330" s="169"/>
      <c r="J330" s="169"/>
      <c r="K330" s="94"/>
      <c r="L330" s="92">
        <v>62.399999999999984</v>
      </c>
      <c r="M330" s="93">
        <v>9.6</v>
      </c>
      <c r="N330" s="98">
        <f t="shared" si="12"/>
        <v>35.999999999999993</v>
      </c>
      <c r="O330" s="97">
        <v>4.8</v>
      </c>
      <c r="P330" s="92">
        <v>0</v>
      </c>
      <c r="Q330" s="98">
        <f t="shared" si="11"/>
        <v>4.8</v>
      </c>
      <c r="R330" s="99" t="str">
        <f>+IF(Q330+N330&lt;=0, "NO COMPRADOR", +IF(Q330&lt;=0, "SIN COMPRA "&amp;+UPPER(TEXT('DINAMICA ENERO 26'!$C$2,"mmm 'yy")), "COMPRADOR"))</f>
        <v>COMPRADOR</v>
      </c>
    </row>
    <row r="331" spans="1:18">
      <c r="A331" s="88" t="s">
        <v>407</v>
      </c>
      <c r="B331" s="89" t="s">
        <v>407</v>
      </c>
      <c r="C331" s="89" t="s">
        <v>32</v>
      </c>
      <c r="D331" s="103">
        <v>100087600</v>
      </c>
      <c r="E331" s="89" t="s">
        <v>33</v>
      </c>
      <c r="F331" s="89">
        <v>100001241</v>
      </c>
      <c r="G331" s="128" t="s">
        <v>413</v>
      </c>
      <c r="H331" s="168"/>
      <c r="I331" s="169"/>
      <c r="J331" s="169"/>
      <c r="K331" s="94"/>
      <c r="L331" s="92">
        <v>4.8</v>
      </c>
      <c r="M331" s="93">
        <v>148.80000000000001</v>
      </c>
      <c r="N331" s="98">
        <f t="shared" si="12"/>
        <v>76.800000000000011</v>
      </c>
      <c r="O331" s="97">
        <v>71.999999999999986</v>
      </c>
      <c r="P331" s="92">
        <v>28.8</v>
      </c>
      <c r="Q331" s="98">
        <f t="shared" si="11"/>
        <v>100.79999999999998</v>
      </c>
      <c r="R331" s="99" t="str">
        <f>+IF(Q331+N331&lt;=0, "NO COMPRADOR", +IF(Q331&lt;=0, "SIN COMPRA "&amp;+UPPER(TEXT('DINAMICA ENERO 26'!$C$2,"mmm 'yy")), "COMPRADOR"))</f>
        <v>COMPRADOR</v>
      </c>
    </row>
    <row r="332" spans="1:18">
      <c r="A332" s="88" t="s">
        <v>379</v>
      </c>
      <c r="B332" s="89" t="s">
        <v>405</v>
      </c>
      <c r="C332" s="89" t="s">
        <v>32</v>
      </c>
      <c r="D332" s="103">
        <v>100066387</v>
      </c>
      <c r="E332" s="89" t="s">
        <v>34</v>
      </c>
      <c r="F332" s="89">
        <v>100086833</v>
      </c>
      <c r="G332" s="128" t="s">
        <v>414</v>
      </c>
      <c r="H332" s="168"/>
      <c r="I332" s="169"/>
      <c r="J332" s="169"/>
      <c r="K332" s="94"/>
      <c r="L332" s="92">
        <v>0</v>
      </c>
      <c r="M332" s="93">
        <v>787.19999999999993</v>
      </c>
      <c r="N332" s="98">
        <f t="shared" si="12"/>
        <v>393.59999999999997</v>
      </c>
      <c r="O332" s="97">
        <v>0</v>
      </c>
      <c r="P332" s="92">
        <v>0</v>
      </c>
      <c r="Q332" s="98">
        <f t="shared" si="11"/>
        <v>0</v>
      </c>
      <c r="R332" s="99" t="str">
        <f>+IF(Q332+N332&lt;=0, "NO COMPRADOR", +IF(Q332&lt;=0, "SIN COMPRA "&amp;+UPPER(TEXT('DINAMICA ENERO 26'!$C$2,"mmm 'yy")), "COMPRADOR"))</f>
        <v>SIN COMPRA FEB '26</v>
      </c>
    </row>
    <row r="333" spans="1:18">
      <c r="A333" s="88" t="s">
        <v>379</v>
      </c>
      <c r="B333" s="89" t="s">
        <v>415</v>
      </c>
      <c r="C333" s="89" t="s">
        <v>32</v>
      </c>
      <c r="D333" s="103">
        <v>100066387</v>
      </c>
      <c r="E333" s="89" t="s">
        <v>34</v>
      </c>
      <c r="F333" s="89">
        <v>100001434</v>
      </c>
      <c r="G333" s="128" t="s">
        <v>381</v>
      </c>
      <c r="H333" s="168"/>
      <c r="I333" s="169"/>
      <c r="J333" s="169"/>
      <c r="K333" s="94"/>
      <c r="L333" s="92">
        <v>0</v>
      </c>
      <c r="M333" s="93">
        <v>0</v>
      </c>
      <c r="N333" s="98">
        <f t="shared" si="12"/>
        <v>0</v>
      </c>
      <c r="O333" s="97">
        <v>2016.000000000003</v>
      </c>
      <c r="P333" s="92">
        <v>4.8</v>
      </c>
      <c r="Q333" s="98">
        <f t="shared" si="11"/>
        <v>2020.8000000000029</v>
      </c>
      <c r="R333" s="99" t="str">
        <f>+IF(Q333+N333&lt;=0, "NO COMPRADOR", +IF(Q333&lt;=0, "SIN COMPRA "&amp;+UPPER(TEXT('DINAMICA ENERO 26'!$C$2,"mmm 'yy")), "COMPRADOR"))</f>
        <v>COMPRADOR</v>
      </c>
    </row>
    <row r="334" spans="1:18">
      <c r="A334" s="88" t="s">
        <v>379</v>
      </c>
      <c r="B334" s="89" t="s">
        <v>415</v>
      </c>
      <c r="C334" s="89" t="s">
        <v>32</v>
      </c>
      <c r="D334" s="103">
        <v>100089882</v>
      </c>
      <c r="E334" s="89" t="s">
        <v>36</v>
      </c>
      <c r="F334" s="89">
        <v>100002273</v>
      </c>
      <c r="G334" s="128" t="s">
        <v>416</v>
      </c>
      <c r="H334" s="168"/>
      <c r="I334" s="169"/>
      <c r="J334" s="169"/>
      <c r="K334" s="94"/>
      <c r="L334" s="92">
        <v>0</v>
      </c>
      <c r="M334" s="93">
        <v>0</v>
      </c>
      <c r="N334" s="98">
        <f t="shared" si="12"/>
        <v>0</v>
      </c>
      <c r="O334" s="97">
        <v>0</v>
      </c>
      <c r="P334" s="92">
        <v>0</v>
      </c>
      <c r="Q334" s="98">
        <f t="shared" si="11"/>
        <v>0</v>
      </c>
      <c r="R334" s="99" t="str">
        <f>+IF(Q334+N334&lt;=0, "NO COMPRADOR", +IF(Q334&lt;=0, "SIN COMPRA "&amp;+UPPER(TEXT('DINAMICA ENERO 26'!$C$2,"mmm 'yy")), "COMPRADOR"))</f>
        <v>NO COMPRADOR</v>
      </c>
    </row>
    <row r="335" spans="1:18">
      <c r="A335" s="88" t="s">
        <v>379</v>
      </c>
      <c r="B335" s="89" t="s">
        <v>415</v>
      </c>
      <c r="C335" s="89" t="s">
        <v>32</v>
      </c>
      <c r="D335" s="103">
        <v>100002748</v>
      </c>
      <c r="E335" s="89" t="s">
        <v>35</v>
      </c>
      <c r="F335" s="89">
        <v>100005896</v>
      </c>
      <c r="G335" s="128" t="s">
        <v>417</v>
      </c>
      <c r="H335" s="168"/>
      <c r="I335" s="169"/>
      <c r="J335" s="169"/>
      <c r="K335" s="94"/>
      <c r="L335" s="92">
        <v>2092.8000000000011</v>
      </c>
      <c r="M335" s="93">
        <v>364.8</v>
      </c>
      <c r="N335" s="98">
        <f t="shared" si="12"/>
        <v>1228.8000000000006</v>
      </c>
      <c r="O335" s="97">
        <v>1118.3999999999999</v>
      </c>
      <c r="P335" s="92">
        <v>163.19999999999999</v>
      </c>
      <c r="Q335" s="98">
        <f t="shared" si="11"/>
        <v>1281.5999999999999</v>
      </c>
      <c r="R335" s="99" t="str">
        <f>+IF(Q335+N335&lt;=0, "NO COMPRADOR", +IF(Q335&lt;=0, "SIN COMPRA "&amp;+UPPER(TEXT('DINAMICA ENERO 26'!$C$2,"mmm 'yy")), "COMPRADOR"))</f>
        <v>COMPRADOR</v>
      </c>
    </row>
    <row r="336" spans="1:18">
      <c r="A336" s="88" t="s">
        <v>379</v>
      </c>
      <c r="B336" s="89" t="s">
        <v>415</v>
      </c>
      <c r="C336" s="89" t="s">
        <v>32</v>
      </c>
      <c r="D336" s="103">
        <v>100002748</v>
      </c>
      <c r="E336" s="89" t="s">
        <v>35</v>
      </c>
      <c r="F336" s="89">
        <v>100001550</v>
      </c>
      <c r="G336" s="128" t="s">
        <v>418</v>
      </c>
      <c r="H336" s="168"/>
      <c r="I336" s="169"/>
      <c r="J336" s="169"/>
      <c r="K336" s="94"/>
      <c r="L336" s="92">
        <v>0</v>
      </c>
      <c r="M336" s="93">
        <v>0</v>
      </c>
      <c r="N336" s="98">
        <f t="shared" si="12"/>
        <v>0</v>
      </c>
      <c r="O336" s="97">
        <v>0</v>
      </c>
      <c r="P336" s="92">
        <v>0</v>
      </c>
      <c r="Q336" s="98">
        <f t="shared" si="11"/>
        <v>0</v>
      </c>
      <c r="R336" s="99" t="str">
        <f>+IF(Q336+N336&lt;=0, "NO COMPRADOR", +IF(Q336&lt;=0, "SIN COMPRA "&amp;+UPPER(TEXT('DINAMICA ENERO 26'!$C$2,"mmm 'yy")), "COMPRADOR"))</f>
        <v>NO COMPRADOR</v>
      </c>
    </row>
    <row r="337" spans="1:18">
      <c r="A337" s="88" t="s">
        <v>379</v>
      </c>
      <c r="B337" s="89" t="s">
        <v>415</v>
      </c>
      <c r="C337" s="89" t="s">
        <v>32</v>
      </c>
      <c r="D337" s="103">
        <v>100089882</v>
      </c>
      <c r="E337" s="89" t="s">
        <v>36</v>
      </c>
      <c r="F337" s="89">
        <v>100002492</v>
      </c>
      <c r="G337" s="128" t="s">
        <v>419</v>
      </c>
      <c r="H337" s="168"/>
      <c r="I337" s="169"/>
      <c r="J337" s="169"/>
      <c r="K337" s="94"/>
      <c r="L337" s="92">
        <v>0</v>
      </c>
      <c r="M337" s="93">
        <v>0</v>
      </c>
      <c r="N337" s="98">
        <f t="shared" si="12"/>
        <v>0</v>
      </c>
      <c r="O337" s="97">
        <v>446.4</v>
      </c>
      <c r="P337" s="92">
        <v>0</v>
      </c>
      <c r="Q337" s="98">
        <f t="shared" si="11"/>
        <v>446.4</v>
      </c>
      <c r="R337" s="99" t="str">
        <f>+IF(Q337+N337&lt;=0, "NO COMPRADOR", +IF(Q337&lt;=0, "SIN COMPRA "&amp;+UPPER(TEXT('DINAMICA ENERO 26'!$C$2,"mmm 'yy")), "COMPRADOR"))</f>
        <v>COMPRADOR</v>
      </c>
    </row>
    <row r="338" spans="1:18">
      <c r="A338" s="88" t="s">
        <v>379</v>
      </c>
      <c r="B338" s="89" t="s">
        <v>415</v>
      </c>
      <c r="C338" s="89" t="s">
        <v>32</v>
      </c>
      <c r="D338" s="103">
        <v>100066387</v>
      </c>
      <c r="E338" s="89" t="s">
        <v>34</v>
      </c>
      <c r="F338" s="89">
        <v>100001342</v>
      </c>
      <c r="G338" s="128" t="s">
        <v>387</v>
      </c>
      <c r="H338" s="168"/>
      <c r="I338" s="169"/>
      <c r="J338" s="169"/>
      <c r="K338" s="94"/>
      <c r="L338" s="92">
        <v>172.8</v>
      </c>
      <c r="M338" s="93">
        <v>715.1999999999997</v>
      </c>
      <c r="N338" s="98">
        <f t="shared" si="12"/>
        <v>443.99999999999989</v>
      </c>
      <c r="O338" s="97">
        <v>273.60000000000014</v>
      </c>
      <c r="P338" s="92">
        <v>43.2</v>
      </c>
      <c r="Q338" s="98">
        <f t="shared" si="11"/>
        <v>316.80000000000013</v>
      </c>
      <c r="R338" s="99" t="str">
        <f>+IF(Q338+N338&lt;=0, "NO COMPRADOR", +IF(Q338&lt;=0, "SIN COMPRA "&amp;+UPPER(TEXT('DINAMICA ENERO 26'!$C$2,"mmm 'yy")), "COMPRADOR"))</f>
        <v>COMPRADOR</v>
      </c>
    </row>
    <row r="339" spans="1:18">
      <c r="A339" s="88" t="s">
        <v>85</v>
      </c>
      <c r="B339" s="89" t="s">
        <v>120</v>
      </c>
      <c r="C339" s="89" t="s">
        <v>52</v>
      </c>
      <c r="D339" s="103">
        <v>100088149</v>
      </c>
      <c r="E339" s="89" t="s">
        <v>56</v>
      </c>
      <c r="F339" s="89">
        <v>100089849</v>
      </c>
      <c r="G339" s="128" t="s">
        <v>420</v>
      </c>
      <c r="H339" s="168"/>
      <c r="I339" s="169"/>
      <c r="J339" s="169"/>
      <c r="K339" s="94"/>
      <c r="L339" s="92">
        <v>0</v>
      </c>
      <c r="M339" s="93">
        <v>0</v>
      </c>
      <c r="N339" s="98">
        <f t="shared" si="12"/>
        <v>0</v>
      </c>
      <c r="O339" s="97">
        <v>0</v>
      </c>
      <c r="P339" s="92">
        <v>0</v>
      </c>
      <c r="Q339" s="98">
        <f t="shared" si="11"/>
        <v>0</v>
      </c>
      <c r="R339" s="99" t="str">
        <f>+IF(Q339+N339&lt;=0, "NO COMPRADOR", +IF(Q339&lt;=0, "SIN COMPRA "&amp;+UPPER(TEXT('DINAMICA ENERO 26'!$C$2,"mmm 'yy")), "COMPRADOR"))</f>
        <v>NO COMPRADOR</v>
      </c>
    </row>
    <row r="340" spans="1:18">
      <c r="A340" s="88" t="s">
        <v>85</v>
      </c>
      <c r="B340" s="89" t="s">
        <v>120</v>
      </c>
      <c r="C340" s="89" t="s">
        <v>52</v>
      </c>
      <c r="D340" s="103">
        <v>100079515</v>
      </c>
      <c r="E340" s="89" t="s">
        <v>53</v>
      </c>
      <c r="F340" s="89">
        <v>100025640</v>
      </c>
      <c r="G340" s="128" t="s">
        <v>421</v>
      </c>
      <c r="H340" s="168"/>
      <c r="I340" s="169"/>
      <c r="J340" s="169"/>
      <c r="K340" s="94"/>
      <c r="L340" s="92">
        <v>0</v>
      </c>
      <c r="M340" s="93">
        <v>0</v>
      </c>
      <c r="N340" s="98">
        <f t="shared" si="12"/>
        <v>0</v>
      </c>
      <c r="O340" s="97">
        <v>0</v>
      </c>
      <c r="P340" s="92">
        <v>0</v>
      </c>
      <c r="Q340" s="98">
        <f t="shared" si="11"/>
        <v>0</v>
      </c>
      <c r="R340" s="99" t="str">
        <f>+IF(Q340+N340&lt;=0, "NO COMPRADOR", +IF(Q340&lt;=0, "SIN COMPRA "&amp;+UPPER(TEXT('DINAMICA ENERO 26'!$C$2,"mmm 'yy")), "COMPRADOR"))</f>
        <v>NO COMPRADOR</v>
      </c>
    </row>
    <row r="341" spans="1:18">
      <c r="A341" s="88" t="s">
        <v>85</v>
      </c>
      <c r="B341" s="89" t="s">
        <v>157</v>
      </c>
      <c r="C341" s="89" t="s">
        <v>52</v>
      </c>
      <c r="D341" s="103">
        <v>100079674</v>
      </c>
      <c r="E341" s="89" t="s">
        <v>57</v>
      </c>
      <c r="F341" s="89">
        <v>100080761</v>
      </c>
      <c r="G341" s="128" t="s">
        <v>422</v>
      </c>
      <c r="H341" s="168"/>
      <c r="I341" s="169"/>
      <c r="J341" s="169"/>
      <c r="K341" s="94"/>
      <c r="L341" s="92">
        <v>0</v>
      </c>
      <c r="M341" s="93">
        <v>0</v>
      </c>
      <c r="N341" s="98">
        <f t="shared" si="12"/>
        <v>0</v>
      </c>
      <c r="O341" s="97">
        <v>0</v>
      </c>
      <c r="P341" s="92">
        <v>0</v>
      </c>
      <c r="Q341" s="98">
        <f t="shared" si="11"/>
        <v>0</v>
      </c>
      <c r="R341" s="99" t="str">
        <f>+IF(Q341+N341&lt;=0, "NO COMPRADOR", +IF(Q341&lt;=0, "SIN COMPRA "&amp;+UPPER(TEXT('DINAMICA ENERO 26'!$C$2,"mmm 'yy")), "COMPRADOR"))</f>
        <v>NO COMPRADOR</v>
      </c>
    </row>
    <row r="342" spans="1:18">
      <c r="A342" s="88" t="s">
        <v>85</v>
      </c>
      <c r="B342" s="89" t="s">
        <v>157</v>
      </c>
      <c r="C342" s="89" t="s">
        <v>52</v>
      </c>
      <c r="D342" s="103">
        <v>100079674</v>
      </c>
      <c r="E342" s="89" t="s">
        <v>57</v>
      </c>
      <c r="F342" s="89">
        <v>100001878</v>
      </c>
      <c r="G342" s="128" t="s">
        <v>423</v>
      </c>
      <c r="H342" s="168"/>
      <c r="I342" s="169"/>
      <c r="J342" s="169"/>
      <c r="K342" s="94"/>
      <c r="L342" s="92">
        <v>0</v>
      </c>
      <c r="M342" s="93">
        <v>0</v>
      </c>
      <c r="N342" s="98">
        <f t="shared" si="12"/>
        <v>0</v>
      </c>
      <c r="O342" s="97">
        <v>0</v>
      </c>
      <c r="P342" s="92">
        <v>0</v>
      </c>
      <c r="Q342" s="98">
        <f t="shared" si="11"/>
        <v>0</v>
      </c>
      <c r="R342" s="99" t="str">
        <f>+IF(Q342+N342&lt;=0, "NO COMPRADOR", +IF(Q342&lt;=0, "SIN COMPRA "&amp;+UPPER(TEXT('DINAMICA ENERO 26'!$C$2,"mmm 'yy")), "COMPRADOR"))</f>
        <v>NO COMPRADOR</v>
      </c>
    </row>
    <row r="343" spans="1:18">
      <c r="A343" s="88" t="s">
        <v>85</v>
      </c>
      <c r="B343" s="89" t="s">
        <v>157</v>
      </c>
      <c r="C343" s="89" t="s">
        <v>52</v>
      </c>
      <c r="D343" s="103">
        <v>100079674</v>
      </c>
      <c r="E343" s="89" t="s">
        <v>57</v>
      </c>
      <c r="F343" s="89">
        <v>100085464</v>
      </c>
      <c r="G343" s="128" t="s">
        <v>424</v>
      </c>
      <c r="H343" s="168"/>
      <c r="I343" s="169"/>
      <c r="J343" s="169"/>
      <c r="K343" s="94"/>
      <c r="L343" s="92">
        <v>0</v>
      </c>
      <c r="M343" s="93">
        <v>0</v>
      </c>
      <c r="N343" s="98">
        <f t="shared" si="12"/>
        <v>0</v>
      </c>
      <c r="O343" s="97">
        <v>0</v>
      </c>
      <c r="P343" s="92">
        <v>0</v>
      </c>
      <c r="Q343" s="98">
        <f t="shared" si="11"/>
        <v>0</v>
      </c>
      <c r="R343" s="99" t="str">
        <f>+IF(Q343+N343&lt;=0, "NO COMPRADOR", +IF(Q343&lt;=0, "SIN COMPRA "&amp;+UPPER(TEXT('DINAMICA ENERO 26'!$C$2,"mmm 'yy")), "COMPRADOR"))</f>
        <v>NO COMPRADOR</v>
      </c>
    </row>
    <row r="344" spans="1:18">
      <c r="A344" s="88" t="s">
        <v>85</v>
      </c>
      <c r="B344" s="89" t="s">
        <v>157</v>
      </c>
      <c r="C344" s="89" t="s">
        <v>52</v>
      </c>
      <c r="D344" s="103">
        <v>100066856</v>
      </c>
      <c r="E344" s="89" t="s">
        <v>54</v>
      </c>
      <c r="F344" s="89">
        <v>100080160</v>
      </c>
      <c r="G344" s="128" t="s">
        <v>425</v>
      </c>
      <c r="H344" s="168"/>
      <c r="I344" s="169"/>
      <c r="J344" s="169"/>
      <c r="K344" s="94"/>
      <c r="L344" s="92">
        <v>0</v>
      </c>
      <c r="M344" s="93">
        <v>0</v>
      </c>
      <c r="N344" s="98">
        <f t="shared" si="12"/>
        <v>0</v>
      </c>
      <c r="O344" s="97">
        <v>0</v>
      </c>
      <c r="P344" s="92">
        <v>0</v>
      </c>
      <c r="Q344" s="98">
        <f t="shared" si="11"/>
        <v>0</v>
      </c>
      <c r="R344" s="99" t="str">
        <f>+IF(Q344+N344&lt;=0, "NO COMPRADOR", +IF(Q344&lt;=0, "SIN COMPRA "&amp;+UPPER(TEXT('DINAMICA ENERO 26'!$C$2,"mmm 'yy")), "COMPRADOR"))</f>
        <v>NO COMPRADOR</v>
      </c>
    </row>
    <row r="345" spans="1:18">
      <c r="A345" s="88" t="s">
        <v>85</v>
      </c>
      <c r="B345" s="89" t="s">
        <v>157</v>
      </c>
      <c r="C345" s="89" t="s">
        <v>52</v>
      </c>
      <c r="D345" s="103">
        <v>100066856</v>
      </c>
      <c r="E345" s="89" t="s">
        <v>54</v>
      </c>
      <c r="F345" s="89">
        <v>100077613</v>
      </c>
      <c r="G345" s="128" t="s">
        <v>426</v>
      </c>
      <c r="H345" s="168"/>
      <c r="I345" s="169"/>
      <c r="J345" s="169"/>
      <c r="K345" s="94"/>
      <c r="L345" s="92">
        <v>0</v>
      </c>
      <c r="M345" s="93">
        <v>0</v>
      </c>
      <c r="N345" s="98">
        <f t="shared" si="12"/>
        <v>0</v>
      </c>
      <c r="O345" s="97">
        <v>0</v>
      </c>
      <c r="P345" s="92">
        <v>0</v>
      </c>
      <c r="Q345" s="98">
        <f t="shared" si="11"/>
        <v>0</v>
      </c>
      <c r="R345" s="99" t="str">
        <f>+IF(Q345+N345&lt;=0, "NO COMPRADOR", +IF(Q345&lt;=0, "SIN COMPRA "&amp;+UPPER(TEXT('DINAMICA ENERO 26'!$C$2,"mmm 'yy")), "COMPRADOR"))</f>
        <v>NO COMPRADOR</v>
      </c>
    </row>
    <row r="346" spans="1:18">
      <c r="A346" s="88" t="s">
        <v>85</v>
      </c>
      <c r="B346" s="89" t="s">
        <v>157</v>
      </c>
      <c r="C346" s="89" t="s">
        <v>52</v>
      </c>
      <c r="D346" s="103">
        <v>100066856</v>
      </c>
      <c r="E346" s="89" t="s">
        <v>54</v>
      </c>
      <c r="F346" s="89">
        <v>100082823</v>
      </c>
      <c r="G346" s="128" t="s">
        <v>427</v>
      </c>
      <c r="H346" s="168"/>
      <c r="I346" s="169"/>
      <c r="J346" s="169"/>
      <c r="K346" s="94"/>
      <c r="L346" s="92">
        <v>0</v>
      </c>
      <c r="M346" s="93">
        <v>0</v>
      </c>
      <c r="N346" s="98">
        <f t="shared" si="12"/>
        <v>0</v>
      </c>
      <c r="O346" s="97">
        <v>0</v>
      </c>
      <c r="P346" s="92">
        <v>0</v>
      </c>
      <c r="Q346" s="98">
        <f t="shared" si="11"/>
        <v>0</v>
      </c>
      <c r="R346" s="99" t="str">
        <f>+IF(Q346+N346&lt;=0, "NO COMPRADOR", +IF(Q346&lt;=0, "SIN COMPRA "&amp;+UPPER(TEXT('DINAMICA ENERO 26'!$C$2,"mmm 'yy")), "COMPRADOR"))</f>
        <v>NO COMPRADOR</v>
      </c>
    </row>
    <row r="347" spans="1:18">
      <c r="A347" s="88" t="s">
        <v>85</v>
      </c>
      <c r="B347" s="89" t="s">
        <v>204</v>
      </c>
      <c r="C347" s="89" t="s">
        <v>52</v>
      </c>
      <c r="D347" s="103">
        <v>100089701</v>
      </c>
      <c r="E347" s="89" t="s">
        <v>58</v>
      </c>
      <c r="F347" s="89">
        <v>100079045</v>
      </c>
      <c r="G347" s="128" t="s">
        <v>428</v>
      </c>
      <c r="H347" s="168"/>
      <c r="I347" s="169"/>
      <c r="J347" s="169"/>
      <c r="K347" s="94"/>
      <c r="L347" s="92">
        <v>0</v>
      </c>
      <c r="M347" s="93">
        <v>0</v>
      </c>
      <c r="N347" s="98">
        <f t="shared" si="12"/>
        <v>0</v>
      </c>
      <c r="O347" s="97">
        <v>0</v>
      </c>
      <c r="P347" s="92">
        <v>0</v>
      </c>
      <c r="Q347" s="98">
        <f t="shared" si="11"/>
        <v>0</v>
      </c>
      <c r="R347" s="99" t="str">
        <f>+IF(Q347+N347&lt;=0, "NO COMPRADOR", +IF(Q347&lt;=0, "SIN COMPRA "&amp;+UPPER(TEXT('DINAMICA ENERO 26'!$C$2,"mmm 'yy")), "COMPRADOR"))</f>
        <v>NO COMPRADOR</v>
      </c>
    </row>
    <row r="348" spans="1:18">
      <c r="A348" s="88" t="s">
        <v>85</v>
      </c>
      <c r="B348" s="89" t="s">
        <v>204</v>
      </c>
      <c r="C348" s="89" t="s">
        <v>52</v>
      </c>
      <c r="D348" s="103">
        <v>100089701</v>
      </c>
      <c r="E348" s="89" t="s">
        <v>58</v>
      </c>
      <c r="F348" s="89">
        <v>100011496</v>
      </c>
      <c r="G348" s="128" t="s">
        <v>429</v>
      </c>
      <c r="H348" s="168"/>
      <c r="I348" s="169"/>
      <c r="J348" s="169"/>
      <c r="K348" s="94"/>
      <c r="L348" s="92">
        <v>0</v>
      </c>
      <c r="M348" s="93">
        <v>0</v>
      </c>
      <c r="N348" s="98">
        <f t="shared" si="12"/>
        <v>0</v>
      </c>
      <c r="O348" s="97">
        <v>0</v>
      </c>
      <c r="P348" s="92">
        <v>0</v>
      </c>
      <c r="Q348" s="98">
        <f t="shared" si="11"/>
        <v>0</v>
      </c>
      <c r="R348" s="99" t="str">
        <f>+IF(Q348+N348&lt;=0, "NO COMPRADOR", +IF(Q348&lt;=0, "SIN COMPRA "&amp;+UPPER(TEXT('DINAMICA ENERO 26'!$C$2,"mmm 'yy")), "COMPRADOR"))</f>
        <v>NO COMPRADOR</v>
      </c>
    </row>
    <row r="349" spans="1:18">
      <c r="A349" s="88" t="s">
        <v>85</v>
      </c>
      <c r="B349" s="89" t="s">
        <v>204</v>
      </c>
      <c r="C349" s="89" t="s">
        <v>52</v>
      </c>
      <c r="D349" s="103">
        <v>100073888</v>
      </c>
      <c r="E349" s="89" t="s">
        <v>55</v>
      </c>
      <c r="F349" s="89">
        <v>100001404</v>
      </c>
      <c r="G349" s="128" t="s">
        <v>430</v>
      </c>
      <c r="H349" s="168"/>
      <c r="I349" s="169"/>
      <c r="J349" s="169"/>
      <c r="K349" s="94"/>
      <c r="L349" s="92">
        <v>0</v>
      </c>
      <c r="M349" s="93">
        <v>0</v>
      </c>
      <c r="N349" s="98">
        <f t="shared" si="12"/>
        <v>0</v>
      </c>
      <c r="O349" s="97">
        <v>0</v>
      </c>
      <c r="P349" s="92">
        <v>0</v>
      </c>
      <c r="Q349" s="98">
        <f t="shared" si="11"/>
        <v>0</v>
      </c>
      <c r="R349" s="99" t="str">
        <f>+IF(Q349+N349&lt;=0, "NO COMPRADOR", +IF(Q349&lt;=0, "SIN COMPRA "&amp;+UPPER(TEXT('DINAMICA ENERO 26'!$C$2,"mmm 'yy")), "COMPRADOR"))</f>
        <v>NO COMPRADOR</v>
      </c>
    </row>
    <row r="350" spans="1:18">
      <c r="A350" s="88" t="s">
        <v>85</v>
      </c>
      <c r="B350" s="89" t="s">
        <v>204</v>
      </c>
      <c r="C350" s="89" t="s">
        <v>52</v>
      </c>
      <c r="D350" s="103">
        <v>100073888</v>
      </c>
      <c r="E350" s="89" t="s">
        <v>55</v>
      </c>
      <c r="F350" s="89">
        <v>100002253</v>
      </c>
      <c r="G350" s="128" t="s">
        <v>431</v>
      </c>
      <c r="H350" s="168"/>
      <c r="I350" s="169"/>
      <c r="J350" s="169"/>
      <c r="K350" s="94"/>
      <c r="L350" s="92">
        <v>0</v>
      </c>
      <c r="M350" s="93">
        <v>0</v>
      </c>
      <c r="N350" s="98">
        <f t="shared" si="12"/>
        <v>0</v>
      </c>
      <c r="O350" s="97">
        <v>0</v>
      </c>
      <c r="P350" s="92">
        <v>0</v>
      </c>
      <c r="Q350" s="98">
        <f t="shared" si="11"/>
        <v>0</v>
      </c>
      <c r="R350" s="99" t="str">
        <f>+IF(Q350+N350&lt;=0, "NO COMPRADOR", +IF(Q350&lt;=0, "SIN COMPRA "&amp;+UPPER(TEXT('DINAMICA ENERO 26'!$C$2,"mmm 'yy")), "COMPRADOR"))</f>
        <v>NO COMPRADOR</v>
      </c>
    </row>
    <row r="351" spans="1:18">
      <c r="A351" s="88" t="s">
        <v>85</v>
      </c>
      <c r="B351" s="89" t="s">
        <v>236</v>
      </c>
      <c r="C351" s="89" t="s">
        <v>68</v>
      </c>
      <c r="D351" s="103">
        <v>100031199</v>
      </c>
      <c r="E351" s="89" t="s">
        <v>69</v>
      </c>
      <c r="F351" s="89">
        <v>100089970</v>
      </c>
      <c r="G351" s="128" t="s">
        <v>432</v>
      </c>
      <c r="H351" s="168"/>
      <c r="I351" s="169"/>
      <c r="J351" s="169"/>
      <c r="K351" s="94"/>
      <c r="L351" s="92">
        <v>0</v>
      </c>
      <c r="M351" s="93">
        <v>0</v>
      </c>
      <c r="N351" s="98">
        <f t="shared" si="12"/>
        <v>0</v>
      </c>
      <c r="O351" s="97">
        <v>0</v>
      </c>
      <c r="P351" s="92">
        <v>0</v>
      </c>
      <c r="Q351" s="98">
        <f t="shared" si="11"/>
        <v>0</v>
      </c>
      <c r="R351" s="99" t="str">
        <f>+IF(Q351+N351&lt;=0, "NO COMPRADOR", +IF(Q351&lt;=0, "SIN COMPRA "&amp;+UPPER(TEXT('DINAMICA ENERO 26'!$C$2,"mmm 'yy")), "COMPRADOR"))</f>
        <v>NO COMPRADOR</v>
      </c>
    </row>
    <row r="352" spans="1:18">
      <c r="A352" s="88" t="s">
        <v>85</v>
      </c>
      <c r="B352" s="89" t="s">
        <v>257</v>
      </c>
      <c r="C352" s="89" t="s">
        <v>43</v>
      </c>
      <c r="D352" s="103">
        <v>100088690</v>
      </c>
      <c r="E352" s="89" t="s">
        <v>45</v>
      </c>
      <c r="F352" s="89">
        <v>100002208</v>
      </c>
      <c r="G352" s="128" t="s">
        <v>433</v>
      </c>
      <c r="H352" s="168"/>
      <c r="I352" s="169"/>
      <c r="J352" s="169"/>
      <c r="K352" s="94"/>
      <c r="L352" s="92">
        <v>0</v>
      </c>
      <c r="M352" s="93">
        <v>0</v>
      </c>
      <c r="N352" s="98">
        <f t="shared" si="12"/>
        <v>0</v>
      </c>
      <c r="O352" s="97">
        <v>0</v>
      </c>
      <c r="P352" s="92">
        <v>0</v>
      </c>
      <c r="Q352" s="98">
        <f t="shared" si="11"/>
        <v>0</v>
      </c>
      <c r="R352" s="99" t="str">
        <f>+IF(Q352+N352&lt;=0, "NO COMPRADOR", +IF(Q352&lt;=0, "SIN COMPRA "&amp;+UPPER(TEXT('DINAMICA ENERO 26'!$C$2,"mmm 'yy")), "COMPRADOR"))</f>
        <v>NO COMPRADOR</v>
      </c>
    </row>
    <row r="353" spans="1:18">
      <c r="A353" s="88" t="s">
        <v>85</v>
      </c>
      <c r="B353" s="89" t="s">
        <v>257</v>
      </c>
      <c r="C353" s="89" t="s">
        <v>43</v>
      </c>
      <c r="D353" s="103">
        <v>100088690</v>
      </c>
      <c r="E353" s="89" t="s">
        <v>45</v>
      </c>
      <c r="F353" s="89">
        <v>100001513</v>
      </c>
      <c r="G353" s="128" t="s">
        <v>287</v>
      </c>
      <c r="H353" s="168"/>
      <c r="I353" s="169"/>
      <c r="J353" s="169"/>
      <c r="K353" s="94"/>
      <c r="L353" s="92">
        <v>0</v>
      </c>
      <c r="M353" s="93">
        <v>14.399999999999999</v>
      </c>
      <c r="N353" s="98">
        <f t="shared" si="12"/>
        <v>7.1999999999999993</v>
      </c>
      <c r="O353" s="97">
        <v>0</v>
      </c>
      <c r="P353" s="92">
        <v>0</v>
      </c>
      <c r="Q353" s="98">
        <f t="shared" si="11"/>
        <v>0</v>
      </c>
      <c r="R353" s="99" t="str">
        <f>+IF(Q353+N353&lt;=0, "NO COMPRADOR", +IF(Q353&lt;=0, "SIN COMPRA "&amp;+UPPER(TEXT('DINAMICA ENERO 26'!$C$2,"mmm 'yy")), "COMPRADOR"))</f>
        <v>SIN COMPRA FEB '26</v>
      </c>
    </row>
    <row r="354" spans="1:18">
      <c r="A354" s="88" t="s">
        <v>85</v>
      </c>
      <c r="B354" s="89" t="s">
        <v>257</v>
      </c>
      <c r="C354" s="89" t="s">
        <v>43</v>
      </c>
      <c r="D354" s="103">
        <v>100088690</v>
      </c>
      <c r="E354" s="89" t="s">
        <v>45</v>
      </c>
      <c r="F354" s="89">
        <v>100015740</v>
      </c>
      <c r="G354" s="128" t="s">
        <v>434</v>
      </c>
      <c r="H354" s="168"/>
      <c r="I354" s="169"/>
      <c r="J354" s="169"/>
      <c r="K354" s="94"/>
      <c r="L354" s="92">
        <v>0</v>
      </c>
      <c r="M354" s="93">
        <v>110.39999999999996</v>
      </c>
      <c r="N354" s="98">
        <f t="shared" si="12"/>
        <v>55.199999999999982</v>
      </c>
      <c r="O354" s="97">
        <v>0</v>
      </c>
      <c r="P354" s="92">
        <v>0</v>
      </c>
      <c r="Q354" s="98">
        <f t="shared" si="11"/>
        <v>0</v>
      </c>
      <c r="R354" s="99" t="str">
        <f>+IF(Q354+N354&lt;=0, "NO COMPRADOR", +IF(Q354&lt;=0, "SIN COMPRA "&amp;+UPPER(TEXT('DINAMICA ENERO 26'!$C$2,"mmm 'yy")), "COMPRADOR"))</f>
        <v>SIN COMPRA FEB '26</v>
      </c>
    </row>
    <row r="355" spans="1:18">
      <c r="A355" s="88" t="s">
        <v>85</v>
      </c>
      <c r="B355" s="89" t="s">
        <v>257</v>
      </c>
      <c r="C355" s="89" t="s">
        <v>43</v>
      </c>
      <c r="D355" s="103">
        <v>100089856</v>
      </c>
      <c r="E355" s="89" t="s">
        <v>49</v>
      </c>
      <c r="F355" s="89">
        <v>100013280</v>
      </c>
      <c r="G355" s="128" t="s">
        <v>435</v>
      </c>
      <c r="H355" s="168"/>
      <c r="I355" s="169"/>
      <c r="J355" s="169"/>
      <c r="K355" s="94"/>
      <c r="L355" s="92">
        <v>0</v>
      </c>
      <c r="M355" s="93">
        <v>0</v>
      </c>
      <c r="N355" s="98">
        <f t="shared" si="12"/>
        <v>0</v>
      </c>
      <c r="O355" s="97">
        <v>0</v>
      </c>
      <c r="P355" s="92">
        <v>0</v>
      </c>
      <c r="Q355" s="98">
        <f t="shared" si="11"/>
        <v>0</v>
      </c>
      <c r="R355" s="99" t="str">
        <f>+IF(Q355+N355&lt;=0, "NO COMPRADOR", +IF(Q355&lt;=0, "SIN COMPRA "&amp;+UPPER(TEXT('DINAMICA ENERO 26'!$C$2,"mmm 'yy")), "COMPRADOR"))</f>
        <v>NO COMPRADOR</v>
      </c>
    </row>
    <row r="356" spans="1:18">
      <c r="A356" s="88" t="s">
        <v>85</v>
      </c>
      <c r="B356" s="89" t="s">
        <v>257</v>
      </c>
      <c r="C356" s="89" t="s">
        <v>43</v>
      </c>
      <c r="D356" s="103">
        <v>100089856</v>
      </c>
      <c r="E356" s="89" t="s">
        <v>49</v>
      </c>
      <c r="F356" s="89">
        <v>100081920</v>
      </c>
      <c r="G356" s="128" t="s">
        <v>436</v>
      </c>
      <c r="H356" s="168"/>
      <c r="I356" s="169"/>
      <c r="J356" s="169"/>
      <c r="K356" s="94"/>
      <c r="L356" s="92">
        <v>0</v>
      </c>
      <c r="M356" s="93">
        <v>0</v>
      </c>
      <c r="N356" s="98">
        <f t="shared" si="12"/>
        <v>0</v>
      </c>
      <c r="O356" s="97">
        <v>0</v>
      </c>
      <c r="P356" s="92">
        <v>0</v>
      </c>
      <c r="Q356" s="98">
        <f t="shared" si="11"/>
        <v>0</v>
      </c>
      <c r="R356" s="99" t="str">
        <f>+IF(Q356+N356&lt;=0, "NO COMPRADOR", +IF(Q356&lt;=0, "SIN COMPRA "&amp;+UPPER(TEXT('DINAMICA ENERO 26'!$C$2,"mmm 'yy")), "COMPRADOR"))</f>
        <v>NO COMPRADOR</v>
      </c>
    </row>
    <row r="357" spans="1:18">
      <c r="A357" s="88" t="s">
        <v>85</v>
      </c>
      <c r="B357" s="89" t="s">
        <v>257</v>
      </c>
      <c r="C357" s="89" t="s">
        <v>43</v>
      </c>
      <c r="D357" s="103">
        <v>100089856</v>
      </c>
      <c r="E357" s="89" t="s">
        <v>49</v>
      </c>
      <c r="F357" s="89">
        <v>100087806</v>
      </c>
      <c r="G357" s="128" t="s">
        <v>437</v>
      </c>
      <c r="H357" s="168"/>
      <c r="I357" s="169"/>
      <c r="J357" s="169"/>
      <c r="K357" s="94"/>
      <c r="L357" s="92">
        <v>0</v>
      </c>
      <c r="M357" s="93">
        <v>0</v>
      </c>
      <c r="N357" s="98">
        <f t="shared" si="12"/>
        <v>0</v>
      </c>
      <c r="O357" s="97">
        <v>0</v>
      </c>
      <c r="P357" s="92">
        <v>0</v>
      </c>
      <c r="Q357" s="98">
        <f t="shared" si="11"/>
        <v>0</v>
      </c>
      <c r="R357" s="99" t="str">
        <f>+IF(Q357+N357&lt;=0, "NO COMPRADOR", +IF(Q357&lt;=0, "SIN COMPRA "&amp;+UPPER(TEXT('DINAMICA ENERO 26'!$C$2,"mmm 'yy")), "COMPRADOR"))</f>
        <v>NO COMPRADOR</v>
      </c>
    </row>
    <row r="358" spans="1:18">
      <c r="A358" s="88" t="s">
        <v>85</v>
      </c>
      <c r="B358" s="89" t="s">
        <v>257</v>
      </c>
      <c r="C358" s="89" t="s">
        <v>43</v>
      </c>
      <c r="D358" s="103">
        <v>100089856</v>
      </c>
      <c r="E358" s="89" t="s">
        <v>49</v>
      </c>
      <c r="F358" s="89">
        <v>100061574</v>
      </c>
      <c r="G358" s="128" t="s">
        <v>438</v>
      </c>
      <c r="H358" s="168"/>
      <c r="I358" s="169"/>
      <c r="J358" s="169"/>
      <c r="K358" s="94"/>
      <c r="L358" s="92">
        <v>0</v>
      </c>
      <c r="M358" s="93">
        <v>0</v>
      </c>
      <c r="N358" s="98">
        <f t="shared" si="12"/>
        <v>0</v>
      </c>
      <c r="O358" s="97">
        <v>0</v>
      </c>
      <c r="P358" s="92">
        <v>0</v>
      </c>
      <c r="Q358" s="98">
        <f t="shared" si="11"/>
        <v>0</v>
      </c>
      <c r="R358" s="99" t="str">
        <f>+IF(Q358+N358&lt;=0, "NO COMPRADOR", +IF(Q358&lt;=0, "SIN COMPRA "&amp;+UPPER(TEXT('DINAMICA ENERO 26'!$C$2,"mmm 'yy")), "COMPRADOR"))</f>
        <v>NO COMPRADOR</v>
      </c>
    </row>
    <row r="359" spans="1:18">
      <c r="A359" s="88" t="s">
        <v>85</v>
      </c>
      <c r="B359" s="89" t="s">
        <v>257</v>
      </c>
      <c r="C359" s="89" t="s">
        <v>43</v>
      </c>
      <c r="D359" s="103">
        <v>100089856</v>
      </c>
      <c r="E359" s="89" t="s">
        <v>49</v>
      </c>
      <c r="F359" s="89">
        <v>100005860</v>
      </c>
      <c r="G359" s="128" t="s">
        <v>439</v>
      </c>
      <c r="H359" s="168"/>
      <c r="I359" s="169"/>
      <c r="J359" s="169"/>
      <c r="K359" s="94"/>
      <c r="L359" s="92">
        <v>0</v>
      </c>
      <c r="M359" s="93">
        <v>0</v>
      </c>
      <c r="N359" s="98">
        <f t="shared" si="12"/>
        <v>0</v>
      </c>
      <c r="O359" s="97">
        <v>0</v>
      </c>
      <c r="P359" s="92">
        <v>0</v>
      </c>
      <c r="Q359" s="98">
        <f t="shared" ref="Q359:Q366" si="13">+O359+P359</f>
        <v>0</v>
      </c>
      <c r="R359" s="99" t="str">
        <f>+IF(Q359+N359&lt;=0, "NO COMPRADOR", +IF(Q359&lt;=0, "SIN COMPRA "&amp;+UPPER(TEXT('DINAMICA ENERO 26'!$C$2,"mmm 'yy")), "COMPRADOR"))</f>
        <v>NO COMPRADOR</v>
      </c>
    </row>
    <row r="360" spans="1:18">
      <c r="A360" s="88" t="s">
        <v>85</v>
      </c>
      <c r="B360" s="89" t="s">
        <v>257</v>
      </c>
      <c r="C360" s="89" t="s">
        <v>43</v>
      </c>
      <c r="D360" s="103">
        <v>100067806</v>
      </c>
      <c r="E360" s="89" t="s">
        <v>50</v>
      </c>
      <c r="F360" s="89">
        <v>100086144</v>
      </c>
      <c r="G360" s="128" t="s">
        <v>440</v>
      </c>
      <c r="H360" s="168"/>
      <c r="I360" s="169"/>
      <c r="J360" s="169"/>
      <c r="K360" s="94"/>
      <c r="L360" s="92">
        <v>0</v>
      </c>
      <c r="M360" s="93">
        <v>0</v>
      </c>
      <c r="N360" s="98">
        <f t="shared" si="12"/>
        <v>0</v>
      </c>
      <c r="O360" s="97">
        <v>0</v>
      </c>
      <c r="P360" s="92">
        <v>0</v>
      </c>
      <c r="Q360" s="98">
        <f t="shared" si="13"/>
        <v>0</v>
      </c>
      <c r="R360" s="99" t="str">
        <f>+IF(Q360+N360&lt;=0, "NO COMPRADOR", +IF(Q360&lt;=0, "SIN COMPRA "&amp;+UPPER(TEXT('DINAMICA ENERO 26'!$C$2,"mmm 'yy")), "COMPRADOR"))</f>
        <v>NO COMPRADOR</v>
      </c>
    </row>
    <row r="361" spans="1:18">
      <c r="A361" s="88" t="s">
        <v>85</v>
      </c>
      <c r="B361" s="89" t="s">
        <v>257</v>
      </c>
      <c r="C361" s="89" t="s">
        <v>43</v>
      </c>
      <c r="D361" s="103">
        <v>100067806</v>
      </c>
      <c r="E361" s="89" t="s">
        <v>50</v>
      </c>
      <c r="F361" s="89">
        <v>100001431</v>
      </c>
      <c r="G361" s="128" t="s">
        <v>441</v>
      </c>
      <c r="H361" s="168"/>
      <c r="I361" s="169"/>
      <c r="J361" s="169"/>
      <c r="K361" s="94"/>
      <c r="L361" s="92">
        <v>0</v>
      </c>
      <c r="M361" s="93">
        <v>0</v>
      </c>
      <c r="N361" s="98">
        <f t="shared" si="12"/>
        <v>0</v>
      </c>
      <c r="O361" s="97">
        <v>0</v>
      </c>
      <c r="P361" s="92">
        <v>0</v>
      </c>
      <c r="Q361" s="98">
        <f t="shared" si="13"/>
        <v>0</v>
      </c>
      <c r="R361" s="99" t="str">
        <f>+IF(Q361+N361&lt;=0, "NO COMPRADOR", +IF(Q361&lt;=0, "SIN COMPRA "&amp;+UPPER(TEXT('DINAMICA ENERO 26'!$C$2,"mmm 'yy")), "COMPRADOR"))</f>
        <v>NO COMPRADOR</v>
      </c>
    </row>
    <row r="362" spans="1:18">
      <c r="A362" s="88" t="s">
        <v>85</v>
      </c>
      <c r="B362" s="89" t="s">
        <v>315</v>
      </c>
      <c r="C362" s="89" t="s">
        <v>43</v>
      </c>
      <c r="D362" s="103">
        <v>100063546</v>
      </c>
      <c r="E362" s="89" t="s">
        <v>46</v>
      </c>
      <c r="F362" s="89">
        <v>100083281</v>
      </c>
      <c r="G362" s="128" t="s">
        <v>442</v>
      </c>
      <c r="H362" s="168"/>
      <c r="I362" s="169"/>
      <c r="J362" s="169"/>
      <c r="K362" s="94"/>
      <c r="L362" s="92">
        <v>0</v>
      </c>
      <c r="M362" s="93">
        <v>0</v>
      </c>
      <c r="N362" s="98">
        <f t="shared" si="12"/>
        <v>0</v>
      </c>
      <c r="O362" s="97">
        <v>0</v>
      </c>
      <c r="P362" s="92">
        <v>0</v>
      </c>
      <c r="Q362" s="98">
        <f t="shared" si="13"/>
        <v>0</v>
      </c>
      <c r="R362" s="99" t="str">
        <f>+IF(Q362+N362&lt;=0, "NO COMPRADOR", +IF(Q362&lt;=0, "SIN COMPRA "&amp;+UPPER(TEXT('DINAMICA ENERO 26'!$C$2,"mmm 'yy")), "COMPRADOR"))</f>
        <v>NO COMPRADOR</v>
      </c>
    </row>
    <row r="363" spans="1:18">
      <c r="A363" s="88" t="s">
        <v>85</v>
      </c>
      <c r="B363" s="89" t="s">
        <v>351</v>
      </c>
      <c r="C363" s="89" t="s">
        <v>43</v>
      </c>
      <c r="D363" s="103">
        <v>100070275</v>
      </c>
      <c r="E363" s="89" t="s">
        <v>47</v>
      </c>
      <c r="F363" s="89">
        <v>100086676</v>
      </c>
      <c r="G363" s="128" t="s">
        <v>443</v>
      </c>
      <c r="H363" s="168"/>
      <c r="I363" s="169"/>
      <c r="J363" s="169"/>
      <c r="K363" s="94"/>
      <c r="L363" s="92">
        <v>0</v>
      </c>
      <c r="M363" s="93">
        <v>0</v>
      </c>
      <c r="N363" s="98">
        <f t="shared" si="12"/>
        <v>0</v>
      </c>
      <c r="O363" s="97">
        <v>0</v>
      </c>
      <c r="P363" s="92">
        <v>0</v>
      </c>
      <c r="Q363" s="98">
        <f t="shared" si="13"/>
        <v>0</v>
      </c>
      <c r="R363" s="99" t="str">
        <f>+IF(Q363+N363&lt;=0, "NO COMPRADOR", +IF(Q363&lt;=0, "SIN COMPRA "&amp;+UPPER(TEXT('DINAMICA ENERO 26'!$C$2,"mmm 'yy")), "COMPRADOR"))</f>
        <v>NO COMPRADOR</v>
      </c>
    </row>
    <row r="364" spans="1:18">
      <c r="A364" s="88" t="s">
        <v>85</v>
      </c>
      <c r="B364" s="89" t="s">
        <v>351</v>
      </c>
      <c r="C364" s="89" t="s">
        <v>43</v>
      </c>
      <c r="D364" s="103">
        <v>100070275</v>
      </c>
      <c r="E364" s="89" t="s">
        <v>47</v>
      </c>
      <c r="F364" s="89">
        <v>100001521</v>
      </c>
      <c r="G364" s="128" t="s">
        <v>444</v>
      </c>
      <c r="H364" s="168"/>
      <c r="I364" s="169"/>
      <c r="J364" s="169"/>
      <c r="K364" s="94"/>
      <c r="L364" s="92">
        <v>0</v>
      </c>
      <c r="M364" s="93">
        <v>0</v>
      </c>
      <c r="N364" s="98">
        <f t="shared" si="12"/>
        <v>0</v>
      </c>
      <c r="O364" s="97">
        <v>0</v>
      </c>
      <c r="P364" s="92">
        <v>0</v>
      </c>
      <c r="Q364" s="98">
        <f t="shared" si="13"/>
        <v>0</v>
      </c>
      <c r="R364" s="99" t="str">
        <f>+IF(Q364+N364&lt;=0, "NO COMPRADOR", +IF(Q364&lt;=0, "SIN COMPRA "&amp;+UPPER(TEXT('DINAMICA ENERO 26'!$C$2,"mmm 'yy")), "COMPRADOR"))</f>
        <v>NO COMPRADOR</v>
      </c>
    </row>
    <row r="365" spans="1:18">
      <c r="A365" s="88" t="s">
        <v>85</v>
      </c>
      <c r="B365" s="89" t="s">
        <v>351</v>
      </c>
      <c r="C365" s="89" t="s">
        <v>43</v>
      </c>
      <c r="D365" s="103">
        <v>100070276</v>
      </c>
      <c r="E365" s="89" t="s">
        <v>47</v>
      </c>
      <c r="F365" s="89">
        <v>100088142</v>
      </c>
      <c r="G365" s="128" t="s">
        <v>445</v>
      </c>
      <c r="H365" s="168"/>
      <c r="I365" s="169"/>
      <c r="J365" s="169"/>
      <c r="K365" s="94"/>
      <c r="L365" s="92">
        <v>0</v>
      </c>
      <c r="M365" s="93">
        <v>0</v>
      </c>
      <c r="N365" s="98">
        <f t="shared" si="12"/>
        <v>0</v>
      </c>
      <c r="O365" s="97">
        <v>0</v>
      </c>
      <c r="P365" s="92">
        <v>0</v>
      </c>
      <c r="Q365" s="98">
        <f t="shared" si="13"/>
        <v>0</v>
      </c>
      <c r="R365" s="99" t="str">
        <f>+IF(Q365+N365&lt;=0, "NO COMPRADOR", +IF(Q365&lt;=0, "SIN COMPRA "&amp;+UPPER(TEXT('DINAMICA ENERO 26'!$C$2,"mmm 'yy")), "COMPRADOR"))</f>
        <v>NO COMPRADOR</v>
      </c>
    </row>
    <row r="366" spans="1:18" ht="15" thickBot="1">
      <c r="A366" s="111" t="s">
        <v>85</v>
      </c>
      <c r="B366" s="112" t="s">
        <v>351</v>
      </c>
      <c r="C366" s="112" t="s">
        <v>43</v>
      </c>
      <c r="D366" s="189">
        <v>100075073</v>
      </c>
      <c r="E366" s="112" t="s">
        <v>48</v>
      </c>
      <c r="F366" s="112">
        <v>100001336</v>
      </c>
      <c r="G366" s="190" t="s">
        <v>446</v>
      </c>
      <c r="H366" s="170"/>
      <c r="I366" s="171"/>
      <c r="J366" s="171"/>
      <c r="K366" s="118"/>
      <c r="L366" s="116">
        <v>0</v>
      </c>
      <c r="M366" s="117">
        <v>0</v>
      </c>
      <c r="N366" s="121">
        <f t="shared" si="12"/>
        <v>0</v>
      </c>
      <c r="O366" s="120">
        <v>0</v>
      </c>
      <c r="P366" s="116">
        <v>0</v>
      </c>
      <c r="Q366" s="121">
        <f t="shared" si="13"/>
        <v>0</v>
      </c>
      <c r="R366" s="122" t="str">
        <f>+IF(Q366+N366&lt;=0, "NO COMPRADOR", +IF(Q366&lt;=0, "SIN COMPRA "&amp;+UPPER(TEXT('DINAMICA ENERO 26'!$C$2,"mmm 'yy")), "COMPRADOR"))</f>
        <v>NO COMPRADOR</v>
      </c>
    </row>
  </sheetData>
  <autoFilter ref="A2:S366" xr:uid="{00000000-0009-0000-0000-000005000000}"/>
  <mergeCells count="2">
    <mergeCell ref="A1:G1"/>
    <mergeCell ref="O1:Q1"/>
  </mergeCells>
  <conditionalFormatting sqref="Q3 Q4:R366">
    <cfRule type="cellIs" dxfId="0" priority="1" operator="lessThanOr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DINAMICA ENERO 26</vt:lpstr>
      <vt:lpstr>Chorizos</vt:lpstr>
      <vt:lpstr>Papas</vt:lpstr>
      <vt:lpstr>Veggies</vt:lpstr>
      <vt:lpstr>Untables</vt:lpstr>
      <vt:lpstr>ATUN</vt:lpstr>
      <vt:lpstr>RB (Kids+Crunchies)</vt:lpstr>
      <vt:lpstr>RB (Milanesitas)</vt:lpstr>
    </vt:vector>
  </TitlesOfParts>
  <Company>Swift Argentina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Aicardi</dc:creator>
  <cp:lastModifiedBy>Pablo Aicardi</cp:lastModifiedBy>
  <dcterms:created xsi:type="dcterms:W3CDTF">2026-02-24T11:43:59Z</dcterms:created>
  <dcterms:modified xsi:type="dcterms:W3CDTF">2026-02-24T11:44:16Z</dcterms:modified>
</cp:coreProperties>
</file>