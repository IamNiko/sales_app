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"/>
    </mc:Choice>
  </mc:AlternateContent>
  <xr:revisionPtr revIDLastSave="2" documentId="8_{95F793A6-0A9B-410A-85AC-5A70558871D4}" xr6:coauthVersionLast="47" xr6:coauthVersionMax="47" xr10:uidLastSave="{A0426063-CBAA-4504-B0A8-BE656D508FDB}"/>
  <bookViews>
    <workbookView minimized="1" xWindow="2685" yWindow="2685" windowWidth="15375" windowHeight="7785" xr2:uid="{520425E4-E5E5-4E9B-980F-0528FC73ADB3}"/>
  </bookViews>
  <sheets>
    <sheet name="PRODUCTO AR" sheetId="10" r:id="rId1"/>
    <sheet name="CODIGOS" sheetId="11" r:id="rId2"/>
    <sheet name="PROPOSTA BEEF AR" sheetId="4" state="hidden" r:id="rId3"/>
  </sheets>
  <externalReferences>
    <externalReference r:id="rId4"/>
  </externalReferences>
  <definedNames>
    <definedName name="_xlnm._FilterDatabase" localSheetId="1" hidden="1">CODIGOS!$H$7:$I$40</definedName>
    <definedName name="_xlnm._FilterDatabase" localSheetId="0" hidden="1">'PRODUCTO AR'!$B$7:$L$69</definedName>
    <definedName name="_xlnm._FilterDatabase" localSheetId="2" hidden="1">'PROPOSTA BEEF AR'!$B$7:$U$69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0" i="10" l="1"/>
  <c r="N909" i="10"/>
  <c r="N904" i="10"/>
  <c r="N901" i="10"/>
  <c r="N894" i="10"/>
  <c r="N893" i="10"/>
  <c r="N892" i="10"/>
  <c r="N891" i="10"/>
  <c r="N890" i="10"/>
  <c r="N889" i="10"/>
  <c r="N888" i="10"/>
  <c r="N881" i="10"/>
  <c r="N880" i="10"/>
  <c r="N877" i="10"/>
  <c r="N876" i="10"/>
  <c r="N874" i="10"/>
  <c r="N873" i="10"/>
  <c r="N872" i="10"/>
  <c r="N869" i="10"/>
  <c r="N868" i="10"/>
  <c r="N867" i="10"/>
  <c r="N866" i="10"/>
  <c r="N865" i="10"/>
  <c r="N864" i="10"/>
  <c r="N863" i="10"/>
  <c r="N848" i="10"/>
  <c r="N847" i="10"/>
  <c r="N846" i="10"/>
  <c r="N845" i="10"/>
  <c r="N844" i="10"/>
  <c r="N843" i="10"/>
  <c r="N842" i="10"/>
  <c r="N841" i="10"/>
  <c r="N840" i="10"/>
  <c r="N838" i="10"/>
  <c r="N835" i="10"/>
  <c r="N834" i="10"/>
  <c r="N833" i="10"/>
  <c r="N826" i="10"/>
  <c r="N820" i="10"/>
  <c r="N815" i="10"/>
  <c r="N809" i="10"/>
  <c r="N808" i="10"/>
  <c r="N793" i="10"/>
  <c r="N786" i="10"/>
  <c r="N782" i="10"/>
  <c r="N781" i="10"/>
  <c r="N780" i="10"/>
  <c r="N779" i="10"/>
  <c r="N778" i="10"/>
  <c r="N777" i="10"/>
  <c r="N776" i="10"/>
  <c r="N775" i="10"/>
  <c r="N774" i="10"/>
  <c r="N773" i="10"/>
  <c r="N772" i="10"/>
  <c r="N771" i="10"/>
  <c r="N770" i="10"/>
  <c r="N769" i="10"/>
  <c r="N766" i="10"/>
  <c r="N765" i="10"/>
  <c r="N764" i="10"/>
  <c r="N763" i="10"/>
  <c r="N761" i="10"/>
  <c r="N757" i="10"/>
  <c r="N754" i="10"/>
  <c r="N732" i="10"/>
  <c r="N731" i="10"/>
  <c r="N730" i="10"/>
  <c r="N722" i="10"/>
  <c r="N721" i="10"/>
  <c r="N718" i="10"/>
  <c r="N716" i="10"/>
  <c r="N715" i="10"/>
  <c r="N699" i="10"/>
  <c r="N698" i="10"/>
  <c r="N695" i="10"/>
  <c r="N694" i="10"/>
  <c r="N692" i="10"/>
  <c r="N664" i="10"/>
  <c r="N663" i="10"/>
  <c r="N662" i="10"/>
  <c r="N661" i="10"/>
  <c r="N660" i="10"/>
  <c r="N659" i="10"/>
  <c r="N658" i="10"/>
  <c r="N657" i="10"/>
  <c r="N656" i="10"/>
  <c r="N655" i="10"/>
  <c r="N654" i="10"/>
  <c r="N653" i="10"/>
  <c r="N652" i="10"/>
  <c r="N651" i="10"/>
  <c r="N650" i="10"/>
  <c r="N649" i="10"/>
  <c r="N648" i="10"/>
  <c r="N647" i="10"/>
  <c r="N646" i="10"/>
  <c r="N645" i="10"/>
  <c r="N644" i="10"/>
  <c r="N638" i="10"/>
  <c r="N637" i="10"/>
  <c r="N636" i="10"/>
  <c r="N635" i="10"/>
  <c r="N629" i="10"/>
  <c r="N624" i="10"/>
  <c r="N623" i="10"/>
  <c r="N622" i="10"/>
  <c r="N620" i="10"/>
  <c r="N615" i="10"/>
  <c r="N613" i="10"/>
  <c r="N612" i="10"/>
  <c r="N611" i="10"/>
  <c r="N605" i="10"/>
  <c r="N604" i="10"/>
  <c r="N596" i="10"/>
  <c r="N595" i="10"/>
  <c r="N591" i="10"/>
  <c r="N590" i="10"/>
  <c r="N587" i="10"/>
  <c r="N586" i="10"/>
  <c r="N585" i="10"/>
  <c r="N584" i="10"/>
  <c r="N583" i="10"/>
  <c r="N582" i="10"/>
  <c r="N581" i="10"/>
  <c r="N580" i="10"/>
  <c r="N579" i="10"/>
  <c r="N578" i="10"/>
  <c r="N577" i="10"/>
  <c r="N568" i="10"/>
  <c r="N567" i="10"/>
  <c r="N566" i="10"/>
  <c r="N564" i="10"/>
  <c r="N563" i="10"/>
  <c r="N562" i="10"/>
  <c r="N561" i="10"/>
  <c r="N527" i="10"/>
  <c r="N523" i="10"/>
  <c r="N522" i="10"/>
  <c r="N521" i="10"/>
  <c r="N507" i="10"/>
  <c r="N506" i="10"/>
  <c r="N505" i="10"/>
  <c r="N504" i="10"/>
  <c r="N503" i="10"/>
  <c r="N500" i="10"/>
  <c r="N498" i="10"/>
  <c r="N497" i="10"/>
  <c r="N496" i="10"/>
  <c r="N495" i="10"/>
  <c r="N490" i="10"/>
  <c r="N488" i="10"/>
  <c r="N481" i="10"/>
  <c r="N480" i="10"/>
  <c r="N474" i="10"/>
  <c r="N473" i="10"/>
  <c r="N472" i="10"/>
  <c r="N469" i="10"/>
  <c r="N461" i="10"/>
  <c r="N459" i="10"/>
  <c r="N458" i="10"/>
  <c r="N453" i="10"/>
  <c r="N452" i="10"/>
  <c r="N448" i="10"/>
  <c r="N447" i="10"/>
  <c r="N445" i="10"/>
  <c r="N444" i="10"/>
  <c r="N443" i="10"/>
  <c r="N442" i="10"/>
  <c r="N441" i="10"/>
  <c r="N440" i="10"/>
  <c r="N436" i="10"/>
  <c r="N435" i="10"/>
  <c r="N434" i="10"/>
  <c r="N432" i="10"/>
  <c r="N431" i="10"/>
  <c r="N428" i="10"/>
  <c r="N421" i="10"/>
  <c r="N420" i="10"/>
  <c r="N419" i="10"/>
  <c r="N418" i="10"/>
  <c r="N414" i="10"/>
  <c r="N364" i="10"/>
  <c r="N363" i="10"/>
  <c r="N361" i="10"/>
  <c r="N359" i="10"/>
  <c r="N358" i="10"/>
  <c r="N357" i="10"/>
  <c r="N356" i="10"/>
  <c r="N355" i="10"/>
  <c r="N353" i="10"/>
  <c r="N352" i="10"/>
  <c r="N351" i="10"/>
  <c r="N336" i="10"/>
  <c r="N335" i="10"/>
  <c r="N334" i="10"/>
  <c r="N329" i="10"/>
  <c r="N328" i="10"/>
  <c r="N325" i="10"/>
  <c r="N324" i="10"/>
  <c r="N321" i="10"/>
  <c r="N315" i="10"/>
  <c r="N313" i="10"/>
  <c r="N312" i="10"/>
  <c r="N309" i="10"/>
  <c r="N307" i="10"/>
  <c r="N289" i="10"/>
  <c r="N288" i="10"/>
  <c r="N287" i="10"/>
  <c r="N286" i="10"/>
  <c r="N284" i="10"/>
  <c r="N283" i="10"/>
  <c r="N282" i="10"/>
  <c r="N281" i="10"/>
  <c r="N267" i="10"/>
  <c r="N266" i="10"/>
  <c r="N265" i="10"/>
  <c r="N264" i="10"/>
  <c r="N263" i="10"/>
  <c r="N262" i="10"/>
  <c r="N261" i="10"/>
  <c r="N259" i="10"/>
  <c r="N258" i="10"/>
  <c r="N249" i="10"/>
  <c r="N248" i="10"/>
  <c r="N237" i="10"/>
  <c r="N236" i="10"/>
  <c r="N235" i="10"/>
  <c r="N234" i="10"/>
  <c r="N233" i="10"/>
  <c r="N227" i="10"/>
  <c r="N226" i="10"/>
  <c r="N225" i="10"/>
  <c r="N224" i="10"/>
  <c r="N223" i="10"/>
  <c r="N222" i="10"/>
  <c r="N221" i="10"/>
  <c r="N220" i="10"/>
  <c r="N209" i="10"/>
  <c r="N208" i="10"/>
  <c r="N207" i="10"/>
  <c r="N198" i="10"/>
  <c r="N197" i="10"/>
  <c r="N196" i="10"/>
  <c r="N195" i="10"/>
  <c r="N194" i="10"/>
  <c r="N192" i="10"/>
  <c r="N189" i="10"/>
  <c r="N187" i="10"/>
  <c r="N171" i="10"/>
  <c r="N170" i="10"/>
  <c r="N169" i="10"/>
  <c r="N168" i="10"/>
  <c r="N167" i="10"/>
  <c r="N165" i="10"/>
  <c r="N164" i="10"/>
  <c r="N134" i="10"/>
  <c r="N132" i="10"/>
  <c r="N131" i="10"/>
  <c r="N130" i="10"/>
  <c r="N108" i="10"/>
  <c r="N102" i="10"/>
  <c r="N99" i="10"/>
  <c r="N98" i="10"/>
  <c r="N89" i="10"/>
  <c r="N87" i="10"/>
  <c r="N86" i="10"/>
  <c r="N84" i="10"/>
  <c r="N82" i="10"/>
  <c r="N81" i="10"/>
  <c r="N74" i="10"/>
  <c r="N59" i="10"/>
  <c r="N58" i="10"/>
  <c r="N53" i="10"/>
  <c r="N52" i="10"/>
  <c r="N48" i="10"/>
  <c r="N47" i="10"/>
  <c r="N46" i="10"/>
  <c r="N41" i="10"/>
  <c r="N40" i="10"/>
  <c r="N39" i="10"/>
  <c r="N38" i="10"/>
  <c r="N37" i="10"/>
  <c r="N36" i="10"/>
  <c r="N35" i="10"/>
  <c r="N29" i="10"/>
  <c r="N25" i="10"/>
  <c r="N24" i="10"/>
  <c r="N23" i="10"/>
  <c r="N22" i="10"/>
  <c r="N21" i="10"/>
  <c r="N15" i="10"/>
  <c r="N14" i="10"/>
  <c r="N13" i="10"/>
  <c r="N12" i="10"/>
  <c r="K359" i="10"/>
  <c r="K753" i="10"/>
  <c r="K752" i="10"/>
  <c r="K751" i="10"/>
  <c r="K750" i="10"/>
  <c r="K748" i="10"/>
  <c r="K747" i="10"/>
  <c r="K816" i="10"/>
  <c r="K749" i="10"/>
  <c r="K688" i="10"/>
  <c r="K687" i="10"/>
  <c r="K686" i="10"/>
  <c r="K685" i="10"/>
  <c r="K684" i="10"/>
  <c r="K683" i="10"/>
  <c r="K682" i="10"/>
  <c r="K680" i="10"/>
  <c r="K679" i="10"/>
  <c r="K678" i="10"/>
  <c r="K677" i="10"/>
  <c r="K676" i="10"/>
  <c r="K675" i="10"/>
  <c r="K674" i="10"/>
  <c r="K673" i="10"/>
  <c r="K879" i="10"/>
  <c r="K878" i="10"/>
  <c r="K643" i="10"/>
  <c r="K642" i="10"/>
  <c r="K641" i="10"/>
  <c r="K628" i="10"/>
  <c r="K627" i="10"/>
  <c r="K576" i="10"/>
  <c r="K331" i="10"/>
  <c r="K330" i="10"/>
  <c r="K311" i="10"/>
  <c r="K310" i="10"/>
  <c r="K309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E910" i="10" l="1"/>
  <c r="E906" i="10"/>
  <c r="E898" i="10"/>
  <c r="E892" i="10"/>
  <c r="E887" i="10"/>
  <c r="E886" i="10"/>
  <c r="E885" i="10"/>
  <c r="E884" i="10"/>
  <c r="E876" i="10"/>
  <c r="E872" i="10"/>
  <c r="E867" i="10"/>
  <c r="E865" i="10"/>
  <c r="E864" i="10"/>
  <c r="E863" i="10"/>
  <c r="E862" i="10"/>
  <c r="E861" i="10"/>
  <c r="E859" i="10"/>
  <c r="E858" i="10"/>
  <c r="E855" i="10"/>
  <c r="E854" i="10"/>
  <c r="E853" i="10"/>
  <c r="E852" i="10"/>
  <c r="E851" i="10"/>
  <c r="E850" i="10"/>
  <c r="E849" i="10"/>
  <c r="E848" i="10"/>
  <c r="E846" i="10"/>
  <c r="E841" i="10"/>
  <c r="E839" i="10"/>
  <c r="E838" i="10"/>
  <c r="E837" i="10"/>
  <c r="E836" i="10"/>
  <c r="E834" i="10"/>
  <c r="E832" i="10"/>
  <c r="E831" i="10"/>
  <c r="E830" i="10"/>
  <c r="E829" i="10"/>
  <c r="E818" i="10"/>
  <c r="E817" i="10"/>
  <c r="E814" i="10"/>
  <c r="E813" i="10"/>
  <c r="E812" i="10"/>
  <c r="E811" i="10"/>
  <c r="E810" i="10"/>
  <c r="E780" i="10"/>
  <c r="E779" i="10"/>
  <c r="E766" i="10"/>
  <c r="E764" i="10"/>
  <c r="E760" i="10"/>
  <c r="E758" i="10"/>
  <c r="E730" i="10"/>
  <c r="E729" i="10"/>
  <c r="E728" i="10"/>
  <c r="E727" i="10"/>
  <c r="E726" i="10"/>
  <c r="E725" i="10"/>
  <c r="E724" i="10"/>
  <c r="E723" i="10"/>
  <c r="E721" i="10"/>
  <c r="E719" i="10"/>
  <c r="E718" i="10"/>
  <c r="E716" i="10"/>
  <c r="E715" i="10"/>
  <c r="E710" i="10"/>
  <c r="E709" i="10"/>
  <c r="E708" i="10"/>
  <c r="E707" i="10"/>
  <c r="E706" i="10"/>
  <c r="E703" i="10"/>
  <c r="E702" i="10"/>
  <c r="E696" i="10"/>
  <c r="E695" i="10"/>
  <c r="E693" i="10"/>
  <c r="E692" i="10"/>
  <c r="E638" i="10"/>
  <c r="E637" i="10"/>
  <c r="E636" i="10"/>
  <c r="E633" i="10"/>
  <c r="E632" i="10"/>
  <c r="E631" i="10"/>
  <c r="E630" i="10"/>
  <c r="E626" i="10"/>
  <c r="E624" i="10"/>
  <c r="E622" i="10"/>
  <c r="E614" i="10"/>
  <c r="E613" i="10"/>
  <c r="E609" i="10"/>
  <c r="E608" i="10"/>
  <c r="E606" i="10"/>
  <c r="E605" i="10"/>
  <c r="E604" i="10"/>
  <c r="E602" i="10"/>
  <c r="E599" i="10"/>
  <c r="E598" i="10"/>
  <c r="E597" i="10"/>
  <c r="E596" i="10"/>
  <c r="E595" i="10"/>
  <c r="E594" i="10"/>
  <c r="E593" i="10"/>
  <c r="E590" i="10"/>
  <c r="E580" i="10"/>
  <c r="E560" i="10"/>
  <c r="E559" i="10"/>
  <c r="E550" i="10"/>
  <c r="E521" i="10"/>
  <c r="E519" i="10"/>
  <c r="E518" i="10"/>
  <c r="E517" i="10"/>
  <c r="E516" i="10"/>
  <c r="E515" i="10"/>
  <c r="E513" i="10"/>
  <c r="E512" i="10"/>
  <c r="E511" i="10"/>
  <c r="E510" i="10"/>
  <c r="E509" i="10"/>
  <c r="E508" i="10"/>
  <c r="E507" i="10"/>
  <c r="E506" i="10"/>
  <c r="E505" i="10"/>
  <c r="E504" i="10"/>
  <c r="E502" i="10"/>
  <c r="E500" i="10"/>
  <c r="E498" i="10"/>
  <c r="E497" i="10"/>
  <c r="E496" i="10"/>
  <c r="E494" i="10"/>
  <c r="E493" i="10"/>
  <c r="E492" i="10"/>
  <c r="E491" i="10"/>
  <c r="E490" i="10"/>
  <c r="E489" i="10"/>
  <c r="E488" i="10"/>
  <c r="E487" i="10"/>
  <c r="E486" i="10"/>
  <c r="E485" i="10"/>
  <c r="E483" i="10"/>
  <c r="E482" i="10"/>
  <c r="E481" i="10"/>
  <c r="E480" i="10"/>
  <c r="E479" i="10"/>
  <c r="E478" i="10"/>
  <c r="E477" i="10"/>
  <c r="E476" i="10"/>
  <c r="E475" i="10"/>
  <c r="E474" i="10"/>
  <c r="E470" i="10"/>
  <c r="E469" i="10"/>
  <c r="E468" i="10"/>
  <c r="E459" i="10"/>
  <c r="E457" i="10"/>
  <c r="E456" i="10"/>
  <c r="E455" i="10"/>
  <c r="E453" i="10"/>
  <c r="E451" i="10"/>
  <c r="E450" i="10"/>
  <c r="E449" i="10"/>
  <c r="E447" i="10"/>
  <c r="E445" i="10"/>
  <c r="E444" i="10"/>
  <c r="E443" i="10"/>
  <c r="E442" i="10"/>
  <c r="E441" i="10"/>
  <c r="E440" i="10"/>
  <c r="E439" i="10"/>
  <c r="E438" i="10"/>
  <c r="E437" i="10"/>
  <c r="E432" i="10"/>
  <c r="E431" i="10"/>
  <c r="E426" i="10"/>
  <c r="E425" i="10"/>
  <c r="E424" i="10"/>
  <c r="E423" i="10"/>
  <c r="E422" i="10"/>
  <c r="E420" i="10"/>
  <c r="E419" i="10"/>
  <c r="E417" i="10"/>
  <c r="E403" i="10"/>
  <c r="E394" i="10"/>
  <c r="E393" i="10"/>
  <c r="E392" i="10"/>
  <c r="E381" i="10"/>
  <c r="E369" i="10"/>
  <c r="E363" i="10"/>
  <c r="E356" i="10"/>
  <c r="E355" i="10"/>
  <c r="E352" i="10"/>
  <c r="E351" i="10"/>
  <c r="E350" i="10"/>
  <c r="E347" i="10"/>
  <c r="E346" i="10"/>
  <c r="E345" i="10"/>
  <c r="E343" i="10"/>
  <c r="E342" i="10"/>
  <c r="E341" i="10"/>
  <c r="E340" i="10"/>
  <c r="E339" i="10"/>
  <c r="E338" i="10"/>
  <c r="E337" i="10"/>
  <c r="E336" i="10"/>
  <c r="E334" i="10"/>
  <c r="E324" i="10"/>
  <c r="E320" i="10"/>
  <c r="E319" i="10"/>
  <c r="E313" i="10"/>
  <c r="E312" i="10"/>
  <c r="E307" i="10"/>
  <c r="E306" i="10"/>
  <c r="E305" i="10"/>
  <c r="E304" i="10"/>
  <c r="E303" i="10"/>
  <c r="E302" i="10"/>
  <c r="E300" i="10"/>
  <c r="E298" i="10"/>
  <c r="E297" i="10"/>
  <c r="E296" i="10"/>
  <c r="E295" i="10"/>
  <c r="E294" i="10"/>
  <c r="E293" i="10"/>
  <c r="E292" i="10"/>
  <c r="E291" i="10"/>
  <c r="E290" i="10"/>
  <c r="E289" i="10"/>
  <c r="E287" i="10"/>
  <c r="E285" i="10"/>
  <c r="E282" i="10"/>
  <c r="E280" i="10"/>
  <c r="E279" i="10"/>
  <c r="E276" i="10"/>
  <c r="E275" i="10"/>
  <c r="E274" i="10"/>
  <c r="E271" i="10"/>
  <c r="E270" i="10"/>
  <c r="E268" i="10"/>
  <c r="E267" i="10"/>
  <c r="E266" i="10"/>
  <c r="E264" i="10"/>
  <c r="E262" i="10"/>
  <c r="E261" i="10"/>
  <c r="E259" i="10"/>
  <c r="E258" i="10"/>
  <c r="E257" i="10"/>
  <c r="E256" i="10"/>
  <c r="E247" i="10"/>
  <c r="E245" i="10"/>
  <c r="E244" i="10"/>
  <c r="E243" i="10"/>
  <c r="E242" i="10"/>
  <c r="E240" i="10"/>
  <c r="E239" i="10"/>
  <c r="E238" i="10"/>
  <c r="E237" i="10"/>
  <c r="E236" i="10"/>
  <c r="E233" i="10"/>
  <c r="E232" i="10"/>
  <c r="E230" i="10"/>
  <c r="E229" i="10"/>
  <c r="E228" i="10"/>
  <c r="E219" i="10"/>
  <c r="E218" i="10"/>
  <c r="E217" i="10"/>
  <c r="E212" i="10"/>
  <c r="E211" i="10"/>
  <c r="E210" i="10"/>
  <c r="E206" i="10"/>
  <c r="E204" i="10"/>
  <c r="E203" i="10"/>
  <c r="E201" i="10"/>
  <c r="E200" i="10"/>
  <c r="E199" i="10"/>
  <c r="E198" i="10"/>
  <c r="E197" i="10"/>
  <c r="E194" i="10"/>
  <c r="E193" i="10"/>
  <c r="E192" i="10"/>
  <c r="E191" i="10"/>
  <c r="E190" i="10"/>
  <c r="E185" i="10"/>
  <c r="E184" i="10"/>
  <c r="E182" i="10"/>
  <c r="E176" i="10"/>
  <c r="E175" i="10"/>
  <c r="E174" i="10"/>
  <c r="E173" i="10"/>
  <c r="E172" i="10"/>
  <c r="E171" i="10"/>
  <c r="E170" i="10"/>
  <c r="E169" i="10"/>
  <c r="E167" i="10"/>
  <c r="E166" i="10"/>
  <c r="E165" i="10"/>
  <c r="E164" i="10"/>
  <c r="E146" i="10"/>
  <c r="E145" i="10"/>
  <c r="E144" i="10"/>
  <c r="E143" i="10"/>
  <c r="E142" i="10"/>
  <c r="E140" i="10"/>
  <c r="E139" i="10"/>
  <c r="E138" i="10"/>
  <c r="E136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7" i="10"/>
  <c r="E116" i="10"/>
  <c r="E115" i="10"/>
  <c r="E114" i="10"/>
  <c r="E113" i="10"/>
  <c r="E112" i="10"/>
  <c r="E111" i="10"/>
  <c r="E110" i="10"/>
  <c r="E109" i="10"/>
  <c r="E108" i="10"/>
  <c r="E106" i="10"/>
  <c r="E98" i="10"/>
  <c r="E97" i="10"/>
  <c r="E94" i="10"/>
  <c r="E93" i="10"/>
  <c r="E92" i="10"/>
  <c r="E91" i="10"/>
  <c r="E89" i="10"/>
  <c r="E84" i="10"/>
  <c r="E82" i="10"/>
  <c r="E79" i="10"/>
  <c r="E77" i="10"/>
  <c r="E76" i="10"/>
  <c r="E75" i="10"/>
  <c r="E72" i="10"/>
  <c r="E71" i="10"/>
  <c r="E66" i="10"/>
  <c r="E65" i="10"/>
  <c r="E63" i="10"/>
  <c r="E62" i="10"/>
  <c r="E60" i="10"/>
  <c r="E59" i="10"/>
  <c r="E53" i="10"/>
  <c r="E35" i="10"/>
  <c r="E96" i="10"/>
  <c r="E95" i="10"/>
  <c r="E90" i="10"/>
  <c r="E81" i="10"/>
  <c r="E80" i="10"/>
  <c r="E78" i="10"/>
  <c r="E73" i="10"/>
  <c r="E70" i="10"/>
  <c r="E69" i="10"/>
  <c r="E68" i="10"/>
  <c r="E67" i="10"/>
  <c r="E64" i="10"/>
  <c r="E61" i="10"/>
  <c r="E58" i="10"/>
  <c r="E55" i="10"/>
  <c r="E54" i="10"/>
  <c r="E50" i="10"/>
  <c r="E49" i="10"/>
  <c r="E900" i="10"/>
  <c r="E894" i="10"/>
  <c r="E889" i="10"/>
  <c r="E888" i="10"/>
  <c r="E871" i="10"/>
  <c r="E845" i="10"/>
  <c r="E825" i="10"/>
  <c r="E785" i="10"/>
  <c r="E712" i="10"/>
  <c r="E711" i="10"/>
  <c r="E699" i="10"/>
  <c r="E623" i="10"/>
  <c r="E617" i="10"/>
  <c r="E525" i="10"/>
  <c r="E473" i="10"/>
  <c r="E344" i="10"/>
  <c r="E327" i="10"/>
  <c r="E323" i="10"/>
  <c r="E277" i="10"/>
  <c r="E215" i="10"/>
  <c r="E205" i="10"/>
  <c r="E186" i="10"/>
  <c r="E168" i="10"/>
  <c r="E105" i="10"/>
  <c r="E100" i="10"/>
  <c r="E99" i="10"/>
  <c r="E88" i="10"/>
  <c r="E87" i="10"/>
  <c r="E48" i="10"/>
  <c r="L746" i="10"/>
  <c r="L745" i="10"/>
  <c r="K745" i="10" s="1"/>
  <c r="L744" i="10"/>
  <c r="K744" i="10" s="1"/>
  <c r="L743" i="10"/>
  <c r="L742" i="10"/>
  <c r="L741" i="10"/>
  <c r="L740" i="10"/>
  <c r="L739" i="10"/>
  <c r="L738" i="10"/>
  <c r="L737" i="10"/>
  <c r="L736" i="10"/>
  <c r="L735" i="10"/>
  <c r="L734" i="10"/>
  <c r="L733" i="10"/>
  <c r="L691" i="10"/>
  <c r="L690" i="10"/>
  <c r="L681" i="10"/>
  <c r="L672" i="10"/>
  <c r="L671" i="10"/>
  <c r="L670" i="10"/>
  <c r="L669" i="10"/>
  <c r="L668" i="10"/>
  <c r="L667" i="10"/>
  <c r="L666" i="10"/>
  <c r="L665" i="10"/>
  <c r="N11" i="10"/>
  <c r="K739" i="10" l="1"/>
  <c r="K741" i="10"/>
  <c r="K742" i="10"/>
  <c r="K734" i="10"/>
  <c r="K740" i="10"/>
  <c r="K743" i="10"/>
  <c r="K746" i="10"/>
  <c r="K733" i="10"/>
  <c r="K735" i="10"/>
  <c r="K736" i="10"/>
  <c r="K737" i="10"/>
  <c r="K738" i="10"/>
  <c r="K669" i="10"/>
  <c r="K670" i="10"/>
  <c r="K671" i="10"/>
  <c r="K672" i="10"/>
  <c r="K666" i="10"/>
  <c r="W92" i="4"/>
  <c r="U92" i="4"/>
  <c r="Q92" i="4"/>
  <c r="O92" i="4"/>
  <c r="M92" i="4"/>
  <c r="K92" i="4"/>
  <c r="W91" i="4"/>
  <c r="U91" i="4"/>
  <c r="Q91" i="4"/>
  <c r="O91" i="4"/>
  <c r="M91" i="4"/>
  <c r="K91" i="4"/>
  <c r="W90" i="4"/>
  <c r="U90" i="4"/>
  <c r="Q90" i="4"/>
  <c r="O90" i="4"/>
  <c r="M90" i="4"/>
  <c r="K90" i="4"/>
  <c r="W89" i="4"/>
  <c r="U89" i="4"/>
  <c r="Q89" i="4"/>
  <c r="O89" i="4"/>
  <c r="M89" i="4"/>
  <c r="K89" i="4"/>
  <c r="W109" i="4"/>
  <c r="U109" i="4"/>
  <c r="Q109" i="4"/>
  <c r="O109" i="4"/>
  <c r="M109" i="4"/>
  <c r="K109" i="4"/>
  <c r="W108" i="4"/>
  <c r="U108" i="4"/>
  <c r="Q108" i="4"/>
  <c r="O108" i="4"/>
  <c r="M108" i="4"/>
  <c r="K108" i="4"/>
  <c r="W107" i="4"/>
  <c r="U107" i="4"/>
  <c r="Q107" i="4"/>
  <c r="O107" i="4"/>
  <c r="M107" i="4"/>
  <c r="K107" i="4"/>
  <c r="W51" i="4"/>
  <c r="U51" i="4"/>
  <c r="Q51" i="4"/>
  <c r="O51" i="4"/>
  <c r="M51" i="4"/>
  <c r="K51" i="4"/>
  <c r="W105" i="4"/>
  <c r="U105" i="4"/>
  <c r="Q105" i="4"/>
  <c r="O105" i="4"/>
  <c r="M105" i="4"/>
  <c r="K105" i="4"/>
  <c r="W77" i="4"/>
  <c r="U77" i="4"/>
  <c r="Q77" i="4"/>
  <c r="O77" i="4"/>
  <c r="M77" i="4"/>
  <c r="K77" i="4"/>
  <c r="W76" i="4"/>
  <c r="U76" i="4"/>
  <c r="Q76" i="4"/>
  <c r="O76" i="4"/>
  <c r="M76" i="4"/>
  <c r="K76" i="4"/>
  <c r="W75" i="4"/>
  <c r="U75" i="4"/>
  <c r="Q75" i="4"/>
  <c r="O75" i="4"/>
  <c r="M75" i="4"/>
  <c r="K75" i="4"/>
  <c r="W104" i="4"/>
  <c r="U104" i="4"/>
  <c r="Q104" i="4"/>
  <c r="O104" i="4"/>
  <c r="M104" i="4"/>
  <c r="K104" i="4"/>
  <c r="W103" i="4"/>
  <c r="U103" i="4"/>
  <c r="Q103" i="4"/>
  <c r="O103" i="4"/>
  <c r="M103" i="4"/>
  <c r="K103" i="4"/>
  <c r="W88" i="4"/>
  <c r="U88" i="4"/>
  <c r="Q88" i="4"/>
  <c r="O88" i="4"/>
  <c r="M88" i="4"/>
  <c r="K88" i="4"/>
  <c r="W102" i="4"/>
  <c r="U102" i="4"/>
  <c r="Q102" i="4"/>
  <c r="O102" i="4"/>
  <c r="M102" i="4"/>
  <c r="K102" i="4"/>
  <c r="W101" i="4"/>
  <c r="U101" i="4"/>
  <c r="Q101" i="4"/>
  <c r="O101" i="4"/>
  <c r="M101" i="4"/>
  <c r="K101" i="4"/>
  <c r="W100" i="4"/>
  <c r="U100" i="4"/>
  <c r="Q100" i="4"/>
  <c r="O100" i="4"/>
  <c r="M100" i="4"/>
  <c r="K100" i="4"/>
  <c r="W97" i="4"/>
  <c r="U97" i="4"/>
  <c r="Q97" i="4"/>
  <c r="O97" i="4"/>
  <c r="M97" i="4"/>
  <c r="K97" i="4"/>
  <c r="W71" i="4"/>
  <c r="U71" i="4"/>
  <c r="Q71" i="4"/>
  <c r="O71" i="4"/>
  <c r="M71" i="4"/>
  <c r="K71" i="4"/>
  <c r="W70" i="4"/>
  <c r="U70" i="4"/>
  <c r="Q70" i="4"/>
  <c r="O70" i="4"/>
  <c r="M70" i="4"/>
  <c r="K70" i="4"/>
  <c r="W11" i="4"/>
  <c r="U11" i="4"/>
  <c r="Q11" i="4"/>
  <c r="O11" i="4"/>
  <c r="M11" i="4"/>
  <c r="K11" i="4"/>
  <c r="W10" i="4"/>
  <c r="U10" i="4"/>
  <c r="Q10" i="4"/>
  <c r="O10" i="4"/>
  <c r="M10" i="4"/>
  <c r="K10" i="4"/>
  <c r="W9" i="4"/>
  <c r="U9" i="4"/>
  <c r="Q9" i="4"/>
  <c r="O9" i="4"/>
  <c r="M9" i="4"/>
  <c r="K9" i="4"/>
  <c r="W8" i="4"/>
  <c r="U8" i="4"/>
  <c r="Q8" i="4"/>
  <c r="O8" i="4"/>
  <c r="M8" i="4"/>
  <c r="K8" i="4"/>
  <c r="W50" i="4"/>
  <c r="U50" i="4"/>
  <c r="Q50" i="4"/>
  <c r="O50" i="4"/>
  <c r="M50" i="4"/>
  <c r="K50" i="4"/>
  <c r="W96" i="4"/>
  <c r="U96" i="4"/>
  <c r="Q96" i="4"/>
  <c r="O96" i="4"/>
  <c r="M96" i="4"/>
  <c r="K96" i="4"/>
  <c r="W74" i="4"/>
  <c r="U74" i="4"/>
  <c r="Q74" i="4"/>
  <c r="O74" i="4"/>
  <c r="M74" i="4"/>
  <c r="K74" i="4"/>
  <c r="W73" i="4"/>
  <c r="U73" i="4"/>
  <c r="Q73" i="4"/>
  <c r="O73" i="4"/>
  <c r="M73" i="4"/>
  <c r="K73" i="4"/>
  <c r="W49" i="4"/>
  <c r="U49" i="4"/>
  <c r="Q49" i="4"/>
  <c r="O49" i="4"/>
  <c r="M49" i="4"/>
  <c r="K49" i="4"/>
  <c r="W99" i="4"/>
  <c r="U99" i="4"/>
  <c r="Q99" i="4"/>
  <c r="O99" i="4"/>
  <c r="M99" i="4"/>
  <c r="K99" i="4"/>
  <c r="W98" i="4"/>
  <c r="U98" i="4"/>
  <c r="Q98" i="4"/>
  <c r="O98" i="4"/>
  <c r="M98" i="4"/>
  <c r="K98" i="4"/>
  <c r="W87" i="4"/>
  <c r="U87" i="4"/>
  <c r="Q87" i="4"/>
  <c r="O87" i="4"/>
  <c r="M87" i="4"/>
  <c r="K87" i="4"/>
  <c r="W68" i="4"/>
  <c r="U68" i="4"/>
  <c r="Q68" i="4"/>
  <c r="O68" i="4"/>
  <c r="M68" i="4"/>
  <c r="K68" i="4"/>
  <c r="W67" i="4"/>
  <c r="U67" i="4"/>
  <c r="Q67" i="4"/>
  <c r="O67" i="4"/>
  <c r="M67" i="4"/>
  <c r="K67" i="4"/>
  <c r="W66" i="4"/>
  <c r="U66" i="4"/>
  <c r="Q66" i="4"/>
  <c r="O66" i="4"/>
  <c r="M66" i="4"/>
  <c r="K66" i="4"/>
  <c r="W65" i="4"/>
  <c r="U65" i="4"/>
  <c r="Q65" i="4"/>
  <c r="O65" i="4"/>
  <c r="M65" i="4"/>
  <c r="K65" i="4"/>
  <c r="W58" i="4"/>
  <c r="U58" i="4"/>
  <c r="Q58" i="4"/>
  <c r="O58" i="4"/>
  <c r="M58" i="4"/>
  <c r="K58" i="4"/>
  <c r="W57" i="4"/>
  <c r="U57" i="4"/>
  <c r="Q57" i="4"/>
  <c r="O57" i="4"/>
  <c r="M57" i="4"/>
  <c r="K57" i="4"/>
  <c r="W56" i="4"/>
  <c r="U56" i="4"/>
  <c r="Q56" i="4"/>
  <c r="O56" i="4"/>
  <c r="M56" i="4"/>
  <c r="K56" i="4"/>
  <c r="W55" i="4"/>
  <c r="U55" i="4"/>
  <c r="Q55" i="4"/>
  <c r="O55" i="4"/>
  <c r="M55" i="4"/>
  <c r="K55" i="4"/>
  <c r="W54" i="4"/>
  <c r="U54" i="4"/>
  <c r="Q54" i="4"/>
  <c r="O54" i="4"/>
  <c r="M54" i="4"/>
  <c r="K54" i="4"/>
  <c r="W53" i="4"/>
  <c r="U53" i="4"/>
  <c r="Q53" i="4"/>
  <c r="O53" i="4"/>
  <c r="M53" i="4"/>
  <c r="K53" i="4"/>
  <c r="W52" i="4"/>
  <c r="U52" i="4"/>
  <c r="Q52" i="4"/>
  <c r="O52" i="4"/>
  <c r="M52" i="4"/>
  <c r="K52" i="4"/>
  <c r="W48" i="4"/>
  <c r="U48" i="4"/>
  <c r="Q48" i="4"/>
  <c r="O48" i="4"/>
  <c r="M48" i="4"/>
  <c r="K48" i="4"/>
  <c r="W95" i="4"/>
  <c r="U95" i="4"/>
  <c r="Q95" i="4"/>
  <c r="O95" i="4"/>
  <c r="M95" i="4"/>
  <c r="K95" i="4"/>
  <c r="W47" i="4"/>
  <c r="U47" i="4"/>
  <c r="Q47" i="4"/>
  <c r="O47" i="4"/>
  <c r="M47" i="4"/>
  <c r="K47" i="4"/>
  <c r="W46" i="4"/>
  <c r="U46" i="4"/>
  <c r="Q46" i="4"/>
  <c r="O46" i="4"/>
  <c r="M46" i="4"/>
  <c r="K46" i="4"/>
  <c r="W86" i="4"/>
  <c r="U86" i="4"/>
  <c r="Q86" i="4"/>
  <c r="O86" i="4"/>
  <c r="M86" i="4"/>
  <c r="K86" i="4"/>
  <c r="W85" i="4"/>
  <c r="U85" i="4"/>
  <c r="Q85" i="4"/>
  <c r="O85" i="4"/>
  <c r="M85" i="4"/>
  <c r="K85" i="4"/>
  <c r="W41" i="4"/>
  <c r="U41" i="4"/>
  <c r="Q41" i="4"/>
  <c r="O41" i="4"/>
  <c r="M41" i="4"/>
  <c r="K41" i="4"/>
  <c r="W40" i="4"/>
  <c r="U40" i="4"/>
  <c r="Q40" i="4"/>
  <c r="O40" i="4"/>
  <c r="M40" i="4"/>
  <c r="K40" i="4"/>
  <c r="W72" i="4"/>
  <c r="U72" i="4"/>
  <c r="Q72" i="4"/>
  <c r="O72" i="4"/>
  <c r="M72" i="4"/>
  <c r="K72" i="4"/>
  <c r="W84" i="4"/>
  <c r="U84" i="4"/>
  <c r="Q84" i="4"/>
  <c r="O84" i="4"/>
  <c r="M84" i="4"/>
  <c r="K84" i="4"/>
  <c r="W64" i="4"/>
  <c r="U64" i="4"/>
  <c r="Q64" i="4"/>
  <c r="O64" i="4"/>
  <c r="M64" i="4"/>
  <c r="K64" i="4"/>
  <c r="W83" i="4"/>
  <c r="U83" i="4"/>
  <c r="Q83" i="4"/>
  <c r="O83" i="4"/>
  <c r="M83" i="4"/>
  <c r="K83" i="4"/>
  <c r="W82" i="4"/>
  <c r="U82" i="4"/>
  <c r="Q82" i="4"/>
  <c r="O82" i="4"/>
  <c r="M82" i="4"/>
  <c r="K82" i="4"/>
  <c r="W39" i="4"/>
  <c r="U39" i="4"/>
  <c r="Q39" i="4"/>
  <c r="O39" i="4"/>
  <c r="M39" i="4"/>
  <c r="K39" i="4"/>
  <c r="W38" i="4"/>
  <c r="U38" i="4"/>
  <c r="Q38" i="4"/>
  <c r="O38" i="4"/>
  <c r="M38" i="4"/>
  <c r="K38" i="4"/>
  <c r="W37" i="4"/>
  <c r="U37" i="4"/>
  <c r="Q37" i="4"/>
  <c r="O37" i="4"/>
  <c r="M37" i="4"/>
  <c r="K37" i="4"/>
  <c r="W36" i="4"/>
  <c r="U36" i="4"/>
  <c r="Q36" i="4"/>
  <c r="O36" i="4"/>
  <c r="M36" i="4"/>
  <c r="K36" i="4"/>
  <c r="W35" i="4"/>
  <c r="U35" i="4"/>
  <c r="Q35" i="4"/>
  <c r="O35" i="4"/>
  <c r="M35" i="4"/>
  <c r="K35" i="4"/>
  <c r="W34" i="4"/>
  <c r="U34" i="4"/>
  <c r="Q34" i="4"/>
  <c r="O34" i="4"/>
  <c r="M34" i="4"/>
  <c r="K34" i="4"/>
  <c r="W33" i="4"/>
  <c r="U33" i="4"/>
  <c r="Q33" i="4"/>
  <c r="O33" i="4"/>
  <c r="M33" i="4"/>
  <c r="K33" i="4"/>
  <c r="W32" i="4"/>
  <c r="U32" i="4"/>
  <c r="Q32" i="4"/>
  <c r="O32" i="4"/>
  <c r="M32" i="4"/>
  <c r="K32" i="4"/>
  <c r="W45" i="4"/>
  <c r="U45" i="4"/>
  <c r="Q45" i="4"/>
  <c r="O45" i="4"/>
  <c r="M45" i="4"/>
  <c r="K45" i="4"/>
  <c r="W44" i="4"/>
  <c r="U44" i="4"/>
  <c r="Q44" i="4"/>
  <c r="O44" i="4"/>
  <c r="M44" i="4"/>
  <c r="K44" i="4"/>
  <c r="W106" i="4"/>
  <c r="U106" i="4"/>
  <c r="Q106" i="4"/>
  <c r="O106" i="4"/>
  <c r="M106" i="4"/>
  <c r="K106" i="4"/>
  <c r="W94" i="4"/>
  <c r="U94" i="4"/>
  <c r="Q94" i="4"/>
  <c r="O94" i="4"/>
  <c r="M94" i="4"/>
  <c r="K94" i="4"/>
  <c r="W31" i="4"/>
  <c r="U31" i="4"/>
  <c r="Q31" i="4"/>
  <c r="O31" i="4"/>
  <c r="M31" i="4"/>
  <c r="K31" i="4"/>
  <c r="W30" i="4"/>
  <c r="U30" i="4"/>
  <c r="Q30" i="4"/>
  <c r="O30" i="4"/>
  <c r="M30" i="4"/>
  <c r="K30" i="4"/>
  <c r="W81" i="4"/>
  <c r="U81" i="4"/>
  <c r="Q81" i="4"/>
  <c r="O81" i="4"/>
  <c r="M81" i="4"/>
  <c r="K81" i="4"/>
  <c r="W29" i="4"/>
  <c r="U29" i="4"/>
  <c r="Q29" i="4"/>
  <c r="O29" i="4"/>
  <c r="M29" i="4"/>
  <c r="K29" i="4"/>
  <c r="W28" i="4"/>
  <c r="U28" i="4"/>
  <c r="Q28" i="4"/>
  <c r="O28" i="4"/>
  <c r="M28" i="4"/>
  <c r="K28" i="4"/>
  <c r="W27" i="4"/>
  <c r="U27" i="4"/>
  <c r="Q27" i="4"/>
  <c r="O27" i="4"/>
  <c r="M27" i="4"/>
  <c r="K27" i="4"/>
  <c r="W26" i="4"/>
  <c r="U26" i="4"/>
  <c r="Q26" i="4"/>
  <c r="O26" i="4"/>
  <c r="M26" i="4"/>
  <c r="K26" i="4"/>
  <c r="W25" i="4"/>
  <c r="U25" i="4"/>
  <c r="Q25" i="4"/>
  <c r="O25" i="4"/>
  <c r="M25" i="4"/>
  <c r="K25" i="4"/>
  <c r="W24" i="4"/>
  <c r="U24" i="4"/>
  <c r="Q24" i="4"/>
  <c r="O24" i="4"/>
  <c r="M24" i="4"/>
  <c r="K24" i="4"/>
  <c r="W23" i="4"/>
  <c r="U23" i="4"/>
  <c r="Q23" i="4"/>
  <c r="O23" i="4"/>
  <c r="M23" i="4"/>
  <c r="K23" i="4"/>
  <c r="W43" i="4"/>
  <c r="U43" i="4"/>
  <c r="Q43" i="4"/>
  <c r="O43" i="4"/>
  <c r="M43" i="4"/>
  <c r="K43" i="4"/>
  <c r="W80" i="4"/>
  <c r="U80" i="4"/>
  <c r="Q80" i="4"/>
  <c r="O80" i="4"/>
  <c r="M80" i="4"/>
  <c r="K80" i="4"/>
  <c r="W17" i="4"/>
  <c r="U17" i="4"/>
  <c r="Q17" i="4"/>
  <c r="O17" i="4"/>
  <c r="M17" i="4"/>
  <c r="K17" i="4"/>
  <c r="W16" i="4"/>
  <c r="U16" i="4"/>
  <c r="Q16" i="4"/>
  <c r="O16" i="4"/>
  <c r="M16" i="4"/>
  <c r="K16" i="4"/>
  <c r="W69" i="4"/>
  <c r="U69" i="4"/>
  <c r="Q69" i="4"/>
  <c r="O69" i="4"/>
  <c r="M69" i="4"/>
  <c r="K69" i="4"/>
  <c r="W22" i="4"/>
  <c r="U22" i="4"/>
  <c r="Q22" i="4"/>
  <c r="O22" i="4"/>
  <c r="M22" i="4"/>
  <c r="K22" i="4"/>
  <c r="W63" i="4"/>
  <c r="U63" i="4"/>
  <c r="Q63" i="4"/>
  <c r="O63" i="4"/>
  <c r="M63" i="4"/>
  <c r="K63" i="4"/>
  <c r="W42" i="4"/>
  <c r="U42" i="4"/>
  <c r="Q42" i="4"/>
  <c r="O42" i="4"/>
  <c r="M42" i="4"/>
  <c r="K42" i="4"/>
  <c r="W93" i="4"/>
  <c r="U93" i="4"/>
  <c r="Q93" i="4"/>
  <c r="O93" i="4"/>
  <c r="M93" i="4"/>
  <c r="K93" i="4"/>
  <c r="W62" i="4"/>
  <c r="U62" i="4"/>
  <c r="Q62" i="4"/>
  <c r="O62" i="4"/>
  <c r="M62" i="4"/>
  <c r="K62" i="4"/>
  <c r="W21" i="4"/>
  <c r="U21" i="4"/>
  <c r="Q21" i="4"/>
  <c r="O21" i="4"/>
  <c r="M21" i="4"/>
  <c r="K21" i="4"/>
  <c r="W20" i="4"/>
  <c r="U20" i="4"/>
  <c r="Q20" i="4"/>
  <c r="O20" i="4"/>
  <c r="M20" i="4"/>
  <c r="K20" i="4"/>
  <c r="W19" i="4"/>
  <c r="U19" i="4"/>
  <c r="Q19" i="4"/>
  <c r="O19" i="4"/>
  <c r="M19" i="4"/>
  <c r="K19" i="4"/>
  <c r="W18" i="4"/>
  <c r="U18" i="4"/>
  <c r="Q18" i="4"/>
  <c r="O18" i="4"/>
  <c r="M18" i="4"/>
  <c r="K18" i="4"/>
  <c r="W61" i="4"/>
  <c r="U61" i="4"/>
  <c r="Q61" i="4"/>
  <c r="O61" i="4"/>
  <c r="M61" i="4"/>
  <c r="K61" i="4"/>
  <c r="W60" i="4"/>
  <c r="U60" i="4"/>
  <c r="Q60" i="4"/>
  <c r="O60" i="4"/>
  <c r="M60" i="4"/>
  <c r="K60" i="4"/>
  <c r="W59" i="4"/>
  <c r="U59" i="4"/>
  <c r="Q59" i="4"/>
  <c r="O59" i="4"/>
  <c r="M59" i="4"/>
  <c r="K59" i="4"/>
  <c r="W15" i="4"/>
  <c r="U15" i="4"/>
  <c r="Q15" i="4"/>
  <c r="O15" i="4"/>
  <c r="M15" i="4"/>
  <c r="K15" i="4"/>
  <c r="W14" i="4"/>
  <c r="U14" i="4"/>
  <c r="Q14" i="4"/>
  <c r="O14" i="4"/>
  <c r="M14" i="4"/>
  <c r="K14" i="4"/>
  <c r="W13" i="4"/>
  <c r="U13" i="4"/>
  <c r="Q13" i="4"/>
  <c r="O13" i="4"/>
  <c r="M13" i="4"/>
  <c r="K13" i="4"/>
  <c r="W79" i="4"/>
  <c r="U79" i="4"/>
  <c r="Q79" i="4"/>
  <c r="O79" i="4"/>
  <c r="M79" i="4"/>
  <c r="K79" i="4"/>
  <c r="W78" i="4"/>
  <c r="U78" i="4"/>
  <c r="Q78" i="4"/>
  <c r="O78" i="4"/>
  <c r="M78" i="4"/>
  <c r="K78" i="4"/>
  <c r="W12" i="4"/>
  <c r="U12" i="4"/>
  <c r="Q12" i="4"/>
  <c r="O12" i="4"/>
  <c r="M12" i="4"/>
  <c r="K12" i="4"/>
  <c r="T13" i="4" l="1"/>
  <c r="T63" i="4"/>
  <c r="T102" i="4"/>
  <c r="T52" i="4"/>
  <c r="T81" i="4"/>
  <c r="T79" i="4"/>
  <c r="T101" i="4"/>
  <c r="T48" i="4"/>
  <c r="T29" i="4"/>
  <c r="T42" i="4"/>
  <c r="T89" i="4"/>
  <c r="T98" i="4"/>
  <c r="T37" i="4"/>
  <c r="T93" i="4"/>
  <c r="T97" i="4"/>
  <c r="T47" i="4"/>
  <c r="T62" i="4"/>
  <c r="T108" i="4"/>
  <c r="T68" i="4"/>
  <c r="T35" i="4"/>
  <c r="T21" i="4"/>
  <c r="T107" i="4"/>
  <c r="T67" i="4"/>
  <c r="T25" i="4"/>
  <c r="T51" i="4"/>
  <c r="T66" i="4"/>
  <c r="T33" i="4"/>
  <c r="T19" i="4"/>
  <c r="T10" i="4"/>
  <c r="T41" i="4"/>
  <c r="T23" i="4"/>
  <c r="T9" i="4"/>
  <c r="T40" i="4"/>
  <c r="T45" i="4"/>
  <c r="T43" i="4"/>
  <c r="T76" i="4"/>
  <c r="T57" i="4"/>
  <c r="T44" i="4"/>
  <c r="T60" i="4"/>
  <c r="T50" i="4"/>
  <c r="T84" i="4"/>
  <c r="T17" i="4"/>
  <c r="T104" i="4"/>
  <c r="T55" i="4"/>
  <c r="T94" i="4"/>
  <c r="T15" i="4"/>
  <c r="T12" i="4"/>
  <c r="T103" i="4"/>
  <c r="T74" i="4"/>
  <c r="T54" i="4"/>
  <c r="T83" i="4"/>
  <c r="T31" i="4"/>
  <c r="T69" i="4"/>
  <c r="T14" i="4"/>
  <c r="T91" i="4"/>
  <c r="T49" i="4"/>
  <c r="T39" i="4"/>
  <c r="T90" i="4"/>
  <c r="T99" i="4"/>
  <c r="T38" i="4"/>
  <c r="T78" i="4"/>
  <c r="T100" i="4"/>
  <c r="T95" i="4"/>
  <c r="T28" i="4"/>
  <c r="T109" i="4"/>
  <c r="T87" i="4"/>
  <c r="T36" i="4"/>
  <c r="T27" i="4"/>
  <c r="T71" i="4"/>
  <c r="T46" i="4"/>
  <c r="T26" i="4"/>
  <c r="T70" i="4"/>
  <c r="T86" i="4"/>
  <c r="T34" i="4"/>
  <c r="T20" i="4"/>
  <c r="T11" i="4"/>
  <c r="T85" i="4"/>
  <c r="T24" i="4"/>
  <c r="T105" i="4"/>
  <c r="T65" i="4"/>
  <c r="T32" i="4"/>
  <c r="T18" i="4"/>
  <c r="T77" i="4"/>
  <c r="T58" i="4"/>
  <c r="T61" i="4"/>
  <c r="T8" i="4"/>
  <c r="T72" i="4"/>
  <c r="T80" i="4"/>
  <c r="T75" i="4"/>
  <c r="T56" i="4"/>
  <c r="T106" i="4"/>
  <c r="T59" i="4"/>
  <c r="T96" i="4"/>
  <c r="T64" i="4"/>
  <c r="T16" i="4"/>
  <c r="T92" i="4"/>
  <c r="T88" i="4"/>
  <c r="T73" i="4"/>
  <c r="T53" i="4"/>
  <c r="T82" i="4"/>
  <c r="T30" i="4"/>
  <c r="T22" i="4"/>
</calcChain>
</file>

<file path=xl/sharedStrings.xml><?xml version="1.0" encoding="utf-8"?>
<sst xmlns="http://schemas.openxmlformats.org/spreadsheetml/2006/main" count="11551" uniqueCount="1161">
  <si>
    <t>COD PRODUCTO</t>
  </si>
  <si>
    <t>NOM PRODUCTO</t>
  </si>
  <si>
    <t>STATUS</t>
  </si>
  <si>
    <t>NOM CANAL COMERCIAL</t>
  </si>
  <si>
    <t>NOM ORIGEN COMERCIAL</t>
  </si>
  <si>
    <t>NOM LOCALIDAD</t>
  </si>
  <si>
    <t>NOM CATEGORIA</t>
  </si>
  <si>
    <t>NOM CLASIFICACION COMERCIAL</t>
  </si>
  <si>
    <t>NOM CLASE COMERCIAL</t>
  </si>
  <si>
    <t>NOM FAMILIA COMERCIAL</t>
  </si>
  <si>
    <t>NOM SUBFAMILIA COMERCIAL</t>
  </si>
  <si>
    <t>NOM MARCA</t>
  </si>
  <si>
    <t>NOM CONSERVA</t>
  </si>
  <si>
    <t>CLASIFICACION ORIGEN</t>
  </si>
  <si>
    <t>AGUJA 3,5/4 KG ENF CLL USA - VP</t>
  </si>
  <si>
    <t>ME</t>
  </si>
  <si>
    <t>PROPRIO</t>
  </si>
  <si>
    <t>ARGENTINA</t>
  </si>
  <si>
    <t>BOVINOS</t>
  </si>
  <si>
    <t>FOREQUARTER</t>
  </si>
  <si>
    <t>PREMIUM</t>
  </si>
  <si>
    <t>AGUJA</t>
  </si>
  <si>
    <t>CLL</t>
  </si>
  <si>
    <t>ENFRIADO</t>
  </si>
  <si>
    <t>CORTES EN CAJA</t>
  </si>
  <si>
    <t>AGUJA 4,5/5,5 KG ENF CLL USA - VP</t>
  </si>
  <si>
    <t>AGUJA 90 VL ENF PUL INTERCOMPANY</t>
  </si>
  <si>
    <t>BRASIL</t>
  </si>
  <si>
    <t>COMMODITY</t>
  </si>
  <si>
    <t>PUL</t>
  </si>
  <si>
    <t>AGUJA CONG IMPORTADO</t>
  </si>
  <si>
    <t>AGUJA CONG PUL CANADA - VP</t>
  </si>
  <si>
    <t>AGUJA CONG PUL CANADA HALAL - VP</t>
  </si>
  <si>
    <t>AGUJA CONG PUL CEE NO HILTON - VP</t>
  </si>
  <si>
    <t>AGUJA CONG PUL MEXICO VP</t>
  </si>
  <si>
    <t>AGUJA ENF BALADI ISRAEL JALAK  VP</t>
  </si>
  <si>
    <t>AGUJA ENF BALADI ISRAEL KOSHER VP</t>
  </si>
  <si>
    <t>AGUJA ENF CLL ANGUS CEE 481</t>
  </si>
  <si>
    <t>AGUJA ENF PUL CEE NH - VP</t>
  </si>
  <si>
    <t>AGUJA ENF PUL PRO CN  - VP</t>
  </si>
  <si>
    <t>NICHO</t>
  </si>
  <si>
    <t>PUL PRO</t>
  </si>
  <si>
    <t>AL. CONG. PATTY 2.0 SWIFT X 276 UD.</t>
  </si>
  <si>
    <t>ACTIVO</t>
  </si>
  <si>
    <t>MI</t>
  </si>
  <si>
    <t>HAMBURGUESAS</t>
  </si>
  <si>
    <t>PROCESSED FOODS</t>
  </si>
  <si>
    <t>HAMBURGUESA</t>
  </si>
  <si>
    <t>BK</t>
  </si>
  <si>
    <t>INDUSTRIALIZADO</t>
  </si>
  <si>
    <t>AL. CONG. PATTY 6.5 SWIFT</t>
  </si>
  <si>
    <t>AL.CONG.PATTY DE MEGA SWIFT 2.4 X 251 UD</t>
  </si>
  <si>
    <t>AL.CONG.PATTY DE WHOPPER SWIFT X 144 UD.</t>
  </si>
  <si>
    <t>ASADO _x001C_ B_x001D_  EN TIRAS CONGELADO SWIFT</t>
  </si>
  <si>
    <t>FLANK</t>
  </si>
  <si>
    <t>ASADOS</t>
  </si>
  <si>
    <t>ASADO EN TIRAS</t>
  </si>
  <si>
    <t>SWIFT</t>
  </si>
  <si>
    <t>CARNE CON HUESO</t>
  </si>
  <si>
    <t>ASADO "A" 13C C/V C/M ENF SWIFT</t>
  </si>
  <si>
    <t>ASADOS COLGADO</t>
  </si>
  <si>
    <t>ASADO 13C COLGADO</t>
  </si>
  <si>
    <t>MINERVA FOODS</t>
  </si>
  <si>
    <t>ASADO "A" 13C C/V C/M ENFRIADO NOV SWIFT</t>
  </si>
  <si>
    <t>ASADO "C" 13C S/V S/M ENF SWIFT</t>
  </si>
  <si>
    <t>ASADO 11C S/V S/M CONGELADO(L)</t>
  </si>
  <si>
    <t>ASADO 11C</t>
  </si>
  <si>
    <t>ASADO 12C S/V S/M ENF NOV</t>
  </si>
  <si>
    <t>ASADO 12C</t>
  </si>
  <si>
    <t>ASADO 12C S/V S/M ENFRIADO VACA</t>
  </si>
  <si>
    <t>ASADO 13C S/V C/M ENFRIADO  A</t>
  </si>
  <si>
    <t>ASADO 13C S/V S/M ENF NOV D</t>
  </si>
  <si>
    <t>ASADO 13C</t>
  </si>
  <si>
    <t>SWIFT BLACK</t>
  </si>
  <si>
    <t>ASADO 13C S/V S/M ENFRIADO  A</t>
  </si>
  <si>
    <t>ASADO 4 COSTILLAS CONG PUL CN</t>
  </si>
  <si>
    <t>ASADO 4C</t>
  </si>
  <si>
    <t>ASADO 5 COSTILLAS CONG CLL RESTAURANT LOCAL</t>
  </si>
  <si>
    <t>ASADO 5C</t>
  </si>
  <si>
    <t>ASADO 5C 1,8-2,6 KG MAD/CONG SWIFT BLACK</t>
  </si>
  <si>
    <t xml:space="preserve">ASADO 5C 2,6KG UP CONG (G) SWIFT BLACK </t>
  </si>
  <si>
    <t>ASADO 5C CONG UNIDAD SWIFT BLACK</t>
  </si>
  <si>
    <t>ASADO 6 COSTILLAS CONGELADO CLL RESTAURANT</t>
  </si>
  <si>
    <t>ASADO 6C</t>
  </si>
  <si>
    <t xml:space="preserve">ASADO 8C CONG SWIFT BLACK </t>
  </si>
  <si>
    <t>ASADO 8C</t>
  </si>
  <si>
    <t>ASADO A 12C S V S M S F ENF SWIFT</t>
  </si>
  <si>
    <t>ASADO A 13C C/V C/M ENFRIADO SWIFT</t>
  </si>
  <si>
    <t>ASADO B 13C C/V C/M ENFRIADO SWIFT</t>
  </si>
  <si>
    <t>ASADO B 13C PLANCHA ENFRIADO SWIFT</t>
  </si>
  <si>
    <t>ASADO BANDERITA CONG SWIFT BLACK</t>
  </si>
  <si>
    <t>ASADO HACHA C/HUESO CONG SWIFT BLACK</t>
  </si>
  <si>
    <t>ASADO NOVILLO 13C S/V S/M CONG (L)</t>
  </si>
  <si>
    <t>ASADO PORCIONADO ENF BALADI ISRAEL JALAK- VP</t>
  </si>
  <si>
    <t>ASADO PORCIONADO ENF BALADI ISRAEL KOSHER - VP</t>
  </si>
  <si>
    <t>ASADO VQ LIVIANA 12C C/V C/M ENF SWIFT</t>
  </si>
  <si>
    <t>BAZOS/PAJARILLA CONGELADAS P/OTROS</t>
  </si>
  <si>
    <t>BY-PRODUCTS</t>
  </si>
  <si>
    <t>SUBPRODUCTOS</t>
  </si>
  <si>
    <t>BAZO</t>
  </si>
  <si>
    <t>BIFE ANCHO C/HUESO CONG PUL CN</t>
  </si>
  <si>
    <t>RUMP LOINS</t>
  </si>
  <si>
    <t xml:space="preserve">ANGOSTO </t>
  </si>
  <si>
    <t>ANCHO C/ HUESO</t>
  </si>
  <si>
    <t>BIFE ANCHO EN TROZOS ENF CLL CHILE "V"</t>
  </si>
  <si>
    <t>ANCHO</t>
  </si>
  <si>
    <t>BIFE ANCHO EN TROZOS ENF CLL ECUADOR</t>
  </si>
  <si>
    <t>BIFE ANCHO ENF IMPORTADO</t>
  </si>
  <si>
    <t>K</t>
  </si>
  <si>
    <t>BIFE ANCHO ENF SWIFT</t>
  </si>
  <si>
    <t>BIFE ANCHO MAD/CONG APBA CHILE "V" VP</t>
  </si>
  <si>
    <t>BIFE ANCHO S/T 2,5 KG UP LIP OFF CONG PUL USA VP</t>
  </si>
  <si>
    <t>BIFE ANCHO S/T C/C EN PORCIONES ENF PUL SELECTION MEXICO- VP</t>
  </si>
  <si>
    <t>PUL SELECTION</t>
  </si>
  <si>
    <t>BIFE ANCHO S/T EN TROZOS ENF CLL USA</t>
  </si>
  <si>
    <t>BIFE ANCHO S/TAP 1,6/2,2 ENF PUL CEE NO HILTON</t>
  </si>
  <si>
    <t>BIFE ANCHO S/TAP 1,6/2,2 KG ENF PUL CEE HILTON</t>
  </si>
  <si>
    <t>BIFE ANCHO S/TAP 1,6-2,2 KG ENF CLL ANGUS CEE 481</t>
  </si>
  <si>
    <t>BIFE ANCHO S/TAP 2,2/2,7 ENF PUL CEE NO HILTON</t>
  </si>
  <si>
    <t>BIFE ANCHO S/TAP 2,2/2,7 KG ENF PUL CEE HILTON</t>
  </si>
  <si>
    <t>BIFE ANCHO S/TAP 2,2-2,7 KG ENF CLL ANGUS CEE 481</t>
  </si>
  <si>
    <t>BIFE ANCHO S/TAP 2,2-2,7 KG ENF CLL ANGUS CEE NH</t>
  </si>
  <si>
    <t>BIFE ANCHO S/TAP 2,5 KG UP  ENF CLL CEE NH GF - VP</t>
  </si>
  <si>
    <t>BIFE ANCHO S/TAP 2,7 KG UP ENF CLL ANGUS CEE 481</t>
  </si>
  <si>
    <t>BIFE ANCHO S/TAP 2,7 KG UP ENF PUL CEE HILTON</t>
  </si>
  <si>
    <t>BIFE ANCHO S/TAP 2,7 KG UP ENF PUL CEE NO HILTON</t>
  </si>
  <si>
    <t>BIFE ANCHO S/TAP 2-2,5 KG ENF CLL CEE NH GF</t>
  </si>
  <si>
    <t>BIFE ANCHO S/TAP CONG 2KG UP PUL PERÚ</t>
  </si>
  <si>
    <t>BIFE ANCHO S/TAP EN TROZOS ENF PUL PRO CHILE "V"</t>
  </si>
  <si>
    <t>BIFE ANCHO S/TAP EN TROZOS ENF PUL PRO CHILE "V" - W</t>
  </si>
  <si>
    <t>BIFE ANCHO S/TAP EN TROZOS ENF PUL PRO CHILE "V" CS</t>
  </si>
  <si>
    <t>BIFE ANCHO S/TAP EN TROZOS ENF TOTTUS CHILE "V"</t>
  </si>
  <si>
    <t xml:space="preserve">BIFE ANCHO S/TAP ENF PUL PRO CHILE "V" </t>
  </si>
  <si>
    <t>BIFE ANCHO S/TAP ENF TOTTUS BLACK CHILE "V"</t>
  </si>
  <si>
    <t>BIFE ANCHO S/TAPA CONG CLL ANGUS GF VIETNAM VP</t>
  </si>
  <si>
    <t>BIFE ANCHO S/TAPA CONG PUL JORDANIA HALAL - VP</t>
  </si>
  <si>
    <t>BIFE ANCHO S/TAPA EN TROZOS ENF SWIFT BLACK</t>
  </si>
  <si>
    <t>BIFE ANCHO S/TAPA EN TROZOS MAD/CONG PUL MEXICO W - VP</t>
  </si>
  <si>
    <t>BIFE ANCHO S/TAPA ENF SWIFT BLACK</t>
  </si>
  <si>
    <t>BIFE ANCHO S/TAPA MAD/CONG SWIFT BLACK</t>
  </si>
  <si>
    <t>BIFE ANCHO SIN TAPA CONG P/VENTA LOCAL</t>
  </si>
  <si>
    <t>BIFE ANCHO SIN TAPA ENF SWIFT (L)</t>
  </si>
  <si>
    <t>BIFE ANGOSTO C/C CONG PUL MEXICO VP</t>
  </si>
  <si>
    <t>BIFE ANGOSTO</t>
  </si>
  <si>
    <t>BIFE ANGOSTO C/C EN PORCIONES ENF CLL CHILE "V"</t>
  </si>
  <si>
    <t>BIFE ANGOSTO C/C EN PORCIONES ENF PUL PRO CHILE "V"</t>
  </si>
  <si>
    <t>BIFE ANGOSTO PORCIONADO</t>
  </si>
  <si>
    <t>BIFE ANGOSTO C/C EN PORCIONES ENF PUL PRO CHILE "V" - W</t>
  </si>
  <si>
    <t>BIFE ANGOSTO C/C EN PORCIONES ENF PUL PRO CHILE "V" CS</t>
  </si>
  <si>
    <t>BIFE ANGOSTO C/C EN PORCIONES ENF PUL SELECTION MEXICO - VP</t>
  </si>
  <si>
    <t>BIFE ANGOSTO C/C EN PORCIONES ENF TOTTUS BLACK CHILE "V"</t>
  </si>
  <si>
    <t>BIFE ANGOSTO C/C EN PORCIONES ENF TOTTUS CHILE "V"</t>
  </si>
  <si>
    <t>BIFE ANGOSTO C/C ENF PUL PRO CHILE "V"</t>
  </si>
  <si>
    <t>BIFE ANGOSTO C/COR 3,5 - 5KG CONG PUL CN</t>
  </si>
  <si>
    <t>BIFE ANGOSTO C/COR CONG SWIFT VENTA LOCAL</t>
  </si>
  <si>
    <t>BIFE ANGOSTO C/COR NOV ENF SWIFT (L)</t>
  </si>
  <si>
    <t>BIFE ANGOSTO C/CORDÓN ENF SWIFT BLACK</t>
  </si>
  <si>
    <t>BIFE ANGOSTO C/CORDÓN MAD/CONG SWIFT BLACK</t>
  </si>
  <si>
    <t>BIFE ANGOSTO CON CORDON EN PORCIONES ENF VENTA LOCAL</t>
  </si>
  <si>
    <t>BIFE ANGOSTO EN PORCIONES ENF SWIFT BLACK</t>
  </si>
  <si>
    <t>BIFE ANGOSTO EN TROZOS ENF P/VENTA LOCAL</t>
  </si>
  <si>
    <t>BIFE ANGOSTO ENF BALADI ISRAEL JALAK VP</t>
  </si>
  <si>
    <t>BIFE ANGOSTO ENF SWIFT</t>
  </si>
  <si>
    <t>BIFE ANGOSTO MAD/CONG APBA CHILE "V"</t>
  </si>
  <si>
    <t>BIFE ANGOSTO S/C 3-4 KG  ENF PUL CN - VP</t>
  </si>
  <si>
    <t>BIFE ANGOSTO S/COR 2 TROZOS ENF PUL CEE HILTON</t>
  </si>
  <si>
    <t>BIFE ANGOSTO S/COR 2 TROZOS ENF PUL CEE NO HILTON</t>
  </si>
  <si>
    <t>BIFE ANGOSTO S/COR 3,2 - 4 KG  ENF CLL CEE NH GF - VP</t>
  </si>
  <si>
    <t>BIFE ANGOSTO S/COR 3,2/ 4 KG ENF PUL CEE* HILTON</t>
  </si>
  <si>
    <t>BIFE ANGOSTO S/COR 3,2/ 4 KG ENF PUL CEE* NO HILTON</t>
  </si>
  <si>
    <t>BIFE ANGOSTO S/COR 3,2/4KG ENF PUL CEE HILTON</t>
  </si>
  <si>
    <t>BIFE ANGOSTO S/COR 3,2/4KG ENF PUL CEE NO HILTON</t>
  </si>
  <si>
    <t>BIFE ANGOSTO S/COR 3,2-4 KG ENF CLL ANGUS CEE 481</t>
  </si>
  <si>
    <t>BIFE ANGOSTO S/COR 3,2KG UP ENF NOVILLO CLL CEE HILTON</t>
  </si>
  <si>
    <t>BIFE ANGOSTO S/COR 4 KG UP ENF PUL CEE* HILTON</t>
  </si>
  <si>
    <t>BIFE ANGOSTO S/COR 4 KG UP ENF PUL CEE* NO HILTON</t>
  </si>
  <si>
    <t>BIFE ANGOSTO S/COR 4-5 KG  ENF CLL CEE NH GF - VP</t>
  </si>
  <si>
    <t>BIFE ANGOSTO S/COR 4KG UP ENF CLL ANGUS CEE 481</t>
  </si>
  <si>
    <t>BIFE ANGOSTO S/COR 4KG UP ENF CLL ANGUS CEE NH</t>
  </si>
  <si>
    <t>BIFE ANGOSTO S/COR 4KG UP ENF PUL BERVINI CEE HILTON</t>
  </si>
  <si>
    <t>BIFE ANGOSTO S/COR 4KG UP ENF PUL CEE HILTON</t>
  </si>
  <si>
    <t>BIFE ANGOSTO S/COR 4KG UP ENF PUL CEE NO HILTON</t>
  </si>
  <si>
    <t>BIFE ANGOSTO S/COR 5 KG UP ENF CLL CEE NH GF - VP</t>
  </si>
  <si>
    <t>BIFE ANGOSTO S/COR EN PORCIONES ENF PUL CEE HILTON</t>
  </si>
  <si>
    <t>BIFE ANGOSTO S/COR EN TROZOS ENF CLL MEXICO</t>
  </si>
  <si>
    <t>BIFE ANGOSTO S/COR EN TROZOS MAD/CONG PUL MEXICO W - VP</t>
  </si>
  <si>
    <t>BIFE ANGOSTO S/CORDON 100 VL CONG PUL CANADA - VP</t>
  </si>
  <si>
    <t>BIFE ANGOSTO S/CORDON CONG CLL ANGUS PALESTINA HALAL</t>
  </si>
  <si>
    <t>BIFE ANGOSTO S/CORDON ENF CLL ANGUS MEDIO ORIENTE HALAL-VP</t>
  </si>
  <si>
    <t>BIFE ANGOSTO S/CORDON MAD/CONG CLL CHILE "V"</t>
  </si>
  <si>
    <t>BIFE DE CHORIZO EN TROZOS UNIDAD E-COMMERCE</t>
  </si>
  <si>
    <t>BIFE DE CHORIZO</t>
  </si>
  <si>
    <t>E-COMMERCE AR</t>
  </si>
  <si>
    <t>CONGELADO</t>
  </si>
  <si>
    <t>BIFE DE CHORIZO ENF CLL RESTAURANT LOCAL</t>
  </si>
  <si>
    <t>BIFE DE PALETA/ASADO DEL CARNICERO EN TROZOS ENF PUL PRO CHILE "V" - VP - W</t>
  </si>
  <si>
    <t xml:space="preserve">PALETA </t>
  </si>
  <si>
    <t>BIFE DE PALETA</t>
  </si>
  <si>
    <t>BIFE DE PALETA/ASADO DEL CARNICERO ENF PUL PRO CHILE "V"</t>
  </si>
  <si>
    <t>BIFE DE PALETA/ASADO DEL CARNICERO ENF PUL PRO CHILE "V" - W</t>
  </si>
  <si>
    <t>BIFE DE VACIO ENF CLL ANGUS CEE 481</t>
  </si>
  <si>
    <t>VACIOS</t>
  </si>
  <si>
    <t>BIFE DE VACIO</t>
  </si>
  <si>
    <t xml:space="preserve">BIFE DE VACIO ENF CLL ANGUS EMIRATOS ARABES HALAL </t>
  </si>
  <si>
    <t>BIFE DE VACIO ENF PUL CEE NH - VP</t>
  </si>
  <si>
    <t>BIFE DE VACIO ENF PUL PRO CHILE "V" - VP</t>
  </si>
  <si>
    <t>BIFE DE VACIO ENF PUL PRO CHILE "V" W - VP</t>
  </si>
  <si>
    <t>BIFE DE VACÍO ENF TOTTUS CHILE "V"</t>
  </si>
  <si>
    <t xml:space="preserve">BIFES DE TAPA DE CUADRIL ENF SWIFT BLACK </t>
  </si>
  <si>
    <t xml:space="preserve">TAPA DE CUADRIL </t>
  </si>
  <si>
    <t>BIFE DE TAPA DE CUADRIL</t>
  </si>
  <si>
    <t>BOCADITO DE CARNE 16 X 300 G MINERVA</t>
  </si>
  <si>
    <t>INACTIVO</t>
  </si>
  <si>
    <t>REBOZADOS</t>
  </si>
  <si>
    <t>REBOZADO DE CARNE</t>
  </si>
  <si>
    <t>BOCADITO DE CARNE 4 X 1,5 MINERVA</t>
  </si>
  <si>
    <t xml:space="preserve">BOCADITOS DE CARNE "PLATE" - 10X760G </t>
  </si>
  <si>
    <t>PLATE</t>
  </si>
  <si>
    <t xml:space="preserve">BOCADITOS DE CARNE "PLATE" - 12X380G </t>
  </si>
  <si>
    <t>BOCADITOS DE CARNE "PLATE" - 4X760G</t>
  </si>
  <si>
    <t>BOCADITOS DE CARNE "SWIFT" - 10X760G</t>
  </si>
  <si>
    <t>BOCADITOS DE CARNE "SWIFT" - 12X380G</t>
  </si>
  <si>
    <t>BOCADITOS DE POLLO "PLATE" - 4X760G</t>
  </si>
  <si>
    <t>REBOZADO DE POLLO</t>
  </si>
  <si>
    <t>BOCADITOS DE POLLO "SWIFT KIDS" - 12X400G</t>
  </si>
  <si>
    <t>BOCADITOS DE POLLO "SWIFT" - 10X760G</t>
  </si>
  <si>
    <t>BOCADITOS DE POLLO "SWIFT" - 12X380G</t>
  </si>
  <si>
    <t>BOCADITOS DE POLLO GASTRONOMICOS "LA BLANCA" - X6KG</t>
  </si>
  <si>
    <t>TERCEROS</t>
  </si>
  <si>
    <t>LA BLANCA</t>
  </si>
  <si>
    <t>BOLA DE LOMO 7,72LB UP CONG PUL USA HALAL - VP</t>
  </si>
  <si>
    <t>ROUND CUTS</t>
  </si>
  <si>
    <t xml:space="preserve">BOLA DE LOMO </t>
  </si>
  <si>
    <t>BOLA DE LOMO</t>
  </si>
  <si>
    <t>BOLA DE LOMO 7,72LB UP CONG PUL USA VP</t>
  </si>
  <si>
    <t>BOLA DE LOMO 7,72LB UP ENF PUL USA VP</t>
  </si>
  <si>
    <t>BOLA DE LOMO 97 VL CONG PUL CANADA - VP</t>
  </si>
  <si>
    <t>BOLA DE LOMO CONG P/VENTA LOCAL</t>
  </si>
  <si>
    <t>BOLA DE LOMO CONG PUL CEE - VP</t>
  </si>
  <si>
    <t>BOLA DE LOMO CONG PUL CN</t>
  </si>
  <si>
    <t>BOLA DE LOMO CONG PUL MEXICO VP</t>
  </si>
  <si>
    <t>BOLA DE LOMO EN PORCIONES ENF PUL PRO CHILE "V"</t>
  </si>
  <si>
    <t>BOLA DE LOMO PORCIONADO</t>
  </si>
  <si>
    <t>BOLA DE LOMO EN PORCIONES ENF PUL PRO CHILE "V" - W</t>
  </si>
  <si>
    <t>BOLA DE LOMO EN PORCIONES ENF PUL PRO CHILE "V" CS</t>
  </si>
  <si>
    <t>BOLA DE LOMO EN PORCIONES ENF TOTTUS CHILE "V"</t>
  </si>
  <si>
    <t>BOLA DE LOMO ENF CLL ANGUS CEE 481</t>
  </si>
  <si>
    <t>BOLA DE LOMO ENF CLL ANGUS GRAIN FED CEE NH</t>
  </si>
  <si>
    <t>BOLA DE LOMO ENF CLL CEE NH - VP</t>
  </si>
  <si>
    <t>BOLA DE LOMO ENF IMPORTADO</t>
  </si>
  <si>
    <t>BOLA DE LOMO ENF P/VENTA LOCAL</t>
  </si>
  <si>
    <t>BOLA DE LOMO ENF P/VENTA LOCAL PORCIONADA</t>
  </si>
  <si>
    <t>BOLA DE LOMO ENF PUL CEE NH</t>
  </si>
  <si>
    <t>BOLA DE LOMO ENF PUL MEXICO VP</t>
  </si>
  <si>
    <t>BOLA DE LOMO ENF PUL PRO CN - VP</t>
  </si>
  <si>
    <t>BOLA DE LOMO ENF PUL RUSIA VP</t>
  </si>
  <si>
    <t>BOLA DE LOMO ENF SWIFT (L)</t>
  </si>
  <si>
    <t>BOLA DE LOMO FETEADA CONG SWIFT</t>
  </si>
  <si>
    <t>BOLA DE LOMO FETEADO</t>
  </si>
  <si>
    <t>BOLA DE LOMO FETEADA ENF P/VENTA LOCAL</t>
  </si>
  <si>
    <t xml:space="preserve">BONDIOLA DE CERDO CONGELADA </t>
  </si>
  <si>
    <t>CERDOS</t>
  </si>
  <si>
    <t>BONDIOLA DE CERDO</t>
  </si>
  <si>
    <t>BRAZUELO ENF BALADI ISRAEL JALAK</t>
  </si>
  <si>
    <t>PALETA</t>
  </si>
  <si>
    <t>BRAZUELO</t>
  </si>
  <si>
    <t>BRAZUELO ENF BALADI ISRAEL KOSHER</t>
  </si>
  <si>
    <t>CARNAZA CUADRADA (UK) CONG PUL CN</t>
  </si>
  <si>
    <t xml:space="preserve">CUADRADA </t>
  </si>
  <si>
    <t>CUADRADA</t>
  </si>
  <si>
    <t>CARNAZA CUADRADA 100 VL ENF PUL CEE NH - VP</t>
  </si>
  <si>
    <t>CARNAZA CUADRADA 8 LB UP CONG PUL CANADA VP</t>
  </si>
  <si>
    <t>CARNAZA CUADRADA C/TAPA DE CUADRIL CONG PLATE CN</t>
  </si>
  <si>
    <t>CARNAZA CUADRADA CONG MINERVA CN</t>
  </si>
  <si>
    <t>CARNAZA CUADRADA CONG PUL CN IP</t>
  </si>
  <si>
    <t>CARNAZA CUADRADA CONG PUL CN VP</t>
  </si>
  <si>
    <t>CARNAZA CUADRADA EN PORCIONES ENF PUL PRO CHILE "V"</t>
  </si>
  <si>
    <t>CUADRADA PORCIONADO</t>
  </si>
  <si>
    <t>CARNAZA CUADRADA EN PORCIONES ENF PUL PRO CHILE "V" - W</t>
  </si>
  <si>
    <t>CARNAZA CUADRADA EN PORCIONES ENF PUL PRO CHILE "V" CS</t>
  </si>
  <si>
    <t>CARNAZA CUADRADA EN PORCIONES ENF SWIFT (L)</t>
  </si>
  <si>
    <t>CARNAZA CUADRADA EN PORCIONES ENF TOTTUS CHILE "V"</t>
  </si>
  <si>
    <t>CARNAZA CUADRADA ENF CLL ANGUS CEE 481</t>
  </si>
  <si>
    <t>CARNAZA CUADRADA ENF P/VENTA LOCAL (L)</t>
  </si>
  <si>
    <t>CARNAZA CUADRADA ENF PUL PRO CHILE "V" - W</t>
  </si>
  <si>
    <t>CARNAZA DE PALETA CONG IMPORTADO</t>
  </si>
  <si>
    <t>CARNAZA DE PALETA CONG P/VENTA LOCAL</t>
  </si>
  <si>
    <t>CARNAZA DE PALETA CONG PUL USA</t>
  </si>
  <si>
    <t>CARNAZA DE PALETA ENF BALADI ISRAEL JALAK</t>
  </si>
  <si>
    <t>CARNAZA DE PALETA ENF BALADI ISRAEL KOSHER</t>
  </si>
  <si>
    <t>CARNAZA DE PALETA ENF CLL ANGUS CEE 481</t>
  </si>
  <si>
    <t>CARNAZA DE PALETA ENF CLL GF CEE NH HALAL</t>
  </si>
  <si>
    <t>CARNAZA DE PALETA ENF P/VENTA LOCAL</t>
  </si>
  <si>
    <t>CARNAZA DE PALETA ENF P/VENTA LOCAL (L)</t>
  </si>
  <si>
    <t>CARNAZA DE PALETA ENF P/VENTA LOCAL PORCIONADA</t>
  </si>
  <si>
    <t>PALETA PORCIONADO</t>
  </si>
  <si>
    <t>CARNAZA DE PALETA ENF PUL CEE NH - VP</t>
  </si>
  <si>
    <t>CARNAZA DE PALETA ENF PUL INTERCOMPANY</t>
  </si>
  <si>
    <t xml:space="preserve">CARNAZA DE PALETA ENF PUL PRO CN </t>
  </si>
  <si>
    <t>CARNE PICADA CONGELADA 0,5 kg SWIFT</t>
  </si>
  <si>
    <t>CARNE PICADA</t>
  </si>
  <si>
    <t>CARNE PICADA 0,5 KG</t>
  </si>
  <si>
    <t>CARNE PICADA CONGELADA 1 KG SWIFT UNIDAD</t>
  </si>
  <si>
    <t>CARNE PICADA 1 KG</t>
  </si>
  <si>
    <t>CARNE PICADA CONGELADA 1,0 kg SWIFT</t>
  </si>
  <si>
    <t>CARNE PICADA CONGELADA 11 UN X 2 kg SWIFT</t>
  </si>
  <si>
    <t>CARNE PICADA 2 KG</t>
  </si>
  <si>
    <t>CARNE PICADA CONGELADA 2,5 KG SWIFT UNIDAD</t>
  </si>
  <si>
    <t>CARNE PICADA 2,5 KG</t>
  </si>
  <si>
    <t>CARNE PICADA CONGELADA 36 UN x 500 g SWIFT BLACK</t>
  </si>
  <si>
    <t>CARNE PICADA CONGELADA 500G SWIFT UNIDAD</t>
  </si>
  <si>
    <t>CARNE PICADA CONGELADA 7 UN X 2,5 kg SWIFT</t>
  </si>
  <si>
    <t>CENTRO DE CARNAZA DE PALETA EN PORC ENF TOTTUS CHILE "V"</t>
  </si>
  <si>
    <t>CENTRO DE PALETA</t>
  </si>
  <si>
    <t>CENTRO DE CARNAZA DE PALETA EN PORCIONES ENF PUL PRO CHILE "V"</t>
  </si>
  <si>
    <t>CENTRO DE CARNAZA DE PALETA EN PORCIONES ENF PUL PRO CHILE "V" W</t>
  </si>
  <si>
    <t>CENTRO DE CARNAZA DE PALETA ENF P/VENTA LOCAL</t>
  </si>
  <si>
    <t>CENTRO DE CARNAZA DE PALETA ENF PUL PRO CHILE "V"</t>
  </si>
  <si>
    <t>CHINCHULIN CONG NOVILLO CLL RESTAURANT</t>
  </si>
  <si>
    <t>OFFALS</t>
  </si>
  <si>
    <t>MENUDENCIAS</t>
  </si>
  <si>
    <t>CHINCHULIN</t>
  </si>
  <si>
    <t>CHINCHULIN CONG SWIFT BLACK</t>
  </si>
  <si>
    <t>CHINCHULIN CONG SWIFT VENTA LOCAL</t>
  </si>
  <si>
    <t>CHINGOLO CONG CLL ANGUS GF CN - VP</t>
  </si>
  <si>
    <t>CHINGOLO</t>
  </si>
  <si>
    <t>CHINGOLO CONG PUL CN</t>
  </si>
  <si>
    <t>CHINGOLO ENF BALADI ISRAEL JALAK</t>
  </si>
  <si>
    <t>CHINGOLO ENF BALADI ISRAEL KOSHER</t>
  </si>
  <si>
    <t>CHINGOLO ENF CLL ANGUS CEE 481</t>
  </si>
  <si>
    <t>CHINGOLO ENF P/VENTA LOCAL</t>
  </si>
  <si>
    <t>CHINGOLO ENF PUL PRO CHILE "V"</t>
  </si>
  <si>
    <t>CHINGOLO ENF PUL PRO CHILE "V" - W</t>
  </si>
  <si>
    <t>CHINGOLO ENF PUL PRO CHILE "V" CS</t>
  </si>
  <si>
    <t>CHINGOLO ENF PUL PRO CN - VP</t>
  </si>
  <si>
    <t>CHINGOLO ENF SWIFT BLACK</t>
  </si>
  <si>
    <t>CHINGOLO ENF TOTTUS CHILE "V"</t>
  </si>
  <si>
    <t>CHORIZOS CONGELADOS DE CERDO LIBRE DE GLUTEN SWIFT 12u x 400</t>
  </si>
  <si>
    <t>EMBUTIDOS</t>
  </si>
  <si>
    <t>CHORIZOS</t>
  </si>
  <si>
    <t>CHORIZO DE CERDO</t>
  </si>
  <si>
    <t>CHORIZOS CONGELADOS DE CERDO LIBRE DE GLUTEN SWIFT GRANEL</t>
  </si>
  <si>
    <t>CHORIZOS FRESCOS DE CERDO LIBRE DE GLUTEN 12 X 400G</t>
  </si>
  <si>
    <t>CHORIZOS FRESCOS DE CERDO LIBRE DE GLUTEN SWIFT 12U X 400G</t>
  </si>
  <si>
    <t>CHUCK ROLL ENF PUL MEXICO VP</t>
  </si>
  <si>
    <t xml:space="preserve">CIMA-TAPA DE ASADO ENF SWIFT P/VENTA LOCAL </t>
  </si>
  <si>
    <t xml:space="preserve">PECHO </t>
  </si>
  <si>
    <t>PECHO</t>
  </si>
  <si>
    <t>CLL 1X185</t>
  </si>
  <si>
    <t>CLL 2X80</t>
  </si>
  <si>
    <t>COGOTE CONG MF MEXICO SUKARNE BP</t>
  </si>
  <si>
    <t>COGOTE</t>
  </si>
  <si>
    <t>COGOTE CONG PUL CN IP</t>
  </si>
  <si>
    <t>COLAS VACUNAS P/TERCEROS</t>
  </si>
  <si>
    <t>COLA</t>
  </si>
  <si>
    <t>COLITA DE CUADRIL CONG CLL ANGUS GF VIETNAM VP</t>
  </si>
  <si>
    <t>CUADRIL</t>
  </si>
  <si>
    <t>COLITA DE CUADRIL</t>
  </si>
  <si>
    <t>COLITA DE CUADRIL CONG CLL BRASIL IMPO MINERVA</t>
  </si>
  <si>
    <t>COLITA DE CUADRIL CONG P/VENTA LOCAL</t>
  </si>
  <si>
    <t>COLITA DE CUADRIL CONG PLATE BRASIL MINERVA</t>
  </si>
  <si>
    <t xml:space="preserve">COLITA DE CUADRIL CONG PUL BRASIL </t>
  </si>
  <si>
    <t>COLITA DE CUADRIL CONG PUL PERÚ VP</t>
  </si>
  <si>
    <t>COLITA DE CUADRIL CONG PUL SELECTION BRASIL - VP</t>
  </si>
  <si>
    <t>COLITA DE CUADRIL ENF CLL ANGUS CEE 481</t>
  </si>
  <si>
    <t>COLITA DE CUADRIL ENF CLL ANGUS CEE NH</t>
  </si>
  <si>
    <t>COLITA DE CUADRIL ENF CLL CHILE "V"</t>
  </si>
  <si>
    <t>COLITA DE CUADRIL ENF CLL ECUADOR</t>
  </si>
  <si>
    <t>COLITA DE CUADRIL ENF P/VENTA LOCAL</t>
  </si>
  <si>
    <t>COLITA DE CUADRIL ENF PUL CEE NH - VP</t>
  </si>
  <si>
    <t>COLITA DE CUADRIL ENF PUL PRO CHILE "V"</t>
  </si>
  <si>
    <t>COLITA DE CUADRIL ENF PUL PRO CHILE "V" - W</t>
  </si>
  <si>
    <t>COLITA DE CUADRIL ENF PUL PRO CHILE "V" CS</t>
  </si>
  <si>
    <t>COLITA DE CUADRIL ENF SWIFT (L)</t>
  </si>
  <si>
    <t>COLITA DE CUADRIL ENF SWIFT BLACK</t>
  </si>
  <si>
    <t>COLITA DE CUADRIL ENF TOTTUS BLACK CHILE "V"</t>
  </si>
  <si>
    <t>COLITA DE CUADRIL ENF TOTTUS CHILE "V"</t>
  </si>
  <si>
    <t>CORAZON C/AORTA CONGELADO P/OTROS</t>
  </si>
  <si>
    <t>CORAZON</t>
  </si>
  <si>
    <t>CORAZON CONG MINERVA FOODS AFRICA</t>
  </si>
  <si>
    <t>CORAZÓN CONG SWIFT VENTA LOCAL</t>
  </si>
  <si>
    <t>CORAZON DE CUADRIL 100 VL CONG PUL POLINESIA FRANCESA VP</t>
  </si>
  <si>
    <t>CORAZON DE CUADRIL</t>
  </si>
  <si>
    <t>CORAZON DE CUADRIL CLL ANGUS ENF SUIZA</t>
  </si>
  <si>
    <t>CORAZÓN DE CUADRIL CONG  PUL USA</t>
  </si>
  <si>
    <t>CORAZON DE CUADRIL CONG PUL CN</t>
  </si>
  <si>
    <t>CORAZON DE CUADRIL CONG PUL PERU - VP</t>
  </si>
  <si>
    <t>CORAZON DE CUADRIL CONG PUL PRO CHILE "V"</t>
  </si>
  <si>
    <t>CORAZON DE CUADRIL EN TROZOS ENF CLL CHILE "V"</t>
  </si>
  <si>
    <t>CORAZON DE CUADRIL EN TROZOS ENF PUL PRO CHILE "V"</t>
  </si>
  <si>
    <t>CORAZON DE CUADRIL EN TROZOS ENF PUL PRO CHILE "V" - W</t>
  </si>
  <si>
    <t>CORAZON DE CUADRIL EN TROZOS ENF PUL PRO CHILE "V" CS</t>
  </si>
  <si>
    <t>CORAZON DE CUADRIL EN TROZOS ENF TOTTUS BLACK CHILE "V"</t>
  </si>
  <si>
    <t>CORAZON DE CUADRIL EN TROZOS ENF TOTTUS CHILE "V"</t>
  </si>
  <si>
    <t>CORAZON DE CUADRIL ENF BALADI ISRAEL JALAK</t>
  </si>
  <si>
    <t>CORAZON DE CUADRIL ENF CLL ANGUS CEE 481</t>
  </si>
  <si>
    <t>CORAZON DE CUADRIL ENF CLL ANGUS CEE NH</t>
  </si>
  <si>
    <t>CORAZON DE CUADRIL ENF CLL CEE HILTON</t>
  </si>
  <si>
    <t>CORAZON DE CUADRIL ENF CLL CEE NH GF - VP</t>
  </si>
  <si>
    <t>CORAZÓN DE CUADRIL ENF CLL USA</t>
  </si>
  <si>
    <t>CORAZON DE CUADRIL ENF MADANEY GORME ISRAEL KOSHER</t>
  </si>
  <si>
    <t>CORAZON DE CUADRIL ENF PUL CEE HILTON</t>
  </si>
  <si>
    <t>CORAZON DE CUADRIL ENF PUL CEE NO HILTON</t>
  </si>
  <si>
    <t>CORAZON DE CUADRIL ENF PUL PRO CHILE "V"</t>
  </si>
  <si>
    <t>CORAZON DE CUADRIL ENF PUL PRO CN - VP</t>
  </si>
  <si>
    <t>CORAZON DE CUADRIL S/CUERNITO CONG PUL USA</t>
  </si>
  <si>
    <t>CORTE C/HUESO VTA AL PERSONAL TIRA VM</t>
  </si>
  <si>
    <t>PCO C/ HUESO</t>
  </si>
  <si>
    <t>ASADO DE TIRAS</t>
  </si>
  <si>
    <t>CROQUETA A BASE DE BRÓCOLI Y SOJA PREFRITO SUPERCONGELADO 300G</t>
  </si>
  <si>
    <t>REBOZADO DE VEGETAL</t>
  </si>
  <si>
    <t>CRUNCHIES DE POLLO "SWIFT" - 10X760G</t>
  </si>
  <si>
    <t>CRUNCHIES DE POLLO "SWIFT" - 12X380G</t>
  </si>
  <si>
    <t>CUADRADA 90 VL (UK) CONG PUL CEE NH - VP</t>
  </si>
  <si>
    <t>CUADRADA 97 VL CONG PUL USA</t>
  </si>
  <si>
    <t>CUADRADA C/PECETO C/TORTUGUITA 97 VL ENF PUL MEXICO VP</t>
  </si>
  <si>
    <t>CUADRADA CONG  P/VENTA LOCAL</t>
  </si>
  <si>
    <t>CUADRADA EN TROZOS ENF SWIFT BLACK</t>
  </si>
  <si>
    <t>CUADRADA ENF IMPORTADO</t>
  </si>
  <si>
    <t>CUADRADA ENF P/VENTA LOCAL</t>
  </si>
  <si>
    <t>CUADRADA ENF PUL INTERCOMPANY</t>
  </si>
  <si>
    <t>CUADRADA ENF PUL PRO CN - VP</t>
  </si>
  <si>
    <t xml:space="preserve">CUADRADA FETEADA CONG VENTA LOCAL </t>
  </si>
  <si>
    <t>CUADRADA FETEADO</t>
  </si>
  <si>
    <t>CUADRADA FETEADA ENF P/VENTA LOCAL</t>
  </si>
  <si>
    <t xml:space="preserve">CUADRADA SP ENF P/VENTA LOCAL </t>
  </si>
  <si>
    <t>CUADRIL C/TAPA CONG PUL MEXICO VP</t>
  </si>
  <si>
    <t>CUADRIL CONG P/VENTA LOCAL</t>
  </si>
  <si>
    <t>CUADRIL ENFRIADO P/VENTA LOCAL</t>
  </si>
  <si>
    <t>CUADRIL ENFRIADO SWIFT (L)</t>
  </si>
  <si>
    <t>CUARTO DELANTERO Y TRASERO INCOMPLETO 85 CL CONG MF USA</t>
  </si>
  <si>
    <t>INDUSTRIALS</t>
  </si>
  <si>
    <t>RECORTES</t>
  </si>
  <si>
    <t>RECORTE 85/15</t>
  </si>
  <si>
    <t>CUARTOS DELANTERO Y TRASERO INCOMPLETO 80/20 CONG MF CN</t>
  </si>
  <si>
    <t>RECORTE 80/20</t>
  </si>
  <si>
    <t>EMPANITO DE FRANGO MINERVA - 10X700G</t>
  </si>
  <si>
    <t>EMPANITOS DE FRANGO MINERVA 4 X 1,5 KG</t>
  </si>
  <si>
    <t xml:space="preserve">ENTRANA DEL CENTRO ENF SWIFT </t>
  </si>
  <si>
    <t>ENTRANA FINA</t>
  </si>
  <si>
    <t>ENTRANA DEL CENTRO ENF SWIFT BLACK</t>
  </si>
  <si>
    <t>ENTRANA FINA CONG CLL ANGUS GF VIETNAM VP</t>
  </si>
  <si>
    <t>ENTRANA FINA CONG P/VENTA LOCAL</t>
  </si>
  <si>
    <t>ENTRANA FINA CONG PUL  MEXICO</t>
  </si>
  <si>
    <t>ENTRANA FINA ENF CLL ANGUS USA</t>
  </si>
  <si>
    <t>ENTRANA FINA ENF CLL CHILE "V"</t>
  </si>
  <si>
    <t>ENTRANA FINA ENF CLL ECUADOR</t>
  </si>
  <si>
    <t>ENTRANA FINA ENF CLL PANAMA VP</t>
  </si>
  <si>
    <t>ENTRANA FINA ENF CLL RESTAURANT LOCAL</t>
  </si>
  <si>
    <t>ENTRANA FINA ENF CLL USA</t>
  </si>
  <si>
    <t>ENTRANA FINA ENF NOVILLO P/VENTA LOCAL (L)</t>
  </si>
  <si>
    <t>ENTRANA FINA ENF PUL PRO CHILE "V"</t>
  </si>
  <si>
    <t>ENTRANA FINA ENF PUL PRO CHILE "V" "CS"</t>
  </si>
  <si>
    <t>ENTRANA FINA ENF SWIFT</t>
  </si>
  <si>
    <t>ENTRANA FINA ENF SWIFT BLACK</t>
  </si>
  <si>
    <t xml:space="preserve">ENTRANA FINA ENF TOTTUS CHILE "V" </t>
  </si>
  <si>
    <t>ENTRANA FINA MAD/CONG APBA CHILE "V"</t>
  </si>
  <si>
    <t>ENTRANA FINA MAD/CONG CLL CHILE "V"</t>
  </si>
  <si>
    <t>ENTRANA FINA MAD/CONG SWIFT BLACK</t>
  </si>
  <si>
    <t>ENTRANA FINA UNIDAD E-COMMERCE</t>
  </si>
  <si>
    <t>ENTRANA INTERNA CONG MF MEXICO SUKARNE BP</t>
  </si>
  <si>
    <t>ENTRANA INTERNA HASTA 0,800 KG CONG PUL MEXICO SUKARNE - VP</t>
  </si>
  <si>
    <t>FALDA 70/30 CONG EN CAJA P/HAMBURGUESA</t>
  </si>
  <si>
    <t>VACIO</t>
  </si>
  <si>
    <t>FALDA CONG CON HUESO P/VENTA LOCAL</t>
  </si>
  <si>
    <t>FORMADOS DE CARNE DE POLLO REBOZADOS PREFRITOS SUPERCONGELADO</t>
  </si>
  <si>
    <t>GANGLIOS LINFATICOS P/OTROS</t>
  </si>
  <si>
    <t>GANGLIOS</t>
  </si>
  <si>
    <t>GARRON CON HUESO CONG PUL CN</t>
  </si>
  <si>
    <t>MUSCULOS</t>
  </si>
  <si>
    <t>GARRON C/ HUESO</t>
  </si>
  <si>
    <t>GARRON DE PATA C/CARNE P/OTROS</t>
  </si>
  <si>
    <t>GARRON</t>
  </si>
  <si>
    <t>GARRON TRASERO CONG PUL CN HALAL VP</t>
  </si>
  <si>
    <t>GLANDULAS MAMARIAS CONGELADAS P/OTROS</t>
  </si>
  <si>
    <t>GLANDULAS MAMARIAS</t>
  </si>
  <si>
    <t>GRASA VACUNA REFINADA SWIFT 10 X 500</t>
  </si>
  <si>
    <t>GRASA REFINADA</t>
  </si>
  <si>
    <t>GRASA VACUNA REFINADA SWIFT 12 X 1KG</t>
  </si>
  <si>
    <t>GRASA VACUNA REFINADA SWIFT 1KG</t>
  </si>
  <si>
    <t>GRASA VACUNA REFINADA SWIFT 500G UNIDAD</t>
  </si>
  <si>
    <t>HAMBURGESA DE CARNE DE VACUNO 60X109G PLATE CHILE</t>
  </si>
  <si>
    <t>HAMBURGUESA “FINCA BALCARCE” 18 X 4U X 80G</t>
  </si>
  <si>
    <t>FINCA BALCARCE</t>
  </si>
  <si>
    <t>HAMBURGUESA “FINCA BALCARCE” 60 X 80 G</t>
  </si>
  <si>
    <t>HAMBURGUESA 12X4X69G SWIFT KIDS</t>
  </si>
  <si>
    <t>HAMBURGUESA 18X4X80G "LA ANONIMA"</t>
  </si>
  <si>
    <t>LA ANONIMA</t>
  </si>
  <si>
    <t>HAMBURGUESA 18X4X80G CLASICA SWIFT</t>
  </si>
  <si>
    <t>HAMBURGUESA 18X4X80G DIA</t>
  </si>
  <si>
    <t>DIA</t>
  </si>
  <si>
    <t>HAMBURGUESA 1X20X80G CLASICA SWIFT</t>
  </si>
  <si>
    <t>HAMBURGUESA 30X250G CLASICA "XL" SWIFT</t>
  </si>
  <si>
    <t>SWIFT XL</t>
  </si>
  <si>
    <t>HAMBURGUESA 4X80G CLASICA SWIFT</t>
  </si>
  <si>
    <t>HAMBURGUESA 60X125G CLASICA SWIFT</t>
  </si>
  <si>
    <t>HAMBURGUESA 60X80G CLASICA SWIFT EXP</t>
  </si>
  <si>
    <t xml:space="preserve">HAMBURGUESA 6X20X80G "LA ANONIMA"  </t>
  </si>
  <si>
    <t>HAMBURGUESA 6X20X80G CLASICA SWIFT</t>
  </si>
  <si>
    <t>HAMBURGUESA 6X20X80G DIA</t>
  </si>
  <si>
    <t xml:space="preserve">HAMBURGUESA 8X12X80G "LA ANONIMA" </t>
  </si>
  <si>
    <t>HAMBURGUESA 8X12X80G CLASICA SWIFT</t>
  </si>
  <si>
    <t>HAMBURGUESA CLASICA 18X4X80G PALADINI</t>
  </si>
  <si>
    <t>PALADINI</t>
  </si>
  <si>
    <t>HAMBURGUESA CLÁSICA 60X106G</t>
  </si>
  <si>
    <t>HAMBURGUESA CLASICA 60X80G PALADINI</t>
  </si>
  <si>
    <t>HAMBURGUESA CLÁSICA 84 X 55G</t>
  </si>
  <si>
    <t>X-TREMA</t>
  </si>
  <si>
    <t>HAMBURGUESA DE CARNE DE VACUNO 60X109G PUL CHILE MINERVA</t>
  </si>
  <si>
    <t>HAMBURGUESA DE CARNE DE VACUNO 60X109G PUL CHILE WALMART</t>
  </si>
  <si>
    <t>HAMBURGUESA DE VACUNO 84 X 56G PARAMY CHILE</t>
  </si>
  <si>
    <t>PARAMY</t>
  </si>
  <si>
    <t>HAMBURGUESA GRANEL 276 X 55G</t>
  </si>
  <si>
    <t>HAMBURGUESA HM 36X56G MINERVA BR</t>
  </si>
  <si>
    <t>HAMBURGUESA MAS FINA 72X57G PALADINI</t>
  </si>
  <si>
    <t>HAMBURGUESA MOSTAZA   42 X 110G (55GR)</t>
  </si>
  <si>
    <t>MOSTAZA</t>
  </si>
  <si>
    <t>HAMBURGUESA MTZ 152 X 110G</t>
  </si>
  <si>
    <t>HAMBURGUESA X-TREMA 36 X 185G</t>
  </si>
  <si>
    <t>SWIFT X-TREMA</t>
  </si>
  <si>
    <t>HAMBURGUESA XXL 36X185G</t>
  </si>
  <si>
    <t xml:space="preserve">HAMBURGUESAS 12X12X80G DIA </t>
  </si>
  <si>
    <t>HAMBURGUESAS 18X4X120G CLL BRASIL CAP TRADE</t>
  </si>
  <si>
    <t>HAMBURGUESAS 24X240G SWIFT TIPO CASERA</t>
  </si>
  <si>
    <t>SWIFT CASERA</t>
  </si>
  <si>
    <t>HAMBURGUESAS 30X160G CLASICAS P3</t>
  </si>
  <si>
    <t>HAMBURGUESAS 30X160G CLASICAS SWIFT</t>
  </si>
  <si>
    <t>HAMBURGUESAS 30X2X80G CLASICAS SWIFT</t>
  </si>
  <si>
    <t>HAMBURGUESAS 48X120G SWIFT "TIPO CASERA"</t>
  </si>
  <si>
    <t>HAMBURGUESAS 78X120G CABAÑA LAS LILAS</t>
  </si>
  <si>
    <t>HAMBURGUESAS 9X8X120G CABAÑA LAS LILAS</t>
  </si>
  <si>
    <t xml:space="preserve">HAMBURGUESAS CLASICA 12X12X80G PALADINI </t>
  </si>
  <si>
    <t>HAMBURGUESAS DE CARNE VACUNA SUPERCONGELADAS 39X240G</t>
  </si>
  <si>
    <t>HAMBURGUESAS DE RES 78X120G</t>
  </si>
  <si>
    <t>HAMBURGUESAS X 240G SWIFT "TIPO CASERA"</t>
  </si>
  <si>
    <t>HG LB CHILE</t>
  </si>
  <si>
    <t>HIGADO C/VESICULA (S/CALCULOS) CONG P/OTROS</t>
  </si>
  <si>
    <t>HIGADO</t>
  </si>
  <si>
    <t>HIGADO CONG MINERVA FOODS AFRICA</t>
  </si>
  <si>
    <t>HIGADO CONG SWIFT VENTA LOCAL</t>
  </si>
  <si>
    <t>HUACHALOMO EN PORCIONES ENF PUL PRO CHILE "V"</t>
  </si>
  <si>
    <t>HUACHALOMO PORCIONADO</t>
  </si>
  <si>
    <t>HUACHALOMO EN PORCIONES ENF PUL PRO CHILE "V" - W</t>
  </si>
  <si>
    <t>HUACHALOMO EN PORCIONES ENF PUL PRO CHILE "V" CS</t>
  </si>
  <si>
    <t xml:space="preserve">HUACHALOMO EN PORCIONES ENF TOTTUS CHILE "V" </t>
  </si>
  <si>
    <t>HUACHALOMO ENF PUL PRO CHILE "V"</t>
  </si>
  <si>
    <t>HUACHALOMO</t>
  </si>
  <si>
    <t>HUESO DE GARRON P/OTROS</t>
  </si>
  <si>
    <t>HUESO DE GARRON</t>
  </si>
  <si>
    <t>INSIDE SKIRT CONG PUL USA</t>
  </si>
  <si>
    <t>JAMON DEL DIABLO 24X88G SWIFT</t>
  </si>
  <si>
    <t>UNTABLES</t>
  </si>
  <si>
    <t>PATE</t>
  </si>
  <si>
    <t>SWIFT ESPECIALIDAD</t>
  </si>
  <si>
    <t>AMBIENTE</t>
  </si>
  <si>
    <t>LABIO CONG MINERVA FOODS AFRICA</t>
  </si>
  <si>
    <t>LABIOS</t>
  </si>
  <si>
    <t>LABIO CONG MINERVA FOODS AFRICA (15KG)</t>
  </si>
  <si>
    <t>LARGA LA</t>
  </si>
  <si>
    <t>SALCHICHAS</t>
  </si>
  <si>
    <t>SALCHICHA</t>
  </si>
  <si>
    <t>LENGUA CONG MINERVA FOODS RUSIA</t>
  </si>
  <si>
    <t>LENGUA</t>
  </si>
  <si>
    <t>LENGUA DE NOVILLO CONG SWIFT VENTA LOCAL</t>
  </si>
  <si>
    <t>LIBRILLO VACUNO SEMICOCIDO CONG NATURAL MINERVA FOODS</t>
  </si>
  <si>
    <t>LIBRILLO</t>
  </si>
  <si>
    <t>LOMO 1,2 - 1,5 KG ENF BALADI ISRAEL JALAK</t>
  </si>
  <si>
    <t>LOMO</t>
  </si>
  <si>
    <t>LOMO S/ CORDON</t>
  </si>
  <si>
    <t>LOMO 1,5 KG UP ENF BALADI ISRAEL JALAK</t>
  </si>
  <si>
    <t>LOMO 3 LB UP S/C ENF CLL ECUADOR</t>
  </si>
  <si>
    <t>LOMO 3/4 LB S/C CONG PUL HALAL EMIRATOS ARABES</t>
  </si>
  <si>
    <t>LOMO 3/4 LB S/C CONG PUL LIBANO HALAL</t>
  </si>
  <si>
    <t>LOMO 4/5 LB S/C CONG PUL HALAL EMIRATOS ARABES - VP</t>
  </si>
  <si>
    <t>LOMO 4/5 LB S/C CONG PUL LIBANO HALAL</t>
  </si>
  <si>
    <t>LOMO 5 LB UP S/C CONG PUL HALAL EMIRATOS ARABES - VP</t>
  </si>
  <si>
    <t>LOMO 5 LB UP S/C CONG PUL LIBANO HALAL</t>
  </si>
  <si>
    <t>LOMO C/C 3 LB UP ENF SWIFT BLACK</t>
  </si>
  <si>
    <t>LOMO C/ CORDON</t>
  </si>
  <si>
    <t>LOMO C/COR 2/3 LB CONG PUL RUSIA</t>
  </si>
  <si>
    <t>LOMO C/COR 2/3LB CONG P/VENTA LOCAL</t>
  </si>
  <si>
    <t>LOMO C/COR 3 LB UP ENF CLL CHILE "V"</t>
  </si>
  <si>
    <t>LOMO C/COR 3 LB UP ENF PUL PRO CHILE "V"</t>
  </si>
  <si>
    <t>LOMO C/COR 3 LB UP ENF PUL PRO CHILE "V" CS</t>
  </si>
  <si>
    <t>LOMO C/COR 3/4LB CONG P/VENTA LOCAL</t>
  </si>
  <si>
    <t>LOMO C/COR 3/4LB CONG PUL RUSIA</t>
  </si>
  <si>
    <t>LOMO C/COR 3/4LB ENF P/VENTA LOCAL</t>
  </si>
  <si>
    <t>LOMO C/COR 3LB UP ENF PUL PRO CHILE "V" - W</t>
  </si>
  <si>
    <t>LOMO C/COR 3LB UP ENF TOTTUS BLACK CHILE "V"</t>
  </si>
  <si>
    <t>LOMO C/COR 3LB UP ENF TOTTUS CHILE "V"</t>
  </si>
  <si>
    <t>LOMO C/COR 4/5LB CONG P/VENTA LOCAL</t>
  </si>
  <si>
    <t>LOMO C/COR 4/5LB CONG PUL RUSIA</t>
  </si>
  <si>
    <t>LOMO C/COR 4/5LB ENF P/VENTA LOCAL</t>
  </si>
  <si>
    <t>LOMO C/COR 5LB UP CONG P/VENTA LOCAL</t>
  </si>
  <si>
    <t>LOMO C/COR 5LB UP ENF P/VENTA LOCAL</t>
  </si>
  <si>
    <t>LOMO C/CORDON ENF P/VENTA LOCAL - RECHAZOS</t>
  </si>
  <si>
    <t>LOMO C/CORDON ENF P/VENTA LOCAL (L)</t>
  </si>
  <si>
    <t>LOMO DE ATUN AL NATURAL SWIFT 170g</t>
  </si>
  <si>
    <t>PESCADOS</t>
  </si>
  <si>
    <t>NON-BOVINE</t>
  </si>
  <si>
    <t>ATUN</t>
  </si>
  <si>
    <t>LOMO DE ATUN</t>
  </si>
  <si>
    <t>LOMO DE ATUN EN ACEITE SWIFT 170g</t>
  </si>
  <si>
    <t>LOMO EN TROZOS ENF SWIFT BLACK</t>
  </si>
  <si>
    <t>LOMO HASTA 1,2 KG ENF BALADI ISRAEL JALAK</t>
  </si>
  <si>
    <t>LOMO S/C 4/5 LB CONG CLL ANGUS PALESTINA HALAL</t>
  </si>
  <si>
    <t>LOMO S/C 4/5 LB ENF CLL USA</t>
  </si>
  <si>
    <t>LOMO S/COR 1,6-2,3 kg ENF SWIFT BLACK</t>
  </si>
  <si>
    <t>LOMO S/COR 1,6-2,3 KG MAD/CONG SWIFT BLACK</t>
  </si>
  <si>
    <t>LOMO S/COR 2/3 LB CONG P/VENTA LOCAL</t>
  </si>
  <si>
    <t>LOMO S/COR 2/3LB CONG PUL RUSIA</t>
  </si>
  <si>
    <t>LOMO S/COR 3/4 LB ENF CLL ANGUS CEE 481</t>
  </si>
  <si>
    <t>LOMO S/COR 3/4 LB ENF CLL ANGUS CEE NH</t>
  </si>
  <si>
    <t>LOMO S/COR 3/4LB ENF CLL CEE NH GF - VP</t>
  </si>
  <si>
    <t>LOMO S/COR 3/4LB ENF PUL CEE HILTON</t>
  </si>
  <si>
    <t>LOMO S/COR 3/4LB ENF PUL CEE NO HILTON</t>
  </si>
  <si>
    <t>LOMO S/COR 3/4LB MAD/CONG PUL MEXICO W - VP</t>
  </si>
  <si>
    <t>LOMO S/COR 4/5 LB CONG PUL PALESTINA HALAL</t>
  </si>
  <si>
    <t>LOMO S/COR 4/5 LB ENF CLL ANGUS CEE 481</t>
  </si>
  <si>
    <t>LOMO S/COR 4/5 LB ENF CLL ANGUS CEE NH</t>
  </si>
  <si>
    <t>LOMO S/COR 4/5LB ENF CLL CEE HILTON</t>
  </si>
  <si>
    <t>LOMO S/COR 4/5LB ENF CLL CEE NH GF - VP</t>
  </si>
  <si>
    <t>LOMO S/COR 4/5LB ENF PUL CEE HILTON</t>
  </si>
  <si>
    <t>LOMO S/COR 4/5LB ENF PUL CEE NO HILTON</t>
  </si>
  <si>
    <t>LOMO S/COR 4/5LB MAD/CONG PUL MEXICO W - VP</t>
  </si>
  <si>
    <t>LOMO S/COR 5 LB UP ENF CLL ANGUS CEE 481</t>
  </si>
  <si>
    <t>LOMO S/COR 5 LB UP MAD/CONG PUL MEXICO W - VP</t>
  </si>
  <si>
    <t>LOMO S/COR 5LB UP ENF CLL CEE NH GF - VP</t>
  </si>
  <si>
    <t>LOMO S/COR 5LB UP ENF PUL CEE HILTON</t>
  </si>
  <si>
    <t>LOMO S/COR 5LB UP ENF PUL CEE NO HILTON</t>
  </si>
  <si>
    <t>LOMO S/COR ENF CLL RESTAURANT LOCAL</t>
  </si>
  <si>
    <t>LOMO S/CORDON 3/4 lb CONG PUL PERÚ VP</t>
  </si>
  <si>
    <t>LOMO S/CORDON 3/4 LB CONG PUL USA VP</t>
  </si>
  <si>
    <t>LOMO S/CORDON 4/5 LB CONG PUL PERÚ VP</t>
  </si>
  <si>
    <t>LOMO S/CORDON 4/5 LB CONG PUL USA VP</t>
  </si>
  <si>
    <t>LOMO S/CORDON 4/5 LB ENF CLL ANGUS EMIRATOS ARABES HALAL -VP</t>
  </si>
  <si>
    <t>LOMO S/CORDON 5 LB UP CONG PUL USA VP</t>
  </si>
  <si>
    <t>LOMO UNIDAD E-COMMERCE</t>
  </si>
  <si>
    <t>MARUCHA (AL ROJO) ENF CLL CHILE "V"</t>
  </si>
  <si>
    <t>MARUCHA</t>
  </si>
  <si>
    <t xml:space="preserve">MARUCHA CONG  PUL USA </t>
  </si>
  <si>
    <t>MARUCHA CONG CLL ANGUS GF CN</t>
  </si>
  <si>
    <t>MARUCHA CONG PUL CN</t>
  </si>
  <si>
    <t>MARUCHA CONG PUL CN VP</t>
  </si>
  <si>
    <t>MARUCHA CONG PUL JORDANIA HALAL - VP</t>
  </si>
  <si>
    <t>MARUCHA EN TROZOS ENF PUL PRO CHILE "V" - VP</t>
  </si>
  <si>
    <t>MARUCHA EN TROZOS ENF TOTTUS CHILE "V"</t>
  </si>
  <si>
    <t>MARUCHA ENF BALADI ISRAEL JALAK (LM - SELECTED)</t>
  </si>
  <si>
    <t>MARUCHA ENF BALADI ISRAEL KOSHER (LM - SELECTED)</t>
  </si>
  <si>
    <t>MARUCHA ENF CLL ANGUS CEE 481</t>
  </si>
  <si>
    <t>MARUCHA ENF EN TROZOS PUL PRO CHILE CS "V" - VP</t>
  </si>
  <si>
    <t>MARUCHA ENF P/VENTA LOCAL</t>
  </si>
  <si>
    <t>MARUCHA ENF PUL CEE NH - VP</t>
  </si>
  <si>
    <t>MARUCHA ENF PUL PRO CHILE "V" - VP</t>
  </si>
  <si>
    <t>MARUCHA ENF PUL PRO CHILE "V" - W</t>
  </si>
  <si>
    <t>MARUCHA ENF PUL PRO CN - VP</t>
  </si>
  <si>
    <t>MARUCHA FINA AL ROJO ENF CLL ANGUS CEE 481</t>
  </si>
  <si>
    <t xml:space="preserve">MARUCHA FINA AL ROJO ENF SWIFT BLACK </t>
  </si>
  <si>
    <t>MASTER BEEF CONG CLL RESTAURANT LOCAL</t>
  </si>
  <si>
    <t>MASTER BEEF</t>
  </si>
  <si>
    <t>MÁSTER BEEF CONG SWIFT BLACK</t>
  </si>
  <si>
    <t>MATAMBRE CONG P/VENTA LOCAL</t>
  </si>
  <si>
    <t>MATAMBRE</t>
  </si>
  <si>
    <t>MATAMBRE ENF P/VENTA LOCAL</t>
  </si>
  <si>
    <t>MATAMBRE ENF SWIFT (L)</t>
  </si>
  <si>
    <t>MATAMBRE ENF SWIFT BLACK</t>
  </si>
  <si>
    <t>MATAMBRE MAD/CONG SWIFT BLACK</t>
  </si>
  <si>
    <t>MATAMBRE PORCIONADO SWIFT BLACK</t>
  </si>
  <si>
    <t>MATAMBRE PORCIONADO</t>
  </si>
  <si>
    <t>MED.DOBLE BURGER X 4 - 21X224G</t>
  </si>
  <si>
    <t>MEDALLON VACUNO</t>
  </si>
  <si>
    <t>SWIFT BURGER</t>
  </si>
  <si>
    <t>MEDALLON 12X4X69G "LA BLANCA"</t>
  </si>
  <si>
    <t>MEDALLON 12X4X69G CLASICA SWIFT</t>
  </si>
  <si>
    <t>MEDALLON 18X4X80G PARRILLERO SWIFT</t>
  </si>
  <si>
    <t>SWIFT PARRILLERA</t>
  </si>
  <si>
    <t>MEDALLON 40X109G CARNE VACUNA PARRILLERO SWIFT</t>
  </si>
  <si>
    <t>MEDALLON 42X112G DOBLE BURGER SWIFT</t>
  </si>
  <si>
    <t>MEDALLON 42X112G LA BLANCA</t>
  </si>
  <si>
    <t>MEDALLON 60X109G CARNE VACUNA PARRILLERO SWIFT</t>
  </si>
  <si>
    <t>MEDALLON 60X69G CARNE VACUNA</t>
  </si>
  <si>
    <t>MEDALLON 60X80G PARRILLERO MC</t>
  </si>
  <si>
    <t>MEDALLON 60X80G PROMOFIESTA</t>
  </si>
  <si>
    <t>PROMOFIESTA</t>
  </si>
  <si>
    <t>MEDALLON BURGER SWIFT 8X12X69G</t>
  </si>
  <si>
    <t>MEDALLON DE CALABAZA Y CHOCLO</t>
  </si>
  <si>
    <t>REBOZADO VEGETAL</t>
  </si>
  <si>
    <t>MEDALLON DE CALABAZA /CHOCLO</t>
  </si>
  <si>
    <t>SWIFT VEG</t>
  </si>
  <si>
    <t>MEDALLÓN DE CARNE VACUNA 30X160G MEGA BURGER SWIFT</t>
  </si>
  <si>
    <t>MEDALLON DE CARNE VACUNA MARCA REC 30X80G</t>
  </si>
  <si>
    <t>MEDALLON DE ESPINACA</t>
  </si>
  <si>
    <t xml:space="preserve">MEDALLON FELA 18X4X57G </t>
  </si>
  <si>
    <t>FELA</t>
  </si>
  <si>
    <t>MEDALLÓN GASTRO</t>
  </si>
  <si>
    <t>MEDALLON POLLO</t>
  </si>
  <si>
    <t>MEDALLÓN GIGANTE GASTRONÓMICO 4X40X113.5G</t>
  </si>
  <si>
    <t xml:space="preserve">MEDALLON MCD 10:1 LB X 17,24 KG </t>
  </si>
  <si>
    <t xml:space="preserve">MEDALLON MCD 4:1 LB X 13,6 KG </t>
  </si>
  <si>
    <t>MEDALLON VACUNO CON SOJA 60X80G YEYA CUBA</t>
  </si>
  <si>
    <t>YEYA</t>
  </si>
  <si>
    <t>MEDALLÓN YPF 42X112G</t>
  </si>
  <si>
    <t>YPF</t>
  </si>
  <si>
    <t>MEDALLONES 18X4X80G SWIFT RECETA ESPECIAL</t>
  </si>
  <si>
    <t>MEDALLONES 60X69G "SWIFT BURGER"PARRILLERAS  FAMILY</t>
  </si>
  <si>
    <t>MEDALLONES 60X80G "SWIFT BURGER" PARRILLERAS FAMILY</t>
  </si>
  <si>
    <t>MEDALLONES 72X57G FELA</t>
  </si>
  <si>
    <t>MEDALLONES DE POLLO - 10X8X100G</t>
  </si>
  <si>
    <t>MEDALLONES DE POLLO "SWIFT" - 12X4X80G</t>
  </si>
  <si>
    <t>MEDIALUNA DE VACIO ENF CLL ANGUS USA</t>
  </si>
  <si>
    <t>MEDIALUNA DE VACIO</t>
  </si>
  <si>
    <t>MEDIALUNA DE VACÍO ENF CLL USA</t>
  </si>
  <si>
    <t>MEDULA ESPINAL CONGELADA P/OTROS</t>
  </si>
  <si>
    <t>MEDULA ESPINAL</t>
  </si>
  <si>
    <t>MEMBRANA DE ENTRANA CONG MF HONG KONG</t>
  </si>
  <si>
    <t>MEMBRANA</t>
  </si>
  <si>
    <t>MILANESA DE CARNE VACUNA CONGELADA 12UN X 1000GRS</t>
  </si>
  <si>
    <t>MILANESAS</t>
  </si>
  <si>
    <t>MILANESAS DE CARNE</t>
  </si>
  <si>
    <t>MILANESA DE CARNE VACUNA CONGELADA 24UN X 500GRS</t>
  </si>
  <si>
    <t>MILANESAS DE  SOJA RELLENAS CON TOMATE Y QUESO</t>
  </si>
  <si>
    <t>MILANESAS DE SOJA</t>
  </si>
  <si>
    <t>MILANESAS DE CARNE VACUNA CONGELADA GRANEL 5KG</t>
  </si>
  <si>
    <t>MILANESAS DE CARNE VACUNA CONGELADAS 1KG UNIDAD</t>
  </si>
  <si>
    <t>MILANESAS DE CARNE VACUNA CONGELADAS 500G UNIDAD</t>
  </si>
  <si>
    <t>MILANESAS DE SOJA CLASICAS - 290G UNIDAD</t>
  </si>
  <si>
    <t>MILANESAS DE SOJA CLASICAS PREFRITAS</t>
  </si>
  <si>
    <t>MILANESAS DE SOJA RELLENAS CON ESPINACA Y QUESO</t>
  </si>
  <si>
    <t>MILANESAS DE SOJA RELLENAS CON ESPINACA Y QUESO -350G UNIDAD</t>
  </si>
  <si>
    <t>MILANESAS DE SOJA RELLENAS CON JAMON Y QUESO</t>
  </si>
  <si>
    <t>MILANESAS DE SOJA RELLENAS CON JAMON Y QUESO - 20X350G</t>
  </si>
  <si>
    <t>MILANESAS DE SOJA RELLENAS CON TOMATE Y QUESO</t>
  </si>
  <si>
    <t>MILANESITAS DE CARNE VACUNA 400G</t>
  </si>
  <si>
    <t>MOLLEJA DE COGOTE CONG GOL TRADE ISRAEL KOSHER</t>
  </si>
  <si>
    <t>MOLLEJA DE COGOTE</t>
  </si>
  <si>
    <t>MOLLEJA DE COGOTE CONG SWIFT</t>
  </si>
  <si>
    <t>MOLLEJA DE COGOTE CONGELADA P/OTROS</t>
  </si>
  <si>
    <t>MOLLEJA DE CORAZON CONG CLL RESTAURANT</t>
  </si>
  <si>
    <t>MOLLEJA DE CORAZON</t>
  </si>
  <si>
    <t>MOLLEJA DE CORAZON CONG GOL TRADE ISRAEL JALAK</t>
  </si>
  <si>
    <t>MOLLEJA DE CORAZON CONG GOL TRADE ISRAEL KOSHER</t>
  </si>
  <si>
    <t>MOLLEJA DE CORAZON CONG SWIFT</t>
  </si>
  <si>
    <t>MOLLEJA DE CORAZON CONG SWIFT BLACK</t>
  </si>
  <si>
    <t>MONDONGO NATURAL SEMICOCIDO S/BONETE CONG MINERVA FOODS PERU</t>
  </si>
  <si>
    <t>MONDONGO</t>
  </si>
  <si>
    <t>MONDONGO NATURAL SEMICOCIDO S/BONETE MINERVA FOODS CONG OD</t>
  </si>
  <si>
    <t>MONDONGO SEMICOCIDO BQ CONG SWIFT VENTA LOCAL</t>
  </si>
  <si>
    <t>MORTADELA SWIFT 10 X 300G</t>
  </si>
  <si>
    <t>FIAMBRE</t>
  </si>
  <si>
    <t>MORTADELA</t>
  </si>
  <si>
    <t>NALGA (ACUERDO DE PRECIOS)</t>
  </si>
  <si>
    <t>NALGA</t>
  </si>
  <si>
    <t>NALGA C/TAPA 90 VL CONG PUL MEXICO VP</t>
  </si>
  <si>
    <t>NALGA C/TAPA 97 VL CONG PUL MEXICO VP</t>
  </si>
  <si>
    <t xml:space="preserve">NALGA </t>
  </si>
  <si>
    <t>NALGA C/TAPA 97 VL ENF PUL MEXICO VP</t>
  </si>
  <si>
    <t>NALGA C/TAPA ENF PUL RUSIA VP</t>
  </si>
  <si>
    <t xml:space="preserve">NALGA C/TAPA ENF PUL SELECTION MEXICO - VP </t>
  </si>
  <si>
    <t>NALGA DE ADENTRO C/T CONG PUL CEE NO HILTON</t>
  </si>
  <si>
    <t>NALGA DE ADENTRO C/T CONG PUL CN IP</t>
  </si>
  <si>
    <t>NALGA DE ADENTRO C/TAP EN PORCIONES ENF PUL PRO CHILE "V"</t>
  </si>
  <si>
    <t>NALGA PORCIONADO</t>
  </si>
  <si>
    <t>NALGA DE ADENTRO C/TAP EN PORCIONES ENF PUL PRO CHILE "V" CS</t>
  </si>
  <si>
    <t>NALGA DE ADENTRO C/TAP EN PORCIONES ENF PUL PRO CHILE "V" W</t>
  </si>
  <si>
    <t>NALGA DE ADENTRO C/TAP EN PORCIONES ENF SWIFT BLACK</t>
  </si>
  <si>
    <t>NALGA DE ADENTRO C/TAP ENF P/VENTA LOCAL</t>
  </si>
  <si>
    <t>NALGA DE ADENTRO C/TAPA ENF PUL PRO CN - VP</t>
  </si>
  <si>
    <t>NALGA DE ADENTRO CON TAPA  ENF IMPORTADO</t>
  </si>
  <si>
    <t>NALGA DE ADENTRO S/T 100VL CONG PUL USA</t>
  </si>
  <si>
    <t>NALGA DE ADENTRO S/T CONG PUL CN</t>
  </si>
  <si>
    <t>NALGA DE ADENTRO S/T ENF PUL CEE NH - VP</t>
  </si>
  <si>
    <t xml:space="preserve">NALGA DE ADENTRO S/T ENF PUL PRO CHILE "V" </t>
  </si>
  <si>
    <t>NALGA DE ADENTRO S/T ENF PUL USA</t>
  </si>
  <si>
    <t>NALGA DE ADENTRO S/TAP 3,5 KG UP ENF CLL ANGUS CEE 481</t>
  </si>
  <si>
    <t>NALGA DE ADENTRO S/TAP 3,5 KG UP ENF CLL ANGUS GRAIN FED CEE NH</t>
  </si>
  <si>
    <t>NALGA DE ADENTRO S/TAP 4,0 - 5,0Kg CONG PUL CEE NH</t>
  </si>
  <si>
    <t>NALGA DE ADENTRO S/TAP 5,0Kg UP CONG PUL CEE NH - VP</t>
  </si>
  <si>
    <t>NALGA DE ADENTRO S/TAP CONG PUL CEE - VP</t>
  </si>
  <si>
    <t>NALGA DE ADENTRO S/TAPA 97 VL ENF CLL USA - VP</t>
  </si>
  <si>
    <t>NALGA DE ADENTRO S/TAPA CONG P/VENTA LOCAL</t>
  </si>
  <si>
    <t>NALGA DE ADENTRO S/TAPA ENF P/VENTA LOCAL</t>
  </si>
  <si>
    <t>NALGA DE ADENTRO S/TAPA ENF P/VENTA LOCAL (L)</t>
  </si>
  <si>
    <t>NALGA DE ADENTRO S/TAPA ENF P/VENTA LOCAL PORCIONADA</t>
  </si>
  <si>
    <t>NALGA DE ADENTRO SIN TAPA ENF IMPORTADO</t>
  </si>
  <si>
    <t>NALGA DE ADENTRO SIN TAPA FETEADA CONG VENTA LOCAL</t>
  </si>
  <si>
    <t>NALGA FETEADO</t>
  </si>
  <si>
    <t>NALGA S/TAP FETEADA ENF P/VENTA LOCAL</t>
  </si>
  <si>
    <t>NALGA S/TAPA 100 VL CONG PUL CANADA - VP</t>
  </si>
  <si>
    <t>NALGA S/TAPA CONG MF INTERCOMPANY</t>
  </si>
  <si>
    <t>NALGA S/TAPA CONG PUL JORDANIA HALAL - VP</t>
  </si>
  <si>
    <t>NALGA S/TAPA ENF PUL INTERCOMPANY</t>
  </si>
  <si>
    <t>NUGGETS DE BROCOLI</t>
  </si>
  <si>
    <t>NUGGETS DE ESPINACA</t>
  </si>
  <si>
    <t>OJO C/NERVIO OPTICO CONG P/OTROS</t>
  </si>
  <si>
    <t>OJOS</t>
  </si>
  <si>
    <t>OJO DE BIFE ANCHO ENF BALADI BADATZ ISRAEL JALAK</t>
  </si>
  <si>
    <t>OJO DE BIFE ANCHO</t>
  </si>
  <si>
    <t>OJO DE BIFE ANCHO ENF BALADI ISRAEL JALAK (LM- SELECTED)</t>
  </si>
  <si>
    <t>OJO DE BIFE ANCHO ENF BALADI ISRAEL KOSHER (LM- SELECTED)</t>
  </si>
  <si>
    <t>OJO DE BIFE ANCHO ENF CLL RESTAURANT LOCAL</t>
  </si>
  <si>
    <t>OJO DE BIFE E-COMMERCE</t>
  </si>
  <si>
    <t>OVARIOS CONGELADOS P/OTROS</t>
  </si>
  <si>
    <t>OVARIOS</t>
  </si>
  <si>
    <t>PALETA 97 VL CONG PUL CANADA - VP</t>
  </si>
  <si>
    <t>PALETA 97 VL CONG PUL MEXICO VP</t>
  </si>
  <si>
    <t>PALETA C/MARUCHA/CHINGOLO CONG PUL RUSIA</t>
  </si>
  <si>
    <t xml:space="preserve">PALETA ENF P/VENTA LOCAL </t>
  </si>
  <si>
    <t>PALETA SWIFT (ACUERDO DE PRECIOS)</t>
  </si>
  <si>
    <t>PALITO DE POLLO "SWIFT"  12 X 260 GRS.</t>
  </si>
  <si>
    <t>PALITO DE POLLO "SWIFT"  8 X 1 KG..</t>
  </si>
  <si>
    <t>PANCREAS CONGELADO P/OTROS</t>
  </si>
  <si>
    <t>PANCREAS</t>
  </si>
  <si>
    <t>PAPAS PRE COCIDAS SUPERCONGELADAS LIBRES DE GLUTEN 700G X 14 U</t>
  </si>
  <si>
    <t>PAPAS</t>
  </si>
  <si>
    <t>PAPAS PREFRITAS SUPERCONGELADAS 25X400GR</t>
  </si>
  <si>
    <t>PAPAS PREFRITAS SUPERCONGELADAS 6X2000GR</t>
  </si>
  <si>
    <t>PAPAS PREFRITAS SUPERCONGELADAS SWIFT X 400G</t>
  </si>
  <si>
    <t xml:space="preserve">PATE  DIA 24X90G </t>
  </si>
  <si>
    <t>PATE 24X90G SAFRA PARAGUAY - LOBA (PY)</t>
  </si>
  <si>
    <t>SAFRA</t>
  </si>
  <si>
    <t>PATE DE FOIE 24X90G "PRIMER PRECIO"</t>
  </si>
  <si>
    <t>PRIMER PRECIO</t>
  </si>
  <si>
    <t>PATE DE FOIE 24X90G BULNEZ</t>
  </si>
  <si>
    <t>BULNEZ</t>
  </si>
  <si>
    <t>PATE DE FOIE 24X90G LA BLANCA</t>
  </si>
  <si>
    <t>PATE DE FOIE 24X90G SAFRA</t>
  </si>
  <si>
    <t>PATE DE FOIE 24X90G SWIFT</t>
  </si>
  <si>
    <t>PATE DE FOIE A LA CREMA 24X88G SWIFT</t>
  </si>
  <si>
    <t>PATE DE FOIE AL CHAMPAGNE 24X85G SWIFT GOURMET</t>
  </si>
  <si>
    <t>SWIFT GOURMET</t>
  </si>
  <si>
    <t>PATE DE FOIE C/PIMIENTA VERDE 24X85G SWIFT GOURMET</t>
  </si>
  <si>
    <t>PATE DE FOIE DE POLLO 24X85G SWIFT</t>
  </si>
  <si>
    <t>PATÉ DE FOIE PICANTE JAPALEÑO 24X90G SWIFT</t>
  </si>
  <si>
    <t>PATE DE FOIE S&amp;P</t>
  </si>
  <si>
    <t>PATE DE FOIE TIPO PROVENZAL 24X85G SWIFT GOURMET</t>
  </si>
  <si>
    <t>PATE DE SALMON 24X85G SWIFT GOURMET</t>
  </si>
  <si>
    <t>PATE HONGOS 24X85G</t>
  </si>
  <si>
    <t>PATE HONGOS 24X85G SWIFT GOURMET</t>
  </si>
  <si>
    <t xml:space="preserve">PATE JAMON AHUMADO 24X85G </t>
  </si>
  <si>
    <t>PATE JAMON AHUMADO 24X85G SWIFT GOURMET</t>
  </si>
  <si>
    <t>PATÉ PALADINI</t>
  </si>
  <si>
    <t>PATÉ SAN REMO</t>
  </si>
  <si>
    <t>SAN REMO</t>
  </si>
  <si>
    <t xml:space="preserve">PECETO 100 VL CONG PUL CANADA </t>
  </si>
  <si>
    <t xml:space="preserve">PECETO </t>
  </si>
  <si>
    <t>PECETO</t>
  </si>
  <si>
    <t>PECETO 95 VL ENF PUL INTERCOMPANY</t>
  </si>
  <si>
    <t>PECETO 97 VL 1,6 KG UP CONG PUL CEE NH</t>
  </si>
  <si>
    <t>PECETO A LA TELA 1,5 KG UP CONG PUL CHINA</t>
  </si>
  <si>
    <t>PECETO AL ROJO ENF CLL ANGUS CEE 481 - VP</t>
  </si>
  <si>
    <t>PECETO AL ROJO ENF CLL ANGUS GRAIN FED CEE NH - VP</t>
  </si>
  <si>
    <t>PECETO CONG P/VENTA LOCAL</t>
  </si>
  <si>
    <t>PECETO CONG P/VENTA LOCAL (L)</t>
  </si>
  <si>
    <t>PECETO EN TROZOS ENF P/VENTA LOCAL</t>
  </si>
  <si>
    <t>PECETO EN TROZOS ENF SWIFT BLACK</t>
  </si>
  <si>
    <t>PECETO EN TROZOS ENF TOTTUS CHILE "V"</t>
  </si>
  <si>
    <t>PECETO ENF CLL ANGUS CEE 481</t>
  </si>
  <si>
    <t>PECETO ENF P/VENTA LOCAL</t>
  </si>
  <si>
    <t>PECETO ENF P/VENTA LOCAL PORCIONADO</t>
  </si>
  <si>
    <t>PECETO PORCIONADO</t>
  </si>
  <si>
    <t>PECETO ENF PUL CEE NH - VP</t>
  </si>
  <si>
    <t>PECETO ENF PUL PRO CHILE "V" - W</t>
  </si>
  <si>
    <t>PECETO ENF PUL PRO CHILE "V" CS</t>
  </si>
  <si>
    <t>PECETO ENF PUL PRO CN - VP</t>
  </si>
  <si>
    <t>PECETO ENF PUL RUSIA</t>
  </si>
  <si>
    <t>PECETO ENF SWIFT (L)</t>
  </si>
  <si>
    <t>PECETO FETEADO ENF P/VENTA LOCAL</t>
  </si>
  <si>
    <t>PECETO FETEADO</t>
  </si>
  <si>
    <t>PECETO FETEADO ENF SWIFT BLACK</t>
  </si>
  <si>
    <t>PECETO FETEADO UNIDAD E-COMMERCE</t>
  </si>
  <si>
    <t>PECETO MAD/CONG PUL PRO CHILE "V" - VP</t>
  </si>
  <si>
    <t>PECETO TL CONG PUL RUSIA</t>
  </si>
  <si>
    <t>PECHO 80 VL ENF CLL USA PFG</t>
  </si>
  <si>
    <t>PECHO 90 VL CONG PUL CEE NH</t>
  </si>
  <si>
    <t>PECHO 90 VL ENF PUL INTERCOMPANY</t>
  </si>
  <si>
    <t>PECHO 90 VL ENF PUL SELECTION MEXICO</t>
  </si>
  <si>
    <t>PECHO 97 VL CONG PUL USA</t>
  </si>
  <si>
    <t>PECHO CONG IMPORTADO</t>
  </si>
  <si>
    <t>PECHO EN PORCIONES ENF PUL PRO CHILE "V"</t>
  </si>
  <si>
    <t>PECHO EN PORCIONES ENF PUL PRO CHILE "V" W - VP</t>
  </si>
  <si>
    <t>PECHO ENF CLL ANGUS CEE 481</t>
  </si>
  <si>
    <t>PECHO ENF NOVILLO SALADO BALADI ISRAEL JALAK</t>
  </si>
  <si>
    <t>PECHO ENF NOVILLO SALADO BALADI ISRAEL KOSHER</t>
  </si>
  <si>
    <t>PECHO ENF PUL PRO CHILE "V"</t>
  </si>
  <si>
    <t>PECHO ENF PUL PRO CN - VP</t>
  </si>
  <si>
    <t>PECHO MAD/CONG PUL PRO CHILE "V" - VP</t>
  </si>
  <si>
    <t>PECHUGA DE POLLO CONGELADA TERCEROS IMPORTADO</t>
  </si>
  <si>
    <t>POLLOS</t>
  </si>
  <si>
    <t>PECHUGA</t>
  </si>
  <si>
    <t>PENES CONG MINERVA FOODS HONG KONG</t>
  </si>
  <si>
    <t>PENES</t>
  </si>
  <si>
    <t xml:space="preserve">PICADILLO BON GUSTO </t>
  </si>
  <si>
    <t>BON GUSTO</t>
  </si>
  <si>
    <t>PICADILLO DE CARNE 24X90G "PRIMER PRECIO"</t>
  </si>
  <si>
    <t>PICADILLO DE CARNE 24X90G BULNEZ</t>
  </si>
  <si>
    <t>PICADILLO DE CARNE 24X90G INDEGA</t>
  </si>
  <si>
    <t>INDEGA</t>
  </si>
  <si>
    <t>PICADILLO DE CARNE 24X90G LA BLANCA</t>
  </si>
  <si>
    <t>PICADILLO DE CARNE 24X90G SAFRA</t>
  </si>
  <si>
    <t>PICADILLO DE CARNE 24X90G SAFRA / LICITACION</t>
  </si>
  <si>
    <t>PICADILLO DE CARNE 24X90G SAFRA C/IMPORTADOR - DAVIBOL (BOL)</t>
  </si>
  <si>
    <t>PICADILLO DE CARNE 24X90G SAFRA MARTINAR</t>
  </si>
  <si>
    <t>PICADILLO DE CARNE 24X90G SAFRA PARAGUAY - LOBA (PY)</t>
  </si>
  <si>
    <t>PICADILLO DE CARNE 24X90G SUN</t>
  </si>
  <si>
    <t>SUN</t>
  </si>
  <si>
    <t xml:space="preserve">PICADILLO DE CARNE 24X90G SWIFT </t>
  </si>
  <si>
    <t xml:space="preserve">PICADILLO DE CARNE DIA 24X90G </t>
  </si>
  <si>
    <t>PICADILLO DE CARNE PICANTE 24X90G SWIFT</t>
  </si>
  <si>
    <t>PICADILLO</t>
  </si>
  <si>
    <t>PICADILLO DE CARNE PICANTE CHILE CHIPOTLE 24X90 G</t>
  </si>
  <si>
    <t>PICADILLO DE CARNE S&amp;P</t>
  </si>
  <si>
    <t>S&amp;P</t>
  </si>
  <si>
    <t>PICADILLO PALADINI</t>
  </si>
  <si>
    <t>PICADILLO SAFRA IMPORTADOR FRIGOMERC</t>
  </si>
  <si>
    <t>PICADILLO SAN REMO</t>
  </si>
  <si>
    <t>PLACENTA CONGELADA P/OTROS</t>
  </si>
  <si>
    <t>PLACENTA</t>
  </si>
  <si>
    <t>PUL X6 MINERVA</t>
  </si>
  <si>
    <t>PUL X6 WM</t>
  </si>
  <si>
    <t>PULMON CONG P/OTROS</t>
  </si>
  <si>
    <t>PULMON</t>
  </si>
  <si>
    <t>PULPON DE VACIO ENF CLL ANGUS CEE 481</t>
  </si>
  <si>
    <t>PULPON DE VACIO</t>
  </si>
  <si>
    <t>PULPON DE VACIO ENF CLL ANGUS CEE NH</t>
  </si>
  <si>
    <t>PULPON DE VACIO ENF PUL CEE NH - VP</t>
  </si>
  <si>
    <t>PUNTA DE ESPALDA CONG P/VENTA LOCAL</t>
  </si>
  <si>
    <t>TAPA DE BIFE ANCHO</t>
  </si>
  <si>
    <t>PUNTA DE ESPALDA ENF P/VENTA LOCAL</t>
  </si>
  <si>
    <t>RABO CONG MINERVA FOODS CURACAO IP</t>
  </si>
  <si>
    <t>RABO CONG MINERVA HK</t>
  </si>
  <si>
    <t>RABO CONG SWIFT VENTA LOCAL</t>
  </si>
  <si>
    <t>RABO</t>
  </si>
  <si>
    <t>RACK DE BIFE ANCHO C/HUESO MAD/CONG CLL ANGUS HALAL LIBANO VP</t>
  </si>
  <si>
    <t>RACK DE BIFE</t>
  </si>
  <si>
    <t>RACK DE BIFE ANCHO C/HUESO SWIFT BLACK</t>
  </si>
  <si>
    <t>REBOZADO DE CARNE BRASIL</t>
  </si>
  <si>
    <t>RECORTE 60/40 CONG SWIFT PARA TERCEROS</t>
  </si>
  <si>
    <t>RECORTE 60/40</t>
  </si>
  <si>
    <t>RECORTE 70/30 CONGELADO P/HAMBURGUESA EN CAJA</t>
  </si>
  <si>
    <t>RECORTE 70/30</t>
  </si>
  <si>
    <t>RECORTE 80/20 CONG EN CAJA P/HAMBURGUESA</t>
  </si>
  <si>
    <t>RECORTE REPROCESO CONG P/TERMOPROCESO EN CAJA</t>
  </si>
  <si>
    <t>RECORTES 70/30 CONG SWIFT PARA TERCEROS</t>
  </si>
  <si>
    <t>RECORTES 80/20 CONG SWIFT PARA TERCEROS</t>
  </si>
  <si>
    <t>RIBS CONG SWIFT BLACK</t>
  </si>
  <si>
    <t>COSTILLA</t>
  </si>
  <si>
    <t>RIÑON CONG MINERVA FOODS AFRICA</t>
  </si>
  <si>
    <t>RINON</t>
  </si>
  <si>
    <t>RIÑON CONG SWIFT BLACK</t>
  </si>
  <si>
    <t>RIÑON CONGELADO P/OTROS</t>
  </si>
  <si>
    <t>RIÑON DESGRASADO CONG MINERVA FOODS AFRICA PESO FIJO</t>
  </si>
  <si>
    <t>RIÑON NOVILLO CONG CLL RESTAURANT</t>
  </si>
  <si>
    <t>RIÑON NOVILLO CONG SWIFT VENTA LOCAL</t>
  </si>
  <si>
    <t>ROAST BEEF CONG P/VENTA LOCAL</t>
  </si>
  <si>
    <t>ROAST BEEF</t>
  </si>
  <si>
    <t>ROAST BEEF EN PORCIONES ENF SWIFT (L)</t>
  </si>
  <si>
    <t>ROAST BEEF ENF P/VENTA LOCAL</t>
  </si>
  <si>
    <t>ROAST BEEF ENF SWIFT(L)</t>
  </si>
  <si>
    <t>ROBADO DELANTERO/TRASERO INCOMPLETO 90/10 CL CONG MF CN BP</t>
  </si>
  <si>
    <t>ROBADO</t>
  </si>
  <si>
    <t>RUEDA C/COLITA NOV</t>
  </si>
  <si>
    <t>CADERA C/ COLITA</t>
  </si>
  <si>
    <t xml:space="preserve">SALCHICHAS  DIA 6X24 X 900 G </t>
  </si>
  <si>
    <t xml:space="preserve">SALCHICHAS  SWIFT 24X6 X 225 G </t>
  </si>
  <si>
    <t>SALCHICHAS 12X12 SWIFT</t>
  </si>
  <si>
    <t>SALCHICHAS 20X6 DIA</t>
  </si>
  <si>
    <t xml:space="preserve">SALCHICHAS CONGELADAS SWIFT 12X12X870G </t>
  </si>
  <si>
    <t xml:space="preserve">SALCHICHAS DIA 12X12 X 450 G </t>
  </si>
  <si>
    <t>SALCHICHAS GASTRONOMICAS SW 10 X 12 X 870 G</t>
  </si>
  <si>
    <t xml:space="preserve">SALCHICHAS LA ANONIMA 12X12 X 450 G </t>
  </si>
  <si>
    <t xml:space="preserve">SALCHICHAS LA ANONIMA 24X6 X 225 G  </t>
  </si>
  <si>
    <t xml:space="preserve">SALCHICHAS LA ANONIMA 6X24 X 900 G </t>
  </si>
  <si>
    <t xml:space="preserve">SALCHICHAS LARGAS SWIFT 10X12 X 870 G  </t>
  </si>
  <si>
    <t>SALCHICHAS SIN PIEL 24X6 "LA BLANCA" X 190 G</t>
  </si>
  <si>
    <t>SALCHICHAS SIN PIEL 24X6 "LA CRIOLLA" X 190 G</t>
  </si>
  <si>
    <t>LA CRIOLLA</t>
  </si>
  <si>
    <t>SALCHICHAS SIN PIEL 24X6 "SWIFT KIDS" X 190 G</t>
  </si>
  <si>
    <t>SALCHICHAS SIN PIEL 30X6 "LA BLANCA" SIN GLUTEN X 190 g</t>
  </si>
  <si>
    <t xml:space="preserve">SALCHICHAS SWIFT 12U X 450 G </t>
  </si>
  <si>
    <t xml:space="preserve">SALCHICHAS SWIFT 12X12 X 450 G </t>
  </si>
  <si>
    <t xml:space="preserve">SALCHICHAS SWIFT X 6 UNID. - 225 G </t>
  </si>
  <si>
    <t>SANGRE CONGELADA P/OTROS</t>
  </si>
  <si>
    <t>SANGRE</t>
  </si>
  <si>
    <t>SESO CONGELADO P/OTROS</t>
  </si>
  <si>
    <t>SESO</t>
  </si>
  <si>
    <t>SOBRECOSTILLA EN PORCIONES ENF PUL PRO CHILE "V"</t>
  </si>
  <si>
    <t>SOBRECOSTILLA</t>
  </si>
  <si>
    <t>SOBRECOSTILLA EN PORCIONES ENF PUL PRO CHILE "V" - W</t>
  </si>
  <si>
    <t>SOBRECOSTILLA EN PORCIONES ENF PUL PRO CHILE "V" CS</t>
  </si>
  <si>
    <t>SOBRECOSTILLA EN PORCIONES ENF TOTTUS CHILE "V"</t>
  </si>
  <si>
    <t>SOBRECOSTILLA ENF PUL PRO CHILE "V"</t>
  </si>
  <si>
    <t>SUPRARRENALES CONGELADAS P/OTROS</t>
  </si>
  <si>
    <t>SUPRARRENALES</t>
  </si>
  <si>
    <t>SURTIDO GOURMET</t>
  </si>
  <si>
    <t>TAPA DE AGUJA ENF BALADI ISRAEL JALAK VP VP</t>
  </si>
  <si>
    <t>TAPA DE AGUJA</t>
  </si>
  <si>
    <t>TAPA DE AGUJA ENF BALADI ISRAEL KOSHER VP</t>
  </si>
  <si>
    <t>TAPA DE AGUJA ENF P/VENTA LOCAL</t>
  </si>
  <si>
    <t>TAPA DE ASADO CONG P/VENTA LOCAL</t>
  </si>
  <si>
    <t>TAPA DE ASADO</t>
  </si>
  <si>
    <t>TAPA DE ASADO EN PORCIONES ENF SWIFT (L)</t>
  </si>
  <si>
    <t>TAPA DE ASADO PORCIONADO</t>
  </si>
  <si>
    <t>TAPA DE ASADO EN PORCIONES ENF SWIFT BLACK</t>
  </si>
  <si>
    <t>TAPA DE ASADO EN TROZOS ENF SWIFT BLACK</t>
  </si>
  <si>
    <t>TAPA DE ASADO TROZOS</t>
  </si>
  <si>
    <t>TAPA DE ASADO ENF P/VENTA LOCAL</t>
  </si>
  <si>
    <t>TAPA DE ASADO ENF SWIFT (L)</t>
  </si>
  <si>
    <t>TAPA DE BIFE 90VL CONG MF USA BP</t>
  </si>
  <si>
    <t>TAPA DE BIFE ANCHO EN TROZOS ENF PUL PRO CHILE "V" - W - VP</t>
  </si>
  <si>
    <t>TAPA DE BIFE ANCHO ENF P/VENTA LOCAL</t>
  </si>
  <si>
    <t>TAPA DE BIFE ANCHO ENF PUL PRO CHILE "V"</t>
  </si>
  <si>
    <t>TAPA DE BIFE ANCHO ENF PUL PRO CHILE "V" - W</t>
  </si>
  <si>
    <t>TAPA DE BIFE ANCHO ENF PUL PRO CHILE "V" CS</t>
  </si>
  <si>
    <t>TAPA DE BIFE ANCHO ENF TOTTUS CHILE "V"</t>
  </si>
  <si>
    <t>TAPA DE BIFE ANCHO MAD/CONG PUL PRO CHILE "V" - VP</t>
  </si>
  <si>
    <t>TAPA DE BIFE CONG BALADI ISRAEL JALAK VP</t>
  </si>
  <si>
    <t>TAPA DE BIFE CONG PUL USA VP</t>
  </si>
  <si>
    <t>TAPA DE BIFE ENF BALADI ISRAEL JALAK VP</t>
  </si>
  <si>
    <t>TAPA DE BIFE ENF BALADI ISRAEL KOSHER VP</t>
  </si>
  <si>
    <t>TAPA DE CUADRIL 0,7-1,5KG CONG APBA BRASIL</t>
  </si>
  <si>
    <t>TAPA DE CUADRIL</t>
  </si>
  <si>
    <t>TAPA DE CUADRIL 0,9/1,5KG ENF PUL CEE HILTON</t>
  </si>
  <si>
    <t>TAPA DE CUADRIL 1,1/1,5KG CONG PLATE BRASIL MINERVA</t>
  </si>
  <si>
    <t>TAPA DE CUADRIL 1,5KG UP CONG BRASIL APBA MF UB</t>
  </si>
  <si>
    <t>TAPA DE CUADRIL 1,5KG UP CONG CLL BRASIL IMPO MINERVA</t>
  </si>
  <si>
    <t>TAPA DE CUADRIL 1,5KG UP CONG PLATE BRASIL MINERVA</t>
  </si>
  <si>
    <t>TAPA DE CUADRIL 1,5KG UP MAD/CONG CLL BLACK BRASIL</t>
  </si>
  <si>
    <t>CLL BLACK</t>
  </si>
  <si>
    <t>TAPA DE CUADRIL CONG P/VENTA LOCAL</t>
  </si>
  <si>
    <t>TAPA DE CUADRIL CONG PUL PRO BRASIL</t>
  </si>
  <si>
    <t>TAPA DE CUADRIL DESDE 1,5 KG CONG CLL BRASIL</t>
  </si>
  <si>
    <t>TAPA DE CUADRIL DESDE 1,5 KG CONG PUL BRASIL</t>
  </si>
  <si>
    <t>TAPA DE CUADRIL ENF BALADI ISRAEL JALAK</t>
  </si>
  <si>
    <t>TAPA DE CUADRIL ENF CLL ANGUS CEE 481</t>
  </si>
  <si>
    <t>TAPA DE CUADRIL ENF CLL ANGUS CEE NH</t>
  </si>
  <si>
    <t>TAPA DE CUADRIL ENF CLL CHILE "V"</t>
  </si>
  <si>
    <t>TAPA DE CUADRIL ENF CLL ECUADOR</t>
  </si>
  <si>
    <t>TAPA DE CUADRIL ENF CLL RESTAURANT LOCAL</t>
  </si>
  <si>
    <t>TAPA DE CUADRIL ENF CLL SENEGAL</t>
  </si>
  <si>
    <t>TAPA DE CUADRIL ENF P/VENTA LOCAL (A)    </t>
  </si>
  <si>
    <t xml:space="preserve">TAPA DE CUADRIL ENF P/VENTA LOCAL (B).   </t>
  </si>
  <si>
    <t xml:space="preserve">TAPA DE CUADRIL ENF PUL PRO CHILE "V" </t>
  </si>
  <si>
    <t>TAPA DE CUADRIL ENF PUL PRO CHILE "V"  "W"</t>
  </si>
  <si>
    <t>TAPA DE CUADRIL ENF SWIFT BLACK</t>
  </si>
  <si>
    <t>TAPA DE CUADRIL ENF TOTTUS BLACK CHILE "V"</t>
  </si>
  <si>
    <t>TAPA DE CUADRIL ENF TOTTUS CHILE "V"</t>
  </si>
  <si>
    <t>TAPA DE CUADRIL HASTA 1,5 KG  CONG PUL SELECTION BRASIL - VP</t>
  </si>
  <si>
    <t>TAPA DE CUADRIL HASTA 1,5 KG CONG CLL BRASIL</t>
  </si>
  <si>
    <t>TAPA DE CUADRIL HASTA 1,5 KG CONG PUL BRASIL</t>
  </si>
  <si>
    <t>TAPA DE CUADRIL HASTA 1,5KG UP MAD/CONG CLL BLACK BRASIL</t>
  </si>
  <si>
    <t>TAPA DE CUADRIL MAD/CONG APBA CHILE "V"</t>
  </si>
  <si>
    <t>TAPA DE CUADRIL MAD/CONG SWIFT BLACK</t>
  </si>
  <si>
    <t>TAPA DE NALGA CONG P/VENTA LOCAL</t>
  </si>
  <si>
    <t>TAPA DE NALGA</t>
  </si>
  <si>
    <t>TAPA DE NALGA ENF P/VENTA LOCAL</t>
  </si>
  <si>
    <t>TAPA DE NALGA ENF SWIFT (L)</t>
  </si>
  <si>
    <t>T-BONE CONG CLL RESTAURANT LOCAL</t>
  </si>
  <si>
    <t>T-BONE</t>
  </si>
  <si>
    <t>T-BONE CONG SWIFT BLACK</t>
  </si>
  <si>
    <t xml:space="preserve">T-BONE PORCIÓN CONG SWIFT BLACK </t>
  </si>
  <si>
    <t>T-BONE UNIDAD E-COMMERCE</t>
  </si>
  <si>
    <t>TENDON CONG MINERVA FOODS HK</t>
  </si>
  <si>
    <t>TENDON</t>
  </si>
  <si>
    <t>TESTICULOS CONGELADOS P/OTROS</t>
  </si>
  <si>
    <t>TESTICULOS</t>
  </si>
  <si>
    <t>TIRINHA BRASIL X 1,5KG</t>
  </si>
  <si>
    <t>TIRINHA BRASIL X 700G</t>
  </si>
  <si>
    <t>TIROIDES CONGELADAS P/OTROS</t>
  </si>
  <si>
    <t>TIREOIDES</t>
  </si>
  <si>
    <t>TOMAHAWK CONG SWIFT BLACK</t>
  </si>
  <si>
    <t>TOMAHAWK</t>
  </si>
  <si>
    <t>TOMAHAWK UNIDAD E-COMMERCE</t>
  </si>
  <si>
    <t>TORTUGUITA C/BANANITA ENF NOV P/VENTA LOCAL</t>
  </si>
  <si>
    <t>TORTUGUITA</t>
  </si>
  <si>
    <t>TORTUGUITA EN TROZO ENF TOTTUS CHILE "V"</t>
  </si>
  <si>
    <t>TORTUGUITA ENF PUL PRO CHILE "V"</t>
  </si>
  <si>
    <t>TORTUGUITA ENF PUL PRO CHILE "V" - W</t>
  </si>
  <si>
    <t>TORTUGUITA ENF PUL PRO CHILE "V" CS</t>
  </si>
  <si>
    <t>TRAQUEA CONG P/VENTA LOCAL</t>
  </si>
  <si>
    <t>TRAQUEA</t>
  </si>
  <si>
    <t>TRAQUEA CONG SWIFT VENTA LOCAL</t>
  </si>
  <si>
    <t>TRIMMING 60/40 CONG P/HAMBURGUESA EN CAJA</t>
  </si>
  <si>
    <t>TRIPA GORDA CONG SWIFT VENTA LOCAL</t>
  </si>
  <si>
    <t>TRIPA GORDA</t>
  </si>
  <si>
    <t>VACIO (RED MEAT)CONG CLL BRASIL MINERVA</t>
  </si>
  <si>
    <t>VACIO CONG NOVILLO P/VENTA LOCAL</t>
  </si>
  <si>
    <t>VACIO CONG P/VENTA LOCAL (L)</t>
  </si>
  <si>
    <t>VACÍO EN PORCIONES ENF SWIFT BLACK</t>
  </si>
  <si>
    <t>VACIO PORCIONADO</t>
  </si>
  <si>
    <t>VACIO EN PORCIONES NOV ENFRIADO PARA VENTA LOCAL (L)</t>
  </si>
  <si>
    <t>VACIO EN PORCIONES NOV SWIFT</t>
  </si>
  <si>
    <t>VACIO ENF CLL RESTAURANT LOCAL</t>
  </si>
  <si>
    <t>VACIO ENF P/VENTA LOCAL</t>
  </si>
  <si>
    <t>VACIO ENF SWIFT (L)</t>
  </si>
  <si>
    <t>VACÍO FINO CONG SWIFT BLACK</t>
  </si>
  <si>
    <t>VACIO FINO</t>
  </si>
  <si>
    <t>VACIO FINO ENF SWIFT BLACK</t>
  </si>
  <si>
    <t>VACÍO FINO UNIDAD E-COMMERCE</t>
  </si>
  <si>
    <t>VACÍO PULPON CONG SWIFT BLACK</t>
  </si>
  <si>
    <t>VACIO PULPON</t>
  </si>
  <si>
    <t>VACÍO PULPÓN E-COMMERCE</t>
  </si>
  <si>
    <t>VACIO PULPON ENF PUL PRO CN - VP</t>
  </si>
  <si>
    <t>VACIO PULPÓN ENF SWIFT BLACK</t>
  </si>
  <si>
    <t>VACÍO PULPÓN UNIDAD E-COMMERCE</t>
  </si>
  <si>
    <t>VEJIGA CONGELADA P/OTROS</t>
  </si>
  <si>
    <t>VEJIGA</t>
  </si>
  <si>
    <t>VERGALHO CONGELADO DE BOVINO MF BRASIL MINERVA</t>
  </si>
  <si>
    <t>X5000GR (CAL CH)</t>
  </si>
  <si>
    <t>X5000GR (CAL GR)</t>
  </si>
  <si>
    <t>X700GR</t>
  </si>
  <si>
    <t>COD CANAL COMERCIAL</t>
  </si>
  <si>
    <t>COD ORIGEN COMERCIAL</t>
  </si>
  <si>
    <t>COD LOCALIDAD</t>
  </si>
  <si>
    <t>COD CLASIFICACION COMERCIAL</t>
  </si>
  <si>
    <t>COD CLASE COMERCIAL</t>
  </si>
  <si>
    <t>COD CATEGORIA</t>
  </si>
  <si>
    <t>COD FAMILIA COMERCIAL</t>
  </si>
  <si>
    <t>COD SUBFAMILIA COMERCIAL</t>
  </si>
  <si>
    <t>COD MARCA</t>
  </si>
  <si>
    <t>COD CONSERVA</t>
  </si>
  <si>
    <t>PROCESED FOODS</t>
  </si>
  <si>
    <t xml:space="preserve">LOMO </t>
  </si>
  <si>
    <t>MEDALLONES</t>
  </si>
  <si>
    <t>COMERCIAL</t>
  </si>
  <si>
    <t>PROPRIO NACIONAL</t>
  </si>
  <si>
    <t>DELANTERO SIN HUESO</t>
  </si>
  <si>
    <t>BOVINO COMMODITY</t>
  </si>
  <si>
    <t>AGUJA BOVINO</t>
  </si>
  <si>
    <t>ROAST BEEF ENF P/VENTA LOCAL PORCIONADO</t>
  </si>
  <si>
    <t>ANGOSTO BOVINO</t>
  </si>
  <si>
    <t>BOLA DE LOMO BOVINO</t>
  </si>
  <si>
    <t>CADERA BOVINO</t>
  </si>
  <si>
    <t>CHARQUEO</t>
  </si>
  <si>
    <t xml:space="preserve">BOVINO PROCESSADOS </t>
  </si>
  <si>
    <t>TERCEIROS NACIONAIS</t>
  </si>
  <si>
    <t>CUADRADA BOVINO</t>
  </si>
  <si>
    <t>CUADRADA ENF P/VENTA LOCAL PORCIONADA</t>
  </si>
  <si>
    <t>ENTRAÑA FINA CONG P/VENTA LOCAL</t>
  </si>
  <si>
    <t>ENTRAÑA BOVINO</t>
  </si>
  <si>
    <t>ENTRAÑA FINA ENF P/VENTA LOCAL</t>
  </si>
  <si>
    <t>LOMO BOVINO</t>
  </si>
  <si>
    <t>MATAMBRE BOVINO</t>
  </si>
  <si>
    <t>MENUDENCIA BOVINO</t>
  </si>
  <si>
    <t>NALGA BOVINO</t>
  </si>
  <si>
    <t>PALETA BOVINO</t>
  </si>
  <si>
    <t>PECETO BOVINO</t>
  </si>
  <si>
    <t>PECHO BOVINO</t>
  </si>
  <si>
    <t>TAPAS</t>
  </si>
  <si>
    <t>RACAS BRITANICAS</t>
  </si>
  <si>
    <t>BOVINO PREMIUM</t>
  </si>
  <si>
    <t>RB CORTES COM HUESO</t>
  </si>
  <si>
    <t>TAPA DE CUADRIL BOVINO</t>
  </si>
  <si>
    <t>ENTRAÑA DEL CENTRO ENF SWIFT BLACK</t>
  </si>
  <si>
    <t>VACIO BOVINO</t>
  </si>
  <si>
    <t>ENTRAÑA FINA ENF SWIFT BLACK</t>
  </si>
  <si>
    <t>TAPA DE ASADO ENF P/VENTA LOCAL PORCIONADA</t>
  </si>
  <si>
    <t>TAPA DE ASADO BOVINO</t>
  </si>
  <si>
    <t>TAPA DE BIFE</t>
  </si>
  <si>
    <t>TAPA DE NALGA BOVINO</t>
  </si>
  <si>
    <t>TORTUGA BOVINO</t>
  </si>
  <si>
    <t>VACIO ENF P/VENTA LOCAL PORCIONADO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</si>
</sst>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rgb="FFFFFFFF"/>
      <name val="Montserrat"/>
    </font>
    <font>
      <sz val="11"/>
      <name val="Montserrat"/>
    </font>
    <font>
      <b/>
      <sz val="11"/>
      <color theme="1"/>
      <name val="Montserrat"/>
    </font>
    <font>
      <sz val="8"/>
      <color rgb="FF484644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6CADDE"/>
        <bgColor theme="5" tint="0.79992065187536243"/>
      </patternFill>
    </fill>
    <fill>
      <patternFill patternType="solid">
        <fgColor rgb="FFFFFFFF"/>
        <bgColor indexed="8"/>
      </patternFill>
    </fill>
    <fill>
      <patternFill patternType="solid">
        <fgColor theme="8"/>
        <bgColor theme="5" tint="0.79992065187536243"/>
      </patternFill>
    </fill>
  </fills>
  <borders count="21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 style="medium">
        <color rgb="FFFFC000"/>
      </bottom>
      <diagonal/>
    </border>
    <border>
      <left style="thick">
        <color rgb="FFFFFFFF"/>
      </left>
      <right style="thick">
        <color rgb="FFFFFFFF"/>
      </right>
      <top/>
      <bottom style="medium">
        <color rgb="FFFFC000"/>
      </bottom>
      <diagonal/>
    </border>
    <border>
      <left style="thick">
        <color rgb="FFFFFFFF"/>
      </left>
      <right/>
      <top/>
      <bottom style="medium">
        <color rgb="FFFFC000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hair">
        <color rgb="FFFFC000"/>
      </left>
      <right/>
      <top/>
      <bottom/>
      <diagonal/>
    </border>
    <border>
      <left/>
      <right style="hair">
        <color rgb="FFFFC000"/>
      </right>
      <top/>
      <bottom/>
      <diagonal/>
    </border>
    <border>
      <left/>
      <right style="hair">
        <color rgb="FFFFC000"/>
      </right>
      <top style="medium">
        <color rgb="FFFFC000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theme="4"/>
      </bottom>
      <diagonal/>
    </border>
    <border>
      <left style="thick">
        <color rgb="FFFFFFFF"/>
      </left>
      <right style="thick">
        <color rgb="FFFFFFFF"/>
      </right>
      <top style="thick">
        <color theme="4"/>
      </top>
      <bottom style="dotted">
        <color theme="8"/>
      </bottom>
      <diagonal/>
    </border>
    <border>
      <left style="thick">
        <color rgb="FFFFFFFF"/>
      </left>
      <right style="thick">
        <color rgb="FFFFFFFF"/>
      </right>
      <top style="dotted">
        <color theme="8"/>
      </top>
      <bottom style="dotted">
        <color theme="8"/>
      </bottom>
      <diagonal/>
    </border>
    <border>
      <left style="thick">
        <color rgb="FFFFFFFF"/>
      </left>
      <right style="thick">
        <color rgb="FFFFFFFF"/>
      </right>
      <top/>
      <bottom style="dotted">
        <color theme="8"/>
      </bottom>
      <diagonal/>
    </border>
  </borders>
  <cellStyleXfs count="2">
    <xf numFmtId="0" fontId="0" fillId="0" borderId="0"/>
    <xf numFmtId="0" fontId="5" fillId="3" borderId="0" applyNumberFormat="0" applyFont="0" applyFill="0" applyBorder="0" applyAlignment="0" applyProtection="0">
      <alignment horizontal="left" vertical="top" wrapText="1"/>
    </xf>
  </cellStyleXfs>
  <cellXfs count="49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4" xfId="0" applyFont="1" applyBorder="1"/>
    <xf numFmtId="0" fontId="1" fillId="0" borderId="15" xfId="0" applyFont="1" applyBorder="1"/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2" fillId="4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0" fillId="0" borderId="13" xfId="0" applyBorder="1"/>
    <xf numFmtId="0" fontId="4" fillId="0" borderId="20" xfId="0" applyFont="1" applyBorder="1" applyAlignment="1">
      <alignment horizontal="center" vertical="center"/>
    </xf>
  </cellXfs>
  <cellStyles count="2">
    <cellStyle name="Normal" xfId="0" builtinId="0"/>
    <cellStyle name="Normal 2" xfId="1" xr:uid="{DFAD768D-F43A-403D-A087-1382274BAF2A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  <border diagonalUp="0" diagonalDown="0">
        <left style="thick">
          <color rgb="FFFFFFFF"/>
        </left>
        <right/>
        <top style="thick">
          <color rgb="FFFFFFFF"/>
        </top>
        <bottom style="thick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border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border outline="0">
        <bottom style="medium">
          <color rgb="FFFFC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ontserrat"/>
        <scheme val="none"/>
      </font>
      <fill>
        <patternFill patternType="solid">
          <fgColor theme="5" tint="0.79992065187536243"/>
          <bgColor rgb="FF6CADDE"/>
        </patternFill>
      </fill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</dxf>
    <dxf>
      <border outline="0">
        <top style="thick">
          <color rgb="FFFFFFFF"/>
        </top>
      </border>
    </dxf>
    <dxf>
      <font>
        <strike val="0"/>
        <outline val="0"/>
        <shadow val="0"/>
        <u val="none"/>
        <vertAlign val="baseline"/>
        <sz val="11"/>
        <name val="Montserrat"/>
        <scheme val="none"/>
      </font>
    </dxf>
    <dxf>
      <border outline="0"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ontserrat"/>
        <scheme val="none"/>
      </font>
      <fill>
        <patternFill patternType="solid">
          <fgColor theme="5" tint="0.79992065187536243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ck">
          <color rgb="FFFFFFFF"/>
        </left>
        <right style="thick">
          <color rgb="FFFFFFFF"/>
        </right>
        <top style="dotted">
          <color rgb="FFFFC000"/>
        </top>
        <bottom style="dotted">
          <color rgb="FFFFC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ck">
          <color rgb="FFFFFFFF"/>
        </left>
        <right style="thick">
          <color rgb="FFFFFFFF"/>
        </right>
        <top style="dotted">
          <color theme="8"/>
        </top>
        <bottom style="dotted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ck">
          <color rgb="FFFFFFFF"/>
        </left>
        <right style="thick">
          <color rgb="FFFFFFFF"/>
        </right>
        <top style="dotted">
          <color theme="8"/>
        </top>
        <bottom style="dotted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>
        <left style="thick">
          <color rgb="FFFFFFFF"/>
        </left>
        <right style="thick">
          <color rgb="FFFFFFFF"/>
        </right>
        <top style="dotted">
          <color theme="8"/>
        </top>
        <bottom style="dotted">
          <color theme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ck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FFFFFF"/>
        </left>
        <right/>
        <top style="thick">
          <color rgb="FFFFFFFF"/>
        </top>
        <bottom style="thick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border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border outline="0">
        <bottom style="thick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Montserrat"/>
        <scheme val="none"/>
      </font>
      <fill>
        <patternFill patternType="solid">
          <fgColor theme="5" tint="0.79992065187536243"/>
          <bgColor theme="8"/>
        </patternFill>
      </fill>
      <alignment horizontal="left" vertical="center" textRotation="0" wrapText="0" indent="0" justifyLastLine="0" shrinkToFit="0" readingOrder="0"/>
      <border diagonalUp="0" diagonalDown="0" outline="0">
        <left style="thick">
          <color rgb="FFFFFFFF"/>
        </left>
        <right style="thick">
          <color rgb="FFFFFFFF"/>
        </right>
        <top/>
        <bottom/>
      </border>
    </dxf>
  </dxfs>
  <tableStyles count="0" defaultTableStyle="TableStyleMedium2" defaultPivotStyle="PivotStyleLight16"/>
  <colors>
    <mruColors>
      <color rgb="FF6CADDE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777859</xdr:colOff>
      <xdr:row>1</xdr:row>
      <xdr:rowOff>132342</xdr:rowOff>
    </xdr:from>
    <xdr:to>
      <xdr:col>4</xdr:col>
      <xdr:colOff>1544059</xdr:colOff>
      <xdr:row>4</xdr:row>
      <xdr:rowOff>154494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5587ECF-A397-4B01-85EC-7CC06881AC8D}"/>
            </a:ext>
          </a:extLst>
        </xdr:cNvPr>
        <xdr:cNvSpPr/>
      </xdr:nvSpPr>
      <xdr:spPr>
        <a:xfrm>
          <a:off x="2863834" y="371700"/>
          <a:ext cx="8517981" cy="67926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3600" b="1" baseline="0">
              <a:solidFill>
                <a:srgbClr val="000000"/>
              </a:solidFill>
              <a:latin typeface="Montserrat" panose="00000500000000000000" pitchFamily="2" charset="0"/>
            </a:rPr>
            <a:t>CLASIFICACIÓN DE PRODUCTOS</a:t>
          </a:r>
          <a:endParaRPr lang="es-419" sz="3600" b="1">
            <a:solidFill>
              <a:srgbClr val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absolute">
    <xdr:from>
      <xdr:col>1</xdr:col>
      <xdr:colOff>168314</xdr:colOff>
      <xdr:row>1</xdr:row>
      <xdr:rowOff>131823</xdr:rowOff>
    </xdr:from>
    <xdr:to>
      <xdr:col>1</xdr:col>
      <xdr:colOff>1045301</xdr:colOff>
      <xdr:row>4</xdr:row>
      <xdr:rowOff>91532</xdr:rowOff>
    </xdr:to>
    <xdr:pic>
      <xdr:nvPicPr>
        <xdr:cNvPr id="4" name="Gráfico 3">
          <a:extLst>
            <a:ext uri="{FF2B5EF4-FFF2-40B4-BE49-F238E27FC236}">
              <a16:creationId xmlns:a16="http://schemas.microsoft.com/office/drawing/2014/main" id="{620E19F5-8917-43F2-94EC-526F591A4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06171" y="355941"/>
          <a:ext cx="876987" cy="632062"/>
        </a:xfrm>
        <a:prstGeom prst="rect">
          <a:avLst/>
        </a:prstGeom>
      </xdr:spPr>
    </xdr:pic>
    <xdr:clientData/>
  </xdr:twoCellAnchor>
  <xdr:twoCellAnchor editAs="absolute">
    <xdr:from>
      <xdr:col>1</xdr:col>
      <xdr:colOff>1277780</xdr:colOff>
      <xdr:row>1</xdr:row>
      <xdr:rowOff>0</xdr:rowOff>
    </xdr:from>
    <xdr:to>
      <xdr:col>1</xdr:col>
      <xdr:colOff>1277780</xdr:colOff>
      <xdr:row>5</xdr:row>
      <xdr:rowOff>15868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BD23B76F-8F62-44CE-A6F9-AC318B0D1306}"/>
            </a:ext>
          </a:extLst>
        </xdr:cNvPr>
        <xdr:cNvCxnSpPr/>
      </xdr:nvCxnSpPr>
      <xdr:spPr>
        <a:xfrm>
          <a:off x="1613732" y="224118"/>
          <a:ext cx="0" cy="912338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1337312</xdr:colOff>
      <xdr:row>0</xdr:row>
      <xdr:rowOff>169994</xdr:rowOff>
    </xdr:from>
    <xdr:to>
      <xdr:col>2</xdr:col>
      <xdr:colOff>824753</xdr:colOff>
      <xdr:row>5</xdr:row>
      <xdr:rowOff>15831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9D00729-E3A2-4EF8-BDF6-CCF21302EF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78829" b="20065"/>
        <a:stretch/>
      </xdr:blipFill>
      <xdr:spPr>
        <a:xfrm>
          <a:off x="1677971" y="169994"/>
          <a:ext cx="1235558" cy="101124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288451</xdr:colOff>
      <xdr:row>2</xdr:row>
      <xdr:rowOff>78158</xdr:rowOff>
    </xdr:from>
    <xdr:to>
      <xdr:col>10</xdr:col>
      <xdr:colOff>708659</xdr:colOff>
      <xdr:row>4</xdr:row>
      <xdr:rowOff>114529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D9E0351-45F0-42EC-B13F-7DE936D12CD4}"/>
            </a:ext>
          </a:extLst>
        </xdr:cNvPr>
        <xdr:cNvSpPr/>
      </xdr:nvSpPr>
      <xdr:spPr>
        <a:xfrm>
          <a:off x="2699229" y="506783"/>
          <a:ext cx="10897708" cy="46499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3600" b="1" baseline="0">
              <a:solidFill>
                <a:srgbClr val="000000"/>
              </a:solidFill>
              <a:latin typeface="Montserrat" panose="00000500000000000000" pitchFamily="2" charset="0"/>
            </a:rPr>
            <a:t>CODIGOS CLASIFICACIÓN DE PRODUCTOS</a:t>
          </a:r>
          <a:endParaRPr lang="es-419" sz="3600" b="1">
            <a:solidFill>
              <a:srgbClr val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absolute">
    <xdr:from>
      <xdr:col>1</xdr:col>
      <xdr:colOff>59531</xdr:colOff>
      <xdr:row>1</xdr:row>
      <xdr:rowOff>171659</xdr:rowOff>
    </xdr:from>
    <xdr:to>
      <xdr:col>1</xdr:col>
      <xdr:colOff>936518</xdr:colOff>
      <xdr:row>4</xdr:row>
      <xdr:rowOff>132209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E6061DDA-975D-4C03-8047-854813C8D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00062" y="374542"/>
          <a:ext cx="876987" cy="630157"/>
        </a:xfrm>
        <a:prstGeom prst="rect">
          <a:avLst/>
        </a:prstGeom>
      </xdr:spPr>
    </xdr:pic>
    <xdr:clientData/>
  </xdr:twoCellAnchor>
  <xdr:twoCellAnchor editAs="absolute">
    <xdr:from>
      <xdr:col>1</xdr:col>
      <xdr:colOff>1161377</xdr:colOff>
      <xdr:row>1</xdr:row>
      <xdr:rowOff>18881</xdr:rowOff>
    </xdr:from>
    <xdr:to>
      <xdr:col>1</xdr:col>
      <xdr:colOff>1161377</xdr:colOff>
      <xdr:row>5</xdr:row>
      <xdr:rowOff>93019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7E5A370F-97EB-4212-9F91-845EEB4BFA83}"/>
            </a:ext>
          </a:extLst>
        </xdr:cNvPr>
        <xdr:cNvCxnSpPr/>
      </xdr:nvCxnSpPr>
      <xdr:spPr>
        <a:xfrm>
          <a:off x="1601908" y="244624"/>
          <a:ext cx="0" cy="910433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1222814</xdr:colOff>
      <xdr:row>0</xdr:row>
      <xdr:rowOff>190500</xdr:rowOff>
    </xdr:from>
    <xdr:to>
      <xdr:col>2</xdr:col>
      <xdr:colOff>431090</xdr:colOff>
      <xdr:row>5</xdr:row>
      <xdr:rowOff>83457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DE3B5D2-A32F-4F77-9619-7051A5479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78829" b="20065"/>
        <a:stretch/>
      </xdr:blipFill>
      <xdr:spPr>
        <a:xfrm>
          <a:off x="1663345" y="190500"/>
          <a:ext cx="1172808" cy="96452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412924</xdr:colOff>
      <xdr:row>0</xdr:row>
      <xdr:rowOff>186306</xdr:rowOff>
    </xdr:from>
    <xdr:to>
      <xdr:col>4</xdr:col>
      <xdr:colOff>1326272</xdr:colOff>
      <xdr:row>4</xdr:row>
      <xdr:rowOff>37882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82A35F-7486-4C8B-A17D-E875F20F78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8829" b="20065"/>
        <a:stretch/>
      </xdr:blipFill>
      <xdr:spPr>
        <a:xfrm>
          <a:off x="8543464" y="186306"/>
          <a:ext cx="913348" cy="765976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absolute">
    <xdr:from>
      <xdr:col>1</xdr:col>
      <xdr:colOff>1677243</xdr:colOff>
      <xdr:row>1</xdr:row>
      <xdr:rowOff>199070</xdr:rowOff>
    </xdr:from>
    <xdr:to>
      <xdr:col>4</xdr:col>
      <xdr:colOff>160867</xdr:colOff>
      <xdr:row>3</xdr:row>
      <xdr:rowOff>189721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D576ADF-0308-40AB-A19C-9A4C37F32253}"/>
            </a:ext>
          </a:extLst>
        </xdr:cNvPr>
        <xdr:cNvSpPr/>
      </xdr:nvSpPr>
      <xdr:spPr>
        <a:xfrm>
          <a:off x="2286843" y="427670"/>
          <a:ext cx="6004564" cy="44785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2400" b="1" baseline="0">
              <a:solidFill>
                <a:srgbClr val="000000"/>
              </a:solidFill>
              <a:latin typeface="Montserrat" panose="00000500000000000000" pitchFamily="2" charset="0"/>
            </a:rPr>
            <a:t>CLASIFICACIÓN DE PRODUCTOS MI</a:t>
          </a:r>
          <a:endParaRPr lang="es-419" sz="2400" b="1">
            <a:solidFill>
              <a:srgbClr val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absolute">
    <xdr:from>
      <xdr:col>1</xdr:col>
      <xdr:colOff>114300</xdr:colOff>
      <xdr:row>1</xdr:row>
      <xdr:rowOff>127617</xdr:rowOff>
    </xdr:from>
    <xdr:to>
      <xdr:col>1</xdr:col>
      <xdr:colOff>1541398</xdr:colOff>
      <xdr:row>3</xdr:row>
      <xdr:rowOff>202653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C3448A3-531D-43F8-9026-C270C5019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356217"/>
          <a:ext cx="1427098" cy="5322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heus.luz\AppData\Local\Microsoft\Olk\Attachments\ooa-861afd96-f781-41c6-beab-b580268c67fe\0900c87991a34be567e88be86f6b6e370e9e55928b5364cdb397b1c74fb1179b\Clasificaci&#243;n%20Comercial%20IND%20AR%202025_07_29.xlsx" TargetMode="External"/><Relationship Id="rId1" Type="http://schemas.openxmlformats.org/officeDocument/2006/relationships/externalLinkPath" Target="file:///C:\Users\matheus.luz\AppData\Local\Microsoft\Olk\Attachments\ooa-861afd96-f781-41c6-beab-b580268c67fe\0900c87991a34be567e88be86f6b6e370e9e55928b5364cdb397b1c74fb1179b\Clasificaci&#243;n%20Comercial%20IND%20AR%202025_07_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 AR"/>
    </sheetNames>
    <sheetDataSet>
      <sheetData sheetId="0">
        <row r="1">
          <cell r="A1" t="str">
            <v>Item Venda</v>
          </cell>
          <cell r="T1" t="str">
            <v>Descrição9</v>
          </cell>
        </row>
        <row r="2">
          <cell r="A2">
            <v>100021632</v>
          </cell>
          <cell r="T2" t="str">
            <v>HAMBURGUESAS</v>
          </cell>
        </row>
        <row r="3">
          <cell r="A3">
            <v>100021652</v>
          </cell>
          <cell r="T3" t="str">
            <v>HAMBURGUESAS</v>
          </cell>
        </row>
        <row r="4">
          <cell r="A4">
            <v>100021631</v>
          </cell>
          <cell r="T4" t="str">
            <v>HAMBURGUESAS</v>
          </cell>
        </row>
        <row r="5">
          <cell r="A5">
            <v>100021630</v>
          </cell>
          <cell r="T5" t="str">
            <v>HAMBURGUESAS</v>
          </cell>
        </row>
        <row r="6">
          <cell r="A6">
            <v>100021676</v>
          </cell>
          <cell r="T6" t="str">
            <v>HAMBURGUESAS</v>
          </cell>
        </row>
        <row r="7">
          <cell r="A7">
            <v>100516008</v>
          </cell>
          <cell r="T7" t="str">
            <v>HAMBURGUESAS</v>
          </cell>
        </row>
        <row r="8">
          <cell r="A8">
            <v>100021664</v>
          </cell>
          <cell r="T8" t="str">
            <v>HAMBURGUESAS</v>
          </cell>
        </row>
        <row r="9">
          <cell r="A9">
            <v>100021680</v>
          </cell>
          <cell r="T9" t="str">
            <v>HAMBURGUESAS</v>
          </cell>
        </row>
        <row r="10">
          <cell r="A10">
            <v>100518095</v>
          </cell>
          <cell r="T10" t="str">
            <v>HAMBURGUESAS</v>
          </cell>
        </row>
        <row r="11">
          <cell r="A11">
            <v>100518223</v>
          </cell>
          <cell r="T11" t="str">
            <v>HAMBURGUESAS</v>
          </cell>
        </row>
        <row r="12">
          <cell r="A12">
            <v>100517438</v>
          </cell>
          <cell r="T12" t="str">
            <v>HAMBURGUESAS</v>
          </cell>
        </row>
        <row r="13">
          <cell r="A13">
            <v>100517046</v>
          </cell>
          <cell r="T13" t="str">
            <v>HAMBURGUESAS</v>
          </cell>
        </row>
        <row r="14">
          <cell r="A14">
            <v>100516979</v>
          </cell>
          <cell r="T14" t="str">
            <v>HAMBURGUESAS</v>
          </cell>
        </row>
        <row r="15">
          <cell r="A15">
            <v>100517522</v>
          </cell>
          <cell r="T15" t="str">
            <v>HAMBURGUESAS</v>
          </cell>
        </row>
        <row r="16">
          <cell r="A16">
            <v>100517525</v>
          </cell>
          <cell r="T16" t="str">
            <v>HAMBURGUESAS</v>
          </cell>
        </row>
        <row r="17">
          <cell r="A17">
            <v>100517523</v>
          </cell>
          <cell r="T17" t="str">
            <v>HAMBURGUESAS</v>
          </cell>
        </row>
        <row r="18">
          <cell r="A18">
            <v>100518195</v>
          </cell>
          <cell r="T18" t="str">
            <v>HAMBURGUESAS</v>
          </cell>
        </row>
        <row r="19">
          <cell r="A19">
            <v>100518343</v>
          </cell>
          <cell r="T19" t="str">
            <v>HAMBURGUESAS</v>
          </cell>
        </row>
        <row r="20">
          <cell r="A20">
            <v>100517526</v>
          </cell>
          <cell r="T20" t="str">
            <v>MEDALLON BOVINO</v>
          </cell>
        </row>
        <row r="21">
          <cell r="A21">
            <v>100518163</v>
          </cell>
          <cell r="T21" t="str">
            <v>HAMBURGUESAS</v>
          </cell>
        </row>
        <row r="22">
          <cell r="A22">
            <v>100520834</v>
          </cell>
          <cell r="T22" t="str">
            <v>HAMBURGUESAS</v>
          </cell>
        </row>
        <row r="23">
          <cell r="A23">
            <v>100520851</v>
          </cell>
          <cell r="T23" t="str">
            <v>HAMBURGUESAS</v>
          </cell>
        </row>
        <row r="24">
          <cell r="A24">
            <v>100522168</v>
          </cell>
          <cell r="T24" t="str">
            <v>HAMBURGUESAS</v>
          </cell>
        </row>
        <row r="25">
          <cell r="A25">
            <v>100522161</v>
          </cell>
          <cell r="T25" t="str">
            <v>HAMBURGUESAS</v>
          </cell>
        </row>
        <row r="26">
          <cell r="A26">
            <v>100021503</v>
          </cell>
          <cell r="T26" t="str">
            <v>MEDALLON BOVINO</v>
          </cell>
        </row>
        <row r="27">
          <cell r="A27">
            <v>100021514</v>
          </cell>
          <cell r="T27" t="str">
            <v>MEDALLON BOVINO</v>
          </cell>
        </row>
        <row r="28">
          <cell r="A28">
            <v>100021643</v>
          </cell>
          <cell r="T28" t="str">
            <v>MEDALLON BOVINO</v>
          </cell>
        </row>
        <row r="29">
          <cell r="A29">
            <v>100516325</v>
          </cell>
          <cell r="T29" t="str">
            <v>MEDALLON BOVINO</v>
          </cell>
        </row>
        <row r="30">
          <cell r="A30">
            <v>100021530</v>
          </cell>
          <cell r="T30" t="str">
            <v>MEDALLON BOVINO</v>
          </cell>
        </row>
        <row r="31">
          <cell r="A31">
            <v>100518346</v>
          </cell>
          <cell r="T31" t="str">
            <v>MEDALLON BOVINO</v>
          </cell>
        </row>
        <row r="32">
          <cell r="A32">
            <v>100021638</v>
          </cell>
          <cell r="T32" t="str">
            <v>MEDALLON BOVINO</v>
          </cell>
        </row>
        <row r="33">
          <cell r="A33">
            <v>100021653</v>
          </cell>
          <cell r="T33" t="str">
            <v>MEDALLON BOVINO</v>
          </cell>
        </row>
        <row r="34">
          <cell r="A34">
            <v>100021575</v>
          </cell>
          <cell r="T34" t="str">
            <v>MEDALLON BOVINO</v>
          </cell>
        </row>
        <row r="35">
          <cell r="A35">
            <v>100516208</v>
          </cell>
          <cell r="T35" t="str">
            <v>MEDALLON BOVINO</v>
          </cell>
        </row>
        <row r="36">
          <cell r="A36">
            <v>100516191</v>
          </cell>
          <cell r="T36" t="str">
            <v>MEDALLON BOVINO</v>
          </cell>
        </row>
        <row r="37">
          <cell r="A37">
            <v>100516169</v>
          </cell>
          <cell r="T37" t="str">
            <v>MEDALLON BOVINO</v>
          </cell>
        </row>
        <row r="38">
          <cell r="A38">
            <v>100516170</v>
          </cell>
          <cell r="T38" t="str">
            <v>MEDALLON BOVINO</v>
          </cell>
        </row>
        <row r="39">
          <cell r="A39">
            <v>100021644</v>
          </cell>
          <cell r="T39" t="str">
            <v>MEDALLON BOVINO</v>
          </cell>
        </row>
        <row r="40">
          <cell r="A40">
            <v>100021677</v>
          </cell>
          <cell r="T40" t="str">
            <v>MEDALLON BOVINO</v>
          </cell>
        </row>
        <row r="41">
          <cell r="A41">
            <v>100516201</v>
          </cell>
          <cell r="T41" t="str">
            <v>MEDALLON BOVINO</v>
          </cell>
        </row>
        <row r="42">
          <cell r="A42">
            <v>100520337</v>
          </cell>
          <cell r="T42" t="str">
            <v>MEDALLON BOVINO</v>
          </cell>
        </row>
        <row r="43">
          <cell r="A43">
            <v>100521173</v>
          </cell>
          <cell r="T43" t="str">
            <v>MEDALLON BOVINO</v>
          </cell>
        </row>
        <row r="44">
          <cell r="A44">
            <v>100521169</v>
          </cell>
          <cell r="T44" t="str">
            <v>MEDALLON BOVINO</v>
          </cell>
        </row>
        <row r="45">
          <cell r="A45">
            <v>100021665</v>
          </cell>
          <cell r="T45" t="str">
            <v>HAMBURGUESAS</v>
          </cell>
        </row>
        <row r="46">
          <cell r="A46">
            <v>100021667</v>
          </cell>
          <cell r="T46" t="str">
            <v>HAMBURGUESAS</v>
          </cell>
        </row>
        <row r="47">
          <cell r="A47">
            <v>100516431</v>
          </cell>
          <cell r="T47" t="str">
            <v>HAMBURGUESAS</v>
          </cell>
        </row>
        <row r="48">
          <cell r="A48">
            <v>100516023</v>
          </cell>
          <cell r="T48" t="str">
            <v>HAMBURGUESAS</v>
          </cell>
        </row>
        <row r="49">
          <cell r="A49">
            <v>100516066</v>
          </cell>
          <cell r="T49" t="str">
            <v>HAMBURGUESAS</v>
          </cell>
        </row>
        <row r="50">
          <cell r="A50">
            <v>100516067</v>
          </cell>
          <cell r="T50" t="str">
            <v>HAMBURGUESAS</v>
          </cell>
        </row>
        <row r="51">
          <cell r="A51">
            <v>100516359</v>
          </cell>
          <cell r="T51" t="str">
            <v>HAMBURGUESAS</v>
          </cell>
        </row>
        <row r="52">
          <cell r="A52">
            <v>100516207</v>
          </cell>
          <cell r="T52" t="str">
            <v>HAMBURGUESAS</v>
          </cell>
        </row>
        <row r="53">
          <cell r="A53">
            <v>100516152</v>
          </cell>
          <cell r="T53" t="str">
            <v>HAMBURGUESAS</v>
          </cell>
        </row>
        <row r="54">
          <cell r="A54" t="str">
            <v>100021680-1</v>
          </cell>
          <cell r="T54" t="str">
            <v>HAMBURGUESAS</v>
          </cell>
        </row>
        <row r="55">
          <cell r="A55">
            <v>100517119</v>
          </cell>
          <cell r="T55" t="str">
            <v>HAMBURGUESAS</v>
          </cell>
        </row>
        <row r="56">
          <cell r="A56">
            <v>100519380</v>
          </cell>
          <cell r="T56" t="str">
            <v>HAMBURGUESAS</v>
          </cell>
        </row>
        <row r="57">
          <cell r="A57">
            <v>100518406</v>
          </cell>
          <cell r="T57" t="str">
            <v>HAMBURGUESAS</v>
          </cell>
        </row>
        <row r="58">
          <cell r="A58">
            <v>100517674</v>
          </cell>
          <cell r="T58" t="str">
            <v>MEDALLON BOVINO</v>
          </cell>
        </row>
        <row r="59">
          <cell r="A59">
            <v>100517670</v>
          </cell>
          <cell r="T59" t="str">
            <v>HAMBURGUESAS</v>
          </cell>
        </row>
        <row r="60">
          <cell r="A60">
            <v>100517668</v>
          </cell>
          <cell r="T60" t="str">
            <v>HAMBURGUESAS</v>
          </cell>
        </row>
        <row r="61">
          <cell r="A61">
            <v>100518435</v>
          </cell>
          <cell r="T61" t="str">
            <v>HAMBURGUESAS</v>
          </cell>
        </row>
        <row r="62">
          <cell r="A62">
            <v>100517898</v>
          </cell>
          <cell r="T62" t="str">
            <v>HAMBURGUESAS</v>
          </cell>
        </row>
        <row r="63">
          <cell r="A63">
            <v>100518618</v>
          </cell>
          <cell r="T63" t="str">
            <v>HAMBURGUESAS</v>
          </cell>
        </row>
        <row r="64">
          <cell r="A64">
            <v>100520446</v>
          </cell>
          <cell r="T64" t="str">
            <v>HAMBURGUESAS</v>
          </cell>
        </row>
        <row r="65">
          <cell r="A65">
            <v>100520323</v>
          </cell>
          <cell r="T65" t="str">
            <v>HAMBURGUESAS</v>
          </cell>
        </row>
        <row r="66">
          <cell r="A66">
            <v>100520324</v>
          </cell>
          <cell r="T66" t="str">
            <v>HAMBURGUESAS</v>
          </cell>
        </row>
        <row r="67">
          <cell r="A67">
            <v>100521349</v>
          </cell>
          <cell r="T67" t="str">
            <v>MEDALLON BOVINO</v>
          </cell>
        </row>
        <row r="68">
          <cell r="A68">
            <v>100522137</v>
          </cell>
          <cell r="T68" t="str">
            <v>HAMBURGUESAS</v>
          </cell>
        </row>
        <row r="69">
          <cell r="A69">
            <v>100522183</v>
          </cell>
          <cell r="T69" t="str">
            <v>HAMBURGUESAS</v>
          </cell>
        </row>
        <row r="70">
          <cell r="A70">
            <v>100522186</v>
          </cell>
          <cell r="T70" t="str">
            <v>HAMBURGUESAS</v>
          </cell>
        </row>
        <row r="71">
          <cell r="A71">
            <v>100021669</v>
          </cell>
          <cell r="T71" t="str">
            <v>HAMBURGUESAS</v>
          </cell>
        </row>
        <row r="72">
          <cell r="A72">
            <v>100021670</v>
          </cell>
          <cell r="T72" t="str">
            <v>HAMBURGUESAS</v>
          </cell>
        </row>
        <row r="73">
          <cell r="A73">
            <v>100021671</v>
          </cell>
          <cell r="T73" t="str">
            <v>HAMBURGUESAS</v>
          </cell>
        </row>
        <row r="74">
          <cell r="A74">
            <v>100021647</v>
          </cell>
          <cell r="T74" t="str">
            <v>HAMBURGUESAS</v>
          </cell>
        </row>
        <row r="75">
          <cell r="A75">
            <v>100021648</v>
          </cell>
          <cell r="T75" t="str">
            <v>HAMBURGUESAS</v>
          </cell>
        </row>
        <row r="76">
          <cell r="A76">
            <v>100021649</v>
          </cell>
          <cell r="T76" t="str">
            <v>HAMBURGUESAS</v>
          </cell>
        </row>
        <row r="77">
          <cell r="A77">
            <v>100516789</v>
          </cell>
          <cell r="T77" t="str">
            <v>HAMBURGUESAS</v>
          </cell>
        </row>
        <row r="78">
          <cell r="A78">
            <v>100517176</v>
          </cell>
          <cell r="T78" t="str">
            <v>HAMBURGUESAS</v>
          </cell>
        </row>
        <row r="79">
          <cell r="A79">
            <v>100021626</v>
          </cell>
          <cell r="T79" t="str">
            <v>HAMBURGUESAS</v>
          </cell>
        </row>
        <row r="80">
          <cell r="A80">
            <v>100021627</v>
          </cell>
          <cell r="T80" t="str">
            <v>HAMBURGUESAS</v>
          </cell>
        </row>
        <row r="81">
          <cell r="A81">
            <v>100021625</v>
          </cell>
          <cell r="T81" t="str">
            <v>HAMBURGUESAS</v>
          </cell>
        </row>
        <row r="82">
          <cell r="A82">
            <v>100021658</v>
          </cell>
          <cell r="T82" t="str">
            <v>HAMBURGUESAS</v>
          </cell>
        </row>
        <row r="83">
          <cell r="A83">
            <v>100021659</v>
          </cell>
          <cell r="T83" t="str">
            <v>HAMBURGUESAS</v>
          </cell>
        </row>
        <row r="84">
          <cell r="A84">
            <v>100517184</v>
          </cell>
          <cell r="T84" t="str">
            <v>HAMBURGUESAS</v>
          </cell>
        </row>
        <row r="85">
          <cell r="A85">
            <v>100021650</v>
          </cell>
          <cell r="T85" t="str">
            <v>HAMBURGUESAS</v>
          </cell>
        </row>
        <row r="86">
          <cell r="A86">
            <v>100021651</v>
          </cell>
          <cell r="T86" t="str">
            <v>HAMBURGUESAS</v>
          </cell>
        </row>
        <row r="87">
          <cell r="A87">
            <v>100021657</v>
          </cell>
          <cell r="T87" t="str">
            <v>HAMBURGUESAS</v>
          </cell>
        </row>
        <row r="88">
          <cell r="A88">
            <v>100520976</v>
          </cell>
          <cell r="T88" t="str">
            <v>HAMBURGUESAS</v>
          </cell>
        </row>
        <row r="89">
          <cell r="A89">
            <v>100021673</v>
          </cell>
          <cell r="T89" t="str">
            <v>HAMBURGUESAS</v>
          </cell>
        </row>
        <row r="90">
          <cell r="A90">
            <v>100021675</v>
          </cell>
          <cell r="T90" t="str">
            <v>HAMBURGUESAS</v>
          </cell>
        </row>
        <row r="91">
          <cell r="A91">
            <v>100521104</v>
          </cell>
          <cell r="T91" t="str">
            <v>HAMBURGUESAS</v>
          </cell>
        </row>
        <row r="92">
          <cell r="A92">
            <v>100521098</v>
          </cell>
          <cell r="T92" t="str">
            <v>HAMBURGUESAS</v>
          </cell>
        </row>
        <row r="93">
          <cell r="A93">
            <v>100021000</v>
          </cell>
          <cell r="T93" t="str">
            <v>PATE</v>
          </cell>
        </row>
        <row r="94">
          <cell r="A94">
            <v>100021001</v>
          </cell>
          <cell r="T94" t="str">
            <v>PICADILLO</v>
          </cell>
        </row>
        <row r="95">
          <cell r="A95">
            <v>100522277</v>
          </cell>
          <cell r="T95" t="str">
            <v>ESPECIALIDAD</v>
          </cell>
        </row>
        <row r="96">
          <cell r="A96">
            <v>100021045</v>
          </cell>
          <cell r="T96" t="str">
            <v>ESPECIALIDAD</v>
          </cell>
        </row>
        <row r="97">
          <cell r="A97">
            <v>100021004</v>
          </cell>
          <cell r="T97" t="str">
            <v>ESPECIALIDAD</v>
          </cell>
        </row>
        <row r="98">
          <cell r="A98">
            <v>100021006</v>
          </cell>
          <cell r="T98" t="str">
            <v>ESPECIALIDAD</v>
          </cell>
        </row>
        <row r="99">
          <cell r="A99">
            <v>100021007</v>
          </cell>
          <cell r="T99" t="str">
            <v>GOURMET</v>
          </cell>
        </row>
        <row r="100">
          <cell r="A100">
            <v>100021008</v>
          </cell>
          <cell r="T100" t="str">
            <v>PICADILLO</v>
          </cell>
        </row>
        <row r="101">
          <cell r="A101">
            <v>100021009</v>
          </cell>
          <cell r="T101" t="str">
            <v>PATE</v>
          </cell>
        </row>
        <row r="102">
          <cell r="A102">
            <v>100021010</v>
          </cell>
          <cell r="T102" t="str">
            <v>PICADILLO</v>
          </cell>
        </row>
        <row r="103">
          <cell r="A103">
            <v>100021011</v>
          </cell>
          <cell r="T103" t="str">
            <v>PATE</v>
          </cell>
        </row>
        <row r="104">
          <cell r="A104">
            <v>100021013</v>
          </cell>
          <cell r="T104" t="str">
            <v>GOURMET</v>
          </cell>
        </row>
        <row r="105">
          <cell r="A105">
            <v>100021014</v>
          </cell>
          <cell r="T105" t="str">
            <v>GOURMET</v>
          </cell>
        </row>
        <row r="106">
          <cell r="A106">
            <v>100021015</v>
          </cell>
          <cell r="T106" t="str">
            <v>GOURMET</v>
          </cell>
        </row>
        <row r="107">
          <cell r="A107">
            <v>100021054</v>
          </cell>
          <cell r="T107" t="str">
            <v>GOURMET</v>
          </cell>
        </row>
        <row r="108">
          <cell r="A108">
            <v>100021055</v>
          </cell>
          <cell r="T108" t="str">
            <v>GOURMET</v>
          </cell>
        </row>
        <row r="109">
          <cell r="A109">
            <v>100517846</v>
          </cell>
          <cell r="T109" t="str">
            <v>GOURMET</v>
          </cell>
        </row>
        <row r="110">
          <cell r="A110">
            <v>100021133</v>
          </cell>
          <cell r="T110" t="str">
            <v>PICADILLO</v>
          </cell>
        </row>
        <row r="111">
          <cell r="A111">
            <v>100021134</v>
          </cell>
          <cell r="T111" t="str">
            <v>PATE</v>
          </cell>
        </row>
        <row r="112">
          <cell r="A112">
            <v>100021027</v>
          </cell>
          <cell r="T112" t="str">
            <v>PATE</v>
          </cell>
        </row>
        <row r="113">
          <cell r="A113">
            <v>100021028</v>
          </cell>
          <cell r="T113" t="str">
            <v>PICADILLO</v>
          </cell>
        </row>
        <row r="114">
          <cell r="A114">
            <v>100021044</v>
          </cell>
          <cell r="T114" t="str">
            <v>PICADILLO</v>
          </cell>
        </row>
        <row r="115">
          <cell r="A115">
            <v>100021012</v>
          </cell>
          <cell r="T115" t="str">
            <v>GOURMET</v>
          </cell>
        </row>
        <row r="116">
          <cell r="A116">
            <v>100518544</v>
          </cell>
          <cell r="T116" t="str">
            <v>PICADILLO</v>
          </cell>
        </row>
        <row r="117">
          <cell r="A117">
            <v>100518545</v>
          </cell>
          <cell r="T117" t="str">
            <v>PATE</v>
          </cell>
        </row>
        <row r="118">
          <cell r="A118">
            <v>100517549</v>
          </cell>
          <cell r="T118" t="str">
            <v>GOURMET</v>
          </cell>
        </row>
        <row r="119">
          <cell r="A119">
            <v>100517546</v>
          </cell>
          <cell r="T119" t="str">
            <v>GOURMET</v>
          </cell>
        </row>
        <row r="120">
          <cell r="A120">
            <v>100517545</v>
          </cell>
          <cell r="T120" t="str">
            <v>GOURMET</v>
          </cell>
        </row>
        <row r="121">
          <cell r="A121">
            <v>100517540</v>
          </cell>
          <cell r="T121" t="str">
            <v>PICADILLO</v>
          </cell>
        </row>
        <row r="122">
          <cell r="A122">
            <v>100517539</v>
          </cell>
          <cell r="T122" t="str">
            <v>PATE</v>
          </cell>
        </row>
        <row r="123">
          <cell r="A123">
            <v>100517548</v>
          </cell>
          <cell r="T123" t="str">
            <v>GOURMET</v>
          </cell>
        </row>
        <row r="124">
          <cell r="A124">
            <v>100517544</v>
          </cell>
          <cell r="T124" t="str">
            <v>GOURMET</v>
          </cell>
        </row>
        <row r="125">
          <cell r="A125">
            <v>100517543</v>
          </cell>
          <cell r="T125" t="str">
            <v>GOURMET</v>
          </cell>
        </row>
        <row r="126">
          <cell r="A126">
            <v>100517547</v>
          </cell>
          <cell r="T126" t="str">
            <v>GOURMET</v>
          </cell>
        </row>
        <row r="127">
          <cell r="A127">
            <v>100517541</v>
          </cell>
          <cell r="T127" t="str">
            <v>GOURMET</v>
          </cell>
        </row>
        <row r="128">
          <cell r="A128">
            <v>100517542</v>
          </cell>
          <cell r="T128" t="str">
            <v>GOURMET</v>
          </cell>
        </row>
        <row r="129">
          <cell r="A129">
            <v>100520326</v>
          </cell>
          <cell r="T129" t="str">
            <v>PICADILLO</v>
          </cell>
        </row>
        <row r="130">
          <cell r="A130">
            <v>100520325</v>
          </cell>
          <cell r="T130" t="str">
            <v>PATE</v>
          </cell>
        </row>
        <row r="131">
          <cell r="A131">
            <v>100522425</v>
          </cell>
          <cell r="T131" t="str">
            <v>PICADILLO</v>
          </cell>
        </row>
        <row r="132">
          <cell r="A132">
            <v>100522428</v>
          </cell>
          <cell r="T132" t="str">
            <v>PATE</v>
          </cell>
        </row>
        <row r="133">
          <cell r="A133">
            <v>100021029</v>
          </cell>
          <cell r="T133" t="str">
            <v>PICADILLO</v>
          </cell>
        </row>
        <row r="134">
          <cell r="A134">
            <v>100021135</v>
          </cell>
          <cell r="T134" t="str">
            <v>PICADILLO</v>
          </cell>
        </row>
        <row r="135">
          <cell r="A135">
            <v>100021138</v>
          </cell>
          <cell r="T135" t="str">
            <v>PICADILLO</v>
          </cell>
        </row>
        <row r="136">
          <cell r="A136">
            <v>100516947</v>
          </cell>
          <cell r="T136" t="str">
            <v>PATE</v>
          </cell>
        </row>
        <row r="137">
          <cell r="A137">
            <v>100516932</v>
          </cell>
          <cell r="T137" t="str">
            <v>PICADILLO</v>
          </cell>
        </row>
        <row r="138">
          <cell r="A138">
            <v>100516797</v>
          </cell>
          <cell r="T138" t="str">
            <v>PICADILLO</v>
          </cell>
        </row>
        <row r="139">
          <cell r="A139">
            <v>100520794</v>
          </cell>
          <cell r="T139" t="str">
            <v>PICADILLO</v>
          </cell>
        </row>
        <row r="140">
          <cell r="A140">
            <v>100520893</v>
          </cell>
          <cell r="T140" t="str">
            <v>PICADILLO</v>
          </cell>
        </row>
        <row r="141">
          <cell r="A141">
            <v>100519234</v>
          </cell>
          <cell r="T141" t="str">
            <v>PATE</v>
          </cell>
        </row>
        <row r="142">
          <cell r="A142">
            <v>100519233</v>
          </cell>
          <cell r="T142" t="str">
            <v>PICADILLO</v>
          </cell>
        </row>
        <row r="143">
          <cell r="A143">
            <v>100022039</v>
          </cell>
          <cell r="T143" t="str">
            <v>SALCHICHAS</v>
          </cell>
        </row>
        <row r="144">
          <cell r="A144">
            <v>100516731</v>
          </cell>
          <cell r="T144" t="str">
            <v>SALCHICHAS</v>
          </cell>
        </row>
        <row r="145">
          <cell r="A145">
            <v>100022058</v>
          </cell>
          <cell r="T145" t="str">
            <v>SALCHICHAS</v>
          </cell>
        </row>
        <row r="146">
          <cell r="A146">
            <v>100022072</v>
          </cell>
          <cell r="T146" t="str">
            <v>SALCHICHAS</v>
          </cell>
        </row>
        <row r="147">
          <cell r="A147">
            <v>100516849</v>
          </cell>
          <cell r="T147" t="str">
            <v>SALCHICHAS</v>
          </cell>
        </row>
        <row r="148">
          <cell r="A148">
            <v>100022085</v>
          </cell>
          <cell r="T148" t="str">
            <v>SALCHICHAS</v>
          </cell>
        </row>
        <row r="149">
          <cell r="A149">
            <v>100516981</v>
          </cell>
          <cell r="T149" t="str">
            <v>SALCHICHAS</v>
          </cell>
        </row>
        <row r="150">
          <cell r="A150">
            <v>100517127</v>
          </cell>
          <cell r="T150" t="str">
            <v>SALCHICHAS</v>
          </cell>
        </row>
        <row r="151">
          <cell r="A151">
            <v>100517532</v>
          </cell>
          <cell r="T151" t="str">
            <v>SALCHICHAS</v>
          </cell>
        </row>
        <row r="152">
          <cell r="A152">
            <v>100518151</v>
          </cell>
          <cell r="T152" t="str">
            <v>SALCHICHAS</v>
          </cell>
        </row>
        <row r="153">
          <cell r="A153">
            <v>100516363</v>
          </cell>
          <cell r="T153" t="str">
            <v>SALCHICHAS</v>
          </cell>
        </row>
        <row r="154">
          <cell r="A154">
            <v>100022089</v>
          </cell>
          <cell r="T154" t="str">
            <v>SALCHICHAS</v>
          </cell>
        </row>
        <row r="155">
          <cell r="A155">
            <v>100022080</v>
          </cell>
          <cell r="T155" t="str">
            <v>SALCHICHAS</v>
          </cell>
        </row>
        <row r="156">
          <cell r="A156">
            <v>100022081</v>
          </cell>
          <cell r="T156" t="str">
            <v>SALCHICHAS</v>
          </cell>
        </row>
        <row r="157">
          <cell r="A157">
            <v>100022014</v>
          </cell>
          <cell r="T157" t="str">
            <v>SALCHICHAS</v>
          </cell>
        </row>
        <row r="158">
          <cell r="A158">
            <v>100022086</v>
          </cell>
          <cell r="T158" t="str">
            <v>SALCHICHAS</v>
          </cell>
        </row>
        <row r="159">
          <cell r="A159">
            <v>100022087</v>
          </cell>
          <cell r="T159" t="str">
            <v>SALCHICHAS</v>
          </cell>
        </row>
        <row r="160">
          <cell r="A160">
            <v>100021704</v>
          </cell>
          <cell r="T160" t="str">
            <v>NUGGETS CARNE</v>
          </cell>
        </row>
        <row r="161">
          <cell r="A161">
            <v>100521663</v>
          </cell>
          <cell r="T161" t="str">
            <v>NUGGETS CARNE</v>
          </cell>
        </row>
        <row r="162">
          <cell r="A162">
            <v>100522130</v>
          </cell>
          <cell r="T162" t="str">
            <v>NUGGETS POLLO</v>
          </cell>
        </row>
        <row r="163">
          <cell r="A163">
            <v>100021705</v>
          </cell>
          <cell r="T163" t="str">
            <v>NUGGETS POLLO</v>
          </cell>
        </row>
        <row r="164">
          <cell r="A164">
            <v>100521357</v>
          </cell>
          <cell r="T164" t="str">
            <v>NUGGETS POLLO</v>
          </cell>
        </row>
        <row r="165">
          <cell r="A165">
            <v>100021707</v>
          </cell>
          <cell r="T165" t="str">
            <v>NUGGETS CARNE</v>
          </cell>
        </row>
        <row r="166">
          <cell r="A166">
            <v>100021709</v>
          </cell>
          <cell r="T166" t="str">
            <v>NUGGETS POLLO</v>
          </cell>
        </row>
        <row r="167">
          <cell r="A167">
            <v>100521358</v>
          </cell>
          <cell r="T167" t="str">
            <v>NUGGETS POLLO</v>
          </cell>
        </row>
        <row r="168">
          <cell r="A168">
            <v>100021725</v>
          </cell>
          <cell r="T168" t="str">
            <v>NUGGETS POLLO</v>
          </cell>
        </row>
        <row r="169">
          <cell r="A169">
            <v>100021728</v>
          </cell>
          <cell r="T169" t="str">
            <v>MEDALLON POLLO</v>
          </cell>
        </row>
        <row r="170">
          <cell r="A170">
            <v>100517679</v>
          </cell>
          <cell r="T170" t="str">
            <v>MEDALLON POLLO</v>
          </cell>
        </row>
        <row r="171">
          <cell r="A171">
            <v>100517055</v>
          </cell>
          <cell r="T171" t="str">
            <v>NUGGETS POLLO</v>
          </cell>
        </row>
        <row r="172">
          <cell r="A172">
            <v>100517186</v>
          </cell>
          <cell r="T172" t="str">
            <v>NUGGETS POLLO</v>
          </cell>
        </row>
        <row r="173">
          <cell r="A173">
            <v>100517383</v>
          </cell>
          <cell r="T173" t="str">
            <v>NUGGETS POLLO</v>
          </cell>
        </row>
        <row r="174">
          <cell r="A174">
            <v>100516976</v>
          </cell>
          <cell r="T174" t="str">
            <v>NUGGETS POLLO</v>
          </cell>
        </row>
        <row r="175">
          <cell r="A175">
            <v>100517520</v>
          </cell>
          <cell r="T175" t="str">
            <v>NUGGETS POLLO</v>
          </cell>
        </row>
        <row r="176">
          <cell r="A176">
            <v>100516977</v>
          </cell>
          <cell r="T176" t="str">
            <v>NUGGETS POLLO</v>
          </cell>
        </row>
        <row r="177">
          <cell r="A177">
            <v>100517519</v>
          </cell>
          <cell r="T177" t="str">
            <v>NUGGETS POLLO</v>
          </cell>
        </row>
        <row r="178">
          <cell r="A178">
            <v>100517521</v>
          </cell>
          <cell r="T178" t="str">
            <v>MEDALLON POLLO</v>
          </cell>
        </row>
        <row r="179">
          <cell r="A179">
            <v>100522146</v>
          </cell>
          <cell r="T179" t="str">
            <v>MEDALLON POLLO</v>
          </cell>
        </row>
        <row r="180">
          <cell r="A180">
            <v>100516648</v>
          </cell>
          <cell r="T180" t="str">
            <v>NUGGETS CARNE</v>
          </cell>
        </row>
        <row r="181">
          <cell r="A181">
            <v>100516649</v>
          </cell>
          <cell r="T181" t="str">
            <v>NUGGETS POLLO</v>
          </cell>
        </row>
        <row r="182">
          <cell r="A182">
            <v>100517737</v>
          </cell>
          <cell r="T182" t="str">
            <v>NUGGETS CARNE</v>
          </cell>
        </row>
        <row r="183">
          <cell r="A183">
            <v>100517735</v>
          </cell>
          <cell r="T183" t="str">
            <v>NUGGETS CARNE</v>
          </cell>
        </row>
        <row r="184">
          <cell r="A184">
            <v>100517493</v>
          </cell>
          <cell r="T184" t="str">
            <v>NUGGETS POLLO</v>
          </cell>
        </row>
        <row r="185">
          <cell r="A185">
            <v>100517494</v>
          </cell>
          <cell r="T185" t="str">
            <v>NUGGETS POLLO</v>
          </cell>
        </row>
        <row r="186">
          <cell r="A186">
            <v>100517656</v>
          </cell>
          <cell r="T186" t="str">
            <v>NUGGETS POLLO</v>
          </cell>
        </row>
        <row r="187">
          <cell r="A187">
            <v>333333</v>
          </cell>
          <cell r="T187" t="str">
            <v>NUGGETS POLLO</v>
          </cell>
        </row>
        <row r="188">
          <cell r="A188">
            <v>100517907</v>
          </cell>
          <cell r="T188" t="str">
            <v>NUGGETS CARNE</v>
          </cell>
        </row>
        <row r="189">
          <cell r="A189">
            <v>100517906</v>
          </cell>
          <cell r="T189" t="str">
            <v>NUGGETS CARNE</v>
          </cell>
        </row>
        <row r="190">
          <cell r="A190">
            <v>100517640</v>
          </cell>
          <cell r="T190" t="str">
            <v>NUGGETS POLLO</v>
          </cell>
        </row>
        <row r="191">
          <cell r="A191">
            <v>100516214</v>
          </cell>
          <cell r="T191" t="str">
            <v>MILANESAS DE SOJA</v>
          </cell>
        </row>
        <row r="192">
          <cell r="A192">
            <v>100516215</v>
          </cell>
          <cell r="T192" t="str">
            <v>MILANESAS DE SOJA</v>
          </cell>
        </row>
        <row r="193">
          <cell r="A193">
            <v>100516216</v>
          </cell>
          <cell r="T193" t="str">
            <v>MILANESAS DE SOJA</v>
          </cell>
        </row>
        <row r="194">
          <cell r="A194">
            <v>100516217</v>
          </cell>
          <cell r="T194" t="str">
            <v>MILANESAS DE SOJA</v>
          </cell>
        </row>
        <row r="195">
          <cell r="A195">
            <v>100521455</v>
          </cell>
          <cell r="T195" t="str">
            <v>NUGGETS VEGETALES</v>
          </cell>
        </row>
        <row r="196">
          <cell r="A196">
            <v>100521457</v>
          </cell>
          <cell r="T196" t="str">
            <v>NUGGETS VEGETALES</v>
          </cell>
        </row>
        <row r="197">
          <cell r="A197">
            <v>100521453</v>
          </cell>
          <cell r="T197" t="str">
            <v>MEDALLON VEGETALES</v>
          </cell>
        </row>
        <row r="198">
          <cell r="A198">
            <v>100521454</v>
          </cell>
          <cell r="T198" t="str">
            <v>MEDALLON VEGETALES</v>
          </cell>
        </row>
        <row r="199">
          <cell r="A199">
            <v>100518301</v>
          </cell>
          <cell r="T199" t="str">
            <v>MILANESAS DE SOJA</v>
          </cell>
        </row>
        <row r="200">
          <cell r="A200">
            <v>100518300</v>
          </cell>
          <cell r="T200" t="str">
            <v>MILANESAS DE SOJA</v>
          </cell>
        </row>
        <row r="201">
          <cell r="A201">
            <v>100518299</v>
          </cell>
          <cell r="T201" t="str">
            <v>MILANESAS DE SOJA</v>
          </cell>
        </row>
        <row r="202">
          <cell r="A202">
            <v>100518196</v>
          </cell>
          <cell r="T202" t="str">
            <v>MILANESAS DE SOJA</v>
          </cell>
        </row>
        <row r="203">
          <cell r="A203">
            <v>100022200</v>
          </cell>
          <cell r="T203" t="str">
            <v>FIAMBRE</v>
          </cell>
        </row>
        <row r="204">
          <cell r="A204">
            <v>100516219</v>
          </cell>
          <cell r="T204" t="str">
            <v>PAPAS</v>
          </cell>
        </row>
        <row r="205">
          <cell r="A205">
            <v>100520902</v>
          </cell>
          <cell r="T205" t="str">
            <v>PAPAS</v>
          </cell>
        </row>
        <row r="206">
          <cell r="A206">
            <v>100516980</v>
          </cell>
          <cell r="T206" t="str">
            <v>PAPAS</v>
          </cell>
        </row>
        <row r="207">
          <cell r="A207">
            <v>100516220</v>
          </cell>
          <cell r="T207" t="str">
            <v>PAPAS</v>
          </cell>
        </row>
        <row r="208">
          <cell r="A208">
            <v>100518158</v>
          </cell>
          <cell r="T208" t="str">
            <v>MILANESAS DE CARNE</v>
          </cell>
        </row>
        <row r="209">
          <cell r="A209">
            <v>100518160</v>
          </cell>
          <cell r="T209" t="str">
            <v>MILANESAS DE CARNE</v>
          </cell>
        </row>
        <row r="210">
          <cell r="A210">
            <v>100518275</v>
          </cell>
          <cell r="T210" t="str">
            <v>MILANESAS DE CARNE</v>
          </cell>
        </row>
        <row r="211">
          <cell r="A211">
            <v>100518462</v>
          </cell>
          <cell r="T211" t="str">
            <v>MILANESAS DE CARNE</v>
          </cell>
        </row>
        <row r="212">
          <cell r="A212">
            <v>100518463</v>
          </cell>
          <cell r="T212" t="str">
            <v>MILANESAS DE CARNE</v>
          </cell>
        </row>
        <row r="213">
          <cell r="A213">
            <v>100518325</v>
          </cell>
          <cell r="T213" t="str">
            <v>MILANESAS DE CARNE</v>
          </cell>
        </row>
        <row r="214">
          <cell r="A214">
            <v>100518291</v>
          </cell>
          <cell r="T214" t="str">
            <v>GRASA VACUNA</v>
          </cell>
        </row>
        <row r="215">
          <cell r="A215">
            <v>100518292</v>
          </cell>
          <cell r="T215" t="str">
            <v>GRASA VACUNA</v>
          </cell>
        </row>
        <row r="216">
          <cell r="A216">
            <v>100518709</v>
          </cell>
          <cell r="T216" t="str">
            <v>GRASA VACUNA</v>
          </cell>
        </row>
        <row r="217">
          <cell r="A217">
            <v>100517915</v>
          </cell>
          <cell r="T217" t="str">
            <v>CARNE PICADA</v>
          </cell>
        </row>
        <row r="218">
          <cell r="A218">
            <v>100517914</v>
          </cell>
          <cell r="T218" t="str">
            <v>CARNE PICADA</v>
          </cell>
        </row>
        <row r="219">
          <cell r="A219">
            <v>100518332</v>
          </cell>
          <cell r="T219" t="str">
            <v>CORTES PORCIONADOS</v>
          </cell>
        </row>
        <row r="220">
          <cell r="A220">
            <v>100518334</v>
          </cell>
          <cell r="T220" t="str">
            <v>CORTES PORCIONADOS</v>
          </cell>
        </row>
        <row r="221">
          <cell r="A221">
            <v>100518227</v>
          </cell>
          <cell r="T221" t="str">
            <v>CORTES PORCIONADOS</v>
          </cell>
        </row>
        <row r="222">
          <cell r="A222">
            <v>100010689</v>
          </cell>
          <cell r="T222" t="str">
            <v>CORTES PORCIONADOS</v>
          </cell>
        </row>
        <row r="223">
          <cell r="A223">
            <v>100518335</v>
          </cell>
          <cell r="T223" t="str">
            <v>CORTES PORCIONADOS</v>
          </cell>
        </row>
        <row r="224">
          <cell r="A224">
            <v>100520837</v>
          </cell>
          <cell r="T224" t="str">
            <v>CHORIZOS</v>
          </cell>
        </row>
        <row r="225">
          <cell r="A225">
            <v>100521187</v>
          </cell>
          <cell r="T225" t="str">
            <v>CHORIZOS</v>
          </cell>
        </row>
        <row r="226">
          <cell r="A226">
            <v>100027800</v>
          </cell>
          <cell r="T226" t="str">
            <v>MP INDUSTRIALIZADOS</v>
          </cell>
        </row>
        <row r="227">
          <cell r="A227">
            <v>100013053</v>
          </cell>
          <cell r="T227" t="str">
            <v>MP INDUSTRIALIZADOS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DFD99E-DA61-414E-9C6D-8BFE0225C4CC}" name="PRODUCTO_MI_AR68" displayName="PRODUCTO_MI_AR68" ref="B7:O913" totalsRowShown="0" headerRowDxfId="51" headerRowBorderDxfId="50" tableBorderDxfId="49">
  <autoFilter ref="B7:O913" xr:uid="{D7E708C1-8F00-4B45-ABE3-2073D6730551}">
    <filterColumn colId="6">
      <filters>
        <filter val="HAMBURGUESAS"/>
        <filter val="PAPAS"/>
        <filter val="REBOZADOS"/>
        <filter val="UNTABLES"/>
      </filters>
    </filterColumn>
    <filterColumn colId="8">
      <filters>
        <filter val="PREMIUM"/>
      </filters>
    </filterColumn>
  </autoFilter>
  <tableColumns count="14">
    <tableColumn id="1" xr3:uid="{C3997913-E5A7-43D8-A5F5-81C267BAD1FF}" name="COD PRODUCTO" dataDxfId="48"/>
    <tableColumn id="2" xr3:uid="{485E2E5A-704B-4D37-AEE7-0E05BE98D7E3}" name="NOM PRODUCTO" dataDxfId="47"/>
    <tableColumn id="23" xr3:uid="{9D1642B2-F456-4304-8AB4-2E1D751BD1FA}" name="STATUS" dataDxfId="46"/>
    <tableColumn id="4" xr3:uid="{DA2B4F5F-7BA6-41EC-853B-CD5FA7EC9E80}" name="NOM CANAL COMERCIAL" dataDxfId="45"/>
    <tableColumn id="6" xr3:uid="{88A6E74E-A46D-4377-BD6B-10015F7FF2B8}" name="NOM ORIGEN COMERCIAL" dataDxfId="44"/>
    <tableColumn id="8" xr3:uid="{ABDF8933-C591-4D7A-A217-EE6C7D23ED94}" name="NOM LOCALIDAD" dataDxfId="43"/>
    <tableColumn id="25" xr3:uid="{EBB9E272-D084-4D40-ACE0-CBBB7EA641C9}" name="NOM CATEGORIA" dataDxfId="42"/>
    <tableColumn id="10" xr3:uid="{D9EE501B-EC69-4EBB-9A64-7D1E7386A85D}" name="NOM CLASIFICACION COMERCIAL" dataDxfId="41"/>
    <tableColumn id="12" xr3:uid="{CA5F2D32-C33A-49B4-B5DF-BD0E5F0C65A9}" name="NOM CLASE COMERCIAL" dataDxfId="40"/>
    <tableColumn id="16" xr3:uid="{BE42D988-FC35-42EB-B621-C6E672F2F449}" name="NOM FAMILIA COMERCIAL" dataDxfId="39"/>
    <tableColumn id="18" xr3:uid="{547F2360-6457-4B94-80C2-7A3368428DE1}" name="NOM SUBFAMILIA COMERCIAL" dataDxfId="38"/>
    <tableColumn id="20" xr3:uid="{6C1621D5-E142-4837-9AED-A80ABE029A1D}" name="NOM MARCA" dataDxfId="37"/>
    <tableColumn id="22" xr3:uid="{2336CAAC-88EE-4097-9BB9-8BBD23845DDD}" name="NOM CONSERVA" dataDxfId="36"/>
    <tableColumn id="24" xr3:uid="{353733A9-D204-4EB1-871C-33F32E1EC499}" name="CLASIFICACION ORIGEN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1F45B3-43A9-40A6-8027-00EFADA5C467}" name="Tabela29" displayName="Tabela29" ref="K7:L16" totalsRowShown="0" headerRowDxfId="34" dataDxfId="32" headerRowBorderDxfId="33" tableBorderDxfId="31">
  <autoFilter ref="K7:L16" xr:uid="{CA308E99-2210-4F13-807B-229C577DFDDC}"/>
  <sortState xmlns:xlrd2="http://schemas.microsoft.com/office/spreadsheetml/2017/richdata2" ref="K8:L16">
    <sortCondition ref="L13:L16"/>
  </sortState>
  <tableColumns count="2">
    <tableColumn id="1" xr3:uid="{4D5F836E-99AB-47ED-98B7-721F672D633D}" name="COD CLASIFICACION COMERCIAL" dataDxfId="30"/>
    <tableColumn id="2" xr3:uid="{21CD5E9F-6347-4A91-9BBB-8ED7E7146036}" name="NOM CLASIFICACION COMERCIAL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6C0A5-92C5-457A-A9E3-87DC72E899AA}" name="PRODUCTO_MI_AR4" displayName="PRODUCTO_MI_AR4" ref="B7:X109" totalsRowShown="0" headerRowDxfId="28" headerRowBorderDxfId="27" tableBorderDxfId="26">
  <autoFilter ref="B7:X109" xr:uid="{D7E708C1-8F00-4B45-ABE3-2073D6730551}"/>
  <sortState xmlns:xlrd2="http://schemas.microsoft.com/office/spreadsheetml/2017/richdata2" ref="B8:X109">
    <sortCondition ref="R11:R109"/>
  </sortState>
  <tableColumns count="23">
    <tableColumn id="1" xr3:uid="{D0638F35-A918-4FE1-9FF0-C6991C8DB6C2}" name="COD PRODUCTO" dataDxfId="25"/>
    <tableColumn id="2" xr3:uid="{456AA98A-1B50-43CE-A758-04D4018E9B2A}" name="NOM PRODUCTO" dataDxfId="24"/>
    <tableColumn id="23" xr3:uid="{CC0D5E43-C43A-44E4-B830-EC48291C5B92}" name="STATUS" dataDxfId="23"/>
    <tableColumn id="3" xr3:uid="{59BA63B8-0244-48DF-AEFA-4F658254147E}" name="COD CANAL COMERCIAL" dataDxfId="22"/>
    <tableColumn id="4" xr3:uid="{48A987B7-CA58-4CB3-931A-694403BAEC96}" name="NOM CANAL COMERCIAL" dataDxfId="21"/>
    <tableColumn id="5" xr3:uid="{EEF5AD13-5FB8-4766-95AA-D23C02195E80}" name="COD ORIGEN COMERCIAL" dataDxfId="20"/>
    <tableColumn id="6" xr3:uid="{AD490AF9-AF76-40BD-A166-F03B8CC4B932}" name="NOM ORIGEN COMERCIAL" dataDxfId="19"/>
    <tableColumn id="7" xr3:uid="{5AE6D8B1-8D14-43B3-96D7-15740438A314}" name="COD LOCALIDAD" dataDxfId="18"/>
    <tableColumn id="8" xr3:uid="{01A25965-229E-49A1-9055-4044E1AF928F}" name="NOM LOCALIDAD" dataDxfId="17"/>
    <tableColumn id="9" xr3:uid="{A3669DC2-8D7E-4A5F-89A2-3179D469F98D}" name="COD CLASIFICACION COMERCIAL" dataDxfId="16">
      <calculatedColumnFormula>_xlfn.XLOOKUP(PRODUCTO_MI_AR4[[#This Row],[NOM CLASIFICACION COMERCIAL]],#REF!,#REF!,"")</calculatedColumnFormula>
    </tableColumn>
    <tableColumn id="10" xr3:uid="{FBCBC653-7EDC-44B7-9127-8CCF91415CA7}" name="NOM CLASIFICACION COMERCIAL" dataDxfId="15"/>
    <tableColumn id="11" xr3:uid="{AF7AE202-799A-434C-B592-B1C4426D932B}" name="COD CLASE COMERCIAL" dataDxfId="14">
      <calculatedColumnFormula>_xlfn.XLOOKUP(PRODUCTO_MI_AR4[[#This Row],[NOM CLASE COMERCIAL]],#REF!,#REF!,"")</calculatedColumnFormula>
    </tableColumn>
    <tableColumn id="12" xr3:uid="{09BBBEB1-2860-46E2-8478-1332777E73DF}" name="NOM CLASE COMERCIAL" dataDxfId="13"/>
    <tableColumn id="13" xr3:uid="{FC50D06B-2D02-42B1-A981-8707CFFB505F}" name="COD CATEGORIA" dataDxfId="12">
      <calculatedColumnFormula>_xlfn.XLOOKUP(PRODUCTO_MI_AR4[[#This Row],[NOM CATEGORIA]],#REF!,#REF!,"")</calculatedColumnFormula>
    </tableColumn>
    <tableColumn id="14" xr3:uid="{ABE85E28-1185-413E-9060-4990ACE553D2}" name="NOM CATEGORIA" dataDxfId="11"/>
    <tableColumn id="15" xr3:uid="{2F3122E1-EFF0-46A3-9CDC-9DC10CED23F3}" name="COD FAMILIA COMERCIAL" dataDxfId="10">
      <calculatedColumnFormula>_xlfn.XLOOKUP(PRODUCTO_MI_AR4[[#This Row],[NOM FAMILIA COMERCIAL]],#REF!,#REF!,"")</calculatedColumnFormula>
    </tableColumn>
    <tableColumn id="16" xr3:uid="{EC98C399-A730-487A-944F-B9E00EC734AF}" name="NOM FAMILIA COMERCIAL" dataDxfId="9"/>
    <tableColumn id="17" xr3:uid="{E1579CD4-3125-4304-B44E-5E898122FACC}" name="COD SUBFAMILIA COMERCIAL" dataDxfId="8">
      <calculatedColumnFormula>_xlfn.XLOOKUP(PRODUCTO_MI_AR4[[#This Row],[NOM SUBFAMILIA COMERCIAL]],#REF!,#REF!,"")</calculatedColumnFormula>
    </tableColumn>
    <tableColumn id="18" xr3:uid="{B9168886-4BF7-46E5-881B-DA67ADD7729C}" name="NOM SUBFAMILIA COMERCIAL" dataDxfId="7">
      <calculatedColumnFormula>_xlfn.XLOOKUP(PRODUCTO_MI_AR4[[#This Row],[COD SUBFAMILIA COMERCIAL]],#REF!,#REF!,"")</calculatedColumnFormula>
    </tableColumn>
    <tableColumn id="19" xr3:uid="{6D7432F1-F865-49AC-A592-3419D0CE987B}" name="COD MARCA" dataDxfId="6">
      <calculatedColumnFormula>_xlfn.XLOOKUP(PRODUCTO_MI_AR4[[#This Row],[NOM MARCA]],#REF!,#REF!,"")</calculatedColumnFormula>
    </tableColumn>
    <tableColumn id="20" xr3:uid="{F2CB6A5F-7B6E-4A93-8FC2-BCFBBCEF953D}" name="NOM MARCA" dataDxfId="5"/>
    <tableColumn id="21" xr3:uid="{1630EAB9-C770-4940-82AA-B1F871FD3C05}" name="COD CONSERVA" dataDxfId="4">
      <calculatedColumnFormula>_xlfn.XLOOKUP(PRODUCTO_MI_AR4[[#This Row],[NOM CONSERVA]],#REF!,#REF!,"")</calculatedColumnFormula>
    </tableColumn>
    <tableColumn id="22" xr3:uid="{202EFE55-E036-4DBB-BF91-F097270E1E91}" name="NOM CONSERVA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ersonalizada 1">
      <a:dk1>
        <a:srgbClr val="24303B"/>
      </a:dk1>
      <a:lt1>
        <a:srgbClr val="F5F2D4"/>
      </a:lt1>
      <a:dk2>
        <a:srgbClr val="24303B"/>
      </a:dk2>
      <a:lt2>
        <a:srgbClr val="BDB58C"/>
      </a:lt2>
      <a:accent1>
        <a:srgbClr val="E84752"/>
      </a:accent1>
      <a:accent2>
        <a:srgbClr val="2B3D4A"/>
      </a:accent2>
      <a:accent3>
        <a:srgbClr val="E3E0B0"/>
      </a:accent3>
      <a:accent4>
        <a:srgbClr val="EB7580"/>
      </a:accent4>
      <a:accent5>
        <a:srgbClr val="2E5372"/>
      </a:accent5>
      <a:accent6>
        <a:srgbClr val="F5F2D4"/>
      </a:accent6>
      <a:hlink>
        <a:srgbClr val="BF404D"/>
      </a:hlink>
      <a:folHlink>
        <a:srgbClr val="2B3D4A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EA3E-C62C-4946-88A0-3B3AB062D718}">
  <dimension ref="B7:U913"/>
  <sheetViews>
    <sheetView showGridLines="0" tabSelected="1" zoomScaleNormal="100" workbookViewId="0">
      <selection activeCell="K7" sqref="K7"/>
    </sheetView>
  </sheetViews>
  <sheetFormatPr baseColWidth="10" defaultColWidth="8.85546875" defaultRowHeight="19.5" thickTop="1" thickBottom="1" x14ac:dyDescent="0.3"/>
  <cols>
    <col min="1" max="1" width="5" style="4" customWidth="1"/>
    <col min="2" max="2" width="25.42578125" style="5" bestFit="1" customWidth="1"/>
    <col min="3" max="3" width="96.140625" style="29" customWidth="1"/>
    <col min="4" max="4" width="17.140625" style="6" customWidth="1"/>
    <col min="5" max="5" width="32.28515625" style="5" customWidth="1"/>
    <col min="6" max="6" width="34.7109375" style="6" customWidth="1"/>
    <col min="7" max="7" width="32.28515625" style="5" customWidth="1"/>
    <col min="8" max="8" width="32.85546875" style="29" customWidth="1"/>
    <col min="9" max="9" width="25.7109375" style="5" customWidth="1"/>
    <col min="10" max="10" width="23.28515625" style="29" customWidth="1"/>
    <col min="11" max="11" width="23.28515625" style="5" customWidth="1"/>
    <col min="12" max="12" width="23.28515625" style="29" customWidth="1"/>
    <col min="13" max="13" width="41.7109375" style="5" customWidth="1"/>
    <col min="14" max="14" width="41.85546875" style="29" customWidth="1"/>
    <col min="15" max="15" width="31.28515625" style="5" customWidth="1"/>
    <col min="16" max="16" width="33.28515625" style="5" customWidth="1"/>
    <col min="17" max="17" width="33.7109375" style="29" customWidth="1"/>
    <col min="18" max="18" width="38" style="5" customWidth="1"/>
    <col min="19" max="19" width="40.85546875" style="29" customWidth="1"/>
    <col min="20" max="20" width="17.85546875" style="5" customWidth="1"/>
    <col min="21" max="21" width="25.28515625" style="29" bestFit="1" customWidth="1"/>
    <col min="22" max="22" width="23.42578125" style="4" bestFit="1" customWidth="1"/>
    <col min="23" max="23" width="37.85546875" style="4" customWidth="1"/>
    <col min="24" max="16384" width="8.85546875" style="4"/>
  </cols>
  <sheetData>
    <row r="7" spans="2:21" s="7" customFormat="1" thickTop="1" thickBot="1" x14ac:dyDescent="0.3">
      <c r="B7" s="39" t="s">
        <v>0</v>
      </c>
      <c r="C7" s="39" t="s">
        <v>1</v>
      </c>
      <c r="D7" s="39" t="s">
        <v>2</v>
      </c>
      <c r="E7" s="39" t="s">
        <v>3</v>
      </c>
      <c r="F7" s="39" t="s">
        <v>4</v>
      </c>
      <c r="G7" s="39" t="s">
        <v>5</v>
      </c>
      <c r="H7" s="39" t="s">
        <v>6</v>
      </c>
      <c r="I7" s="39" t="s">
        <v>7</v>
      </c>
      <c r="J7" s="39" t="s">
        <v>8</v>
      </c>
      <c r="K7" s="39" t="s">
        <v>9</v>
      </c>
      <c r="L7" s="39" t="s">
        <v>10</v>
      </c>
      <c r="M7" s="39" t="s">
        <v>11</v>
      </c>
      <c r="N7" s="39" t="s">
        <v>12</v>
      </c>
      <c r="O7" s="39" t="s">
        <v>13</v>
      </c>
    </row>
    <row r="8" spans="2:21" ht="18" hidden="1" customHeight="1" thickTop="1" thickBot="1" x14ac:dyDescent="0.3">
      <c r="B8" s="48">
        <v>100522124</v>
      </c>
      <c r="C8" s="40" t="s">
        <v>14</v>
      </c>
      <c r="D8" s="41"/>
      <c r="E8" s="41" t="s">
        <v>15</v>
      </c>
      <c r="F8" s="40" t="s">
        <v>16</v>
      </c>
      <c r="G8" s="40" t="s">
        <v>17</v>
      </c>
      <c r="H8" s="40" t="s">
        <v>18</v>
      </c>
      <c r="I8" s="40" t="s">
        <v>19</v>
      </c>
      <c r="J8" s="40" t="s">
        <v>20</v>
      </c>
      <c r="K8" s="40" t="s">
        <v>21</v>
      </c>
      <c r="L8" s="40" t="s">
        <v>21</v>
      </c>
      <c r="M8" s="40" t="s">
        <v>22</v>
      </c>
      <c r="N8" s="40" t="s">
        <v>23</v>
      </c>
      <c r="O8" s="42" t="s">
        <v>24</v>
      </c>
      <c r="P8" s="4"/>
      <c r="Q8" s="4"/>
      <c r="R8" s="4"/>
      <c r="S8" s="4"/>
      <c r="T8" s="4"/>
      <c r="U8" s="4"/>
    </row>
    <row r="9" spans="2:21" ht="18" hidden="1" customHeight="1" thickTop="1" thickBot="1" x14ac:dyDescent="0.3">
      <c r="B9" s="43">
        <v>100522125</v>
      </c>
      <c r="C9" s="44" t="s">
        <v>25</v>
      </c>
      <c r="D9" s="45"/>
      <c r="E9" s="45" t="s">
        <v>15</v>
      </c>
      <c r="F9" s="44" t="s">
        <v>16</v>
      </c>
      <c r="G9" s="44" t="s">
        <v>17</v>
      </c>
      <c r="H9" s="44" t="s">
        <v>18</v>
      </c>
      <c r="I9" s="44" t="s">
        <v>19</v>
      </c>
      <c r="J9" s="44" t="s">
        <v>20</v>
      </c>
      <c r="K9" s="44" t="s">
        <v>21</v>
      </c>
      <c r="L9" s="44" t="s">
        <v>21</v>
      </c>
      <c r="M9" s="44" t="s">
        <v>22</v>
      </c>
      <c r="N9" s="44" t="s">
        <v>23</v>
      </c>
      <c r="O9" s="46" t="s">
        <v>24</v>
      </c>
      <c r="P9" s="4"/>
      <c r="Q9" s="4"/>
      <c r="R9" s="4"/>
      <c r="S9" s="4"/>
      <c r="T9" s="4"/>
      <c r="U9" s="4"/>
    </row>
    <row r="10" spans="2:21" ht="18" hidden="1" customHeight="1" thickTop="1" thickBot="1" x14ac:dyDescent="0.3">
      <c r="B10" s="43">
        <v>100522525</v>
      </c>
      <c r="C10" s="44" t="s">
        <v>26</v>
      </c>
      <c r="D10" s="45"/>
      <c r="E10" s="45" t="s">
        <v>15</v>
      </c>
      <c r="F10" s="44" t="s">
        <v>16</v>
      </c>
      <c r="G10" s="44" t="s">
        <v>27</v>
      </c>
      <c r="H10" s="44" t="s">
        <v>18</v>
      </c>
      <c r="I10" s="44" t="s">
        <v>19</v>
      </c>
      <c r="J10" s="44" t="s">
        <v>28</v>
      </c>
      <c r="K10" s="44" t="s">
        <v>21</v>
      </c>
      <c r="L10" s="44" t="s">
        <v>21</v>
      </c>
      <c r="M10" s="44" t="s">
        <v>29</v>
      </c>
      <c r="N10" s="44" t="s">
        <v>23</v>
      </c>
      <c r="O10" s="46" t="s">
        <v>24</v>
      </c>
      <c r="P10" s="4"/>
      <c r="Q10" s="4"/>
      <c r="R10" s="4"/>
      <c r="S10" s="4"/>
      <c r="T10" s="4"/>
      <c r="U10" s="4"/>
    </row>
    <row r="11" spans="2:21" ht="18" hidden="1" customHeight="1" thickTop="1" thickBot="1" x14ac:dyDescent="0.3">
      <c r="B11" s="43">
        <v>100522626</v>
      </c>
      <c r="C11" s="44" t="s">
        <v>30</v>
      </c>
      <c r="D11" s="45"/>
      <c r="E11" s="45" t="s">
        <v>15</v>
      </c>
      <c r="F11" s="44" t="s">
        <v>16</v>
      </c>
      <c r="G11" s="44" t="s">
        <v>27</v>
      </c>
      <c r="H11" s="44" t="s">
        <v>18</v>
      </c>
      <c r="I11" s="44" t="s">
        <v>19</v>
      </c>
      <c r="J11" s="44" t="s">
        <v>28</v>
      </c>
      <c r="K11" s="44" t="s">
        <v>21</v>
      </c>
      <c r="L11" s="44" t="s">
        <v>21</v>
      </c>
      <c r="M11" s="44" t="s">
        <v>29</v>
      </c>
      <c r="N11" s="44" t="str">
        <f>IF(ISERR(FIND("CONG",PRODUCTO_MI_AR68[[#This Row],[NOM PRODUCTO]])),"","CONGELADO")</f>
        <v>CONGELADO</v>
      </c>
      <c r="O11" s="46" t="s">
        <v>24</v>
      </c>
      <c r="P11" s="4"/>
      <c r="Q11" s="4"/>
      <c r="R11" s="4"/>
      <c r="S11" s="4"/>
      <c r="T11" s="4"/>
      <c r="U11" s="4"/>
    </row>
    <row r="12" spans="2:21" ht="18" hidden="1" customHeight="1" thickTop="1" thickBot="1" x14ac:dyDescent="0.3">
      <c r="B12" s="43">
        <v>100520679</v>
      </c>
      <c r="C12" s="44" t="s">
        <v>31</v>
      </c>
      <c r="D12" s="45"/>
      <c r="E12" s="45" t="s">
        <v>15</v>
      </c>
      <c r="F12" s="44" t="s">
        <v>16</v>
      </c>
      <c r="G12" s="44" t="s">
        <v>17</v>
      </c>
      <c r="H12" s="44" t="s">
        <v>18</v>
      </c>
      <c r="I12" s="44" t="s">
        <v>19</v>
      </c>
      <c r="J12" s="44" t="s">
        <v>28</v>
      </c>
      <c r="K12" s="44" t="s">
        <v>21</v>
      </c>
      <c r="L12" s="44" t="s">
        <v>21</v>
      </c>
      <c r="M12" s="44" t="s">
        <v>29</v>
      </c>
      <c r="N12" s="44" t="str">
        <f>IF(ISERR(FIND("CONG",PRODUCTO_MI_AR68[[#This Row],[NOM PRODUCTO]])),"","CONGELADO")</f>
        <v>CONGELADO</v>
      </c>
      <c r="O12" s="46" t="s">
        <v>24</v>
      </c>
      <c r="P12" s="4"/>
      <c r="Q12" s="4"/>
      <c r="R12" s="4"/>
      <c r="S12" s="4"/>
      <c r="T12" s="4"/>
      <c r="U12" s="4"/>
    </row>
    <row r="13" spans="2:21" ht="18" hidden="1" customHeight="1" thickTop="1" thickBot="1" x14ac:dyDescent="0.3">
      <c r="B13" s="43">
        <v>100520996</v>
      </c>
      <c r="C13" s="44" t="s">
        <v>32</v>
      </c>
      <c r="D13" s="45"/>
      <c r="E13" s="45" t="s">
        <v>15</v>
      </c>
      <c r="F13" s="44" t="s">
        <v>16</v>
      </c>
      <c r="G13" s="44" t="s">
        <v>17</v>
      </c>
      <c r="H13" s="44" t="s">
        <v>18</v>
      </c>
      <c r="I13" s="44" t="s">
        <v>19</v>
      </c>
      <c r="J13" s="44" t="s">
        <v>28</v>
      </c>
      <c r="K13" s="44" t="s">
        <v>21</v>
      </c>
      <c r="L13" s="44" t="s">
        <v>21</v>
      </c>
      <c r="M13" s="44" t="s">
        <v>29</v>
      </c>
      <c r="N13" s="44" t="str">
        <f>IF(ISERR(FIND("CONG",PRODUCTO_MI_AR68[[#This Row],[NOM PRODUCTO]])),"","CONGELADO")</f>
        <v>CONGELADO</v>
      </c>
      <c r="O13" s="46" t="s">
        <v>24</v>
      </c>
      <c r="P13" s="4"/>
      <c r="Q13" s="4"/>
      <c r="R13" s="4"/>
      <c r="S13" s="4"/>
      <c r="T13" s="4"/>
      <c r="U13" s="4"/>
    </row>
    <row r="14" spans="2:21" ht="18" hidden="1" customHeight="1" thickTop="1" thickBot="1" x14ac:dyDescent="0.3">
      <c r="B14" s="43">
        <v>100522052</v>
      </c>
      <c r="C14" s="44" t="s">
        <v>33</v>
      </c>
      <c r="D14" s="45"/>
      <c r="E14" s="45" t="s">
        <v>15</v>
      </c>
      <c r="F14" s="44" t="s">
        <v>16</v>
      </c>
      <c r="G14" s="44" t="s">
        <v>17</v>
      </c>
      <c r="H14" s="44" t="s">
        <v>18</v>
      </c>
      <c r="I14" s="44" t="s">
        <v>19</v>
      </c>
      <c r="J14" s="44" t="s">
        <v>28</v>
      </c>
      <c r="K14" s="44" t="s">
        <v>21</v>
      </c>
      <c r="L14" s="44" t="s">
        <v>21</v>
      </c>
      <c r="M14" s="44" t="s">
        <v>29</v>
      </c>
      <c r="N14" s="44" t="str">
        <f>IF(ISERR(FIND("CONG",PRODUCTO_MI_AR68[[#This Row],[NOM PRODUCTO]])),"","CONGELADO")</f>
        <v>CONGELADO</v>
      </c>
      <c r="O14" s="46" t="s">
        <v>24</v>
      </c>
      <c r="P14" s="10"/>
      <c r="Q14" s="4"/>
      <c r="R14" s="4"/>
      <c r="S14" s="4"/>
      <c r="T14" s="4"/>
      <c r="U14" s="4"/>
    </row>
    <row r="15" spans="2:21" ht="18" hidden="1" customHeight="1" thickTop="1" thickBot="1" x14ac:dyDescent="0.3">
      <c r="B15" s="43">
        <v>100519960</v>
      </c>
      <c r="C15" s="44" t="s">
        <v>34</v>
      </c>
      <c r="D15" s="45"/>
      <c r="E15" s="45" t="s">
        <v>15</v>
      </c>
      <c r="F15" s="44" t="s">
        <v>16</v>
      </c>
      <c r="G15" s="44" t="s">
        <v>17</v>
      </c>
      <c r="H15" s="44" t="s">
        <v>18</v>
      </c>
      <c r="I15" s="44" t="s">
        <v>19</v>
      </c>
      <c r="J15" s="44" t="s">
        <v>28</v>
      </c>
      <c r="K15" s="44" t="s">
        <v>21</v>
      </c>
      <c r="L15" s="44" t="s">
        <v>21</v>
      </c>
      <c r="M15" s="44" t="s">
        <v>29</v>
      </c>
      <c r="N15" s="44" t="str">
        <f>IF(ISERR(FIND("CONG",PRODUCTO_MI_AR68[[#This Row],[NOM PRODUCTO]])),"","CONGELADO")</f>
        <v>CONGELADO</v>
      </c>
      <c r="O15" s="46" t="s">
        <v>24</v>
      </c>
      <c r="P15" s="4"/>
      <c r="Q15" s="4"/>
      <c r="R15" s="4"/>
      <c r="S15" s="4"/>
      <c r="T15" s="4"/>
      <c r="U15" s="4"/>
    </row>
    <row r="16" spans="2:21" ht="18" hidden="1" customHeight="1" thickTop="1" thickBot="1" x14ac:dyDescent="0.3">
      <c r="B16" s="43">
        <v>100520490</v>
      </c>
      <c r="C16" s="44" t="s">
        <v>35</v>
      </c>
      <c r="D16" s="45"/>
      <c r="E16" s="45" t="s">
        <v>15</v>
      </c>
      <c r="F16" s="44" t="s">
        <v>16</v>
      </c>
      <c r="G16" s="44" t="s">
        <v>17</v>
      </c>
      <c r="H16" s="44" t="s">
        <v>18</v>
      </c>
      <c r="I16" s="44" t="s">
        <v>19</v>
      </c>
      <c r="J16" s="44" t="s">
        <v>28</v>
      </c>
      <c r="K16" s="44" t="s">
        <v>21</v>
      </c>
      <c r="L16" s="44" t="s">
        <v>21</v>
      </c>
      <c r="M16" s="44" t="s">
        <v>29</v>
      </c>
      <c r="N16" s="44" t="s">
        <v>23</v>
      </c>
      <c r="O16" s="46" t="s">
        <v>24</v>
      </c>
      <c r="P16" s="4"/>
      <c r="Q16" s="4"/>
      <c r="R16" s="4"/>
      <c r="S16" s="4"/>
      <c r="T16" s="4"/>
      <c r="U16" s="4"/>
    </row>
    <row r="17" spans="2:21" ht="18" hidden="1" customHeight="1" thickTop="1" thickBot="1" x14ac:dyDescent="0.3">
      <c r="B17" s="43">
        <v>100520518</v>
      </c>
      <c r="C17" s="44" t="s">
        <v>36</v>
      </c>
      <c r="D17" s="45"/>
      <c r="E17" s="45" t="s">
        <v>15</v>
      </c>
      <c r="F17" s="44" t="s">
        <v>16</v>
      </c>
      <c r="G17" s="44" t="s">
        <v>17</v>
      </c>
      <c r="H17" s="44" t="s">
        <v>18</v>
      </c>
      <c r="I17" s="44" t="s">
        <v>19</v>
      </c>
      <c r="J17" s="44" t="s">
        <v>28</v>
      </c>
      <c r="K17" s="44" t="s">
        <v>21</v>
      </c>
      <c r="L17" s="44" t="s">
        <v>21</v>
      </c>
      <c r="M17" s="44" t="s">
        <v>29</v>
      </c>
      <c r="N17" s="44" t="s">
        <v>23</v>
      </c>
      <c r="O17" s="46" t="s">
        <v>24</v>
      </c>
      <c r="P17" s="4"/>
      <c r="Q17" s="4"/>
      <c r="R17" s="4"/>
      <c r="S17" s="4"/>
      <c r="T17" s="4"/>
      <c r="U17" s="4"/>
    </row>
    <row r="18" spans="2:21" ht="18" hidden="1" customHeight="1" thickTop="1" thickBot="1" x14ac:dyDescent="0.3">
      <c r="B18" s="43">
        <v>100519844</v>
      </c>
      <c r="C18" s="44" t="s">
        <v>37</v>
      </c>
      <c r="D18" s="45"/>
      <c r="E18" s="45" t="s">
        <v>15</v>
      </c>
      <c r="F18" s="44" t="s">
        <v>16</v>
      </c>
      <c r="G18" s="44" t="s">
        <v>17</v>
      </c>
      <c r="H18" s="44" t="s">
        <v>18</v>
      </c>
      <c r="I18" s="44" t="s">
        <v>19</v>
      </c>
      <c r="J18" s="44" t="s">
        <v>20</v>
      </c>
      <c r="K18" s="44" t="s">
        <v>21</v>
      </c>
      <c r="L18" s="44" t="s">
        <v>21</v>
      </c>
      <c r="M18" s="44" t="s">
        <v>22</v>
      </c>
      <c r="N18" s="44" t="s">
        <v>23</v>
      </c>
      <c r="O18" s="46" t="s">
        <v>24</v>
      </c>
      <c r="P18" s="4"/>
      <c r="Q18" s="4"/>
      <c r="R18" s="4"/>
      <c r="S18" s="4"/>
      <c r="T18" s="4"/>
      <c r="U18" s="4"/>
    </row>
    <row r="19" spans="2:21" ht="18" hidden="1" customHeight="1" thickTop="1" thickBot="1" x14ac:dyDescent="0.3">
      <c r="B19" s="43">
        <v>100522385</v>
      </c>
      <c r="C19" s="44" t="s">
        <v>38</v>
      </c>
      <c r="D19" s="45"/>
      <c r="E19" s="45" t="s">
        <v>15</v>
      </c>
      <c r="F19" s="44" t="s">
        <v>16</v>
      </c>
      <c r="G19" s="44" t="s">
        <v>17</v>
      </c>
      <c r="H19" s="44" t="s">
        <v>18</v>
      </c>
      <c r="I19" s="44" t="s">
        <v>19</v>
      </c>
      <c r="J19" s="44" t="s">
        <v>28</v>
      </c>
      <c r="K19" s="44" t="s">
        <v>21</v>
      </c>
      <c r="L19" s="44" t="s">
        <v>21</v>
      </c>
      <c r="M19" s="44" t="s">
        <v>29</v>
      </c>
      <c r="N19" s="44" t="s">
        <v>23</v>
      </c>
      <c r="O19" s="46" t="s">
        <v>24</v>
      </c>
      <c r="P19" s="4"/>
      <c r="Q19" s="4"/>
      <c r="R19" s="4"/>
      <c r="S19" s="4"/>
      <c r="T19" s="4"/>
      <c r="U19" s="4"/>
    </row>
    <row r="20" spans="2:21" ht="18" hidden="1" customHeight="1" thickTop="1" thickBot="1" x14ac:dyDescent="0.3">
      <c r="B20" s="43">
        <v>100522275</v>
      </c>
      <c r="C20" s="44" t="s">
        <v>39</v>
      </c>
      <c r="D20" s="45"/>
      <c r="E20" s="45" t="s">
        <v>15</v>
      </c>
      <c r="F20" s="44" t="s">
        <v>16</v>
      </c>
      <c r="G20" s="44" t="s">
        <v>17</v>
      </c>
      <c r="H20" s="44" t="s">
        <v>18</v>
      </c>
      <c r="I20" s="44" t="s">
        <v>19</v>
      </c>
      <c r="J20" s="44" t="s">
        <v>40</v>
      </c>
      <c r="K20" s="44" t="s">
        <v>21</v>
      </c>
      <c r="L20" s="44" t="s">
        <v>21</v>
      </c>
      <c r="M20" s="44" t="s">
        <v>41</v>
      </c>
      <c r="N20" s="44" t="s">
        <v>23</v>
      </c>
      <c r="O20" s="46" t="s">
        <v>24</v>
      </c>
      <c r="P20" s="4"/>
      <c r="Q20" s="4"/>
      <c r="R20" s="4"/>
      <c r="S20" s="4"/>
      <c r="T20" s="4"/>
      <c r="U20" s="4"/>
    </row>
    <row r="21" spans="2:21" hidden="1" thickTop="1" thickBot="1" x14ac:dyDescent="0.3">
      <c r="B21" s="43">
        <v>100021657</v>
      </c>
      <c r="C21" s="44" t="s">
        <v>42</v>
      </c>
      <c r="D21" s="45" t="s">
        <v>43</v>
      </c>
      <c r="E21" s="45" t="s">
        <v>44</v>
      </c>
      <c r="F21" s="44" t="s">
        <v>16</v>
      </c>
      <c r="G21" s="44" t="s">
        <v>17</v>
      </c>
      <c r="H21" s="44" t="s">
        <v>45</v>
      </c>
      <c r="I21" s="44" t="s">
        <v>46</v>
      </c>
      <c r="J21" s="44" t="s">
        <v>28</v>
      </c>
      <c r="K21" s="44" t="s">
        <v>45</v>
      </c>
      <c r="L21" s="44" t="s">
        <v>47</v>
      </c>
      <c r="M21" s="44" t="s">
        <v>48</v>
      </c>
      <c r="N21" s="44" t="str">
        <f>IF(ISERR(FIND("CONG",PRODUCTO_MI_AR68[[#This Row],[NOM PRODUCTO]])),"","CONGELADO")</f>
        <v>CONGELADO</v>
      </c>
      <c r="O21" s="46" t="s">
        <v>49</v>
      </c>
      <c r="P21" s="4"/>
      <c r="Q21" s="4"/>
      <c r="R21" s="4"/>
      <c r="S21" s="4"/>
      <c r="T21" s="4"/>
      <c r="U21" s="4"/>
    </row>
    <row r="22" spans="2:21" hidden="1" thickTop="1" thickBot="1" x14ac:dyDescent="0.3">
      <c r="B22" s="43">
        <v>100520976</v>
      </c>
      <c r="C22" s="44" t="s">
        <v>50</v>
      </c>
      <c r="D22" s="45" t="s">
        <v>43</v>
      </c>
      <c r="E22" s="45" t="s">
        <v>44</v>
      </c>
      <c r="F22" s="44" t="s">
        <v>16</v>
      </c>
      <c r="G22" s="44" t="s">
        <v>17</v>
      </c>
      <c r="H22" s="44" t="s">
        <v>45</v>
      </c>
      <c r="I22" s="44" t="s">
        <v>46</v>
      </c>
      <c r="J22" s="44" t="s">
        <v>28</v>
      </c>
      <c r="K22" s="44" t="s">
        <v>45</v>
      </c>
      <c r="L22" s="44" t="s">
        <v>47</v>
      </c>
      <c r="M22" s="44" t="s">
        <v>48</v>
      </c>
      <c r="N22" s="44" t="str">
        <f>IF(ISERR(FIND("CONG",PRODUCTO_MI_AR68[[#This Row],[NOM PRODUCTO]])),"","CONGELADO")</f>
        <v>CONGELADO</v>
      </c>
      <c r="O22" s="46" t="s">
        <v>49</v>
      </c>
      <c r="P22" s="4"/>
      <c r="Q22" s="4"/>
      <c r="R22" s="4"/>
      <c r="S22" s="4"/>
      <c r="T22" s="4"/>
      <c r="U22" s="4"/>
    </row>
    <row r="23" spans="2:21" hidden="1" thickTop="1" thickBot="1" x14ac:dyDescent="0.3">
      <c r="B23" s="43">
        <v>100021650</v>
      </c>
      <c r="C23" s="44" t="s">
        <v>51</v>
      </c>
      <c r="D23" s="45" t="s">
        <v>43</v>
      </c>
      <c r="E23" s="45" t="s">
        <v>44</v>
      </c>
      <c r="F23" s="44" t="s">
        <v>16</v>
      </c>
      <c r="G23" s="44" t="s">
        <v>17</v>
      </c>
      <c r="H23" s="44" t="s">
        <v>45</v>
      </c>
      <c r="I23" s="44" t="s">
        <v>46</v>
      </c>
      <c r="J23" s="44" t="s">
        <v>28</v>
      </c>
      <c r="K23" s="44" t="s">
        <v>45</v>
      </c>
      <c r="L23" s="44" t="s">
        <v>47</v>
      </c>
      <c r="M23" s="44" t="s">
        <v>48</v>
      </c>
      <c r="N23" s="44" t="str">
        <f>IF(ISERR(FIND("CONG",PRODUCTO_MI_AR68[[#This Row],[NOM PRODUCTO]])),"","CONGELADO")</f>
        <v>CONGELADO</v>
      </c>
      <c r="O23" s="46" t="s">
        <v>49</v>
      </c>
      <c r="P23" s="4"/>
      <c r="Q23" s="4"/>
      <c r="R23" s="4"/>
      <c r="S23" s="4"/>
      <c r="T23" s="4"/>
      <c r="U23" s="4"/>
    </row>
    <row r="24" spans="2:21" hidden="1" thickTop="1" thickBot="1" x14ac:dyDescent="0.3">
      <c r="B24" s="43">
        <v>100021651</v>
      </c>
      <c r="C24" s="44" t="s">
        <v>52</v>
      </c>
      <c r="D24" s="45" t="s">
        <v>43</v>
      </c>
      <c r="E24" s="45" t="s">
        <v>44</v>
      </c>
      <c r="F24" s="44" t="s">
        <v>16</v>
      </c>
      <c r="G24" s="44" t="s">
        <v>17</v>
      </c>
      <c r="H24" s="44" t="s">
        <v>45</v>
      </c>
      <c r="I24" s="44" t="s">
        <v>46</v>
      </c>
      <c r="J24" s="44" t="s">
        <v>28</v>
      </c>
      <c r="K24" s="44" t="s">
        <v>45</v>
      </c>
      <c r="L24" s="44" t="s">
        <v>47</v>
      </c>
      <c r="M24" s="44" t="s">
        <v>48</v>
      </c>
      <c r="N24" s="44" t="str">
        <f>IF(ISERR(FIND("CONG",PRODUCTO_MI_AR68[[#This Row],[NOM PRODUCTO]])),"","CONGELADO")</f>
        <v>CONGELADO</v>
      </c>
      <c r="O24" s="46" t="s">
        <v>49</v>
      </c>
      <c r="P24" s="4"/>
      <c r="Q24" s="4"/>
      <c r="R24" s="4"/>
      <c r="S24" s="4"/>
      <c r="T24" s="4"/>
      <c r="U24" s="4"/>
    </row>
    <row r="25" spans="2:21" ht="18" hidden="1" customHeight="1" thickTop="1" thickBot="1" x14ac:dyDescent="0.3">
      <c r="B25" s="43">
        <v>100521681</v>
      </c>
      <c r="C25" s="44" t="s">
        <v>53</v>
      </c>
      <c r="D25" s="45"/>
      <c r="E25" s="45" t="s">
        <v>44</v>
      </c>
      <c r="F25" s="44" t="s">
        <v>16</v>
      </c>
      <c r="G25" s="44" t="s">
        <v>17</v>
      </c>
      <c r="H25" s="44" t="s">
        <v>18</v>
      </c>
      <c r="I25" s="44" t="s">
        <v>54</v>
      </c>
      <c r="J25" s="44" t="s">
        <v>28</v>
      </c>
      <c r="K25" s="44" t="s">
        <v>55</v>
      </c>
      <c r="L25" s="44" t="s">
        <v>56</v>
      </c>
      <c r="M25" s="44" t="s">
        <v>57</v>
      </c>
      <c r="N25" s="44" t="str">
        <f>IF(ISERR(FIND("CONG",PRODUCTO_MI_AR68[[#This Row],[NOM PRODUCTO]])),"","CONGELADO")</f>
        <v>CONGELADO</v>
      </c>
      <c r="O25" s="46" t="s">
        <v>58</v>
      </c>
      <c r="P25" s="4"/>
      <c r="Q25" s="4"/>
      <c r="R25" s="4"/>
      <c r="S25" s="4"/>
      <c r="T25" s="4"/>
      <c r="U25" s="4"/>
    </row>
    <row r="26" spans="2:21" ht="18" hidden="1" customHeight="1" thickTop="1" thickBot="1" x14ac:dyDescent="0.3">
      <c r="B26" s="43">
        <v>100515950</v>
      </c>
      <c r="C26" s="44" t="s">
        <v>59</v>
      </c>
      <c r="D26" s="45"/>
      <c r="E26" s="45" t="s">
        <v>44</v>
      </c>
      <c r="F26" s="44" t="s">
        <v>16</v>
      </c>
      <c r="G26" s="44" t="s">
        <v>17</v>
      </c>
      <c r="H26" s="44" t="s">
        <v>18</v>
      </c>
      <c r="I26" s="44" t="s">
        <v>54</v>
      </c>
      <c r="J26" s="44" t="s">
        <v>28</v>
      </c>
      <c r="K26" s="44" t="s">
        <v>60</v>
      </c>
      <c r="L26" s="44" t="s">
        <v>61</v>
      </c>
      <c r="M26" s="44" t="s">
        <v>62</v>
      </c>
      <c r="N26" s="44" t="s">
        <v>23</v>
      </c>
      <c r="O26" s="46" t="s">
        <v>58</v>
      </c>
      <c r="P26" s="4"/>
      <c r="Q26" s="4"/>
      <c r="R26" s="4"/>
      <c r="S26" s="4"/>
      <c r="T26" s="4"/>
      <c r="U26" s="4"/>
    </row>
    <row r="27" spans="2:21" ht="18" hidden="1" customHeight="1" thickTop="1" thickBot="1" x14ac:dyDescent="0.3">
      <c r="B27" s="43">
        <v>100517324</v>
      </c>
      <c r="C27" s="44" t="s">
        <v>63</v>
      </c>
      <c r="D27" s="45"/>
      <c r="E27" s="45" t="s">
        <v>44</v>
      </c>
      <c r="F27" s="44" t="s">
        <v>16</v>
      </c>
      <c r="G27" s="44" t="s">
        <v>17</v>
      </c>
      <c r="H27" s="44" t="s">
        <v>18</v>
      </c>
      <c r="I27" s="44" t="s">
        <v>54</v>
      </c>
      <c r="J27" s="44" t="s">
        <v>28</v>
      </c>
      <c r="K27" s="44" t="s">
        <v>60</v>
      </c>
      <c r="L27" s="44" t="s">
        <v>61</v>
      </c>
      <c r="M27" s="44" t="s">
        <v>62</v>
      </c>
      <c r="N27" s="44" t="s">
        <v>23</v>
      </c>
      <c r="O27" s="46" t="s">
        <v>58</v>
      </c>
      <c r="P27" s="4"/>
      <c r="Q27" s="4"/>
      <c r="R27" s="4"/>
      <c r="S27" s="4"/>
      <c r="T27" s="4"/>
      <c r="U27" s="4"/>
    </row>
    <row r="28" spans="2:21" ht="18" hidden="1" customHeight="1" thickTop="1" thickBot="1" x14ac:dyDescent="0.3">
      <c r="B28" s="43">
        <v>100517645</v>
      </c>
      <c r="C28" s="44" t="s">
        <v>64</v>
      </c>
      <c r="D28" s="45"/>
      <c r="E28" s="45" t="s">
        <v>44</v>
      </c>
      <c r="F28" s="44" t="s">
        <v>16</v>
      </c>
      <c r="G28" s="44" t="s">
        <v>17</v>
      </c>
      <c r="H28" s="44" t="s">
        <v>18</v>
      </c>
      <c r="I28" s="44" t="s">
        <v>54</v>
      </c>
      <c r="J28" s="44" t="s">
        <v>28</v>
      </c>
      <c r="K28" s="44" t="s">
        <v>60</v>
      </c>
      <c r="L28" s="44" t="s">
        <v>61</v>
      </c>
      <c r="M28" s="44" t="s">
        <v>62</v>
      </c>
      <c r="N28" s="44" t="s">
        <v>23</v>
      </c>
      <c r="O28" s="46" t="s">
        <v>58</v>
      </c>
      <c r="P28"/>
      <c r="Q28" s="4"/>
      <c r="R28" s="4"/>
      <c r="S28" s="4"/>
      <c r="T28" s="4"/>
      <c r="U28" s="4"/>
    </row>
    <row r="29" spans="2:21" ht="18" hidden="1" customHeight="1" thickTop="1" thickBot="1" x14ac:dyDescent="0.3">
      <c r="B29" s="43">
        <v>100520426</v>
      </c>
      <c r="C29" s="44" t="s">
        <v>65</v>
      </c>
      <c r="D29" s="45"/>
      <c r="E29" s="45" t="s">
        <v>44</v>
      </c>
      <c r="F29" s="44" t="s">
        <v>16</v>
      </c>
      <c r="G29" s="44" t="s">
        <v>17</v>
      </c>
      <c r="H29" s="44" t="s">
        <v>18</v>
      </c>
      <c r="I29" s="44" t="s">
        <v>54</v>
      </c>
      <c r="J29" s="44" t="s">
        <v>28</v>
      </c>
      <c r="K29" s="44" t="s">
        <v>55</v>
      </c>
      <c r="L29" s="44" t="s">
        <v>66</v>
      </c>
      <c r="M29" s="44" t="s">
        <v>57</v>
      </c>
      <c r="N29" s="44" t="str">
        <f>IF(ISERR(FIND("CONG",PRODUCTO_MI_AR68[[#This Row],[NOM PRODUCTO]])),"","CONGELADO")</f>
        <v>CONGELADO</v>
      </c>
      <c r="O29" s="46" t="s">
        <v>58</v>
      </c>
      <c r="P29"/>
      <c r="Q29" s="4"/>
      <c r="R29" s="4"/>
      <c r="S29" s="4"/>
      <c r="T29" s="4"/>
      <c r="U29" s="4"/>
    </row>
    <row r="30" spans="2:21" ht="18" hidden="1" customHeight="1" thickTop="1" thickBot="1" x14ac:dyDescent="0.3">
      <c r="B30" s="43">
        <v>100026244</v>
      </c>
      <c r="C30" s="44" t="s">
        <v>67</v>
      </c>
      <c r="D30" s="45"/>
      <c r="E30" s="45" t="s">
        <v>44</v>
      </c>
      <c r="F30" s="44" t="s">
        <v>16</v>
      </c>
      <c r="G30" s="44" t="s">
        <v>17</v>
      </c>
      <c r="H30" s="44" t="s">
        <v>18</v>
      </c>
      <c r="I30" s="44" t="s">
        <v>54</v>
      </c>
      <c r="J30" s="44" t="s">
        <v>28</v>
      </c>
      <c r="K30" s="44" t="s">
        <v>55</v>
      </c>
      <c r="L30" s="44" t="s">
        <v>68</v>
      </c>
      <c r="M30" s="44" t="s">
        <v>57</v>
      </c>
      <c r="N30" s="44" t="s">
        <v>23</v>
      </c>
      <c r="O30" s="46" t="s">
        <v>58</v>
      </c>
      <c r="P30"/>
      <c r="Q30" s="4"/>
      <c r="R30" s="4"/>
      <c r="S30" s="4"/>
      <c r="T30" s="4"/>
      <c r="U30" s="4"/>
    </row>
    <row r="31" spans="2:21" ht="18" hidden="1" customHeight="1" thickTop="1" thickBot="1" x14ac:dyDescent="0.3">
      <c r="B31" s="43">
        <v>100026247</v>
      </c>
      <c r="C31" s="44" t="s">
        <v>69</v>
      </c>
      <c r="D31" s="45"/>
      <c r="E31" s="45" t="s">
        <v>44</v>
      </c>
      <c r="F31" s="44" t="s">
        <v>16</v>
      </c>
      <c r="G31" s="44" t="s">
        <v>17</v>
      </c>
      <c r="H31" s="44" t="s">
        <v>18</v>
      </c>
      <c r="I31" s="44" t="s">
        <v>54</v>
      </c>
      <c r="J31" s="44" t="s">
        <v>28</v>
      </c>
      <c r="K31" s="44" t="s">
        <v>55</v>
      </c>
      <c r="L31" s="44" t="s">
        <v>68</v>
      </c>
      <c r="M31" s="44" t="s">
        <v>57</v>
      </c>
      <c r="N31" s="44" t="s">
        <v>23</v>
      </c>
      <c r="O31" s="46" t="s">
        <v>58</v>
      </c>
      <c r="P31"/>
      <c r="Q31" s="4"/>
      <c r="R31" s="4"/>
      <c r="S31" s="4"/>
      <c r="T31" s="4"/>
      <c r="U31" s="4"/>
    </row>
    <row r="32" spans="2:21" ht="18" hidden="1" customHeight="1" thickTop="1" thickBot="1" x14ac:dyDescent="0.3">
      <c r="B32" s="43">
        <v>100517686</v>
      </c>
      <c r="C32" s="44" t="s">
        <v>70</v>
      </c>
      <c r="D32" s="45"/>
      <c r="E32" s="45" t="s">
        <v>44</v>
      </c>
      <c r="F32" s="44" t="s">
        <v>16</v>
      </c>
      <c r="G32" s="44" t="s">
        <v>17</v>
      </c>
      <c r="H32" s="44" t="s">
        <v>18</v>
      </c>
      <c r="I32" s="44" t="s">
        <v>54</v>
      </c>
      <c r="J32" s="44" t="s">
        <v>28</v>
      </c>
      <c r="K32" s="44" t="s">
        <v>60</v>
      </c>
      <c r="L32" s="44" t="s">
        <v>61</v>
      </c>
      <c r="M32" s="44" t="s">
        <v>62</v>
      </c>
      <c r="N32" s="44" t="s">
        <v>23</v>
      </c>
      <c r="O32" s="46" t="s">
        <v>58</v>
      </c>
      <c r="P32"/>
      <c r="Q32" s="4"/>
      <c r="R32" s="4"/>
      <c r="S32" s="4"/>
      <c r="T32" s="4"/>
      <c r="U32" s="4"/>
    </row>
    <row r="33" spans="2:21" ht="18" hidden="1" customHeight="1" thickTop="1" thickBot="1" x14ac:dyDescent="0.3">
      <c r="B33" s="43">
        <v>100517511</v>
      </c>
      <c r="C33" s="44" t="s">
        <v>71</v>
      </c>
      <c r="D33" s="45"/>
      <c r="E33" s="45" t="s">
        <v>44</v>
      </c>
      <c r="F33" s="44" t="s">
        <v>16</v>
      </c>
      <c r="G33" s="44" t="s">
        <v>17</v>
      </c>
      <c r="H33" s="44" t="s">
        <v>18</v>
      </c>
      <c r="I33" s="44" t="s">
        <v>54</v>
      </c>
      <c r="J33" s="44" t="s">
        <v>20</v>
      </c>
      <c r="K33" s="44" t="s">
        <v>55</v>
      </c>
      <c r="L33" s="44" t="s">
        <v>72</v>
      </c>
      <c r="M33" s="44" t="s">
        <v>73</v>
      </c>
      <c r="N33" s="44" t="s">
        <v>23</v>
      </c>
      <c r="O33" s="46" t="s">
        <v>58</v>
      </c>
      <c r="P33"/>
      <c r="Q33" s="4"/>
      <c r="R33" s="4"/>
      <c r="S33" s="4"/>
      <c r="T33" s="4"/>
      <c r="U33" s="4"/>
    </row>
    <row r="34" spans="2:21" ht="18" hidden="1" customHeight="1" thickTop="1" thickBot="1" x14ac:dyDescent="0.3">
      <c r="B34" s="43">
        <v>100011480</v>
      </c>
      <c r="C34" s="44" t="s">
        <v>74</v>
      </c>
      <c r="D34" s="45"/>
      <c r="E34" s="45" t="s">
        <v>44</v>
      </c>
      <c r="F34" s="44" t="s">
        <v>16</v>
      </c>
      <c r="G34" s="44" t="s">
        <v>17</v>
      </c>
      <c r="H34" s="44" t="s">
        <v>18</v>
      </c>
      <c r="I34" s="44" t="s">
        <v>54</v>
      </c>
      <c r="J34" s="44" t="s">
        <v>20</v>
      </c>
      <c r="K34" s="44" t="s">
        <v>55</v>
      </c>
      <c r="L34" s="44" t="s">
        <v>72</v>
      </c>
      <c r="M34" s="44" t="s">
        <v>73</v>
      </c>
      <c r="N34" s="44" t="s">
        <v>23</v>
      </c>
      <c r="O34" s="46" t="s">
        <v>58</v>
      </c>
      <c r="P34"/>
      <c r="Q34" s="4"/>
      <c r="R34" s="4"/>
      <c r="S34" s="4"/>
      <c r="T34" s="4"/>
      <c r="U34" s="4"/>
    </row>
    <row r="35" spans="2:21" ht="18" hidden="1" customHeight="1" thickTop="1" thickBot="1" x14ac:dyDescent="0.3">
      <c r="B35" s="43">
        <v>100519677</v>
      </c>
      <c r="C35" s="44" t="s">
        <v>75</v>
      </c>
      <c r="D35" s="45"/>
      <c r="E35" s="45" t="str">
        <f>IF(ISERR(FIND("PUL",PRODUCTO_MI_AR68[[#This Row],[NOM PRODUCTO]])),"","ME")</f>
        <v>ME</v>
      </c>
      <c r="F35" s="44" t="s">
        <v>16</v>
      </c>
      <c r="G35" s="44" t="s">
        <v>17</v>
      </c>
      <c r="H35" s="44" t="s">
        <v>18</v>
      </c>
      <c r="I35" s="44" t="s">
        <v>54</v>
      </c>
      <c r="J35" s="44" t="s">
        <v>28</v>
      </c>
      <c r="K35" s="44" t="s">
        <v>55</v>
      </c>
      <c r="L35" s="44" t="s">
        <v>76</v>
      </c>
      <c r="M35" s="44" t="s">
        <v>29</v>
      </c>
      <c r="N35" s="44" t="str">
        <f>IF(ISERR(FIND("CONG",PRODUCTO_MI_AR68[[#This Row],[NOM PRODUCTO]])),"","CONGELADO")</f>
        <v>CONGELADO</v>
      </c>
      <c r="O35" s="46" t="s">
        <v>58</v>
      </c>
      <c r="P35"/>
      <c r="Q35" s="4"/>
      <c r="R35" s="4"/>
      <c r="S35" s="4"/>
      <c r="T35" s="4"/>
      <c r="U35" s="4"/>
    </row>
    <row r="36" spans="2:21" ht="18" hidden="1" customHeight="1" thickTop="1" thickBot="1" x14ac:dyDescent="0.3">
      <c r="B36" s="43">
        <v>100010143</v>
      </c>
      <c r="C36" s="44" t="s">
        <v>77</v>
      </c>
      <c r="D36" s="45"/>
      <c r="E36" s="45" t="s">
        <v>44</v>
      </c>
      <c r="F36" s="44" t="s">
        <v>16</v>
      </c>
      <c r="G36" s="44" t="s">
        <v>17</v>
      </c>
      <c r="H36" s="44" t="s">
        <v>18</v>
      </c>
      <c r="I36" s="44" t="s">
        <v>54</v>
      </c>
      <c r="J36" s="44" t="s">
        <v>20</v>
      </c>
      <c r="K36" s="44" t="s">
        <v>55</v>
      </c>
      <c r="L36" s="44" t="s">
        <v>78</v>
      </c>
      <c r="M36" s="44" t="s">
        <v>22</v>
      </c>
      <c r="N36" s="44" t="str">
        <f>IF(ISERR(FIND("CONG",PRODUCTO_MI_AR68[[#This Row],[NOM PRODUCTO]])),"","CONGELADO")</f>
        <v>CONGELADO</v>
      </c>
      <c r="O36" s="46" t="s">
        <v>58</v>
      </c>
      <c r="P36"/>
      <c r="Q36" s="4"/>
      <c r="R36" s="4"/>
      <c r="S36" s="4"/>
      <c r="T36" s="4"/>
      <c r="U36" s="4"/>
    </row>
    <row r="37" spans="2:21" ht="18" hidden="1" customHeight="1" thickTop="1" thickBot="1" x14ac:dyDescent="0.3">
      <c r="B37" s="43">
        <v>100517741</v>
      </c>
      <c r="C37" s="44" t="s">
        <v>79</v>
      </c>
      <c r="D37" s="45"/>
      <c r="E37" s="45" t="s">
        <v>44</v>
      </c>
      <c r="F37" s="44" t="s">
        <v>16</v>
      </c>
      <c r="G37" s="44" t="s">
        <v>17</v>
      </c>
      <c r="H37" s="44" t="s">
        <v>18</v>
      </c>
      <c r="I37" s="44" t="s">
        <v>54</v>
      </c>
      <c r="J37" s="44" t="s">
        <v>20</v>
      </c>
      <c r="K37" s="44" t="s">
        <v>55</v>
      </c>
      <c r="L37" s="44" t="s">
        <v>78</v>
      </c>
      <c r="M37" s="44" t="s">
        <v>73</v>
      </c>
      <c r="N37" s="44" t="str">
        <f>IF(ISERR(FIND("CONG",PRODUCTO_MI_AR68[[#This Row],[NOM PRODUCTO]])),"","CONGELADO")</f>
        <v>CONGELADO</v>
      </c>
      <c r="O37" s="46" t="s">
        <v>58</v>
      </c>
      <c r="P37"/>
      <c r="Q37" s="4"/>
      <c r="R37" s="4"/>
      <c r="S37" s="4"/>
      <c r="T37" s="4"/>
      <c r="U37" s="4"/>
    </row>
    <row r="38" spans="2:21" ht="18" hidden="1" customHeight="1" thickTop="1" thickBot="1" x14ac:dyDescent="0.3">
      <c r="B38" s="43">
        <v>100520430</v>
      </c>
      <c r="C38" s="44" t="s">
        <v>80</v>
      </c>
      <c r="D38" s="45"/>
      <c r="E38" s="45" t="s">
        <v>44</v>
      </c>
      <c r="F38" s="44" t="s">
        <v>16</v>
      </c>
      <c r="G38" s="44" t="s">
        <v>17</v>
      </c>
      <c r="H38" s="44" t="s">
        <v>18</v>
      </c>
      <c r="I38" s="44" t="s">
        <v>54</v>
      </c>
      <c r="J38" s="44" t="s">
        <v>20</v>
      </c>
      <c r="K38" s="44" t="s">
        <v>55</v>
      </c>
      <c r="L38" s="44" t="s">
        <v>78</v>
      </c>
      <c r="M38" s="44" t="s">
        <v>73</v>
      </c>
      <c r="N38" s="44" t="str">
        <f>IF(ISERR(FIND("CONG",PRODUCTO_MI_AR68[[#This Row],[NOM PRODUCTO]])),"","CONGELADO")</f>
        <v>CONGELADO</v>
      </c>
      <c r="O38" s="46" t="s">
        <v>58</v>
      </c>
      <c r="P38"/>
      <c r="Q38" s="4"/>
      <c r="R38" s="4"/>
      <c r="S38" s="4"/>
      <c r="T38" s="4"/>
      <c r="U38" s="4"/>
    </row>
    <row r="39" spans="2:21" ht="18" hidden="1" customHeight="1" thickTop="1" thickBot="1" x14ac:dyDescent="0.3">
      <c r="B39" s="43">
        <v>100518044</v>
      </c>
      <c r="C39" s="44" t="s">
        <v>81</v>
      </c>
      <c r="D39" s="45"/>
      <c r="E39" s="45" t="s">
        <v>44</v>
      </c>
      <c r="F39" s="44" t="s">
        <v>16</v>
      </c>
      <c r="G39" s="44" t="s">
        <v>17</v>
      </c>
      <c r="H39" s="44" t="s">
        <v>18</v>
      </c>
      <c r="I39" s="44" t="s">
        <v>54</v>
      </c>
      <c r="J39" s="44" t="s">
        <v>20</v>
      </c>
      <c r="K39" s="44" t="s">
        <v>55</v>
      </c>
      <c r="L39" s="44" t="s">
        <v>78</v>
      </c>
      <c r="M39" s="44" t="s">
        <v>73</v>
      </c>
      <c r="N39" s="44" t="str">
        <f>IF(ISERR(FIND("CONG",PRODUCTO_MI_AR68[[#This Row],[NOM PRODUCTO]])),"","CONGELADO")</f>
        <v>CONGELADO</v>
      </c>
      <c r="O39" s="46" t="s">
        <v>58</v>
      </c>
      <c r="P39"/>
      <c r="Q39" s="4"/>
      <c r="R39" s="4"/>
      <c r="S39" s="4"/>
      <c r="T39" s="4"/>
      <c r="U39" s="4"/>
    </row>
    <row r="40" spans="2:21" ht="18" hidden="1" customHeight="1" thickTop="1" thickBot="1" x14ac:dyDescent="0.3">
      <c r="B40" s="43">
        <v>100013396</v>
      </c>
      <c r="C40" s="44" t="s">
        <v>82</v>
      </c>
      <c r="D40" s="45"/>
      <c r="E40" s="45" t="s">
        <v>44</v>
      </c>
      <c r="F40" s="44" t="s">
        <v>16</v>
      </c>
      <c r="G40" s="44" t="s">
        <v>17</v>
      </c>
      <c r="H40" s="44" t="s">
        <v>18</v>
      </c>
      <c r="I40" s="44" t="s">
        <v>54</v>
      </c>
      <c r="J40" s="44" t="s">
        <v>20</v>
      </c>
      <c r="K40" s="44" t="s">
        <v>55</v>
      </c>
      <c r="L40" s="44" t="s">
        <v>83</v>
      </c>
      <c r="M40" s="44" t="s">
        <v>22</v>
      </c>
      <c r="N40" s="44" t="str">
        <f>IF(ISERR(FIND("CONG",PRODUCTO_MI_AR68[[#This Row],[NOM PRODUCTO]])),"","CONGELADO")</f>
        <v>CONGELADO</v>
      </c>
      <c r="O40" s="46" t="s">
        <v>58</v>
      </c>
      <c r="P40"/>
      <c r="Q40" s="4"/>
      <c r="R40" s="4"/>
      <c r="S40" s="4"/>
      <c r="T40" s="4"/>
      <c r="U40" s="4"/>
    </row>
    <row r="41" spans="2:21" ht="18" hidden="1" customHeight="1" thickTop="1" thickBot="1" x14ac:dyDescent="0.3">
      <c r="B41" s="43">
        <v>100517693</v>
      </c>
      <c r="C41" s="44" t="s">
        <v>84</v>
      </c>
      <c r="D41" s="45"/>
      <c r="E41" s="45" t="s">
        <v>44</v>
      </c>
      <c r="F41" s="44" t="s">
        <v>16</v>
      </c>
      <c r="G41" s="44" t="s">
        <v>17</v>
      </c>
      <c r="H41" s="44" t="s">
        <v>18</v>
      </c>
      <c r="I41" s="44" t="s">
        <v>54</v>
      </c>
      <c r="J41" s="44" t="s">
        <v>20</v>
      </c>
      <c r="K41" s="44" t="s">
        <v>55</v>
      </c>
      <c r="L41" s="44" t="s">
        <v>85</v>
      </c>
      <c r="M41" s="44" t="s">
        <v>73</v>
      </c>
      <c r="N41" s="44" t="str">
        <f>IF(ISERR(FIND("CONG",PRODUCTO_MI_AR68[[#This Row],[NOM PRODUCTO]])),"","CONGELADO")</f>
        <v>CONGELADO</v>
      </c>
      <c r="O41" s="46" t="s">
        <v>58</v>
      </c>
      <c r="P41"/>
      <c r="Q41" s="4"/>
      <c r="R41" s="4"/>
      <c r="S41" s="4"/>
      <c r="T41" s="4"/>
      <c r="U41" s="4"/>
    </row>
    <row r="42" spans="2:21" ht="18" hidden="1" customHeight="1" thickTop="1" thickBot="1" x14ac:dyDescent="0.3">
      <c r="B42" s="43">
        <v>100518131</v>
      </c>
      <c r="C42" s="44" t="s">
        <v>86</v>
      </c>
      <c r="D42" s="45"/>
      <c r="E42" s="45" t="s">
        <v>44</v>
      </c>
      <c r="F42" s="44" t="s">
        <v>16</v>
      </c>
      <c r="G42" s="44" t="s">
        <v>17</v>
      </c>
      <c r="H42" s="44" t="s">
        <v>18</v>
      </c>
      <c r="I42" s="44" t="s">
        <v>54</v>
      </c>
      <c r="J42" s="44" t="s">
        <v>28</v>
      </c>
      <c r="K42" s="44" t="s">
        <v>55</v>
      </c>
      <c r="L42" s="44" t="s">
        <v>68</v>
      </c>
      <c r="M42" s="44" t="s">
        <v>57</v>
      </c>
      <c r="N42" s="44" t="s">
        <v>23</v>
      </c>
      <c r="O42" s="46" t="s">
        <v>58</v>
      </c>
      <c r="P42"/>
      <c r="Q42" s="4"/>
      <c r="R42" s="4"/>
      <c r="S42" s="4"/>
      <c r="T42" s="4"/>
      <c r="U42" s="4"/>
    </row>
    <row r="43" spans="2:21" ht="18" hidden="1" customHeight="1" thickTop="1" thickBot="1" x14ac:dyDescent="0.3">
      <c r="B43" s="43">
        <v>100026246</v>
      </c>
      <c r="C43" s="44" t="s">
        <v>87</v>
      </c>
      <c r="D43" s="45"/>
      <c r="E43" s="45" t="s">
        <v>44</v>
      </c>
      <c r="F43" s="44" t="s">
        <v>16</v>
      </c>
      <c r="G43" s="44" t="s">
        <v>17</v>
      </c>
      <c r="H43" s="44" t="s">
        <v>18</v>
      </c>
      <c r="I43" s="44" t="s">
        <v>54</v>
      </c>
      <c r="J43" s="44" t="s">
        <v>28</v>
      </c>
      <c r="K43" s="44" t="s">
        <v>60</v>
      </c>
      <c r="L43" s="44" t="s">
        <v>61</v>
      </c>
      <c r="M43" s="44" t="s">
        <v>62</v>
      </c>
      <c r="N43" s="44" t="s">
        <v>23</v>
      </c>
      <c r="O43" s="46" t="s">
        <v>58</v>
      </c>
      <c r="P43"/>
      <c r="Q43" s="4"/>
      <c r="R43" s="4"/>
      <c r="S43" s="4"/>
      <c r="T43" s="4"/>
      <c r="U43" s="4"/>
    </row>
    <row r="44" spans="2:21" ht="18" hidden="1" customHeight="1" thickTop="1" thickBot="1" x14ac:dyDescent="0.3">
      <c r="B44" s="43">
        <v>100521086</v>
      </c>
      <c r="C44" s="44" t="s">
        <v>88</v>
      </c>
      <c r="D44" s="45"/>
      <c r="E44" s="45" t="s">
        <v>44</v>
      </c>
      <c r="F44" s="44" t="s">
        <v>16</v>
      </c>
      <c r="G44" s="44" t="s">
        <v>17</v>
      </c>
      <c r="H44" s="44" t="s">
        <v>18</v>
      </c>
      <c r="I44" s="44" t="s">
        <v>54</v>
      </c>
      <c r="J44" s="44" t="s">
        <v>28</v>
      </c>
      <c r="K44" s="44" t="s">
        <v>60</v>
      </c>
      <c r="L44" s="44" t="s">
        <v>61</v>
      </c>
      <c r="M44" s="44" t="s">
        <v>62</v>
      </c>
      <c r="N44" s="44" t="s">
        <v>23</v>
      </c>
      <c r="O44" s="46" t="s">
        <v>58</v>
      </c>
      <c r="P44"/>
      <c r="Q44" s="4"/>
      <c r="R44" s="4"/>
      <c r="S44" s="4"/>
      <c r="T44" s="4"/>
      <c r="U44" s="4"/>
    </row>
    <row r="45" spans="2:21" ht="18" hidden="1" customHeight="1" thickTop="1" thickBot="1" x14ac:dyDescent="0.3">
      <c r="B45" s="43">
        <v>100517687</v>
      </c>
      <c r="C45" s="44" t="s">
        <v>89</v>
      </c>
      <c r="D45" s="45"/>
      <c r="E45" s="45" t="s">
        <v>44</v>
      </c>
      <c r="F45" s="44" t="s">
        <v>16</v>
      </c>
      <c r="G45" s="44" t="s">
        <v>17</v>
      </c>
      <c r="H45" s="44" t="s">
        <v>18</v>
      </c>
      <c r="I45" s="44" t="s">
        <v>54</v>
      </c>
      <c r="J45" s="44" t="s">
        <v>28</v>
      </c>
      <c r="K45" s="44" t="s">
        <v>55</v>
      </c>
      <c r="L45" s="44" t="s">
        <v>72</v>
      </c>
      <c r="M45" s="44" t="s">
        <v>57</v>
      </c>
      <c r="N45" s="44" t="s">
        <v>23</v>
      </c>
      <c r="O45" s="46" t="s">
        <v>58</v>
      </c>
      <c r="P45"/>
      <c r="Q45" s="4"/>
      <c r="R45" s="4"/>
      <c r="S45" s="4"/>
      <c r="T45" s="4"/>
      <c r="U45" s="4"/>
    </row>
    <row r="46" spans="2:21" ht="18" hidden="1" customHeight="1" thickTop="1" thickBot="1" x14ac:dyDescent="0.3">
      <c r="B46" s="43">
        <v>100517910</v>
      </c>
      <c r="C46" s="44" t="s">
        <v>90</v>
      </c>
      <c r="D46" s="45"/>
      <c r="E46" s="45" t="s">
        <v>44</v>
      </c>
      <c r="F46" s="44" t="s">
        <v>16</v>
      </c>
      <c r="G46" s="44" t="s">
        <v>17</v>
      </c>
      <c r="H46" s="44" t="s">
        <v>18</v>
      </c>
      <c r="I46" s="44" t="s">
        <v>54</v>
      </c>
      <c r="J46" s="44" t="s">
        <v>20</v>
      </c>
      <c r="K46" s="44" t="s">
        <v>55</v>
      </c>
      <c r="L46" s="44" t="s">
        <v>56</v>
      </c>
      <c r="M46" s="44" t="s">
        <v>73</v>
      </c>
      <c r="N46" s="44" t="str">
        <f>IF(ISERR(FIND("CONG",PRODUCTO_MI_AR68[[#This Row],[NOM PRODUCTO]])),"","CONGELADO")</f>
        <v>CONGELADO</v>
      </c>
      <c r="O46" s="46" t="s">
        <v>58</v>
      </c>
      <c r="P46"/>
      <c r="Q46" s="4"/>
      <c r="R46" s="4"/>
      <c r="S46" s="4"/>
      <c r="T46" s="4"/>
      <c r="U46" s="4"/>
    </row>
    <row r="47" spans="2:21" ht="18" hidden="1" customHeight="1" thickTop="1" thickBot="1" x14ac:dyDescent="0.3">
      <c r="B47" s="43">
        <v>100517596</v>
      </c>
      <c r="C47" s="44" t="s">
        <v>91</v>
      </c>
      <c r="D47" s="45"/>
      <c r="E47" s="45" t="s">
        <v>44</v>
      </c>
      <c r="F47" s="44" t="s">
        <v>16</v>
      </c>
      <c r="G47" s="44" t="s">
        <v>17</v>
      </c>
      <c r="H47" s="44" t="s">
        <v>18</v>
      </c>
      <c r="I47" s="44" t="s">
        <v>54</v>
      </c>
      <c r="J47" s="44" t="s">
        <v>20</v>
      </c>
      <c r="K47" s="44" t="s">
        <v>55</v>
      </c>
      <c r="L47" s="44" t="s">
        <v>78</v>
      </c>
      <c r="M47" s="44" t="s">
        <v>73</v>
      </c>
      <c r="N47" s="44" t="str">
        <f>IF(ISERR(FIND("CONG",PRODUCTO_MI_AR68[[#This Row],[NOM PRODUCTO]])),"","CONGELADO")</f>
        <v>CONGELADO</v>
      </c>
      <c r="O47" s="46" t="s">
        <v>58</v>
      </c>
      <c r="P47"/>
      <c r="Q47" s="4"/>
      <c r="R47" s="4"/>
      <c r="S47" s="4"/>
      <c r="T47" s="4"/>
      <c r="U47" s="4"/>
    </row>
    <row r="48" spans="2:21" ht="18" hidden="1" customHeight="1" thickTop="1" thickBot="1" x14ac:dyDescent="0.3">
      <c r="B48" s="43">
        <v>100517325</v>
      </c>
      <c r="C48" s="44" t="s">
        <v>92</v>
      </c>
      <c r="D48" s="45"/>
      <c r="E48" s="45" t="str">
        <f>IF(ISERR(FIND("(L)",PRODUCTO_MI_AR68[[#This Row],[NOM PRODUCTO]])),"","MI")</f>
        <v>MI</v>
      </c>
      <c r="F48" s="44" t="s">
        <v>16</v>
      </c>
      <c r="G48" s="44" t="s">
        <v>17</v>
      </c>
      <c r="H48" s="44" t="s">
        <v>18</v>
      </c>
      <c r="I48" s="44" t="s">
        <v>54</v>
      </c>
      <c r="J48" s="44" t="s">
        <v>28</v>
      </c>
      <c r="K48" s="44" t="s">
        <v>55</v>
      </c>
      <c r="L48" s="44" t="s">
        <v>72</v>
      </c>
      <c r="M48" s="44" t="s">
        <v>57</v>
      </c>
      <c r="N48" s="44" t="str">
        <f>IF(ISERR(FIND("CONG",PRODUCTO_MI_AR68[[#This Row],[NOM PRODUCTO]])),"","CONGELADO")</f>
        <v>CONGELADO</v>
      </c>
      <c r="O48" s="46" t="s">
        <v>58</v>
      </c>
      <c r="P48"/>
      <c r="Q48" s="4"/>
      <c r="R48" s="4"/>
      <c r="S48" s="4"/>
      <c r="T48" s="4"/>
      <c r="U48" s="4"/>
    </row>
    <row r="49" spans="2:21" ht="18" hidden="1" customHeight="1" thickTop="1" thickBot="1" x14ac:dyDescent="0.3">
      <c r="B49" s="43">
        <v>100520678</v>
      </c>
      <c r="C49" s="44" t="s">
        <v>93</v>
      </c>
      <c r="D49" s="45"/>
      <c r="E49" s="45" t="str">
        <f>IF(ISERR(FIND("ISRAEL",PRODUCTO_MI_AR68[[#This Row],[NOM PRODUCTO]])),"","ME")</f>
        <v>ME</v>
      </c>
      <c r="F49" s="44" t="s">
        <v>16</v>
      </c>
      <c r="G49" s="44" t="s">
        <v>17</v>
      </c>
      <c r="H49" s="44" t="s">
        <v>18</v>
      </c>
      <c r="I49" s="44" t="s">
        <v>54</v>
      </c>
      <c r="J49" s="44" t="s">
        <v>28</v>
      </c>
      <c r="K49" s="44" t="s">
        <v>55</v>
      </c>
      <c r="L49" s="44" t="s">
        <v>56</v>
      </c>
      <c r="M49" s="44" t="s">
        <v>29</v>
      </c>
      <c r="N49" s="44" t="s">
        <v>23</v>
      </c>
      <c r="O49" s="46" t="s">
        <v>58</v>
      </c>
      <c r="P49"/>
      <c r="Q49" s="4"/>
      <c r="R49" s="4"/>
      <c r="S49" s="4"/>
      <c r="T49" s="4"/>
      <c r="U49" s="4"/>
    </row>
    <row r="50" spans="2:21" ht="18" hidden="1" customHeight="1" thickTop="1" thickBot="1" x14ac:dyDescent="0.3">
      <c r="B50" s="43">
        <v>100520677</v>
      </c>
      <c r="C50" s="44" t="s">
        <v>94</v>
      </c>
      <c r="D50" s="45"/>
      <c r="E50" s="45" t="str">
        <f>IF(ISERR(FIND("KOSHER",PRODUCTO_MI_AR68[[#This Row],[NOM PRODUCTO]])),"","ME")</f>
        <v>ME</v>
      </c>
      <c r="F50" s="44" t="s">
        <v>16</v>
      </c>
      <c r="G50" s="44" t="s">
        <v>17</v>
      </c>
      <c r="H50" s="44" t="s">
        <v>18</v>
      </c>
      <c r="I50" s="44" t="s">
        <v>54</v>
      </c>
      <c r="J50" s="44" t="s">
        <v>28</v>
      </c>
      <c r="K50" s="44" t="s">
        <v>55</v>
      </c>
      <c r="L50" s="44" t="s">
        <v>56</v>
      </c>
      <c r="M50" s="44" t="s">
        <v>29</v>
      </c>
      <c r="N50" s="44" t="s">
        <v>23</v>
      </c>
      <c r="O50" s="46" t="s">
        <v>58</v>
      </c>
      <c r="P50"/>
      <c r="Q50" s="4"/>
      <c r="R50" s="4"/>
      <c r="S50" s="4"/>
      <c r="T50" s="4"/>
      <c r="U50" s="4"/>
    </row>
    <row r="51" spans="2:21" ht="18" hidden="1" customHeight="1" thickTop="1" thickBot="1" x14ac:dyDescent="0.3">
      <c r="B51" s="43">
        <v>100516785</v>
      </c>
      <c r="C51" s="44" t="s">
        <v>95</v>
      </c>
      <c r="D51" s="45"/>
      <c r="E51" s="45" t="s">
        <v>44</v>
      </c>
      <c r="F51" s="44" t="s">
        <v>16</v>
      </c>
      <c r="G51" s="44" t="s">
        <v>17</v>
      </c>
      <c r="H51" s="44" t="s">
        <v>18</v>
      </c>
      <c r="I51" s="44" t="s">
        <v>54</v>
      </c>
      <c r="J51" s="44" t="s">
        <v>28</v>
      </c>
      <c r="K51" s="44" t="s">
        <v>60</v>
      </c>
      <c r="L51" s="44" t="s">
        <v>61</v>
      </c>
      <c r="M51" s="44" t="s">
        <v>62</v>
      </c>
      <c r="N51" s="44" t="s">
        <v>23</v>
      </c>
      <c r="O51" s="46" t="s">
        <v>58</v>
      </c>
      <c r="P51"/>
      <c r="Q51" s="4"/>
      <c r="R51" s="4"/>
      <c r="S51" s="4"/>
      <c r="T51" s="4"/>
      <c r="U51" s="4"/>
    </row>
    <row r="52" spans="2:21" ht="18" hidden="1" customHeight="1" thickTop="1" thickBot="1" x14ac:dyDescent="0.3">
      <c r="B52" s="43">
        <v>100016157</v>
      </c>
      <c r="C52" s="44" t="s">
        <v>96</v>
      </c>
      <c r="D52" s="45"/>
      <c r="E52" s="45" t="s">
        <v>44</v>
      </c>
      <c r="F52" s="44" t="s">
        <v>16</v>
      </c>
      <c r="G52" s="44" t="s">
        <v>17</v>
      </c>
      <c r="H52" s="44" t="s">
        <v>18</v>
      </c>
      <c r="I52" s="44" t="s">
        <v>97</v>
      </c>
      <c r="J52" s="44" t="s">
        <v>28</v>
      </c>
      <c r="K52" s="44" t="s">
        <v>98</v>
      </c>
      <c r="L52" s="44" t="s">
        <v>99</v>
      </c>
      <c r="M52" s="44" t="s">
        <v>62</v>
      </c>
      <c r="N52" s="44" t="str">
        <f>IF(ISERR(FIND("CONG",PRODUCTO_MI_AR68[[#This Row],[NOM PRODUCTO]])),"","CONGELADO")</f>
        <v>CONGELADO</v>
      </c>
      <c r="O52" s="46" t="s">
        <v>98</v>
      </c>
      <c r="P52"/>
      <c r="Q52" s="4"/>
      <c r="R52" s="4"/>
      <c r="S52" s="4"/>
      <c r="T52" s="4"/>
      <c r="U52" s="4"/>
    </row>
    <row r="53" spans="2:21" ht="18" hidden="1" customHeight="1" thickTop="1" thickBot="1" x14ac:dyDescent="0.3">
      <c r="B53" s="43">
        <v>100518907</v>
      </c>
      <c r="C53" s="44" t="s">
        <v>100</v>
      </c>
      <c r="D53" s="45"/>
      <c r="E53" s="45" t="str">
        <f>IF(ISERR(FIND("PUL",PRODUCTO_MI_AR68[[#This Row],[NOM PRODUCTO]])),"","ME")</f>
        <v>ME</v>
      </c>
      <c r="F53" s="44" t="s">
        <v>16</v>
      </c>
      <c r="G53" s="44" t="s">
        <v>17</v>
      </c>
      <c r="H53" s="44" t="s">
        <v>18</v>
      </c>
      <c r="I53" s="44" t="s">
        <v>101</v>
      </c>
      <c r="J53" s="44" t="s">
        <v>28</v>
      </c>
      <c r="K53" s="44" t="s">
        <v>102</v>
      </c>
      <c r="L53" s="44" t="s">
        <v>103</v>
      </c>
      <c r="M53" s="44" t="s">
        <v>29</v>
      </c>
      <c r="N53" s="44" t="str">
        <f>IF(ISERR(FIND("CONG",PRODUCTO_MI_AR68[[#This Row],[NOM PRODUCTO]])),"","CONGELADO")</f>
        <v>CONGELADO</v>
      </c>
      <c r="O53" s="46" t="s">
        <v>24</v>
      </c>
      <c r="P53"/>
      <c r="Q53" s="4"/>
      <c r="R53" s="4"/>
      <c r="S53" s="4"/>
      <c r="T53" s="4"/>
      <c r="U53" s="4"/>
    </row>
    <row r="54" spans="2:21" ht="18" hidden="1" customHeight="1" thickTop="1" thickBot="1" x14ac:dyDescent="0.3">
      <c r="B54" s="43">
        <v>100010343</v>
      </c>
      <c r="C54" s="44" t="s">
        <v>104</v>
      </c>
      <c r="D54" s="45"/>
      <c r="E54" s="45" t="str">
        <f>IF(ISERR(FIND("CLL",PRODUCTO_MI_AR68[[#This Row],[NOM PRODUCTO]])),"","ME")</f>
        <v>ME</v>
      </c>
      <c r="F54" s="44" t="s">
        <v>16</v>
      </c>
      <c r="G54" s="44" t="s">
        <v>17</v>
      </c>
      <c r="H54" s="44" t="s">
        <v>18</v>
      </c>
      <c r="I54" s="44" t="s">
        <v>101</v>
      </c>
      <c r="J54" s="44" t="s">
        <v>20</v>
      </c>
      <c r="K54" s="44" t="s">
        <v>102</v>
      </c>
      <c r="L54" s="44" t="s">
        <v>105</v>
      </c>
      <c r="M54" s="44" t="s">
        <v>22</v>
      </c>
      <c r="N54" s="44" t="s">
        <v>23</v>
      </c>
      <c r="O54" s="46" t="s">
        <v>24</v>
      </c>
      <c r="P54"/>
      <c r="Q54" s="4"/>
      <c r="R54" s="4"/>
      <c r="S54" s="4"/>
      <c r="T54" s="4"/>
      <c r="U54" s="4"/>
    </row>
    <row r="55" spans="2:21" ht="18" hidden="1" customHeight="1" thickTop="1" thickBot="1" x14ac:dyDescent="0.3">
      <c r="B55" s="43">
        <v>100012930</v>
      </c>
      <c r="C55" s="44" t="s">
        <v>106</v>
      </c>
      <c r="D55" s="45"/>
      <c r="E55" s="45" t="str">
        <f>IF(ISERR(FIND("CLL",PRODUCTO_MI_AR68[[#This Row],[NOM PRODUCTO]])),"","ME")</f>
        <v>ME</v>
      </c>
      <c r="F55" s="44" t="s">
        <v>16</v>
      </c>
      <c r="G55" s="44" t="s">
        <v>17</v>
      </c>
      <c r="H55" s="44" t="s">
        <v>18</v>
      </c>
      <c r="I55" s="44" t="s">
        <v>101</v>
      </c>
      <c r="J55" s="44" t="s">
        <v>20</v>
      </c>
      <c r="K55" s="44" t="s">
        <v>102</v>
      </c>
      <c r="L55" s="44" t="s">
        <v>105</v>
      </c>
      <c r="M55" s="44" t="s">
        <v>22</v>
      </c>
      <c r="N55" s="44" t="s">
        <v>23</v>
      </c>
      <c r="O55" s="46" t="s">
        <v>24</v>
      </c>
      <c r="P55"/>
      <c r="Q55" s="4"/>
      <c r="R55" s="4"/>
      <c r="S55" s="4"/>
      <c r="T55" s="4"/>
      <c r="U55" s="4"/>
    </row>
    <row r="56" spans="2:21" ht="18" hidden="1" customHeight="1" thickTop="1" thickBot="1" x14ac:dyDescent="0.3">
      <c r="B56" s="43">
        <v>100523036</v>
      </c>
      <c r="C56" s="44" t="s">
        <v>107</v>
      </c>
      <c r="D56" s="45"/>
      <c r="E56" s="45" t="s">
        <v>44</v>
      </c>
      <c r="F56" s="44" t="s">
        <v>16</v>
      </c>
      <c r="G56" s="44" t="s">
        <v>27</v>
      </c>
      <c r="H56" s="44" t="s">
        <v>18</v>
      </c>
      <c r="I56" s="44" t="s">
        <v>101</v>
      </c>
      <c r="J56" s="44" t="s">
        <v>28</v>
      </c>
      <c r="K56" s="44" t="s">
        <v>102</v>
      </c>
      <c r="L56" s="44" t="s">
        <v>105</v>
      </c>
      <c r="M56" s="44" t="s">
        <v>29</v>
      </c>
      <c r="N56" s="44" t="s">
        <v>23</v>
      </c>
      <c r="O56" s="46" t="s">
        <v>24</v>
      </c>
      <c r="P56"/>
      <c r="Q56" s="4"/>
      <c r="R56" s="4"/>
      <c r="S56" s="4"/>
      <c r="T56" s="4" t="s">
        <v>108</v>
      </c>
      <c r="U56" s="4"/>
    </row>
    <row r="57" spans="2:21" ht="18" hidden="1" customHeight="1" thickTop="1" thickBot="1" x14ac:dyDescent="0.3">
      <c r="B57" s="43">
        <v>100011011</v>
      </c>
      <c r="C57" s="44" t="s">
        <v>109</v>
      </c>
      <c r="D57" s="45"/>
      <c r="E57" s="45" t="s">
        <v>44</v>
      </c>
      <c r="F57" s="44" t="s">
        <v>16</v>
      </c>
      <c r="G57" s="44" t="s">
        <v>17</v>
      </c>
      <c r="H57" s="44" t="s">
        <v>18</v>
      </c>
      <c r="I57" s="44" t="s">
        <v>101</v>
      </c>
      <c r="J57" s="44" t="s">
        <v>28</v>
      </c>
      <c r="K57" s="44" t="s">
        <v>102</v>
      </c>
      <c r="L57" s="44" t="s">
        <v>105</v>
      </c>
      <c r="M57" s="44" t="s">
        <v>57</v>
      </c>
      <c r="N57" s="44" t="s">
        <v>23</v>
      </c>
      <c r="O57" s="46" t="s">
        <v>24</v>
      </c>
      <c r="P57"/>
      <c r="Q57" s="4"/>
      <c r="R57" s="4"/>
      <c r="S57" s="4"/>
      <c r="T57" s="4"/>
      <c r="U57" s="4"/>
    </row>
    <row r="58" spans="2:21" ht="17.45" hidden="1" customHeight="1" thickTop="1" thickBot="1" x14ac:dyDescent="0.3">
      <c r="B58" s="43">
        <v>100520747</v>
      </c>
      <c r="C58" s="44" t="s">
        <v>110</v>
      </c>
      <c r="D58" s="45"/>
      <c r="E58" s="45" t="str">
        <f>IF(ISERR(FIND("CHILE",PRODUCTO_MI_AR68[[#This Row],[NOM PRODUCTO]])),"","ME")</f>
        <v>ME</v>
      </c>
      <c r="F58" s="44" t="s">
        <v>16</v>
      </c>
      <c r="G58" s="44" t="s">
        <v>17</v>
      </c>
      <c r="H58" s="44" t="s">
        <v>18</v>
      </c>
      <c r="I58" s="44" t="s">
        <v>101</v>
      </c>
      <c r="J58" s="44" t="s">
        <v>28</v>
      </c>
      <c r="K58" s="44" t="s">
        <v>102</v>
      </c>
      <c r="L58" s="44" t="s">
        <v>105</v>
      </c>
      <c r="M58" s="44" t="s">
        <v>29</v>
      </c>
      <c r="N58" s="44" t="str">
        <f>IF(ISERR(FIND("CONG",PRODUCTO_MI_AR68[[#This Row],[NOM PRODUCTO]])),"","CONGELADO")</f>
        <v>CONGELADO</v>
      </c>
      <c r="O58" s="46" t="s">
        <v>24</v>
      </c>
      <c r="P58"/>
      <c r="Q58" s="4"/>
      <c r="R58" s="4"/>
      <c r="S58" s="4"/>
      <c r="T58" s="4"/>
      <c r="U58" s="4"/>
    </row>
    <row r="59" spans="2:21" ht="18" hidden="1" customHeight="1" thickTop="1" thickBot="1" x14ac:dyDescent="0.3">
      <c r="B59" s="43">
        <v>100520425</v>
      </c>
      <c r="C59" s="44" t="s">
        <v>111</v>
      </c>
      <c r="D59" s="45"/>
      <c r="E59" s="45" t="str">
        <f>IF(ISERR(FIND("PUL",PRODUCTO_MI_AR68[[#This Row],[NOM PRODUCTO]])),"","ME")</f>
        <v>ME</v>
      </c>
      <c r="F59" s="44" t="s">
        <v>16</v>
      </c>
      <c r="G59" s="44" t="s">
        <v>17</v>
      </c>
      <c r="H59" s="44" t="s">
        <v>18</v>
      </c>
      <c r="I59" s="44" t="s">
        <v>101</v>
      </c>
      <c r="J59" s="44" t="s">
        <v>28</v>
      </c>
      <c r="K59" s="44" t="s">
        <v>102</v>
      </c>
      <c r="L59" s="44" t="s">
        <v>105</v>
      </c>
      <c r="M59" s="44" t="s">
        <v>29</v>
      </c>
      <c r="N59" s="44" t="str">
        <f>IF(ISERR(FIND("CONG",PRODUCTO_MI_AR68[[#This Row],[NOM PRODUCTO]])),"","CONGELADO")</f>
        <v>CONGELADO</v>
      </c>
      <c r="O59" s="46" t="s">
        <v>24</v>
      </c>
      <c r="P59"/>
      <c r="Q59" s="4"/>
      <c r="R59" s="4"/>
      <c r="S59" s="4"/>
      <c r="T59" s="4"/>
      <c r="U59" s="4"/>
    </row>
    <row r="60" spans="2:21" s="10" customFormat="1" ht="18" hidden="1" customHeight="1" thickTop="1" thickBot="1" x14ac:dyDescent="0.3">
      <c r="B60" s="43">
        <v>100522324</v>
      </c>
      <c r="C60" s="44" t="s">
        <v>112</v>
      </c>
      <c r="D60" s="45"/>
      <c r="E60" s="45" t="str">
        <f>IF(ISERR(FIND("PUL",PRODUCTO_MI_AR68[[#This Row],[NOM PRODUCTO]])),"","ME")</f>
        <v>ME</v>
      </c>
      <c r="F60" s="44" t="s">
        <v>16</v>
      </c>
      <c r="G60" s="44" t="s">
        <v>17</v>
      </c>
      <c r="H60" s="44" t="s">
        <v>18</v>
      </c>
      <c r="I60" s="44" t="s">
        <v>101</v>
      </c>
      <c r="J60" s="44" t="s">
        <v>40</v>
      </c>
      <c r="K60" s="44" t="s">
        <v>102</v>
      </c>
      <c r="L60" s="44" t="s">
        <v>105</v>
      </c>
      <c r="M60" s="44" t="s">
        <v>113</v>
      </c>
      <c r="N60" s="44" t="s">
        <v>23</v>
      </c>
      <c r="O60" s="46" t="s">
        <v>24</v>
      </c>
      <c r="P60"/>
    </row>
    <row r="61" spans="2:21" ht="18" hidden="1" customHeight="1" thickTop="1" thickBot="1" x14ac:dyDescent="0.3">
      <c r="B61" s="43">
        <v>100517063</v>
      </c>
      <c r="C61" s="44" t="s">
        <v>114</v>
      </c>
      <c r="D61" s="45"/>
      <c r="E61" s="45" t="str">
        <f>IF(ISERR(FIND("CLL",PRODUCTO_MI_AR68[[#This Row],[NOM PRODUCTO]])),"","ME")</f>
        <v>ME</v>
      </c>
      <c r="F61" s="44" t="s">
        <v>16</v>
      </c>
      <c r="G61" s="44" t="s">
        <v>17</v>
      </c>
      <c r="H61" s="44" t="s">
        <v>18</v>
      </c>
      <c r="I61" s="44" t="s">
        <v>101</v>
      </c>
      <c r="J61" s="44" t="s">
        <v>20</v>
      </c>
      <c r="K61" s="44" t="s">
        <v>102</v>
      </c>
      <c r="L61" s="44" t="s">
        <v>105</v>
      </c>
      <c r="M61" s="44" t="s">
        <v>22</v>
      </c>
      <c r="N61" s="44" t="s">
        <v>23</v>
      </c>
      <c r="O61" s="46" t="s">
        <v>24</v>
      </c>
      <c r="P61"/>
      <c r="Q61" s="4"/>
      <c r="R61" s="4"/>
      <c r="S61" s="4"/>
      <c r="T61" s="4"/>
      <c r="U61" s="4"/>
    </row>
    <row r="62" spans="2:21" ht="18" hidden="1" customHeight="1" thickTop="1" thickBot="1" x14ac:dyDescent="0.3">
      <c r="B62" s="43">
        <v>100519661</v>
      </c>
      <c r="C62" s="44" t="s">
        <v>115</v>
      </c>
      <c r="D62" s="45"/>
      <c r="E62" s="45" t="str">
        <f>IF(ISERR(FIND("PUL",PRODUCTO_MI_AR68[[#This Row],[NOM PRODUCTO]])),"","ME")</f>
        <v>ME</v>
      </c>
      <c r="F62" s="44" t="s">
        <v>16</v>
      </c>
      <c r="G62" s="44" t="s">
        <v>17</v>
      </c>
      <c r="H62" s="44" t="s">
        <v>18</v>
      </c>
      <c r="I62" s="44" t="s">
        <v>101</v>
      </c>
      <c r="J62" s="44" t="s">
        <v>28</v>
      </c>
      <c r="K62" s="44" t="s">
        <v>102</v>
      </c>
      <c r="L62" s="44" t="s">
        <v>105</v>
      </c>
      <c r="M62" s="44" t="s">
        <v>29</v>
      </c>
      <c r="N62" s="44" t="s">
        <v>23</v>
      </c>
      <c r="O62" s="46" t="s">
        <v>24</v>
      </c>
      <c r="P62"/>
      <c r="Q62" s="4"/>
      <c r="R62" s="4"/>
      <c r="S62" s="4"/>
      <c r="T62" s="4"/>
      <c r="U62" s="4"/>
    </row>
    <row r="63" spans="2:21" ht="18" hidden="1" customHeight="1" thickTop="1" thickBot="1" x14ac:dyDescent="0.3">
      <c r="B63" s="43">
        <v>100519631</v>
      </c>
      <c r="C63" s="44" t="s">
        <v>116</v>
      </c>
      <c r="D63" s="45"/>
      <c r="E63" s="45" t="str">
        <f>IF(ISERR(FIND("PUL",PRODUCTO_MI_AR68[[#This Row],[NOM PRODUCTO]])),"","ME")</f>
        <v>ME</v>
      </c>
      <c r="F63" s="44" t="s">
        <v>16</v>
      </c>
      <c r="G63" s="44" t="s">
        <v>17</v>
      </c>
      <c r="H63" s="44" t="s">
        <v>18</v>
      </c>
      <c r="I63" s="44" t="s">
        <v>101</v>
      </c>
      <c r="J63" s="44" t="s">
        <v>28</v>
      </c>
      <c r="K63" s="44" t="s">
        <v>102</v>
      </c>
      <c r="L63" s="44" t="s">
        <v>105</v>
      </c>
      <c r="M63" s="44" t="s">
        <v>29</v>
      </c>
      <c r="N63" s="44" t="s">
        <v>23</v>
      </c>
      <c r="O63" s="46" t="s">
        <v>24</v>
      </c>
      <c r="P63"/>
      <c r="Q63" s="4"/>
      <c r="R63" s="4"/>
      <c r="S63" s="4"/>
      <c r="T63" s="4"/>
      <c r="U63" s="4"/>
    </row>
    <row r="64" spans="2:21" ht="18" hidden="1" customHeight="1" thickTop="1" thickBot="1" x14ac:dyDescent="0.3">
      <c r="B64" s="43">
        <v>100519845</v>
      </c>
      <c r="C64" s="44" t="s">
        <v>117</v>
      </c>
      <c r="D64" s="45"/>
      <c r="E64" s="45" t="str">
        <f>IF(ISERR(FIND("CLL",PRODUCTO_MI_AR68[[#This Row],[NOM PRODUCTO]])),"","ME")</f>
        <v>ME</v>
      </c>
      <c r="F64" s="44" t="s">
        <v>16</v>
      </c>
      <c r="G64" s="44" t="s">
        <v>17</v>
      </c>
      <c r="H64" s="44" t="s">
        <v>18</v>
      </c>
      <c r="I64" s="44" t="s">
        <v>101</v>
      </c>
      <c r="J64" s="44" t="s">
        <v>20</v>
      </c>
      <c r="K64" s="44" t="s">
        <v>102</v>
      </c>
      <c r="L64" s="44" t="s">
        <v>105</v>
      </c>
      <c r="M64" s="44" t="s">
        <v>22</v>
      </c>
      <c r="N64" s="44" t="s">
        <v>23</v>
      </c>
      <c r="O64" s="46" t="s">
        <v>24</v>
      </c>
      <c r="P64"/>
      <c r="Q64" s="4"/>
      <c r="R64" s="4"/>
      <c r="S64" s="4"/>
      <c r="T64" s="4"/>
      <c r="U64" s="4"/>
    </row>
    <row r="65" spans="2:21" ht="18" hidden="1" customHeight="1" thickTop="1" thickBot="1" x14ac:dyDescent="0.3">
      <c r="B65" s="43">
        <v>100519662</v>
      </c>
      <c r="C65" s="44" t="s">
        <v>118</v>
      </c>
      <c r="D65" s="45"/>
      <c r="E65" s="45" t="str">
        <f>IF(ISERR(FIND("PUL",PRODUCTO_MI_AR68[[#This Row],[NOM PRODUCTO]])),"","ME")</f>
        <v>ME</v>
      </c>
      <c r="F65" s="44" t="s">
        <v>16</v>
      </c>
      <c r="G65" s="44" t="s">
        <v>17</v>
      </c>
      <c r="H65" s="44" t="s">
        <v>18</v>
      </c>
      <c r="I65" s="44" t="s">
        <v>101</v>
      </c>
      <c r="J65" s="44" t="s">
        <v>28</v>
      </c>
      <c r="K65" s="44" t="s">
        <v>102</v>
      </c>
      <c r="L65" s="44" t="s">
        <v>105</v>
      </c>
      <c r="M65" s="44" t="s">
        <v>29</v>
      </c>
      <c r="N65" s="44" t="s">
        <v>23</v>
      </c>
      <c r="O65" s="46" t="s">
        <v>24</v>
      </c>
      <c r="P65"/>
      <c r="Q65" s="4"/>
      <c r="R65" s="4"/>
      <c r="S65" s="4"/>
      <c r="T65" s="4"/>
      <c r="U65" s="4"/>
    </row>
    <row r="66" spans="2:21" ht="18" hidden="1" customHeight="1" thickTop="1" thickBot="1" x14ac:dyDescent="0.3">
      <c r="B66" s="43">
        <v>100519632</v>
      </c>
      <c r="C66" s="44" t="s">
        <v>119</v>
      </c>
      <c r="D66" s="45"/>
      <c r="E66" s="45" t="str">
        <f>IF(ISERR(FIND("PUL",PRODUCTO_MI_AR68[[#This Row],[NOM PRODUCTO]])),"","ME")</f>
        <v>ME</v>
      </c>
      <c r="F66" s="44" t="s">
        <v>16</v>
      </c>
      <c r="G66" s="44" t="s">
        <v>17</v>
      </c>
      <c r="H66" s="44" t="s">
        <v>18</v>
      </c>
      <c r="I66" s="44" t="s">
        <v>101</v>
      </c>
      <c r="J66" s="44" t="s">
        <v>28</v>
      </c>
      <c r="K66" s="44" t="s">
        <v>102</v>
      </c>
      <c r="L66" s="44" t="s">
        <v>105</v>
      </c>
      <c r="M66" s="44" t="s">
        <v>29</v>
      </c>
      <c r="N66" s="44" t="s">
        <v>23</v>
      </c>
      <c r="O66" s="46" t="s">
        <v>24</v>
      </c>
      <c r="P66"/>
      <c r="Q66" s="4"/>
      <c r="R66" s="4"/>
      <c r="S66" s="4"/>
      <c r="T66" s="4"/>
      <c r="U66" s="4"/>
    </row>
    <row r="67" spans="2:21" ht="18" hidden="1" customHeight="1" thickTop="1" thickBot="1" x14ac:dyDescent="0.3">
      <c r="B67" s="43">
        <v>100519847</v>
      </c>
      <c r="C67" s="44" t="s">
        <v>120</v>
      </c>
      <c r="D67" s="45"/>
      <c r="E67" s="45" t="str">
        <f>IF(ISERR(FIND("CLL",PRODUCTO_MI_AR68[[#This Row],[NOM PRODUCTO]])),"","ME")</f>
        <v>ME</v>
      </c>
      <c r="F67" s="44" t="s">
        <v>16</v>
      </c>
      <c r="G67" s="44" t="s">
        <v>17</v>
      </c>
      <c r="H67" s="44" t="s">
        <v>18</v>
      </c>
      <c r="I67" s="44" t="s">
        <v>101</v>
      </c>
      <c r="J67" s="44" t="s">
        <v>20</v>
      </c>
      <c r="K67" s="44" t="s">
        <v>102</v>
      </c>
      <c r="L67" s="44" t="s">
        <v>105</v>
      </c>
      <c r="M67" s="44" t="s">
        <v>22</v>
      </c>
      <c r="N67" s="44" t="s">
        <v>23</v>
      </c>
      <c r="O67" s="46" t="s">
        <v>24</v>
      </c>
      <c r="P67"/>
      <c r="Q67" s="4"/>
      <c r="R67" s="4"/>
      <c r="S67" s="4"/>
      <c r="T67" s="4"/>
      <c r="U67" s="4"/>
    </row>
    <row r="68" spans="2:21" ht="18" hidden="1" customHeight="1" thickTop="1" thickBot="1" x14ac:dyDescent="0.3">
      <c r="B68" s="43">
        <v>100520448</v>
      </c>
      <c r="C68" s="44" t="s">
        <v>121</v>
      </c>
      <c r="D68" s="45"/>
      <c r="E68" s="45" t="str">
        <f>IF(ISERR(FIND("CLL",PRODUCTO_MI_AR68[[#This Row],[NOM PRODUCTO]])),"","ME")</f>
        <v>ME</v>
      </c>
      <c r="F68" s="44" t="s">
        <v>16</v>
      </c>
      <c r="G68" s="44" t="s">
        <v>17</v>
      </c>
      <c r="H68" s="44" t="s">
        <v>18</v>
      </c>
      <c r="I68" s="44" t="s">
        <v>101</v>
      </c>
      <c r="J68" s="44" t="s">
        <v>20</v>
      </c>
      <c r="K68" s="44" t="s">
        <v>102</v>
      </c>
      <c r="L68" s="44" t="s">
        <v>105</v>
      </c>
      <c r="M68" s="44" t="s">
        <v>22</v>
      </c>
      <c r="N68" s="44" t="s">
        <v>23</v>
      </c>
      <c r="O68" s="46" t="s">
        <v>24</v>
      </c>
      <c r="P68"/>
      <c r="Q68" s="4"/>
      <c r="R68" s="4"/>
      <c r="S68" s="4"/>
      <c r="T68" s="4"/>
      <c r="U68" s="4"/>
    </row>
    <row r="69" spans="2:21" ht="18" hidden="1" customHeight="1" thickTop="1" thickBot="1" x14ac:dyDescent="0.3">
      <c r="B69" s="43">
        <v>100521087</v>
      </c>
      <c r="C69" s="44" t="s">
        <v>122</v>
      </c>
      <c r="D69" s="45"/>
      <c r="E69" s="45" t="str">
        <f>IF(ISERR(FIND("CLL",PRODUCTO_MI_AR68[[#This Row],[NOM PRODUCTO]])),"","ME")</f>
        <v>ME</v>
      </c>
      <c r="F69" s="44" t="s">
        <v>16</v>
      </c>
      <c r="G69" s="44" t="s">
        <v>17</v>
      </c>
      <c r="H69" s="44" t="s">
        <v>18</v>
      </c>
      <c r="I69" s="44" t="s">
        <v>101</v>
      </c>
      <c r="J69" s="44" t="s">
        <v>20</v>
      </c>
      <c r="K69" s="44" t="s">
        <v>102</v>
      </c>
      <c r="L69" s="44" t="s">
        <v>105</v>
      </c>
      <c r="M69" s="44" t="s">
        <v>22</v>
      </c>
      <c r="N69" s="44" t="s">
        <v>23</v>
      </c>
      <c r="O69" s="46" t="s">
        <v>24</v>
      </c>
      <c r="P69"/>
      <c r="Q69" s="4"/>
      <c r="R69" s="4"/>
      <c r="S69" s="4"/>
      <c r="T69" s="4"/>
      <c r="U69" s="4"/>
    </row>
    <row r="70" spans="2:21" ht="18" hidden="1" customHeight="1" thickTop="1" thickBot="1" x14ac:dyDescent="0.3">
      <c r="B70" s="43">
        <v>100519846</v>
      </c>
      <c r="C70" s="44" t="s">
        <v>123</v>
      </c>
      <c r="D70" s="45"/>
      <c r="E70" s="45" t="str">
        <f>IF(ISERR(FIND("CLL",PRODUCTO_MI_AR68[[#This Row],[NOM PRODUCTO]])),"","ME")</f>
        <v>ME</v>
      </c>
      <c r="F70" s="44" t="s">
        <v>16</v>
      </c>
      <c r="G70" s="44" t="s">
        <v>17</v>
      </c>
      <c r="H70" s="44" t="s">
        <v>18</v>
      </c>
      <c r="I70" s="44" t="s">
        <v>101</v>
      </c>
      <c r="J70" s="44" t="s">
        <v>20</v>
      </c>
      <c r="K70" s="44" t="s">
        <v>102</v>
      </c>
      <c r="L70" s="44" t="s">
        <v>105</v>
      </c>
      <c r="M70" s="44" t="s">
        <v>22</v>
      </c>
      <c r="N70" s="44" t="s">
        <v>23</v>
      </c>
      <c r="O70" s="46" t="s">
        <v>24</v>
      </c>
      <c r="P70"/>
      <c r="Q70" s="4"/>
      <c r="R70" s="4"/>
      <c r="S70" s="4"/>
      <c r="T70" s="4"/>
      <c r="U70" s="4"/>
    </row>
    <row r="71" spans="2:21" ht="18" hidden="1" customHeight="1" thickTop="1" thickBot="1" x14ac:dyDescent="0.3">
      <c r="B71" s="43">
        <v>100519634</v>
      </c>
      <c r="C71" s="44" t="s">
        <v>124</v>
      </c>
      <c r="D71" s="45"/>
      <c r="E71" s="45" t="str">
        <f>IF(ISERR(FIND("PUL",PRODUCTO_MI_AR68[[#This Row],[NOM PRODUCTO]])),"","ME")</f>
        <v>ME</v>
      </c>
      <c r="F71" s="44" t="s">
        <v>16</v>
      </c>
      <c r="G71" s="44" t="s">
        <v>17</v>
      </c>
      <c r="H71" s="44" t="s">
        <v>18</v>
      </c>
      <c r="I71" s="44" t="s">
        <v>101</v>
      </c>
      <c r="J71" s="44" t="s">
        <v>28</v>
      </c>
      <c r="K71" s="44" t="s">
        <v>102</v>
      </c>
      <c r="L71" s="44" t="s">
        <v>105</v>
      </c>
      <c r="M71" s="44" t="s">
        <v>29</v>
      </c>
      <c r="N71" s="44" t="s">
        <v>23</v>
      </c>
      <c r="O71" s="46" t="s">
        <v>24</v>
      </c>
      <c r="P71"/>
      <c r="Q71" s="4"/>
      <c r="R71" s="4"/>
      <c r="S71" s="4"/>
      <c r="T71" s="4"/>
      <c r="U71" s="4"/>
    </row>
    <row r="72" spans="2:21" ht="18" hidden="1" customHeight="1" thickTop="1" thickBot="1" x14ac:dyDescent="0.3">
      <c r="B72" s="43">
        <v>100519663</v>
      </c>
      <c r="C72" s="44" t="s">
        <v>125</v>
      </c>
      <c r="D72" s="45"/>
      <c r="E72" s="45" t="str">
        <f>IF(ISERR(FIND("PUL",PRODUCTO_MI_AR68[[#This Row],[NOM PRODUCTO]])),"","ME")</f>
        <v>ME</v>
      </c>
      <c r="F72" s="44" t="s">
        <v>16</v>
      </c>
      <c r="G72" s="44" t="s">
        <v>17</v>
      </c>
      <c r="H72" s="44" t="s">
        <v>18</v>
      </c>
      <c r="I72" s="44" t="s">
        <v>101</v>
      </c>
      <c r="J72" s="44" t="s">
        <v>28</v>
      </c>
      <c r="K72" s="44" t="s">
        <v>102</v>
      </c>
      <c r="L72" s="44" t="s">
        <v>105</v>
      </c>
      <c r="M72" s="44" t="s">
        <v>29</v>
      </c>
      <c r="N72" s="44" t="s">
        <v>23</v>
      </c>
      <c r="O72" s="46" t="s">
        <v>24</v>
      </c>
      <c r="P72"/>
      <c r="Q72" s="4"/>
      <c r="R72" s="4"/>
      <c r="S72" s="4"/>
      <c r="T72" s="4"/>
      <c r="U72" s="4"/>
    </row>
    <row r="73" spans="2:21" ht="18" hidden="1" customHeight="1" thickTop="1" thickBot="1" x14ac:dyDescent="0.3">
      <c r="B73" s="43">
        <v>100518276</v>
      </c>
      <c r="C73" s="44" t="s">
        <v>126</v>
      </c>
      <c r="D73" s="45"/>
      <c r="E73" s="45" t="str">
        <f>IF(ISERR(FIND("CLL",PRODUCTO_MI_AR68[[#This Row],[NOM PRODUCTO]])),"","ME")</f>
        <v>ME</v>
      </c>
      <c r="F73" s="44" t="s">
        <v>16</v>
      </c>
      <c r="G73" s="44" t="s">
        <v>17</v>
      </c>
      <c r="H73" s="44" t="s">
        <v>18</v>
      </c>
      <c r="I73" s="44" t="s">
        <v>101</v>
      </c>
      <c r="J73" s="44" t="s">
        <v>20</v>
      </c>
      <c r="K73" s="44" t="s">
        <v>102</v>
      </c>
      <c r="L73" s="44" t="s">
        <v>105</v>
      </c>
      <c r="M73" s="44" t="s">
        <v>22</v>
      </c>
      <c r="N73" s="44" t="s">
        <v>23</v>
      </c>
      <c r="O73" s="46" t="s">
        <v>24</v>
      </c>
      <c r="P73"/>
      <c r="Q73" s="4"/>
      <c r="R73" s="4"/>
      <c r="S73" s="4"/>
      <c r="T73" s="4"/>
      <c r="U73" s="4"/>
    </row>
    <row r="74" spans="2:21" ht="18" hidden="1" customHeight="1" thickTop="1" thickBot="1" x14ac:dyDescent="0.3">
      <c r="B74" s="43">
        <v>100521518</v>
      </c>
      <c r="C74" s="44" t="s">
        <v>127</v>
      </c>
      <c r="D74" s="45"/>
      <c r="E74" s="45" t="s">
        <v>44</v>
      </c>
      <c r="F74" s="44" t="s">
        <v>16</v>
      </c>
      <c r="G74" s="44" t="s">
        <v>17</v>
      </c>
      <c r="H74" s="44" t="s">
        <v>18</v>
      </c>
      <c r="I74" s="44" t="s">
        <v>101</v>
      </c>
      <c r="J74" s="44" t="s">
        <v>28</v>
      </c>
      <c r="K74" s="44" t="s">
        <v>102</v>
      </c>
      <c r="L74" s="44" t="s">
        <v>105</v>
      </c>
      <c r="M74" s="44" t="s">
        <v>29</v>
      </c>
      <c r="N74" s="44" t="str">
        <f>IF(ISERR(FIND("CONG",PRODUCTO_MI_AR68[[#This Row],[NOM PRODUCTO]])),"","CONGELADO")</f>
        <v>CONGELADO</v>
      </c>
      <c r="O74" s="46" t="s">
        <v>24</v>
      </c>
      <c r="P74"/>
      <c r="Q74" s="4"/>
      <c r="R74" s="4"/>
      <c r="S74" s="4"/>
      <c r="T74" s="4"/>
      <c r="U74" s="4"/>
    </row>
    <row r="75" spans="2:21" ht="18" hidden="1" customHeight="1" thickTop="1" thickBot="1" x14ac:dyDescent="0.3">
      <c r="B75" s="43">
        <v>100519546</v>
      </c>
      <c r="C75" s="44" t="s">
        <v>128</v>
      </c>
      <c r="D75" s="45"/>
      <c r="E75" s="45" t="str">
        <f>IF(ISERR(FIND("PUL",PRODUCTO_MI_AR68[[#This Row],[NOM PRODUCTO]])),"","ME")</f>
        <v>ME</v>
      </c>
      <c r="F75" s="44" t="s">
        <v>16</v>
      </c>
      <c r="G75" s="44" t="s">
        <v>17</v>
      </c>
      <c r="H75" s="44" t="s">
        <v>18</v>
      </c>
      <c r="I75" s="44" t="s">
        <v>101</v>
      </c>
      <c r="J75" s="44" t="s">
        <v>40</v>
      </c>
      <c r="K75" s="44" t="s">
        <v>102</v>
      </c>
      <c r="L75" s="44" t="s">
        <v>105</v>
      </c>
      <c r="M75" s="44" t="s">
        <v>41</v>
      </c>
      <c r="N75" s="44" t="s">
        <v>23</v>
      </c>
      <c r="O75" s="46" t="s">
        <v>24</v>
      </c>
      <c r="P75"/>
      <c r="Q75" s="4"/>
      <c r="R75" s="4"/>
      <c r="S75" s="4"/>
      <c r="T75" s="4"/>
      <c r="U75" s="4"/>
    </row>
    <row r="76" spans="2:21" ht="18" hidden="1" customHeight="1" thickTop="1" thickBot="1" x14ac:dyDescent="0.3">
      <c r="B76" s="43">
        <v>100519547</v>
      </c>
      <c r="C76" s="44" t="s">
        <v>129</v>
      </c>
      <c r="D76" s="45"/>
      <c r="E76" s="45" t="str">
        <f>IF(ISERR(FIND("PUL",PRODUCTO_MI_AR68[[#This Row],[NOM PRODUCTO]])),"","ME")</f>
        <v>ME</v>
      </c>
      <c r="F76" s="44" t="s">
        <v>16</v>
      </c>
      <c r="G76" s="44" t="s">
        <v>17</v>
      </c>
      <c r="H76" s="44" t="s">
        <v>18</v>
      </c>
      <c r="I76" s="44" t="s">
        <v>101</v>
      </c>
      <c r="J76" s="44" t="s">
        <v>40</v>
      </c>
      <c r="K76" s="44" t="s">
        <v>102</v>
      </c>
      <c r="L76" s="44" t="s">
        <v>105</v>
      </c>
      <c r="M76" s="44" t="s">
        <v>41</v>
      </c>
      <c r="N76" s="44" t="s">
        <v>23</v>
      </c>
      <c r="O76" s="46" t="s">
        <v>24</v>
      </c>
      <c r="P76"/>
      <c r="Q76" s="4"/>
      <c r="R76" s="4"/>
      <c r="S76" s="4"/>
      <c r="T76" s="4"/>
      <c r="U76" s="4"/>
    </row>
    <row r="77" spans="2:21" ht="18" hidden="1" customHeight="1" thickTop="1" thickBot="1" x14ac:dyDescent="0.3">
      <c r="B77" s="43">
        <v>100519548</v>
      </c>
      <c r="C77" s="44" t="s">
        <v>130</v>
      </c>
      <c r="D77" s="45"/>
      <c r="E77" s="45" t="str">
        <f>IF(ISERR(FIND("PUL",PRODUCTO_MI_AR68[[#This Row],[NOM PRODUCTO]])),"","ME")</f>
        <v>ME</v>
      </c>
      <c r="F77" s="44" t="s">
        <v>16</v>
      </c>
      <c r="G77" s="44" t="s">
        <v>17</v>
      </c>
      <c r="H77" s="44" t="s">
        <v>18</v>
      </c>
      <c r="I77" s="44" t="s">
        <v>101</v>
      </c>
      <c r="J77" s="44" t="s">
        <v>40</v>
      </c>
      <c r="K77" s="44" t="s">
        <v>102</v>
      </c>
      <c r="L77" s="44" t="s">
        <v>105</v>
      </c>
      <c r="M77" s="44" t="s">
        <v>41</v>
      </c>
      <c r="N77" s="44" t="s">
        <v>23</v>
      </c>
      <c r="O77" s="46" t="s">
        <v>24</v>
      </c>
      <c r="P77"/>
      <c r="Q77" s="4"/>
      <c r="R77" s="4"/>
      <c r="S77" s="4"/>
      <c r="T77" s="4"/>
      <c r="U77" s="4"/>
    </row>
    <row r="78" spans="2:21" ht="18" hidden="1" customHeight="1" thickTop="1" thickBot="1" x14ac:dyDescent="0.3">
      <c r="B78" s="43">
        <v>100516537</v>
      </c>
      <c r="C78" s="44" t="s">
        <v>131</v>
      </c>
      <c r="D78" s="45"/>
      <c r="E78" s="45" t="str">
        <f>IF(ISERR(FIND("CHILE",PRODUCTO_MI_AR68[[#This Row],[NOM PRODUCTO]])),"","ME")</f>
        <v>ME</v>
      </c>
      <c r="F78" s="44" t="s">
        <v>16</v>
      </c>
      <c r="G78" s="44" t="s">
        <v>17</v>
      </c>
      <c r="H78" s="44" t="s">
        <v>18</v>
      </c>
      <c r="I78" s="44" t="s">
        <v>101</v>
      </c>
      <c r="J78" s="44" t="s">
        <v>28</v>
      </c>
      <c r="K78" s="44" t="s">
        <v>102</v>
      </c>
      <c r="L78" s="44" t="s">
        <v>105</v>
      </c>
      <c r="M78" s="44" t="s">
        <v>29</v>
      </c>
      <c r="N78" s="44" t="s">
        <v>23</v>
      </c>
      <c r="O78" s="46" t="s">
        <v>24</v>
      </c>
      <c r="P78"/>
      <c r="Q78" s="4"/>
      <c r="R78" s="4"/>
      <c r="S78" s="4"/>
      <c r="T78" s="4"/>
      <c r="U78" s="4"/>
    </row>
    <row r="79" spans="2:21" ht="18" hidden="1" customHeight="1" thickTop="1" thickBot="1" x14ac:dyDescent="0.3">
      <c r="B79" s="43">
        <v>100519500</v>
      </c>
      <c r="C79" s="44" t="s">
        <v>132</v>
      </c>
      <c r="D79" s="45"/>
      <c r="E79" s="45" t="str">
        <f>IF(ISERR(FIND("PUL",PRODUCTO_MI_AR68[[#This Row],[NOM PRODUCTO]])),"","ME")</f>
        <v>ME</v>
      </c>
      <c r="F79" s="44" t="s">
        <v>16</v>
      </c>
      <c r="G79" s="44" t="s">
        <v>17</v>
      </c>
      <c r="H79" s="44" t="s">
        <v>18</v>
      </c>
      <c r="I79" s="44" t="s">
        <v>101</v>
      </c>
      <c r="J79" s="44" t="s">
        <v>40</v>
      </c>
      <c r="K79" s="44" t="s">
        <v>102</v>
      </c>
      <c r="L79" s="44" t="s">
        <v>105</v>
      </c>
      <c r="M79" s="44" t="s">
        <v>41</v>
      </c>
      <c r="N79" s="44" t="s">
        <v>23</v>
      </c>
      <c r="O79" s="46" t="s">
        <v>24</v>
      </c>
      <c r="P79"/>
      <c r="Q79" s="4"/>
      <c r="R79" s="4"/>
      <c r="S79" s="4"/>
      <c r="T79" s="4"/>
      <c r="U79" s="4"/>
    </row>
    <row r="80" spans="2:21" ht="18" hidden="1" customHeight="1" thickTop="1" thickBot="1" x14ac:dyDescent="0.3">
      <c r="B80" s="43">
        <v>100518222</v>
      </c>
      <c r="C80" s="44" t="s">
        <v>133</v>
      </c>
      <c r="D80" s="45"/>
      <c r="E80" s="45" t="str">
        <f>IF(ISERR(FIND("CHILE",PRODUCTO_MI_AR68[[#This Row],[NOM PRODUCTO]])),"","ME")</f>
        <v>ME</v>
      </c>
      <c r="F80" s="44" t="s">
        <v>16</v>
      </c>
      <c r="G80" s="44" t="s">
        <v>17</v>
      </c>
      <c r="H80" s="44" t="s">
        <v>18</v>
      </c>
      <c r="I80" s="44" t="s">
        <v>101</v>
      </c>
      <c r="J80" s="44" t="s">
        <v>28</v>
      </c>
      <c r="K80" s="44" t="s">
        <v>102</v>
      </c>
      <c r="L80" s="44" t="s">
        <v>105</v>
      </c>
      <c r="M80" s="44" t="s">
        <v>29</v>
      </c>
      <c r="N80" s="44" t="s">
        <v>23</v>
      </c>
      <c r="O80" s="46" t="s">
        <v>24</v>
      </c>
      <c r="P80"/>
      <c r="Q80" s="4"/>
      <c r="R80" s="4"/>
      <c r="S80" s="4"/>
      <c r="T80" s="4"/>
      <c r="U80" s="4"/>
    </row>
    <row r="81" spans="2:21" ht="18" hidden="1" customHeight="1" thickTop="1" thickBot="1" x14ac:dyDescent="0.3">
      <c r="B81" s="43">
        <v>100520334</v>
      </c>
      <c r="C81" s="44" t="s">
        <v>134</v>
      </c>
      <c r="D81" s="45"/>
      <c r="E81" s="45" t="str">
        <f>IF(ISERR(FIND("CLL",PRODUCTO_MI_AR68[[#This Row],[NOM PRODUCTO]])),"","ME")</f>
        <v>ME</v>
      </c>
      <c r="F81" s="44" t="s">
        <v>16</v>
      </c>
      <c r="G81" s="44" t="s">
        <v>17</v>
      </c>
      <c r="H81" s="44" t="s">
        <v>18</v>
      </c>
      <c r="I81" s="44" t="s">
        <v>101</v>
      </c>
      <c r="J81" s="44" t="s">
        <v>20</v>
      </c>
      <c r="K81" s="44" t="s">
        <v>102</v>
      </c>
      <c r="L81" s="44" t="s">
        <v>105</v>
      </c>
      <c r="M81" s="44" t="s">
        <v>22</v>
      </c>
      <c r="N81" s="44" t="str">
        <f>IF(ISERR(FIND("CONG",PRODUCTO_MI_AR68[[#This Row],[NOM PRODUCTO]])),"","CONGELADO")</f>
        <v>CONGELADO</v>
      </c>
      <c r="O81" s="46" t="s">
        <v>24</v>
      </c>
      <c r="P81"/>
      <c r="Q81" s="4"/>
      <c r="R81" s="4"/>
      <c r="S81" s="4"/>
      <c r="T81" s="4"/>
      <c r="U81" s="4"/>
    </row>
    <row r="82" spans="2:21" ht="18" hidden="1" customHeight="1" thickTop="1" thickBot="1" x14ac:dyDescent="0.3">
      <c r="B82" s="43">
        <v>100520232</v>
      </c>
      <c r="C82" s="44" t="s">
        <v>135</v>
      </c>
      <c r="D82" s="45"/>
      <c r="E82" s="45" t="str">
        <f>IF(ISERR(FIND("PUL",PRODUCTO_MI_AR68[[#This Row],[NOM PRODUCTO]])),"","ME")</f>
        <v>ME</v>
      </c>
      <c r="F82" s="44" t="s">
        <v>16</v>
      </c>
      <c r="G82" s="44" t="s">
        <v>17</v>
      </c>
      <c r="H82" s="44" t="s">
        <v>18</v>
      </c>
      <c r="I82" s="44" t="s">
        <v>101</v>
      </c>
      <c r="J82" s="44" t="s">
        <v>28</v>
      </c>
      <c r="K82" s="44" t="s">
        <v>102</v>
      </c>
      <c r="L82" s="44" t="s">
        <v>105</v>
      </c>
      <c r="M82" s="44" t="s">
        <v>29</v>
      </c>
      <c r="N82" s="44" t="str">
        <f>IF(ISERR(FIND("CONG",PRODUCTO_MI_AR68[[#This Row],[NOM PRODUCTO]])),"","CONGELADO")</f>
        <v>CONGELADO</v>
      </c>
      <c r="O82" s="46" t="s">
        <v>24</v>
      </c>
      <c r="P82"/>
      <c r="Q82" s="4"/>
      <c r="R82" s="4"/>
      <c r="S82" s="4"/>
      <c r="T82" s="4"/>
      <c r="U82" s="4"/>
    </row>
    <row r="83" spans="2:21" ht="18" hidden="1" customHeight="1" thickTop="1" thickBot="1" x14ac:dyDescent="0.3">
      <c r="B83" s="43">
        <v>100517128</v>
      </c>
      <c r="C83" s="44" t="s">
        <v>136</v>
      </c>
      <c r="D83" s="45"/>
      <c r="E83" s="45" t="s">
        <v>44</v>
      </c>
      <c r="F83" s="44" t="s">
        <v>16</v>
      </c>
      <c r="G83" s="44" t="s">
        <v>17</v>
      </c>
      <c r="H83" s="44" t="s">
        <v>18</v>
      </c>
      <c r="I83" s="44" t="s">
        <v>101</v>
      </c>
      <c r="J83" s="44" t="s">
        <v>20</v>
      </c>
      <c r="K83" s="44" t="s">
        <v>102</v>
      </c>
      <c r="L83" s="44" t="s">
        <v>105</v>
      </c>
      <c r="M83" s="44" t="s">
        <v>73</v>
      </c>
      <c r="N83" s="44" t="s">
        <v>23</v>
      </c>
      <c r="O83" s="46" t="s">
        <v>24</v>
      </c>
      <c r="P83"/>
      <c r="Q83" s="4"/>
      <c r="R83" s="4"/>
      <c r="S83" s="4"/>
      <c r="T83" s="4"/>
      <c r="U83" s="4"/>
    </row>
    <row r="84" spans="2:21" ht="18" hidden="1" customHeight="1" thickTop="1" thickBot="1" x14ac:dyDescent="0.3">
      <c r="B84" s="43">
        <v>100519566</v>
      </c>
      <c r="C84" s="44" t="s">
        <v>137</v>
      </c>
      <c r="D84" s="45"/>
      <c r="E84" s="45" t="str">
        <f>IF(ISERR(FIND("PUL",PRODUCTO_MI_AR68[[#This Row],[NOM PRODUCTO]])),"","ME")</f>
        <v>ME</v>
      </c>
      <c r="F84" s="44" t="s">
        <v>16</v>
      </c>
      <c r="G84" s="44" t="s">
        <v>17</v>
      </c>
      <c r="H84" s="44" t="s">
        <v>18</v>
      </c>
      <c r="I84" s="44" t="s">
        <v>101</v>
      </c>
      <c r="J84" s="44" t="s">
        <v>28</v>
      </c>
      <c r="K84" s="44" t="s">
        <v>102</v>
      </c>
      <c r="L84" s="44" t="s">
        <v>105</v>
      </c>
      <c r="M84" s="44" t="s">
        <v>29</v>
      </c>
      <c r="N84" s="44" t="str">
        <f>IF(ISERR(FIND("CONG",PRODUCTO_MI_AR68[[#This Row],[NOM PRODUCTO]])),"","CONGELADO")</f>
        <v>CONGELADO</v>
      </c>
      <c r="O84" s="46" t="s">
        <v>24</v>
      </c>
      <c r="P84"/>
      <c r="Q84" s="4"/>
      <c r="R84" s="4"/>
      <c r="S84" s="4"/>
      <c r="T84" s="4"/>
      <c r="U84" s="4"/>
    </row>
    <row r="85" spans="2:21" ht="18" hidden="1" customHeight="1" thickTop="1" thickBot="1" x14ac:dyDescent="0.3">
      <c r="B85" s="43">
        <v>100517688</v>
      </c>
      <c r="C85" s="44" t="s">
        <v>138</v>
      </c>
      <c r="D85" s="45"/>
      <c r="E85" s="45" t="s">
        <v>44</v>
      </c>
      <c r="F85" s="44" t="s">
        <v>16</v>
      </c>
      <c r="G85" s="44" t="s">
        <v>17</v>
      </c>
      <c r="H85" s="44" t="s">
        <v>18</v>
      </c>
      <c r="I85" s="44" t="s">
        <v>101</v>
      </c>
      <c r="J85" s="44" t="s">
        <v>20</v>
      </c>
      <c r="K85" s="44" t="s">
        <v>102</v>
      </c>
      <c r="L85" s="44" t="s">
        <v>105</v>
      </c>
      <c r="M85" s="44" t="s">
        <v>73</v>
      </c>
      <c r="N85" s="44" t="s">
        <v>23</v>
      </c>
      <c r="O85" s="46" t="s">
        <v>24</v>
      </c>
      <c r="P85"/>
      <c r="Q85" s="4"/>
      <c r="R85" s="4"/>
      <c r="S85" s="4"/>
      <c r="T85" s="4"/>
      <c r="U85" s="4"/>
    </row>
    <row r="86" spans="2:21" ht="18" hidden="1" customHeight="1" thickTop="1" thickBot="1" x14ac:dyDescent="0.3">
      <c r="B86" s="43">
        <v>100520268</v>
      </c>
      <c r="C86" s="44" t="s">
        <v>139</v>
      </c>
      <c r="D86" s="45"/>
      <c r="E86" s="45" t="s">
        <v>44</v>
      </c>
      <c r="F86" s="44" t="s">
        <v>16</v>
      </c>
      <c r="G86" s="44" t="s">
        <v>17</v>
      </c>
      <c r="H86" s="44" t="s">
        <v>18</v>
      </c>
      <c r="I86" s="44" t="s">
        <v>101</v>
      </c>
      <c r="J86" s="44" t="s">
        <v>20</v>
      </c>
      <c r="K86" s="44" t="s">
        <v>102</v>
      </c>
      <c r="L86" s="44" t="s">
        <v>105</v>
      </c>
      <c r="M86" s="44" t="s">
        <v>73</v>
      </c>
      <c r="N86" s="44" t="str">
        <f>IF(ISERR(FIND("CONG",PRODUCTO_MI_AR68[[#This Row],[NOM PRODUCTO]])),"","CONGELADO")</f>
        <v>CONGELADO</v>
      </c>
      <c r="O86" s="46" t="s">
        <v>24</v>
      </c>
      <c r="P86"/>
      <c r="Q86" s="4"/>
      <c r="R86" s="4"/>
      <c r="S86" s="4"/>
      <c r="T86" s="4"/>
      <c r="U86" s="4"/>
    </row>
    <row r="87" spans="2:21" ht="18" hidden="1" customHeight="1" thickTop="1" thickBot="1" x14ac:dyDescent="0.3">
      <c r="B87" s="43">
        <v>100012916</v>
      </c>
      <c r="C87" s="44" t="s">
        <v>140</v>
      </c>
      <c r="D87" s="45"/>
      <c r="E87" s="45" t="str">
        <f>IF(ISERR(FIND("VENTA LOCAL",PRODUCTO_MI_AR68[[#This Row],[NOM PRODUCTO]])),"","MI")</f>
        <v>MI</v>
      </c>
      <c r="F87" s="44" t="s">
        <v>16</v>
      </c>
      <c r="G87" s="44" t="s">
        <v>17</v>
      </c>
      <c r="H87" s="44" t="s">
        <v>18</v>
      </c>
      <c r="I87" s="44" t="s">
        <v>101</v>
      </c>
      <c r="J87" s="44" t="s">
        <v>28</v>
      </c>
      <c r="K87" s="44" t="s">
        <v>102</v>
      </c>
      <c r="L87" s="44" t="s">
        <v>105</v>
      </c>
      <c r="M87" s="44" t="s">
        <v>57</v>
      </c>
      <c r="N87" s="44" t="str">
        <f>IF(ISERR(FIND("CONG",PRODUCTO_MI_AR68[[#This Row],[NOM PRODUCTO]])),"","CONGELADO")</f>
        <v>CONGELADO</v>
      </c>
      <c r="O87" s="46" t="s">
        <v>24</v>
      </c>
      <c r="P87"/>
      <c r="Q87" s="4"/>
      <c r="R87" s="4"/>
      <c r="S87" s="4"/>
      <c r="T87" s="4"/>
      <c r="U87" s="4"/>
    </row>
    <row r="88" spans="2:21" ht="18" hidden="1" customHeight="1" thickTop="1" thickBot="1" x14ac:dyDescent="0.3">
      <c r="B88" s="43">
        <v>100013142</v>
      </c>
      <c r="C88" s="44" t="s">
        <v>141</v>
      </c>
      <c r="D88" s="45"/>
      <c r="E88" s="45" t="str">
        <f>IF(ISERR(FIND("(L)",PRODUCTO_MI_AR68[[#This Row],[NOM PRODUCTO]])),"","MI")</f>
        <v>MI</v>
      </c>
      <c r="F88" s="44" t="s">
        <v>16</v>
      </c>
      <c r="G88" s="44" t="s">
        <v>17</v>
      </c>
      <c r="H88" s="44" t="s">
        <v>18</v>
      </c>
      <c r="I88" s="44" t="s">
        <v>101</v>
      </c>
      <c r="J88" s="44" t="s">
        <v>28</v>
      </c>
      <c r="K88" s="44" t="s">
        <v>102</v>
      </c>
      <c r="L88" s="44" t="s">
        <v>105</v>
      </c>
      <c r="M88" s="44" t="s">
        <v>57</v>
      </c>
      <c r="N88" s="44" t="s">
        <v>23</v>
      </c>
      <c r="O88" s="46" t="s">
        <v>24</v>
      </c>
      <c r="P88"/>
      <c r="Q88" s="4"/>
      <c r="R88" s="4"/>
      <c r="S88" s="4"/>
      <c r="T88" s="4"/>
      <c r="U88" s="4"/>
    </row>
    <row r="89" spans="2:21" ht="18" hidden="1" customHeight="1" thickTop="1" thickBot="1" x14ac:dyDescent="0.3">
      <c r="B89" s="43">
        <v>100519964</v>
      </c>
      <c r="C89" s="44" t="s">
        <v>142</v>
      </c>
      <c r="D89" s="45"/>
      <c r="E89" s="45" t="str">
        <f>IF(ISERR(FIND("PUL",PRODUCTO_MI_AR68[[#This Row],[NOM PRODUCTO]])),"","ME")</f>
        <v>ME</v>
      </c>
      <c r="F89" s="44" t="s">
        <v>16</v>
      </c>
      <c r="G89" s="44" t="s">
        <v>17</v>
      </c>
      <c r="H89" s="44" t="s">
        <v>18</v>
      </c>
      <c r="I89" s="44" t="s">
        <v>101</v>
      </c>
      <c r="J89" s="44" t="s">
        <v>28</v>
      </c>
      <c r="K89" s="44" t="s">
        <v>102</v>
      </c>
      <c r="L89" s="44" t="s">
        <v>143</v>
      </c>
      <c r="M89" s="44" t="s">
        <v>29</v>
      </c>
      <c r="N89" s="44" t="str">
        <f>IF(ISERR(FIND("CONG",PRODUCTO_MI_AR68[[#This Row],[NOM PRODUCTO]])),"","CONGELADO")</f>
        <v>CONGELADO</v>
      </c>
      <c r="O89" s="46" t="s">
        <v>24</v>
      </c>
      <c r="P89"/>
      <c r="Q89" s="4"/>
      <c r="R89" s="4"/>
      <c r="S89" s="4"/>
      <c r="T89" s="4"/>
      <c r="U89" s="4"/>
    </row>
    <row r="90" spans="2:21" ht="18" hidden="1" customHeight="1" thickTop="1" thickBot="1" x14ac:dyDescent="0.3">
      <c r="B90" s="43">
        <v>100010349</v>
      </c>
      <c r="C90" s="44" t="s">
        <v>144</v>
      </c>
      <c r="D90" s="45"/>
      <c r="E90" s="45" t="str">
        <f>IF(ISERR(FIND("CLL",PRODUCTO_MI_AR68[[#This Row],[NOM PRODUCTO]])),"","ME")</f>
        <v>ME</v>
      </c>
      <c r="F90" s="44" t="s">
        <v>16</v>
      </c>
      <c r="G90" s="44" t="s">
        <v>17</v>
      </c>
      <c r="H90" s="44" t="s">
        <v>18</v>
      </c>
      <c r="I90" s="44" t="s">
        <v>101</v>
      </c>
      <c r="J90" s="44" t="s">
        <v>20</v>
      </c>
      <c r="K90" s="44" t="s">
        <v>102</v>
      </c>
      <c r="L90" s="44" t="s">
        <v>143</v>
      </c>
      <c r="M90" s="44" t="s">
        <v>22</v>
      </c>
      <c r="N90" s="44" t="s">
        <v>23</v>
      </c>
      <c r="O90" s="46" t="s">
        <v>24</v>
      </c>
      <c r="P90"/>
      <c r="Q90" s="4"/>
      <c r="R90" s="4"/>
      <c r="S90" s="4"/>
      <c r="T90" s="4"/>
      <c r="U90" s="4"/>
    </row>
    <row r="91" spans="2:21" ht="18" hidden="1" customHeight="1" thickTop="1" thickBot="1" x14ac:dyDescent="0.3">
      <c r="B91" s="43">
        <v>100519549</v>
      </c>
      <c r="C91" s="44" t="s">
        <v>145</v>
      </c>
      <c r="D91" s="45"/>
      <c r="E91" s="45" t="str">
        <f>IF(ISERR(FIND("PUL",PRODUCTO_MI_AR68[[#This Row],[NOM PRODUCTO]])),"","ME")</f>
        <v>ME</v>
      </c>
      <c r="F91" s="44" t="s">
        <v>16</v>
      </c>
      <c r="G91" s="44" t="s">
        <v>17</v>
      </c>
      <c r="H91" s="44" t="s">
        <v>18</v>
      </c>
      <c r="I91" s="44" t="s">
        <v>101</v>
      </c>
      <c r="J91" s="44" t="s">
        <v>40</v>
      </c>
      <c r="K91" s="44" t="s">
        <v>102</v>
      </c>
      <c r="L91" s="44" t="s">
        <v>146</v>
      </c>
      <c r="M91" s="44" t="s">
        <v>41</v>
      </c>
      <c r="N91" s="44" t="s">
        <v>23</v>
      </c>
      <c r="O91" s="46" t="s">
        <v>24</v>
      </c>
      <c r="P91"/>
      <c r="Q91" s="4"/>
      <c r="R91" s="4"/>
      <c r="S91" s="4"/>
      <c r="T91" s="4"/>
      <c r="U91" s="4"/>
    </row>
    <row r="92" spans="2:21" ht="18" hidden="1" customHeight="1" thickTop="1" thickBot="1" x14ac:dyDescent="0.3">
      <c r="B92" s="43">
        <v>100519550</v>
      </c>
      <c r="C92" s="44" t="s">
        <v>147</v>
      </c>
      <c r="D92" s="45"/>
      <c r="E92" s="45" t="str">
        <f>IF(ISERR(FIND("PUL",PRODUCTO_MI_AR68[[#This Row],[NOM PRODUCTO]])),"","ME")</f>
        <v>ME</v>
      </c>
      <c r="F92" s="44" t="s">
        <v>16</v>
      </c>
      <c r="G92" s="44" t="s">
        <v>17</v>
      </c>
      <c r="H92" s="44" t="s">
        <v>18</v>
      </c>
      <c r="I92" s="44" t="s">
        <v>101</v>
      </c>
      <c r="J92" s="44" t="s">
        <v>40</v>
      </c>
      <c r="K92" s="44" t="s">
        <v>102</v>
      </c>
      <c r="L92" s="44" t="s">
        <v>146</v>
      </c>
      <c r="M92" s="44" t="s">
        <v>41</v>
      </c>
      <c r="N92" s="44" t="s">
        <v>23</v>
      </c>
      <c r="O92" s="46" t="s">
        <v>24</v>
      </c>
      <c r="P92"/>
      <c r="Q92" s="4"/>
      <c r="R92" s="4"/>
      <c r="S92" s="4"/>
      <c r="T92" s="4"/>
      <c r="U92" s="4"/>
    </row>
    <row r="93" spans="2:21" ht="18" hidden="1" customHeight="1" thickTop="1" thickBot="1" x14ac:dyDescent="0.3">
      <c r="B93" s="43">
        <v>100519551</v>
      </c>
      <c r="C93" s="44" t="s">
        <v>148</v>
      </c>
      <c r="D93" s="45"/>
      <c r="E93" s="45" t="str">
        <f>IF(ISERR(FIND("PUL",PRODUCTO_MI_AR68[[#This Row],[NOM PRODUCTO]])),"","ME")</f>
        <v>ME</v>
      </c>
      <c r="F93" s="44" t="s">
        <v>16</v>
      </c>
      <c r="G93" s="44" t="s">
        <v>17</v>
      </c>
      <c r="H93" s="44" t="s">
        <v>18</v>
      </c>
      <c r="I93" s="44" t="s">
        <v>101</v>
      </c>
      <c r="J93" s="44" t="s">
        <v>40</v>
      </c>
      <c r="K93" s="44" t="s">
        <v>102</v>
      </c>
      <c r="L93" s="44" t="s">
        <v>146</v>
      </c>
      <c r="M93" s="44" t="s">
        <v>41</v>
      </c>
      <c r="N93" s="44" t="s">
        <v>23</v>
      </c>
      <c r="O93" s="46" t="s">
        <v>24</v>
      </c>
      <c r="P93"/>
      <c r="Q93" s="4"/>
      <c r="R93" s="4"/>
      <c r="S93" s="4"/>
      <c r="T93" s="4"/>
      <c r="U93" s="4"/>
    </row>
    <row r="94" spans="2:21" ht="18" hidden="1" customHeight="1" thickTop="1" thickBot="1" x14ac:dyDescent="0.3">
      <c r="B94" s="43">
        <v>100522332</v>
      </c>
      <c r="C94" s="44" t="s">
        <v>149</v>
      </c>
      <c r="D94" s="45"/>
      <c r="E94" s="45" t="str">
        <f>IF(ISERR(FIND("PUL",PRODUCTO_MI_AR68[[#This Row],[NOM PRODUCTO]])),"","ME")</f>
        <v>ME</v>
      </c>
      <c r="F94" s="44" t="s">
        <v>16</v>
      </c>
      <c r="G94" s="44" t="s">
        <v>17</v>
      </c>
      <c r="H94" s="44" t="s">
        <v>18</v>
      </c>
      <c r="I94" s="44" t="s">
        <v>101</v>
      </c>
      <c r="J94" s="44" t="s">
        <v>40</v>
      </c>
      <c r="K94" s="44" t="s">
        <v>102</v>
      </c>
      <c r="L94" s="44" t="s">
        <v>146</v>
      </c>
      <c r="M94" s="44" t="s">
        <v>113</v>
      </c>
      <c r="N94" s="44" t="s">
        <v>23</v>
      </c>
      <c r="O94" s="46" t="s">
        <v>24</v>
      </c>
      <c r="P94"/>
      <c r="Q94" s="4"/>
      <c r="R94" s="4"/>
      <c r="S94" s="4"/>
      <c r="T94" s="4"/>
      <c r="U94" s="4"/>
    </row>
    <row r="95" spans="2:21" ht="18" hidden="1" customHeight="1" thickTop="1" thickBot="1" x14ac:dyDescent="0.3">
      <c r="B95" s="43">
        <v>100518225</v>
      </c>
      <c r="C95" s="44" t="s">
        <v>150</v>
      </c>
      <c r="D95" s="45"/>
      <c r="E95" s="45" t="str">
        <f>IF(ISERR(FIND("CHILE",PRODUCTO_MI_AR68[[#This Row],[NOM PRODUCTO]])),"","ME")</f>
        <v>ME</v>
      </c>
      <c r="F95" s="44" t="s">
        <v>16</v>
      </c>
      <c r="G95" s="44" t="s">
        <v>17</v>
      </c>
      <c r="H95" s="44" t="s">
        <v>18</v>
      </c>
      <c r="I95" s="44" t="s">
        <v>101</v>
      </c>
      <c r="J95" s="44" t="s">
        <v>28</v>
      </c>
      <c r="K95" s="44" t="s">
        <v>102</v>
      </c>
      <c r="L95" s="44" t="s">
        <v>143</v>
      </c>
      <c r="M95" s="44" t="s">
        <v>29</v>
      </c>
      <c r="N95" s="44" t="s">
        <v>23</v>
      </c>
      <c r="O95" s="46" t="s">
        <v>24</v>
      </c>
      <c r="P95"/>
      <c r="Q95" s="4"/>
      <c r="R95" s="4"/>
      <c r="S95" s="4"/>
      <c r="T95" s="4"/>
      <c r="U95" s="4"/>
    </row>
    <row r="96" spans="2:21" ht="18" hidden="1" customHeight="1" thickTop="1" thickBot="1" x14ac:dyDescent="0.3">
      <c r="B96" s="43">
        <v>100516530</v>
      </c>
      <c r="C96" s="44" t="s">
        <v>151</v>
      </c>
      <c r="D96" s="45"/>
      <c r="E96" s="45" t="str">
        <f>IF(ISERR(FIND("CHILE",PRODUCTO_MI_AR68[[#This Row],[NOM PRODUCTO]])),"","ME")</f>
        <v>ME</v>
      </c>
      <c r="F96" s="44" t="s">
        <v>16</v>
      </c>
      <c r="G96" s="44" t="s">
        <v>17</v>
      </c>
      <c r="H96" s="44" t="s">
        <v>18</v>
      </c>
      <c r="I96" s="44" t="s">
        <v>101</v>
      </c>
      <c r="J96" s="44" t="s">
        <v>28</v>
      </c>
      <c r="K96" s="44" t="s">
        <v>102</v>
      </c>
      <c r="L96" s="44" t="s">
        <v>143</v>
      </c>
      <c r="M96" s="44" t="s">
        <v>29</v>
      </c>
      <c r="N96" s="44" t="s">
        <v>23</v>
      </c>
      <c r="O96" s="46" t="s">
        <v>24</v>
      </c>
      <c r="P96"/>
      <c r="Q96" s="4"/>
      <c r="R96" s="4"/>
      <c r="S96" s="4"/>
      <c r="T96" s="4"/>
      <c r="U96" s="4"/>
    </row>
    <row r="97" spans="2:21" ht="18" hidden="1" customHeight="1" thickTop="1" thickBot="1" x14ac:dyDescent="0.3">
      <c r="B97" s="43">
        <v>100519499</v>
      </c>
      <c r="C97" s="44" t="s">
        <v>152</v>
      </c>
      <c r="D97" s="45"/>
      <c r="E97" s="45" t="str">
        <f>IF(ISERR(FIND("PUL",PRODUCTO_MI_AR68[[#This Row],[NOM PRODUCTO]])),"","ME")</f>
        <v>ME</v>
      </c>
      <c r="F97" s="44" t="s">
        <v>16</v>
      </c>
      <c r="G97" s="44" t="s">
        <v>17</v>
      </c>
      <c r="H97" s="44" t="s">
        <v>18</v>
      </c>
      <c r="I97" s="44" t="s">
        <v>101</v>
      </c>
      <c r="J97" s="44" t="s">
        <v>40</v>
      </c>
      <c r="K97" s="44" t="s">
        <v>102</v>
      </c>
      <c r="L97" s="44" t="s">
        <v>143</v>
      </c>
      <c r="M97" s="44" t="s">
        <v>41</v>
      </c>
      <c r="N97" s="44" t="s">
        <v>23</v>
      </c>
      <c r="O97" s="46" t="s">
        <v>24</v>
      </c>
      <c r="P97"/>
      <c r="Q97" s="4"/>
      <c r="R97" s="4"/>
      <c r="S97" s="4"/>
      <c r="T97" s="4"/>
      <c r="U97" s="4"/>
    </row>
    <row r="98" spans="2:21" ht="18" hidden="1" customHeight="1" thickTop="1" thickBot="1" x14ac:dyDescent="0.3">
      <c r="B98" s="43">
        <v>100519074</v>
      </c>
      <c r="C98" s="44" t="s">
        <v>153</v>
      </c>
      <c r="D98" s="45"/>
      <c r="E98" s="45" t="str">
        <f>IF(ISERR(FIND("PUL",PRODUCTO_MI_AR68[[#This Row],[NOM PRODUCTO]])),"","ME")</f>
        <v>ME</v>
      </c>
      <c r="F98" s="44" t="s">
        <v>16</v>
      </c>
      <c r="G98" s="44" t="s">
        <v>17</v>
      </c>
      <c r="H98" s="44" t="s">
        <v>18</v>
      </c>
      <c r="I98" s="44" t="s">
        <v>101</v>
      </c>
      <c r="J98" s="44" t="s">
        <v>28</v>
      </c>
      <c r="K98" s="44" t="s">
        <v>102</v>
      </c>
      <c r="L98" s="44" t="s">
        <v>143</v>
      </c>
      <c r="M98" s="44" t="s">
        <v>29</v>
      </c>
      <c r="N98" s="44" t="str">
        <f>IF(ISERR(FIND("CONG",PRODUCTO_MI_AR68[[#This Row],[NOM PRODUCTO]])),"","CONGELADO")</f>
        <v>CONGELADO</v>
      </c>
      <c r="O98" s="46" t="s">
        <v>24</v>
      </c>
      <c r="P98"/>
      <c r="Q98" s="4"/>
      <c r="R98" s="4"/>
      <c r="S98" s="4"/>
      <c r="T98" s="4"/>
      <c r="U98" s="4"/>
    </row>
    <row r="99" spans="2:21" ht="18" hidden="1" customHeight="1" thickTop="1" thickBot="1" x14ac:dyDescent="0.3">
      <c r="B99" s="43">
        <v>100012306</v>
      </c>
      <c r="C99" s="44" t="s">
        <v>154</v>
      </c>
      <c r="D99" s="45"/>
      <c r="E99" s="45" t="str">
        <f>IF(ISERR(FIND("VENTA LOCAL",PRODUCTO_MI_AR68[[#This Row],[NOM PRODUCTO]])),"","MI")</f>
        <v>MI</v>
      </c>
      <c r="F99" s="44" t="s">
        <v>16</v>
      </c>
      <c r="G99" s="44" t="s">
        <v>17</v>
      </c>
      <c r="H99" s="44" t="s">
        <v>18</v>
      </c>
      <c r="I99" s="44" t="s">
        <v>101</v>
      </c>
      <c r="J99" s="44" t="s">
        <v>28</v>
      </c>
      <c r="K99" s="44" t="s">
        <v>102</v>
      </c>
      <c r="L99" s="44" t="s">
        <v>143</v>
      </c>
      <c r="M99" s="44" t="s">
        <v>57</v>
      </c>
      <c r="N99" s="44" t="str">
        <f>IF(ISERR(FIND("CONG",PRODUCTO_MI_AR68[[#This Row],[NOM PRODUCTO]])),"","CONGELADO")</f>
        <v>CONGELADO</v>
      </c>
      <c r="O99" s="46" t="s">
        <v>24</v>
      </c>
      <c r="P99"/>
      <c r="Q99" s="4"/>
      <c r="R99" s="4"/>
      <c r="S99" s="4"/>
      <c r="T99" s="4"/>
      <c r="U99" s="4"/>
    </row>
    <row r="100" spans="2:21" ht="18" hidden="1" customHeight="1" thickTop="1" thickBot="1" x14ac:dyDescent="0.3">
      <c r="B100" s="43">
        <v>100013213</v>
      </c>
      <c r="C100" s="44" t="s">
        <v>155</v>
      </c>
      <c r="D100" s="45"/>
      <c r="E100" s="45" t="str">
        <f>IF(ISERR(FIND("(L)",PRODUCTO_MI_AR68[[#This Row],[NOM PRODUCTO]])),"","MI")</f>
        <v>MI</v>
      </c>
      <c r="F100" s="44" t="s">
        <v>16</v>
      </c>
      <c r="G100" s="44" t="s">
        <v>17</v>
      </c>
      <c r="H100" s="44" t="s">
        <v>18</v>
      </c>
      <c r="I100" s="44" t="s">
        <v>101</v>
      </c>
      <c r="J100" s="44" t="s">
        <v>28</v>
      </c>
      <c r="K100" s="44" t="s">
        <v>102</v>
      </c>
      <c r="L100" s="44" t="s">
        <v>143</v>
      </c>
      <c r="M100" s="44" t="s">
        <v>57</v>
      </c>
      <c r="N100" s="44" t="s">
        <v>23</v>
      </c>
      <c r="O100" s="46" t="s">
        <v>24</v>
      </c>
      <c r="P100"/>
      <c r="Q100" s="4"/>
      <c r="R100" s="4"/>
      <c r="S100" s="4"/>
      <c r="T100" s="4"/>
      <c r="U100" s="4"/>
    </row>
    <row r="101" spans="2:21" hidden="1" thickTop="1" thickBot="1" x14ac:dyDescent="0.3">
      <c r="B101" s="43">
        <v>100517689</v>
      </c>
      <c r="C101" s="44" t="s">
        <v>156</v>
      </c>
      <c r="D101" s="45"/>
      <c r="E101" s="45" t="s">
        <v>44</v>
      </c>
      <c r="F101" s="44" t="s">
        <v>16</v>
      </c>
      <c r="G101" s="44" t="s">
        <v>17</v>
      </c>
      <c r="H101" s="44" t="s">
        <v>18</v>
      </c>
      <c r="I101" s="44" t="s">
        <v>101</v>
      </c>
      <c r="J101" s="44" t="s">
        <v>20</v>
      </c>
      <c r="K101" s="44" t="s">
        <v>102</v>
      </c>
      <c r="L101" s="44" t="s">
        <v>143</v>
      </c>
      <c r="M101" s="44" t="s">
        <v>73</v>
      </c>
      <c r="N101" s="44" t="s">
        <v>23</v>
      </c>
      <c r="O101" s="46" t="s">
        <v>24</v>
      </c>
      <c r="P101"/>
      <c r="Q101" s="4"/>
      <c r="R101" s="4"/>
      <c r="S101" s="4"/>
      <c r="T101" s="4"/>
      <c r="U101" s="4"/>
    </row>
    <row r="102" spans="2:21" hidden="1" thickTop="1" thickBot="1" x14ac:dyDescent="0.3">
      <c r="B102" s="43">
        <v>100520273</v>
      </c>
      <c r="C102" s="44" t="s">
        <v>157</v>
      </c>
      <c r="D102" s="45"/>
      <c r="E102" s="45" t="s">
        <v>44</v>
      </c>
      <c r="F102" s="44" t="s">
        <v>16</v>
      </c>
      <c r="G102" s="44" t="s">
        <v>17</v>
      </c>
      <c r="H102" s="44" t="s">
        <v>18</v>
      </c>
      <c r="I102" s="44" t="s">
        <v>19</v>
      </c>
      <c r="J102" s="44" t="s">
        <v>20</v>
      </c>
      <c r="K102" s="44" t="s">
        <v>102</v>
      </c>
      <c r="L102" s="44" t="s">
        <v>143</v>
      </c>
      <c r="M102" s="44" t="s">
        <v>73</v>
      </c>
      <c r="N102" s="44" t="str">
        <f>IF(ISERR(FIND("CONG",PRODUCTO_MI_AR68[[#This Row],[NOM PRODUCTO]])),"","CONGELADO")</f>
        <v>CONGELADO</v>
      </c>
      <c r="O102" s="46" t="s">
        <v>24</v>
      </c>
      <c r="P102"/>
      <c r="Q102" s="4"/>
      <c r="R102" s="4"/>
      <c r="S102" s="4"/>
      <c r="T102" s="4"/>
      <c r="U102" s="4"/>
    </row>
    <row r="103" spans="2:21" ht="18" hidden="1" customHeight="1" thickTop="1" thickBot="1" x14ac:dyDescent="0.3">
      <c r="B103" s="43">
        <v>100516156</v>
      </c>
      <c r="C103" s="44" t="s">
        <v>158</v>
      </c>
      <c r="D103" s="45"/>
      <c r="E103" s="45" t="s">
        <v>44</v>
      </c>
      <c r="F103" s="44" t="s">
        <v>16</v>
      </c>
      <c r="G103" s="44" t="s">
        <v>17</v>
      </c>
      <c r="H103" s="44" t="s">
        <v>18</v>
      </c>
      <c r="I103" s="44" t="s">
        <v>101</v>
      </c>
      <c r="J103" s="44" t="s">
        <v>28</v>
      </c>
      <c r="K103" s="44" t="s">
        <v>102</v>
      </c>
      <c r="L103" s="44" t="s">
        <v>146</v>
      </c>
      <c r="M103" s="44" t="s">
        <v>57</v>
      </c>
      <c r="N103" s="44" t="s">
        <v>23</v>
      </c>
      <c r="O103" s="46" t="s">
        <v>24</v>
      </c>
      <c r="P103"/>
      <c r="Q103" s="4"/>
      <c r="R103" s="4"/>
      <c r="S103" s="4"/>
      <c r="T103" s="4"/>
      <c r="U103" s="4"/>
    </row>
    <row r="104" spans="2:21" ht="18" hidden="1" customHeight="1" thickTop="1" thickBot="1" x14ac:dyDescent="0.3">
      <c r="B104" s="43">
        <v>100517129</v>
      </c>
      <c r="C104" s="44" t="s">
        <v>159</v>
      </c>
      <c r="D104" s="45"/>
      <c r="E104" s="45" t="s">
        <v>44</v>
      </c>
      <c r="F104" s="44" t="s">
        <v>16</v>
      </c>
      <c r="G104" s="44" t="s">
        <v>17</v>
      </c>
      <c r="H104" s="44" t="s">
        <v>18</v>
      </c>
      <c r="I104" s="44" t="s">
        <v>101</v>
      </c>
      <c r="J104" s="44" t="s">
        <v>20</v>
      </c>
      <c r="K104" s="44" t="s">
        <v>102</v>
      </c>
      <c r="L104" s="44" t="s">
        <v>146</v>
      </c>
      <c r="M104" s="44" t="s">
        <v>73</v>
      </c>
      <c r="N104" s="44" t="s">
        <v>23</v>
      </c>
      <c r="O104" s="46" t="s">
        <v>24</v>
      </c>
      <c r="P104"/>
      <c r="Q104" s="4"/>
      <c r="R104" s="4"/>
      <c r="S104" s="4"/>
      <c r="T104" s="4"/>
      <c r="U104" s="4"/>
    </row>
    <row r="105" spans="2:21" ht="18" hidden="1" customHeight="1" thickTop="1" thickBot="1" x14ac:dyDescent="0.3">
      <c r="B105" s="43">
        <v>100010632</v>
      </c>
      <c r="C105" s="44" t="s">
        <v>160</v>
      </c>
      <c r="D105" s="45"/>
      <c r="E105" s="45" t="str">
        <f>IF(ISERR(FIND("VENTA LOCAL",PRODUCTO_MI_AR68[[#This Row],[NOM PRODUCTO]])),"","MI")</f>
        <v>MI</v>
      </c>
      <c r="F105" s="44" t="s">
        <v>16</v>
      </c>
      <c r="G105" s="44" t="s">
        <v>17</v>
      </c>
      <c r="H105" s="44" t="s">
        <v>18</v>
      </c>
      <c r="I105" s="44" t="s">
        <v>101</v>
      </c>
      <c r="J105" s="44" t="s">
        <v>28</v>
      </c>
      <c r="K105" s="44" t="s">
        <v>102</v>
      </c>
      <c r="L105" s="44" t="s">
        <v>143</v>
      </c>
      <c r="M105" s="44" t="s">
        <v>57</v>
      </c>
      <c r="N105" s="44" t="s">
        <v>23</v>
      </c>
      <c r="O105" s="46" t="s">
        <v>24</v>
      </c>
      <c r="P105"/>
      <c r="Q105" s="4"/>
      <c r="R105" s="4"/>
      <c r="S105" s="4"/>
      <c r="T105" s="4"/>
      <c r="U105" s="4"/>
    </row>
    <row r="106" spans="2:21" ht="18" hidden="1" customHeight="1" thickTop="1" thickBot="1" x14ac:dyDescent="0.3">
      <c r="B106" s="43">
        <v>100520516</v>
      </c>
      <c r="C106" s="44" t="s">
        <v>161</v>
      </c>
      <c r="D106" s="45"/>
      <c r="E106" s="45" t="str">
        <f>IF(ISERR(FIND("ISRAEL",PRODUCTO_MI_AR68[[#This Row],[NOM PRODUCTO]])),"","ME")</f>
        <v>ME</v>
      </c>
      <c r="F106" s="44" t="s">
        <v>16</v>
      </c>
      <c r="G106" s="44" t="s">
        <v>17</v>
      </c>
      <c r="H106" s="44" t="s">
        <v>18</v>
      </c>
      <c r="I106" s="44" t="s">
        <v>101</v>
      </c>
      <c r="J106" s="44" t="s">
        <v>28</v>
      </c>
      <c r="K106" s="44" t="s">
        <v>102</v>
      </c>
      <c r="L106" s="44" t="s">
        <v>143</v>
      </c>
      <c r="M106" s="44" t="s">
        <v>29</v>
      </c>
      <c r="N106" s="44" t="s">
        <v>23</v>
      </c>
      <c r="O106" s="46" t="s">
        <v>24</v>
      </c>
      <c r="P106"/>
      <c r="Q106" s="4"/>
      <c r="R106" s="4"/>
      <c r="S106" s="4"/>
      <c r="T106" s="4"/>
      <c r="U106" s="4"/>
    </row>
    <row r="107" spans="2:21" ht="18" hidden="1" customHeight="1" thickTop="1" thickBot="1" x14ac:dyDescent="0.3">
      <c r="B107" s="43">
        <v>100010005</v>
      </c>
      <c r="C107" s="44" t="s">
        <v>162</v>
      </c>
      <c r="D107" s="45"/>
      <c r="E107" s="45" t="s">
        <v>44</v>
      </c>
      <c r="F107" s="44" t="s">
        <v>16</v>
      </c>
      <c r="G107" s="44" t="s">
        <v>17</v>
      </c>
      <c r="H107" s="44" t="s">
        <v>18</v>
      </c>
      <c r="I107" s="44" t="s">
        <v>101</v>
      </c>
      <c r="J107" s="44" t="s">
        <v>28</v>
      </c>
      <c r="K107" s="44" t="s">
        <v>102</v>
      </c>
      <c r="L107" s="44" t="s">
        <v>143</v>
      </c>
      <c r="M107" s="44" t="s">
        <v>57</v>
      </c>
      <c r="N107" s="44" t="s">
        <v>23</v>
      </c>
      <c r="O107" s="46" t="s">
        <v>24</v>
      </c>
      <c r="P107"/>
      <c r="Q107" s="4"/>
      <c r="R107" s="4"/>
      <c r="S107" s="4"/>
      <c r="T107" s="4"/>
      <c r="U107" s="4"/>
    </row>
    <row r="108" spans="2:21" ht="18" hidden="1" customHeight="1" thickTop="1" thickBot="1" x14ac:dyDescent="0.3">
      <c r="B108" s="43">
        <v>100520751</v>
      </c>
      <c r="C108" s="44" t="s">
        <v>163</v>
      </c>
      <c r="D108" s="45"/>
      <c r="E108" s="45" t="str">
        <f>IF(ISERR(FIND("CHILE",PRODUCTO_MI_AR68[[#This Row],[NOM PRODUCTO]])),"","ME")</f>
        <v>ME</v>
      </c>
      <c r="F108" s="44" t="s">
        <v>16</v>
      </c>
      <c r="G108" s="44" t="s">
        <v>17</v>
      </c>
      <c r="H108" s="44" t="s">
        <v>18</v>
      </c>
      <c r="I108" s="44" t="s">
        <v>101</v>
      </c>
      <c r="J108" s="44" t="s">
        <v>28</v>
      </c>
      <c r="K108" s="44" t="s">
        <v>102</v>
      </c>
      <c r="L108" s="44" t="s">
        <v>143</v>
      </c>
      <c r="M108" s="44" t="s">
        <v>29</v>
      </c>
      <c r="N108" s="44" t="str">
        <f>IF(ISERR(FIND("CONG",PRODUCTO_MI_AR68[[#This Row],[NOM PRODUCTO]])),"","CONGELADO")</f>
        <v>CONGELADO</v>
      </c>
      <c r="O108" s="46" t="s">
        <v>24</v>
      </c>
      <c r="P108"/>
      <c r="Q108" s="4"/>
      <c r="R108" s="4"/>
      <c r="S108" s="4"/>
      <c r="T108" s="4"/>
      <c r="U108" s="4"/>
    </row>
    <row r="109" spans="2:21" ht="18" hidden="1" customHeight="1" thickTop="1" thickBot="1" x14ac:dyDescent="0.3">
      <c r="B109" s="43">
        <v>100520688</v>
      </c>
      <c r="C109" s="44" t="s">
        <v>164</v>
      </c>
      <c r="D109" s="45"/>
      <c r="E109" s="45" t="str">
        <f>IF(ISERR(FIND("PUL",PRODUCTO_MI_AR68[[#This Row],[NOM PRODUCTO]])),"","ME")</f>
        <v>ME</v>
      </c>
      <c r="F109" s="44" t="s">
        <v>16</v>
      </c>
      <c r="G109" s="44" t="s">
        <v>17</v>
      </c>
      <c r="H109" s="44" t="s">
        <v>18</v>
      </c>
      <c r="I109" s="44" t="s">
        <v>101</v>
      </c>
      <c r="J109" s="44" t="s">
        <v>28</v>
      </c>
      <c r="K109" s="44" t="s">
        <v>102</v>
      </c>
      <c r="L109" s="44" t="s">
        <v>143</v>
      </c>
      <c r="M109" s="44" t="s">
        <v>29</v>
      </c>
      <c r="N109" s="44" t="s">
        <v>23</v>
      </c>
      <c r="O109" s="46" t="s">
        <v>24</v>
      </c>
      <c r="P109"/>
      <c r="Q109" s="4"/>
      <c r="R109" s="4"/>
      <c r="S109" s="4"/>
      <c r="T109" s="4"/>
      <c r="U109" s="4"/>
    </row>
    <row r="110" spans="2:21" ht="18" hidden="1" customHeight="1" thickTop="1" thickBot="1" x14ac:dyDescent="0.3">
      <c r="B110" s="43">
        <v>100519635</v>
      </c>
      <c r="C110" s="44" t="s">
        <v>165</v>
      </c>
      <c r="D110" s="45"/>
      <c r="E110" s="45" t="str">
        <f>IF(ISERR(FIND("PUL",PRODUCTO_MI_AR68[[#This Row],[NOM PRODUCTO]])),"","ME")</f>
        <v>ME</v>
      </c>
      <c r="F110" s="44" t="s">
        <v>16</v>
      </c>
      <c r="G110" s="44" t="s">
        <v>17</v>
      </c>
      <c r="H110" s="44" t="s">
        <v>18</v>
      </c>
      <c r="I110" s="44" t="s">
        <v>101</v>
      </c>
      <c r="J110" s="44" t="s">
        <v>28</v>
      </c>
      <c r="K110" s="44" t="s">
        <v>102</v>
      </c>
      <c r="L110" s="44" t="s">
        <v>143</v>
      </c>
      <c r="M110" s="44" t="s">
        <v>29</v>
      </c>
      <c r="N110" s="44" t="s">
        <v>23</v>
      </c>
      <c r="O110" s="46" t="s">
        <v>24</v>
      </c>
      <c r="P110"/>
      <c r="Q110" s="4"/>
      <c r="R110" s="4"/>
      <c r="S110" s="4"/>
      <c r="T110" s="4"/>
      <c r="U110" s="4"/>
    </row>
    <row r="111" spans="2:21" ht="18" hidden="1" customHeight="1" thickTop="1" thickBot="1" x14ac:dyDescent="0.3">
      <c r="B111" s="43">
        <v>100519664</v>
      </c>
      <c r="C111" s="44" t="s">
        <v>166</v>
      </c>
      <c r="D111" s="45"/>
      <c r="E111" s="45" t="str">
        <f>IF(ISERR(FIND("PUL",PRODUCTO_MI_AR68[[#This Row],[NOM PRODUCTO]])),"","ME")</f>
        <v>ME</v>
      </c>
      <c r="F111" s="44" t="s">
        <v>16</v>
      </c>
      <c r="G111" s="44" t="s">
        <v>17</v>
      </c>
      <c r="H111" s="44" t="s">
        <v>18</v>
      </c>
      <c r="I111" s="44" t="s">
        <v>101</v>
      </c>
      <c r="J111" s="44" t="s">
        <v>28</v>
      </c>
      <c r="K111" s="44" t="s">
        <v>102</v>
      </c>
      <c r="L111" s="44" t="s">
        <v>143</v>
      </c>
      <c r="M111" s="44" t="s">
        <v>29</v>
      </c>
      <c r="N111" s="44" t="s">
        <v>23</v>
      </c>
      <c r="O111" s="46" t="s">
        <v>24</v>
      </c>
      <c r="P111"/>
      <c r="Q111" s="4"/>
      <c r="R111" s="4"/>
      <c r="S111" s="4"/>
      <c r="T111" s="4"/>
      <c r="U111" s="4"/>
    </row>
    <row r="112" spans="2:21" ht="18" hidden="1" customHeight="1" thickTop="1" thickBot="1" x14ac:dyDescent="0.3">
      <c r="B112" s="43">
        <v>100521089</v>
      </c>
      <c r="C112" s="44" t="s">
        <v>167</v>
      </c>
      <c r="D112" s="45"/>
      <c r="E112" s="45" t="str">
        <f>IF(ISERR(FIND("CLL",PRODUCTO_MI_AR68[[#This Row],[NOM PRODUCTO]])),"","ME")</f>
        <v>ME</v>
      </c>
      <c r="F112" s="44" t="s">
        <v>16</v>
      </c>
      <c r="G112" s="44" t="s">
        <v>17</v>
      </c>
      <c r="H112" s="44" t="s">
        <v>18</v>
      </c>
      <c r="I112" s="44" t="s">
        <v>101</v>
      </c>
      <c r="J112" s="44" t="s">
        <v>20</v>
      </c>
      <c r="K112" s="44" t="s">
        <v>102</v>
      </c>
      <c r="L112" s="44" t="s">
        <v>143</v>
      </c>
      <c r="M112" s="44" t="s">
        <v>22</v>
      </c>
      <c r="N112" s="44" t="s">
        <v>23</v>
      </c>
      <c r="O112" s="46" t="s">
        <v>24</v>
      </c>
      <c r="P112"/>
      <c r="Q112" s="4"/>
      <c r="R112" s="4"/>
      <c r="S112" s="4"/>
      <c r="T112" s="4"/>
      <c r="U112" s="4"/>
    </row>
    <row r="113" spans="2:21" ht="18" hidden="1" customHeight="1" thickTop="1" thickBot="1" x14ac:dyDescent="0.3">
      <c r="B113" s="43">
        <v>100519636</v>
      </c>
      <c r="C113" s="44" t="s">
        <v>168</v>
      </c>
      <c r="D113" s="45"/>
      <c r="E113" s="45" t="str">
        <f>IF(ISERR(FIND("PUL",PRODUCTO_MI_AR68[[#This Row],[NOM PRODUCTO]])),"","ME")</f>
        <v>ME</v>
      </c>
      <c r="F113" s="44" t="s">
        <v>16</v>
      </c>
      <c r="G113" s="44" t="s">
        <v>17</v>
      </c>
      <c r="H113" s="44" t="s">
        <v>18</v>
      </c>
      <c r="I113" s="44" t="s">
        <v>101</v>
      </c>
      <c r="J113" s="44" t="s">
        <v>28</v>
      </c>
      <c r="K113" s="44" t="s">
        <v>102</v>
      </c>
      <c r="L113" s="44" t="s">
        <v>143</v>
      </c>
      <c r="M113" s="44" t="s">
        <v>29</v>
      </c>
      <c r="N113" s="44" t="s">
        <v>23</v>
      </c>
      <c r="O113" s="46" t="s">
        <v>24</v>
      </c>
      <c r="P113"/>
      <c r="Q113" s="4"/>
      <c r="R113" s="4"/>
      <c r="S113" s="4"/>
      <c r="T113" s="4"/>
      <c r="U113" s="4"/>
    </row>
    <row r="114" spans="2:21" ht="18" hidden="1" customHeight="1" thickTop="1" thickBot="1" x14ac:dyDescent="0.3">
      <c r="B114" s="43">
        <v>100519665</v>
      </c>
      <c r="C114" s="44" t="s">
        <v>169</v>
      </c>
      <c r="D114" s="45"/>
      <c r="E114" s="45" t="str">
        <f>IF(ISERR(FIND("PUL",PRODUCTO_MI_AR68[[#This Row],[NOM PRODUCTO]])),"","ME")</f>
        <v>ME</v>
      </c>
      <c r="F114" s="44" t="s">
        <v>16</v>
      </c>
      <c r="G114" s="44" t="s">
        <v>17</v>
      </c>
      <c r="H114" s="44" t="s">
        <v>18</v>
      </c>
      <c r="I114" s="44" t="s">
        <v>101</v>
      </c>
      <c r="J114" s="44" t="s">
        <v>28</v>
      </c>
      <c r="K114" s="44" t="s">
        <v>102</v>
      </c>
      <c r="L114" s="44" t="s">
        <v>143</v>
      </c>
      <c r="M114" s="44" t="s">
        <v>29</v>
      </c>
      <c r="N114" s="44" t="s">
        <v>23</v>
      </c>
      <c r="O114" s="46" t="s">
        <v>24</v>
      </c>
      <c r="P114"/>
      <c r="Q114" s="4"/>
      <c r="R114" s="4"/>
      <c r="S114" s="4"/>
      <c r="T114" s="4"/>
      <c r="U114" s="4"/>
    </row>
    <row r="115" spans="2:21" ht="18" hidden="1" customHeight="1" thickTop="1" thickBot="1" x14ac:dyDescent="0.3">
      <c r="B115" s="43">
        <v>100519640</v>
      </c>
      <c r="C115" s="44" t="s">
        <v>170</v>
      </c>
      <c r="D115" s="45"/>
      <c r="E115" s="45" t="str">
        <f>IF(ISERR(FIND("PUL",PRODUCTO_MI_AR68[[#This Row],[NOM PRODUCTO]])),"","ME")</f>
        <v>ME</v>
      </c>
      <c r="F115" s="44" t="s">
        <v>16</v>
      </c>
      <c r="G115" s="44" t="s">
        <v>17</v>
      </c>
      <c r="H115" s="44" t="s">
        <v>18</v>
      </c>
      <c r="I115" s="44" t="s">
        <v>101</v>
      </c>
      <c r="J115" s="44" t="s">
        <v>28</v>
      </c>
      <c r="K115" s="44" t="s">
        <v>102</v>
      </c>
      <c r="L115" s="44" t="s">
        <v>143</v>
      </c>
      <c r="M115" s="44" t="s">
        <v>29</v>
      </c>
      <c r="N115" s="44" t="s">
        <v>23</v>
      </c>
      <c r="O115" s="46" t="s">
        <v>24</v>
      </c>
      <c r="P115"/>
      <c r="Q115" s="4"/>
      <c r="R115" s="4"/>
      <c r="S115" s="4"/>
      <c r="T115" s="4"/>
      <c r="U115" s="4"/>
    </row>
    <row r="116" spans="2:21" ht="18" hidden="1" customHeight="1" thickTop="1" thickBot="1" x14ac:dyDescent="0.3">
      <c r="B116" s="43">
        <v>100519666</v>
      </c>
      <c r="C116" s="44" t="s">
        <v>171</v>
      </c>
      <c r="D116" s="45"/>
      <c r="E116" s="45" t="str">
        <f>IF(ISERR(FIND("PUL",PRODUCTO_MI_AR68[[#This Row],[NOM PRODUCTO]])),"","ME")</f>
        <v>ME</v>
      </c>
      <c r="F116" s="44" t="s">
        <v>16</v>
      </c>
      <c r="G116" s="44" t="s">
        <v>17</v>
      </c>
      <c r="H116" s="44" t="s">
        <v>18</v>
      </c>
      <c r="I116" s="44" t="s">
        <v>101</v>
      </c>
      <c r="J116" s="44" t="s">
        <v>28</v>
      </c>
      <c r="K116" s="44" t="s">
        <v>102</v>
      </c>
      <c r="L116" s="44" t="s">
        <v>143</v>
      </c>
      <c r="M116" s="44" t="s">
        <v>29</v>
      </c>
      <c r="N116" s="44" t="s">
        <v>23</v>
      </c>
      <c r="O116" s="46" t="s">
        <v>24</v>
      </c>
      <c r="P116"/>
      <c r="Q116" s="4"/>
      <c r="R116" s="4"/>
      <c r="S116" s="4"/>
      <c r="T116" s="4"/>
      <c r="U116" s="4"/>
    </row>
    <row r="117" spans="2:21" ht="18" hidden="1" customHeight="1" thickTop="1" thickBot="1" x14ac:dyDescent="0.3">
      <c r="B117" s="43">
        <v>100519849</v>
      </c>
      <c r="C117" s="44" t="s">
        <v>172</v>
      </c>
      <c r="D117" s="45"/>
      <c r="E117" s="45" t="str">
        <f>IF(ISERR(FIND("CLL",PRODUCTO_MI_AR68[[#This Row],[NOM PRODUCTO]])),"","ME")</f>
        <v>ME</v>
      </c>
      <c r="F117" s="44" t="s">
        <v>16</v>
      </c>
      <c r="G117" s="44" t="s">
        <v>17</v>
      </c>
      <c r="H117" s="44" t="s">
        <v>18</v>
      </c>
      <c r="I117" s="44" t="s">
        <v>101</v>
      </c>
      <c r="J117" s="44" t="s">
        <v>20</v>
      </c>
      <c r="K117" s="44" t="s">
        <v>102</v>
      </c>
      <c r="L117" s="44" t="s">
        <v>143</v>
      </c>
      <c r="M117" s="44" t="s">
        <v>22</v>
      </c>
      <c r="N117" s="44" t="s">
        <v>23</v>
      </c>
      <c r="O117" s="46" t="s">
        <v>24</v>
      </c>
      <c r="P117"/>
      <c r="Q117" s="4"/>
      <c r="R117" s="4"/>
      <c r="S117" s="4"/>
      <c r="T117" s="4"/>
      <c r="U117" s="4"/>
    </row>
    <row r="118" spans="2:21" ht="18" hidden="1" customHeight="1" thickTop="1" thickBot="1" x14ac:dyDescent="0.3">
      <c r="B118" s="43">
        <v>100010246</v>
      </c>
      <c r="C118" s="44" t="s">
        <v>173</v>
      </c>
      <c r="D118" s="45"/>
      <c r="E118" s="45" t="s">
        <v>15</v>
      </c>
      <c r="F118" s="44" t="s">
        <v>16</v>
      </c>
      <c r="G118" s="44" t="s">
        <v>17</v>
      </c>
      <c r="H118" s="44" t="s">
        <v>18</v>
      </c>
      <c r="I118" s="44" t="s">
        <v>101</v>
      </c>
      <c r="J118" s="44" t="s">
        <v>20</v>
      </c>
      <c r="K118" s="44" t="s">
        <v>102</v>
      </c>
      <c r="L118" s="44" t="s">
        <v>143</v>
      </c>
      <c r="M118" s="44" t="s">
        <v>22</v>
      </c>
      <c r="N118" s="44" t="s">
        <v>23</v>
      </c>
      <c r="O118" s="46" t="s">
        <v>24</v>
      </c>
      <c r="P118"/>
      <c r="Q118" s="4"/>
      <c r="R118" s="4"/>
      <c r="S118" s="4"/>
      <c r="T118" s="4"/>
      <c r="U118" s="4"/>
    </row>
    <row r="119" spans="2:21" ht="18" hidden="1" customHeight="1" thickTop="1" thickBot="1" x14ac:dyDescent="0.3">
      <c r="B119" s="43">
        <v>100519643</v>
      </c>
      <c r="C119" s="44" t="s">
        <v>174</v>
      </c>
      <c r="D119" s="45"/>
      <c r="E119" s="45" t="str">
        <f>IF(ISERR(FIND("PUL",PRODUCTO_MI_AR68[[#This Row],[NOM PRODUCTO]])),"","ME")</f>
        <v>ME</v>
      </c>
      <c r="F119" s="44" t="s">
        <v>16</v>
      </c>
      <c r="G119" s="44" t="s">
        <v>17</v>
      </c>
      <c r="H119" s="44" t="s">
        <v>18</v>
      </c>
      <c r="I119" s="44" t="s">
        <v>101</v>
      </c>
      <c r="J119" s="44" t="s">
        <v>28</v>
      </c>
      <c r="K119" s="44" t="s">
        <v>102</v>
      </c>
      <c r="L119" s="44" t="s">
        <v>143</v>
      </c>
      <c r="M119" s="44" t="s">
        <v>29</v>
      </c>
      <c r="N119" s="44" t="s">
        <v>23</v>
      </c>
      <c r="O119" s="46" t="s">
        <v>24</v>
      </c>
      <c r="P119"/>
      <c r="Q119" s="4"/>
      <c r="R119" s="4"/>
      <c r="S119" s="4"/>
      <c r="T119" s="4"/>
      <c r="U119" s="4"/>
    </row>
    <row r="120" spans="2:21" ht="18" hidden="1" customHeight="1" thickTop="1" thickBot="1" x14ac:dyDescent="0.3">
      <c r="B120" s="43">
        <v>100519668</v>
      </c>
      <c r="C120" s="44" t="s">
        <v>175</v>
      </c>
      <c r="D120" s="45"/>
      <c r="E120" s="45" t="str">
        <f>IF(ISERR(FIND("PUL",PRODUCTO_MI_AR68[[#This Row],[NOM PRODUCTO]])),"","ME")</f>
        <v>ME</v>
      </c>
      <c r="F120" s="44" t="s">
        <v>16</v>
      </c>
      <c r="G120" s="44" t="s">
        <v>17</v>
      </c>
      <c r="H120" s="44" t="s">
        <v>18</v>
      </c>
      <c r="I120" s="44" t="s">
        <v>101</v>
      </c>
      <c r="J120" s="44" t="s">
        <v>28</v>
      </c>
      <c r="K120" s="44" t="s">
        <v>102</v>
      </c>
      <c r="L120" s="44" t="s">
        <v>143</v>
      </c>
      <c r="M120" s="44" t="s">
        <v>29</v>
      </c>
      <c r="N120" s="44" t="s">
        <v>23</v>
      </c>
      <c r="O120" s="46" t="s">
        <v>24</v>
      </c>
      <c r="P120"/>
      <c r="Q120" s="4"/>
      <c r="R120" s="4"/>
      <c r="S120" s="4"/>
      <c r="T120" s="4"/>
      <c r="U120" s="4"/>
    </row>
    <row r="121" spans="2:21" ht="18" hidden="1" customHeight="1" thickTop="1" thickBot="1" x14ac:dyDescent="0.3">
      <c r="B121" s="43">
        <v>100521090</v>
      </c>
      <c r="C121" s="44" t="s">
        <v>176</v>
      </c>
      <c r="D121" s="45"/>
      <c r="E121" s="45" t="str">
        <f>IF(ISERR(FIND("CLL",PRODUCTO_MI_AR68[[#This Row],[NOM PRODUCTO]])),"","ME")</f>
        <v>ME</v>
      </c>
      <c r="F121" s="44" t="s">
        <v>16</v>
      </c>
      <c r="G121" s="44" t="s">
        <v>17</v>
      </c>
      <c r="H121" s="44" t="s">
        <v>18</v>
      </c>
      <c r="I121" s="44" t="s">
        <v>101</v>
      </c>
      <c r="J121" s="44" t="s">
        <v>20</v>
      </c>
      <c r="K121" s="44" t="s">
        <v>102</v>
      </c>
      <c r="L121" s="44" t="s">
        <v>143</v>
      </c>
      <c r="M121" s="44" t="s">
        <v>22</v>
      </c>
      <c r="N121" s="44" t="s">
        <v>23</v>
      </c>
      <c r="O121" s="46" t="s">
        <v>24</v>
      </c>
      <c r="P121"/>
      <c r="Q121" s="4"/>
      <c r="R121" s="4"/>
      <c r="S121" s="4"/>
      <c r="T121" s="4"/>
      <c r="U121" s="4"/>
    </row>
    <row r="122" spans="2:21" ht="18" hidden="1" customHeight="1" thickTop="1" thickBot="1" x14ac:dyDescent="0.3">
      <c r="B122" s="43">
        <v>100519848</v>
      </c>
      <c r="C122" s="44" t="s">
        <v>177</v>
      </c>
      <c r="D122" s="45"/>
      <c r="E122" s="45" t="str">
        <f>IF(ISERR(FIND("CLL",PRODUCTO_MI_AR68[[#This Row],[NOM PRODUCTO]])),"","ME")</f>
        <v>ME</v>
      </c>
      <c r="F122" s="44" t="s">
        <v>16</v>
      </c>
      <c r="G122" s="44" t="s">
        <v>17</v>
      </c>
      <c r="H122" s="44" t="s">
        <v>18</v>
      </c>
      <c r="I122" s="44" t="s">
        <v>101</v>
      </c>
      <c r="J122" s="44" t="s">
        <v>20</v>
      </c>
      <c r="K122" s="44" t="s">
        <v>102</v>
      </c>
      <c r="L122" s="44" t="s">
        <v>143</v>
      </c>
      <c r="M122" s="44" t="s">
        <v>22</v>
      </c>
      <c r="N122" s="44" t="s">
        <v>23</v>
      </c>
      <c r="O122" s="46" t="s">
        <v>24</v>
      </c>
      <c r="P122"/>
      <c r="Q122" s="4"/>
      <c r="R122" s="4"/>
      <c r="S122" s="4"/>
      <c r="T122" s="4"/>
      <c r="U122" s="4"/>
    </row>
    <row r="123" spans="2:21" ht="18" hidden="1" customHeight="1" thickTop="1" thickBot="1" x14ac:dyDescent="0.3">
      <c r="B123" s="43">
        <v>100520452</v>
      </c>
      <c r="C123" s="44" t="s">
        <v>178</v>
      </c>
      <c r="D123" s="45"/>
      <c r="E123" s="45" t="str">
        <f>IF(ISERR(FIND("CLL",PRODUCTO_MI_AR68[[#This Row],[NOM PRODUCTO]])),"","ME")</f>
        <v>ME</v>
      </c>
      <c r="F123" s="44" t="s">
        <v>16</v>
      </c>
      <c r="G123" s="44" t="s">
        <v>17</v>
      </c>
      <c r="H123" s="44" t="s">
        <v>18</v>
      </c>
      <c r="I123" s="44" t="s">
        <v>101</v>
      </c>
      <c r="J123" s="44" t="s">
        <v>20</v>
      </c>
      <c r="K123" s="44" t="s">
        <v>102</v>
      </c>
      <c r="L123" s="44" t="s">
        <v>143</v>
      </c>
      <c r="M123" s="44" t="s">
        <v>22</v>
      </c>
      <c r="N123" s="44" t="s">
        <v>23</v>
      </c>
      <c r="O123" s="46" t="s">
        <v>24</v>
      </c>
      <c r="P123"/>
      <c r="Q123" s="4"/>
      <c r="R123" s="4"/>
      <c r="S123" s="4"/>
      <c r="T123" s="4"/>
      <c r="U123" s="4"/>
    </row>
    <row r="124" spans="2:21" ht="18" hidden="1" customHeight="1" thickTop="1" thickBot="1" x14ac:dyDescent="0.3">
      <c r="B124" s="43">
        <v>100520402</v>
      </c>
      <c r="C124" s="44" t="s">
        <v>179</v>
      </c>
      <c r="D124" s="45"/>
      <c r="E124" s="45" t="str">
        <f>IF(ISERR(FIND("PUL",PRODUCTO_MI_AR68[[#This Row],[NOM PRODUCTO]])),"","ME")</f>
        <v>ME</v>
      </c>
      <c r="F124" s="44" t="s">
        <v>16</v>
      </c>
      <c r="G124" s="44" t="s">
        <v>17</v>
      </c>
      <c r="H124" s="44" t="s">
        <v>18</v>
      </c>
      <c r="I124" s="44" t="s">
        <v>101</v>
      </c>
      <c r="J124" s="44" t="s">
        <v>28</v>
      </c>
      <c r="K124" s="44" t="s">
        <v>102</v>
      </c>
      <c r="L124" s="44" t="s">
        <v>143</v>
      </c>
      <c r="M124" s="44" t="s">
        <v>29</v>
      </c>
      <c r="N124" s="44" t="s">
        <v>23</v>
      </c>
      <c r="O124" s="46" t="s">
        <v>24</v>
      </c>
      <c r="P124"/>
      <c r="Q124" s="4"/>
      <c r="R124" s="4"/>
      <c r="S124" s="4"/>
      <c r="T124" s="4"/>
      <c r="U124" s="4"/>
    </row>
    <row r="125" spans="2:21" ht="18" hidden="1" customHeight="1" thickTop="1" thickBot="1" x14ac:dyDescent="0.3">
      <c r="B125" s="43">
        <v>100519641</v>
      </c>
      <c r="C125" s="44" t="s">
        <v>180</v>
      </c>
      <c r="D125" s="45"/>
      <c r="E125" s="45" t="str">
        <f>IF(ISERR(FIND("PUL",PRODUCTO_MI_AR68[[#This Row],[NOM PRODUCTO]])),"","ME")</f>
        <v>ME</v>
      </c>
      <c r="F125" s="44" t="s">
        <v>16</v>
      </c>
      <c r="G125" s="44" t="s">
        <v>17</v>
      </c>
      <c r="H125" s="44" t="s">
        <v>18</v>
      </c>
      <c r="I125" s="44" t="s">
        <v>101</v>
      </c>
      <c r="J125" s="44" t="s">
        <v>28</v>
      </c>
      <c r="K125" s="44" t="s">
        <v>102</v>
      </c>
      <c r="L125" s="44" t="s">
        <v>143</v>
      </c>
      <c r="M125" s="44" t="s">
        <v>29</v>
      </c>
      <c r="N125" s="44" t="s">
        <v>23</v>
      </c>
      <c r="O125" s="46" t="s">
        <v>24</v>
      </c>
      <c r="P125"/>
      <c r="Q125" s="4"/>
      <c r="R125" s="4"/>
      <c r="S125" s="4"/>
      <c r="T125" s="4"/>
      <c r="U125" s="4"/>
    </row>
    <row r="126" spans="2:21" ht="18" hidden="1" customHeight="1" thickTop="1" thickBot="1" x14ac:dyDescent="0.3">
      <c r="B126" s="43">
        <v>100519667</v>
      </c>
      <c r="C126" s="44" t="s">
        <v>181</v>
      </c>
      <c r="D126" s="45"/>
      <c r="E126" s="45" t="str">
        <f>IF(ISERR(FIND("PUL",PRODUCTO_MI_AR68[[#This Row],[NOM PRODUCTO]])),"","ME")</f>
        <v>ME</v>
      </c>
      <c r="F126" s="44" t="s">
        <v>16</v>
      </c>
      <c r="G126" s="44" t="s">
        <v>17</v>
      </c>
      <c r="H126" s="44" t="s">
        <v>18</v>
      </c>
      <c r="I126" s="44" t="s">
        <v>101</v>
      </c>
      <c r="J126" s="44" t="s">
        <v>28</v>
      </c>
      <c r="K126" s="44" t="s">
        <v>102</v>
      </c>
      <c r="L126" s="44" t="s">
        <v>143</v>
      </c>
      <c r="M126" s="44" t="s">
        <v>29</v>
      </c>
      <c r="N126" s="44" t="s">
        <v>23</v>
      </c>
      <c r="O126" s="46" t="s">
        <v>24</v>
      </c>
      <c r="P126"/>
      <c r="Q126" s="4"/>
      <c r="R126" s="4"/>
      <c r="S126" s="4"/>
      <c r="T126" s="4"/>
      <c r="U126" s="4"/>
    </row>
    <row r="127" spans="2:21" ht="18" hidden="1" customHeight="1" thickTop="1" thickBot="1" x14ac:dyDescent="0.3">
      <c r="B127" s="43">
        <v>100521091</v>
      </c>
      <c r="C127" s="44" t="s">
        <v>182</v>
      </c>
      <c r="D127" s="45"/>
      <c r="E127" s="45" t="str">
        <f>IF(ISERR(FIND("CLL",PRODUCTO_MI_AR68[[#This Row],[NOM PRODUCTO]])),"","ME")</f>
        <v>ME</v>
      </c>
      <c r="F127" s="44" t="s">
        <v>16</v>
      </c>
      <c r="G127" s="44" t="s">
        <v>17</v>
      </c>
      <c r="H127" s="44" t="s">
        <v>18</v>
      </c>
      <c r="I127" s="44" t="s">
        <v>101</v>
      </c>
      <c r="J127" s="44" t="s">
        <v>20</v>
      </c>
      <c r="K127" s="44" t="s">
        <v>102</v>
      </c>
      <c r="L127" s="44" t="s">
        <v>143</v>
      </c>
      <c r="M127" s="44" t="s">
        <v>22</v>
      </c>
      <c r="N127" s="44" t="s">
        <v>23</v>
      </c>
      <c r="O127" s="46" t="s">
        <v>24</v>
      </c>
      <c r="P127"/>
      <c r="Q127" s="4"/>
      <c r="R127" s="4"/>
      <c r="S127" s="4"/>
      <c r="T127" s="4"/>
      <c r="U127" s="4"/>
    </row>
    <row r="128" spans="2:21" ht="18" hidden="1" customHeight="1" thickTop="1" thickBot="1" x14ac:dyDescent="0.3">
      <c r="B128" s="43">
        <v>100520284</v>
      </c>
      <c r="C128" s="44" t="s">
        <v>183</v>
      </c>
      <c r="D128" s="45"/>
      <c r="E128" s="45" t="str">
        <f>IF(ISERR(FIND("PUL",PRODUCTO_MI_AR68[[#This Row],[NOM PRODUCTO]])),"","ME")</f>
        <v>ME</v>
      </c>
      <c r="F128" s="44" t="s">
        <v>16</v>
      </c>
      <c r="G128" s="44" t="s">
        <v>17</v>
      </c>
      <c r="H128" s="44" t="s">
        <v>18</v>
      </c>
      <c r="I128" s="44" t="s">
        <v>101</v>
      </c>
      <c r="J128" s="44" t="s">
        <v>28</v>
      </c>
      <c r="K128" s="44" t="s">
        <v>102</v>
      </c>
      <c r="L128" s="44" t="s">
        <v>143</v>
      </c>
      <c r="M128" s="44" t="s">
        <v>29</v>
      </c>
      <c r="N128" s="44" t="s">
        <v>23</v>
      </c>
      <c r="O128" s="46" t="s">
        <v>24</v>
      </c>
      <c r="P128"/>
      <c r="Q128" s="4"/>
      <c r="R128" s="4"/>
      <c r="S128" s="4"/>
      <c r="T128" s="4"/>
      <c r="U128" s="4"/>
    </row>
    <row r="129" spans="2:21" ht="18" hidden="1" customHeight="1" thickTop="1" thickBot="1" x14ac:dyDescent="0.3">
      <c r="B129" s="43">
        <v>100518592</v>
      </c>
      <c r="C129" s="44" t="s">
        <v>184</v>
      </c>
      <c r="D129" s="45"/>
      <c r="E129" s="45" t="str">
        <f>IF(ISERR(FIND("CLL",PRODUCTO_MI_AR68[[#This Row],[NOM PRODUCTO]])),"","ME")</f>
        <v>ME</v>
      </c>
      <c r="F129" s="44" t="s">
        <v>16</v>
      </c>
      <c r="G129" s="44" t="s">
        <v>17</v>
      </c>
      <c r="H129" s="44" t="s">
        <v>18</v>
      </c>
      <c r="I129" s="44" t="s">
        <v>101</v>
      </c>
      <c r="J129" s="44" t="s">
        <v>20</v>
      </c>
      <c r="K129" s="44" t="s">
        <v>102</v>
      </c>
      <c r="L129" s="44" t="s">
        <v>143</v>
      </c>
      <c r="M129" s="44" t="s">
        <v>22</v>
      </c>
      <c r="N129" s="44" t="s">
        <v>23</v>
      </c>
      <c r="O129" s="46" t="s">
        <v>24</v>
      </c>
      <c r="P129"/>
      <c r="Q129" s="4"/>
      <c r="R129" s="4"/>
      <c r="S129" s="4"/>
      <c r="T129" s="4"/>
      <c r="U129" s="4"/>
    </row>
    <row r="130" spans="2:21" ht="18" hidden="1" customHeight="1" thickTop="1" thickBot="1" x14ac:dyDescent="0.3">
      <c r="B130" s="43">
        <v>100519567</v>
      </c>
      <c r="C130" s="44" t="s">
        <v>185</v>
      </c>
      <c r="D130" s="45"/>
      <c r="E130" s="45" t="str">
        <f>IF(ISERR(FIND("PUL",PRODUCTO_MI_AR68[[#This Row],[NOM PRODUCTO]])),"","ME")</f>
        <v>ME</v>
      </c>
      <c r="F130" s="44" t="s">
        <v>16</v>
      </c>
      <c r="G130" s="44" t="s">
        <v>17</v>
      </c>
      <c r="H130" s="44" t="s">
        <v>18</v>
      </c>
      <c r="I130" s="44" t="s">
        <v>101</v>
      </c>
      <c r="J130" s="44" t="s">
        <v>28</v>
      </c>
      <c r="K130" s="44" t="s">
        <v>102</v>
      </c>
      <c r="L130" s="44" t="s">
        <v>143</v>
      </c>
      <c r="M130" s="44" t="s">
        <v>29</v>
      </c>
      <c r="N130" s="44" t="str">
        <f>IF(ISERR(FIND("CONG",PRODUCTO_MI_AR68[[#This Row],[NOM PRODUCTO]])),"","CONGELADO")</f>
        <v>CONGELADO</v>
      </c>
      <c r="O130" s="46" t="s">
        <v>24</v>
      </c>
      <c r="P130"/>
      <c r="Q130" s="4"/>
      <c r="R130" s="4"/>
      <c r="S130" s="4"/>
      <c r="T130" s="4"/>
      <c r="U130" s="4"/>
    </row>
    <row r="131" spans="2:21" ht="18" hidden="1" customHeight="1" thickTop="1" thickBot="1" x14ac:dyDescent="0.3">
      <c r="B131" s="43">
        <v>100522051</v>
      </c>
      <c r="C131" s="44" t="s">
        <v>186</v>
      </c>
      <c r="D131" s="45"/>
      <c r="E131" s="45" t="str">
        <f>IF(ISERR(FIND("PUL",PRODUCTO_MI_AR68[[#This Row],[NOM PRODUCTO]])),"","ME")</f>
        <v>ME</v>
      </c>
      <c r="F131" s="44" t="s">
        <v>16</v>
      </c>
      <c r="G131" s="44" t="s">
        <v>17</v>
      </c>
      <c r="H131" s="44" t="s">
        <v>18</v>
      </c>
      <c r="I131" s="44" t="s">
        <v>101</v>
      </c>
      <c r="J131" s="44" t="s">
        <v>28</v>
      </c>
      <c r="K131" s="44" t="s">
        <v>102</v>
      </c>
      <c r="L131" s="44" t="s">
        <v>143</v>
      </c>
      <c r="M131" s="44" t="s">
        <v>29</v>
      </c>
      <c r="N131" s="44" t="str">
        <f>IF(ISERR(FIND("CONG",PRODUCTO_MI_AR68[[#This Row],[NOM PRODUCTO]])),"","CONGELADO")</f>
        <v>CONGELADO</v>
      </c>
      <c r="O131" s="46" t="s">
        <v>24</v>
      </c>
      <c r="P131"/>
      <c r="Q131" s="4"/>
      <c r="R131" s="4"/>
      <c r="S131" s="4"/>
      <c r="T131" s="4"/>
      <c r="U131" s="4"/>
    </row>
    <row r="132" spans="2:21" ht="18" hidden="1" customHeight="1" thickTop="1" thickBot="1" x14ac:dyDescent="0.3">
      <c r="B132" s="43">
        <v>100521466</v>
      </c>
      <c r="C132" s="44" t="s">
        <v>187</v>
      </c>
      <c r="D132" s="45"/>
      <c r="E132" s="45" t="str">
        <f>IF(ISERR(FIND("CLL",PRODUCTO_MI_AR68[[#This Row],[NOM PRODUCTO]])),"","ME")</f>
        <v>ME</v>
      </c>
      <c r="F132" s="44" t="s">
        <v>16</v>
      </c>
      <c r="G132" s="44" t="s">
        <v>17</v>
      </c>
      <c r="H132" s="44" t="s">
        <v>18</v>
      </c>
      <c r="I132" s="44" t="s">
        <v>101</v>
      </c>
      <c r="J132" s="44" t="s">
        <v>20</v>
      </c>
      <c r="K132" s="44" t="s">
        <v>102</v>
      </c>
      <c r="L132" s="44" t="s">
        <v>143</v>
      </c>
      <c r="M132" s="44" t="s">
        <v>22</v>
      </c>
      <c r="N132" s="44" t="str">
        <f>IF(ISERR(FIND("CONG",PRODUCTO_MI_AR68[[#This Row],[NOM PRODUCTO]])),"","CONGELADO")</f>
        <v>CONGELADO</v>
      </c>
      <c r="O132" s="46" t="s">
        <v>24</v>
      </c>
      <c r="P132"/>
      <c r="Q132" s="4"/>
      <c r="R132" s="4"/>
      <c r="S132" s="4"/>
      <c r="T132" s="4"/>
      <c r="U132" s="4"/>
    </row>
    <row r="133" spans="2:21" ht="18" hidden="1" customHeight="1" thickTop="1" thickBot="1" x14ac:dyDescent="0.3">
      <c r="B133" s="43">
        <v>100520967</v>
      </c>
      <c r="C133" s="44" t="s">
        <v>188</v>
      </c>
      <c r="D133" s="45"/>
      <c r="E133" s="45" t="str">
        <f>IF(ISERR(FIND("CLL",PRODUCTO_MI_AR68[[#This Row],[NOM PRODUCTO]])),"","ME")</f>
        <v>ME</v>
      </c>
      <c r="F133" s="44" t="s">
        <v>16</v>
      </c>
      <c r="G133" s="44" t="s">
        <v>17</v>
      </c>
      <c r="H133" s="44" t="s">
        <v>18</v>
      </c>
      <c r="I133" s="44" t="s">
        <v>101</v>
      </c>
      <c r="J133" s="44" t="s">
        <v>20</v>
      </c>
      <c r="K133" s="44" t="s">
        <v>102</v>
      </c>
      <c r="L133" s="44" t="s">
        <v>143</v>
      </c>
      <c r="M133" s="44" t="s">
        <v>22</v>
      </c>
      <c r="N133" s="44" t="s">
        <v>23</v>
      </c>
      <c r="O133" s="46" t="s">
        <v>24</v>
      </c>
      <c r="P133"/>
      <c r="Q133" s="4"/>
      <c r="R133" s="4"/>
      <c r="S133" s="4"/>
      <c r="T133" s="4"/>
      <c r="U133" s="4"/>
    </row>
    <row r="134" spans="2:21" ht="18" hidden="1" customHeight="1" thickTop="1" thickBot="1" x14ac:dyDescent="0.3">
      <c r="B134" s="43">
        <v>100518009</v>
      </c>
      <c r="C134" s="44" t="s">
        <v>189</v>
      </c>
      <c r="D134" s="45"/>
      <c r="E134" s="45" t="str">
        <f>IF(ISERR(FIND("CLL",PRODUCTO_MI_AR68[[#This Row],[NOM PRODUCTO]])),"","ME")</f>
        <v>ME</v>
      </c>
      <c r="F134" s="44" t="s">
        <v>16</v>
      </c>
      <c r="G134" s="44" t="s">
        <v>17</v>
      </c>
      <c r="H134" s="44" t="s">
        <v>18</v>
      </c>
      <c r="I134" s="44" t="s">
        <v>101</v>
      </c>
      <c r="J134" s="44" t="s">
        <v>20</v>
      </c>
      <c r="K134" s="44" t="s">
        <v>102</v>
      </c>
      <c r="L134" s="44" t="s">
        <v>143</v>
      </c>
      <c r="M134" s="44" t="s">
        <v>22</v>
      </c>
      <c r="N134" s="44" t="str">
        <f>IF(ISERR(FIND("CONG",PRODUCTO_MI_AR68[[#This Row],[NOM PRODUCTO]])),"","CONGELADO")</f>
        <v>CONGELADO</v>
      </c>
      <c r="O134" s="46" t="s">
        <v>24</v>
      </c>
      <c r="P134"/>
      <c r="Q134" s="4"/>
      <c r="R134" s="4"/>
      <c r="S134" s="4"/>
      <c r="T134" s="4"/>
      <c r="U134" s="4"/>
    </row>
    <row r="135" spans="2:21" ht="18" hidden="1" customHeight="1" thickTop="1" thickBot="1" x14ac:dyDescent="0.3">
      <c r="B135" s="43">
        <v>100518046</v>
      </c>
      <c r="C135" s="44" t="s">
        <v>190</v>
      </c>
      <c r="D135" s="45"/>
      <c r="E135" s="45" t="s">
        <v>44</v>
      </c>
      <c r="F135" s="44" t="s">
        <v>16</v>
      </c>
      <c r="G135" s="44" t="s">
        <v>17</v>
      </c>
      <c r="H135" s="44" t="s">
        <v>18</v>
      </c>
      <c r="I135" s="44" t="s">
        <v>101</v>
      </c>
      <c r="J135" s="44" t="s">
        <v>28</v>
      </c>
      <c r="K135" s="44" t="s">
        <v>102</v>
      </c>
      <c r="L135" s="44" t="s">
        <v>191</v>
      </c>
      <c r="M135" s="44" t="s">
        <v>192</v>
      </c>
      <c r="N135" s="44" t="s">
        <v>193</v>
      </c>
      <c r="O135" s="46" t="s">
        <v>24</v>
      </c>
      <c r="P135"/>
      <c r="Q135" s="4"/>
      <c r="R135" s="4"/>
      <c r="S135" s="4"/>
      <c r="T135" s="4"/>
      <c r="U135" s="4"/>
    </row>
    <row r="136" spans="2:21" ht="18" hidden="1" customHeight="1" thickTop="1" thickBot="1" x14ac:dyDescent="0.3">
      <c r="B136" s="43">
        <v>100010102</v>
      </c>
      <c r="C136" s="44" t="s">
        <v>194</v>
      </c>
      <c r="D136" s="45"/>
      <c r="E136" s="45" t="str">
        <f>IF(ISERR(FIND("CLL",PRODUCTO_MI_AR68[[#This Row],[NOM PRODUCTO]])),"","ME")</f>
        <v>ME</v>
      </c>
      <c r="F136" s="44" t="s">
        <v>16</v>
      </c>
      <c r="G136" s="44" t="s">
        <v>17</v>
      </c>
      <c r="H136" s="44" t="s">
        <v>18</v>
      </c>
      <c r="I136" s="44" t="s">
        <v>101</v>
      </c>
      <c r="J136" s="44" t="s">
        <v>20</v>
      </c>
      <c r="K136" s="44" t="s">
        <v>102</v>
      </c>
      <c r="L136" s="44" t="s">
        <v>191</v>
      </c>
      <c r="M136" s="44" t="s">
        <v>22</v>
      </c>
      <c r="N136" s="44" t="s">
        <v>23</v>
      </c>
      <c r="O136" s="46" t="s">
        <v>24</v>
      </c>
      <c r="P136"/>
      <c r="Q136" s="4"/>
      <c r="R136" s="4"/>
      <c r="S136" s="4"/>
      <c r="T136" s="4"/>
      <c r="U136" s="4"/>
    </row>
    <row r="137" spans="2:21" ht="18" hidden="1" customHeight="1" thickTop="1" thickBot="1" x14ac:dyDescent="0.3">
      <c r="B137" s="43">
        <v>100522447</v>
      </c>
      <c r="C137" s="44" t="s">
        <v>195</v>
      </c>
      <c r="D137" s="45"/>
      <c r="E137" s="45" t="s">
        <v>15</v>
      </c>
      <c r="F137" s="44" t="s">
        <v>16</v>
      </c>
      <c r="G137" s="44" t="s">
        <v>17</v>
      </c>
      <c r="H137" s="44" t="s">
        <v>18</v>
      </c>
      <c r="I137" s="44" t="s">
        <v>19</v>
      </c>
      <c r="J137" s="44" t="s">
        <v>40</v>
      </c>
      <c r="K137" s="44" t="s">
        <v>196</v>
      </c>
      <c r="L137" s="44" t="s">
        <v>197</v>
      </c>
      <c r="M137" s="44" t="s">
        <v>41</v>
      </c>
      <c r="N137" s="44" t="s">
        <v>23</v>
      </c>
      <c r="O137" s="46" t="s">
        <v>24</v>
      </c>
      <c r="P137"/>
      <c r="Q137" s="4"/>
      <c r="R137" s="4"/>
      <c r="S137" s="4"/>
      <c r="T137" s="4"/>
      <c r="U137" s="4"/>
    </row>
    <row r="138" spans="2:21" ht="18" hidden="1" customHeight="1" thickTop="1" thickBot="1" x14ac:dyDescent="0.3">
      <c r="B138" s="43">
        <v>100519688</v>
      </c>
      <c r="C138" s="44" t="s">
        <v>198</v>
      </c>
      <c r="D138" s="45"/>
      <c r="E138" s="45" t="str">
        <f>IF(ISERR(FIND("PUL",PRODUCTO_MI_AR68[[#This Row],[NOM PRODUCTO]])),"","ME")</f>
        <v>ME</v>
      </c>
      <c r="F138" s="44" t="s">
        <v>16</v>
      </c>
      <c r="G138" s="44" t="s">
        <v>17</v>
      </c>
      <c r="H138" s="44" t="s">
        <v>18</v>
      </c>
      <c r="I138" s="44" t="s">
        <v>19</v>
      </c>
      <c r="J138" s="44" t="s">
        <v>40</v>
      </c>
      <c r="K138" s="44" t="s">
        <v>196</v>
      </c>
      <c r="L138" s="44" t="s">
        <v>197</v>
      </c>
      <c r="M138" s="44" t="s">
        <v>41</v>
      </c>
      <c r="N138" s="44" t="s">
        <v>23</v>
      </c>
      <c r="O138" s="46" t="s">
        <v>24</v>
      </c>
      <c r="P138"/>
      <c r="Q138" s="4"/>
      <c r="R138" s="4"/>
      <c r="S138" s="4"/>
      <c r="T138" s="4"/>
      <c r="U138" s="4"/>
    </row>
    <row r="139" spans="2:21" ht="18" hidden="1" customHeight="1" thickTop="1" thickBot="1" x14ac:dyDescent="0.3">
      <c r="B139" s="43">
        <v>100519689</v>
      </c>
      <c r="C139" s="44" t="s">
        <v>199</v>
      </c>
      <c r="D139" s="45"/>
      <c r="E139" s="45" t="str">
        <f>IF(ISERR(FIND("PUL",PRODUCTO_MI_AR68[[#This Row],[NOM PRODUCTO]])),"","ME")</f>
        <v>ME</v>
      </c>
      <c r="F139" s="44" t="s">
        <v>16</v>
      </c>
      <c r="G139" s="44" t="s">
        <v>17</v>
      </c>
      <c r="H139" s="44" t="s">
        <v>18</v>
      </c>
      <c r="I139" s="44" t="s">
        <v>19</v>
      </c>
      <c r="J139" s="44" t="s">
        <v>40</v>
      </c>
      <c r="K139" s="44" t="s">
        <v>196</v>
      </c>
      <c r="L139" s="44" t="s">
        <v>197</v>
      </c>
      <c r="M139" s="44" t="s">
        <v>41</v>
      </c>
      <c r="N139" s="44" t="s">
        <v>23</v>
      </c>
      <c r="O139" s="46" t="s">
        <v>24</v>
      </c>
      <c r="P139"/>
      <c r="Q139" s="4"/>
      <c r="R139" s="4"/>
      <c r="S139" s="4"/>
      <c r="T139" s="4"/>
      <c r="U139" s="4"/>
    </row>
    <row r="140" spans="2:21" ht="18" hidden="1" customHeight="1" thickTop="1" thickBot="1" x14ac:dyDescent="0.3">
      <c r="B140" s="43">
        <v>100519850</v>
      </c>
      <c r="C140" s="44" t="s">
        <v>200</v>
      </c>
      <c r="D140" s="45"/>
      <c r="E140" s="45" t="str">
        <f>IF(ISERR(FIND("CLL",PRODUCTO_MI_AR68[[#This Row],[NOM PRODUCTO]])),"","ME")</f>
        <v>ME</v>
      </c>
      <c r="F140" s="44" t="s">
        <v>16</v>
      </c>
      <c r="G140" s="44" t="s">
        <v>17</v>
      </c>
      <c r="H140" s="44" t="s">
        <v>18</v>
      </c>
      <c r="I140" s="44" t="s">
        <v>101</v>
      </c>
      <c r="J140" s="44" t="s">
        <v>20</v>
      </c>
      <c r="K140" s="44" t="s">
        <v>201</v>
      </c>
      <c r="L140" s="44" t="s">
        <v>202</v>
      </c>
      <c r="M140" s="44" t="s">
        <v>22</v>
      </c>
      <c r="N140" s="44" t="s">
        <v>23</v>
      </c>
      <c r="O140" s="46" t="s">
        <v>24</v>
      </c>
      <c r="P140"/>
      <c r="Q140" s="4"/>
      <c r="R140" s="4"/>
      <c r="S140" s="4"/>
      <c r="T140" s="4"/>
      <c r="U140" s="4"/>
    </row>
    <row r="141" spans="2:21" ht="18" hidden="1" customHeight="1" thickTop="1" thickBot="1" x14ac:dyDescent="0.3">
      <c r="B141" s="43">
        <v>100520970</v>
      </c>
      <c r="C141" s="44" t="s">
        <v>203</v>
      </c>
      <c r="D141" s="45"/>
      <c r="E141" s="45" t="s">
        <v>15</v>
      </c>
      <c r="F141" s="44" t="s">
        <v>16</v>
      </c>
      <c r="G141" s="44" t="s">
        <v>17</v>
      </c>
      <c r="H141" s="44" t="s">
        <v>18</v>
      </c>
      <c r="I141" s="44" t="s">
        <v>101</v>
      </c>
      <c r="J141" s="44" t="s">
        <v>20</v>
      </c>
      <c r="K141" s="44" t="s">
        <v>201</v>
      </c>
      <c r="L141" s="44" t="s">
        <v>202</v>
      </c>
      <c r="M141" s="44" t="s">
        <v>22</v>
      </c>
      <c r="N141" s="44" t="s">
        <v>23</v>
      </c>
      <c r="O141" s="46" t="s">
        <v>24</v>
      </c>
      <c r="P141"/>
      <c r="Q141" s="4"/>
      <c r="R141" s="4"/>
      <c r="S141" s="4"/>
      <c r="T141" s="4"/>
      <c r="U141" s="4"/>
    </row>
    <row r="142" spans="2:21" hidden="1" thickTop="1" thickBot="1" x14ac:dyDescent="0.3">
      <c r="B142" s="43">
        <v>100522389</v>
      </c>
      <c r="C142" s="44" t="s">
        <v>204</v>
      </c>
      <c r="D142" s="45"/>
      <c r="E142" s="45" t="str">
        <f>IF(ISERR(FIND("PUL",PRODUCTO_MI_AR68[[#This Row],[NOM PRODUCTO]])),"","ME")</f>
        <v>ME</v>
      </c>
      <c r="F142" s="44" t="s">
        <v>16</v>
      </c>
      <c r="G142" s="44" t="s">
        <v>17</v>
      </c>
      <c r="H142" s="44" t="s">
        <v>18</v>
      </c>
      <c r="I142" s="44" t="s">
        <v>101</v>
      </c>
      <c r="J142" s="44" t="s">
        <v>28</v>
      </c>
      <c r="K142" s="44" t="s">
        <v>201</v>
      </c>
      <c r="L142" s="44" t="s">
        <v>202</v>
      </c>
      <c r="M142" s="44" t="s">
        <v>29</v>
      </c>
      <c r="N142" s="44" t="s">
        <v>23</v>
      </c>
      <c r="O142" s="46" t="s">
        <v>24</v>
      </c>
      <c r="P142"/>
      <c r="Q142" s="4"/>
      <c r="R142" s="4"/>
      <c r="S142" s="4"/>
      <c r="T142" s="4"/>
      <c r="U142" s="4"/>
    </row>
    <row r="143" spans="2:21" hidden="1" thickTop="1" thickBot="1" x14ac:dyDescent="0.3">
      <c r="B143" s="43">
        <v>100520310</v>
      </c>
      <c r="C143" s="44" t="s">
        <v>205</v>
      </c>
      <c r="D143" s="45"/>
      <c r="E143" s="45" t="str">
        <f>IF(ISERR(FIND("PUL",PRODUCTO_MI_AR68[[#This Row],[NOM PRODUCTO]])),"","ME")</f>
        <v>ME</v>
      </c>
      <c r="F143" s="44" t="s">
        <v>16</v>
      </c>
      <c r="G143" s="44" t="s">
        <v>17</v>
      </c>
      <c r="H143" s="44" t="s">
        <v>18</v>
      </c>
      <c r="I143" s="44" t="s">
        <v>101</v>
      </c>
      <c r="J143" s="44" t="s">
        <v>40</v>
      </c>
      <c r="K143" s="44" t="s">
        <v>201</v>
      </c>
      <c r="L143" s="44" t="s">
        <v>202</v>
      </c>
      <c r="M143" s="44" t="s">
        <v>41</v>
      </c>
      <c r="N143" s="44" t="s">
        <v>23</v>
      </c>
      <c r="O143" s="46" t="s">
        <v>24</v>
      </c>
      <c r="P143"/>
      <c r="Q143" s="4"/>
      <c r="R143" s="4"/>
      <c r="S143" s="4"/>
      <c r="T143" s="4"/>
      <c r="U143" s="4"/>
    </row>
    <row r="144" spans="2:21" hidden="1" thickTop="1" thickBot="1" x14ac:dyDescent="0.3">
      <c r="B144" s="43">
        <v>100520319</v>
      </c>
      <c r="C144" s="44" t="s">
        <v>205</v>
      </c>
      <c r="D144" s="45"/>
      <c r="E144" s="45" t="str">
        <f>IF(ISERR(FIND("PUL",PRODUCTO_MI_AR68[[#This Row],[NOM PRODUCTO]])),"","ME")</f>
        <v>ME</v>
      </c>
      <c r="F144" s="44" t="s">
        <v>16</v>
      </c>
      <c r="G144" s="44" t="s">
        <v>17</v>
      </c>
      <c r="H144" s="44" t="s">
        <v>18</v>
      </c>
      <c r="I144" s="44" t="s">
        <v>101</v>
      </c>
      <c r="J144" s="44" t="s">
        <v>40</v>
      </c>
      <c r="K144" s="44" t="s">
        <v>201</v>
      </c>
      <c r="L144" s="44" t="s">
        <v>202</v>
      </c>
      <c r="M144" s="44" t="s">
        <v>41</v>
      </c>
      <c r="N144" s="44" t="s">
        <v>23</v>
      </c>
      <c r="O144" s="46" t="s">
        <v>24</v>
      </c>
      <c r="P144"/>
      <c r="Q144" s="4"/>
      <c r="R144" s="4"/>
      <c r="S144" s="4"/>
      <c r="T144" s="4"/>
      <c r="U144" s="4"/>
    </row>
    <row r="145" spans="2:21" hidden="1" thickTop="1" thickBot="1" x14ac:dyDescent="0.3">
      <c r="B145" s="43">
        <v>100522128</v>
      </c>
      <c r="C145" s="44" t="s">
        <v>206</v>
      </c>
      <c r="D145" s="45"/>
      <c r="E145" s="45" t="str">
        <f>IF(ISERR(FIND("PUL",PRODUCTO_MI_AR68[[#This Row],[NOM PRODUCTO]])),"","ME")</f>
        <v>ME</v>
      </c>
      <c r="F145" s="44" t="s">
        <v>16</v>
      </c>
      <c r="G145" s="44" t="s">
        <v>17</v>
      </c>
      <c r="H145" s="44" t="s">
        <v>18</v>
      </c>
      <c r="I145" s="44" t="s">
        <v>101</v>
      </c>
      <c r="J145" s="44" t="s">
        <v>40</v>
      </c>
      <c r="K145" s="44" t="s">
        <v>201</v>
      </c>
      <c r="L145" s="44" t="s">
        <v>202</v>
      </c>
      <c r="M145" s="44" t="s">
        <v>41</v>
      </c>
      <c r="N145" s="44" t="s">
        <v>23</v>
      </c>
      <c r="O145" s="46" t="s">
        <v>24</v>
      </c>
      <c r="P145"/>
      <c r="Q145" s="4"/>
      <c r="R145" s="4"/>
      <c r="S145" s="4"/>
      <c r="T145" s="4"/>
      <c r="U145" s="4"/>
    </row>
    <row r="146" spans="2:21" hidden="1" thickTop="1" thickBot="1" x14ac:dyDescent="0.3">
      <c r="B146" s="43">
        <v>100517653</v>
      </c>
      <c r="C146" s="44" t="s">
        <v>207</v>
      </c>
      <c r="D146" s="45"/>
      <c r="E146" s="45" t="str">
        <f>IF(ISERR(FIND("CHILE",PRODUCTO_MI_AR68[[#This Row],[NOM PRODUCTO]])),"","ME")</f>
        <v>ME</v>
      </c>
      <c r="F146" s="44" t="s">
        <v>16</v>
      </c>
      <c r="G146" s="44" t="s">
        <v>17</v>
      </c>
      <c r="H146" s="44" t="s">
        <v>18</v>
      </c>
      <c r="I146" s="44" t="s">
        <v>101</v>
      </c>
      <c r="J146" s="44" t="s">
        <v>28</v>
      </c>
      <c r="K146" s="44" t="s">
        <v>201</v>
      </c>
      <c r="L146" s="44" t="s">
        <v>202</v>
      </c>
      <c r="M146" s="44" t="s">
        <v>29</v>
      </c>
      <c r="N146" s="44" t="s">
        <v>23</v>
      </c>
      <c r="O146" s="46" t="s">
        <v>24</v>
      </c>
      <c r="P146"/>
      <c r="Q146" s="4"/>
      <c r="R146" s="4"/>
      <c r="S146" s="4"/>
      <c r="T146" s="4"/>
      <c r="U146" s="4"/>
    </row>
    <row r="147" spans="2:21" hidden="1" thickTop="1" thickBot="1" x14ac:dyDescent="0.3">
      <c r="B147" s="43">
        <v>100518750</v>
      </c>
      <c r="C147" s="44" t="s">
        <v>208</v>
      </c>
      <c r="D147" s="45"/>
      <c r="E147" s="45" t="s">
        <v>44</v>
      </c>
      <c r="F147" s="44" t="s">
        <v>16</v>
      </c>
      <c r="G147" s="44" t="s">
        <v>17</v>
      </c>
      <c r="H147" s="44" t="s">
        <v>18</v>
      </c>
      <c r="I147" s="44" t="s">
        <v>101</v>
      </c>
      <c r="J147" s="44" t="s">
        <v>20</v>
      </c>
      <c r="K147" s="44" t="s">
        <v>209</v>
      </c>
      <c r="L147" s="44" t="s">
        <v>210</v>
      </c>
      <c r="M147" s="44" t="s">
        <v>73</v>
      </c>
      <c r="N147" s="44" t="s">
        <v>23</v>
      </c>
      <c r="O147" s="46" t="s">
        <v>24</v>
      </c>
      <c r="P147"/>
      <c r="Q147" s="4"/>
      <c r="R147" s="4"/>
      <c r="S147" s="4"/>
      <c r="T147" s="4"/>
      <c r="U147" s="4"/>
    </row>
    <row r="148" spans="2:21" hidden="1" thickTop="1" thickBot="1" x14ac:dyDescent="0.3">
      <c r="B148" s="43">
        <v>100517906</v>
      </c>
      <c r="C148" s="44" t="s">
        <v>211</v>
      </c>
      <c r="D148" s="45" t="s">
        <v>212</v>
      </c>
      <c r="E148" s="45" t="s">
        <v>15</v>
      </c>
      <c r="F148" s="44" t="s">
        <v>16</v>
      </c>
      <c r="G148" s="44" t="s">
        <v>17</v>
      </c>
      <c r="H148" s="44" t="s">
        <v>213</v>
      </c>
      <c r="I148" s="44" t="s">
        <v>46</v>
      </c>
      <c r="J148" s="44" t="s">
        <v>28</v>
      </c>
      <c r="K148" s="44" t="s">
        <v>214</v>
      </c>
      <c r="L148" s="44" t="s">
        <v>214</v>
      </c>
      <c r="M148" s="44" t="s">
        <v>62</v>
      </c>
      <c r="N148" s="44" t="s">
        <v>193</v>
      </c>
      <c r="O148" s="46" t="s">
        <v>49</v>
      </c>
      <c r="P148"/>
      <c r="Q148" s="4"/>
      <c r="R148" s="4"/>
      <c r="S148" s="4"/>
      <c r="T148" s="4"/>
      <c r="U148" s="4"/>
    </row>
    <row r="149" spans="2:21" hidden="1" thickTop="1" thickBot="1" x14ac:dyDescent="0.3">
      <c r="B149" s="43">
        <v>100517907</v>
      </c>
      <c r="C149" s="44" t="s">
        <v>215</v>
      </c>
      <c r="D149" s="45" t="s">
        <v>212</v>
      </c>
      <c r="E149" s="45" t="s">
        <v>15</v>
      </c>
      <c r="F149" s="44" t="s">
        <v>16</v>
      </c>
      <c r="G149" s="44" t="s">
        <v>17</v>
      </c>
      <c r="H149" s="44" t="s">
        <v>213</v>
      </c>
      <c r="I149" s="44" t="s">
        <v>46</v>
      </c>
      <c r="J149" s="44" t="s">
        <v>28</v>
      </c>
      <c r="K149" s="44" t="str">
        <f>PRODUCTO_MI_AR68[[#This Row],[NOM SUBFAMILIA COMERCIAL]]</f>
        <v>REBOZADO DE CARNE</v>
      </c>
      <c r="L149" s="44" t="s">
        <v>214</v>
      </c>
      <c r="M149" s="44" t="s">
        <v>62</v>
      </c>
      <c r="N149" s="44" t="s">
        <v>193</v>
      </c>
      <c r="O149" s="46" t="s">
        <v>49</v>
      </c>
      <c r="P149"/>
      <c r="Q149" s="4"/>
      <c r="R149" s="4"/>
      <c r="S149" s="4"/>
      <c r="T149" s="4"/>
      <c r="U149" s="4"/>
    </row>
    <row r="150" spans="2:21" hidden="1" thickTop="1" thickBot="1" x14ac:dyDescent="0.3">
      <c r="B150" s="43">
        <v>100517737</v>
      </c>
      <c r="C150" s="44" t="s">
        <v>216</v>
      </c>
      <c r="D150" s="45" t="s">
        <v>212</v>
      </c>
      <c r="E150" s="45" t="s">
        <v>15</v>
      </c>
      <c r="F150" s="44" t="s">
        <v>16</v>
      </c>
      <c r="G150" s="44" t="s">
        <v>17</v>
      </c>
      <c r="H150" s="44" t="s">
        <v>213</v>
      </c>
      <c r="I150" s="44" t="s">
        <v>46</v>
      </c>
      <c r="J150" s="44" t="s">
        <v>40</v>
      </c>
      <c r="K150" s="44" t="str">
        <f>PRODUCTO_MI_AR68[[#This Row],[NOM SUBFAMILIA COMERCIAL]]</f>
        <v>REBOZADO DE CARNE</v>
      </c>
      <c r="L150" s="44" t="s">
        <v>214</v>
      </c>
      <c r="M150" s="44" t="s">
        <v>217</v>
      </c>
      <c r="N150" s="44" t="s">
        <v>193</v>
      </c>
      <c r="O150" s="46" t="s">
        <v>49</v>
      </c>
      <c r="P150"/>
      <c r="Q150" s="4"/>
      <c r="R150" s="4"/>
      <c r="S150" s="4"/>
      <c r="T150" s="4"/>
      <c r="U150" s="4"/>
    </row>
    <row r="151" spans="2:21" hidden="1" thickTop="1" thickBot="1" x14ac:dyDescent="0.3">
      <c r="B151" s="43">
        <v>100517735</v>
      </c>
      <c r="C151" s="44" t="s">
        <v>218</v>
      </c>
      <c r="D151" s="45" t="s">
        <v>212</v>
      </c>
      <c r="E151" s="45" t="s">
        <v>15</v>
      </c>
      <c r="F151" s="44" t="s">
        <v>16</v>
      </c>
      <c r="G151" s="44" t="s">
        <v>17</v>
      </c>
      <c r="H151" s="44" t="s">
        <v>213</v>
      </c>
      <c r="I151" s="44" t="s">
        <v>46</v>
      </c>
      <c r="J151" s="44" t="s">
        <v>40</v>
      </c>
      <c r="K151" s="44" t="str">
        <f>PRODUCTO_MI_AR68[[#This Row],[NOM SUBFAMILIA COMERCIAL]]</f>
        <v>REBOZADO DE CARNE</v>
      </c>
      <c r="L151" s="44" t="s">
        <v>214</v>
      </c>
      <c r="M151" s="44" t="s">
        <v>217</v>
      </c>
      <c r="N151" s="44" t="s">
        <v>193</v>
      </c>
      <c r="O151" s="46" t="s">
        <v>49</v>
      </c>
      <c r="P151"/>
      <c r="Q151" s="4"/>
      <c r="R151" s="4"/>
      <c r="S151" s="4"/>
      <c r="T151" s="4"/>
      <c r="U151" s="4"/>
    </row>
    <row r="152" spans="2:21" hidden="1" thickTop="1" thickBot="1" x14ac:dyDescent="0.3">
      <c r="B152" s="43">
        <v>100516648</v>
      </c>
      <c r="C152" s="44" t="s">
        <v>219</v>
      </c>
      <c r="D152" s="45" t="s">
        <v>212</v>
      </c>
      <c r="E152" s="45" t="s">
        <v>15</v>
      </c>
      <c r="F152" s="44" t="s">
        <v>16</v>
      </c>
      <c r="G152" s="44" t="s">
        <v>17</v>
      </c>
      <c r="H152" s="44" t="s">
        <v>213</v>
      </c>
      <c r="I152" s="44" t="s">
        <v>46</v>
      </c>
      <c r="J152" s="44" t="s">
        <v>40</v>
      </c>
      <c r="K152" s="44" t="str">
        <f>PRODUCTO_MI_AR68[[#This Row],[NOM SUBFAMILIA COMERCIAL]]</f>
        <v>REBOZADO DE CARNE</v>
      </c>
      <c r="L152" s="44" t="s">
        <v>214</v>
      </c>
      <c r="M152" s="44" t="s">
        <v>217</v>
      </c>
      <c r="N152" s="44" t="s">
        <v>193</v>
      </c>
      <c r="O152" s="46" t="s">
        <v>49</v>
      </c>
      <c r="P152"/>
      <c r="Q152" s="4"/>
      <c r="R152" s="4"/>
      <c r="S152" s="4"/>
      <c r="T152" s="4"/>
      <c r="U152" s="4"/>
    </row>
    <row r="153" spans="2:21" hidden="1" thickTop="1" thickBot="1" x14ac:dyDescent="0.3">
      <c r="B153" s="43">
        <v>100021707</v>
      </c>
      <c r="C153" s="44" t="s">
        <v>220</v>
      </c>
      <c r="D153" s="45" t="s">
        <v>212</v>
      </c>
      <c r="E153" s="45" t="s">
        <v>44</v>
      </c>
      <c r="F153" s="44" t="s">
        <v>16</v>
      </c>
      <c r="G153" s="44" t="s">
        <v>17</v>
      </c>
      <c r="H153" s="44" t="s">
        <v>213</v>
      </c>
      <c r="I153" s="44" t="s">
        <v>46</v>
      </c>
      <c r="J153" s="44" t="s">
        <v>28</v>
      </c>
      <c r="K153" s="44" t="str">
        <f>PRODUCTO_MI_AR68[[#This Row],[NOM SUBFAMILIA COMERCIAL]]</f>
        <v>REBOZADO DE CARNE</v>
      </c>
      <c r="L153" s="44" t="s">
        <v>214</v>
      </c>
      <c r="M153" s="44" t="s">
        <v>57</v>
      </c>
      <c r="N153" s="44" t="s">
        <v>193</v>
      </c>
      <c r="O153" s="46" t="s">
        <v>49</v>
      </c>
      <c r="P153"/>
      <c r="Q153" s="4"/>
      <c r="R153" s="4"/>
      <c r="S153" s="4"/>
      <c r="T153" s="4"/>
      <c r="U153" s="4"/>
    </row>
    <row r="154" spans="2:21" hidden="1" thickTop="1" thickBot="1" x14ac:dyDescent="0.3">
      <c r="B154" s="43">
        <v>100516977</v>
      </c>
      <c r="C154" s="44" t="s">
        <v>220</v>
      </c>
      <c r="D154" s="45" t="s">
        <v>212</v>
      </c>
      <c r="E154" s="45" t="s">
        <v>44</v>
      </c>
      <c r="F154" s="44" t="s">
        <v>16</v>
      </c>
      <c r="G154" s="44" t="s">
        <v>17</v>
      </c>
      <c r="H154" s="44" t="s">
        <v>213</v>
      </c>
      <c r="I154" s="44" t="s">
        <v>46</v>
      </c>
      <c r="J154" s="44" t="s">
        <v>28</v>
      </c>
      <c r="K154" s="44" t="str">
        <f>PRODUCTO_MI_AR68[[#This Row],[NOM SUBFAMILIA COMERCIAL]]</f>
        <v>REBOZADO DE CARNE</v>
      </c>
      <c r="L154" s="44" t="s">
        <v>214</v>
      </c>
      <c r="M154" s="44" t="s">
        <v>57</v>
      </c>
      <c r="N154" s="44" t="s">
        <v>193</v>
      </c>
      <c r="O154" s="46" t="s">
        <v>49</v>
      </c>
      <c r="P154"/>
      <c r="Q154" s="4"/>
      <c r="R154" s="4"/>
      <c r="S154" s="4"/>
      <c r="T154" s="4"/>
      <c r="U154" s="4"/>
    </row>
    <row r="155" spans="2:21" hidden="1" thickTop="1" thickBot="1" x14ac:dyDescent="0.3">
      <c r="B155" s="43">
        <v>100021704</v>
      </c>
      <c r="C155" s="44" t="s">
        <v>221</v>
      </c>
      <c r="D155" s="45" t="s">
        <v>43</v>
      </c>
      <c r="E155" s="45" t="s">
        <v>44</v>
      </c>
      <c r="F155" s="44" t="s">
        <v>16</v>
      </c>
      <c r="G155" s="44" t="s">
        <v>17</v>
      </c>
      <c r="H155" s="44" t="s">
        <v>213</v>
      </c>
      <c r="I155" s="44" t="s">
        <v>46</v>
      </c>
      <c r="J155" s="44" t="s">
        <v>28</v>
      </c>
      <c r="K155" s="44" t="str">
        <f>PRODUCTO_MI_AR68[[#This Row],[NOM SUBFAMILIA COMERCIAL]]</f>
        <v>REBOZADO DE CARNE</v>
      </c>
      <c r="L155" s="44" t="s">
        <v>214</v>
      </c>
      <c r="M155" s="44" t="s">
        <v>57</v>
      </c>
      <c r="N155" s="44" t="s">
        <v>193</v>
      </c>
      <c r="O155" s="46" t="s">
        <v>49</v>
      </c>
      <c r="P155"/>
      <c r="Q155" s="4"/>
      <c r="R155" s="4"/>
      <c r="S155" s="4"/>
      <c r="T155" s="4"/>
      <c r="U155" s="4"/>
    </row>
    <row r="156" spans="2:21" hidden="1" thickTop="1" thickBot="1" x14ac:dyDescent="0.3">
      <c r="B156" s="43">
        <v>100517519</v>
      </c>
      <c r="C156" s="44" t="s">
        <v>221</v>
      </c>
      <c r="D156" s="45" t="s">
        <v>212</v>
      </c>
      <c r="E156" s="45" t="s">
        <v>44</v>
      </c>
      <c r="F156" s="44" t="s">
        <v>16</v>
      </c>
      <c r="G156" s="44" t="s">
        <v>17</v>
      </c>
      <c r="H156" s="44" t="s">
        <v>213</v>
      </c>
      <c r="I156" s="44" t="s">
        <v>46</v>
      </c>
      <c r="J156" s="44" t="s">
        <v>28</v>
      </c>
      <c r="K156" s="44" t="str">
        <f>PRODUCTO_MI_AR68[[#This Row],[NOM SUBFAMILIA COMERCIAL]]</f>
        <v>REBOZADO DE CARNE</v>
      </c>
      <c r="L156" s="44" t="s">
        <v>214</v>
      </c>
      <c r="M156" s="44" t="s">
        <v>57</v>
      </c>
      <c r="N156" s="44" t="s">
        <v>193</v>
      </c>
      <c r="O156" s="46" t="s">
        <v>49</v>
      </c>
      <c r="P156"/>
      <c r="Q156" s="4"/>
      <c r="R156" s="4"/>
      <c r="S156" s="4"/>
      <c r="T156" s="4"/>
      <c r="U156" s="4"/>
    </row>
    <row r="157" spans="2:21" hidden="1" thickTop="1" thickBot="1" x14ac:dyDescent="0.3">
      <c r="B157" s="43">
        <v>100516649</v>
      </c>
      <c r="C157" s="44" t="s">
        <v>222</v>
      </c>
      <c r="D157" s="45" t="s">
        <v>212</v>
      </c>
      <c r="E157" s="45" t="s">
        <v>15</v>
      </c>
      <c r="F157" s="44" t="s">
        <v>16</v>
      </c>
      <c r="G157" s="44" t="s">
        <v>17</v>
      </c>
      <c r="H157" s="44" t="s">
        <v>213</v>
      </c>
      <c r="I157" s="44" t="s">
        <v>46</v>
      </c>
      <c r="J157" s="44" t="s">
        <v>40</v>
      </c>
      <c r="K157" s="44" t="str">
        <f>PRODUCTO_MI_AR68[[#This Row],[NOM SUBFAMILIA COMERCIAL]]</f>
        <v>REBOZADO DE POLLO</v>
      </c>
      <c r="L157" s="44" t="s">
        <v>223</v>
      </c>
      <c r="M157" s="44" t="s">
        <v>217</v>
      </c>
      <c r="N157" s="44" t="s">
        <v>193</v>
      </c>
      <c r="O157" s="46" t="s">
        <v>49</v>
      </c>
      <c r="P157"/>
      <c r="Q157" s="4"/>
      <c r="R157" s="4"/>
      <c r="S157" s="4"/>
      <c r="T157" s="4"/>
      <c r="U157" s="4"/>
    </row>
    <row r="158" spans="2:21" hidden="1" thickTop="1" thickBot="1" x14ac:dyDescent="0.3">
      <c r="B158" s="43">
        <v>100522130</v>
      </c>
      <c r="C158" s="44" t="s">
        <v>224</v>
      </c>
      <c r="D158" s="45" t="s">
        <v>43</v>
      </c>
      <c r="E158" s="45" t="s">
        <v>44</v>
      </c>
      <c r="F158" s="44" t="s">
        <v>16</v>
      </c>
      <c r="G158" s="44" t="s">
        <v>17</v>
      </c>
      <c r="H158" s="44" t="s">
        <v>213</v>
      </c>
      <c r="I158" s="44" t="s">
        <v>46</v>
      </c>
      <c r="J158" s="44" t="s">
        <v>28</v>
      </c>
      <c r="K158" s="44" t="str">
        <f>PRODUCTO_MI_AR68[[#This Row],[NOM SUBFAMILIA COMERCIAL]]</f>
        <v>REBOZADO DE POLLO</v>
      </c>
      <c r="L158" s="44" t="s">
        <v>223</v>
      </c>
      <c r="M158" s="44" t="s">
        <v>57</v>
      </c>
      <c r="N158" s="44" t="s">
        <v>193</v>
      </c>
      <c r="O158" s="46" t="s">
        <v>49</v>
      </c>
      <c r="P158"/>
      <c r="Q158" s="4"/>
      <c r="R158" s="4"/>
      <c r="S158" s="4"/>
      <c r="T158" s="4"/>
      <c r="U158" s="4"/>
    </row>
    <row r="159" spans="2:21" ht="18" hidden="1" customHeight="1" thickTop="1" thickBot="1" x14ac:dyDescent="0.3">
      <c r="B159" s="43">
        <v>100021709</v>
      </c>
      <c r="C159" s="44" t="s">
        <v>225</v>
      </c>
      <c r="D159" s="45" t="s">
        <v>43</v>
      </c>
      <c r="E159" s="45" t="s">
        <v>44</v>
      </c>
      <c r="F159" s="44" t="s">
        <v>16</v>
      </c>
      <c r="G159" s="44" t="s">
        <v>17</v>
      </c>
      <c r="H159" s="44" t="s">
        <v>213</v>
      </c>
      <c r="I159" s="44" t="s">
        <v>46</v>
      </c>
      <c r="J159" s="44" t="s">
        <v>28</v>
      </c>
      <c r="K159" s="44" t="str">
        <f>PRODUCTO_MI_AR68[[#This Row],[NOM SUBFAMILIA COMERCIAL]]</f>
        <v>REBOZADO DE POLLO</v>
      </c>
      <c r="L159" s="44" t="s">
        <v>223</v>
      </c>
      <c r="M159" s="44" t="s">
        <v>57</v>
      </c>
      <c r="N159" s="44" t="s">
        <v>193</v>
      </c>
      <c r="O159" s="46" t="s">
        <v>49</v>
      </c>
      <c r="P159"/>
      <c r="Q159" s="4"/>
      <c r="R159" s="4"/>
      <c r="S159" s="4"/>
      <c r="T159" s="4"/>
      <c r="U159" s="4"/>
    </row>
    <row r="160" spans="2:21" ht="18" hidden="1" customHeight="1" thickTop="1" thickBot="1" x14ac:dyDescent="0.3">
      <c r="B160" s="43">
        <v>100516976</v>
      </c>
      <c r="C160" s="44" t="s">
        <v>225</v>
      </c>
      <c r="D160" s="45" t="s">
        <v>212</v>
      </c>
      <c r="E160" s="45" t="s">
        <v>44</v>
      </c>
      <c r="F160" s="44" t="s">
        <v>16</v>
      </c>
      <c r="G160" s="44" t="s">
        <v>17</v>
      </c>
      <c r="H160" s="44" t="s">
        <v>213</v>
      </c>
      <c r="I160" s="44" t="s">
        <v>46</v>
      </c>
      <c r="J160" s="44" t="s">
        <v>28</v>
      </c>
      <c r="K160" s="44" t="str">
        <f>PRODUCTO_MI_AR68[[#This Row],[NOM SUBFAMILIA COMERCIAL]]</f>
        <v>REBOZADO DE POLLO</v>
      </c>
      <c r="L160" s="44" t="s">
        <v>223</v>
      </c>
      <c r="M160" s="44" t="s">
        <v>57</v>
      </c>
      <c r="N160" s="44" t="s">
        <v>193</v>
      </c>
      <c r="O160" s="46" t="s">
        <v>49</v>
      </c>
      <c r="P160"/>
      <c r="Q160" s="4"/>
      <c r="R160" s="4"/>
      <c r="S160" s="4"/>
      <c r="T160" s="4"/>
      <c r="U160" s="4"/>
    </row>
    <row r="161" spans="2:21" ht="18" hidden="1" customHeight="1" thickTop="1" thickBot="1" x14ac:dyDescent="0.3">
      <c r="B161" s="43">
        <v>100021705</v>
      </c>
      <c r="C161" s="44" t="s">
        <v>226</v>
      </c>
      <c r="D161" s="45" t="s">
        <v>43</v>
      </c>
      <c r="E161" s="45" t="s">
        <v>44</v>
      </c>
      <c r="F161" s="44" t="s">
        <v>16</v>
      </c>
      <c r="G161" s="44" t="s">
        <v>17</v>
      </c>
      <c r="H161" s="44" t="s">
        <v>213</v>
      </c>
      <c r="I161" s="44" t="s">
        <v>46</v>
      </c>
      <c r="J161" s="44" t="s">
        <v>28</v>
      </c>
      <c r="K161" s="44" t="str">
        <f>PRODUCTO_MI_AR68[[#This Row],[NOM SUBFAMILIA COMERCIAL]]</f>
        <v>REBOZADO DE POLLO</v>
      </c>
      <c r="L161" s="44" t="s">
        <v>223</v>
      </c>
      <c r="M161" s="44" t="s">
        <v>57</v>
      </c>
      <c r="N161" s="44" t="s">
        <v>193</v>
      </c>
      <c r="O161" s="46" t="s">
        <v>49</v>
      </c>
      <c r="P161"/>
      <c r="Q161" s="4"/>
      <c r="R161" s="4"/>
      <c r="S161" s="4"/>
      <c r="T161" s="4"/>
      <c r="U161" s="4"/>
    </row>
    <row r="162" spans="2:21" ht="18" hidden="1" customHeight="1" thickTop="1" thickBot="1" x14ac:dyDescent="0.3">
      <c r="B162" s="43">
        <v>100517520</v>
      </c>
      <c r="C162" s="44" t="s">
        <v>226</v>
      </c>
      <c r="D162" s="45" t="s">
        <v>212</v>
      </c>
      <c r="E162" s="45" t="s">
        <v>44</v>
      </c>
      <c r="F162" s="44" t="s">
        <v>16</v>
      </c>
      <c r="G162" s="44" t="s">
        <v>17</v>
      </c>
      <c r="H162" s="44" t="s">
        <v>213</v>
      </c>
      <c r="I162" s="44" t="s">
        <v>46</v>
      </c>
      <c r="J162" s="44" t="s">
        <v>28</v>
      </c>
      <c r="K162" s="44" t="str">
        <f>PRODUCTO_MI_AR68[[#This Row],[NOM SUBFAMILIA COMERCIAL]]</f>
        <v>REBOZADO DE POLLO</v>
      </c>
      <c r="L162" s="44" t="s">
        <v>223</v>
      </c>
      <c r="M162" s="44" t="s">
        <v>57</v>
      </c>
      <c r="N162" s="44" t="s">
        <v>193</v>
      </c>
      <c r="O162" s="46" t="s">
        <v>49</v>
      </c>
      <c r="P162"/>
      <c r="Q162" s="4"/>
      <c r="R162" s="4"/>
      <c r="S162" s="4"/>
      <c r="T162" s="4"/>
      <c r="U162" s="4"/>
    </row>
    <row r="163" spans="2:21" ht="18" hidden="1" customHeight="1" thickTop="1" thickBot="1" x14ac:dyDescent="0.3">
      <c r="B163" s="43">
        <v>100021725</v>
      </c>
      <c r="C163" s="44" t="s">
        <v>227</v>
      </c>
      <c r="D163" s="45" t="s">
        <v>43</v>
      </c>
      <c r="E163" s="45" t="s">
        <v>44</v>
      </c>
      <c r="F163" s="44" t="s">
        <v>228</v>
      </c>
      <c r="G163" s="44" t="s">
        <v>17</v>
      </c>
      <c r="H163" s="44" t="s">
        <v>213</v>
      </c>
      <c r="I163" s="44" t="s">
        <v>46</v>
      </c>
      <c r="J163" s="44" t="s">
        <v>28</v>
      </c>
      <c r="K163" s="44" t="s">
        <v>214</v>
      </c>
      <c r="L163" s="44" t="s">
        <v>223</v>
      </c>
      <c r="M163" s="44" t="s">
        <v>229</v>
      </c>
      <c r="N163" s="44" t="s">
        <v>193</v>
      </c>
      <c r="O163" s="46" t="s">
        <v>49</v>
      </c>
      <c r="P163"/>
      <c r="Q163" s="4"/>
      <c r="R163" s="4"/>
      <c r="S163" s="4"/>
      <c r="T163" s="4"/>
      <c r="U163" s="4"/>
    </row>
    <row r="164" spans="2:21" ht="18" hidden="1" customHeight="1" thickTop="1" thickBot="1" x14ac:dyDescent="0.3">
      <c r="B164" s="43">
        <v>100519831</v>
      </c>
      <c r="C164" s="44" t="s">
        <v>230</v>
      </c>
      <c r="D164" s="45"/>
      <c r="E164" s="45" t="str">
        <f>IF(ISERR(FIND("PUL",PRODUCTO_MI_AR68[[#This Row],[NOM PRODUCTO]])),"","ME")</f>
        <v>ME</v>
      </c>
      <c r="F164" s="44" t="s">
        <v>16</v>
      </c>
      <c r="G164" s="44" t="s">
        <v>17</v>
      </c>
      <c r="H164" s="44" t="s">
        <v>18</v>
      </c>
      <c r="I164" s="44" t="s">
        <v>231</v>
      </c>
      <c r="J164" s="44" t="s">
        <v>28</v>
      </c>
      <c r="K164" s="44" t="s">
        <v>232</v>
      </c>
      <c r="L164" s="44" t="s">
        <v>233</v>
      </c>
      <c r="M164" s="44" t="s">
        <v>29</v>
      </c>
      <c r="N164" s="44" t="str">
        <f>IF(ISERR(FIND("CONG",PRODUCTO_MI_AR68[[#This Row],[NOM PRODUCTO]])),"","CONGELADO")</f>
        <v>CONGELADO</v>
      </c>
      <c r="O164" s="46" t="s">
        <v>24</v>
      </c>
      <c r="P164"/>
      <c r="Q164" s="4"/>
      <c r="R164" s="4"/>
      <c r="S164" s="4"/>
      <c r="T164" s="4"/>
      <c r="U164" s="4"/>
    </row>
    <row r="165" spans="2:21" ht="18" hidden="1" customHeight="1" thickTop="1" thickBot="1" x14ac:dyDescent="0.3">
      <c r="B165" s="43">
        <v>100519043</v>
      </c>
      <c r="C165" s="44" t="s">
        <v>234</v>
      </c>
      <c r="D165" s="45"/>
      <c r="E165" s="45" t="str">
        <f>IF(ISERR(FIND("PUL",PRODUCTO_MI_AR68[[#This Row],[NOM PRODUCTO]])),"","ME")</f>
        <v>ME</v>
      </c>
      <c r="F165" s="44" t="s">
        <v>16</v>
      </c>
      <c r="G165" s="44" t="s">
        <v>17</v>
      </c>
      <c r="H165" s="44" t="s">
        <v>18</v>
      </c>
      <c r="I165" s="44" t="s">
        <v>231</v>
      </c>
      <c r="J165" s="44" t="s">
        <v>28</v>
      </c>
      <c r="K165" s="44" t="s">
        <v>232</v>
      </c>
      <c r="L165" s="44" t="s">
        <v>233</v>
      </c>
      <c r="M165" s="44" t="s">
        <v>29</v>
      </c>
      <c r="N165" s="44" t="str">
        <f>IF(ISERR(FIND("CONG",PRODUCTO_MI_AR68[[#This Row],[NOM PRODUCTO]])),"","CONGELADO")</f>
        <v>CONGELADO</v>
      </c>
      <c r="O165" s="46" t="s">
        <v>24</v>
      </c>
      <c r="P165"/>
      <c r="Q165" s="4"/>
      <c r="R165" s="4"/>
      <c r="S165" s="4"/>
      <c r="T165" s="4"/>
      <c r="U165" s="4"/>
    </row>
    <row r="166" spans="2:21" ht="18" hidden="1" customHeight="1" thickTop="1" thickBot="1" x14ac:dyDescent="0.3">
      <c r="B166" s="43">
        <v>100519042</v>
      </c>
      <c r="C166" s="44" t="s">
        <v>235</v>
      </c>
      <c r="D166" s="45"/>
      <c r="E166" s="45" t="str">
        <f>IF(ISERR(FIND("PUL",PRODUCTO_MI_AR68[[#This Row],[NOM PRODUCTO]])),"","ME")</f>
        <v>ME</v>
      </c>
      <c r="F166" s="44" t="s">
        <v>16</v>
      </c>
      <c r="G166" s="44" t="s">
        <v>17</v>
      </c>
      <c r="H166" s="44" t="s">
        <v>18</v>
      </c>
      <c r="I166" s="44" t="s">
        <v>231</v>
      </c>
      <c r="J166" s="44" t="s">
        <v>28</v>
      </c>
      <c r="K166" s="44" t="s">
        <v>232</v>
      </c>
      <c r="L166" s="44" t="s">
        <v>233</v>
      </c>
      <c r="M166" s="44" t="s">
        <v>29</v>
      </c>
      <c r="N166" s="44" t="s">
        <v>23</v>
      </c>
      <c r="O166" s="46" t="s">
        <v>24</v>
      </c>
      <c r="P166"/>
      <c r="Q166" s="4"/>
      <c r="R166" s="4"/>
      <c r="S166" s="4"/>
      <c r="T166" s="4"/>
      <c r="U166" s="4"/>
    </row>
    <row r="167" spans="2:21" ht="18" hidden="1" customHeight="1" thickTop="1" thickBot="1" x14ac:dyDescent="0.3">
      <c r="B167" s="43">
        <v>100521468</v>
      </c>
      <c r="C167" s="44" t="s">
        <v>236</v>
      </c>
      <c r="D167" s="45"/>
      <c r="E167" s="45" t="str">
        <f>IF(ISERR(FIND("PUL",PRODUCTO_MI_AR68[[#This Row],[NOM PRODUCTO]])),"","ME")</f>
        <v>ME</v>
      </c>
      <c r="F167" s="44" t="s">
        <v>16</v>
      </c>
      <c r="G167" s="44" t="s">
        <v>17</v>
      </c>
      <c r="H167" s="44" t="s">
        <v>18</v>
      </c>
      <c r="I167" s="44" t="s">
        <v>231</v>
      </c>
      <c r="J167" s="44" t="s">
        <v>28</v>
      </c>
      <c r="K167" s="44" t="s">
        <v>232</v>
      </c>
      <c r="L167" s="44" t="s">
        <v>233</v>
      </c>
      <c r="M167" s="44" t="s">
        <v>29</v>
      </c>
      <c r="N167" s="44" t="str">
        <f>IF(ISERR(FIND("CONG",PRODUCTO_MI_AR68[[#This Row],[NOM PRODUCTO]])),"","CONGELADO")</f>
        <v>CONGELADO</v>
      </c>
      <c r="O167" s="46" t="s">
        <v>24</v>
      </c>
      <c r="P167"/>
      <c r="Q167" s="4"/>
      <c r="R167" s="4"/>
      <c r="S167" s="4"/>
      <c r="T167" s="4"/>
      <c r="U167" s="4"/>
    </row>
    <row r="168" spans="2:21" ht="18" hidden="1" customHeight="1" thickTop="1" thickBot="1" x14ac:dyDescent="0.3">
      <c r="B168" s="43">
        <v>100012901</v>
      </c>
      <c r="C168" s="44" t="s">
        <v>237</v>
      </c>
      <c r="D168" s="45"/>
      <c r="E168" s="45" t="str">
        <f>IF(ISERR(FIND("VENTA LOCAL",PRODUCTO_MI_AR68[[#This Row],[NOM PRODUCTO]])),"","MI")</f>
        <v>MI</v>
      </c>
      <c r="F168" s="44" t="s">
        <v>16</v>
      </c>
      <c r="G168" s="44" t="s">
        <v>17</v>
      </c>
      <c r="H168" s="44" t="s">
        <v>18</v>
      </c>
      <c r="I168" s="44" t="s">
        <v>231</v>
      </c>
      <c r="J168" s="44" t="s">
        <v>28</v>
      </c>
      <c r="K168" s="44" t="s">
        <v>232</v>
      </c>
      <c r="L168" s="44" t="s">
        <v>233</v>
      </c>
      <c r="M168" s="44" t="s">
        <v>57</v>
      </c>
      <c r="N168" s="44" t="str">
        <f>IF(ISERR(FIND("CONG",PRODUCTO_MI_AR68[[#This Row],[NOM PRODUCTO]])),"","CONGELADO")</f>
        <v>CONGELADO</v>
      </c>
      <c r="O168" s="46" t="s">
        <v>24</v>
      </c>
      <c r="P168"/>
      <c r="Q168" s="4"/>
      <c r="R168" s="4"/>
      <c r="S168" s="4"/>
      <c r="T168" s="4"/>
      <c r="U168" s="4"/>
    </row>
    <row r="169" spans="2:21" ht="18" hidden="1" customHeight="1" thickTop="1" thickBot="1" x14ac:dyDescent="0.3">
      <c r="B169" s="43">
        <v>100522030</v>
      </c>
      <c r="C169" s="44" t="s">
        <v>238</v>
      </c>
      <c r="D169" s="45"/>
      <c r="E169" s="45" t="str">
        <f>IF(ISERR(FIND("PUL",PRODUCTO_MI_AR68[[#This Row],[NOM PRODUCTO]])),"","ME")</f>
        <v>ME</v>
      </c>
      <c r="F169" s="44" t="s">
        <v>16</v>
      </c>
      <c r="G169" s="44" t="s">
        <v>17</v>
      </c>
      <c r="H169" s="44" t="s">
        <v>18</v>
      </c>
      <c r="I169" s="44" t="s">
        <v>231</v>
      </c>
      <c r="J169" s="44" t="s">
        <v>28</v>
      </c>
      <c r="K169" s="44" t="s">
        <v>232</v>
      </c>
      <c r="L169" s="44" t="s">
        <v>233</v>
      </c>
      <c r="M169" s="44" t="s">
        <v>29</v>
      </c>
      <c r="N169" s="44" t="str">
        <f>IF(ISERR(FIND("CONG",PRODUCTO_MI_AR68[[#This Row],[NOM PRODUCTO]])),"","CONGELADO")</f>
        <v>CONGELADO</v>
      </c>
      <c r="O169" s="46" t="s">
        <v>24</v>
      </c>
      <c r="P169"/>
      <c r="Q169" s="4"/>
      <c r="R169" s="4"/>
      <c r="S169" s="4"/>
      <c r="T169" s="4"/>
      <c r="U169" s="4"/>
    </row>
    <row r="170" spans="2:21" ht="18" hidden="1" customHeight="1" thickTop="1" thickBot="1" x14ac:dyDescent="0.3">
      <c r="B170" s="43">
        <v>100518916</v>
      </c>
      <c r="C170" s="44" t="s">
        <v>239</v>
      </c>
      <c r="D170" s="45"/>
      <c r="E170" s="45" t="str">
        <f>IF(ISERR(FIND("PUL",PRODUCTO_MI_AR68[[#This Row],[NOM PRODUCTO]])),"","ME")</f>
        <v>ME</v>
      </c>
      <c r="F170" s="44" t="s">
        <v>16</v>
      </c>
      <c r="G170" s="44" t="s">
        <v>17</v>
      </c>
      <c r="H170" s="44" t="s">
        <v>18</v>
      </c>
      <c r="I170" s="44" t="s">
        <v>231</v>
      </c>
      <c r="J170" s="44" t="s">
        <v>28</v>
      </c>
      <c r="K170" s="44" t="s">
        <v>232</v>
      </c>
      <c r="L170" s="44" t="s">
        <v>233</v>
      </c>
      <c r="M170" s="44" t="s">
        <v>29</v>
      </c>
      <c r="N170" s="44" t="str">
        <f>IF(ISERR(FIND("CONG",PRODUCTO_MI_AR68[[#This Row],[NOM PRODUCTO]])),"","CONGELADO")</f>
        <v>CONGELADO</v>
      </c>
      <c r="O170" s="46" t="s">
        <v>24</v>
      </c>
      <c r="P170"/>
      <c r="Q170" s="4"/>
      <c r="R170" s="4"/>
      <c r="S170" s="4"/>
      <c r="T170" s="4"/>
      <c r="U170" s="4"/>
    </row>
    <row r="171" spans="2:21" ht="18" hidden="1" customHeight="1" thickTop="1" thickBot="1" x14ac:dyDescent="0.3">
      <c r="B171" s="43">
        <v>100519928</v>
      </c>
      <c r="C171" s="44" t="s">
        <v>240</v>
      </c>
      <c r="D171" s="45"/>
      <c r="E171" s="45" t="str">
        <f>IF(ISERR(FIND("PUL",PRODUCTO_MI_AR68[[#This Row],[NOM PRODUCTO]])),"","ME")</f>
        <v>ME</v>
      </c>
      <c r="F171" s="44" t="s">
        <v>16</v>
      </c>
      <c r="G171" s="44" t="s">
        <v>17</v>
      </c>
      <c r="H171" s="44" t="s">
        <v>18</v>
      </c>
      <c r="I171" s="44" t="s">
        <v>231</v>
      </c>
      <c r="J171" s="44" t="s">
        <v>28</v>
      </c>
      <c r="K171" s="44" t="s">
        <v>232</v>
      </c>
      <c r="L171" s="44" t="s">
        <v>233</v>
      </c>
      <c r="M171" s="44" t="s">
        <v>29</v>
      </c>
      <c r="N171" s="44" t="str">
        <f>IF(ISERR(FIND("CONG",PRODUCTO_MI_AR68[[#This Row],[NOM PRODUCTO]])),"","CONGELADO")</f>
        <v>CONGELADO</v>
      </c>
      <c r="O171" s="46" t="s">
        <v>24</v>
      </c>
      <c r="P171"/>
      <c r="Q171" s="4"/>
      <c r="R171" s="4"/>
      <c r="S171" s="4"/>
      <c r="T171" s="4"/>
      <c r="U171" s="4"/>
    </row>
    <row r="172" spans="2:21" ht="18" hidden="1" customHeight="1" thickTop="1" thickBot="1" x14ac:dyDescent="0.3">
      <c r="B172" s="43">
        <v>100519555</v>
      </c>
      <c r="C172" s="44" t="s">
        <v>241</v>
      </c>
      <c r="D172" s="45"/>
      <c r="E172" s="45" t="str">
        <f>IF(ISERR(FIND("PUL",PRODUCTO_MI_AR68[[#This Row],[NOM PRODUCTO]])),"","ME")</f>
        <v>ME</v>
      </c>
      <c r="F172" s="44" t="s">
        <v>16</v>
      </c>
      <c r="G172" s="44" t="s">
        <v>17</v>
      </c>
      <c r="H172" s="44" t="s">
        <v>18</v>
      </c>
      <c r="I172" s="44" t="s">
        <v>231</v>
      </c>
      <c r="J172" s="44" t="s">
        <v>40</v>
      </c>
      <c r="K172" s="44" t="s">
        <v>232</v>
      </c>
      <c r="L172" s="44" t="s">
        <v>242</v>
      </c>
      <c r="M172" s="44" t="s">
        <v>41</v>
      </c>
      <c r="N172" s="44" t="s">
        <v>23</v>
      </c>
      <c r="O172" s="46" t="s">
        <v>24</v>
      </c>
      <c r="P172"/>
      <c r="Q172" s="4"/>
      <c r="R172" s="4"/>
      <c r="S172" s="4"/>
      <c r="T172" s="4"/>
      <c r="U172" s="4"/>
    </row>
    <row r="173" spans="2:21" hidden="1" thickTop="1" thickBot="1" x14ac:dyDescent="0.3">
      <c r="B173" s="43">
        <v>100519556</v>
      </c>
      <c r="C173" s="44" t="s">
        <v>243</v>
      </c>
      <c r="D173" s="45"/>
      <c r="E173" s="45" t="str">
        <f>IF(ISERR(FIND("PUL",PRODUCTO_MI_AR68[[#This Row],[NOM PRODUCTO]])),"","ME")</f>
        <v>ME</v>
      </c>
      <c r="F173" s="44" t="s">
        <v>16</v>
      </c>
      <c r="G173" s="44" t="s">
        <v>17</v>
      </c>
      <c r="H173" s="44" t="s">
        <v>18</v>
      </c>
      <c r="I173" s="44" t="s">
        <v>231</v>
      </c>
      <c r="J173" s="44" t="s">
        <v>40</v>
      </c>
      <c r="K173" s="44" t="s">
        <v>232</v>
      </c>
      <c r="L173" s="44" t="s">
        <v>242</v>
      </c>
      <c r="M173" s="44" t="s">
        <v>41</v>
      </c>
      <c r="N173" s="44" t="s">
        <v>23</v>
      </c>
      <c r="O173" s="46" t="s">
        <v>24</v>
      </c>
      <c r="P173"/>
      <c r="Q173" s="4"/>
      <c r="R173" s="4"/>
      <c r="S173" s="4"/>
      <c r="T173" s="4"/>
      <c r="U173" s="4"/>
    </row>
    <row r="174" spans="2:21" hidden="1" thickTop="1" thickBot="1" x14ac:dyDescent="0.3">
      <c r="B174" s="43">
        <v>100519557</v>
      </c>
      <c r="C174" s="44" t="s">
        <v>244</v>
      </c>
      <c r="D174" s="45"/>
      <c r="E174" s="45" t="str">
        <f>IF(ISERR(FIND("PUL",PRODUCTO_MI_AR68[[#This Row],[NOM PRODUCTO]])),"","ME")</f>
        <v>ME</v>
      </c>
      <c r="F174" s="44" t="s">
        <v>16</v>
      </c>
      <c r="G174" s="44" t="s">
        <v>17</v>
      </c>
      <c r="H174" s="44" t="s">
        <v>18</v>
      </c>
      <c r="I174" s="44" t="s">
        <v>231</v>
      </c>
      <c r="J174" s="44" t="s">
        <v>40</v>
      </c>
      <c r="K174" s="44" t="s">
        <v>232</v>
      </c>
      <c r="L174" s="44" t="s">
        <v>242</v>
      </c>
      <c r="M174" s="44" t="s">
        <v>41</v>
      </c>
      <c r="N174" s="44" t="s">
        <v>23</v>
      </c>
      <c r="O174" s="46" t="s">
        <v>24</v>
      </c>
      <c r="P174"/>
      <c r="Q174" s="4"/>
      <c r="R174" s="4"/>
      <c r="S174" s="4"/>
      <c r="T174" s="4"/>
      <c r="U174" s="4"/>
    </row>
    <row r="175" spans="2:21" ht="18" hidden="1" customHeight="1" thickTop="1" thickBot="1" x14ac:dyDescent="0.3">
      <c r="B175" s="43">
        <v>100516531</v>
      </c>
      <c r="C175" s="44" t="s">
        <v>245</v>
      </c>
      <c r="D175" s="45"/>
      <c r="E175" s="45" t="str">
        <f>IF(ISERR(FIND("CHILE",PRODUCTO_MI_AR68[[#This Row],[NOM PRODUCTO]])),"","ME")</f>
        <v>ME</v>
      </c>
      <c r="F175" s="44" t="s">
        <v>16</v>
      </c>
      <c r="G175" s="44" t="s">
        <v>17</v>
      </c>
      <c r="H175" s="44" t="s">
        <v>18</v>
      </c>
      <c r="I175" s="44" t="s">
        <v>231</v>
      </c>
      <c r="J175" s="44" t="s">
        <v>28</v>
      </c>
      <c r="K175" s="44" t="s">
        <v>232</v>
      </c>
      <c r="L175" s="44" t="s">
        <v>242</v>
      </c>
      <c r="M175" s="44" t="s">
        <v>29</v>
      </c>
      <c r="N175" s="44" t="s">
        <v>23</v>
      </c>
      <c r="O175" s="46" t="s">
        <v>24</v>
      </c>
      <c r="P175"/>
      <c r="Q175" s="4"/>
      <c r="R175" s="4"/>
      <c r="S175" s="4"/>
      <c r="T175" s="4"/>
      <c r="U175" s="4"/>
    </row>
    <row r="176" spans="2:21" ht="18" hidden="1" customHeight="1" thickTop="1" thickBot="1" x14ac:dyDescent="0.3">
      <c r="B176" s="43">
        <v>100519851</v>
      </c>
      <c r="C176" s="44" t="s">
        <v>246</v>
      </c>
      <c r="D176" s="45"/>
      <c r="E176" s="45" t="str">
        <f>IF(ISERR(FIND("CLL",PRODUCTO_MI_AR68[[#This Row],[NOM PRODUCTO]])),"","ME")</f>
        <v>ME</v>
      </c>
      <c r="F176" s="44" t="s">
        <v>16</v>
      </c>
      <c r="G176" s="44" t="s">
        <v>17</v>
      </c>
      <c r="H176" s="44" t="s">
        <v>18</v>
      </c>
      <c r="I176" s="44" t="s">
        <v>231</v>
      </c>
      <c r="J176" s="44" t="s">
        <v>20</v>
      </c>
      <c r="K176" s="44" t="s">
        <v>232</v>
      </c>
      <c r="L176" s="44" t="s">
        <v>233</v>
      </c>
      <c r="M176" s="44" t="s">
        <v>22</v>
      </c>
      <c r="N176" s="44" t="s">
        <v>23</v>
      </c>
      <c r="O176" s="46" t="s">
        <v>24</v>
      </c>
      <c r="P176"/>
      <c r="Q176" s="4"/>
      <c r="R176" s="4"/>
      <c r="S176" s="4"/>
      <c r="T176" s="4"/>
      <c r="U176" s="4"/>
    </row>
    <row r="177" spans="2:21" ht="18" hidden="1" customHeight="1" thickTop="1" thickBot="1" x14ac:dyDescent="0.3">
      <c r="B177" s="43">
        <v>100522453</v>
      </c>
      <c r="C177" s="44" t="s">
        <v>247</v>
      </c>
      <c r="D177" s="45"/>
      <c r="E177" s="45" t="s">
        <v>15</v>
      </c>
      <c r="F177" s="44" t="s">
        <v>16</v>
      </c>
      <c r="G177" s="44" t="s">
        <v>17</v>
      </c>
      <c r="H177" s="44" t="s">
        <v>18</v>
      </c>
      <c r="I177" s="44" t="s">
        <v>231</v>
      </c>
      <c r="J177" s="44" t="s">
        <v>20</v>
      </c>
      <c r="K177" s="44" t="s">
        <v>232</v>
      </c>
      <c r="L177" s="44" t="s">
        <v>233</v>
      </c>
      <c r="M177" s="44" t="s">
        <v>22</v>
      </c>
      <c r="N177" s="44" t="s">
        <v>23</v>
      </c>
      <c r="O177" s="46" t="s">
        <v>24</v>
      </c>
      <c r="P177"/>
      <c r="Q177" s="4"/>
      <c r="R177" s="4"/>
      <c r="S177" s="4"/>
      <c r="T177" s="4"/>
      <c r="U177" s="4"/>
    </row>
    <row r="178" spans="2:21" ht="18" hidden="1" customHeight="1" thickTop="1" thickBot="1" x14ac:dyDescent="0.3">
      <c r="B178" s="43">
        <v>100522359</v>
      </c>
      <c r="C178" s="44" t="s">
        <v>248</v>
      </c>
      <c r="D178" s="45"/>
      <c r="E178" s="45" t="s">
        <v>15</v>
      </c>
      <c r="F178" s="44" t="s">
        <v>16</v>
      </c>
      <c r="G178" s="44" t="s">
        <v>17</v>
      </c>
      <c r="H178" s="44" t="s">
        <v>18</v>
      </c>
      <c r="I178" s="44" t="s">
        <v>231</v>
      </c>
      <c r="J178" s="44" t="s">
        <v>20</v>
      </c>
      <c r="K178" s="44" t="s">
        <v>232</v>
      </c>
      <c r="L178" s="44" t="s">
        <v>233</v>
      </c>
      <c r="M178" s="44" t="s">
        <v>22</v>
      </c>
      <c r="N178" s="44" t="s">
        <v>23</v>
      </c>
      <c r="O178" s="46" t="s">
        <v>24</v>
      </c>
      <c r="P178"/>
      <c r="Q178" s="4"/>
      <c r="R178" s="4"/>
      <c r="S178" s="4"/>
      <c r="T178" s="4"/>
      <c r="U178" s="4"/>
    </row>
    <row r="179" spans="2:21" ht="18" hidden="1" customHeight="1" thickTop="1" thickBot="1" x14ac:dyDescent="0.3">
      <c r="B179" s="43">
        <v>100522602</v>
      </c>
      <c r="C179" s="44" t="s">
        <v>249</v>
      </c>
      <c r="D179" s="45"/>
      <c r="E179" s="45" t="s">
        <v>44</v>
      </c>
      <c r="F179" s="44" t="s">
        <v>16</v>
      </c>
      <c r="G179" s="44" t="s">
        <v>27</v>
      </c>
      <c r="H179" s="44" t="s">
        <v>18</v>
      </c>
      <c r="I179" s="44" t="s">
        <v>231</v>
      </c>
      <c r="J179" s="44" t="s">
        <v>28</v>
      </c>
      <c r="K179" s="44" t="s">
        <v>232</v>
      </c>
      <c r="L179" s="44" t="s">
        <v>233</v>
      </c>
      <c r="M179" s="44" t="s">
        <v>29</v>
      </c>
      <c r="N179" s="44" t="s">
        <v>23</v>
      </c>
      <c r="O179" s="46" t="s">
        <v>24</v>
      </c>
      <c r="P179"/>
      <c r="Q179" s="4"/>
      <c r="R179" s="4"/>
      <c r="S179" s="4"/>
      <c r="T179" s="4"/>
      <c r="U179" s="4"/>
    </row>
    <row r="180" spans="2:21" hidden="1" thickTop="1" thickBot="1" x14ac:dyDescent="0.3">
      <c r="B180" s="43">
        <v>100010009</v>
      </c>
      <c r="C180" s="44" t="s">
        <v>250</v>
      </c>
      <c r="D180" s="45"/>
      <c r="E180" s="45" t="s">
        <v>44</v>
      </c>
      <c r="F180" s="44" t="s">
        <v>16</v>
      </c>
      <c r="G180" s="44" t="s">
        <v>17</v>
      </c>
      <c r="H180" s="44" t="s">
        <v>18</v>
      </c>
      <c r="I180" s="44" t="s">
        <v>231</v>
      </c>
      <c r="J180" s="44" t="s">
        <v>28</v>
      </c>
      <c r="K180" s="44" t="s">
        <v>232</v>
      </c>
      <c r="L180" s="44" t="s">
        <v>233</v>
      </c>
      <c r="M180" s="44" t="s">
        <v>57</v>
      </c>
      <c r="N180" s="44" t="s">
        <v>23</v>
      </c>
      <c r="O180" s="46" t="s">
        <v>24</v>
      </c>
      <c r="P180"/>
      <c r="Q180" s="4"/>
      <c r="R180" s="4"/>
      <c r="S180" s="4"/>
      <c r="T180" s="4"/>
      <c r="U180" s="4"/>
    </row>
    <row r="181" spans="2:21" ht="18" hidden="1" customHeight="1" thickTop="1" thickBot="1" x14ac:dyDescent="0.3">
      <c r="B181" s="43">
        <v>100518331</v>
      </c>
      <c r="C181" s="44" t="s">
        <v>251</v>
      </c>
      <c r="D181" s="45"/>
      <c r="E181" s="45" t="s">
        <v>44</v>
      </c>
      <c r="F181" s="44" t="s">
        <v>16</v>
      </c>
      <c r="G181" s="44" t="s">
        <v>17</v>
      </c>
      <c r="H181" s="44" t="s">
        <v>18</v>
      </c>
      <c r="I181" s="44" t="s">
        <v>231</v>
      </c>
      <c r="J181" s="44" t="s">
        <v>28</v>
      </c>
      <c r="K181" s="44" t="s">
        <v>232</v>
      </c>
      <c r="L181" s="44" t="s">
        <v>242</v>
      </c>
      <c r="M181" s="44" t="s">
        <v>57</v>
      </c>
      <c r="N181" s="44" t="s">
        <v>23</v>
      </c>
      <c r="O181" s="46" t="s">
        <v>24</v>
      </c>
      <c r="P181"/>
      <c r="Q181" s="4"/>
      <c r="R181" s="4"/>
      <c r="S181" s="4"/>
      <c r="T181" s="4"/>
      <c r="U181" s="4"/>
    </row>
    <row r="182" spans="2:21" ht="18" hidden="1" customHeight="1" thickTop="1" thickBot="1" x14ac:dyDescent="0.3">
      <c r="B182" s="43">
        <v>100522179</v>
      </c>
      <c r="C182" s="44" t="s">
        <v>252</v>
      </c>
      <c r="D182" s="45"/>
      <c r="E182" s="45" t="str">
        <f>IF(ISERR(FIND("PUL",PRODUCTO_MI_AR68[[#This Row],[NOM PRODUCTO]])),"","ME")</f>
        <v>ME</v>
      </c>
      <c r="F182" s="44" t="s">
        <v>16</v>
      </c>
      <c r="G182" s="44" t="s">
        <v>17</v>
      </c>
      <c r="H182" s="44" t="s">
        <v>18</v>
      </c>
      <c r="I182" s="44" t="s">
        <v>231</v>
      </c>
      <c r="J182" s="44" t="s">
        <v>28</v>
      </c>
      <c r="K182" s="44" t="s">
        <v>232</v>
      </c>
      <c r="L182" s="44" t="s">
        <v>233</v>
      </c>
      <c r="M182" s="44" t="s">
        <v>29</v>
      </c>
      <c r="N182" s="44" t="s">
        <v>23</v>
      </c>
      <c r="O182" s="46" t="s">
        <v>24</v>
      </c>
      <c r="P182"/>
      <c r="Q182" s="4"/>
      <c r="R182" s="4"/>
      <c r="S182" s="4"/>
      <c r="T182" s="4"/>
      <c r="U182" s="4"/>
    </row>
    <row r="183" spans="2:21" ht="18" hidden="1" customHeight="1" thickTop="1" thickBot="1" x14ac:dyDescent="0.3">
      <c r="B183" s="43">
        <v>100519927</v>
      </c>
      <c r="C183" s="44" t="s">
        <v>253</v>
      </c>
      <c r="D183" s="45"/>
      <c r="E183" s="45" t="s">
        <v>15</v>
      </c>
      <c r="F183" s="44" t="s">
        <v>16</v>
      </c>
      <c r="G183" s="44" t="s">
        <v>17</v>
      </c>
      <c r="H183" s="44" t="s">
        <v>18</v>
      </c>
      <c r="I183" s="44" t="s">
        <v>231</v>
      </c>
      <c r="J183" s="44" t="s">
        <v>28</v>
      </c>
      <c r="K183" s="44" t="s">
        <v>232</v>
      </c>
      <c r="L183" s="44" t="s">
        <v>232</v>
      </c>
      <c r="M183" s="44" t="s">
        <v>29</v>
      </c>
      <c r="N183" s="44" t="s">
        <v>23</v>
      </c>
      <c r="O183" s="46" t="s">
        <v>24</v>
      </c>
      <c r="P183"/>
      <c r="Q183" s="4"/>
      <c r="R183" s="4"/>
      <c r="S183" s="4"/>
      <c r="T183" s="4"/>
      <c r="U183" s="4"/>
    </row>
    <row r="184" spans="2:21" ht="18" hidden="1" customHeight="1" thickTop="1" thickBot="1" x14ac:dyDescent="0.3">
      <c r="B184" s="43">
        <v>100522272</v>
      </c>
      <c r="C184" s="44" t="s">
        <v>254</v>
      </c>
      <c r="D184" s="45"/>
      <c r="E184" s="45" t="str">
        <f>IF(ISERR(FIND("PUL",PRODUCTO_MI_AR68[[#This Row],[NOM PRODUCTO]])),"","ME")</f>
        <v>ME</v>
      </c>
      <c r="F184" s="44" t="s">
        <v>16</v>
      </c>
      <c r="G184" s="44" t="s">
        <v>17</v>
      </c>
      <c r="H184" s="44" t="s">
        <v>18</v>
      </c>
      <c r="I184" s="44" t="s">
        <v>231</v>
      </c>
      <c r="J184" s="44" t="s">
        <v>40</v>
      </c>
      <c r="K184" s="44" t="s">
        <v>232</v>
      </c>
      <c r="L184" s="44" t="s">
        <v>233</v>
      </c>
      <c r="M184" s="44" t="s">
        <v>41</v>
      </c>
      <c r="N184" s="44" t="s">
        <v>23</v>
      </c>
      <c r="O184" s="46" t="s">
        <v>24</v>
      </c>
      <c r="P184"/>
      <c r="Q184" s="4"/>
      <c r="R184" s="4"/>
      <c r="S184" s="4"/>
      <c r="T184" s="4"/>
      <c r="U184" s="4"/>
    </row>
    <row r="185" spans="2:21" ht="18" hidden="1" customHeight="1" thickTop="1" thickBot="1" x14ac:dyDescent="0.3">
      <c r="B185" s="43">
        <v>100520810</v>
      </c>
      <c r="C185" s="44" t="s">
        <v>255</v>
      </c>
      <c r="D185" s="45"/>
      <c r="E185" s="45" t="str">
        <f>IF(ISERR(FIND("PUL",PRODUCTO_MI_AR68[[#This Row],[NOM PRODUCTO]])),"","ME")</f>
        <v>ME</v>
      </c>
      <c r="F185" s="44" t="s">
        <v>16</v>
      </c>
      <c r="G185" s="44" t="s">
        <v>17</v>
      </c>
      <c r="H185" s="44" t="s">
        <v>18</v>
      </c>
      <c r="I185" s="44" t="s">
        <v>231</v>
      </c>
      <c r="J185" s="44" t="s">
        <v>28</v>
      </c>
      <c r="K185" s="44" t="s">
        <v>232</v>
      </c>
      <c r="L185" s="44" t="s">
        <v>233</v>
      </c>
      <c r="M185" s="44" t="s">
        <v>29</v>
      </c>
      <c r="N185" s="44" t="s">
        <v>23</v>
      </c>
      <c r="O185" s="46" t="s">
        <v>24</v>
      </c>
      <c r="P185"/>
      <c r="Q185" s="4"/>
      <c r="R185" s="4"/>
      <c r="S185" s="4"/>
      <c r="T185" s="4"/>
      <c r="U185" s="4"/>
    </row>
    <row r="186" spans="2:21" ht="18" hidden="1" customHeight="1" thickTop="1" thickBot="1" x14ac:dyDescent="0.3">
      <c r="B186" s="43">
        <v>100013147</v>
      </c>
      <c r="C186" s="44" t="s">
        <v>256</v>
      </c>
      <c r="D186" s="45"/>
      <c r="E186" s="45" t="str">
        <f>IF(ISERR(FIND("(L)",PRODUCTO_MI_AR68[[#This Row],[NOM PRODUCTO]])),"","MI")</f>
        <v>MI</v>
      </c>
      <c r="F186" s="44" t="s">
        <v>16</v>
      </c>
      <c r="G186" s="44" t="s">
        <v>17</v>
      </c>
      <c r="H186" s="44" t="s">
        <v>18</v>
      </c>
      <c r="I186" s="44" t="s">
        <v>231</v>
      </c>
      <c r="J186" s="44" t="s">
        <v>28</v>
      </c>
      <c r="K186" s="44" t="s">
        <v>232</v>
      </c>
      <c r="L186" s="44" t="s">
        <v>233</v>
      </c>
      <c r="M186" s="44" t="s">
        <v>57</v>
      </c>
      <c r="N186" s="44" t="s">
        <v>23</v>
      </c>
      <c r="O186" s="46" t="s">
        <v>24</v>
      </c>
      <c r="P186"/>
      <c r="Q186" s="4"/>
      <c r="R186" s="4"/>
      <c r="S186" s="4"/>
      <c r="T186" s="4"/>
      <c r="U186" s="4"/>
    </row>
    <row r="187" spans="2:21" ht="18" hidden="1" customHeight="1" thickTop="1" thickBot="1" x14ac:dyDescent="0.3">
      <c r="B187" s="43">
        <v>100521369</v>
      </c>
      <c r="C187" s="44" t="s">
        <v>257</v>
      </c>
      <c r="D187" s="45"/>
      <c r="E187" s="45" t="s">
        <v>44</v>
      </c>
      <c r="F187" s="44" t="s">
        <v>16</v>
      </c>
      <c r="G187" s="44" t="s">
        <v>17</v>
      </c>
      <c r="H187" s="44" t="s">
        <v>18</v>
      </c>
      <c r="I187" s="44" t="s">
        <v>231</v>
      </c>
      <c r="J187" s="44" t="s">
        <v>28</v>
      </c>
      <c r="K187" s="44" t="s">
        <v>232</v>
      </c>
      <c r="L187" s="44" t="s">
        <v>258</v>
      </c>
      <c r="M187" s="44" t="s">
        <v>57</v>
      </c>
      <c r="N187" s="44" t="str">
        <f>IF(ISERR(FIND("CONG",PRODUCTO_MI_AR68[[#This Row],[NOM PRODUCTO]])),"","CONGELADO")</f>
        <v>CONGELADO</v>
      </c>
      <c r="O187" s="46" t="s">
        <v>24</v>
      </c>
      <c r="P187"/>
      <c r="Q187" s="4"/>
      <c r="R187" s="4"/>
      <c r="S187" s="4"/>
      <c r="T187" s="4"/>
      <c r="U187" s="4"/>
    </row>
    <row r="188" spans="2:21" ht="18" hidden="1" customHeight="1" thickTop="1" thickBot="1" x14ac:dyDescent="0.3">
      <c r="B188" s="43">
        <v>100011562</v>
      </c>
      <c r="C188" s="44" t="s">
        <v>259</v>
      </c>
      <c r="D188" s="45"/>
      <c r="E188" s="45" t="s">
        <v>44</v>
      </c>
      <c r="F188" s="44" t="s">
        <v>16</v>
      </c>
      <c r="G188" s="44" t="s">
        <v>17</v>
      </c>
      <c r="H188" s="44" t="s">
        <v>18</v>
      </c>
      <c r="I188" s="44" t="s">
        <v>231</v>
      </c>
      <c r="J188" s="44" t="s">
        <v>28</v>
      </c>
      <c r="K188" s="44" t="s">
        <v>232</v>
      </c>
      <c r="L188" s="44" t="s">
        <v>258</v>
      </c>
      <c r="M188" s="44" t="s">
        <v>57</v>
      </c>
      <c r="N188" s="44" t="s">
        <v>23</v>
      </c>
      <c r="O188" s="46" t="s">
        <v>24</v>
      </c>
      <c r="P188"/>
      <c r="Q188" s="4"/>
      <c r="R188" s="4"/>
      <c r="S188" s="4"/>
      <c r="T188" s="4"/>
      <c r="U188" s="4"/>
    </row>
    <row r="189" spans="2:21" ht="18" hidden="1" customHeight="1" thickTop="1" thickBot="1" x14ac:dyDescent="0.3">
      <c r="B189" s="43">
        <v>100027726</v>
      </c>
      <c r="C189" s="44" t="s">
        <v>260</v>
      </c>
      <c r="D189" s="45"/>
      <c r="E189" s="45" t="s">
        <v>44</v>
      </c>
      <c r="F189" s="44" t="s">
        <v>16</v>
      </c>
      <c r="G189" s="44" t="s">
        <v>17</v>
      </c>
      <c r="H189" s="44" t="s">
        <v>261</v>
      </c>
      <c r="I189" s="44" t="s">
        <v>46</v>
      </c>
      <c r="J189" s="44" t="s">
        <v>28</v>
      </c>
      <c r="K189" s="44" t="s">
        <v>262</v>
      </c>
      <c r="L189" s="44" t="s">
        <v>262</v>
      </c>
      <c r="M189" s="44" t="s">
        <v>57</v>
      </c>
      <c r="N189" s="44" t="str">
        <f>IF(ISERR(FIND("CONG",PRODUCTO_MI_AR68[[#This Row],[NOM PRODUCTO]])),"","CONGELADO")</f>
        <v>CONGELADO</v>
      </c>
      <c r="O189" s="46" t="s">
        <v>49</v>
      </c>
      <c r="P189"/>
      <c r="Q189" s="4"/>
      <c r="R189" s="4"/>
      <c r="S189" s="4"/>
      <c r="T189" s="4"/>
      <c r="U189" s="4"/>
    </row>
    <row r="190" spans="2:21" ht="18" hidden="1" customHeight="1" thickTop="1" thickBot="1" x14ac:dyDescent="0.3">
      <c r="B190" s="43">
        <v>100520493</v>
      </c>
      <c r="C190" s="44" t="s">
        <v>263</v>
      </c>
      <c r="D190" s="45"/>
      <c r="E190" s="45" t="str">
        <f>IF(ISERR(FIND("ISRAEL",PRODUCTO_MI_AR68[[#This Row],[NOM PRODUCTO]])),"","ME")</f>
        <v>ME</v>
      </c>
      <c r="F190" s="44" t="s">
        <v>16</v>
      </c>
      <c r="G190" s="44" t="s">
        <v>17</v>
      </c>
      <c r="H190" s="44" t="s">
        <v>18</v>
      </c>
      <c r="I190" s="44" t="s">
        <v>19</v>
      </c>
      <c r="J190" s="44" t="s">
        <v>28</v>
      </c>
      <c r="K190" s="44" t="s">
        <v>264</v>
      </c>
      <c r="L190" s="44" t="s">
        <v>265</v>
      </c>
      <c r="M190" s="44" t="s">
        <v>29</v>
      </c>
      <c r="N190" s="44" t="s">
        <v>23</v>
      </c>
      <c r="O190" s="46" t="s">
        <v>24</v>
      </c>
      <c r="P190"/>
      <c r="Q190" s="4"/>
      <c r="R190" s="4"/>
      <c r="S190" s="4"/>
      <c r="T190" s="4"/>
      <c r="U190" s="4"/>
    </row>
    <row r="191" spans="2:21" ht="18" hidden="1" customHeight="1" thickTop="1" thickBot="1" x14ac:dyDescent="0.3">
      <c r="B191" s="43">
        <v>100520521</v>
      </c>
      <c r="C191" s="44" t="s">
        <v>266</v>
      </c>
      <c r="D191" s="45"/>
      <c r="E191" s="45" t="str">
        <f>IF(ISERR(FIND("KOSHER",PRODUCTO_MI_AR68[[#This Row],[NOM PRODUCTO]])),"","ME")</f>
        <v>ME</v>
      </c>
      <c r="F191" s="44" t="s">
        <v>16</v>
      </c>
      <c r="G191" s="44" t="s">
        <v>17</v>
      </c>
      <c r="H191" s="44" t="s">
        <v>18</v>
      </c>
      <c r="I191" s="44" t="s">
        <v>19</v>
      </c>
      <c r="J191" s="44" t="s">
        <v>28</v>
      </c>
      <c r="K191" s="44" t="s">
        <v>264</v>
      </c>
      <c r="L191" s="44" t="s">
        <v>265</v>
      </c>
      <c r="M191" s="44" t="s">
        <v>29</v>
      </c>
      <c r="N191" s="44" t="s">
        <v>23</v>
      </c>
      <c r="O191" s="46" t="s">
        <v>24</v>
      </c>
      <c r="P191"/>
      <c r="Q191" s="4"/>
      <c r="R191" s="4"/>
      <c r="S191" s="4"/>
      <c r="T191" s="4"/>
      <c r="U191" s="4"/>
    </row>
    <row r="192" spans="2:21" ht="18" hidden="1" customHeight="1" thickTop="1" thickBot="1" x14ac:dyDescent="0.3">
      <c r="B192" s="43">
        <v>100518923</v>
      </c>
      <c r="C192" s="44" t="s">
        <v>267</v>
      </c>
      <c r="D192" s="45"/>
      <c r="E192" s="45" t="str">
        <f>IF(ISERR(FIND("PUL",PRODUCTO_MI_AR68[[#This Row],[NOM PRODUCTO]])),"","ME")</f>
        <v>ME</v>
      </c>
      <c r="F192" s="44" t="s">
        <v>16</v>
      </c>
      <c r="G192" s="44" t="s">
        <v>17</v>
      </c>
      <c r="H192" s="44" t="s">
        <v>18</v>
      </c>
      <c r="I192" s="44" t="s">
        <v>231</v>
      </c>
      <c r="J192" s="44" t="s">
        <v>28</v>
      </c>
      <c r="K192" s="44" t="s">
        <v>268</v>
      </c>
      <c r="L192" s="44" t="s">
        <v>269</v>
      </c>
      <c r="M192" s="44" t="s">
        <v>29</v>
      </c>
      <c r="N192" s="44" t="str">
        <f>IF(ISERR(FIND("CONG",PRODUCTO_MI_AR68[[#This Row],[NOM PRODUCTO]])),"","CONGELADO")</f>
        <v>CONGELADO</v>
      </c>
      <c r="O192" s="46" t="s">
        <v>24</v>
      </c>
      <c r="P192"/>
      <c r="Q192" s="4"/>
      <c r="R192" s="4"/>
      <c r="S192" s="4"/>
      <c r="T192" s="4"/>
      <c r="U192" s="4"/>
    </row>
    <row r="193" spans="2:21" ht="18" hidden="1" customHeight="1" thickTop="1" thickBot="1" x14ac:dyDescent="0.3">
      <c r="B193" s="43">
        <v>100522417</v>
      </c>
      <c r="C193" s="44" t="s">
        <v>270</v>
      </c>
      <c r="D193" s="45"/>
      <c r="E193" s="45" t="str">
        <f>IF(ISERR(FIND("PUL",PRODUCTO_MI_AR68[[#This Row],[NOM PRODUCTO]])),"","ME")</f>
        <v>ME</v>
      </c>
      <c r="F193" s="44" t="s">
        <v>16</v>
      </c>
      <c r="G193" s="44" t="s">
        <v>17</v>
      </c>
      <c r="H193" s="44" t="s">
        <v>18</v>
      </c>
      <c r="I193" s="44" t="s">
        <v>231</v>
      </c>
      <c r="J193" s="44" t="s">
        <v>28</v>
      </c>
      <c r="K193" s="44" t="s">
        <v>268</v>
      </c>
      <c r="L193" s="44" t="s">
        <v>269</v>
      </c>
      <c r="M193" s="44" t="s">
        <v>29</v>
      </c>
      <c r="N193" s="44" t="s">
        <v>23</v>
      </c>
      <c r="O193" s="46" t="s">
        <v>24</v>
      </c>
      <c r="P193"/>
      <c r="Q193" s="4"/>
      <c r="R193" s="4"/>
      <c r="S193" s="4"/>
      <c r="T193" s="4"/>
      <c r="U193" s="4"/>
    </row>
    <row r="194" spans="2:21" hidden="1" thickTop="1" thickBot="1" x14ac:dyDescent="0.3">
      <c r="B194" s="43">
        <v>100520817</v>
      </c>
      <c r="C194" s="44" t="s">
        <v>271</v>
      </c>
      <c r="D194" s="45"/>
      <c r="E194" s="45" t="str">
        <f>IF(ISERR(FIND("PUL",PRODUCTO_MI_AR68[[#This Row],[NOM PRODUCTO]])),"","ME")</f>
        <v>ME</v>
      </c>
      <c r="F194" s="44" t="s">
        <v>16</v>
      </c>
      <c r="G194" s="44" t="s">
        <v>17</v>
      </c>
      <c r="H194" s="44" t="s">
        <v>18</v>
      </c>
      <c r="I194" s="44" t="s">
        <v>231</v>
      </c>
      <c r="J194" s="44" t="s">
        <v>28</v>
      </c>
      <c r="K194" s="44" t="s">
        <v>268</v>
      </c>
      <c r="L194" s="44" t="s">
        <v>269</v>
      </c>
      <c r="M194" s="44" t="s">
        <v>29</v>
      </c>
      <c r="N194" s="44" t="str">
        <f>IF(ISERR(FIND("CONG",PRODUCTO_MI_AR68[[#This Row],[NOM PRODUCTO]])),"","CONGELADO")</f>
        <v>CONGELADO</v>
      </c>
      <c r="O194" s="46" t="s">
        <v>24</v>
      </c>
      <c r="P194"/>
      <c r="Q194" s="4"/>
      <c r="R194" s="4"/>
      <c r="S194" s="4"/>
      <c r="T194" s="4"/>
      <c r="U194" s="4"/>
    </row>
    <row r="195" spans="2:21" ht="18" hidden="1" customHeight="1" thickTop="1" thickBot="1" x14ac:dyDescent="0.3">
      <c r="B195" s="43">
        <v>100517968</v>
      </c>
      <c r="C195" s="44" t="s">
        <v>272</v>
      </c>
      <c r="D195" s="45"/>
      <c r="E195" s="45" t="s">
        <v>15</v>
      </c>
      <c r="F195" s="44" t="s">
        <v>16</v>
      </c>
      <c r="G195" s="44" t="s">
        <v>17</v>
      </c>
      <c r="H195" s="44" t="s">
        <v>18</v>
      </c>
      <c r="I195" s="44" t="s">
        <v>231</v>
      </c>
      <c r="J195" s="44" t="s">
        <v>28</v>
      </c>
      <c r="K195" s="44" t="s">
        <v>268</v>
      </c>
      <c r="L195" s="44" t="s">
        <v>269</v>
      </c>
      <c r="M195" s="44" t="s">
        <v>29</v>
      </c>
      <c r="N195" s="44" t="str">
        <f>IF(ISERR(FIND("CONG",PRODUCTO_MI_AR68[[#This Row],[NOM PRODUCTO]])),"","CONGELADO")</f>
        <v>CONGELADO</v>
      </c>
      <c r="O195" s="46" t="s">
        <v>24</v>
      </c>
      <c r="P195"/>
      <c r="Q195" s="4"/>
      <c r="R195" s="4"/>
      <c r="S195" s="4"/>
      <c r="T195" s="4"/>
      <c r="U195" s="4"/>
    </row>
    <row r="196" spans="2:21" ht="18" hidden="1" customHeight="1" thickTop="1" thickBot="1" x14ac:dyDescent="0.3">
      <c r="B196" s="43">
        <v>100517917</v>
      </c>
      <c r="C196" s="44" t="s">
        <v>273</v>
      </c>
      <c r="D196" s="45"/>
      <c r="E196" s="45" t="s">
        <v>15</v>
      </c>
      <c r="F196" s="44" t="s">
        <v>16</v>
      </c>
      <c r="G196" s="44" t="s">
        <v>17</v>
      </c>
      <c r="H196" s="44" t="s">
        <v>18</v>
      </c>
      <c r="I196" s="44" t="s">
        <v>231</v>
      </c>
      <c r="J196" s="44" t="s">
        <v>28</v>
      </c>
      <c r="K196" s="44" t="s">
        <v>268</v>
      </c>
      <c r="L196" s="44" t="s">
        <v>269</v>
      </c>
      <c r="M196" s="44" t="s">
        <v>29</v>
      </c>
      <c r="N196" s="44" t="str">
        <f>IF(ISERR(FIND("CONG",PRODUCTO_MI_AR68[[#This Row],[NOM PRODUCTO]])),"","CONGELADO")</f>
        <v>CONGELADO</v>
      </c>
      <c r="O196" s="46" t="s">
        <v>24</v>
      </c>
      <c r="P196"/>
      <c r="Q196" s="4"/>
      <c r="R196" s="4"/>
      <c r="S196" s="4"/>
      <c r="T196" s="4"/>
      <c r="U196" s="4"/>
    </row>
    <row r="197" spans="2:21" ht="18" hidden="1" customHeight="1" thickTop="1" thickBot="1" x14ac:dyDescent="0.3">
      <c r="B197" s="43">
        <v>100519521</v>
      </c>
      <c r="C197" s="44" t="s">
        <v>274</v>
      </c>
      <c r="D197" s="45"/>
      <c r="E197" s="45" t="str">
        <f>IF(ISERR(FIND("PUL",PRODUCTO_MI_AR68[[#This Row],[NOM PRODUCTO]])),"","ME")</f>
        <v>ME</v>
      </c>
      <c r="F197" s="44" t="s">
        <v>16</v>
      </c>
      <c r="G197" s="44" t="s">
        <v>17</v>
      </c>
      <c r="H197" s="44" t="s">
        <v>18</v>
      </c>
      <c r="I197" s="44" t="s">
        <v>231</v>
      </c>
      <c r="J197" s="44" t="s">
        <v>28</v>
      </c>
      <c r="K197" s="44" t="s">
        <v>268</v>
      </c>
      <c r="L197" s="44" t="s">
        <v>269</v>
      </c>
      <c r="M197" s="44" t="s">
        <v>29</v>
      </c>
      <c r="N197" s="44" t="str">
        <f>IF(ISERR(FIND("CONG",PRODUCTO_MI_AR68[[#This Row],[NOM PRODUCTO]])),"","CONGELADO")</f>
        <v>CONGELADO</v>
      </c>
      <c r="O197" s="46" t="s">
        <v>24</v>
      </c>
      <c r="P197"/>
      <c r="Q197" s="4"/>
      <c r="R197" s="4"/>
      <c r="S197" s="4"/>
      <c r="T197" s="4"/>
      <c r="U197" s="4"/>
    </row>
    <row r="198" spans="2:21" ht="18" hidden="1" customHeight="1" thickTop="1" thickBot="1" x14ac:dyDescent="0.3">
      <c r="B198" s="43">
        <v>100519523</v>
      </c>
      <c r="C198" s="44" t="s">
        <v>275</v>
      </c>
      <c r="D198" s="45"/>
      <c r="E198" s="45" t="str">
        <f>IF(ISERR(FIND("PUL",PRODUCTO_MI_AR68[[#This Row],[NOM PRODUCTO]])),"","ME")</f>
        <v>ME</v>
      </c>
      <c r="F198" s="44" t="s">
        <v>16</v>
      </c>
      <c r="G198" s="44" t="s">
        <v>17</v>
      </c>
      <c r="H198" s="44" t="s">
        <v>18</v>
      </c>
      <c r="I198" s="44" t="s">
        <v>231</v>
      </c>
      <c r="J198" s="44" t="s">
        <v>28</v>
      </c>
      <c r="K198" s="44" t="s">
        <v>268</v>
      </c>
      <c r="L198" s="44" t="s">
        <v>269</v>
      </c>
      <c r="M198" s="44" t="s">
        <v>29</v>
      </c>
      <c r="N198" s="44" t="str">
        <f>IF(ISERR(FIND("CONG",PRODUCTO_MI_AR68[[#This Row],[NOM PRODUCTO]])),"","CONGELADO")</f>
        <v>CONGELADO</v>
      </c>
      <c r="O198" s="46" t="s">
        <v>24</v>
      </c>
      <c r="P198"/>
      <c r="Q198" s="4"/>
      <c r="R198" s="4"/>
      <c r="S198" s="4"/>
      <c r="T198" s="4"/>
      <c r="U198" s="4"/>
    </row>
    <row r="199" spans="2:21" ht="18" hidden="1" customHeight="1" thickTop="1" thickBot="1" x14ac:dyDescent="0.3">
      <c r="B199" s="43">
        <v>100519552</v>
      </c>
      <c r="C199" s="44" t="s">
        <v>276</v>
      </c>
      <c r="D199" s="45"/>
      <c r="E199" s="45" t="str">
        <f>IF(ISERR(FIND("PUL",PRODUCTO_MI_AR68[[#This Row],[NOM PRODUCTO]])),"","ME")</f>
        <v>ME</v>
      </c>
      <c r="F199" s="44" t="s">
        <v>16</v>
      </c>
      <c r="G199" s="44" t="s">
        <v>17</v>
      </c>
      <c r="H199" s="44" t="s">
        <v>18</v>
      </c>
      <c r="I199" s="44" t="s">
        <v>231</v>
      </c>
      <c r="J199" s="44" t="s">
        <v>40</v>
      </c>
      <c r="K199" s="44" t="s">
        <v>268</v>
      </c>
      <c r="L199" s="44" t="s">
        <v>277</v>
      </c>
      <c r="M199" s="44" t="s">
        <v>41</v>
      </c>
      <c r="N199" s="44" t="s">
        <v>23</v>
      </c>
      <c r="O199" s="46" t="s">
        <v>24</v>
      </c>
      <c r="P199"/>
      <c r="Q199" s="4"/>
      <c r="R199" s="4"/>
      <c r="S199" s="4"/>
      <c r="T199" s="4"/>
      <c r="U199" s="4"/>
    </row>
    <row r="200" spans="2:21" hidden="1" thickTop="1" thickBot="1" x14ac:dyDescent="0.3">
      <c r="B200" s="43">
        <v>100519553</v>
      </c>
      <c r="C200" s="44" t="s">
        <v>278</v>
      </c>
      <c r="D200" s="45"/>
      <c r="E200" s="45" t="str">
        <f>IF(ISERR(FIND("PUL",PRODUCTO_MI_AR68[[#This Row],[NOM PRODUCTO]])),"","ME")</f>
        <v>ME</v>
      </c>
      <c r="F200" s="44" t="s">
        <v>16</v>
      </c>
      <c r="G200" s="44" t="s">
        <v>17</v>
      </c>
      <c r="H200" s="44" t="s">
        <v>18</v>
      </c>
      <c r="I200" s="44" t="s">
        <v>231</v>
      </c>
      <c r="J200" s="44" t="s">
        <v>40</v>
      </c>
      <c r="K200" s="44" t="s">
        <v>268</v>
      </c>
      <c r="L200" s="44" t="s">
        <v>277</v>
      </c>
      <c r="M200" s="44" t="s">
        <v>41</v>
      </c>
      <c r="N200" s="44" t="s">
        <v>23</v>
      </c>
      <c r="O200" s="46" t="s">
        <v>24</v>
      </c>
      <c r="P200"/>
      <c r="Q200" s="4"/>
      <c r="R200" s="4"/>
      <c r="S200" s="4"/>
      <c r="T200" s="4"/>
      <c r="U200" s="4"/>
    </row>
    <row r="201" spans="2:21" ht="18" hidden="1" customHeight="1" thickTop="1" thickBot="1" x14ac:dyDescent="0.3">
      <c r="B201" s="43">
        <v>100519554</v>
      </c>
      <c r="C201" s="44" t="s">
        <v>279</v>
      </c>
      <c r="D201" s="45"/>
      <c r="E201" s="45" t="str">
        <f>IF(ISERR(FIND("PUL",PRODUCTO_MI_AR68[[#This Row],[NOM PRODUCTO]])),"","ME")</f>
        <v>ME</v>
      </c>
      <c r="F201" s="44" t="s">
        <v>16</v>
      </c>
      <c r="G201" s="44" t="s">
        <v>17</v>
      </c>
      <c r="H201" s="44" t="s">
        <v>18</v>
      </c>
      <c r="I201" s="44" t="s">
        <v>231</v>
      </c>
      <c r="J201" s="44" t="s">
        <v>40</v>
      </c>
      <c r="K201" s="44" t="s">
        <v>268</v>
      </c>
      <c r="L201" s="44" t="s">
        <v>277</v>
      </c>
      <c r="M201" s="44" t="s">
        <v>41</v>
      </c>
      <c r="N201" s="44" t="s">
        <v>23</v>
      </c>
      <c r="O201" s="46" t="s">
        <v>24</v>
      </c>
      <c r="P201"/>
      <c r="Q201" s="4"/>
      <c r="R201" s="4"/>
      <c r="S201" s="4"/>
      <c r="T201" s="4"/>
      <c r="U201" s="4"/>
    </row>
    <row r="202" spans="2:21" ht="18" hidden="1" customHeight="1" thickTop="1" thickBot="1" x14ac:dyDescent="0.3">
      <c r="B202" s="43">
        <v>100518332</v>
      </c>
      <c r="C202" s="44" t="s">
        <v>280</v>
      </c>
      <c r="D202" s="45" t="s">
        <v>43</v>
      </c>
      <c r="E202" s="45" t="s">
        <v>44</v>
      </c>
      <c r="F202" s="44" t="s">
        <v>16</v>
      </c>
      <c r="G202" s="44" t="s">
        <v>17</v>
      </c>
      <c r="H202" s="44" t="s">
        <v>18</v>
      </c>
      <c r="I202" s="44" t="s">
        <v>231</v>
      </c>
      <c r="J202" s="44" t="s">
        <v>28</v>
      </c>
      <c r="K202" s="44" t="s">
        <v>268</v>
      </c>
      <c r="L202" s="44" t="s">
        <v>277</v>
      </c>
      <c r="M202" s="44" t="s">
        <v>57</v>
      </c>
      <c r="N202" s="44" t="s">
        <v>23</v>
      </c>
      <c r="O202" s="46" t="s">
        <v>24</v>
      </c>
      <c r="P202"/>
      <c r="Q202" s="4"/>
      <c r="R202" s="4"/>
      <c r="S202" s="4"/>
      <c r="T202" s="4"/>
      <c r="U202" s="4"/>
    </row>
    <row r="203" spans="2:21" ht="18" hidden="1" customHeight="1" thickTop="1" thickBot="1" x14ac:dyDescent="0.3">
      <c r="B203" s="43">
        <v>100516532</v>
      </c>
      <c r="C203" s="44" t="s">
        <v>281</v>
      </c>
      <c r="D203" s="45"/>
      <c r="E203" s="45" t="str">
        <f>IF(ISERR(FIND("CHILE",PRODUCTO_MI_AR68[[#This Row],[NOM PRODUCTO]])),"","ME")</f>
        <v>ME</v>
      </c>
      <c r="F203" s="44" t="s">
        <v>16</v>
      </c>
      <c r="G203" s="44" t="s">
        <v>17</v>
      </c>
      <c r="H203" s="44" t="s">
        <v>18</v>
      </c>
      <c r="I203" s="44" t="s">
        <v>231</v>
      </c>
      <c r="J203" s="44" t="s">
        <v>28</v>
      </c>
      <c r="K203" s="44" t="s">
        <v>268</v>
      </c>
      <c r="L203" s="44" t="s">
        <v>277</v>
      </c>
      <c r="M203" s="44" t="s">
        <v>29</v>
      </c>
      <c r="N203" s="44" t="s">
        <v>23</v>
      </c>
      <c r="O203" s="46" t="s">
        <v>24</v>
      </c>
      <c r="P203"/>
      <c r="Q203" s="4"/>
      <c r="R203" s="4"/>
      <c r="S203" s="4"/>
      <c r="T203" s="4"/>
      <c r="U203" s="4"/>
    </row>
    <row r="204" spans="2:21" hidden="1" thickTop="1" thickBot="1" x14ac:dyDescent="0.3">
      <c r="B204" s="43">
        <v>100519852</v>
      </c>
      <c r="C204" s="44" t="s">
        <v>282</v>
      </c>
      <c r="D204" s="45"/>
      <c r="E204" s="45" t="str">
        <f>IF(ISERR(FIND("CLL",PRODUCTO_MI_AR68[[#This Row],[NOM PRODUCTO]])),"","ME")</f>
        <v>ME</v>
      </c>
      <c r="F204" s="44" t="s">
        <v>16</v>
      </c>
      <c r="G204" s="44" t="s">
        <v>17</v>
      </c>
      <c r="H204" s="44" t="s">
        <v>18</v>
      </c>
      <c r="I204" s="44" t="s">
        <v>231</v>
      </c>
      <c r="J204" s="44" t="s">
        <v>20</v>
      </c>
      <c r="K204" s="44" t="s">
        <v>268</v>
      </c>
      <c r="L204" s="44" t="s">
        <v>269</v>
      </c>
      <c r="M204" s="44" t="s">
        <v>22</v>
      </c>
      <c r="N204" s="44" t="s">
        <v>23</v>
      </c>
      <c r="O204" s="46" t="s">
        <v>24</v>
      </c>
      <c r="P204"/>
      <c r="Q204" s="4"/>
      <c r="R204" s="4"/>
      <c r="S204" s="4"/>
      <c r="T204" s="4"/>
      <c r="U204" s="4"/>
    </row>
    <row r="205" spans="2:21" ht="18" hidden="1" customHeight="1" thickTop="1" thickBot="1" x14ac:dyDescent="0.3">
      <c r="B205" s="43">
        <v>100013148</v>
      </c>
      <c r="C205" s="44" t="s">
        <v>283</v>
      </c>
      <c r="D205" s="45"/>
      <c r="E205" s="45" t="str">
        <f>IF(ISERR(FIND("VENTA LOCAL",PRODUCTO_MI_AR68[[#This Row],[NOM PRODUCTO]])),"","MI")</f>
        <v>MI</v>
      </c>
      <c r="F205" s="44" t="s">
        <v>16</v>
      </c>
      <c r="G205" s="44" t="s">
        <v>17</v>
      </c>
      <c r="H205" s="44" t="s">
        <v>18</v>
      </c>
      <c r="I205" s="44" t="s">
        <v>231</v>
      </c>
      <c r="J205" s="44" t="s">
        <v>28</v>
      </c>
      <c r="K205" s="44" t="s">
        <v>268</v>
      </c>
      <c r="L205" s="44" t="s">
        <v>269</v>
      </c>
      <c r="M205" s="44" t="s">
        <v>57</v>
      </c>
      <c r="N205" s="44" t="s">
        <v>23</v>
      </c>
      <c r="O205" s="46" t="s">
        <v>24</v>
      </c>
      <c r="P205"/>
      <c r="Q205" s="4"/>
      <c r="R205" s="4"/>
      <c r="S205" s="4"/>
      <c r="T205" s="4"/>
      <c r="U205" s="4"/>
    </row>
    <row r="206" spans="2:21" hidden="1" thickTop="1" thickBot="1" x14ac:dyDescent="0.3">
      <c r="B206" s="43">
        <v>100521170</v>
      </c>
      <c r="C206" s="44" t="s">
        <v>284</v>
      </c>
      <c r="D206" s="45"/>
      <c r="E206" s="45" t="str">
        <f>IF(ISERR(FIND("PUL",PRODUCTO_MI_AR68[[#This Row],[NOM PRODUCTO]])),"","ME")</f>
        <v>ME</v>
      </c>
      <c r="F206" s="44" t="s">
        <v>16</v>
      </c>
      <c r="G206" s="44" t="s">
        <v>17</v>
      </c>
      <c r="H206" s="44" t="s">
        <v>18</v>
      </c>
      <c r="I206" s="44" t="s">
        <v>231</v>
      </c>
      <c r="J206" s="44" t="s">
        <v>40</v>
      </c>
      <c r="K206" s="44" t="s">
        <v>268</v>
      </c>
      <c r="L206" s="44" t="s">
        <v>269</v>
      </c>
      <c r="M206" s="44" t="s">
        <v>41</v>
      </c>
      <c r="N206" s="44" t="s">
        <v>23</v>
      </c>
      <c r="O206" s="46" t="s">
        <v>24</v>
      </c>
      <c r="P206"/>
      <c r="Q206" s="4"/>
      <c r="R206" s="4"/>
      <c r="S206" s="4"/>
      <c r="T206" s="4"/>
      <c r="U206" s="4"/>
    </row>
    <row r="207" spans="2:21" ht="18" hidden="1" customHeight="1" thickTop="1" thickBot="1" x14ac:dyDescent="0.3">
      <c r="B207" s="43">
        <v>100522628</v>
      </c>
      <c r="C207" s="44" t="s">
        <v>285</v>
      </c>
      <c r="D207" s="45"/>
      <c r="E207" s="45" t="s">
        <v>44</v>
      </c>
      <c r="F207" s="44" t="s">
        <v>16</v>
      </c>
      <c r="G207" s="44" t="s">
        <v>27</v>
      </c>
      <c r="H207" s="44" t="s">
        <v>18</v>
      </c>
      <c r="I207" s="44" t="s">
        <v>19</v>
      </c>
      <c r="J207" s="44" t="s">
        <v>28</v>
      </c>
      <c r="K207" s="44" t="s">
        <v>264</v>
      </c>
      <c r="L207" s="44" t="s">
        <v>264</v>
      </c>
      <c r="M207" s="44" t="s">
        <v>29</v>
      </c>
      <c r="N207" s="44" t="str">
        <f>IF(ISERR(FIND("CONG",PRODUCTO_MI_AR68[[#This Row],[NOM PRODUCTO]])),"","CONGELADO")</f>
        <v>CONGELADO</v>
      </c>
      <c r="O207" s="46" t="s">
        <v>24</v>
      </c>
      <c r="P207"/>
      <c r="Q207" s="4"/>
      <c r="R207" s="4"/>
      <c r="S207" s="4"/>
      <c r="T207" s="4"/>
      <c r="U207" s="4"/>
    </row>
    <row r="208" spans="2:21" ht="18" hidden="1" customHeight="1" thickTop="1" thickBot="1" x14ac:dyDescent="0.3">
      <c r="B208" s="43">
        <v>100012917</v>
      </c>
      <c r="C208" s="44" t="s">
        <v>286</v>
      </c>
      <c r="D208" s="45"/>
      <c r="E208" s="45" t="s">
        <v>44</v>
      </c>
      <c r="F208" s="44" t="s">
        <v>16</v>
      </c>
      <c r="G208" s="44" t="s">
        <v>17</v>
      </c>
      <c r="H208" s="44" t="s">
        <v>18</v>
      </c>
      <c r="I208" s="44" t="s">
        <v>19</v>
      </c>
      <c r="J208" s="44" t="s">
        <v>28</v>
      </c>
      <c r="K208" s="44" t="s">
        <v>264</v>
      </c>
      <c r="L208" s="44" t="s">
        <v>264</v>
      </c>
      <c r="M208" s="44" t="s">
        <v>57</v>
      </c>
      <c r="N208" s="44" t="str">
        <f>IF(ISERR(FIND("CONG",PRODUCTO_MI_AR68[[#This Row],[NOM PRODUCTO]])),"","CONGELADO")</f>
        <v>CONGELADO</v>
      </c>
      <c r="O208" s="46" t="s">
        <v>24</v>
      </c>
      <c r="P208"/>
      <c r="Q208" s="4"/>
      <c r="R208" s="4"/>
      <c r="S208" s="4"/>
      <c r="T208" s="4"/>
      <c r="U208" s="4"/>
    </row>
    <row r="209" spans="2:21" ht="18" hidden="1" customHeight="1" thickTop="1" thickBot="1" x14ac:dyDescent="0.3">
      <c r="B209" s="43">
        <v>100519056</v>
      </c>
      <c r="C209" s="44" t="s">
        <v>287</v>
      </c>
      <c r="D209" s="45"/>
      <c r="E209" s="45" t="s">
        <v>15</v>
      </c>
      <c r="F209" s="44" t="s">
        <v>16</v>
      </c>
      <c r="G209" s="44" t="s">
        <v>17</v>
      </c>
      <c r="H209" s="44" t="s">
        <v>18</v>
      </c>
      <c r="I209" s="44" t="s">
        <v>19</v>
      </c>
      <c r="J209" s="44" t="s">
        <v>28</v>
      </c>
      <c r="K209" s="44" t="s">
        <v>264</v>
      </c>
      <c r="L209" s="44" t="s">
        <v>264</v>
      </c>
      <c r="M209" s="44" t="s">
        <v>29</v>
      </c>
      <c r="N209" s="44" t="str">
        <f>IF(ISERR(FIND("CONG",PRODUCTO_MI_AR68[[#This Row],[NOM PRODUCTO]])),"","CONGELADO")</f>
        <v>CONGELADO</v>
      </c>
      <c r="O209" s="46" t="s">
        <v>24</v>
      </c>
      <c r="P209"/>
      <c r="Q209" s="4"/>
      <c r="R209" s="4"/>
      <c r="S209" s="4"/>
      <c r="T209" s="4"/>
      <c r="U209" s="4"/>
    </row>
    <row r="210" spans="2:21" hidden="1" thickTop="1" thickBot="1" x14ac:dyDescent="0.3">
      <c r="B210" s="43">
        <v>100520491</v>
      </c>
      <c r="C210" s="44" t="s">
        <v>288</v>
      </c>
      <c r="D210" s="45"/>
      <c r="E210" s="45" t="str">
        <f>IF(ISERR(FIND("ISRAEL",PRODUCTO_MI_AR68[[#This Row],[NOM PRODUCTO]])),"","ME")</f>
        <v>ME</v>
      </c>
      <c r="F210" s="44" t="s">
        <v>16</v>
      </c>
      <c r="G210" s="44" t="s">
        <v>17</v>
      </c>
      <c r="H210" s="44" t="s">
        <v>18</v>
      </c>
      <c r="I210" s="44" t="s">
        <v>19</v>
      </c>
      <c r="J210" s="44" t="s">
        <v>28</v>
      </c>
      <c r="K210" s="44" t="s">
        <v>264</v>
      </c>
      <c r="L210" s="44" t="s">
        <v>264</v>
      </c>
      <c r="M210" s="44" t="s">
        <v>29</v>
      </c>
      <c r="N210" s="44" t="s">
        <v>23</v>
      </c>
      <c r="O210" s="46" t="s">
        <v>24</v>
      </c>
      <c r="P210"/>
      <c r="Q210" s="4"/>
      <c r="R210" s="4"/>
      <c r="S210" s="4"/>
      <c r="T210" s="4"/>
      <c r="U210" s="4"/>
    </row>
    <row r="211" spans="2:21" ht="18" hidden="1" customHeight="1" thickTop="1" thickBot="1" x14ac:dyDescent="0.3">
      <c r="B211" s="43">
        <v>100520519</v>
      </c>
      <c r="C211" s="44" t="s">
        <v>289</v>
      </c>
      <c r="D211" s="45"/>
      <c r="E211" s="45" t="str">
        <f>IF(ISERR(FIND("KOSHER",PRODUCTO_MI_AR68[[#This Row],[NOM PRODUCTO]])),"","ME")</f>
        <v>ME</v>
      </c>
      <c r="F211" s="44" t="s">
        <v>16</v>
      </c>
      <c r="G211" s="44" t="s">
        <v>17</v>
      </c>
      <c r="H211" s="44" t="s">
        <v>18</v>
      </c>
      <c r="I211" s="44" t="s">
        <v>19</v>
      </c>
      <c r="J211" s="44" t="s">
        <v>28</v>
      </c>
      <c r="K211" s="44" t="s">
        <v>264</v>
      </c>
      <c r="L211" s="44" t="s">
        <v>264</v>
      </c>
      <c r="M211" s="44" t="s">
        <v>29</v>
      </c>
      <c r="N211" s="44" t="s">
        <v>23</v>
      </c>
      <c r="O211" s="46" t="s">
        <v>24</v>
      </c>
      <c r="P211"/>
      <c r="Q211" s="4"/>
      <c r="R211" s="4"/>
      <c r="S211" s="4"/>
      <c r="T211" s="4"/>
      <c r="U211" s="4"/>
    </row>
    <row r="212" spans="2:21" hidden="1" thickTop="1" thickBot="1" x14ac:dyDescent="0.3">
      <c r="B212" s="43">
        <v>100519853</v>
      </c>
      <c r="C212" s="44" t="s">
        <v>290</v>
      </c>
      <c r="D212" s="45"/>
      <c r="E212" s="45" t="str">
        <f>IF(ISERR(FIND("CLL",PRODUCTO_MI_AR68[[#This Row],[NOM PRODUCTO]])),"","ME")</f>
        <v>ME</v>
      </c>
      <c r="F212" s="44" t="s">
        <v>16</v>
      </c>
      <c r="G212" s="44" t="s">
        <v>17</v>
      </c>
      <c r="H212" s="44" t="s">
        <v>18</v>
      </c>
      <c r="I212" s="44" t="s">
        <v>19</v>
      </c>
      <c r="J212" s="44" t="s">
        <v>20</v>
      </c>
      <c r="K212" s="44" t="s">
        <v>264</v>
      </c>
      <c r="L212" s="44" t="s">
        <v>264</v>
      </c>
      <c r="M212" s="44" t="s">
        <v>22</v>
      </c>
      <c r="N212" s="44" t="s">
        <v>23</v>
      </c>
      <c r="O212" s="46" t="s">
        <v>24</v>
      </c>
      <c r="P212"/>
      <c r="Q212" s="4"/>
      <c r="R212" s="4"/>
      <c r="S212" s="4"/>
      <c r="T212" s="4"/>
      <c r="U212" s="4"/>
    </row>
    <row r="213" spans="2:21" hidden="1" thickTop="1" thickBot="1" x14ac:dyDescent="0.3">
      <c r="B213" s="43">
        <v>100522645</v>
      </c>
      <c r="C213" s="44" t="s">
        <v>291</v>
      </c>
      <c r="D213" s="45"/>
      <c r="E213" s="45" t="s">
        <v>15</v>
      </c>
      <c r="F213" s="44" t="s">
        <v>16</v>
      </c>
      <c r="G213" s="44" t="s">
        <v>17</v>
      </c>
      <c r="H213" s="44" t="s">
        <v>18</v>
      </c>
      <c r="I213" s="44" t="s">
        <v>19</v>
      </c>
      <c r="J213" s="44" t="s">
        <v>20</v>
      </c>
      <c r="K213" s="44" t="s">
        <v>264</v>
      </c>
      <c r="L213" s="44" t="s">
        <v>264</v>
      </c>
      <c r="M213" s="44" t="s">
        <v>22</v>
      </c>
      <c r="N213" s="44" t="s">
        <v>23</v>
      </c>
      <c r="O213" s="46" t="s">
        <v>24</v>
      </c>
      <c r="P213"/>
      <c r="Q213" s="4"/>
      <c r="R213" s="4"/>
      <c r="S213" s="4"/>
      <c r="T213" s="4"/>
      <c r="U213" s="4"/>
    </row>
    <row r="214" spans="2:21" ht="18" hidden="1" customHeight="1" thickTop="1" thickBot="1" x14ac:dyDescent="0.3">
      <c r="B214" s="43">
        <v>100010655</v>
      </c>
      <c r="C214" s="44" t="s">
        <v>292</v>
      </c>
      <c r="D214" s="45"/>
      <c r="E214" s="45" t="s">
        <v>44</v>
      </c>
      <c r="F214" s="44" t="s">
        <v>16</v>
      </c>
      <c r="G214" s="44" t="s">
        <v>17</v>
      </c>
      <c r="H214" s="44" t="s">
        <v>18</v>
      </c>
      <c r="I214" s="44" t="s">
        <v>19</v>
      </c>
      <c r="J214" s="44" t="s">
        <v>28</v>
      </c>
      <c r="K214" s="44" t="s">
        <v>264</v>
      </c>
      <c r="L214" s="44" t="s">
        <v>264</v>
      </c>
      <c r="M214" s="44" t="s">
        <v>57</v>
      </c>
      <c r="N214" s="44" t="s">
        <v>23</v>
      </c>
      <c r="O214" s="46" t="s">
        <v>24</v>
      </c>
      <c r="P214"/>
      <c r="Q214" s="4"/>
      <c r="R214" s="4"/>
      <c r="S214" s="4"/>
      <c r="T214" s="4"/>
      <c r="U214" s="4"/>
    </row>
    <row r="215" spans="2:21" ht="18" hidden="1" customHeight="1" thickTop="1" thickBot="1" x14ac:dyDescent="0.3">
      <c r="B215" s="43">
        <v>100013143</v>
      </c>
      <c r="C215" s="44" t="s">
        <v>293</v>
      </c>
      <c r="D215" s="45"/>
      <c r="E215" s="45" t="str">
        <f>IF(ISERR(FIND("VENTA LOCAL",PRODUCTO_MI_AR68[[#This Row],[NOM PRODUCTO]])),"","MI")</f>
        <v>MI</v>
      </c>
      <c r="F215" s="44" t="s">
        <v>16</v>
      </c>
      <c r="G215" s="44" t="s">
        <v>17</v>
      </c>
      <c r="H215" s="44" t="s">
        <v>18</v>
      </c>
      <c r="I215" s="44" t="s">
        <v>19</v>
      </c>
      <c r="J215" s="44" t="s">
        <v>28</v>
      </c>
      <c r="K215" s="44" t="s">
        <v>264</v>
      </c>
      <c r="L215" s="44" t="s">
        <v>264</v>
      </c>
      <c r="M215" s="44" t="s">
        <v>57</v>
      </c>
      <c r="N215" s="44" t="s">
        <v>23</v>
      </c>
      <c r="O215" s="46" t="s">
        <v>24</v>
      </c>
      <c r="P215"/>
      <c r="Q215" s="4"/>
      <c r="R215" s="4"/>
      <c r="S215" s="4"/>
      <c r="T215" s="4"/>
      <c r="U215" s="4"/>
    </row>
    <row r="216" spans="2:21" hidden="1" thickTop="1" thickBot="1" x14ac:dyDescent="0.3">
      <c r="B216" s="43">
        <v>100518336</v>
      </c>
      <c r="C216" s="44" t="s">
        <v>294</v>
      </c>
      <c r="D216" s="45"/>
      <c r="E216" s="45" t="s">
        <v>44</v>
      </c>
      <c r="F216" s="44" t="s">
        <v>16</v>
      </c>
      <c r="G216" s="44" t="s">
        <v>17</v>
      </c>
      <c r="H216" s="44" t="s">
        <v>18</v>
      </c>
      <c r="I216" s="44" t="s">
        <v>19</v>
      </c>
      <c r="J216" s="44" t="s">
        <v>28</v>
      </c>
      <c r="K216" s="44" t="s">
        <v>196</v>
      </c>
      <c r="L216" s="44" t="s">
        <v>295</v>
      </c>
      <c r="M216" s="44" t="s">
        <v>57</v>
      </c>
      <c r="N216" s="44" t="s">
        <v>23</v>
      </c>
      <c r="O216" s="46" t="s">
        <v>24</v>
      </c>
      <c r="P216"/>
      <c r="Q216" s="4"/>
      <c r="R216" s="4"/>
      <c r="S216" s="4"/>
      <c r="T216" s="4"/>
      <c r="U216" s="4"/>
    </row>
    <row r="217" spans="2:21" ht="18" hidden="1" customHeight="1" thickTop="1" thickBot="1" x14ac:dyDescent="0.3">
      <c r="B217" s="43">
        <v>100522386</v>
      </c>
      <c r="C217" s="44" t="s">
        <v>296</v>
      </c>
      <c r="D217" s="45"/>
      <c r="E217" s="45" t="str">
        <f>IF(ISERR(FIND("PUL",PRODUCTO_MI_AR68[[#This Row],[NOM PRODUCTO]])),"","ME")</f>
        <v>ME</v>
      </c>
      <c r="F217" s="44" t="s">
        <v>16</v>
      </c>
      <c r="G217" s="44" t="s">
        <v>17</v>
      </c>
      <c r="H217" s="44" t="s">
        <v>18</v>
      </c>
      <c r="I217" s="44" t="s">
        <v>19</v>
      </c>
      <c r="J217" s="44" t="s">
        <v>28</v>
      </c>
      <c r="K217" s="44" t="s">
        <v>264</v>
      </c>
      <c r="L217" s="44" t="s">
        <v>264</v>
      </c>
      <c r="M217" s="44" t="s">
        <v>29</v>
      </c>
      <c r="N217" s="44" t="s">
        <v>23</v>
      </c>
      <c r="O217" s="46" t="s">
        <v>24</v>
      </c>
      <c r="P217"/>
      <c r="Q217" s="4"/>
      <c r="R217" s="4"/>
      <c r="S217" s="4"/>
      <c r="T217" s="4"/>
      <c r="U217" s="4"/>
    </row>
    <row r="218" spans="2:21" ht="18" hidden="1" customHeight="1" thickTop="1" thickBot="1" x14ac:dyDescent="0.3">
      <c r="B218" s="43">
        <v>100522524</v>
      </c>
      <c r="C218" s="44" t="s">
        <v>297</v>
      </c>
      <c r="D218" s="45"/>
      <c r="E218" s="45" t="str">
        <f>IF(ISERR(FIND("PUL",PRODUCTO_MI_AR68[[#This Row],[NOM PRODUCTO]])),"","ME")</f>
        <v>ME</v>
      </c>
      <c r="F218" s="44" t="s">
        <v>16</v>
      </c>
      <c r="G218" s="44" t="s">
        <v>27</v>
      </c>
      <c r="H218" s="44" t="s">
        <v>18</v>
      </c>
      <c r="I218" s="44" t="s">
        <v>19</v>
      </c>
      <c r="J218" s="44" t="s">
        <v>28</v>
      </c>
      <c r="K218" s="44" t="s">
        <v>264</v>
      </c>
      <c r="L218" s="44" t="s">
        <v>264</v>
      </c>
      <c r="M218" s="44" t="s">
        <v>29</v>
      </c>
      <c r="N218" s="44" t="s">
        <v>23</v>
      </c>
      <c r="O218" s="46" t="s">
        <v>24</v>
      </c>
      <c r="P218"/>
      <c r="Q218" s="4"/>
      <c r="R218" s="4"/>
      <c r="S218" s="4"/>
      <c r="T218" s="4"/>
      <c r="U218" s="4"/>
    </row>
    <row r="219" spans="2:21" ht="18" hidden="1" customHeight="1" thickTop="1" thickBot="1" x14ac:dyDescent="0.3">
      <c r="B219" s="43">
        <v>100522274</v>
      </c>
      <c r="C219" s="44" t="s">
        <v>298</v>
      </c>
      <c r="D219" s="45"/>
      <c r="E219" s="45" t="str">
        <f>IF(ISERR(FIND("PUL",PRODUCTO_MI_AR68[[#This Row],[NOM PRODUCTO]])),"","ME")</f>
        <v>ME</v>
      </c>
      <c r="F219" s="44" t="s">
        <v>16</v>
      </c>
      <c r="G219" s="44" t="s">
        <v>17</v>
      </c>
      <c r="H219" s="44" t="s">
        <v>18</v>
      </c>
      <c r="I219" s="44" t="s">
        <v>19</v>
      </c>
      <c r="J219" s="44" t="s">
        <v>40</v>
      </c>
      <c r="K219" s="44" t="s">
        <v>264</v>
      </c>
      <c r="L219" s="44" t="s">
        <v>264</v>
      </c>
      <c r="M219" s="44" t="s">
        <v>41</v>
      </c>
      <c r="N219" s="44" t="s">
        <v>23</v>
      </c>
      <c r="O219" s="46" t="s">
        <v>24</v>
      </c>
      <c r="P219"/>
      <c r="Q219" s="4"/>
      <c r="R219" s="4"/>
      <c r="S219" s="4"/>
      <c r="T219" s="4"/>
      <c r="U219" s="4"/>
    </row>
    <row r="220" spans="2:21" hidden="1" thickTop="1" thickBot="1" x14ac:dyDescent="0.3">
      <c r="B220" s="43">
        <v>100517915</v>
      </c>
      <c r="C220" s="44" t="s">
        <v>299</v>
      </c>
      <c r="D220" s="45"/>
      <c r="E220" s="45" t="s">
        <v>44</v>
      </c>
      <c r="F220" s="44" t="s">
        <v>16</v>
      </c>
      <c r="G220" s="44" t="s">
        <v>17</v>
      </c>
      <c r="H220" s="44" t="s">
        <v>18</v>
      </c>
      <c r="I220" s="44" t="s">
        <v>46</v>
      </c>
      <c r="J220" s="44" t="s">
        <v>28</v>
      </c>
      <c r="K220" s="44" t="s">
        <v>300</v>
      </c>
      <c r="L220" s="44" t="s">
        <v>301</v>
      </c>
      <c r="M220" s="44" t="s">
        <v>57</v>
      </c>
      <c r="N220" s="44" t="str">
        <f>IF(ISERR(FIND("CONG",PRODUCTO_MI_AR68[[#This Row],[NOM PRODUCTO]])),"","CONGELADO")</f>
        <v>CONGELADO</v>
      </c>
      <c r="O220" s="46" t="s">
        <v>300</v>
      </c>
      <c r="P220"/>
      <c r="Q220" s="4"/>
      <c r="R220" s="4"/>
      <c r="S220" s="4"/>
      <c r="T220" s="4"/>
      <c r="U220" s="4"/>
    </row>
    <row r="221" spans="2:21" ht="18" hidden="1" customHeight="1" thickTop="1" thickBot="1" x14ac:dyDescent="0.3">
      <c r="B221" s="43">
        <v>100518262</v>
      </c>
      <c r="C221" s="44" t="s">
        <v>302</v>
      </c>
      <c r="D221" s="45"/>
      <c r="E221" s="45" t="s">
        <v>44</v>
      </c>
      <c r="F221" s="44" t="s">
        <v>16</v>
      </c>
      <c r="G221" s="44" t="s">
        <v>17</v>
      </c>
      <c r="H221" s="44" t="s">
        <v>18</v>
      </c>
      <c r="I221" s="44" t="s">
        <v>46</v>
      </c>
      <c r="J221" s="44" t="s">
        <v>28</v>
      </c>
      <c r="K221" s="44" t="s">
        <v>300</v>
      </c>
      <c r="L221" s="44" t="s">
        <v>303</v>
      </c>
      <c r="M221" s="44" t="s">
        <v>57</v>
      </c>
      <c r="N221" s="44" t="str">
        <f>IF(ISERR(FIND("CONG",PRODUCTO_MI_AR68[[#This Row],[NOM PRODUCTO]])),"","CONGELADO")</f>
        <v>CONGELADO</v>
      </c>
      <c r="O221" s="46" t="s">
        <v>300</v>
      </c>
      <c r="P221"/>
      <c r="Q221" s="4"/>
      <c r="R221" s="4"/>
      <c r="S221" s="4"/>
      <c r="T221" s="4"/>
      <c r="U221" s="4"/>
    </row>
    <row r="222" spans="2:21" ht="18" hidden="1" customHeight="1" thickTop="1" thickBot="1" x14ac:dyDescent="0.3">
      <c r="B222" s="43">
        <v>100517914</v>
      </c>
      <c r="C222" s="44" t="s">
        <v>304</v>
      </c>
      <c r="D222" s="45"/>
      <c r="E222" s="45" t="s">
        <v>44</v>
      </c>
      <c r="F222" s="44" t="s">
        <v>16</v>
      </c>
      <c r="G222" s="44" t="s">
        <v>17</v>
      </c>
      <c r="H222" s="44" t="s">
        <v>18</v>
      </c>
      <c r="I222" s="44" t="s">
        <v>46</v>
      </c>
      <c r="J222" s="44" t="s">
        <v>28</v>
      </c>
      <c r="K222" s="44" t="s">
        <v>300</v>
      </c>
      <c r="L222" s="44" t="s">
        <v>303</v>
      </c>
      <c r="M222" s="44" t="s">
        <v>57</v>
      </c>
      <c r="N222" s="44" t="str">
        <f>IF(ISERR(FIND("CONG",PRODUCTO_MI_AR68[[#This Row],[NOM PRODUCTO]])),"","CONGELADO")</f>
        <v>CONGELADO</v>
      </c>
      <c r="O222" s="46" t="s">
        <v>300</v>
      </c>
      <c r="P222"/>
      <c r="Q222" s="4"/>
      <c r="R222" s="4"/>
      <c r="S222" s="4"/>
      <c r="T222" s="4"/>
      <c r="U222" s="4"/>
    </row>
    <row r="223" spans="2:21" hidden="1" thickTop="1" thickBot="1" x14ac:dyDescent="0.3">
      <c r="B223" s="43">
        <v>100520478</v>
      </c>
      <c r="C223" s="44" t="s">
        <v>305</v>
      </c>
      <c r="D223" s="45"/>
      <c r="E223" s="45" t="s">
        <v>44</v>
      </c>
      <c r="F223" s="44" t="s">
        <v>16</v>
      </c>
      <c r="G223" s="44" t="s">
        <v>17</v>
      </c>
      <c r="H223" s="44" t="s">
        <v>18</v>
      </c>
      <c r="I223" s="44" t="s">
        <v>46</v>
      </c>
      <c r="J223" s="44" t="s">
        <v>28</v>
      </c>
      <c r="K223" s="44" t="s">
        <v>300</v>
      </c>
      <c r="L223" s="44" t="s">
        <v>306</v>
      </c>
      <c r="M223" s="44" t="s">
        <v>57</v>
      </c>
      <c r="N223" s="44" t="str">
        <f>IF(ISERR(FIND("CONG",PRODUCTO_MI_AR68[[#This Row],[NOM PRODUCTO]])),"","CONGELADO")</f>
        <v>CONGELADO</v>
      </c>
      <c r="O223" s="46" t="s">
        <v>300</v>
      </c>
      <c r="P223"/>
      <c r="Q223" s="4"/>
      <c r="R223" s="4"/>
      <c r="S223" s="4"/>
      <c r="T223" s="4"/>
      <c r="U223" s="4"/>
    </row>
    <row r="224" spans="2:21" hidden="1" thickTop="1" thickBot="1" x14ac:dyDescent="0.3">
      <c r="B224" s="43">
        <v>100518263</v>
      </c>
      <c r="C224" s="44" t="s">
        <v>307</v>
      </c>
      <c r="D224" s="45"/>
      <c r="E224" s="45" t="s">
        <v>44</v>
      </c>
      <c r="F224" s="44" t="s">
        <v>16</v>
      </c>
      <c r="G224" s="44" t="s">
        <v>17</v>
      </c>
      <c r="H224" s="44" t="s">
        <v>18</v>
      </c>
      <c r="I224" s="44" t="s">
        <v>46</v>
      </c>
      <c r="J224" s="44" t="s">
        <v>28</v>
      </c>
      <c r="K224" s="44" t="s">
        <v>300</v>
      </c>
      <c r="L224" s="44" t="s">
        <v>308</v>
      </c>
      <c r="M224" s="44" t="s">
        <v>57</v>
      </c>
      <c r="N224" s="44" t="str">
        <f>IF(ISERR(FIND("CONG",PRODUCTO_MI_AR68[[#This Row],[NOM PRODUCTO]])),"","CONGELADO")</f>
        <v>CONGELADO</v>
      </c>
      <c r="O224" s="46" t="s">
        <v>300</v>
      </c>
      <c r="P224"/>
      <c r="Q224" s="4"/>
      <c r="R224" s="4"/>
      <c r="S224" s="4"/>
      <c r="T224" s="4"/>
      <c r="U224" s="4"/>
    </row>
    <row r="225" spans="2:21" ht="18" hidden="1" customHeight="1" thickTop="1" thickBot="1" x14ac:dyDescent="0.3">
      <c r="B225" s="43">
        <v>100522623</v>
      </c>
      <c r="C225" s="44" t="s">
        <v>309</v>
      </c>
      <c r="D225" s="45"/>
      <c r="E225" s="45" t="s">
        <v>44</v>
      </c>
      <c r="F225" s="44" t="s">
        <v>16</v>
      </c>
      <c r="G225" s="44" t="s">
        <v>17</v>
      </c>
      <c r="H225" s="44" t="s">
        <v>18</v>
      </c>
      <c r="I225" s="44" t="s">
        <v>46</v>
      </c>
      <c r="J225" s="44" t="s">
        <v>20</v>
      </c>
      <c r="K225" s="44" t="s">
        <v>300</v>
      </c>
      <c r="L225" s="44" t="s">
        <v>301</v>
      </c>
      <c r="M225" s="44" t="s">
        <v>73</v>
      </c>
      <c r="N225" s="44" t="str">
        <f>IF(ISERR(FIND("CONG",PRODUCTO_MI_AR68[[#This Row],[NOM PRODUCTO]])),"","CONGELADO")</f>
        <v>CONGELADO</v>
      </c>
      <c r="O225" s="46" t="s">
        <v>300</v>
      </c>
      <c r="P225"/>
      <c r="Q225" s="4"/>
      <c r="R225" s="4"/>
      <c r="S225" s="4"/>
      <c r="T225" s="4"/>
      <c r="U225" s="4"/>
    </row>
    <row r="226" spans="2:21" ht="18" hidden="1" customHeight="1" thickTop="1" thickBot="1" x14ac:dyDescent="0.3">
      <c r="B226" s="43">
        <v>100518261</v>
      </c>
      <c r="C226" s="44" t="s">
        <v>310</v>
      </c>
      <c r="D226" s="45"/>
      <c r="E226" s="45" t="s">
        <v>44</v>
      </c>
      <c r="F226" s="44" t="s">
        <v>16</v>
      </c>
      <c r="G226" s="44" t="s">
        <v>17</v>
      </c>
      <c r="H226" s="44" t="s">
        <v>18</v>
      </c>
      <c r="I226" s="44" t="s">
        <v>46</v>
      </c>
      <c r="J226" s="44" t="s">
        <v>28</v>
      </c>
      <c r="K226" s="44" t="s">
        <v>300</v>
      </c>
      <c r="L226" s="44" t="s">
        <v>301</v>
      </c>
      <c r="M226" s="44" t="s">
        <v>57</v>
      </c>
      <c r="N226" s="44" t="str">
        <f>IF(ISERR(FIND("CONG",PRODUCTO_MI_AR68[[#This Row],[NOM PRODUCTO]])),"","CONGELADO")</f>
        <v>CONGELADO</v>
      </c>
      <c r="O226" s="46" t="s">
        <v>300</v>
      </c>
      <c r="P226"/>
      <c r="Q226" s="4"/>
      <c r="R226" s="4"/>
      <c r="S226" s="4"/>
      <c r="T226" s="4"/>
      <c r="U226" s="4"/>
    </row>
    <row r="227" spans="2:21" ht="18" hidden="1" customHeight="1" thickTop="1" thickBot="1" x14ac:dyDescent="0.3">
      <c r="B227" s="43">
        <v>100517913</v>
      </c>
      <c r="C227" s="44" t="s">
        <v>311</v>
      </c>
      <c r="D227" s="45"/>
      <c r="E227" s="45" t="s">
        <v>44</v>
      </c>
      <c r="F227" s="44" t="s">
        <v>16</v>
      </c>
      <c r="G227" s="44" t="s">
        <v>17</v>
      </c>
      <c r="H227" s="44" t="s">
        <v>18</v>
      </c>
      <c r="I227" s="44" t="s">
        <v>46</v>
      </c>
      <c r="J227" s="44" t="s">
        <v>28</v>
      </c>
      <c r="K227" s="44" t="s">
        <v>300</v>
      </c>
      <c r="L227" s="44" t="s">
        <v>308</v>
      </c>
      <c r="M227" s="44" t="s">
        <v>57</v>
      </c>
      <c r="N227" s="44" t="str">
        <f>IF(ISERR(FIND("CONG",PRODUCTO_MI_AR68[[#This Row],[NOM PRODUCTO]])),"","CONGELADO")</f>
        <v>CONGELADO</v>
      </c>
      <c r="O227" s="46" t="s">
        <v>300</v>
      </c>
      <c r="P227"/>
      <c r="Q227" s="4"/>
      <c r="R227" s="4"/>
      <c r="S227" s="4"/>
      <c r="T227" s="4"/>
      <c r="U227" s="4"/>
    </row>
    <row r="228" spans="2:21" ht="18" hidden="1" customHeight="1" thickTop="1" thickBot="1" x14ac:dyDescent="0.3">
      <c r="B228" s="43">
        <v>100516533</v>
      </c>
      <c r="C228" s="44" t="s">
        <v>312</v>
      </c>
      <c r="D228" s="45"/>
      <c r="E228" s="45" t="str">
        <f>IF(ISERR(FIND("CHILE",PRODUCTO_MI_AR68[[#This Row],[NOM PRODUCTO]])),"","ME")</f>
        <v>ME</v>
      </c>
      <c r="F228" s="44" t="s">
        <v>16</v>
      </c>
      <c r="G228" s="44" t="s">
        <v>17</v>
      </c>
      <c r="H228" s="44" t="s">
        <v>18</v>
      </c>
      <c r="I228" s="44" t="s">
        <v>19</v>
      </c>
      <c r="J228" s="44" t="s">
        <v>28</v>
      </c>
      <c r="K228" s="44" t="s">
        <v>264</v>
      </c>
      <c r="L228" s="44" t="s">
        <v>313</v>
      </c>
      <c r="M228" s="44" t="s">
        <v>29</v>
      </c>
      <c r="N228" s="44" t="s">
        <v>23</v>
      </c>
      <c r="O228" s="46" t="s">
        <v>24</v>
      </c>
      <c r="P228"/>
      <c r="Q228" s="4"/>
      <c r="R228" s="4"/>
      <c r="S228" s="4"/>
      <c r="T228" s="4"/>
      <c r="U228" s="4"/>
    </row>
    <row r="229" spans="2:21" ht="18" hidden="1" customHeight="1" thickTop="1" thickBot="1" x14ac:dyDescent="0.3">
      <c r="B229" s="43">
        <v>100519694</v>
      </c>
      <c r="C229" s="44" t="s">
        <v>314</v>
      </c>
      <c r="D229" s="45"/>
      <c r="E229" s="45" t="str">
        <f>IF(ISERR(FIND("PUL",PRODUCTO_MI_AR68[[#This Row],[NOM PRODUCTO]])),"","ME")</f>
        <v>ME</v>
      </c>
      <c r="F229" s="44" t="s">
        <v>16</v>
      </c>
      <c r="G229" s="44" t="s">
        <v>17</v>
      </c>
      <c r="H229" s="44" t="s">
        <v>18</v>
      </c>
      <c r="I229" s="44" t="s">
        <v>19</v>
      </c>
      <c r="J229" s="44" t="s">
        <v>40</v>
      </c>
      <c r="K229" s="44" t="s">
        <v>264</v>
      </c>
      <c r="L229" s="44" t="s">
        <v>264</v>
      </c>
      <c r="M229" s="44" t="s">
        <v>41</v>
      </c>
      <c r="N229" s="44" t="s">
        <v>23</v>
      </c>
      <c r="O229" s="46" t="s">
        <v>24</v>
      </c>
      <c r="P229"/>
      <c r="Q229" s="4"/>
      <c r="R229" s="4"/>
      <c r="S229" s="4"/>
      <c r="T229" s="4"/>
      <c r="U229" s="4"/>
    </row>
    <row r="230" spans="2:21" hidden="1" thickTop="1" thickBot="1" x14ac:dyDescent="0.3">
      <c r="B230" s="43">
        <v>100519695</v>
      </c>
      <c r="C230" s="44" t="s">
        <v>315</v>
      </c>
      <c r="D230" s="45"/>
      <c r="E230" s="45" t="str">
        <f>IF(ISERR(FIND("PUL",PRODUCTO_MI_AR68[[#This Row],[NOM PRODUCTO]])),"","ME")</f>
        <v>ME</v>
      </c>
      <c r="F230" s="44" t="s">
        <v>16</v>
      </c>
      <c r="G230" s="44" t="s">
        <v>17</v>
      </c>
      <c r="H230" s="44" t="s">
        <v>18</v>
      </c>
      <c r="I230" s="44" t="s">
        <v>19</v>
      </c>
      <c r="J230" s="44" t="s">
        <v>40</v>
      </c>
      <c r="K230" s="44" t="s">
        <v>264</v>
      </c>
      <c r="L230" s="44" t="s">
        <v>264</v>
      </c>
      <c r="M230" s="44" t="s">
        <v>41</v>
      </c>
      <c r="N230" s="44" t="s">
        <v>23</v>
      </c>
      <c r="O230" s="46" t="s">
        <v>24</v>
      </c>
      <c r="P230"/>
      <c r="Q230" s="4"/>
      <c r="R230" s="4"/>
      <c r="S230" s="4"/>
      <c r="T230" s="4"/>
      <c r="U230" s="4"/>
    </row>
    <row r="231" spans="2:21" ht="18" hidden="1" customHeight="1" thickTop="1" thickBot="1" x14ac:dyDescent="0.3">
      <c r="B231" s="43">
        <v>100517793</v>
      </c>
      <c r="C231" s="44" t="s">
        <v>316</v>
      </c>
      <c r="D231" s="45"/>
      <c r="E231" s="45" t="s">
        <v>44</v>
      </c>
      <c r="F231" s="44" t="s">
        <v>16</v>
      </c>
      <c r="G231" s="44" t="s">
        <v>17</v>
      </c>
      <c r="H231" s="44" t="s">
        <v>18</v>
      </c>
      <c r="I231" s="44" t="s">
        <v>19</v>
      </c>
      <c r="J231" s="44" t="s">
        <v>28</v>
      </c>
      <c r="K231" s="44" t="s">
        <v>264</v>
      </c>
      <c r="L231" s="44" t="s">
        <v>264</v>
      </c>
      <c r="M231" s="44" t="s">
        <v>57</v>
      </c>
      <c r="N231" s="44" t="s">
        <v>23</v>
      </c>
      <c r="O231" s="46" t="s">
        <v>24</v>
      </c>
      <c r="P231"/>
      <c r="Q231" s="4"/>
      <c r="R231" s="4"/>
      <c r="S231" s="4"/>
      <c r="T231" s="4"/>
      <c r="U231" s="4"/>
    </row>
    <row r="232" spans="2:21" ht="18" hidden="1" customHeight="1" thickTop="1" thickBot="1" x14ac:dyDescent="0.3">
      <c r="B232" s="43">
        <v>100519691</v>
      </c>
      <c r="C232" s="44" t="s">
        <v>317</v>
      </c>
      <c r="D232" s="45"/>
      <c r="E232" s="45" t="str">
        <f>IF(ISERR(FIND("PUL",PRODUCTO_MI_AR68[[#This Row],[NOM PRODUCTO]])),"","ME")</f>
        <v>ME</v>
      </c>
      <c r="F232" s="44" t="s">
        <v>16</v>
      </c>
      <c r="G232" s="44" t="s">
        <v>17</v>
      </c>
      <c r="H232" s="44" t="s">
        <v>18</v>
      </c>
      <c r="I232" s="44" t="s">
        <v>19</v>
      </c>
      <c r="J232" s="44" t="s">
        <v>40</v>
      </c>
      <c r="K232" s="44" t="s">
        <v>264</v>
      </c>
      <c r="L232" s="44" t="s">
        <v>264</v>
      </c>
      <c r="M232" s="44" t="s">
        <v>41</v>
      </c>
      <c r="N232" s="44" t="s">
        <v>23</v>
      </c>
      <c r="O232" s="46" t="s">
        <v>24</v>
      </c>
      <c r="P232"/>
      <c r="Q232" s="4"/>
      <c r="R232" s="4"/>
      <c r="S232" s="4"/>
      <c r="T232" s="4"/>
      <c r="U232" s="4"/>
    </row>
    <row r="233" spans="2:21" ht="18" hidden="1" customHeight="1" thickTop="1" thickBot="1" x14ac:dyDescent="0.3">
      <c r="B233" s="43">
        <v>100016025</v>
      </c>
      <c r="C233" s="44" t="s">
        <v>318</v>
      </c>
      <c r="D233" s="45"/>
      <c r="E233" s="45" t="str">
        <f>IF(ISERR(FIND("CLL",PRODUCTO_MI_AR68[[#This Row],[NOM PRODUCTO]])),"","ME")</f>
        <v>ME</v>
      </c>
      <c r="F233" s="44" t="s">
        <v>16</v>
      </c>
      <c r="G233" s="44" t="s">
        <v>17</v>
      </c>
      <c r="H233" s="44" t="s">
        <v>18</v>
      </c>
      <c r="I233" s="44" t="s">
        <v>319</v>
      </c>
      <c r="J233" s="44" t="s">
        <v>20</v>
      </c>
      <c r="K233" s="44" t="s">
        <v>320</v>
      </c>
      <c r="L233" s="44" t="s">
        <v>321</v>
      </c>
      <c r="M233" s="44" t="s">
        <v>22</v>
      </c>
      <c r="N233" s="44" t="str">
        <f>IF(ISERR(FIND("CONG",PRODUCTO_MI_AR68[[#This Row],[NOM PRODUCTO]])),"","CONGELADO")</f>
        <v>CONGELADO</v>
      </c>
      <c r="O233" s="46" t="s">
        <v>24</v>
      </c>
      <c r="P233"/>
      <c r="Q233" s="4"/>
      <c r="R233" s="4"/>
      <c r="S233" s="4"/>
      <c r="T233" s="4"/>
      <c r="U233" s="4"/>
    </row>
    <row r="234" spans="2:21" ht="18" hidden="1" customHeight="1" thickTop="1" thickBot="1" x14ac:dyDescent="0.3">
      <c r="B234" s="43">
        <v>100517592</v>
      </c>
      <c r="C234" s="44" t="s">
        <v>322</v>
      </c>
      <c r="D234" s="45"/>
      <c r="E234" s="45" t="s">
        <v>44</v>
      </c>
      <c r="F234" s="44" t="s">
        <v>16</v>
      </c>
      <c r="G234" s="44" t="s">
        <v>17</v>
      </c>
      <c r="H234" s="44" t="s">
        <v>18</v>
      </c>
      <c r="I234" s="44" t="s">
        <v>319</v>
      </c>
      <c r="J234" s="44" t="s">
        <v>20</v>
      </c>
      <c r="K234" s="44" t="s">
        <v>320</v>
      </c>
      <c r="L234" s="44" t="s">
        <v>321</v>
      </c>
      <c r="M234" s="44" t="s">
        <v>73</v>
      </c>
      <c r="N234" s="44" t="str">
        <f>IF(ISERR(FIND("CONG",PRODUCTO_MI_AR68[[#This Row],[NOM PRODUCTO]])),"","CONGELADO")</f>
        <v>CONGELADO</v>
      </c>
      <c r="O234" s="46" t="s">
        <v>24</v>
      </c>
      <c r="P234"/>
      <c r="Q234" s="4"/>
      <c r="R234" s="4"/>
      <c r="S234" s="4"/>
      <c r="T234" s="4"/>
      <c r="U234" s="4"/>
    </row>
    <row r="235" spans="2:21" ht="18" hidden="1" customHeight="1" thickTop="1" thickBot="1" x14ac:dyDescent="0.3">
      <c r="B235" s="43">
        <v>100016336</v>
      </c>
      <c r="C235" s="44" t="s">
        <v>323</v>
      </c>
      <c r="D235" s="45"/>
      <c r="E235" s="45" t="s">
        <v>44</v>
      </c>
      <c r="F235" s="44" t="s">
        <v>16</v>
      </c>
      <c r="G235" s="44" t="s">
        <v>17</v>
      </c>
      <c r="H235" s="44" t="s">
        <v>18</v>
      </c>
      <c r="I235" s="44" t="s">
        <v>319</v>
      </c>
      <c r="J235" s="44" t="s">
        <v>28</v>
      </c>
      <c r="K235" s="44" t="s">
        <v>320</v>
      </c>
      <c r="L235" s="44" t="s">
        <v>321</v>
      </c>
      <c r="M235" s="44" t="s">
        <v>57</v>
      </c>
      <c r="N235" s="44" t="str">
        <f>IF(ISERR(FIND("CONG",PRODUCTO_MI_AR68[[#This Row],[NOM PRODUCTO]])),"","CONGELADO")</f>
        <v>CONGELADO</v>
      </c>
      <c r="O235" s="46" t="s">
        <v>24</v>
      </c>
      <c r="P235"/>
      <c r="Q235" s="4"/>
      <c r="R235" s="4"/>
      <c r="S235" s="4"/>
      <c r="T235" s="4"/>
      <c r="U235" s="4"/>
    </row>
    <row r="236" spans="2:21" ht="18" hidden="1" customHeight="1" thickTop="1" thickBot="1" x14ac:dyDescent="0.3">
      <c r="B236" s="43">
        <v>100519834</v>
      </c>
      <c r="C236" s="44" t="s">
        <v>324</v>
      </c>
      <c r="D236" s="45"/>
      <c r="E236" s="45" t="str">
        <f>IF(ISERR(FIND("CLL",PRODUCTO_MI_AR68[[#This Row],[NOM PRODUCTO]])),"","ME")</f>
        <v>ME</v>
      </c>
      <c r="F236" s="44" t="s">
        <v>16</v>
      </c>
      <c r="G236" s="44" t="s">
        <v>17</v>
      </c>
      <c r="H236" s="44" t="s">
        <v>18</v>
      </c>
      <c r="I236" s="44" t="s">
        <v>19</v>
      </c>
      <c r="J236" s="44" t="s">
        <v>20</v>
      </c>
      <c r="K236" s="44" t="s">
        <v>196</v>
      </c>
      <c r="L236" s="44" t="s">
        <v>325</v>
      </c>
      <c r="M236" s="44" t="s">
        <v>22</v>
      </c>
      <c r="N236" s="44" t="str">
        <f>IF(ISERR(FIND("CONG",PRODUCTO_MI_AR68[[#This Row],[NOM PRODUCTO]])),"","CONGELADO")</f>
        <v>CONGELADO</v>
      </c>
      <c r="O236" s="46" t="s">
        <v>24</v>
      </c>
      <c r="P236"/>
      <c r="Q236" s="4"/>
      <c r="R236" s="4"/>
      <c r="S236" s="4"/>
      <c r="T236" s="4"/>
      <c r="U236" s="4"/>
    </row>
    <row r="237" spans="2:21" hidden="1" thickTop="1" thickBot="1" x14ac:dyDescent="0.3">
      <c r="B237" s="43">
        <v>100518919</v>
      </c>
      <c r="C237" s="44" t="s">
        <v>326</v>
      </c>
      <c r="D237" s="45"/>
      <c r="E237" s="45" t="str">
        <f>IF(ISERR(FIND("PUL",PRODUCTO_MI_AR68[[#This Row],[NOM PRODUCTO]])),"","ME")</f>
        <v>ME</v>
      </c>
      <c r="F237" s="44" t="s">
        <v>16</v>
      </c>
      <c r="G237" s="44" t="s">
        <v>17</v>
      </c>
      <c r="H237" s="44" t="s">
        <v>18</v>
      </c>
      <c r="I237" s="44" t="s">
        <v>19</v>
      </c>
      <c r="J237" s="44" t="s">
        <v>28</v>
      </c>
      <c r="K237" s="44" t="s">
        <v>196</v>
      </c>
      <c r="L237" s="44" t="s">
        <v>325</v>
      </c>
      <c r="M237" s="44" t="s">
        <v>29</v>
      </c>
      <c r="N237" s="44" t="str">
        <f>IF(ISERR(FIND("CONG",PRODUCTO_MI_AR68[[#This Row],[NOM PRODUCTO]])),"","CONGELADO")</f>
        <v>CONGELADO</v>
      </c>
      <c r="O237" s="46" t="s">
        <v>24</v>
      </c>
      <c r="P237"/>
      <c r="Q237" s="4"/>
      <c r="R237" s="4"/>
      <c r="S237" s="4"/>
      <c r="T237" s="4"/>
      <c r="U237" s="4"/>
    </row>
    <row r="238" spans="2:21" hidden="1" thickTop="1" thickBot="1" x14ac:dyDescent="0.3">
      <c r="B238" s="43">
        <v>100520492</v>
      </c>
      <c r="C238" s="44" t="s">
        <v>327</v>
      </c>
      <c r="D238" s="45"/>
      <c r="E238" s="45" t="str">
        <f>IF(ISERR(FIND("ISRAEL",PRODUCTO_MI_AR68[[#This Row],[NOM PRODUCTO]])),"","ME")</f>
        <v>ME</v>
      </c>
      <c r="F238" s="44" t="s">
        <v>16</v>
      </c>
      <c r="G238" s="44" t="s">
        <v>17</v>
      </c>
      <c r="H238" s="44" t="s">
        <v>18</v>
      </c>
      <c r="I238" s="44" t="s">
        <v>19</v>
      </c>
      <c r="J238" s="44" t="s">
        <v>28</v>
      </c>
      <c r="K238" s="44" t="s">
        <v>196</v>
      </c>
      <c r="L238" s="44" t="s">
        <v>325</v>
      </c>
      <c r="M238" s="44" t="s">
        <v>29</v>
      </c>
      <c r="N238" s="44" t="s">
        <v>23</v>
      </c>
      <c r="O238" s="46" t="s">
        <v>24</v>
      </c>
      <c r="P238"/>
      <c r="Q238" s="4"/>
      <c r="R238" s="4"/>
      <c r="S238" s="4"/>
      <c r="T238" s="4"/>
      <c r="U238" s="4"/>
    </row>
    <row r="239" spans="2:21" hidden="1" thickTop="1" thickBot="1" x14ac:dyDescent="0.3">
      <c r="B239" s="43">
        <v>100520520</v>
      </c>
      <c r="C239" s="44" t="s">
        <v>328</v>
      </c>
      <c r="D239" s="45"/>
      <c r="E239" s="45" t="str">
        <f>IF(ISERR(FIND("KOSHER",PRODUCTO_MI_AR68[[#This Row],[NOM PRODUCTO]])),"","ME")</f>
        <v>ME</v>
      </c>
      <c r="F239" s="44" t="s">
        <v>16</v>
      </c>
      <c r="G239" s="44" t="s">
        <v>17</v>
      </c>
      <c r="H239" s="44" t="s">
        <v>18</v>
      </c>
      <c r="I239" s="44" t="s">
        <v>19</v>
      </c>
      <c r="J239" s="44" t="s">
        <v>28</v>
      </c>
      <c r="K239" s="44" t="s">
        <v>196</v>
      </c>
      <c r="L239" s="44" t="s">
        <v>325</v>
      </c>
      <c r="M239" s="44" t="s">
        <v>29</v>
      </c>
      <c r="N239" s="44" t="s">
        <v>23</v>
      </c>
      <c r="O239" s="46" t="s">
        <v>24</v>
      </c>
      <c r="P239"/>
      <c r="Q239" s="4"/>
      <c r="R239" s="4"/>
      <c r="S239" s="4"/>
      <c r="T239" s="4"/>
      <c r="U239" s="4"/>
    </row>
    <row r="240" spans="2:21" hidden="1" thickTop="1" thickBot="1" x14ac:dyDescent="0.3">
      <c r="B240" s="43">
        <v>100519854</v>
      </c>
      <c r="C240" s="44" t="s">
        <v>329</v>
      </c>
      <c r="D240" s="45"/>
      <c r="E240" s="45" t="str">
        <f>IF(ISERR(FIND("CLL",PRODUCTO_MI_AR68[[#This Row],[NOM PRODUCTO]])),"","ME")</f>
        <v>ME</v>
      </c>
      <c r="F240" s="44" t="s">
        <v>16</v>
      </c>
      <c r="G240" s="44" t="s">
        <v>17</v>
      </c>
      <c r="H240" s="44" t="s">
        <v>18</v>
      </c>
      <c r="I240" s="44" t="s">
        <v>19</v>
      </c>
      <c r="J240" s="44" t="s">
        <v>20</v>
      </c>
      <c r="K240" s="44" t="s">
        <v>196</v>
      </c>
      <c r="L240" s="44" t="s">
        <v>325</v>
      </c>
      <c r="M240" s="44" t="s">
        <v>22</v>
      </c>
      <c r="N240" s="44" t="s">
        <v>23</v>
      </c>
      <c r="O240" s="46" t="s">
        <v>24</v>
      </c>
      <c r="P240"/>
      <c r="Q240" s="4"/>
      <c r="R240" s="4"/>
      <c r="S240" s="4"/>
      <c r="T240" s="4"/>
      <c r="U240" s="4"/>
    </row>
    <row r="241" spans="2:21" hidden="1" thickTop="1" thickBot="1" x14ac:dyDescent="0.3">
      <c r="B241" s="43">
        <v>100010657</v>
      </c>
      <c r="C241" s="44" t="s">
        <v>330</v>
      </c>
      <c r="D241" s="45"/>
      <c r="E241" s="45" t="s">
        <v>44</v>
      </c>
      <c r="F241" s="44" t="s">
        <v>16</v>
      </c>
      <c r="G241" s="44" t="s">
        <v>17</v>
      </c>
      <c r="H241" s="44" t="s">
        <v>18</v>
      </c>
      <c r="I241" s="44" t="s">
        <v>19</v>
      </c>
      <c r="J241" s="44" t="s">
        <v>28</v>
      </c>
      <c r="K241" s="44" t="s">
        <v>196</v>
      </c>
      <c r="L241" s="44" t="s">
        <v>325</v>
      </c>
      <c r="M241" s="44" t="s">
        <v>57</v>
      </c>
      <c r="N241" s="44" t="s">
        <v>23</v>
      </c>
      <c r="O241" s="46" t="s">
        <v>24</v>
      </c>
      <c r="P241"/>
      <c r="Q241" s="4"/>
      <c r="R241" s="4"/>
      <c r="S241" s="4"/>
      <c r="T241" s="4"/>
      <c r="U241" s="4"/>
    </row>
    <row r="242" spans="2:21" ht="18" hidden="1" customHeight="1" thickTop="1" thickBot="1" x14ac:dyDescent="0.3">
      <c r="B242" s="43">
        <v>100519484</v>
      </c>
      <c r="C242" s="44" t="s">
        <v>331</v>
      </c>
      <c r="D242" s="45"/>
      <c r="E242" s="45" t="str">
        <f>IF(ISERR(FIND("PUL",PRODUCTO_MI_AR68[[#This Row],[NOM PRODUCTO]])),"","ME")</f>
        <v>ME</v>
      </c>
      <c r="F242" s="44" t="s">
        <v>16</v>
      </c>
      <c r="G242" s="44" t="s">
        <v>17</v>
      </c>
      <c r="H242" s="44" t="s">
        <v>18</v>
      </c>
      <c r="I242" s="44" t="s">
        <v>19</v>
      </c>
      <c r="J242" s="44" t="s">
        <v>40</v>
      </c>
      <c r="K242" s="44" t="s">
        <v>196</v>
      </c>
      <c r="L242" s="44" t="s">
        <v>325</v>
      </c>
      <c r="M242" s="44" t="s">
        <v>41</v>
      </c>
      <c r="N242" s="44" t="s">
        <v>23</v>
      </c>
      <c r="O242" s="46" t="s">
        <v>24</v>
      </c>
      <c r="P242"/>
      <c r="Q242" s="4"/>
      <c r="R242" s="4"/>
      <c r="S242" s="4"/>
      <c r="T242" s="4"/>
      <c r="U242" s="4"/>
    </row>
    <row r="243" spans="2:21" hidden="1" thickTop="1" thickBot="1" x14ac:dyDescent="0.3">
      <c r="B243" s="43">
        <v>100519485</v>
      </c>
      <c r="C243" s="44" t="s">
        <v>332</v>
      </c>
      <c r="D243" s="45"/>
      <c r="E243" s="45" t="str">
        <f>IF(ISERR(FIND("PUL",PRODUCTO_MI_AR68[[#This Row],[NOM PRODUCTO]])),"","ME")</f>
        <v>ME</v>
      </c>
      <c r="F243" s="44" t="s">
        <v>16</v>
      </c>
      <c r="G243" s="44" t="s">
        <v>17</v>
      </c>
      <c r="H243" s="44" t="s">
        <v>18</v>
      </c>
      <c r="I243" s="44" t="s">
        <v>19</v>
      </c>
      <c r="J243" s="44" t="s">
        <v>40</v>
      </c>
      <c r="K243" s="44" t="s">
        <v>196</v>
      </c>
      <c r="L243" s="44" t="s">
        <v>325</v>
      </c>
      <c r="M243" s="44" t="s">
        <v>41</v>
      </c>
      <c r="N243" s="44" t="s">
        <v>23</v>
      </c>
      <c r="O243" s="46" t="s">
        <v>24</v>
      </c>
      <c r="P243"/>
      <c r="Q243" s="4"/>
      <c r="R243" s="4"/>
      <c r="S243" s="4"/>
      <c r="T243" s="4"/>
      <c r="U243" s="4"/>
    </row>
    <row r="244" spans="2:21" hidden="1" thickTop="1" thickBot="1" x14ac:dyDescent="0.3">
      <c r="B244" s="43">
        <v>100519486</v>
      </c>
      <c r="C244" s="44" t="s">
        <v>333</v>
      </c>
      <c r="D244" s="45"/>
      <c r="E244" s="45" t="str">
        <f>IF(ISERR(FIND("PUL",PRODUCTO_MI_AR68[[#This Row],[NOM PRODUCTO]])),"","ME")</f>
        <v>ME</v>
      </c>
      <c r="F244" s="44" t="s">
        <v>16</v>
      </c>
      <c r="G244" s="44" t="s">
        <v>17</v>
      </c>
      <c r="H244" s="44" t="s">
        <v>18</v>
      </c>
      <c r="I244" s="44" t="s">
        <v>19</v>
      </c>
      <c r="J244" s="44" t="s">
        <v>40</v>
      </c>
      <c r="K244" s="44" t="s">
        <v>196</v>
      </c>
      <c r="L244" s="44" t="s">
        <v>325</v>
      </c>
      <c r="M244" s="44" t="s">
        <v>41</v>
      </c>
      <c r="N244" s="44" t="s">
        <v>23</v>
      </c>
      <c r="O244" s="46" t="s">
        <v>24</v>
      </c>
      <c r="P244"/>
      <c r="Q244" s="4"/>
      <c r="R244" s="4"/>
      <c r="S244" s="4"/>
      <c r="T244" s="4"/>
      <c r="U244" s="4"/>
    </row>
    <row r="245" spans="2:21" hidden="1" thickTop="1" thickBot="1" x14ac:dyDescent="0.3">
      <c r="B245" s="43">
        <v>100522278</v>
      </c>
      <c r="C245" s="44" t="s">
        <v>334</v>
      </c>
      <c r="D245" s="45"/>
      <c r="E245" s="45" t="str">
        <f>IF(ISERR(FIND("PUL",PRODUCTO_MI_AR68[[#This Row],[NOM PRODUCTO]])),"","ME")</f>
        <v>ME</v>
      </c>
      <c r="F245" s="44" t="s">
        <v>16</v>
      </c>
      <c r="G245" s="44" t="s">
        <v>17</v>
      </c>
      <c r="H245" s="44" t="s">
        <v>18</v>
      </c>
      <c r="I245" s="44" t="s">
        <v>19</v>
      </c>
      <c r="J245" s="44" t="s">
        <v>40</v>
      </c>
      <c r="K245" s="44" t="s">
        <v>196</v>
      </c>
      <c r="L245" s="44" t="s">
        <v>325</v>
      </c>
      <c r="M245" s="44" t="s">
        <v>41</v>
      </c>
      <c r="N245" s="44" t="s">
        <v>23</v>
      </c>
      <c r="O245" s="46" t="s">
        <v>24</v>
      </c>
      <c r="P245"/>
      <c r="Q245" s="4"/>
      <c r="R245" s="4"/>
      <c r="S245" s="4"/>
      <c r="T245" s="4"/>
      <c r="U245" s="4"/>
    </row>
    <row r="246" spans="2:21" hidden="1" thickTop="1" thickBot="1" x14ac:dyDescent="0.3">
      <c r="B246" s="43">
        <v>100517125</v>
      </c>
      <c r="C246" s="44" t="s">
        <v>335</v>
      </c>
      <c r="D246" s="45"/>
      <c r="E246" s="45" t="s">
        <v>44</v>
      </c>
      <c r="F246" s="44" t="s">
        <v>16</v>
      </c>
      <c r="G246" s="44" t="s">
        <v>17</v>
      </c>
      <c r="H246" s="44" t="s">
        <v>18</v>
      </c>
      <c r="I246" s="44" t="s">
        <v>19</v>
      </c>
      <c r="J246" s="44" t="s">
        <v>20</v>
      </c>
      <c r="K246" s="44" t="s">
        <v>196</v>
      </c>
      <c r="L246" s="44" t="s">
        <v>325</v>
      </c>
      <c r="M246" s="44" t="s">
        <v>73</v>
      </c>
      <c r="N246" s="44" t="s">
        <v>23</v>
      </c>
      <c r="O246" s="46" t="s">
        <v>24</v>
      </c>
      <c r="P246"/>
      <c r="Q246" s="4"/>
      <c r="R246" s="4"/>
      <c r="S246" s="4"/>
      <c r="T246" s="4"/>
      <c r="U246" s="4"/>
    </row>
    <row r="247" spans="2:21" hidden="1" thickTop="1" thickBot="1" x14ac:dyDescent="0.3">
      <c r="B247" s="43">
        <v>100516520</v>
      </c>
      <c r="C247" s="44" t="s">
        <v>336</v>
      </c>
      <c r="D247" s="45"/>
      <c r="E247" s="45" t="str">
        <f>IF(ISERR(FIND("CHILE",PRODUCTO_MI_AR68[[#This Row],[NOM PRODUCTO]])),"","ME")</f>
        <v>ME</v>
      </c>
      <c r="F247" s="44" t="s">
        <v>16</v>
      </c>
      <c r="G247" s="44" t="s">
        <v>17</v>
      </c>
      <c r="H247" s="44" t="s">
        <v>18</v>
      </c>
      <c r="I247" s="44" t="s">
        <v>19</v>
      </c>
      <c r="J247" s="44" t="s">
        <v>28</v>
      </c>
      <c r="K247" s="44" t="s">
        <v>196</v>
      </c>
      <c r="L247" s="44" t="s">
        <v>325</v>
      </c>
      <c r="M247" s="44" t="s">
        <v>29</v>
      </c>
      <c r="N247" s="44" t="s">
        <v>23</v>
      </c>
      <c r="O247" s="46" t="s">
        <v>24</v>
      </c>
      <c r="P247"/>
      <c r="Q247" s="4"/>
      <c r="R247" s="4"/>
      <c r="S247" s="4"/>
      <c r="T247" s="4"/>
      <c r="U247" s="4"/>
    </row>
    <row r="248" spans="2:21" hidden="1" thickTop="1" thickBot="1" x14ac:dyDescent="0.3">
      <c r="B248" s="43">
        <v>100522395</v>
      </c>
      <c r="C248" s="44" t="s">
        <v>337</v>
      </c>
      <c r="D248" s="45"/>
      <c r="E248" s="45" t="s">
        <v>44</v>
      </c>
      <c r="F248" s="44" t="s">
        <v>16</v>
      </c>
      <c r="G248" s="44" t="s">
        <v>17</v>
      </c>
      <c r="H248" s="44" t="s">
        <v>338</v>
      </c>
      <c r="I248" s="44" t="s">
        <v>46</v>
      </c>
      <c r="J248" s="44" t="s">
        <v>28</v>
      </c>
      <c r="K248" s="44" t="s">
        <v>339</v>
      </c>
      <c r="L248" s="44" t="s">
        <v>340</v>
      </c>
      <c r="M248" s="44" t="s">
        <v>57</v>
      </c>
      <c r="N248" s="44" t="str">
        <f>IF(ISERR(FIND("CONG",PRODUCTO_MI_AR68[[#This Row],[NOM PRODUCTO]])),"","CONGELADO")</f>
        <v>CONGELADO</v>
      </c>
      <c r="O248" s="46" t="s">
        <v>24</v>
      </c>
      <c r="P248"/>
      <c r="Q248" s="4"/>
      <c r="R248" s="4"/>
      <c r="S248" s="4"/>
      <c r="T248" s="4"/>
      <c r="U248" s="4"/>
    </row>
    <row r="249" spans="2:21" hidden="1" thickTop="1" thickBot="1" x14ac:dyDescent="0.3">
      <c r="B249" s="43">
        <v>100522561</v>
      </c>
      <c r="C249" s="44" t="s">
        <v>341</v>
      </c>
      <c r="D249" s="45"/>
      <c r="E249" s="45" t="s">
        <v>44</v>
      </c>
      <c r="F249" s="44" t="s">
        <v>16</v>
      </c>
      <c r="G249" s="44" t="s">
        <v>17</v>
      </c>
      <c r="H249" s="44" t="s">
        <v>338</v>
      </c>
      <c r="I249" s="44" t="s">
        <v>46</v>
      </c>
      <c r="J249" s="44" t="s">
        <v>28</v>
      </c>
      <c r="K249" s="44" t="s">
        <v>339</v>
      </c>
      <c r="L249" s="44" t="s">
        <v>340</v>
      </c>
      <c r="M249" s="44" t="s">
        <v>57</v>
      </c>
      <c r="N249" s="44" t="str">
        <f>IF(ISERR(FIND("CONG",PRODUCTO_MI_AR68[[#This Row],[NOM PRODUCTO]])),"","CONGELADO")</f>
        <v>CONGELADO</v>
      </c>
      <c r="O249" s="46" t="s">
        <v>24</v>
      </c>
      <c r="P249"/>
      <c r="Q249" s="4"/>
      <c r="R249" s="4"/>
      <c r="S249" s="4"/>
      <c r="T249" s="4"/>
      <c r="U249" s="4"/>
    </row>
    <row r="250" spans="2:21" ht="18" hidden="1" customHeight="1" thickTop="1" thickBot="1" x14ac:dyDescent="0.3">
      <c r="B250" s="43">
        <v>100520837</v>
      </c>
      <c r="C250" s="44" t="s">
        <v>342</v>
      </c>
      <c r="D250" s="45"/>
      <c r="E250" s="45" t="s">
        <v>44</v>
      </c>
      <c r="F250" s="44" t="s">
        <v>16</v>
      </c>
      <c r="G250" s="44" t="s">
        <v>17</v>
      </c>
      <c r="H250" s="44" t="s">
        <v>338</v>
      </c>
      <c r="I250" s="44" t="s">
        <v>46</v>
      </c>
      <c r="J250" s="44" t="s">
        <v>28</v>
      </c>
      <c r="K250" s="44" t="s">
        <v>339</v>
      </c>
      <c r="L250" s="44" t="s">
        <v>340</v>
      </c>
      <c r="M250" s="44" t="s">
        <v>57</v>
      </c>
      <c r="N250" s="44" t="s">
        <v>193</v>
      </c>
      <c r="O250" s="46" t="s">
        <v>49</v>
      </c>
      <c r="P250"/>
      <c r="Q250" s="4"/>
      <c r="R250" s="4"/>
      <c r="S250" s="4"/>
      <c r="T250" s="4"/>
      <c r="U250" s="4"/>
    </row>
    <row r="251" spans="2:21" hidden="1" thickTop="1" thickBot="1" x14ac:dyDescent="0.3">
      <c r="B251" s="43">
        <v>100520853</v>
      </c>
      <c r="C251" s="44" t="s">
        <v>343</v>
      </c>
      <c r="D251" s="45"/>
      <c r="E251" s="45" t="s">
        <v>44</v>
      </c>
      <c r="F251" s="44" t="s">
        <v>16</v>
      </c>
      <c r="G251" s="44" t="s">
        <v>17</v>
      </c>
      <c r="H251" s="44" t="s">
        <v>338</v>
      </c>
      <c r="I251" s="44" t="s">
        <v>46</v>
      </c>
      <c r="J251" s="44" t="s">
        <v>28</v>
      </c>
      <c r="K251" s="44" t="s">
        <v>339</v>
      </c>
      <c r="L251" s="44" t="s">
        <v>340</v>
      </c>
      <c r="M251" s="44" t="s">
        <v>57</v>
      </c>
      <c r="N251" s="44" t="s">
        <v>193</v>
      </c>
      <c r="O251" s="46" t="s">
        <v>49</v>
      </c>
      <c r="P251"/>
      <c r="Q251" s="4"/>
      <c r="R251" s="4"/>
      <c r="S251" s="4"/>
      <c r="T251" s="4"/>
      <c r="U251" s="4"/>
    </row>
    <row r="252" spans="2:21" hidden="1" thickTop="1" thickBot="1" x14ac:dyDescent="0.3">
      <c r="B252" s="43">
        <v>100520854</v>
      </c>
      <c r="C252" s="44" t="s">
        <v>343</v>
      </c>
      <c r="D252" s="45"/>
      <c r="E252" s="45" t="s">
        <v>44</v>
      </c>
      <c r="F252" s="44" t="s">
        <v>16</v>
      </c>
      <c r="G252" s="44" t="s">
        <v>17</v>
      </c>
      <c r="H252" s="44" t="s">
        <v>338</v>
      </c>
      <c r="I252" s="44" t="s">
        <v>46</v>
      </c>
      <c r="J252" s="44" t="s">
        <v>28</v>
      </c>
      <c r="K252" s="44" t="s">
        <v>339</v>
      </c>
      <c r="L252" s="44" t="s">
        <v>340</v>
      </c>
      <c r="M252" s="44" t="s">
        <v>57</v>
      </c>
      <c r="N252" s="44" t="s">
        <v>193</v>
      </c>
      <c r="O252" s="46" t="s">
        <v>49</v>
      </c>
      <c r="P252"/>
      <c r="Q252" s="4"/>
      <c r="R252" s="4"/>
      <c r="S252" s="4"/>
      <c r="T252" s="4"/>
      <c r="U252" s="4"/>
    </row>
    <row r="253" spans="2:21" hidden="1" thickTop="1" thickBot="1" x14ac:dyDescent="0.3">
      <c r="B253" s="43">
        <v>100520883</v>
      </c>
      <c r="C253" s="44" t="s">
        <v>343</v>
      </c>
      <c r="D253" s="45"/>
      <c r="E253" s="45" t="s">
        <v>44</v>
      </c>
      <c r="F253" s="44" t="s">
        <v>16</v>
      </c>
      <c r="G253" s="44" t="s">
        <v>17</v>
      </c>
      <c r="H253" s="44" t="s">
        <v>338</v>
      </c>
      <c r="I253" s="44" t="s">
        <v>46</v>
      </c>
      <c r="J253" s="44" t="s">
        <v>28</v>
      </c>
      <c r="K253" s="44" t="s">
        <v>339</v>
      </c>
      <c r="L253" s="44" t="s">
        <v>340</v>
      </c>
      <c r="M253" s="44" t="s">
        <v>57</v>
      </c>
      <c r="N253" s="44" t="s">
        <v>193</v>
      </c>
      <c r="O253" s="46" t="s">
        <v>49</v>
      </c>
      <c r="P253"/>
      <c r="Q253" s="4"/>
      <c r="R253" s="4"/>
      <c r="S253" s="4"/>
      <c r="T253" s="4"/>
      <c r="U253" s="4"/>
    </row>
    <row r="254" spans="2:21" hidden="1" thickTop="1" thickBot="1" x14ac:dyDescent="0.3">
      <c r="B254" s="43">
        <v>100519959</v>
      </c>
      <c r="C254" s="44" t="s">
        <v>344</v>
      </c>
      <c r="D254" s="45"/>
      <c r="E254" s="45" t="s">
        <v>15</v>
      </c>
      <c r="F254" s="44" t="s">
        <v>16</v>
      </c>
      <c r="G254" s="44" t="s">
        <v>17</v>
      </c>
      <c r="H254" s="44" t="s">
        <v>18</v>
      </c>
      <c r="I254" s="44" t="s">
        <v>19</v>
      </c>
      <c r="J254" s="44" t="s">
        <v>28</v>
      </c>
      <c r="K254" s="44" t="s">
        <v>21</v>
      </c>
      <c r="L254" s="44" t="s">
        <v>21</v>
      </c>
      <c r="M254" s="44" t="s">
        <v>29</v>
      </c>
      <c r="N254" s="44" t="s">
        <v>23</v>
      </c>
      <c r="O254" s="46" t="s">
        <v>24</v>
      </c>
      <c r="P254"/>
      <c r="Q254" s="4"/>
      <c r="R254" s="4"/>
      <c r="S254" s="4"/>
      <c r="T254" s="4"/>
      <c r="U254" s="4"/>
    </row>
    <row r="255" spans="2:21" hidden="1" thickTop="1" thickBot="1" x14ac:dyDescent="0.3">
      <c r="B255" s="43">
        <v>100012738</v>
      </c>
      <c r="C255" s="44" t="s">
        <v>345</v>
      </c>
      <c r="D255" s="45"/>
      <c r="E255" s="45" t="s">
        <v>44</v>
      </c>
      <c r="F255" s="44" t="s">
        <v>16</v>
      </c>
      <c r="G255" s="44" t="s">
        <v>17</v>
      </c>
      <c r="H255" s="44" t="s">
        <v>18</v>
      </c>
      <c r="I255" s="44" t="s">
        <v>19</v>
      </c>
      <c r="J255" s="44" t="s">
        <v>28</v>
      </c>
      <c r="K255" s="44" t="s">
        <v>346</v>
      </c>
      <c r="L255" s="44" t="s">
        <v>347</v>
      </c>
      <c r="M255" s="44" t="s">
        <v>57</v>
      </c>
      <c r="N255" s="44" t="s">
        <v>23</v>
      </c>
      <c r="O255" s="46" t="s">
        <v>24</v>
      </c>
      <c r="P255"/>
      <c r="Q255" s="4"/>
      <c r="R255" s="4"/>
      <c r="S255" s="4"/>
      <c r="T255" s="4"/>
      <c r="U255" s="4"/>
    </row>
    <row r="256" spans="2:21" thickTop="1" thickBot="1" x14ac:dyDescent="0.3">
      <c r="B256" s="43">
        <v>100519380</v>
      </c>
      <c r="C256" s="44" t="s">
        <v>348</v>
      </c>
      <c r="D256" s="45"/>
      <c r="E256" s="45" t="str">
        <f>IF(ISERR(FIND("CLL",PRODUCTO_MI_AR68[[#This Row],[NOM PRODUCTO]])),"","ME")</f>
        <v>ME</v>
      </c>
      <c r="F256" s="44" t="s">
        <v>16</v>
      </c>
      <c r="G256" s="44" t="s">
        <v>17</v>
      </c>
      <c r="H256" s="44" t="s">
        <v>45</v>
      </c>
      <c r="I256" s="44" t="s">
        <v>46</v>
      </c>
      <c r="J256" s="44" t="s">
        <v>20</v>
      </c>
      <c r="K256" s="44" t="s">
        <v>45</v>
      </c>
      <c r="L256" s="44" t="s">
        <v>47</v>
      </c>
      <c r="M256" s="44" t="s">
        <v>22</v>
      </c>
      <c r="N256" s="44" t="s">
        <v>193</v>
      </c>
      <c r="O256" s="46" t="s">
        <v>49</v>
      </c>
      <c r="P256"/>
      <c r="Q256" s="4"/>
      <c r="R256" s="4"/>
      <c r="S256" s="4"/>
      <c r="T256" s="4"/>
      <c r="U256" s="4"/>
    </row>
    <row r="257" spans="2:21" ht="18" customHeight="1" thickTop="1" thickBot="1" x14ac:dyDescent="0.3">
      <c r="B257" s="43">
        <v>100517670</v>
      </c>
      <c r="C257" s="44" t="s">
        <v>349</v>
      </c>
      <c r="D257" s="45"/>
      <c r="E257" s="45" t="str">
        <f>IF(ISERR(FIND("CLL",PRODUCTO_MI_AR68[[#This Row],[NOM PRODUCTO]])),"","ME")</f>
        <v>ME</v>
      </c>
      <c r="F257" s="44" t="s">
        <v>16</v>
      </c>
      <c r="G257" s="44" t="s">
        <v>17</v>
      </c>
      <c r="H257" s="44" t="s">
        <v>45</v>
      </c>
      <c r="I257" s="44" t="s">
        <v>46</v>
      </c>
      <c r="J257" s="44" t="s">
        <v>20</v>
      </c>
      <c r="K257" s="44" t="s">
        <v>45</v>
      </c>
      <c r="L257" s="44" t="s">
        <v>47</v>
      </c>
      <c r="M257" s="44" t="s">
        <v>22</v>
      </c>
      <c r="N257" s="44" t="s">
        <v>193</v>
      </c>
      <c r="O257" s="46" t="s">
        <v>49</v>
      </c>
      <c r="P257"/>
      <c r="Q257" s="4"/>
      <c r="R257" s="4"/>
      <c r="S257" s="4"/>
      <c r="T257" s="4"/>
      <c r="U257" s="4"/>
    </row>
    <row r="258" spans="2:21" hidden="1" thickTop="1" thickBot="1" x14ac:dyDescent="0.3">
      <c r="B258" s="43">
        <v>100520649</v>
      </c>
      <c r="C258" s="44" t="s">
        <v>350</v>
      </c>
      <c r="D258" s="45"/>
      <c r="E258" s="45" t="str">
        <f>IF(ISERR(FIND("MEXICO",PRODUCTO_MI_AR68[[#This Row],[NOM PRODUCTO]])),"","ME")</f>
        <v>ME</v>
      </c>
      <c r="F258" s="44" t="s">
        <v>16</v>
      </c>
      <c r="G258" s="44" t="s">
        <v>17</v>
      </c>
      <c r="H258" s="44" t="s">
        <v>18</v>
      </c>
      <c r="I258" s="44" t="s">
        <v>19</v>
      </c>
      <c r="J258" s="44" t="s">
        <v>28</v>
      </c>
      <c r="K258" s="44" t="s">
        <v>21</v>
      </c>
      <c r="L258" s="44" t="s">
        <v>351</v>
      </c>
      <c r="M258" s="44" t="s">
        <v>29</v>
      </c>
      <c r="N258" s="44" t="str">
        <f>IF(ISERR(FIND("CONG",PRODUCTO_MI_AR68[[#This Row],[NOM PRODUCTO]])),"","CONGELADO")</f>
        <v>CONGELADO</v>
      </c>
      <c r="O258" s="46" t="s">
        <v>24</v>
      </c>
      <c r="P258"/>
      <c r="Q258" s="4"/>
      <c r="R258" s="4"/>
      <c r="S258" s="4"/>
      <c r="T258" s="4"/>
      <c r="U258" s="4"/>
    </row>
    <row r="259" spans="2:21" hidden="1" thickTop="1" thickBot="1" x14ac:dyDescent="0.3">
      <c r="B259" s="43">
        <v>100520391</v>
      </c>
      <c r="C259" s="44" t="s">
        <v>352</v>
      </c>
      <c r="D259" s="45"/>
      <c r="E259" s="45" t="str">
        <f>IF(ISERR(FIND("PUL",PRODUCTO_MI_AR68[[#This Row],[NOM PRODUCTO]])),"","ME")</f>
        <v>ME</v>
      </c>
      <c r="F259" s="44" t="s">
        <v>16</v>
      </c>
      <c r="G259" s="44" t="s">
        <v>17</v>
      </c>
      <c r="H259" s="44" t="s">
        <v>18</v>
      </c>
      <c r="I259" s="44" t="s">
        <v>19</v>
      </c>
      <c r="J259" s="44" t="s">
        <v>28</v>
      </c>
      <c r="K259" s="44" t="s">
        <v>21</v>
      </c>
      <c r="L259" s="44" t="s">
        <v>351</v>
      </c>
      <c r="M259" s="44" t="s">
        <v>29</v>
      </c>
      <c r="N259" s="44" t="str">
        <f>IF(ISERR(FIND("CONG",PRODUCTO_MI_AR68[[#This Row],[NOM PRODUCTO]])),"","CONGELADO")</f>
        <v>CONGELADO</v>
      </c>
      <c r="O259" s="46" t="s">
        <v>98</v>
      </c>
      <c r="P259"/>
      <c r="Q259" s="4"/>
      <c r="R259" s="4"/>
      <c r="S259" s="4"/>
      <c r="T259" s="4"/>
      <c r="U259" s="4"/>
    </row>
    <row r="260" spans="2:21" hidden="1" thickTop="1" thickBot="1" x14ac:dyDescent="0.3">
      <c r="B260" s="43">
        <v>100016306</v>
      </c>
      <c r="C260" s="44" t="s">
        <v>353</v>
      </c>
      <c r="D260" s="45"/>
      <c r="E260" s="45" t="s">
        <v>44</v>
      </c>
      <c r="F260" s="44" t="s">
        <v>16</v>
      </c>
      <c r="G260" s="44" t="s">
        <v>17</v>
      </c>
      <c r="H260" s="44" t="s">
        <v>18</v>
      </c>
      <c r="I260" s="44" t="s">
        <v>319</v>
      </c>
      <c r="J260" s="44" t="s">
        <v>28</v>
      </c>
      <c r="K260" s="44" t="s">
        <v>320</v>
      </c>
      <c r="L260" s="44" t="s">
        <v>354</v>
      </c>
      <c r="M260" s="44" t="s">
        <v>62</v>
      </c>
      <c r="N260" s="44" t="s">
        <v>193</v>
      </c>
      <c r="O260" s="46" t="s">
        <v>24</v>
      </c>
      <c r="P260"/>
      <c r="Q260" s="4"/>
      <c r="R260" s="4"/>
      <c r="S260" s="4"/>
      <c r="T260" s="4"/>
      <c r="U260" s="4"/>
    </row>
    <row r="261" spans="2:21" hidden="1" thickTop="1" thickBot="1" x14ac:dyDescent="0.3">
      <c r="B261" s="43">
        <v>100520331</v>
      </c>
      <c r="C261" s="44" t="s">
        <v>355</v>
      </c>
      <c r="D261" s="45"/>
      <c r="E261" s="45" t="str">
        <f>IF(ISERR(FIND("CLL",PRODUCTO_MI_AR68[[#This Row],[NOM PRODUCTO]])),"","ME")</f>
        <v>ME</v>
      </c>
      <c r="F261" s="44" t="s">
        <v>16</v>
      </c>
      <c r="G261" s="44" t="s">
        <v>17</v>
      </c>
      <c r="H261" s="44" t="s">
        <v>18</v>
      </c>
      <c r="I261" s="44" t="s">
        <v>101</v>
      </c>
      <c r="J261" s="44" t="s">
        <v>20</v>
      </c>
      <c r="K261" s="44" t="s">
        <v>356</v>
      </c>
      <c r="L261" s="44" t="s">
        <v>357</v>
      </c>
      <c r="M261" s="44" t="s">
        <v>22</v>
      </c>
      <c r="N261" s="44" t="str">
        <f>IF(ISERR(FIND("CONG",PRODUCTO_MI_AR68[[#This Row],[NOM PRODUCTO]])),"","CONGELADO")</f>
        <v>CONGELADO</v>
      </c>
      <c r="O261" s="46" t="s">
        <v>24</v>
      </c>
      <c r="P261"/>
      <c r="Q261" s="4"/>
      <c r="R261" s="4"/>
      <c r="S261" s="4"/>
      <c r="T261" s="4"/>
      <c r="U261" s="4"/>
    </row>
    <row r="262" spans="2:21" ht="18" hidden="1" customHeight="1" thickTop="1" thickBot="1" x14ac:dyDescent="0.3">
      <c r="B262" s="43">
        <v>100519953</v>
      </c>
      <c r="C262" s="44" t="s">
        <v>358</v>
      </c>
      <c r="D262" s="45"/>
      <c r="E262" s="45" t="str">
        <f>IF(ISERR(FIND("CLL",PRODUCTO_MI_AR68[[#This Row],[NOM PRODUCTO]])),"","ME")</f>
        <v>ME</v>
      </c>
      <c r="F262" s="44" t="s">
        <v>16</v>
      </c>
      <c r="G262" s="44" t="s">
        <v>17</v>
      </c>
      <c r="H262" s="44" t="s">
        <v>18</v>
      </c>
      <c r="I262" s="44" t="s">
        <v>101</v>
      </c>
      <c r="J262" s="44" t="s">
        <v>20</v>
      </c>
      <c r="K262" s="44" t="s">
        <v>356</v>
      </c>
      <c r="L262" s="44" t="s">
        <v>357</v>
      </c>
      <c r="M262" s="44" t="s">
        <v>22</v>
      </c>
      <c r="N262" s="44" t="str">
        <f>IF(ISERR(FIND("CONG",PRODUCTO_MI_AR68[[#This Row],[NOM PRODUCTO]])),"","CONGELADO")</f>
        <v>CONGELADO</v>
      </c>
      <c r="O262" s="46" t="s">
        <v>24</v>
      </c>
      <c r="P262"/>
      <c r="Q262" s="4"/>
      <c r="R262" s="4"/>
      <c r="S262" s="4"/>
      <c r="T262" s="4"/>
      <c r="U262" s="4"/>
    </row>
    <row r="263" spans="2:21" hidden="1" thickTop="1" thickBot="1" x14ac:dyDescent="0.3">
      <c r="B263" s="43">
        <v>100011586</v>
      </c>
      <c r="C263" s="44" t="s">
        <v>359</v>
      </c>
      <c r="D263" s="45"/>
      <c r="E263" s="45" t="s">
        <v>44</v>
      </c>
      <c r="F263" s="44" t="s">
        <v>16</v>
      </c>
      <c r="G263" s="44" t="s">
        <v>17</v>
      </c>
      <c r="H263" s="44" t="s">
        <v>18</v>
      </c>
      <c r="I263" s="44" t="s">
        <v>101</v>
      </c>
      <c r="J263" s="44" t="s">
        <v>28</v>
      </c>
      <c r="K263" s="44" t="s">
        <v>356</v>
      </c>
      <c r="L263" s="44" t="s">
        <v>357</v>
      </c>
      <c r="M263" s="44" t="s">
        <v>57</v>
      </c>
      <c r="N263" s="44" t="str">
        <f>IF(ISERR(FIND("CONG",PRODUCTO_MI_AR68[[#This Row],[NOM PRODUCTO]])),"","CONGELADO")</f>
        <v>CONGELADO</v>
      </c>
      <c r="O263" s="46" t="s">
        <v>24</v>
      </c>
      <c r="P263"/>
      <c r="Q263" s="4"/>
      <c r="R263" s="4"/>
      <c r="S263" s="4"/>
      <c r="T263" s="4"/>
      <c r="U263" s="4"/>
    </row>
    <row r="264" spans="2:21" hidden="1" thickTop="1" thickBot="1" x14ac:dyDescent="0.3">
      <c r="B264" s="43">
        <v>100519769</v>
      </c>
      <c r="C264" s="44" t="s">
        <v>360</v>
      </c>
      <c r="D264" s="45"/>
      <c r="E264" s="45" t="str">
        <f>IF(ISERR(FIND("BRASIL",PRODUCTO_MI_AR68[[#This Row],[NOM PRODUCTO]])),"","ME")</f>
        <v>ME</v>
      </c>
      <c r="F264" s="44" t="s">
        <v>16</v>
      </c>
      <c r="G264" s="44" t="s">
        <v>17</v>
      </c>
      <c r="H264" s="44" t="s">
        <v>18</v>
      </c>
      <c r="I264" s="44" t="s">
        <v>101</v>
      </c>
      <c r="J264" s="44" t="s">
        <v>28</v>
      </c>
      <c r="K264" s="44" t="s">
        <v>356</v>
      </c>
      <c r="L264" s="44" t="s">
        <v>357</v>
      </c>
      <c r="M264" s="44" t="s">
        <v>29</v>
      </c>
      <c r="N264" s="44" t="str">
        <f>IF(ISERR(FIND("CONG",PRODUCTO_MI_AR68[[#This Row],[NOM PRODUCTO]])),"","CONGELADO")</f>
        <v>CONGELADO</v>
      </c>
      <c r="O264" s="46" t="s">
        <v>24</v>
      </c>
      <c r="P264"/>
      <c r="Q264" s="4"/>
      <c r="R264" s="4"/>
      <c r="S264" s="4"/>
      <c r="T264" s="4"/>
      <c r="U264" s="4"/>
    </row>
    <row r="265" spans="2:21" hidden="1" thickTop="1" thickBot="1" x14ac:dyDescent="0.3">
      <c r="B265" s="43">
        <v>100520005</v>
      </c>
      <c r="C265" s="44" t="s">
        <v>361</v>
      </c>
      <c r="D265" s="45"/>
      <c r="E265" s="45" t="s">
        <v>15</v>
      </c>
      <c r="F265" s="44" t="s">
        <v>16</v>
      </c>
      <c r="G265" s="44" t="s">
        <v>17</v>
      </c>
      <c r="H265" s="44" t="s">
        <v>18</v>
      </c>
      <c r="I265" s="44" t="s">
        <v>101</v>
      </c>
      <c r="J265" s="44" t="s">
        <v>28</v>
      </c>
      <c r="K265" s="44" t="s">
        <v>356</v>
      </c>
      <c r="L265" s="44" t="s">
        <v>357</v>
      </c>
      <c r="M265" s="44" t="s">
        <v>29</v>
      </c>
      <c r="N265" s="44" t="str">
        <f>IF(ISERR(FIND("CONG",PRODUCTO_MI_AR68[[#This Row],[NOM PRODUCTO]])),"","CONGELADO")</f>
        <v>CONGELADO</v>
      </c>
      <c r="O265" s="46" t="s">
        <v>24</v>
      </c>
      <c r="P265"/>
      <c r="Q265" s="4"/>
      <c r="R265" s="4"/>
      <c r="S265" s="4"/>
      <c r="T265" s="4"/>
      <c r="U265" s="4"/>
    </row>
    <row r="266" spans="2:21" hidden="1" thickTop="1" thickBot="1" x14ac:dyDescent="0.3">
      <c r="B266" s="43">
        <v>100520828</v>
      </c>
      <c r="C266" s="44" t="s">
        <v>362</v>
      </c>
      <c r="D266" s="45"/>
      <c r="E266" s="45" t="str">
        <f>IF(ISERR(FIND("PUL",PRODUCTO_MI_AR68[[#This Row],[NOM PRODUCTO]])),"","ME")</f>
        <v>ME</v>
      </c>
      <c r="F266" s="44" t="s">
        <v>16</v>
      </c>
      <c r="G266" s="44" t="s">
        <v>17</v>
      </c>
      <c r="H266" s="44" t="s">
        <v>18</v>
      </c>
      <c r="I266" s="44" t="s">
        <v>101</v>
      </c>
      <c r="J266" s="44" t="s">
        <v>28</v>
      </c>
      <c r="K266" s="44" t="s">
        <v>356</v>
      </c>
      <c r="L266" s="44" t="s">
        <v>357</v>
      </c>
      <c r="M266" s="44" t="s">
        <v>29</v>
      </c>
      <c r="N266" s="44" t="str">
        <f>IF(ISERR(FIND("CONG",PRODUCTO_MI_AR68[[#This Row],[NOM PRODUCTO]])),"","CONGELADO")</f>
        <v>CONGELADO</v>
      </c>
      <c r="O266" s="46" t="s">
        <v>24</v>
      </c>
      <c r="P266"/>
      <c r="Q266" s="4"/>
      <c r="R266" s="4"/>
      <c r="S266" s="4"/>
      <c r="T266" s="4"/>
      <c r="U266" s="4"/>
    </row>
    <row r="267" spans="2:21" ht="18" hidden="1" customHeight="1" thickTop="1" thickBot="1" x14ac:dyDescent="0.3">
      <c r="B267" s="43">
        <v>100520111</v>
      </c>
      <c r="C267" s="44" t="s">
        <v>363</v>
      </c>
      <c r="D267" s="45"/>
      <c r="E267" s="45" t="str">
        <f>IF(ISERR(FIND("PUL",PRODUCTO_MI_AR68[[#This Row],[NOM PRODUCTO]])),"","ME")</f>
        <v>ME</v>
      </c>
      <c r="F267" s="44" t="s">
        <v>16</v>
      </c>
      <c r="G267" s="44" t="s">
        <v>17</v>
      </c>
      <c r="H267" s="44" t="s">
        <v>18</v>
      </c>
      <c r="I267" s="44" t="s">
        <v>101</v>
      </c>
      <c r="J267" s="44" t="s">
        <v>40</v>
      </c>
      <c r="K267" s="44" t="s">
        <v>356</v>
      </c>
      <c r="L267" s="44" t="s">
        <v>357</v>
      </c>
      <c r="M267" s="44" t="s">
        <v>113</v>
      </c>
      <c r="N267" s="44" t="str">
        <f>IF(ISERR(FIND("CONG",PRODUCTO_MI_AR68[[#This Row],[NOM PRODUCTO]])),"","CONGELADO")</f>
        <v>CONGELADO</v>
      </c>
      <c r="O267" s="46" t="s">
        <v>24</v>
      </c>
      <c r="P267"/>
      <c r="Q267" s="4"/>
      <c r="R267" s="4"/>
      <c r="S267" s="4"/>
      <c r="T267" s="4"/>
      <c r="U267" s="4"/>
    </row>
    <row r="268" spans="2:21" hidden="1" thickTop="1" thickBot="1" x14ac:dyDescent="0.3">
      <c r="B268" s="43">
        <v>100519855</v>
      </c>
      <c r="C268" s="44" t="s">
        <v>364</v>
      </c>
      <c r="D268" s="45"/>
      <c r="E268" s="45" t="str">
        <f>IF(ISERR(FIND("CLL",PRODUCTO_MI_AR68[[#This Row],[NOM PRODUCTO]])),"","ME")</f>
        <v>ME</v>
      </c>
      <c r="F268" s="44" t="s">
        <v>16</v>
      </c>
      <c r="G268" s="44" t="s">
        <v>17</v>
      </c>
      <c r="H268" s="44" t="s">
        <v>18</v>
      </c>
      <c r="I268" s="44" t="s">
        <v>101</v>
      </c>
      <c r="J268" s="44" t="s">
        <v>20</v>
      </c>
      <c r="K268" s="44" t="s">
        <v>356</v>
      </c>
      <c r="L268" s="44" t="s">
        <v>357</v>
      </c>
      <c r="M268" s="44" t="s">
        <v>22</v>
      </c>
      <c r="N268" s="44" t="s">
        <v>23</v>
      </c>
      <c r="O268" s="46" t="s">
        <v>24</v>
      </c>
      <c r="P268"/>
      <c r="Q268" s="4"/>
      <c r="R268" s="4"/>
      <c r="S268" s="4"/>
      <c r="T268" s="4"/>
      <c r="U268" s="4"/>
    </row>
    <row r="269" spans="2:21" hidden="1" thickTop="1" thickBot="1" x14ac:dyDescent="0.3">
      <c r="B269" s="43">
        <v>100522461</v>
      </c>
      <c r="C269" s="44" t="s">
        <v>365</v>
      </c>
      <c r="D269" s="45"/>
      <c r="E269" s="45" t="s">
        <v>15</v>
      </c>
      <c r="F269" s="44" t="s">
        <v>16</v>
      </c>
      <c r="G269" s="44" t="s">
        <v>17</v>
      </c>
      <c r="H269" s="44" t="s">
        <v>18</v>
      </c>
      <c r="I269" s="44" t="s">
        <v>101</v>
      </c>
      <c r="J269" s="44" t="s">
        <v>20</v>
      </c>
      <c r="K269" s="44" t="s">
        <v>356</v>
      </c>
      <c r="L269" s="44" t="s">
        <v>357</v>
      </c>
      <c r="M269" s="44" t="s">
        <v>22</v>
      </c>
      <c r="N269" s="44" t="s">
        <v>23</v>
      </c>
      <c r="O269" s="46" t="s">
        <v>24</v>
      </c>
      <c r="P269"/>
      <c r="Q269" s="4"/>
      <c r="R269" s="4"/>
      <c r="S269" s="4"/>
      <c r="T269" s="4"/>
      <c r="U269" s="4"/>
    </row>
    <row r="270" spans="2:21" hidden="1" thickTop="1" thickBot="1" x14ac:dyDescent="0.3">
      <c r="B270" s="43">
        <v>100010351</v>
      </c>
      <c r="C270" s="44" t="s">
        <v>366</v>
      </c>
      <c r="D270" s="45"/>
      <c r="E270" s="45" t="str">
        <f>IF(ISERR(FIND("CLL",PRODUCTO_MI_AR68[[#This Row],[NOM PRODUCTO]])),"","ME")</f>
        <v>ME</v>
      </c>
      <c r="F270" s="44" t="s">
        <v>16</v>
      </c>
      <c r="G270" s="44" t="s">
        <v>17</v>
      </c>
      <c r="H270" s="44" t="s">
        <v>18</v>
      </c>
      <c r="I270" s="44" t="s">
        <v>101</v>
      </c>
      <c r="J270" s="44" t="s">
        <v>20</v>
      </c>
      <c r="K270" s="44" t="s">
        <v>356</v>
      </c>
      <c r="L270" s="44" t="s">
        <v>357</v>
      </c>
      <c r="M270" s="44" t="s">
        <v>22</v>
      </c>
      <c r="N270" s="44" t="s">
        <v>23</v>
      </c>
      <c r="O270" s="46" t="s">
        <v>24</v>
      </c>
      <c r="P270"/>
      <c r="Q270" s="4"/>
      <c r="R270" s="4"/>
      <c r="S270" s="4"/>
      <c r="T270" s="4"/>
      <c r="U270" s="4"/>
    </row>
    <row r="271" spans="2:21" hidden="1" thickTop="1" thickBot="1" x14ac:dyDescent="0.3">
      <c r="B271" s="43">
        <v>100516660</v>
      </c>
      <c r="C271" s="44" t="s">
        <v>367</v>
      </c>
      <c r="D271" s="45"/>
      <c r="E271" s="45" t="str">
        <f>IF(ISERR(FIND("CLL",PRODUCTO_MI_AR68[[#This Row],[NOM PRODUCTO]])),"","ME")</f>
        <v>ME</v>
      </c>
      <c r="F271" s="44" t="s">
        <v>16</v>
      </c>
      <c r="G271" s="44" t="s">
        <v>17</v>
      </c>
      <c r="H271" s="44" t="s">
        <v>18</v>
      </c>
      <c r="I271" s="44" t="s">
        <v>101</v>
      </c>
      <c r="J271" s="44" t="s">
        <v>20</v>
      </c>
      <c r="K271" s="44" t="s">
        <v>356</v>
      </c>
      <c r="L271" s="44" t="s">
        <v>357</v>
      </c>
      <c r="M271" s="44" t="s">
        <v>22</v>
      </c>
      <c r="N271" s="44" t="s">
        <v>23</v>
      </c>
      <c r="O271" s="46" t="s">
        <v>24</v>
      </c>
      <c r="P271"/>
      <c r="Q271" s="4"/>
      <c r="R271" s="4"/>
      <c r="S271" s="4"/>
      <c r="T271" s="4"/>
      <c r="U271" s="4"/>
    </row>
    <row r="272" spans="2:21" hidden="1" thickTop="1" thickBot="1" x14ac:dyDescent="0.3">
      <c r="B272" s="43">
        <v>100010004</v>
      </c>
      <c r="C272" s="44" t="s">
        <v>368</v>
      </c>
      <c r="D272" s="45"/>
      <c r="E272" s="45" t="s">
        <v>44</v>
      </c>
      <c r="F272" s="44" t="s">
        <v>16</v>
      </c>
      <c r="G272" s="44" t="s">
        <v>17</v>
      </c>
      <c r="H272" s="44" t="s">
        <v>18</v>
      </c>
      <c r="I272" s="44" t="s">
        <v>101</v>
      </c>
      <c r="J272" s="44" t="s">
        <v>28</v>
      </c>
      <c r="K272" s="44" t="s">
        <v>356</v>
      </c>
      <c r="L272" s="44" t="s">
        <v>357</v>
      </c>
      <c r="M272" s="44" t="s">
        <v>57</v>
      </c>
      <c r="N272" s="44" t="s">
        <v>23</v>
      </c>
      <c r="O272" s="46" t="s">
        <v>24</v>
      </c>
      <c r="P272"/>
      <c r="Q272" s="4"/>
      <c r="R272" s="4"/>
      <c r="S272" s="4"/>
      <c r="T272" s="4"/>
      <c r="U272" s="4"/>
    </row>
    <row r="273" spans="2:21" hidden="1" thickTop="1" thickBot="1" x14ac:dyDescent="0.3">
      <c r="B273" s="43">
        <v>100522384</v>
      </c>
      <c r="C273" s="44" t="s">
        <v>369</v>
      </c>
      <c r="D273" s="45"/>
      <c r="E273" s="45" t="s">
        <v>15</v>
      </c>
      <c r="F273" s="44" t="s">
        <v>16</v>
      </c>
      <c r="G273" s="44" t="s">
        <v>17</v>
      </c>
      <c r="H273" s="44" t="s">
        <v>18</v>
      </c>
      <c r="I273" s="44" t="s">
        <v>101</v>
      </c>
      <c r="J273" s="44" t="s">
        <v>28</v>
      </c>
      <c r="K273" s="44" t="s">
        <v>356</v>
      </c>
      <c r="L273" s="44" t="s">
        <v>357</v>
      </c>
      <c r="M273" s="44" t="s">
        <v>29</v>
      </c>
      <c r="N273" s="44" t="s">
        <v>23</v>
      </c>
      <c r="O273" s="46" t="s">
        <v>24</v>
      </c>
      <c r="P273"/>
      <c r="Q273" s="4"/>
      <c r="R273" s="4"/>
      <c r="S273" s="4"/>
      <c r="T273" s="4"/>
      <c r="U273" s="4"/>
    </row>
    <row r="274" spans="2:21" hidden="1" thickTop="1" thickBot="1" x14ac:dyDescent="0.3">
      <c r="B274" s="43">
        <v>100519491</v>
      </c>
      <c r="C274" s="44" t="s">
        <v>370</v>
      </c>
      <c r="D274" s="45"/>
      <c r="E274" s="45" t="str">
        <f>IF(ISERR(FIND("PUL",PRODUCTO_MI_AR68[[#This Row],[NOM PRODUCTO]])),"","ME")</f>
        <v>ME</v>
      </c>
      <c r="F274" s="44" t="s">
        <v>16</v>
      </c>
      <c r="G274" s="44" t="s">
        <v>17</v>
      </c>
      <c r="H274" s="44" t="s">
        <v>18</v>
      </c>
      <c r="I274" s="44" t="s">
        <v>101</v>
      </c>
      <c r="J274" s="44" t="s">
        <v>40</v>
      </c>
      <c r="K274" s="44" t="s">
        <v>356</v>
      </c>
      <c r="L274" s="44" t="s">
        <v>357</v>
      </c>
      <c r="M274" s="44" t="s">
        <v>41</v>
      </c>
      <c r="N274" s="44" t="s">
        <v>23</v>
      </c>
      <c r="O274" s="46" t="s">
        <v>24</v>
      </c>
      <c r="P274"/>
      <c r="Q274" s="4"/>
      <c r="R274" s="4"/>
      <c r="S274" s="4"/>
      <c r="T274" s="4"/>
      <c r="U274" s="4"/>
    </row>
    <row r="275" spans="2:21" hidden="1" thickTop="1" thickBot="1" x14ac:dyDescent="0.3">
      <c r="B275" s="43">
        <v>100519492</v>
      </c>
      <c r="C275" s="44" t="s">
        <v>371</v>
      </c>
      <c r="D275" s="45"/>
      <c r="E275" s="45" t="str">
        <f>IF(ISERR(FIND("PUL",PRODUCTO_MI_AR68[[#This Row],[NOM PRODUCTO]])),"","ME")</f>
        <v>ME</v>
      </c>
      <c r="F275" s="44" t="s">
        <v>16</v>
      </c>
      <c r="G275" s="44" t="s">
        <v>17</v>
      </c>
      <c r="H275" s="44" t="s">
        <v>18</v>
      </c>
      <c r="I275" s="44" t="s">
        <v>101</v>
      </c>
      <c r="J275" s="44" t="s">
        <v>40</v>
      </c>
      <c r="K275" s="44" t="s">
        <v>356</v>
      </c>
      <c r="L275" s="44" t="s">
        <v>357</v>
      </c>
      <c r="M275" s="44" t="s">
        <v>41</v>
      </c>
      <c r="N275" s="44" t="s">
        <v>23</v>
      </c>
      <c r="O275" s="46" t="s">
        <v>24</v>
      </c>
      <c r="P275"/>
      <c r="Q275" s="4"/>
      <c r="R275" s="4"/>
      <c r="S275" s="4"/>
      <c r="T275" s="4"/>
      <c r="U275" s="4"/>
    </row>
    <row r="276" spans="2:21" hidden="1" thickTop="1" thickBot="1" x14ac:dyDescent="0.3">
      <c r="B276" s="43">
        <v>100519493</v>
      </c>
      <c r="C276" s="44" t="s">
        <v>372</v>
      </c>
      <c r="D276" s="45"/>
      <c r="E276" s="45" t="str">
        <f>IF(ISERR(FIND("PUL",PRODUCTO_MI_AR68[[#This Row],[NOM PRODUCTO]])),"","ME")</f>
        <v>ME</v>
      </c>
      <c r="F276" s="44" t="s">
        <v>16</v>
      </c>
      <c r="G276" s="44" t="s">
        <v>17</v>
      </c>
      <c r="H276" s="44" t="s">
        <v>18</v>
      </c>
      <c r="I276" s="44" t="s">
        <v>101</v>
      </c>
      <c r="J276" s="44" t="s">
        <v>40</v>
      </c>
      <c r="K276" s="44" t="s">
        <v>356</v>
      </c>
      <c r="L276" s="44" t="s">
        <v>357</v>
      </c>
      <c r="M276" s="44" t="s">
        <v>41</v>
      </c>
      <c r="N276" s="44" t="s">
        <v>23</v>
      </c>
      <c r="O276" s="46" t="s">
        <v>24</v>
      </c>
      <c r="P276"/>
      <c r="Q276" s="4"/>
      <c r="R276" s="4"/>
      <c r="S276" s="4"/>
      <c r="T276" s="4"/>
      <c r="U276" s="4"/>
    </row>
    <row r="277" spans="2:21" hidden="1" thickTop="1" thickBot="1" x14ac:dyDescent="0.3">
      <c r="B277" s="43">
        <v>100013149</v>
      </c>
      <c r="C277" s="44" t="s">
        <v>373</v>
      </c>
      <c r="D277" s="45"/>
      <c r="E277" s="45" t="str">
        <f>IF(ISERR(FIND("(L)",PRODUCTO_MI_AR68[[#This Row],[NOM PRODUCTO]])),"","MI")</f>
        <v>MI</v>
      </c>
      <c r="F277" s="44" t="s">
        <v>16</v>
      </c>
      <c r="G277" s="44" t="s">
        <v>17</v>
      </c>
      <c r="H277" s="44" t="s">
        <v>18</v>
      </c>
      <c r="I277" s="44" t="s">
        <v>101</v>
      </c>
      <c r="J277" s="44" t="s">
        <v>28</v>
      </c>
      <c r="K277" s="44" t="s">
        <v>356</v>
      </c>
      <c r="L277" s="44" t="s">
        <v>357</v>
      </c>
      <c r="M277" s="44" t="s">
        <v>57</v>
      </c>
      <c r="N277" s="44" t="s">
        <v>23</v>
      </c>
      <c r="O277" s="46" t="s">
        <v>24</v>
      </c>
      <c r="P277"/>
      <c r="Q277" s="4"/>
      <c r="R277" s="4"/>
      <c r="S277" s="4"/>
      <c r="T277" s="4"/>
      <c r="U277" s="4"/>
    </row>
    <row r="278" spans="2:21" hidden="1" thickTop="1" thickBot="1" x14ac:dyDescent="0.3">
      <c r="B278" s="43">
        <v>100517139</v>
      </c>
      <c r="C278" s="44" t="s">
        <v>374</v>
      </c>
      <c r="D278" s="45"/>
      <c r="E278" s="45" t="s">
        <v>44</v>
      </c>
      <c r="F278" s="44" t="s">
        <v>16</v>
      </c>
      <c r="G278" s="44" t="s">
        <v>17</v>
      </c>
      <c r="H278" s="44" t="s">
        <v>18</v>
      </c>
      <c r="I278" s="44" t="s">
        <v>101</v>
      </c>
      <c r="J278" s="44" t="s">
        <v>20</v>
      </c>
      <c r="K278" s="44" t="s">
        <v>356</v>
      </c>
      <c r="L278" s="44" t="s">
        <v>357</v>
      </c>
      <c r="M278" s="44" t="s">
        <v>73</v>
      </c>
      <c r="N278" s="44" t="s">
        <v>23</v>
      </c>
      <c r="O278" s="46" t="s">
        <v>24</v>
      </c>
      <c r="P278"/>
      <c r="Q278" s="4"/>
      <c r="R278" s="4"/>
      <c r="S278" s="4"/>
      <c r="T278" s="4"/>
      <c r="U278" s="4"/>
    </row>
    <row r="279" spans="2:21" hidden="1" thickTop="1" thickBot="1" x14ac:dyDescent="0.3">
      <c r="B279" s="43">
        <v>100518246</v>
      </c>
      <c r="C279" s="44" t="s">
        <v>375</v>
      </c>
      <c r="D279" s="45"/>
      <c r="E279" s="45" t="str">
        <f>IF(ISERR(FIND("CHILE",PRODUCTO_MI_AR68[[#This Row],[NOM PRODUCTO]])),"","ME")</f>
        <v>ME</v>
      </c>
      <c r="F279" s="44" t="s">
        <v>16</v>
      </c>
      <c r="G279" s="44" t="s">
        <v>17</v>
      </c>
      <c r="H279" s="44" t="s">
        <v>18</v>
      </c>
      <c r="I279" s="44" t="s">
        <v>101</v>
      </c>
      <c r="J279" s="44" t="s">
        <v>28</v>
      </c>
      <c r="K279" s="44" t="s">
        <v>356</v>
      </c>
      <c r="L279" s="44" t="s">
        <v>357</v>
      </c>
      <c r="M279" s="44" t="s">
        <v>29</v>
      </c>
      <c r="N279" s="44" t="s">
        <v>23</v>
      </c>
      <c r="O279" s="46" t="s">
        <v>24</v>
      </c>
      <c r="P279"/>
      <c r="Q279" s="4"/>
      <c r="R279" s="4"/>
      <c r="S279" s="4"/>
      <c r="T279" s="4"/>
      <c r="U279" s="4"/>
    </row>
    <row r="280" spans="2:21" hidden="1" thickTop="1" thickBot="1" x14ac:dyDescent="0.3">
      <c r="B280" s="43">
        <v>100516521</v>
      </c>
      <c r="C280" s="44" t="s">
        <v>376</v>
      </c>
      <c r="D280" s="45"/>
      <c r="E280" s="45" t="str">
        <f>IF(ISERR(FIND("CHILE",PRODUCTO_MI_AR68[[#This Row],[NOM PRODUCTO]])),"","ME")</f>
        <v>ME</v>
      </c>
      <c r="F280" s="44" t="s">
        <v>16</v>
      </c>
      <c r="G280" s="44" t="s">
        <v>17</v>
      </c>
      <c r="H280" s="44" t="s">
        <v>18</v>
      </c>
      <c r="I280" s="44" t="s">
        <v>101</v>
      </c>
      <c r="J280" s="44" t="s">
        <v>28</v>
      </c>
      <c r="K280" s="44" t="s">
        <v>356</v>
      </c>
      <c r="L280" s="44" t="s">
        <v>357</v>
      </c>
      <c r="M280" s="44" t="s">
        <v>29</v>
      </c>
      <c r="N280" s="44" t="s">
        <v>23</v>
      </c>
      <c r="O280" s="46" t="s">
        <v>24</v>
      </c>
      <c r="P280"/>
      <c r="Q280" s="4"/>
      <c r="R280" s="4"/>
      <c r="S280" s="4"/>
      <c r="T280" s="4"/>
      <c r="U280" s="4"/>
    </row>
    <row r="281" spans="2:21" hidden="1" thickTop="1" thickBot="1" x14ac:dyDescent="0.3">
      <c r="B281" s="43">
        <v>100016148</v>
      </c>
      <c r="C281" s="44" t="s">
        <v>377</v>
      </c>
      <c r="D281" s="45"/>
      <c r="E281" s="45" t="s">
        <v>44</v>
      </c>
      <c r="F281" s="44" t="s">
        <v>16</v>
      </c>
      <c r="G281" s="44" t="s">
        <v>17</v>
      </c>
      <c r="H281" s="44" t="s">
        <v>18</v>
      </c>
      <c r="I281" s="44" t="s">
        <v>319</v>
      </c>
      <c r="J281" s="44" t="s">
        <v>28</v>
      </c>
      <c r="K281" s="44" t="s">
        <v>320</v>
      </c>
      <c r="L281" s="44" t="s">
        <v>378</v>
      </c>
      <c r="M281" s="44" t="s">
        <v>62</v>
      </c>
      <c r="N281" s="44" t="str">
        <f>IF(ISERR(FIND("CONG",PRODUCTO_MI_AR68[[#This Row],[NOM PRODUCTO]])),"","CONGELADO")</f>
        <v>CONGELADO</v>
      </c>
      <c r="O281" s="46" t="s">
        <v>98</v>
      </c>
      <c r="P281"/>
      <c r="Q281" s="4"/>
      <c r="R281" s="4"/>
      <c r="S281" s="4"/>
      <c r="T281" s="4"/>
      <c r="U281" s="4"/>
    </row>
    <row r="282" spans="2:21" hidden="1" thickTop="1" thickBot="1" x14ac:dyDescent="0.3">
      <c r="B282" s="43">
        <v>100518868</v>
      </c>
      <c r="C282" s="44" t="s">
        <v>379</v>
      </c>
      <c r="D282" s="45"/>
      <c r="E282" s="45" t="str">
        <f>IF(ISERR(FIND("AFRICA",PRODUCTO_MI_AR68[[#This Row],[NOM PRODUCTO]])),"","ME")</f>
        <v>ME</v>
      </c>
      <c r="F282" s="44" t="s">
        <v>16</v>
      </c>
      <c r="G282" s="44" t="s">
        <v>17</v>
      </c>
      <c r="H282" s="44" t="s">
        <v>18</v>
      </c>
      <c r="I282" s="44" t="s">
        <v>319</v>
      </c>
      <c r="J282" s="44" t="s">
        <v>28</v>
      </c>
      <c r="K282" s="44" t="s">
        <v>320</v>
      </c>
      <c r="L282" s="44" t="s">
        <v>378</v>
      </c>
      <c r="M282" s="44" t="s">
        <v>62</v>
      </c>
      <c r="N282" s="44" t="str">
        <f>IF(ISERR(FIND("CONG",PRODUCTO_MI_AR68[[#This Row],[NOM PRODUCTO]])),"","CONGELADO")</f>
        <v>CONGELADO</v>
      </c>
      <c r="O282" s="46" t="s">
        <v>24</v>
      </c>
      <c r="P282"/>
      <c r="Q282" s="4"/>
      <c r="R282" s="4"/>
      <c r="S282" s="4"/>
      <c r="T282" s="4"/>
      <c r="U282" s="4"/>
    </row>
    <row r="283" spans="2:21" hidden="1" thickTop="1" thickBot="1" x14ac:dyDescent="0.3">
      <c r="B283" s="43">
        <v>100016338</v>
      </c>
      <c r="C283" s="44" t="s">
        <v>380</v>
      </c>
      <c r="D283" s="45"/>
      <c r="E283" s="45" t="s">
        <v>44</v>
      </c>
      <c r="F283" s="44" t="s">
        <v>16</v>
      </c>
      <c r="G283" s="44" t="s">
        <v>17</v>
      </c>
      <c r="H283" s="44" t="s">
        <v>18</v>
      </c>
      <c r="I283" s="44" t="s">
        <v>319</v>
      </c>
      <c r="J283" s="44" t="s">
        <v>28</v>
      </c>
      <c r="K283" s="44" t="s">
        <v>320</v>
      </c>
      <c r="L283" s="44" t="s">
        <v>378</v>
      </c>
      <c r="M283" s="44" t="s">
        <v>57</v>
      </c>
      <c r="N283" s="44" t="str">
        <f>IF(ISERR(FIND("CONG",PRODUCTO_MI_AR68[[#This Row],[NOM PRODUCTO]])),"","CONGELADO")</f>
        <v>CONGELADO</v>
      </c>
      <c r="O283" s="46" t="s">
        <v>24</v>
      </c>
      <c r="P283"/>
      <c r="Q283" s="4"/>
      <c r="R283" s="4"/>
      <c r="S283" s="4"/>
      <c r="T283" s="4"/>
      <c r="U283" s="4"/>
    </row>
    <row r="284" spans="2:21" hidden="1" thickTop="1" thickBot="1" x14ac:dyDescent="0.3">
      <c r="B284" s="43">
        <v>100522560</v>
      </c>
      <c r="C284" s="44" t="s">
        <v>381</v>
      </c>
      <c r="D284" s="45"/>
      <c r="E284" s="45" t="s">
        <v>15</v>
      </c>
      <c r="F284" s="44" t="s">
        <v>16</v>
      </c>
      <c r="G284" s="44" t="s">
        <v>17</v>
      </c>
      <c r="H284" s="44" t="s">
        <v>18</v>
      </c>
      <c r="I284" s="44" t="s">
        <v>101</v>
      </c>
      <c r="J284" s="44" t="s">
        <v>28</v>
      </c>
      <c r="K284" s="44" t="s">
        <v>356</v>
      </c>
      <c r="L284" s="44" t="s">
        <v>382</v>
      </c>
      <c r="M284" s="44" t="s">
        <v>29</v>
      </c>
      <c r="N284" s="44" t="str">
        <f>IF(ISERR(FIND("CONG",PRODUCTO_MI_AR68[[#This Row],[NOM PRODUCTO]])),"","CONGELADO")</f>
        <v>CONGELADO</v>
      </c>
      <c r="O284" s="46" t="s">
        <v>24</v>
      </c>
      <c r="P284"/>
      <c r="Q284" s="4"/>
      <c r="R284" s="4"/>
      <c r="S284" s="4"/>
      <c r="T284" s="4"/>
      <c r="U284" s="4"/>
    </row>
    <row r="285" spans="2:21" hidden="1" thickTop="1" thickBot="1" x14ac:dyDescent="0.3">
      <c r="B285" s="43">
        <v>100521632</v>
      </c>
      <c r="C285" s="44" t="s">
        <v>383</v>
      </c>
      <c r="D285" s="45"/>
      <c r="E285" s="45" t="str">
        <f>IF(ISERR(FIND("CLL",PRODUCTO_MI_AR68[[#This Row],[NOM PRODUCTO]])),"","ME")</f>
        <v>ME</v>
      </c>
      <c r="F285" s="44" t="s">
        <v>16</v>
      </c>
      <c r="G285" s="44" t="s">
        <v>17</v>
      </c>
      <c r="H285" s="44" t="s">
        <v>18</v>
      </c>
      <c r="I285" s="44" t="s">
        <v>101</v>
      </c>
      <c r="J285" s="44" t="s">
        <v>20</v>
      </c>
      <c r="K285" s="44" t="s">
        <v>356</v>
      </c>
      <c r="L285" s="44" t="s">
        <v>382</v>
      </c>
      <c r="M285" s="44" t="s">
        <v>22</v>
      </c>
      <c r="N285" s="44" t="s">
        <v>23</v>
      </c>
      <c r="O285" s="46" t="s">
        <v>24</v>
      </c>
      <c r="P285"/>
      <c r="Q285" s="4"/>
      <c r="R285" s="4"/>
      <c r="S285" s="4"/>
      <c r="T285" s="4"/>
      <c r="U285" s="4"/>
    </row>
    <row r="286" spans="2:21" hidden="1" thickTop="1" thickBot="1" x14ac:dyDescent="0.3">
      <c r="B286" s="43">
        <v>100523017</v>
      </c>
      <c r="C286" s="44" t="s">
        <v>384</v>
      </c>
      <c r="D286" s="45"/>
      <c r="E286" s="45" t="s">
        <v>15</v>
      </c>
      <c r="F286" s="44" t="s">
        <v>16</v>
      </c>
      <c r="G286" s="44" t="s">
        <v>17</v>
      </c>
      <c r="H286" s="44" t="s">
        <v>18</v>
      </c>
      <c r="I286" s="44" t="s">
        <v>101</v>
      </c>
      <c r="J286" s="44" t="s">
        <v>28</v>
      </c>
      <c r="K286" s="44" t="s">
        <v>356</v>
      </c>
      <c r="L286" s="44" t="s">
        <v>382</v>
      </c>
      <c r="M286" s="44" t="s">
        <v>29</v>
      </c>
      <c r="N286" s="44" t="str">
        <f>IF(ISERR(FIND("CONG",PRODUCTO_MI_AR68[[#This Row],[NOM PRODUCTO]])),"","CONGELADO")</f>
        <v>CONGELADO</v>
      </c>
      <c r="O286" s="46" t="s">
        <v>24</v>
      </c>
      <c r="P286"/>
      <c r="Q286" s="4"/>
      <c r="R286" s="4"/>
      <c r="S286" s="4"/>
      <c r="T286" s="4"/>
      <c r="U286" s="4"/>
    </row>
    <row r="287" spans="2:21" hidden="1" thickTop="1" thickBot="1" x14ac:dyDescent="0.3">
      <c r="B287" s="43">
        <v>100518927</v>
      </c>
      <c r="C287" s="44" t="s">
        <v>385</v>
      </c>
      <c r="D287" s="45"/>
      <c r="E287" s="45" t="str">
        <f>IF(ISERR(FIND("PUL",PRODUCTO_MI_AR68[[#This Row],[NOM PRODUCTO]])),"","ME")</f>
        <v>ME</v>
      </c>
      <c r="F287" s="44" t="s">
        <v>16</v>
      </c>
      <c r="G287" s="44" t="s">
        <v>17</v>
      </c>
      <c r="H287" s="44" t="s">
        <v>18</v>
      </c>
      <c r="I287" s="44" t="s">
        <v>101</v>
      </c>
      <c r="J287" s="44" t="s">
        <v>28</v>
      </c>
      <c r="K287" s="44" t="s">
        <v>356</v>
      </c>
      <c r="L287" s="44" t="s">
        <v>382</v>
      </c>
      <c r="M287" s="44" t="s">
        <v>29</v>
      </c>
      <c r="N287" s="44" t="str">
        <f>IF(ISERR(FIND("CONG",PRODUCTO_MI_AR68[[#This Row],[NOM PRODUCTO]])),"","CONGELADO")</f>
        <v>CONGELADO</v>
      </c>
      <c r="O287" s="46" t="s">
        <v>24</v>
      </c>
      <c r="P287"/>
      <c r="Q287" s="4"/>
      <c r="R287" s="4"/>
      <c r="S287" s="4"/>
      <c r="T287" s="4"/>
      <c r="U287" s="4"/>
    </row>
    <row r="288" spans="2:21" hidden="1" thickTop="1" thickBot="1" x14ac:dyDescent="0.3">
      <c r="B288" s="43">
        <v>100522005</v>
      </c>
      <c r="C288" s="44" t="s">
        <v>386</v>
      </c>
      <c r="D288" s="45"/>
      <c r="E288" s="45" t="s">
        <v>15</v>
      </c>
      <c r="F288" s="44" t="s">
        <v>16</v>
      </c>
      <c r="G288" s="44" t="s">
        <v>17</v>
      </c>
      <c r="H288" s="44" t="s">
        <v>18</v>
      </c>
      <c r="I288" s="44" t="s">
        <v>101</v>
      </c>
      <c r="J288" s="44" t="s">
        <v>28</v>
      </c>
      <c r="K288" s="44" t="s">
        <v>356</v>
      </c>
      <c r="L288" s="44" t="s">
        <v>382</v>
      </c>
      <c r="M288" s="44" t="s">
        <v>29</v>
      </c>
      <c r="N288" s="44" t="str">
        <f>IF(ISERR(FIND("CONG",PRODUCTO_MI_AR68[[#This Row],[NOM PRODUCTO]])),"","CONGELADO")</f>
        <v>CONGELADO</v>
      </c>
      <c r="O288" s="46" t="s">
        <v>24</v>
      </c>
      <c r="P288"/>
      <c r="Q288" s="4"/>
      <c r="R288" s="4"/>
      <c r="S288" s="4"/>
      <c r="T288" s="4"/>
      <c r="U288" s="4"/>
    </row>
    <row r="289" spans="2:21" ht="18" hidden="1" customHeight="1" thickTop="1" thickBot="1" x14ac:dyDescent="0.3">
      <c r="B289" s="43">
        <v>100519536</v>
      </c>
      <c r="C289" s="44" t="s">
        <v>387</v>
      </c>
      <c r="D289" s="45"/>
      <c r="E289" s="45" t="str">
        <f>IF(ISERR(FIND("PUL",PRODUCTO_MI_AR68[[#This Row],[NOM PRODUCTO]])),"","ME")</f>
        <v>ME</v>
      </c>
      <c r="F289" s="44" t="s">
        <v>16</v>
      </c>
      <c r="G289" s="44" t="s">
        <v>17</v>
      </c>
      <c r="H289" s="44" t="s">
        <v>18</v>
      </c>
      <c r="I289" s="44" t="s">
        <v>101</v>
      </c>
      <c r="J289" s="44" t="s">
        <v>40</v>
      </c>
      <c r="K289" s="44" t="s">
        <v>356</v>
      </c>
      <c r="L289" s="44" t="s">
        <v>382</v>
      </c>
      <c r="M289" s="44" t="s">
        <v>41</v>
      </c>
      <c r="N289" s="44" t="str">
        <f>IF(ISERR(FIND("CONG",PRODUCTO_MI_AR68[[#This Row],[NOM PRODUCTO]])),"","CONGELADO")</f>
        <v>CONGELADO</v>
      </c>
      <c r="O289" s="46" t="s">
        <v>24</v>
      </c>
      <c r="P289"/>
      <c r="Q289" s="4"/>
      <c r="R289" s="4"/>
      <c r="S289" s="4"/>
      <c r="T289" s="4"/>
      <c r="U289" s="4"/>
    </row>
    <row r="290" spans="2:21" ht="18" hidden="1" customHeight="1" thickTop="1" thickBot="1" x14ac:dyDescent="0.3">
      <c r="B290" s="43">
        <v>100522129</v>
      </c>
      <c r="C290" s="44" t="s">
        <v>388</v>
      </c>
      <c r="D290" s="45"/>
      <c r="E290" s="45" t="str">
        <f>IF(ISERR(FIND("CLL",PRODUCTO_MI_AR68[[#This Row],[NOM PRODUCTO]])),"","ME")</f>
        <v>ME</v>
      </c>
      <c r="F290" s="44" t="s">
        <v>16</v>
      </c>
      <c r="G290" s="44" t="s">
        <v>17</v>
      </c>
      <c r="H290" s="44" t="s">
        <v>18</v>
      </c>
      <c r="I290" s="44" t="s">
        <v>101</v>
      </c>
      <c r="J290" s="44" t="s">
        <v>20</v>
      </c>
      <c r="K290" s="44" t="s">
        <v>356</v>
      </c>
      <c r="L290" s="44" t="s">
        <v>382</v>
      </c>
      <c r="M290" s="44" t="s">
        <v>22</v>
      </c>
      <c r="N290" s="44" t="s">
        <v>23</v>
      </c>
      <c r="O290" s="46" t="s">
        <v>24</v>
      </c>
      <c r="P290"/>
      <c r="Q290" s="4"/>
      <c r="R290" s="4"/>
      <c r="S290" s="4"/>
      <c r="T290" s="4"/>
      <c r="U290" s="4"/>
    </row>
    <row r="291" spans="2:21" hidden="1" thickTop="1" thickBot="1" x14ac:dyDescent="0.3">
      <c r="B291" s="43">
        <v>100519563</v>
      </c>
      <c r="C291" s="44" t="s">
        <v>389</v>
      </c>
      <c r="D291" s="45"/>
      <c r="E291" s="45" t="str">
        <f>IF(ISERR(FIND("PUL",PRODUCTO_MI_AR68[[#This Row],[NOM PRODUCTO]])),"","ME")</f>
        <v>ME</v>
      </c>
      <c r="F291" s="44" t="s">
        <v>16</v>
      </c>
      <c r="G291" s="44" t="s">
        <v>17</v>
      </c>
      <c r="H291" s="44" t="s">
        <v>18</v>
      </c>
      <c r="I291" s="44" t="s">
        <v>101</v>
      </c>
      <c r="J291" s="44" t="s">
        <v>40</v>
      </c>
      <c r="K291" s="44" t="s">
        <v>356</v>
      </c>
      <c r="L291" s="44" t="s">
        <v>382</v>
      </c>
      <c r="M291" s="44" t="s">
        <v>41</v>
      </c>
      <c r="N291" s="44" t="s">
        <v>23</v>
      </c>
      <c r="O291" s="46" t="s">
        <v>24</v>
      </c>
      <c r="P291"/>
      <c r="Q291" s="4"/>
      <c r="R291" s="4"/>
      <c r="S291" s="4"/>
      <c r="T291" s="4"/>
      <c r="U291" s="4"/>
    </row>
    <row r="292" spans="2:21" hidden="1" thickTop="1" thickBot="1" x14ac:dyDescent="0.3">
      <c r="B292" s="43">
        <v>100519564</v>
      </c>
      <c r="C292" s="44" t="s">
        <v>390</v>
      </c>
      <c r="D292" s="45"/>
      <c r="E292" s="45" t="str">
        <f>IF(ISERR(FIND("PUL",PRODUCTO_MI_AR68[[#This Row],[NOM PRODUCTO]])),"","ME")</f>
        <v>ME</v>
      </c>
      <c r="F292" s="44" t="s">
        <v>16</v>
      </c>
      <c r="G292" s="44" t="s">
        <v>17</v>
      </c>
      <c r="H292" s="44" t="s">
        <v>18</v>
      </c>
      <c r="I292" s="44" t="s">
        <v>101</v>
      </c>
      <c r="J292" s="44" t="s">
        <v>40</v>
      </c>
      <c r="K292" s="44" t="s">
        <v>356</v>
      </c>
      <c r="L292" s="44" t="s">
        <v>382</v>
      </c>
      <c r="M292" s="44" t="s">
        <v>41</v>
      </c>
      <c r="N292" s="44" t="s">
        <v>23</v>
      </c>
      <c r="O292" s="46" t="s">
        <v>24</v>
      </c>
      <c r="P292"/>
      <c r="Q292" s="4"/>
      <c r="R292" s="4"/>
      <c r="S292" s="4"/>
      <c r="T292" s="4"/>
      <c r="U292" s="4"/>
    </row>
    <row r="293" spans="2:21" ht="18" hidden="1" customHeight="1" thickTop="1" thickBot="1" x14ac:dyDescent="0.3">
      <c r="B293" s="43">
        <v>100519565</v>
      </c>
      <c r="C293" s="44" t="s">
        <v>391</v>
      </c>
      <c r="D293" s="45"/>
      <c r="E293" s="45" t="str">
        <f>IF(ISERR(FIND("PUL",PRODUCTO_MI_AR68[[#This Row],[NOM PRODUCTO]])),"","ME")</f>
        <v>ME</v>
      </c>
      <c r="F293" s="44" t="s">
        <v>16</v>
      </c>
      <c r="G293" s="44" t="s">
        <v>17</v>
      </c>
      <c r="H293" s="44" t="s">
        <v>18</v>
      </c>
      <c r="I293" s="44" t="s">
        <v>101</v>
      </c>
      <c r="J293" s="44" t="s">
        <v>40</v>
      </c>
      <c r="K293" s="44" t="s">
        <v>356</v>
      </c>
      <c r="L293" s="44" t="s">
        <v>382</v>
      </c>
      <c r="M293" s="44" t="s">
        <v>41</v>
      </c>
      <c r="N293" s="44" t="s">
        <v>23</v>
      </c>
      <c r="O293" s="46" t="s">
        <v>24</v>
      </c>
      <c r="P293"/>
      <c r="Q293" s="4"/>
      <c r="R293" s="4"/>
      <c r="S293" s="4"/>
      <c r="T293" s="4"/>
      <c r="U293" s="4"/>
    </row>
    <row r="294" spans="2:21" ht="18" hidden="1" customHeight="1" thickTop="1" thickBot="1" x14ac:dyDescent="0.3">
      <c r="B294" s="43">
        <v>100518221</v>
      </c>
      <c r="C294" s="44" t="s">
        <v>392</v>
      </c>
      <c r="D294" s="45"/>
      <c r="E294" s="45" t="str">
        <f>IF(ISERR(FIND("CHILE",PRODUCTO_MI_AR68[[#This Row],[NOM PRODUCTO]])),"","ME")</f>
        <v>ME</v>
      </c>
      <c r="F294" s="44" t="s">
        <v>16</v>
      </c>
      <c r="G294" s="44" t="s">
        <v>17</v>
      </c>
      <c r="H294" s="44" t="s">
        <v>18</v>
      </c>
      <c r="I294" s="44" t="s">
        <v>101</v>
      </c>
      <c r="J294" s="44" t="s">
        <v>28</v>
      </c>
      <c r="K294" s="44" t="s">
        <v>356</v>
      </c>
      <c r="L294" s="44" t="s">
        <v>382</v>
      </c>
      <c r="M294" s="44" t="s">
        <v>29</v>
      </c>
      <c r="N294" s="44" t="s">
        <v>23</v>
      </c>
      <c r="O294" s="46" t="s">
        <v>24</v>
      </c>
      <c r="P294"/>
      <c r="Q294" s="4"/>
      <c r="R294" s="4"/>
      <c r="S294" s="4"/>
      <c r="T294" s="4"/>
      <c r="U294" s="4"/>
    </row>
    <row r="295" spans="2:21" hidden="1" thickTop="1" thickBot="1" x14ac:dyDescent="0.3">
      <c r="B295" s="43">
        <v>100516534</v>
      </c>
      <c r="C295" s="44" t="s">
        <v>393</v>
      </c>
      <c r="D295" s="45"/>
      <c r="E295" s="45" t="str">
        <f>IF(ISERR(FIND("CHILE",PRODUCTO_MI_AR68[[#This Row],[NOM PRODUCTO]])),"","ME")</f>
        <v>ME</v>
      </c>
      <c r="F295" s="44" t="s">
        <v>16</v>
      </c>
      <c r="G295" s="44" t="s">
        <v>17</v>
      </c>
      <c r="H295" s="44" t="s">
        <v>18</v>
      </c>
      <c r="I295" s="44" t="s">
        <v>101</v>
      </c>
      <c r="J295" s="44" t="s">
        <v>28</v>
      </c>
      <c r="K295" s="44" t="s">
        <v>356</v>
      </c>
      <c r="L295" s="44" t="s">
        <v>382</v>
      </c>
      <c r="M295" s="44" t="s">
        <v>29</v>
      </c>
      <c r="N295" s="44" t="s">
        <v>23</v>
      </c>
      <c r="O295" s="46" t="s">
        <v>24</v>
      </c>
      <c r="P295"/>
      <c r="Q295" s="4"/>
      <c r="R295" s="4"/>
      <c r="S295" s="4"/>
      <c r="T295" s="4"/>
      <c r="U295" s="4"/>
    </row>
    <row r="296" spans="2:21" hidden="1" thickTop="1" thickBot="1" x14ac:dyDescent="0.3">
      <c r="B296" s="43">
        <v>100520555</v>
      </c>
      <c r="C296" s="44" t="s">
        <v>394</v>
      </c>
      <c r="D296" s="45"/>
      <c r="E296" s="45" t="str">
        <f>IF(ISERR(FIND("ISRAEL",PRODUCTO_MI_AR68[[#This Row],[NOM PRODUCTO]])),"","ME")</f>
        <v>ME</v>
      </c>
      <c r="F296" s="44" t="s">
        <v>16</v>
      </c>
      <c r="G296" s="44" t="s">
        <v>17</v>
      </c>
      <c r="H296" s="44" t="s">
        <v>18</v>
      </c>
      <c r="I296" s="44" t="s">
        <v>101</v>
      </c>
      <c r="J296" s="44" t="s">
        <v>28</v>
      </c>
      <c r="K296" s="44" t="s">
        <v>356</v>
      </c>
      <c r="L296" s="44" t="s">
        <v>382</v>
      </c>
      <c r="M296" s="44" t="s">
        <v>29</v>
      </c>
      <c r="N296" s="44" t="s">
        <v>23</v>
      </c>
      <c r="O296" s="46" t="s">
        <v>24</v>
      </c>
      <c r="P296"/>
      <c r="Q296" s="4"/>
      <c r="R296" s="4"/>
      <c r="S296" s="4"/>
      <c r="T296" s="4"/>
      <c r="U296" s="4"/>
    </row>
    <row r="297" spans="2:21" ht="18" hidden="1" customHeight="1" thickTop="1" thickBot="1" x14ac:dyDescent="0.3">
      <c r="B297" s="43">
        <v>100519856</v>
      </c>
      <c r="C297" s="44" t="s">
        <v>395</v>
      </c>
      <c r="D297" s="45"/>
      <c r="E297" s="45" t="str">
        <f>IF(ISERR(FIND("CLL",PRODUCTO_MI_AR68[[#This Row],[NOM PRODUCTO]])),"","ME")</f>
        <v>ME</v>
      </c>
      <c r="F297" s="44" t="s">
        <v>16</v>
      </c>
      <c r="G297" s="44" t="s">
        <v>17</v>
      </c>
      <c r="H297" s="44" t="s">
        <v>18</v>
      </c>
      <c r="I297" s="44" t="s">
        <v>101</v>
      </c>
      <c r="J297" s="44" t="s">
        <v>20</v>
      </c>
      <c r="K297" s="44" t="s">
        <v>356</v>
      </c>
      <c r="L297" s="44" t="s">
        <v>382</v>
      </c>
      <c r="M297" s="44" t="s">
        <v>22</v>
      </c>
      <c r="N297" s="44" t="s">
        <v>23</v>
      </c>
      <c r="O297" s="46" t="s">
        <v>24</v>
      </c>
      <c r="P297"/>
      <c r="Q297" s="4"/>
      <c r="R297" s="4"/>
      <c r="S297" s="4"/>
      <c r="T297" s="4"/>
      <c r="U297" s="4"/>
    </row>
    <row r="298" spans="2:21" ht="18" hidden="1" customHeight="1" thickTop="1" thickBot="1" x14ac:dyDescent="0.3">
      <c r="B298" s="43">
        <v>100520453</v>
      </c>
      <c r="C298" s="44" t="s">
        <v>396</v>
      </c>
      <c r="D298" s="45"/>
      <c r="E298" s="45" t="str">
        <f>IF(ISERR(FIND("CLL",PRODUCTO_MI_AR68[[#This Row],[NOM PRODUCTO]])),"","ME")</f>
        <v>ME</v>
      </c>
      <c r="F298" s="44" t="s">
        <v>16</v>
      </c>
      <c r="G298" s="44" t="s">
        <v>17</v>
      </c>
      <c r="H298" s="44" t="s">
        <v>18</v>
      </c>
      <c r="I298" s="44" t="s">
        <v>101</v>
      </c>
      <c r="J298" s="44" t="s">
        <v>20</v>
      </c>
      <c r="K298" s="44" t="s">
        <v>356</v>
      </c>
      <c r="L298" s="44" t="s">
        <v>382</v>
      </c>
      <c r="M298" s="44" t="s">
        <v>22</v>
      </c>
      <c r="N298" s="44" t="s">
        <v>23</v>
      </c>
      <c r="O298" s="46" t="s">
        <v>24</v>
      </c>
      <c r="P298"/>
      <c r="Q298" s="4"/>
      <c r="R298" s="4"/>
      <c r="S298" s="4"/>
      <c r="T298" s="4"/>
      <c r="U298" s="4"/>
    </row>
    <row r="299" spans="2:21" hidden="1" thickTop="1" thickBot="1" x14ac:dyDescent="0.3">
      <c r="B299" s="43">
        <v>100010250</v>
      </c>
      <c r="C299" s="44" t="s">
        <v>397</v>
      </c>
      <c r="D299" s="45"/>
      <c r="E299" s="45" t="s">
        <v>15</v>
      </c>
      <c r="F299" s="44" t="s">
        <v>16</v>
      </c>
      <c r="G299" s="44" t="s">
        <v>17</v>
      </c>
      <c r="H299" s="44" t="s">
        <v>18</v>
      </c>
      <c r="I299" s="44" t="s">
        <v>101</v>
      </c>
      <c r="J299" s="44" t="s">
        <v>20</v>
      </c>
      <c r="K299" s="44" t="s">
        <v>356</v>
      </c>
      <c r="L299" s="44" t="s">
        <v>382</v>
      </c>
      <c r="M299" s="44" t="s">
        <v>22</v>
      </c>
      <c r="N299" s="44" t="s">
        <v>23</v>
      </c>
      <c r="O299" s="46" t="s">
        <v>24</v>
      </c>
      <c r="P299"/>
      <c r="Q299" s="4"/>
      <c r="R299" s="4"/>
      <c r="S299" s="4"/>
      <c r="T299" s="4"/>
      <c r="U299" s="4"/>
    </row>
    <row r="300" spans="2:21" hidden="1" thickTop="1" thickBot="1" x14ac:dyDescent="0.3">
      <c r="B300" s="43">
        <v>100521088</v>
      </c>
      <c r="C300" s="44" t="s">
        <v>398</v>
      </c>
      <c r="D300" s="45"/>
      <c r="E300" s="45" t="str">
        <f>IF(ISERR(FIND("CLL",PRODUCTO_MI_AR68[[#This Row],[NOM PRODUCTO]])),"","ME")</f>
        <v>ME</v>
      </c>
      <c r="F300" s="44" t="s">
        <v>16</v>
      </c>
      <c r="G300" s="44" t="s">
        <v>17</v>
      </c>
      <c r="H300" s="44" t="s">
        <v>18</v>
      </c>
      <c r="I300" s="44" t="s">
        <v>101</v>
      </c>
      <c r="J300" s="44" t="s">
        <v>20</v>
      </c>
      <c r="K300" s="44" t="s">
        <v>356</v>
      </c>
      <c r="L300" s="44" t="s">
        <v>382</v>
      </c>
      <c r="M300" s="44" t="s">
        <v>22</v>
      </c>
      <c r="N300" s="44" t="s">
        <v>23</v>
      </c>
      <c r="O300" s="46" t="s">
        <v>24</v>
      </c>
      <c r="P300"/>
      <c r="Q300" s="4"/>
      <c r="R300" s="4"/>
      <c r="S300" s="4"/>
      <c r="T300" s="4"/>
      <c r="U300" s="4"/>
    </row>
    <row r="301" spans="2:21" ht="18" hidden="1" customHeight="1" thickTop="1" thickBot="1" x14ac:dyDescent="0.3">
      <c r="B301" s="43">
        <v>100520264</v>
      </c>
      <c r="C301" s="44" t="s">
        <v>399</v>
      </c>
      <c r="D301" s="45"/>
      <c r="E301" s="45" t="s">
        <v>15</v>
      </c>
      <c r="F301" s="44" t="s">
        <v>16</v>
      </c>
      <c r="G301" s="44" t="s">
        <v>17</v>
      </c>
      <c r="H301" s="44" t="s">
        <v>18</v>
      </c>
      <c r="I301" s="44" t="s">
        <v>101</v>
      </c>
      <c r="J301" s="44" t="s">
        <v>20</v>
      </c>
      <c r="K301" s="44" t="s">
        <v>356</v>
      </c>
      <c r="L301" s="44" t="s">
        <v>382</v>
      </c>
      <c r="M301" s="44" t="s">
        <v>22</v>
      </c>
      <c r="N301" s="44" t="s">
        <v>23</v>
      </c>
      <c r="O301" s="46" t="s">
        <v>24</v>
      </c>
      <c r="P301"/>
      <c r="Q301" s="4"/>
      <c r="R301" s="4"/>
      <c r="S301" s="4"/>
      <c r="T301" s="4"/>
      <c r="U301" s="4"/>
    </row>
    <row r="302" spans="2:21" ht="18" hidden="1" customHeight="1" thickTop="1" thickBot="1" x14ac:dyDescent="0.3">
      <c r="B302" s="43">
        <v>100521075</v>
      </c>
      <c r="C302" s="44" t="s">
        <v>400</v>
      </c>
      <c r="D302" s="45"/>
      <c r="E302" s="45" t="str">
        <f>IF(ISERR(FIND("KOSHER",PRODUCTO_MI_AR68[[#This Row],[NOM PRODUCTO]])),"","ME")</f>
        <v>ME</v>
      </c>
      <c r="F302" s="44" t="s">
        <v>16</v>
      </c>
      <c r="G302" s="44" t="s">
        <v>17</v>
      </c>
      <c r="H302" s="44" t="s">
        <v>18</v>
      </c>
      <c r="I302" s="44" t="s">
        <v>101</v>
      </c>
      <c r="J302" s="44" t="s">
        <v>28</v>
      </c>
      <c r="K302" s="44" t="s">
        <v>356</v>
      </c>
      <c r="L302" s="44" t="s">
        <v>382</v>
      </c>
      <c r="M302" s="44" t="s">
        <v>29</v>
      </c>
      <c r="N302" s="44" t="s">
        <v>23</v>
      </c>
      <c r="O302" s="46" t="s">
        <v>24</v>
      </c>
      <c r="P302"/>
      <c r="Q302" s="4"/>
      <c r="R302" s="4"/>
      <c r="S302" s="4"/>
      <c r="T302" s="4"/>
      <c r="U302" s="4"/>
    </row>
    <row r="303" spans="2:21" hidden="1" thickTop="1" thickBot="1" x14ac:dyDescent="0.3">
      <c r="B303" s="43">
        <v>100519644</v>
      </c>
      <c r="C303" s="44" t="s">
        <v>401</v>
      </c>
      <c r="D303" s="45"/>
      <c r="E303" s="45" t="str">
        <f>IF(ISERR(FIND("PUL",PRODUCTO_MI_AR68[[#This Row],[NOM PRODUCTO]])),"","ME")</f>
        <v>ME</v>
      </c>
      <c r="F303" s="44" t="s">
        <v>16</v>
      </c>
      <c r="G303" s="44" t="s">
        <v>17</v>
      </c>
      <c r="H303" s="44" t="s">
        <v>18</v>
      </c>
      <c r="I303" s="44" t="s">
        <v>101</v>
      </c>
      <c r="J303" s="44" t="s">
        <v>28</v>
      </c>
      <c r="K303" s="44" t="s">
        <v>356</v>
      </c>
      <c r="L303" s="44" t="s">
        <v>382</v>
      </c>
      <c r="M303" s="44" t="s">
        <v>29</v>
      </c>
      <c r="N303" s="44" t="s">
        <v>23</v>
      </c>
      <c r="O303" s="46" t="s">
        <v>24</v>
      </c>
      <c r="P303"/>
      <c r="Q303" s="4"/>
      <c r="R303" s="4"/>
      <c r="S303" s="4"/>
      <c r="T303" s="4"/>
      <c r="U303" s="4"/>
    </row>
    <row r="304" spans="2:21" hidden="1" thickTop="1" thickBot="1" x14ac:dyDescent="0.3">
      <c r="B304" s="43">
        <v>100519669</v>
      </c>
      <c r="C304" s="44" t="s">
        <v>402</v>
      </c>
      <c r="D304" s="45"/>
      <c r="E304" s="45" t="str">
        <f>IF(ISERR(FIND("PUL",PRODUCTO_MI_AR68[[#This Row],[NOM PRODUCTO]])),"","ME")</f>
        <v>ME</v>
      </c>
      <c r="F304" s="44" t="s">
        <v>16</v>
      </c>
      <c r="G304" s="44" t="s">
        <v>17</v>
      </c>
      <c r="H304" s="44" t="s">
        <v>18</v>
      </c>
      <c r="I304" s="44" t="s">
        <v>101</v>
      </c>
      <c r="J304" s="44" t="s">
        <v>28</v>
      </c>
      <c r="K304" s="44" t="s">
        <v>356</v>
      </c>
      <c r="L304" s="44" t="s">
        <v>382</v>
      </c>
      <c r="M304" s="44" t="s">
        <v>29</v>
      </c>
      <c r="N304" s="44" t="s">
        <v>23</v>
      </c>
      <c r="O304" s="46" t="s">
        <v>24</v>
      </c>
      <c r="P304"/>
      <c r="Q304" s="4"/>
      <c r="R304" s="4"/>
      <c r="S304" s="4"/>
      <c r="T304" s="4"/>
      <c r="U304" s="4"/>
    </row>
    <row r="305" spans="2:21" hidden="1" thickTop="1" thickBot="1" x14ac:dyDescent="0.3">
      <c r="B305" s="43">
        <v>100519497</v>
      </c>
      <c r="C305" s="44" t="s">
        <v>403</v>
      </c>
      <c r="D305" s="45"/>
      <c r="E305" s="45" t="str">
        <f>IF(ISERR(FIND("PUL",PRODUCTO_MI_AR68[[#This Row],[NOM PRODUCTO]])),"","ME")</f>
        <v>ME</v>
      </c>
      <c r="F305" s="44" t="s">
        <v>16</v>
      </c>
      <c r="G305" s="44" t="s">
        <v>17</v>
      </c>
      <c r="H305" s="44" t="s">
        <v>18</v>
      </c>
      <c r="I305" s="44" t="s">
        <v>101</v>
      </c>
      <c r="J305" s="44" t="s">
        <v>40</v>
      </c>
      <c r="K305" s="44" t="s">
        <v>356</v>
      </c>
      <c r="L305" s="44" t="s">
        <v>382</v>
      </c>
      <c r="M305" s="44" t="s">
        <v>41</v>
      </c>
      <c r="N305" s="44" t="s">
        <v>23</v>
      </c>
      <c r="O305" s="46" t="s">
        <v>24</v>
      </c>
      <c r="P305"/>
      <c r="Q305" s="4"/>
      <c r="R305" s="4"/>
      <c r="S305" s="4"/>
      <c r="T305" s="4"/>
      <c r="U305" s="4"/>
    </row>
    <row r="306" spans="2:21" ht="18" hidden="1" customHeight="1" thickTop="1" thickBot="1" x14ac:dyDescent="0.3">
      <c r="B306" s="43">
        <v>100522271</v>
      </c>
      <c r="C306" s="44" t="s">
        <v>404</v>
      </c>
      <c r="D306" s="45"/>
      <c r="E306" s="45" t="str">
        <f>IF(ISERR(FIND("PUL",PRODUCTO_MI_AR68[[#This Row],[NOM PRODUCTO]])),"","ME")</f>
        <v>ME</v>
      </c>
      <c r="F306" s="44" t="s">
        <v>16</v>
      </c>
      <c r="G306" s="44" t="s">
        <v>17</v>
      </c>
      <c r="H306" s="44" t="s">
        <v>18</v>
      </c>
      <c r="I306" s="44" t="s">
        <v>101</v>
      </c>
      <c r="J306" s="44" t="s">
        <v>40</v>
      </c>
      <c r="K306" s="44" t="s">
        <v>356</v>
      </c>
      <c r="L306" s="44" t="s">
        <v>382</v>
      </c>
      <c r="M306" s="44" t="s">
        <v>41</v>
      </c>
      <c r="N306" s="44" t="s">
        <v>23</v>
      </c>
      <c r="O306" s="46" t="s">
        <v>24</v>
      </c>
      <c r="P306"/>
      <c r="Q306" s="4"/>
      <c r="R306" s="4"/>
      <c r="S306" s="4"/>
      <c r="T306" s="4"/>
      <c r="U306" s="4"/>
    </row>
    <row r="307" spans="2:21" ht="18" hidden="1" customHeight="1" thickTop="1" thickBot="1" x14ac:dyDescent="0.3">
      <c r="B307" s="43">
        <v>100519049</v>
      </c>
      <c r="C307" s="44" t="s">
        <v>405</v>
      </c>
      <c r="D307" s="45"/>
      <c r="E307" s="45" t="str">
        <f>IF(ISERR(FIND("PUL",PRODUCTO_MI_AR68[[#This Row],[NOM PRODUCTO]])),"","ME")</f>
        <v>ME</v>
      </c>
      <c r="F307" s="44" t="s">
        <v>16</v>
      </c>
      <c r="G307" s="44" t="s">
        <v>17</v>
      </c>
      <c r="H307" s="44" t="s">
        <v>18</v>
      </c>
      <c r="I307" s="44" t="s">
        <v>101</v>
      </c>
      <c r="J307" s="44" t="s">
        <v>28</v>
      </c>
      <c r="K307" s="44" t="s">
        <v>356</v>
      </c>
      <c r="L307" s="44" t="s">
        <v>382</v>
      </c>
      <c r="M307" s="44" t="s">
        <v>29</v>
      </c>
      <c r="N307" s="44" t="str">
        <f>IF(ISERR(FIND("CONG",PRODUCTO_MI_AR68[[#This Row],[NOM PRODUCTO]])),"","CONGELADO")</f>
        <v>CONGELADO</v>
      </c>
      <c r="O307" s="46" t="s">
        <v>24</v>
      </c>
      <c r="P307"/>
      <c r="Q307" s="4"/>
      <c r="R307" s="4"/>
      <c r="S307" s="4"/>
      <c r="T307" s="4"/>
      <c r="U307" s="4"/>
    </row>
    <row r="308" spans="2:21" hidden="1" thickTop="1" thickBot="1" x14ac:dyDescent="0.3">
      <c r="B308" s="43">
        <v>100522285</v>
      </c>
      <c r="C308" s="44" t="s">
        <v>406</v>
      </c>
      <c r="D308" s="45"/>
      <c r="E308" s="45" t="s">
        <v>15</v>
      </c>
      <c r="F308" s="44" t="s">
        <v>16</v>
      </c>
      <c r="G308" s="44" t="s">
        <v>17</v>
      </c>
      <c r="H308" s="44" t="s">
        <v>18</v>
      </c>
      <c r="I308" s="44" t="s">
        <v>19</v>
      </c>
      <c r="J308" s="44" t="s">
        <v>28</v>
      </c>
      <c r="K308" s="44" t="s">
        <v>407</v>
      </c>
      <c r="L308" s="44" t="s">
        <v>408</v>
      </c>
      <c r="M308" s="44" t="s">
        <v>29</v>
      </c>
      <c r="N308" s="44" t="s">
        <v>193</v>
      </c>
      <c r="O308" s="46" t="s">
        <v>58</v>
      </c>
      <c r="P308"/>
      <c r="Q308" s="4"/>
      <c r="R308" s="4"/>
      <c r="S308" s="4"/>
      <c r="T308" s="4"/>
      <c r="U308" s="4"/>
    </row>
    <row r="309" spans="2:21" ht="18" hidden="1" customHeight="1" thickTop="1" thickBot="1" x14ac:dyDescent="0.3">
      <c r="B309" s="43">
        <v>100522143</v>
      </c>
      <c r="C309" s="44" t="s">
        <v>409</v>
      </c>
      <c r="D309" s="45"/>
      <c r="E309" s="45" t="s">
        <v>44</v>
      </c>
      <c r="F309" s="44" t="s">
        <v>16</v>
      </c>
      <c r="G309" s="44" t="s">
        <v>17</v>
      </c>
      <c r="H309" s="44" t="s">
        <v>213</v>
      </c>
      <c r="I309" s="44" t="s">
        <v>46</v>
      </c>
      <c r="J309" s="44" t="s">
        <v>28</v>
      </c>
      <c r="K309" s="44" t="str">
        <f>PRODUCTO_MI_AR68[[#This Row],[NOM SUBFAMILIA COMERCIAL]]</f>
        <v>REBOZADO DE VEGETAL</v>
      </c>
      <c r="L309" s="44" t="s">
        <v>410</v>
      </c>
      <c r="M309" s="44" t="s">
        <v>57</v>
      </c>
      <c r="N309" s="44" t="str">
        <f>IF(ISERR(FIND("CONG",PRODUCTO_MI_AR68[[#This Row],[NOM PRODUCTO]])),"","CONGELADO")</f>
        <v>CONGELADO</v>
      </c>
      <c r="O309" s="46" t="s">
        <v>49</v>
      </c>
      <c r="P309"/>
      <c r="Q309" s="4"/>
      <c r="R309" s="4"/>
      <c r="S309" s="4"/>
      <c r="T309" s="4"/>
      <c r="U309" s="4"/>
    </row>
    <row r="310" spans="2:21" hidden="1" thickTop="1" thickBot="1" x14ac:dyDescent="0.3">
      <c r="B310" s="43">
        <v>100521358</v>
      </c>
      <c r="C310" s="44" t="s">
        <v>411</v>
      </c>
      <c r="D310" s="45" t="s">
        <v>43</v>
      </c>
      <c r="E310" s="45" t="s">
        <v>44</v>
      </c>
      <c r="F310" s="44" t="s">
        <v>16</v>
      </c>
      <c r="G310" s="44" t="s">
        <v>17</v>
      </c>
      <c r="H310" s="44" t="s">
        <v>213</v>
      </c>
      <c r="I310" s="44" t="s">
        <v>46</v>
      </c>
      <c r="J310" s="44" t="s">
        <v>28</v>
      </c>
      <c r="K310" s="44" t="str">
        <f>PRODUCTO_MI_AR68[[#This Row],[NOM SUBFAMILIA COMERCIAL]]</f>
        <v>REBOZADO DE POLLO</v>
      </c>
      <c r="L310" s="44" t="s">
        <v>223</v>
      </c>
      <c r="M310" s="44" t="s">
        <v>57</v>
      </c>
      <c r="N310" s="44" t="s">
        <v>193</v>
      </c>
      <c r="O310" s="46" t="s">
        <v>49</v>
      </c>
      <c r="P310"/>
      <c r="Q310" s="4"/>
      <c r="R310" s="4"/>
      <c r="S310" s="4"/>
      <c r="T310" s="4"/>
      <c r="U310" s="4"/>
    </row>
    <row r="311" spans="2:21" ht="18" hidden="1" customHeight="1" thickTop="1" thickBot="1" x14ac:dyDescent="0.3">
      <c r="B311" s="43">
        <v>100521357</v>
      </c>
      <c r="C311" s="44" t="s">
        <v>412</v>
      </c>
      <c r="D311" s="45" t="s">
        <v>43</v>
      </c>
      <c r="E311" s="45" t="s">
        <v>44</v>
      </c>
      <c r="F311" s="44" t="s">
        <v>16</v>
      </c>
      <c r="G311" s="44" t="s">
        <v>17</v>
      </c>
      <c r="H311" s="44" t="s">
        <v>213</v>
      </c>
      <c r="I311" s="44" t="s">
        <v>46</v>
      </c>
      <c r="J311" s="44" t="s">
        <v>28</v>
      </c>
      <c r="K311" s="44" t="str">
        <f>PRODUCTO_MI_AR68[[#This Row],[NOM SUBFAMILIA COMERCIAL]]</f>
        <v>REBOZADO DE POLLO</v>
      </c>
      <c r="L311" s="44" t="s">
        <v>223</v>
      </c>
      <c r="M311" s="44" t="s">
        <v>57</v>
      </c>
      <c r="N311" s="44" t="s">
        <v>193</v>
      </c>
      <c r="O311" s="46" t="s">
        <v>49</v>
      </c>
      <c r="P311"/>
      <c r="Q311" s="4"/>
      <c r="R311" s="4"/>
      <c r="S311" s="4"/>
      <c r="T311" s="4"/>
      <c r="U311" s="4"/>
    </row>
    <row r="312" spans="2:21" hidden="1" thickTop="1" thickBot="1" x14ac:dyDescent="0.3">
      <c r="B312" s="43">
        <v>100522002</v>
      </c>
      <c r="C312" s="44" t="s">
        <v>413</v>
      </c>
      <c r="D312" s="45"/>
      <c r="E312" s="45" t="str">
        <f>IF(ISERR(FIND("PUL",PRODUCTO_MI_AR68[[#This Row],[NOM PRODUCTO]])),"","ME")</f>
        <v>ME</v>
      </c>
      <c r="F312" s="44" t="s">
        <v>16</v>
      </c>
      <c r="G312" s="44" t="s">
        <v>17</v>
      </c>
      <c r="H312" s="44" t="s">
        <v>18</v>
      </c>
      <c r="I312" s="44" t="s">
        <v>231</v>
      </c>
      <c r="J312" s="44" t="s">
        <v>28</v>
      </c>
      <c r="K312" s="44" t="s">
        <v>268</v>
      </c>
      <c r="L312" s="44" t="s">
        <v>269</v>
      </c>
      <c r="M312" s="44" t="s">
        <v>29</v>
      </c>
      <c r="N312" s="44" t="str">
        <f>IF(ISERR(FIND("CONG",PRODUCTO_MI_AR68[[#This Row],[NOM PRODUCTO]])),"","CONGELADO")</f>
        <v>CONGELADO</v>
      </c>
      <c r="O312" s="46" t="s">
        <v>24</v>
      </c>
      <c r="P312"/>
      <c r="Q312" s="4"/>
      <c r="R312" s="4"/>
      <c r="S312" s="4"/>
      <c r="T312" s="4"/>
      <c r="U312" s="4"/>
    </row>
    <row r="313" spans="2:21" hidden="1" thickTop="1" thickBot="1" x14ac:dyDescent="0.3">
      <c r="B313" s="43">
        <v>100519048</v>
      </c>
      <c r="C313" s="44" t="s">
        <v>414</v>
      </c>
      <c r="D313" s="45"/>
      <c r="E313" s="45" t="str">
        <f>IF(ISERR(FIND("PUL",PRODUCTO_MI_AR68[[#This Row],[NOM PRODUCTO]])),"","ME")</f>
        <v>ME</v>
      </c>
      <c r="F313" s="44" t="s">
        <v>16</v>
      </c>
      <c r="G313" s="44" t="s">
        <v>17</v>
      </c>
      <c r="H313" s="44" t="s">
        <v>18</v>
      </c>
      <c r="I313" s="44" t="s">
        <v>231</v>
      </c>
      <c r="J313" s="44" t="s">
        <v>28</v>
      </c>
      <c r="K313" s="44" t="s">
        <v>268</v>
      </c>
      <c r="L313" s="44" t="s">
        <v>269</v>
      </c>
      <c r="M313" s="44" t="s">
        <v>29</v>
      </c>
      <c r="N313" s="44" t="str">
        <f>IF(ISERR(FIND("CONG",PRODUCTO_MI_AR68[[#This Row],[NOM PRODUCTO]])),"","CONGELADO")</f>
        <v>CONGELADO</v>
      </c>
      <c r="O313" s="46" t="s">
        <v>24</v>
      </c>
      <c r="P313"/>
      <c r="Q313" s="4"/>
      <c r="R313" s="4"/>
      <c r="S313" s="4"/>
      <c r="T313" s="4"/>
      <c r="U313" s="4"/>
    </row>
    <row r="314" spans="2:21" hidden="1" thickTop="1" thickBot="1" x14ac:dyDescent="0.3">
      <c r="B314" s="43">
        <v>100522340</v>
      </c>
      <c r="C314" s="44" t="s">
        <v>415</v>
      </c>
      <c r="D314" s="45"/>
      <c r="E314" s="45" t="s">
        <v>15</v>
      </c>
      <c r="F314" s="44" t="s">
        <v>16</v>
      </c>
      <c r="G314" s="44" t="s">
        <v>17</v>
      </c>
      <c r="H314" s="44" t="s">
        <v>18</v>
      </c>
      <c r="I314" s="44" t="s">
        <v>231</v>
      </c>
      <c r="J314" s="44" t="s">
        <v>28</v>
      </c>
      <c r="K314" s="44" t="s">
        <v>268</v>
      </c>
      <c r="L314" s="44" t="s">
        <v>268</v>
      </c>
      <c r="M314" s="44" t="s">
        <v>29</v>
      </c>
      <c r="N314" s="44" t="s">
        <v>23</v>
      </c>
      <c r="O314" s="46" t="s">
        <v>24</v>
      </c>
      <c r="P314"/>
      <c r="Q314" s="4"/>
      <c r="R314" s="4"/>
      <c r="S314" s="4"/>
      <c r="T314" s="4"/>
      <c r="U314" s="4"/>
    </row>
    <row r="315" spans="2:21" hidden="1" thickTop="1" thickBot="1" x14ac:dyDescent="0.3">
      <c r="B315" s="43">
        <v>100012902</v>
      </c>
      <c r="C315" s="44" t="s">
        <v>416</v>
      </c>
      <c r="D315" s="45"/>
      <c r="E315" s="45" t="s">
        <v>44</v>
      </c>
      <c r="F315" s="44" t="s">
        <v>16</v>
      </c>
      <c r="G315" s="44" t="s">
        <v>17</v>
      </c>
      <c r="H315" s="44" t="s">
        <v>18</v>
      </c>
      <c r="I315" s="44" t="s">
        <v>231</v>
      </c>
      <c r="J315" s="44" t="s">
        <v>28</v>
      </c>
      <c r="K315" s="44" t="s">
        <v>268</v>
      </c>
      <c r="L315" s="44" t="s">
        <v>268</v>
      </c>
      <c r="M315" s="44" t="s">
        <v>29</v>
      </c>
      <c r="N315" s="44" t="str">
        <f>IF(ISERR(FIND("CONG",PRODUCTO_MI_AR68[[#This Row],[NOM PRODUCTO]])),"","CONGELADO")</f>
        <v>CONGELADO</v>
      </c>
      <c r="O315" s="46" t="s">
        <v>24</v>
      </c>
      <c r="P315"/>
      <c r="Q315" s="4"/>
      <c r="R315" s="4"/>
      <c r="S315" s="4"/>
      <c r="T315" s="4"/>
      <c r="U315" s="4"/>
    </row>
    <row r="316" spans="2:21" hidden="1" thickTop="1" thickBot="1" x14ac:dyDescent="0.3">
      <c r="B316" s="43">
        <v>100517135</v>
      </c>
      <c r="C316" s="44" t="s">
        <v>417</v>
      </c>
      <c r="D316" s="45"/>
      <c r="E316" s="45" t="s">
        <v>44</v>
      </c>
      <c r="F316" s="44" t="s">
        <v>16</v>
      </c>
      <c r="G316" s="44" t="s">
        <v>17</v>
      </c>
      <c r="H316" s="44" t="s">
        <v>18</v>
      </c>
      <c r="I316" s="44" t="s">
        <v>231</v>
      </c>
      <c r="J316" s="44" t="s">
        <v>20</v>
      </c>
      <c r="K316" s="44" t="s">
        <v>268</v>
      </c>
      <c r="L316" s="44" t="s">
        <v>268</v>
      </c>
      <c r="M316" s="44" t="s">
        <v>73</v>
      </c>
      <c r="N316" s="44" t="s">
        <v>23</v>
      </c>
      <c r="O316" s="46" t="s">
        <v>24</v>
      </c>
      <c r="P316"/>
      <c r="Q316" s="4"/>
      <c r="R316" s="4"/>
      <c r="S316" s="4"/>
      <c r="T316" s="4"/>
      <c r="U316" s="4"/>
    </row>
    <row r="317" spans="2:21" hidden="1" thickTop="1" thickBot="1" x14ac:dyDescent="0.3">
      <c r="B317" s="43">
        <v>100523057</v>
      </c>
      <c r="C317" s="44" t="s">
        <v>418</v>
      </c>
      <c r="D317" s="45"/>
      <c r="E317" s="45" t="s">
        <v>44</v>
      </c>
      <c r="F317" s="44" t="s">
        <v>16</v>
      </c>
      <c r="G317" s="44" t="s">
        <v>27</v>
      </c>
      <c r="H317" s="44" t="s">
        <v>18</v>
      </c>
      <c r="I317" s="44" t="s">
        <v>231</v>
      </c>
      <c r="J317" s="44" t="s">
        <v>28</v>
      </c>
      <c r="K317" s="44" t="s">
        <v>268</v>
      </c>
      <c r="L317" s="44" t="s">
        <v>268</v>
      </c>
      <c r="M317" s="44" t="s">
        <v>29</v>
      </c>
      <c r="N317" s="44" t="s">
        <v>23</v>
      </c>
      <c r="O317" s="46" t="s">
        <v>24</v>
      </c>
      <c r="P317"/>
      <c r="Q317" s="4"/>
      <c r="R317" s="4"/>
      <c r="S317" s="4"/>
      <c r="T317" s="4"/>
      <c r="U317" s="4"/>
    </row>
    <row r="318" spans="2:21" hidden="1" thickTop="1" thickBot="1" x14ac:dyDescent="0.3">
      <c r="B318" s="43">
        <v>100010103</v>
      </c>
      <c r="C318" s="44" t="s">
        <v>419</v>
      </c>
      <c r="D318" s="45"/>
      <c r="E318" s="45" t="s">
        <v>44</v>
      </c>
      <c r="F318" s="44" t="s">
        <v>16</v>
      </c>
      <c r="G318" s="44" t="s">
        <v>17</v>
      </c>
      <c r="H318" s="44" t="s">
        <v>18</v>
      </c>
      <c r="I318" s="44" t="s">
        <v>231</v>
      </c>
      <c r="J318" s="44" t="s">
        <v>28</v>
      </c>
      <c r="K318" s="44" t="s">
        <v>268</v>
      </c>
      <c r="L318" s="44" t="s">
        <v>269</v>
      </c>
      <c r="M318" s="44" t="s">
        <v>29</v>
      </c>
      <c r="N318" s="44" t="s">
        <v>23</v>
      </c>
      <c r="O318" s="46" t="s">
        <v>24</v>
      </c>
      <c r="P318"/>
      <c r="Q318" s="4"/>
      <c r="R318" s="4"/>
      <c r="S318" s="4"/>
      <c r="T318" s="4"/>
      <c r="U318" s="4"/>
    </row>
    <row r="319" spans="2:21" hidden="1" thickTop="1" thickBot="1" x14ac:dyDescent="0.3">
      <c r="B319" s="43">
        <v>100522266</v>
      </c>
      <c r="C319" s="44" t="s">
        <v>420</v>
      </c>
      <c r="D319" s="45"/>
      <c r="E319" s="45" t="str">
        <f>IF(ISERR(FIND("PUL",PRODUCTO_MI_AR68[[#This Row],[NOM PRODUCTO]])),"","ME")</f>
        <v>ME</v>
      </c>
      <c r="F319" s="44" t="s">
        <v>16</v>
      </c>
      <c r="G319" s="44" t="s">
        <v>27</v>
      </c>
      <c r="H319" s="44" t="s">
        <v>18</v>
      </c>
      <c r="I319" s="44" t="s">
        <v>231</v>
      </c>
      <c r="J319" s="44" t="s">
        <v>28</v>
      </c>
      <c r="K319" s="44" t="s">
        <v>268</v>
      </c>
      <c r="L319" s="44" t="s">
        <v>269</v>
      </c>
      <c r="M319" s="44" t="s">
        <v>29</v>
      </c>
      <c r="N319" s="44" t="s">
        <v>23</v>
      </c>
      <c r="O319" s="46" t="s">
        <v>24</v>
      </c>
      <c r="P319"/>
      <c r="Q319" s="4"/>
      <c r="R319" s="4"/>
      <c r="S319" s="4"/>
      <c r="T319" s="4"/>
      <c r="U319" s="4"/>
    </row>
    <row r="320" spans="2:21" ht="18" hidden="1" customHeight="1" thickTop="1" thickBot="1" x14ac:dyDescent="0.3">
      <c r="B320" s="43">
        <v>100522273</v>
      </c>
      <c r="C320" s="44" t="s">
        <v>421</v>
      </c>
      <c r="D320" s="45"/>
      <c r="E320" s="45" t="str">
        <f>IF(ISERR(FIND("PUL",PRODUCTO_MI_AR68[[#This Row],[NOM PRODUCTO]])),"","ME")</f>
        <v>ME</v>
      </c>
      <c r="F320" s="44" t="s">
        <v>16</v>
      </c>
      <c r="G320" s="44" t="s">
        <v>17</v>
      </c>
      <c r="H320" s="44" t="s">
        <v>18</v>
      </c>
      <c r="I320" s="44" t="s">
        <v>231</v>
      </c>
      <c r="J320" s="44" t="s">
        <v>40</v>
      </c>
      <c r="K320" s="44" t="s">
        <v>268</v>
      </c>
      <c r="L320" s="44" t="s">
        <v>269</v>
      </c>
      <c r="M320" s="44" t="s">
        <v>41</v>
      </c>
      <c r="N320" s="44" t="s">
        <v>23</v>
      </c>
      <c r="O320" s="46" t="s">
        <v>24</v>
      </c>
      <c r="P320"/>
      <c r="Q320" s="4"/>
      <c r="R320" s="4"/>
      <c r="S320" s="4"/>
      <c r="T320" s="4"/>
      <c r="U320" s="4"/>
    </row>
    <row r="321" spans="2:21" hidden="1" thickTop="1" thickBot="1" x14ac:dyDescent="0.3">
      <c r="B321" s="43">
        <v>100516394</v>
      </c>
      <c r="C321" s="44" t="s">
        <v>422</v>
      </c>
      <c r="D321" s="45"/>
      <c r="E321" s="45" t="s">
        <v>44</v>
      </c>
      <c r="F321" s="44" t="s">
        <v>16</v>
      </c>
      <c r="G321" s="44" t="s">
        <v>17</v>
      </c>
      <c r="H321" s="44" t="s">
        <v>18</v>
      </c>
      <c r="I321" s="44" t="s">
        <v>231</v>
      </c>
      <c r="J321" s="44" t="s">
        <v>28</v>
      </c>
      <c r="K321" s="44" t="s">
        <v>268</v>
      </c>
      <c r="L321" s="44" t="s">
        <v>423</v>
      </c>
      <c r="M321" s="44" t="s">
        <v>57</v>
      </c>
      <c r="N321" s="44" t="str">
        <f>IF(ISERR(FIND("CONG",PRODUCTO_MI_AR68[[#This Row],[NOM PRODUCTO]])),"","CONGELADO")</f>
        <v>CONGELADO</v>
      </c>
      <c r="O321" s="46" t="s">
        <v>24</v>
      </c>
      <c r="P321"/>
      <c r="Q321" s="4"/>
      <c r="R321" s="4"/>
      <c r="S321" s="4"/>
      <c r="T321" s="4"/>
      <c r="U321" s="4"/>
    </row>
    <row r="322" spans="2:21" hidden="1" thickTop="1" thickBot="1" x14ac:dyDescent="0.3">
      <c r="B322" s="43">
        <v>100011563</v>
      </c>
      <c r="C322" s="44" t="s">
        <v>424</v>
      </c>
      <c r="D322" s="45"/>
      <c r="E322" s="45" t="s">
        <v>44</v>
      </c>
      <c r="F322" s="44" t="s">
        <v>16</v>
      </c>
      <c r="G322" s="44" t="s">
        <v>17</v>
      </c>
      <c r="H322" s="44" t="s">
        <v>18</v>
      </c>
      <c r="I322" s="44" t="s">
        <v>231</v>
      </c>
      <c r="J322" s="44" t="s">
        <v>28</v>
      </c>
      <c r="K322" s="44" t="s">
        <v>268</v>
      </c>
      <c r="L322" s="44" t="s">
        <v>423</v>
      </c>
      <c r="M322" s="44" t="s">
        <v>57</v>
      </c>
      <c r="N322" s="44" t="s">
        <v>23</v>
      </c>
      <c r="O322" s="46" t="s">
        <v>24</v>
      </c>
      <c r="P322"/>
      <c r="Q322" s="4"/>
      <c r="R322" s="4"/>
      <c r="S322" s="4"/>
      <c r="T322" s="4"/>
      <c r="U322" s="4"/>
    </row>
    <row r="323" spans="2:21" hidden="1" thickTop="1" thickBot="1" x14ac:dyDescent="0.3">
      <c r="B323" s="43">
        <v>100517792</v>
      </c>
      <c r="C323" s="44" t="s">
        <v>425</v>
      </c>
      <c r="D323" s="45"/>
      <c r="E323" s="45" t="str">
        <f>IF(ISERR(FIND("VENTA LOCAL",PRODUCTO_MI_AR68[[#This Row],[NOM PRODUCTO]])),"","MI")</f>
        <v>MI</v>
      </c>
      <c r="F323" s="44" t="s">
        <v>16</v>
      </c>
      <c r="G323" s="44" t="s">
        <v>17</v>
      </c>
      <c r="H323" s="44" t="s">
        <v>18</v>
      </c>
      <c r="I323" s="44" t="s">
        <v>231</v>
      </c>
      <c r="J323" s="44" t="s">
        <v>28</v>
      </c>
      <c r="K323" s="44" t="s">
        <v>268</v>
      </c>
      <c r="L323" s="44" t="s">
        <v>423</v>
      </c>
      <c r="M323" s="44" t="s">
        <v>57</v>
      </c>
      <c r="N323" s="44" t="s">
        <v>23</v>
      </c>
      <c r="O323" s="46" t="s">
        <v>24</v>
      </c>
      <c r="P323"/>
      <c r="Q323" s="4"/>
      <c r="R323" s="4"/>
      <c r="S323" s="4"/>
      <c r="T323" s="4"/>
      <c r="U323" s="4"/>
    </row>
    <row r="324" spans="2:21" ht="18" hidden="1" customHeight="1" thickTop="1" thickBot="1" x14ac:dyDescent="0.3">
      <c r="B324" s="43">
        <v>100519932</v>
      </c>
      <c r="C324" s="44" t="s">
        <v>426</v>
      </c>
      <c r="D324" s="45"/>
      <c r="E324" s="45" t="str">
        <f>IF(ISERR(FIND("PUL",PRODUCTO_MI_AR68[[#This Row],[NOM PRODUCTO]])),"","ME")</f>
        <v>ME</v>
      </c>
      <c r="F324" s="44" t="s">
        <v>16</v>
      </c>
      <c r="G324" s="44" t="s">
        <v>17</v>
      </c>
      <c r="H324" s="44" t="s">
        <v>18</v>
      </c>
      <c r="I324" s="44" t="s">
        <v>231</v>
      </c>
      <c r="J324" s="44" t="s">
        <v>28</v>
      </c>
      <c r="K324" s="44" t="s">
        <v>268</v>
      </c>
      <c r="L324" s="44" t="s">
        <v>423</v>
      </c>
      <c r="M324" s="44" t="s">
        <v>29</v>
      </c>
      <c r="N324" s="44" t="str">
        <f>IF(ISERR(FIND("CONG",PRODUCTO_MI_AR68[[#This Row],[NOM PRODUCTO]])),"","CONGELADO")</f>
        <v>CONGELADO</v>
      </c>
      <c r="O324" s="46" t="s">
        <v>24</v>
      </c>
      <c r="P324"/>
      <c r="Q324" s="4"/>
      <c r="R324" s="4"/>
      <c r="S324" s="4"/>
      <c r="T324" s="4"/>
      <c r="U324" s="4"/>
    </row>
    <row r="325" spans="2:21" ht="18" hidden="1" customHeight="1" thickTop="1" thickBot="1" x14ac:dyDescent="0.3">
      <c r="B325" s="43">
        <v>100013208</v>
      </c>
      <c r="C325" s="44" t="s">
        <v>427</v>
      </c>
      <c r="D325" s="45"/>
      <c r="E325" s="45" t="s">
        <v>44</v>
      </c>
      <c r="F325" s="44" t="s">
        <v>16</v>
      </c>
      <c r="G325" s="44" t="s">
        <v>17</v>
      </c>
      <c r="H325" s="44" t="s">
        <v>18</v>
      </c>
      <c r="I325" s="44" t="s">
        <v>231</v>
      </c>
      <c r="J325" s="44" t="s">
        <v>28</v>
      </c>
      <c r="K325" s="44" t="s">
        <v>268</v>
      </c>
      <c r="L325" s="44" t="s">
        <v>269</v>
      </c>
      <c r="M325" s="44" t="s">
        <v>29</v>
      </c>
      <c r="N325" s="44" t="str">
        <f>IF(ISERR(FIND("CONG",PRODUCTO_MI_AR68[[#This Row],[NOM PRODUCTO]])),"","CONGELADO")</f>
        <v>CONGELADO</v>
      </c>
      <c r="O325" s="46" t="s">
        <v>24</v>
      </c>
      <c r="P325"/>
      <c r="Q325" s="4"/>
      <c r="R325" s="4"/>
      <c r="S325" s="4"/>
      <c r="T325" s="4"/>
      <c r="U325" s="4"/>
    </row>
    <row r="326" spans="2:21" hidden="1" thickTop="1" thickBot="1" x14ac:dyDescent="0.3">
      <c r="B326" s="43">
        <v>100010659</v>
      </c>
      <c r="C326" s="44" t="s">
        <v>428</v>
      </c>
      <c r="D326" s="45"/>
      <c r="E326" s="45" t="s">
        <v>44</v>
      </c>
      <c r="F326" s="44" t="s">
        <v>16</v>
      </c>
      <c r="G326" s="44" t="s">
        <v>17</v>
      </c>
      <c r="H326" s="44" t="s">
        <v>18</v>
      </c>
      <c r="I326" s="44" t="s">
        <v>231</v>
      </c>
      <c r="J326" s="44" t="s">
        <v>28</v>
      </c>
      <c r="K326" s="44" t="s">
        <v>268</v>
      </c>
      <c r="L326" s="44" t="s">
        <v>269</v>
      </c>
      <c r="M326" s="44" t="s">
        <v>29</v>
      </c>
      <c r="N326" s="44" t="s">
        <v>23</v>
      </c>
      <c r="O326" s="46" t="s">
        <v>24</v>
      </c>
      <c r="P326"/>
      <c r="Q326" s="4"/>
      <c r="R326" s="4"/>
      <c r="S326" s="4"/>
      <c r="T326" s="4"/>
      <c r="U326" s="4"/>
    </row>
    <row r="327" spans="2:21" hidden="1" thickTop="1" thickBot="1" x14ac:dyDescent="0.3">
      <c r="B327" s="43">
        <v>100013218</v>
      </c>
      <c r="C327" s="44" t="s">
        <v>429</v>
      </c>
      <c r="D327" s="45"/>
      <c r="E327" s="45" t="str">
        <f>IF(ISERR(FIND("(L)",PRODUCTO_MI_AR68[[#This Row],[NOM PRODUCTO]])),"","MI")</f>
        <v>MI</v>
      </c>
      <c r="F327" s="44" t="s">
        <v>16</v>
      </c>
      <c r="G327" s="44" t="s">
        <v>17</v>
      </c>
      <c r="H327" s="44" t="s">
        <v>18</v>
      </c>
      <c r="I327" s="44" t="s">
        <v>231</v>
      </c>
      <c r="J327" s="44" t="s">
        <v>28</v>
      </c>
      <c r="K327" s="44" t="s">
        <v>268</v>
      </c>
      <c r="L327" s="44" t="s">
        <v>269</v>
      </c>
      <c r="M327" s="44" t="s">
        <v>57</v>
      </c>
      <c r="N327" s="44" t="s">
        <v>23</v>
      </c>
      <c r="O327" s="46" t="s">
        <v>24</v>
      </c>
      <c r="P327"/>
      <c r="Q327" s="4"/>
      <c r="R327" s="4"/>
      <c r="S327" s="4"/>
      <c r="T327" s="4"/>
      <c r="U327" s="4"/>
    </row>
    <row r="328" spans="2:21" hidden="1" thickTop="1" thickBot="1" x14ac:dyDescent="0.3">
      <c r="B328" s="43">
        <v>100520003</v>
      </c>
      <c r="C328" s="44" t="s">
        <v>430</v>
      </c>
      <c r="D328" s="45"/>
      <c r="E328" s="45" t="s">
        <v>15</v>
      </c>
      <c r="F328" s="44" t="s">
        <v>16</v>
      </c>
      <c r="G328" s="44" t="s">
        <v>17</v>
      </c>
      <c r="H328" s="44" t="s">
        <v>18</v>
      </c>
      <c r="I328" s="44" t="s">
        <v>431</v>
      </c>
      <c r="J328" s="44" t="s">
        <v>28</v>
      </c>
      <c r="K328" s="44" t="s">
        <v>432</v>
      </c>
      <c r="L328" s="44" t="s">
        <v>433</v>
      </c>
      <c r="M328" s="44" t="s">
        <v>62</v>
      </c>
      <c r="N328" s="44" t="str">
        <f>IF(ISERR(FIND("CONG",PRODUCTO_MI_AR68[[#This Row],[NOM PRODUCTO]])),"","CONGELADO")</f>
        <v>CONGELADO</v>
      </c>
      <c r="O328" s="46" t="s">
        <v>24</v>
      </c>
      <c r="P328"/>
      <c r="Q328" s="4"/>
      <c r="R328" s="4"/>
      <c r="S328" s="4"/>
      <c r="T328" s="4"/>
      <c r="U328" s="4"/>
    </row>
    <row r="329" spans="2:21" hidden="1" thickTop="1" thickBot="1" x14ac:dyDescent="0.3">
      <c r="B329" s="43">
        <v>100518465</v>
      </c>
      <c r="C329" s="44" t="s">
        <v>434</v>
      </c>
      <c r="D329" s="45"/>
      <c r="E329" s="45" t="s">
        <v>15</v>
      </c>
      <c r="F329" s="44" t="s">
        <v>16</v>
      </c>
      <c r="G329" s="44" t="s">
        <v>17</v>
      </c>
      <c r="H329" s="44" t="s">
        <v>18</v>
      </c>
      <c r="I329" s="44" t="s">
        <v>431</v>
      </c>
      <c r="J329" s="44" t="s">
        <v>28</v>
      </c>
      <c r="K329" s="44" t="s">
        <v>432</v>
      </c>
      <c r="L329" s="44" t="s">
        <v>435</v>
      </c>
      <c r="M329" s="44" t="s">
        <v>62</v>
      </c>
      <c r="N329" s="44" t="str">
        <f>IF(ISERR(FIND("CONG",PRODUCTO_MI_AR68[[#This Row],[NOM PRODUCTO]])),"","CONGELADO")</f>
        <v>CONGELADO</v>
      </c>
      <c r="O329" s="46" t="s">
        <v>24</v>
      </c>
      <c r="P329"/>
      <c r="Q329" s="4"/>
      <c r="R329" s="4"/>
      <c r="S329" s="4"/>
      <c r="T329" s="4"/>
      <c r="U329" s="4"/>
    </row>
    <row r="330" spans="2:21" hidden="1" thickTop="1" thickBot="1" x14ac:dyDescent="0.3">
      <c r="B330" s="43">
        <v>100517656</v>
      </c>
      <c r="C330" s="44" t="s">
        <v>436</v>
      </c>
      <c r="D330" s="45" t="s">
        <v>212</v>
      </c>
      <c r="E330" s="45" t="s">
        <v>15</v>
      </c>
      <c r="F330" s="44" t="s">
        <v>16</v>
      </c>
      <c r="G330" s="44" t="s">
        <v>17</v>
      </c>
      <c r="H330" s="44" t="s">
        <v>213</v>
      </c>
      <c r="I330" s="44" t="s">
        <v>46</v>
      </c>
      <c r="J330" s="44" t="s">
        <v>28</v>
      </c>
      <c r="K330" s="44" t="str">
        <f>PRODUCTO_MI_AR68[[#This Row],[NOM SUBFAMILIA COMERCIAL]]</f>
        <v>REBOZADO DE POLLO</v>
      </c>
      <c r="L330" s="44" t="s">
        <v>223</v>
      </c>
      <c r="M330" s="44" t="s">
        <v>62</v>
      </c>
      <c r="N330" s="44" t="s">
        <v>193</v>
      </c>
      <c r="O330" s="46" t="s">
        <v>49</v>
      </c>
      <c r="P330"/>
      <c r="Q330" s="4"/>
      <c r="R330" s="4"/>
      <c r="S330" s="4"/>
      <c r="T330" s="4"/>
      <c r="U330" s="4"/>
    </row>
    <row r="331" spans="2:21" hidden="1" thickTop="1" thickBot="1" x14ac:dyDescent="0.3">
      <c r="B331" s="43">
        <v>100517640</v>
      </c>
      <c r="C331" s="44" t="s">
        <v>437</v>
      </c>
      <c r="D331" s="45" t="s">
        <v>212</v>
      </c>
      <c r="E331" s="45" t="s">
        <v>15</v>
      </c>
      <c r="F331" s="44" t="s">
        <v>16</v>
      </c>
      <c r="G331" s="44" t="s">
        <v>17</v>
      </c>
      <c r="H331" s="44" t="s">
        <v>213</v>
      </c>
      <c r="I331" s="44" t="s">
        <v>46</v>
      </c>
      <c r="J331" s="44" t="s">
        <v>28</v>
      </c>
      <c r="K331" s="44" t="str">
        <f>PRODUCTO_MI_AR68[[#This Row],[NOM SUBFAMILIA COMERCIAL]]</f>
        <v>REBOZADO DE POLLO</v>
      </c>
      <c r="L331" s="44" t="s">
        <v>223</v>
      </c>
      <c r="M331" s="44" t="s">
        <v>62</v>
      </c>
      <c r="N331" s="44" t="s">
        <v>193</v>
      </c>
      <c r="O331" s="46" t="s">
        <v>49</v>
      </c>
      <c r="P331"/>
      <c r="Q331" s="4"/>
      <c r="R331" s="4"/>
      <c r="S331" s="4"/>
      <c r="T331" s="4"/>
      <c r="U331" s="4"/>
    </row>
    <row r="332" spans="2:21" hidden="1" thickTop="1" thickBot="1" x14ac:dyDescent="0.3">
      <c r="B332" s="43">
        <v>100522182</v>
      </c>
      <c r="C332" s="44" t="s">
        <v>438</v>
      </c>
      <c r="D332" s="45"/>
      <c r="E332" s="45" t="s">
        <v>44</v>
      </c>
      <c r="F332" s="44" t="s">
        <v>16</v>
      </c>
      <c r="G332" s="44" t="s">
        <v>17</v>
      </c>
      <c r="H332" s="44" t="s">
        <v>18</v>
      </c>
      <c r="I332" s="44" t="s">
        <v>101</v>
      </c>
      <c r="J332" s="44" t="s">
        <v>28</v>
      </c>
      <c r="K332" s="44" t="s">
        <v>201</v>
      </c>
      <c r="L332" s="44" t="s">
        <v>439</v>
      </c>
      <c r="M332" s="44" t="s">
        <v>57</v>
      </c>
      <c r="N332" s="44" t="s">
        <v>23</v>
      </c>
      <c r="O332" s="46" t="s">
        <v>24</v>
      </c>
      <c r="P332"/>
      <c r="Q332" s="4"/>
      <c r="R332" s="4"/>
      <c r="S332" s="4"/>
      <c r="T332" s="4"/>
      <c r="U332" s="4"/>
    </row>
    <row r="333" spans="2:21" ht="18" hidden="1" customHeight="1" thickTop="1" thickBot="1" x14ac:dyDescent="0.3">
      <c r="B333" s="43">
        <v>100522148</v>
      </c>
      <c r="C333" s="44" t="s">
        <v>440</v>
      </c>
      <c r="D333" s="45"/>
      <c r="E333" s="45" t="s">
        <v>44</v>
      </c>
      <c r="F333" s="44" t="s">
        <v>16</v>
      </c>
      <c r="G333" s="44" t="s">
        <v>17</v>
      </c>
      <c r="H333" s="44" t="s">
        <v>18</v>
      </c>
      <c r="I333" s="44" t="s">
        <v>101</v>
      </c>
      <c r="J333" s="44" t="s">
        <v>20</v>
      </c>
      <c r="K333" s="44" t="s">
        <v>201</v>
      </c>
      <c r="L333" s="44" t="s">
        <v>439</v>
      </c>
      <c r="M333" s="44" t="s">
        <v>73</v>
      </c>
      <c r="N333" s="44" t="s">
        <v>23</v>
      </c>
      <c r="O333" s="46" t="s">
        <v>24</v>
      </c>
      <c r="P333"/>
      <c r="Q333" s="4"/>
      <c r="R333" s="4"/>
      <c r="S333" s="4"/>
      <c r="T333" s="4"/>
      <c r="U333" s="4"/>
    </row>
    <row r="334" spans="2:21" ht="18" hidden="1" customHeight="1" thickTop="1" thickBot="1" x14ac:dyDescent="0.3">
      <c r="B334" s="43">
        <v>100520330</v>
      </c>
      <c r="C334" s="44" t="s">
        <v>441</v>
      </c>
      <c r="D334" s="45"/>
      <c r="E334" s="45" t="str">
        <f>IF(ISERR(FIND("CLL",PRODUCTO_MI_AR68[[#This Row],[NOM PRODUCTO]])),"","ME")</f>
        <v>ME</v>
      </c>
      <c r="F334" s="44" t="s">
        <v>16</v>
      </c>
      <c r="G334" s="44" t="s">
        <v>17</v>
      </c>
      <c r="H334" s="44" t="s">
        <v>18</v>
      </c>
      <c r="I334" s="44" t="s">
        <v>101</v>
      </c>
      <c r="J334" s="44" t="s">
        <v>20</v>
      </c>
      <c r="K334" s="44" t="s">
        <v>201</v>
      </c>
      <c r="L334" s="44" t="s">
        <v>439</v>
      </c>
      <c r="M334" s="44" t="s">
        <v>22</v>
      </c>
      <c r="N334" s="44" t="str">
        <f>IF(ISERR(FIND("CONG",PRODUCTO_MI_AR68[[#This Row],[NOM PRODUCTO]])),"","CONGELADO")</f>
        <v>CONGELADO</v>
      </c>
      <c r="O334" s="46" t="s">
        <v>24</v>
      </c>
      <c r="P334"/>
      <c r="Q334" s="4"/>
      <c r="R334" s="4"/>
      <c r="S334" s="4"/>
      <c r="T334" s="4"/>
      <c r="U334" s="4"/>
    </row>
    <row r="335" spans="2:21" ht="18" hidden="1" customHeight="1" thickTop="1" thickBot="1" x14ac:dyDescent="0.3">
      <c r="B335" s="43">
        <v>100517335</v>
      </c>
      <c r="C335" s="44" t="s">
        <v>442</v>
      </c>
      <c r="D335" s="45"/>
      <c r="E335" s="45" t="s">
        <v>44</v>
      </c>
      <c r="F335" s="44" t="s">
        <v>16</v>
      </c>
      <c r="G335" s="44" t="s">
        <v>17</v>
      </c>
      <c r="H335" s="44" t="s">
        <v>18</v>
      </c>
      <c r="I335" s="44" t="s">
        <v>101</v>
      </c>
      <c r="J335" s="44" t="s">
        <v>28</v>
      </c>
      <c r="K335" s="44" t="s">
        <v>201</v>
      </c>
      <c r="L335" s="44" t="s">
        <v>439</v>
      </c>
      <c r="M335" s="44" t="s">
        <v>57</v>
      </c>
      <c r="N335" s="44" t="str">
        <f>IF(ISERR(FIND("CONG",PRODUCTO_MI_AR68[[#This Row],[NOM PRODUCTO]])),"","CONGELADO")</f>
        <v>CONGELADO</v>
      </c>
      <c r="O335" s="46" t="s">
        <v>24</v>
      </c>
      <c r="P335"/>
      <c r="Q335" s="4"/>
      <c r="R335" s="4"/>
      <c r="S335" s="4"/>
      <c r="T335" s="4"/>
      <c r="U335" s="4"/>
    </row>
    <row r="336" spans="2:21" hidden="1" thickTop="1" thickBot="1" x14ac:dyDescent="0.3">
      <c r="B336" s="43">
        <v>100519573</v>
      </c>
      <c r="C336" s="44" t="s">
        <v>443</v>
      </c>
      <c r="D336" s="45"/>
      <c r="E336" s="45" t="str">
        <f>IF(ISERR(FIND("PUL",PRODUCTO_MI_AR68[[#This Row],[NOM PRODUCTO]])),"","ME")</f>
        <v>ME</v>
      </c>
      <c r="F336" s="44" t="s">
        <v>16</v>
      </c>
      <c r="G336" s="44" t="s">
        <v>17</v>
      </c>
      <c r="H336" s="44" t="s">
        <v>18</v>
      </c>
      <c r="I336" s="44" t="s">
        <v>101</v>
      </c>
      <c r="J336" s="44" t="s">
        <v>28</v>
      </c>
      <c r="K336" s="44" t="s">
        <v>201</v>
      </c>
      <c r="L336" s="44" t="s">
        <v>439</v>
      </c>
      <c r="M336" s="44" t="s">
        <v>29</v>
      </c>
      <c r="N336" s="44" t="str">
        <f>IF(ISERR(FIND("CONG",PRODUCTO_MI_AR68[[#This Row],[NOM PRODUCTO]])),"","CONGELADO")</f>
        <v>CONGELADO</v>
      </c>
      <c r="O336" s="46" t="s">
        <v>24</v>
      </c>
      <c r="P336"/>
      <c r="Q336" s="4"/>
      <c r="R336" s="4"/>
      <c r="S336" s="4"/>
      <c r="T336" s="4"/>
      <c r="U336" s="4"/>
    </row>
    <row r="337" spans="2:21" hidden="1" thickTop="1" thickBot="1" x14ac:dyDescent="0.3">
      <c r="B337" s="43">
        <v>100519469</v>
      </c>
      <c r="C337" s="44" t="s">
        <v>444</v>
      </c>
      <c r="D337" s="45"/>
      <c r="E337" s="45" t="str">
        <f>IF(ISERR(FIND("CLL",PRODUCTO_MI_AR68[[#This Row],[NOM PRODUCTO]])),"","ME")</f>
        <v>ME</v>
      </c>
      <c r="F337" s="44" t="s">
        <v>16</v>
      </c>
      <c r="G337" s="44" t="s">
        <v>17</v>
      </c>
      <c r="H337" s="44" t="s">
        <v>18</v>
      </c>
      <c r="I337" s="44" t="s">
        <v>101</v>
      </c>
      <c r="J337" s="44" t="s">
        <v>20</v>
      </c>
      <c r="K337" s="44" t="s">
        <v>201</v>
      </c>
      <c r="L337" s="44" t="s">
        <v>439</v>
      </c>
      <c r="M337" s="44" t="s">
        <v>22</v>
      </c>
      <c r="N337" s="44" t="s">
        <v>23</v>
      </c>
      <c r="O337" s="46" t="s">
        <v>24</v>
      </c>
      <c r="P337"/>
      <c r="Q337" s="4"/>
      <c r="R337" s="4"/>
      <c r="S337" s="4"/>
      <c r="T337" s="4"/>
      <c r="U337" s="4"/>
    </row>
    <row r="338" spans="2:21" hidden="1" thickTop="1" thickBot="1" x14ac:dyDescent="0.3">
      <c r="B338" s="43">
        <v>100010369</v>
      </c>
      <c r="C338" s="44" t="s">
        <v>445</v>
      </c>
      <c r="D338" s="45"/>
      <c r="E338" s="45" t="str">
        <f>IF(ISERR(FIND("CLL",PRODUCTO_MI_AR68[[#This Row],[NOM PRODUCTO]])),"","ME")</f>
        <v>ME</v>
      </c>
      <c r="F338" s="44" t="s">
        <v>16</v>
      </c>
      <c r="G338" s="44" t="s">
        <v>17</v>
      </c>
      <c r="H338" s="44" t="s">
        <v>18</v>
      </c>
      <c r="I338" s="44" t="s">
        <v>101</v>
      </c>
      <c r="J338" s="44" t="s">
        <v>20</v>
      </c>
      <c r="K338" s="44" t="s">
        <v>201</v>
      </c>
      <c r="L338" s="44" t="s">
        <v>439</v>
      </c>
      <c r="M338" s="44" t="s">
        <v>22</v>
      </c>
      <c r="N338" s="44" t="s">
        <v>23</v>
      </c>
      <c r="O338" s="46" t="s">
        <v>24</v>
      </c>
      <c r="P338"/>
      <c r="Q338" s="4"/>
      <c r="R338" s="4"/>
      <c r="S338" s="4"/>
      <c r="T338" s="4"/>
      <c r="U338" s="4"/>
    </row>
    <row r="339" spans="2:21" hidden="1" thickTop="1" thickBot="1" x14ac:dyDescent="0.3">
      <c r="B339" s="43">
        <v>100516663</v>
      </c>
      <c r="C339" s="44" t="s">
        <v>446</v>
      </c>
      <c r="D339" s="45"/>
      <c r="E339" s="45" t="str">
        <f>IF(ISERR(FIND("CLL",PRODUCTO_MI_AR68[[#This Row],[NOM PRODUCTO]])),"","ME")</f>
        <v>ME</v>
      </c>
      <c r="F339" s="44" t="s">
        <v>16</v>
      </c>
      <c r="G339" s="44" t="s">
        <v>17</v>
      </c>
      <c r="H339" s="44" t="s">
        <v>18</v>
      </c>
      <c r="I339" s="44" t="s">
        <v>101</v>
      </c>
      <c r="J339" s="44" t="s">
        <v>20</v>
      </c>
      <c r="K339" s="44" t="s">
        <v>201</v>
      </c>
      <c r="L339" s="44" t="s">
        <v>439</v>
      </c>
      <c r="M339" s="44" t="s">
        <v>22</v>
      </c>
      <c r="N339" s="44" t="s">
        <v>23</v>
      </c>
      <c r="O339" s="46" t="s">
        <v>24</v>
      </c>
      <c r="P339"/>
      <c r="Q339" s="4"/>
      <c r="R339" s="4"/>
      <c r="S339" s="4"/>
      <c r="T339" s="4"/>
      <c r="U339" s="4"/>
    </row>
    <row r="340" spans="2:21" ht="18" hidden="1" customHeight="1" thickTop="1" thickBot="1" x14ac:dyDescent="0.3">
      <c r="B340" s="43">
        <v>100519014</v>
      </c>
      <c r="C340" s="44" t="s">
        <v>447</v>
      </c>
      <c r="D340" s="45"/>
      <c r="E340" s="45" t="str">
        <f>IF(ISERR(FIND("CLL",PRODUCTO_MI_AR68[[#This Row],[NOM PRODUCTO]])),"","ME")</f>
        <v>ME</v>
      </c>
      <c r="F340" s="44" t="s">
        <v>16</v>
      </c>
      <c r="G340" s="44" t="s">
        <v>17</v>
      </c>
      <c r="H340" s="44" t="s">
        <v>18</v>
      </c>
      <c r="I340" s="44" t="s">
        <v>101</v>
      </c>
      <c r="J340" s="44" t="s">
        <v>20</v>
      </c>
      <c r="K340" s="44" t="s">
        <v>201</v>
      </c>
      <c r="L340" s="44" t="s">
        <v>439</v>
      </c>
      <c r="M340" s="44" t="s">
        <v>22</v>
      </c>
      <c r="N340" s="44" t="s">
        <v>23</v>
      </c>
      <c r="O340" s="46" t="s">
        <v>24</v>
      </c>
      <c r="P340"/>
      <c r="Q340" s="4"/>
      <c r="R340" s="4"/>
      <c r="S340" s="4"/>
      <c r="T340" s="4"/>
      <c r="U340" s="4"/>
    </row>
    <row r="341" spans="2:21" ht="18" hidden="1" customHeight="1" thickTop="1" thickBot="1" x14ac:dyDescent="0.3">
      <c r="B341" s="43">
        <v>100010130</v>
      </c>
      <c r="C341" s="44" t="s">
        <v>448</v>
      </c>
      <c r="D341" s="45"/>
      <c r="E341" s="45" t="str">
        <f>IF(ISERR(FIND("CLL",PRODUCTO_MI_AR68[[#This Row],[NOM PRODUCTO]])),"","ME")</f>
        <v>ME</v>
      </c>
      <c r="F341" s="44" t="s">
        <v>16</v>
      </c>
      <c r="G341" s="44" t="s">
        <v>17</v>
      </c>
      <c r="H341" s="44" t="s">
        <v>18</v>
      </c>
      <c r="I341" s="44" t="s">
        <v>101</v>
      </c>
      <c r="J341" s="44" t="s">
        <v>20</v>
      </c>
      <c r="K341" s="44" t="s">
        <v>201</v>
      </c>
      <c r="L341" s="44" t="s">
        <v>439</v>
      </c>
      <c r="M341" s="44" t="s">
        <v>22</v>
      </c>
      <c r="N341" s="44" t="s">
        <v>23</v>
      </c>
      <c r="O341" s="46" t="s">
        <v>24</v>
      </c>
      <c r="P341"/>
      <c r="Q341" s="4"/>
      <c r="R341" s="4"/>
      <c r="S341" s="4"/>
      <c r="T341" s="4"/>
      <c r="U341" s="4"/>
    </row>
    <row r="342" spans="2:21" ht="18" hidden="1" customHeight="1" thickTop="1" thickBot="1" x14ac:dyDescent="0.3">
      <c r="B342" s="43">
        <v>100517067</v>
      </c>
      <c r="C342" s="44" t="s">
        <v>449</v>
      </c>
      <c r="D342" s="45"/>
      <c r="E342" s="45" t="str">
        <f>IF(ISERR(FIND("CLL",PRODUCTO_MI_AR68[[#This Row],[NOM PRODUCTO]])),"","ME")</f>
        <v>ME</v>
      </c>
      <c r="F342" s="44" t="s">
        <v>16</v>
      </c>
      <c r="G342" s="44" t="s">
        <v>17</v>
      </c>
      <c r="H342" s="44" t="s">
        <v>18</v>
      </c>
      <c r="I342" s="44" t="s">
        <v>101</v>
      </c>
      <c r="J342" s="44" t="s">
        <v>20</v>
      </c>
      <c r="K342" s="44" t="s">
        <v>201</v>
      </c>
      <c r="L342" s="44" t="s">
        <v>439</v>
      </c>
      <c r="M342" s="44" t="s">
        <v>22</v>
      </c>
      <c r="N342" s="44" t="s">
        <v>23</v>
      </c>
      <c r="O342" s="46" t="s">
        <v>24</v>
      </c>
      <c r="P342"/>
      <c r="Q342" s="4"/>
      <c r="R342" s="4"/>
      <c r="S342" s="4"/>
      <c r="T342" s="4"/>
      <c r="U342" s="4"/>
    </row>
    <row r="343" spans="2:21" hidden="1" thickTop="1" thickBot="1" x14ac:dyDescent="0.3">
      <c r="B343" s="43">
        <v>100520257</v>
      </c>
      <c r="C343" s="44" t="s">
        <v>449</v>
      </c>
      <c r="D343" s="45"/>
      <c r="E343" s="45" t="str">
        <f>IF(ISERR(FIND("CLL",PRODUCTO_MI_AR68[[#This Row],[NOM PRODUCTO]])),"","ME")</f>
        <v>ME</v>
      </c>
      <c r="F343" s="44" t="s">
        <v>16</v>
      </c>
      <c r="G343" s="44" t="s">
        <v>17</v>
      </c>
      <c r="H343" s="44" t="s">
        <v>18</v>
      </c>
      <c r="I343" s="44" t="s">
        <v>101</v>
      </c>
      <c r="J343" s="44" t="s">
        <v>20</v>
      </c>
      <c r="K343" s="44" t="s">
        <v>201</v>
      </c>
      <c r="L343" s="44" t="s">
        <v>439</v>
      </c>
      <c r="M343" s="44" t="s">
        <v>22</v>
      </c>
      <c r="N343" s="44" t="s">
        <v>23</v>
      </c>
      <c r="O343" s="46" t="s">
        <v>24</v>
      </c>
      <c r="P343"/>
      <c r="Q343" s="4"/>
      <c r="R343" s="4"/>
      <c r="S343" s="4"/>
      <c r="T343" s="4"/>
      <c r="U343" s="4"/>
    </row>
    <row r="344" spans="2:21" hidden="1" thickTop="1" thickBot="1" x14ac:dyDescent="0.3">
      <c r="B344" s="43">
        <v>100013287</v>
      </c>
      <c r="C344" s="44" t="s">
        <v>450</v>
      </c>
      <c r="D344" s="45"/>
      <c r="E344" s="45" t="str">
        <f>IF(ISERR(FIND("VENTA LOCAL",PRODUCTO_MI_AR68[[#This Row],[NOM PRODUCTO]])),"","MI")</f>
        <v>MI</v>
      </c>
      <c r="F344" s="44" t="s">
        <v>16</v>
      </c>
      <c r="G344" s="44" t="s">
        <v>17</v>
      </c>
      <c r="H344" s="44" t="s">
        <v>18</v>
      </c>
      <c r="I344" s="44" t="s">
        <v>101</v>
      </c>
      <c r="J344" s="44" t="s">
        <v>28</v>
      </c>
      <c r="K344" s="44" t="s">
        <v>201</v>
      </c>
      <c r="L344" s="44" t="s">
        <v>439</v>
      </c>
      <c r="M344" s="44" t="s">
        <v>57</v>
      </c>
      <c r="N344" s="44" t="s">
        <v>23</v>
      </c>
      <c r="O344" s="46" t="s">
        <v>24</v>
      </c>
      <c r="P344"/>
      <c r="Q344" s="4"/>
      <c r="R344" s="4"/>
      <c r="S344" s="4"/>
      <c r="T344" s="4"/>
      <c r="U344" s="4"/>
    </row>
    <row r="345" spans="2:21" ht="18" hidden="1" customHeight="1" thickTop="1" thickBot="1" x14ac:dyDescent="0.3">
      <c r="B345" s="43">
        <v>100519505</v>
      </c>
      <c r="C345" s="44" t="s">
        <v>451</v>
      </c>
      <c r="D345" s="45"/>
      <c r="E345" s="45" t="str">
        <f>IF(ISERR(FIND("PUL",PRODUCTO_MI_AR68[[#This Row],[NOM PRODUCTO]])),"","ME")</f>
        <v>ME</v>
      </c>
      <c r="F345" s="44" t="s">
        <v>16</v>
      </c>
      <c r="G345" s="44" t="s">
        <v>17</v>
      </c>
      <c r="H345" s="44" t="s">
        <v>18</v>
      </c>
      <c r="I345" s="44" t="s">
        <v>101</v>
      </c>
      <c r="J345" s="44" t="s">
        <v>40</v>
      </c>
      <c r="K345" s="44" t="s">
        <v>201</v>
      </c>
      <c r="L345" s="44" t="s">
        <v>439</v>
      </c>
      <c r="M345" s="44" t="s">
        <v>41</v>
      </c>
      <c r="N345" s="44" t="s">
        <v>23</v>
      </c>
      <c r="O345" s="46" t="s">
        <v>24</v>
      </c>
      <c r="P345"/>
      <c r="Q345" s="4"/>
      <c r="R345" s="4"/>
      <c r="S345" s="4"/>
      <c r="T345" s="4"/>
      <c r="U345" s="4"/>
    </row>
    <row r="346" spans="2:21" ht="18" hidden="1" customHeight="1" thickTop="1" thickBot="1" x14ac:dyDescent="0.3">
      <c r="B346" s="43">
        <v>100519506</v>
      </c>
      <c r="C346" s="44" t="s">
        <v>451</v>
      </c>
      <c r="D346" s="45"/>
      <c r="E346" s="45" t="str">
        <f>IF(ISERR(FIND("PUL",PRODUCTO_MI_AR68[[#This Row],[NOM PRODUCTO]])),"","ME")</f>
        <v>ME</v>
      </c>
      <c r="F346" s="44" t="s">
        <v>16</v>
      </c>
      <c r="G346" s="44" t="s">
        <v>17</v>
      </c>
      <c r="H346" s="44" t="s">
        <v>18</v>
      </c>
      <c r="I346" s="44" t="s">
        <v>101</v>
      </c>
      <c r="J346" s="44" t="s">
        <v>40</v>
      </c>
      <c r="K346" s="44" t="s">
        <v>201</v>
      </c>
      <c r="L346" s="44" t="s">
        <v>439</v>
      </c>
      <c r="M346" s="44" t="s">
        <v>41</v>
      </c>
      <c r="N346" s="44" t="s">
        <v>23</v>
      </c>
      <c r="O346" s="46" t="s">
        <v>24</v>
      </c>
      <c r="P346"/>
      <c r="Q346" s="4"/>
      <c r="R346" s="4"/>
      <c r="S346" s="4"/>
      <c r="T346" s="4"/>
      <c r="U346" s="4"/>
    </row>
    <row r="347" spans="2:21" hidden="1" thickTop="1" thickBot="1" x14ac:dyDescent="0.3">
      <c r="B347" s="43">
        <v>100519534</v>
      </c>
      <c r="C347" s="44" t="s">
        <v>452</v>
      </c>
      <c r="D347" s="45"/>
      <c r="E347" s="45" t="str">
        <f>IF(ISERR(FIND("PUL",PRODUCTO_MI_AR68[[#This Row],[NOM PRODUCTO]])),"","ME")</f>
        <v>ME</v>
      </c>
      <c r="F347" s="44" t="s">
        <v>16</v>
      </c>
      <c r="G347" s="44" t="s">
        <v>17</v>
      </c>
      <c r="H347" s="44" t="s">
        <v>18</v>
      </c>
      <c r="I347" s="44" t="s">
        <v>101</v>
      </c>
      <c r="J347" s="44" t="s">
        <v>40</v>
      </c>
      <c r="K347" s="44" t="s">
        <v>201</v>
      </c>
      <c r="L347" s="44" t="s">
        <v>439</v>
      </c>
      <c r="M347" s="44" t="s">
        <v>41</v>
      </c>
      <c r="N347" s="44" t="s">
        <v>23</v>
      </c>
      <c r="O347" s="46" t="s">
        <v>24</v>
      </c>
      <c r="P347"/>
      <c r="Q347" s="4"/>
      <c r="R347" s="4"/>
      <c r="S347" s="4"/>
      <c r="T347" s="4"/>
      <c r="U347" s="4"/>
    </row>
    <row r="348" spans="2:21" ht="18" hidden="1" customHeight="1" thickTop="1" thickBot="1" x14ac:dyDescent="0.3">
      <c r="B348" s="43">
        <v>100010689</v>
      </c>
      <c r="C348" s="44" t="s">
        <v>453</v>
      </c>
      <c r="D348" s="45" t="s">
        <v>43</v>
      </c>
      <c r="E348" s="45" t="s">
        <v>44</v>
      </c>
      <c r="F348" s="44" t="s">
        <v>16</v>
      </c>
      <c r="G348" s="44" t="s">
        <v>17</v>
      </c>
      <c r="H348" s="44" t="s">
        <v>18</v>
      </c>
      <c r="I348" s="44" t="s">
        <v>101</v>
      </c>
      <c r="J348" s="44" t="s">
        <v>28</v>
      </c>
      <c r="K348" s="44" t="s">
        <v>201</v>
      </c>
      <c r="L348" s="44" t="s">
        <v>439</v>
      </c>
      <c r="M348" s="44" t="s">
        <v>57</v>
      </c>
      <c r="N348" s="44" t="s">
        <v>23</v>
      </c>
      <c r="O348" s="46" t="s">
        <v>24</v>
      </c>
      <c r="P348"/>
      <c r="Q348" s="4"/>
      <c r="R348" s="4"/>
      <c r="S348" s="4"/>
      <c r="T348" s="4"/>
      <c r="U348" s="4"/>
    </row>
    <row r="349" spans="2:21" hidden="1" thickTop="1" thickBot="1" x14ac:dyDescent="0.3">
      <c r="B349" s="43">
        <v>100517145</v>
      </c>
      <c r="C349" s="44" t="s">
        <v>454</v>
      </c>
      <c r="D349" s="45"/>
      <c r="E349" s="45" t="s">
        <v>44</v>
      </c>
      <c r="F349" s="44" t="s">
        <v>16</v>
      </c>
      <c r="G349" s="44" t="s">
        <v>17</v>
      </c>
      <c r="H349" s="44" t="s">
        <v>18</v>
      </c>
      <c r="I349" s="44" t="s">
        <v>101</v>
      </c>
      <c r="J349" s="44" t="s">
        <v>20</v>
      </c>
      <c r="K349" s="44" t="s">
        <v>201</v>
      </c>
      <c r="L349" s="44" t="s">
        <v>439</v>
      </c>
      <c r="M349" s="44" t="s">
        <v>73</v>
      </c>
      <c r="N349" s="44" t="s">
        <v>23</v>
      </c>
      <c r="O349" s="46" t="s">
        <v>24</v>
      </c>
      <c r="P349"/>
      <c r="Q349" s="4"/>
      <c r="R349" s="4"/>
      <c r="S349" s="4"/>
      <c r="T349" s="4"/>
      <c r="U349" s="4"/>
    </row>
    <row r="350" spans="2:21" ht="18" hidden="1" customHeight="1" thickTop="1" thickBot="1" x14ac:dyDescent="0.3">
      <c r="B350" s="43">
        <v>100516538</v>
      </c>
      <c r="C350" s="44" t="s">
        <v>455</v>
      </c>
      <c r="D350" s="45"/>
      <c r="E350" s="45" t="str">
        <f>IF(ISERR(FIND("CHILE",PRODUCTO_MI_AR68[[#This Row],[NOM PRODUCTO]])),"","ME")</f>
        <v>ME</v>
      </c>
      <c r="F350" s="44" t="s">
        <v>16</v>
      </c>
      <c r="G350" s="44" t="s">
        <v>17</v>
      </c>
      <c r="H350" s="44" t="s">
        <v>18</v>
      </c>
      <c r="I350" s="44" t="s">
        <v>101</v>
      </c>
      <c r="J350" s="44" t="s">
        <v>28</v>
      </c>
      <c r="K350" s="44" t="s">
        <v>201</v>
      </c>
      <c r="L350" s="44" t="s">
        <v>439</v>
      </c>
      <c r="M350" s="44" t="s">
        <v>29</v>
      </c>
      <c r="N350" s="44" t="s">
        <v>23</v>
      </c>
      <c r="O350" s="46" t="s">
        <v>24</v>
      </c>
      <c r="P350"/>
      <c r="Q350" s="4"/>
      <c r="R350" s="4"/>
      <c r="S350" s="4"/>
      <c r="T350" s="4"/>
      <c r="U350" s="4"/>
    </row>
    <row r="351" spans="2:21" hidden="1" thickTop="1" thickBot="1" x14ac:dyDescent="0.3">
      <c r="B351" s="43">
        <v>100520750</v>
      </c>
      <c r="C351" s="44" t="s">
        <v>456</v>
      </c>
      <c r="D351" s="45"/>
      <c r="E351" s="45" t="str">
        <f>IF(ISERR(FIND("CHILE",PRODUCTO_MI_AR68[[#This Row],[NOM PRODUCTO]])),"","ME")</f>
        <v>ME</v>
      </c>
      <c r="F351" s="44" t="s">
        <v>16</v>
      </c>
      <c r="G351" s="44" t="s">
        <v>17</v>
      </c>
      <c r="H351" s="44" t="s">
        <v>18</v>
      </c>
      <c r="I351" s="44" t="s">
        <v>101</v>
      </c>
      <c r="J351" s="44" t="s">
        <v>28</v>
      </c>
      <c r="K351" s="44" t="s">
        <v>201</v>
      </c>
      <c r="L351" s="44" t="s">
        <v>439</v>
      </c>
      <c r="M351" s="44" t="s">
        <v>29</v>
      </c>
      <c r="N351" s="44" t="str">
        <f>IF(ISERR(FIND("CONG",PRODUCTO_MI_AR68[[#This Row],[NOM PRODUCTO]])),"","CONGELADO")</f>
        <v>CONGELADO</v>
      </c>
      <c r="O351" s="46" t="s">
        <v>24</v>
      </c>
      <c r="P351"/>
      <c r="Q351" s="4"/>
      <c r="R351" s="4"/>
      <c r="S351" s="4"/>
      <c r="T351" s="4"/>
      <c r="U351" s="4"/>
    </row>
    <row r="352" spans="2:21" hidden="1" thickTop="1" thickBot="1" x14ac:dyDescent="0.3">
      <c r="B352" s="43">
        <v>100518012</v>
      </c>
      <c r="C352" s="44" t="s">
        <v>457</v>
      </c>
      <c r="D352" s="45"/>
      <c r="E352" s="45" t="str">
        <f>IF(ISERR(FIND("CLL",PRODUCTO_MI_AR68[[#This Row],[NOM PRODUCTO]])),"","ME")</f>
        <v>ME</v>
      </c>
      <c r="F352" s="44" t="s">
        <v>16</v>
      </c>
      <c r="G352" s="44" t="s">
        <v>17</v>
      </c>
      <c r="H352" s="44" t="s">
        <v>18</v>
      </c>
      <c r="I352" s="44" t="s">
        <v>101</v>
      </c>
      <c r="J352" s="44" t="s">
        <v>20</v>
      </c>
      <c r="K352" s="44" t="s">
        <v>201</v>
      </c>
      <c r="L352" s="44" t="s">
        <v>439</v>
      </c>
      <c r="M352" s="44" t="s">
        <v>22</v>
      </c>
      <c r="N352" s="44" t="str">
        <f>IF(ISERR(FIND("CONG",PRODUCTO_MI_AR68[[#This Row],[NOM PRODUCTO]])),"","CONGELADO")</f>
        <v>CONGELADO</v>
      </c>
      <c r="O352" s="46" t="s">
        <v>24</v>
      </c>
      <c r="P352"/>
      <c r="Q352" s="4"/>
      <c r="R352" s="4"/>
      <c r="S352" s="4"/>
      <c r="T352" s="4"/>
      <c r="U352" s="4"/>
    </row>
    <row r="353" spans="2:21" hidden="1" thickTop="1" thickBot="1" x14ac:dyDescent="0.3">
      <c r="B353" s="43">
        <v>100520271</v>
      </c>
      <c r="C353" s="44" t="s">
        <v>458</v>
      </c>
      <c r="D353" s="45"/>
      <c r="E353" s="45" t="s">
        <v>44</v>
      </c>
      <c r="F353" s="44" t="s">
        <v>16</v>
      </c>
      <c r="G353" s="44" t="s">
        <v>17</v>
      </c>
      <c r="H353" s="44" t="s">
        <v>18</v>
      </c>
      <c r="I353" s="44" t="s">
        <v>101</v>
      </c>
      <c r="J353" s="44" t="s">
        <v>20</v>
      </c>
      <c r="K353" s="44" t="s">
        <v>201</v>
      </c>
      <c r="L353" s="44" t="s">
        <v>439</v>
      </c>
      <c r="M353" s="44" t="s">
        <v>73</v>
      </c>
      <c r="N353" s="44" t="str">
        <f>IF(ISERR(FIND("CONG",PRODUCTO_MI_AR68[[#This Row],[NOM PRODUCTO]])),"","CONGELADO")</f>
        <v>CONGELADO</v>
      </c>
      <c r="O353" s="46" t="s">
        <v>24</v>
      </c>
      <c r="P353"/>
      <c r="Q353" s="4"/>
      <c r="R353" s="4"/>
      <c r="S353" s="4"/>
      <c r="T353" s="4"/>
      <c r="U353" s="4"/>
    </row>
    <row r="354" spans="2:21" hidden="1" thickTop="1" thickBot="1" x14ac:dyDescent="0.3">
      <c r="B354" s="43">
        <v>100518041</v>
      </c>
      <c r="C354" s="44" t="s">
        <v>459</v>
      </c>
      <c r="D354" s="45"/>
      <c r="E354" s="45" t="s">
        <v>44</v>
      </c>
      <c r="F354" s="44" t="s">
        <v>16</v>
      </c>
      <c r="G354" s="44" t="s">
        <v>17</v>
      </c>
      <c r="H354" s="44" t="s">
        <v>18</v>
      </c>
      <c r="I354" s="44" t="s">
        <v>101</v>
      </c>
      <c r="J354" s="44" t="s">
        <v>28</v>
      </c>
      <c r="K354" s="44" t="s">
        <v>201</v>
      </c>
      <c r="L354" s="44" t="s">
        <v>439</v>
      </c>
      <c r="M354" s="44" t="s">
        <v>192</v>
      </c>
      <c r="N354" s="44" t="s">
        <v>193</v>
      </c>
      <c r="O354" s="46" t="s">
        <v>24</v>
      </c>
      <c r="P354"/>
      <c r="Q354" s="4"/>
      <c r="R354" s="4"/>
      <c r="S354" s="4"/>
      <c r="T354" s="4"/>
      <c r="U354" s="4"/>
    </row>
    <row r="355" spans="2:21" hidden="1" thickTop="1" thickBot="1" x14ac:dyDescent="0.3">
      <c r="B355" s="43">
        <v>100520867</v>
      </c>
      <c r="C355" s="44" t="s">
        <v>460</v>
      </c>
      <c r="D355" s="45"/>
      <c r="E355" s="45" t="str">
        <f>IF(ISERR(FIND("MEXICO",PRODUCTO_MI_AR68[[#This Row],[NOM PRODUCTO]])),"","ME")</f>
        <v>ME</v>
      </c>
      <c r="F355" s="44" t="s">
        <v>16</v>
      </c>
      <c r="G355" s="44" t="s">
        <v>17</v>
      </c>
      <c r="H355" s="44" t="s">
        <v>18</v>
      </c>
      <c r="I355" s="44" t="s">
        <v>101</v>
      </c>
      <c r="J355" s="44" t="s">
        <v>28</v>
      </c>
      <c r="K355" s="44" t="s">
        <v>201</v>
      </c>
      <c r="L355" s="44" t="s">
        <v>439</v>
      </c>
      <c r="M355" s="44" t="s">
        <v>29</v>
      </c>
      <c r="N355" s="44" t="str">
        <f>IF(ISERR(FIND("CONG",PRODUCTO_MI_AR68[[#This Row],[NOM PRODUCTO]])),"","CONGELADO")</f>
        <v>CONGELADO</v>
      </c>
      <c r="O355" s="46" t="s">
        <v>24</v>
      </c>
      <c r="P355"/>
      <c r="Q355" s="4"/>
      <c r="R355" s="4"/>
      <c r="S355" s="4"/>
      <c r="T355" s="4"/>
      <c r="U355" s="4"/>
    </row>
    <row r="356" spans="2:21" hidden="1" thickTop="1" thickBot="1" x14ac:dyDescent="0.3">
      <c r="B356" s="43">
        <v>100520422</v>
      </c>
      <c r="C356" s="44" t="s">
        <v>461</v>
      </c>
      <c r="D356" s="45"/>
      <c r="E356" s="45" t="str">
        <f>IF(ISERR(FIND("PUL",PRODUCTO_MI_AR68[[#This Row],[NOM PRODUCTO]])),"","ME")</f>
        <v>ME</v>
      </c>
      <c r="F356" s="44" t="s">
        <v>16</v>
      </c>
      <c r="G356" s="44" t="s">
        <v>17</v>
      </c>
      <c r="H356" s="44" t="s">
        <v>18</v>
      </c>
      <c r="I356" s="44" t="s">
        <v>101</v>
      </c>
      <c r="J356" s="44" t="s">
        <v>28</v>
      </c>
      <c r="K356" s="44" t="s">
        <v>201</v>
      </c>
      <c r="L356" s="44" t="s">
        <v>439</v>
      </c>
      <c r="M356" s="44" t="s">
        <v>29</v>
      </c>
      <c r="N356" s="44" t="str">
        <f>IF(ISERR(FIND("CONG",PRODUCTO_MI_AR68[[#This Row],[NOM PRODUCTO]])),"","CONGELADO")</f>
        <v>CONGELADO</v>
      </c>
      <c r="O356" s="46" t="s">
        <v>24</v>
      </c>
      <c r="P356"/>
      <c r="Q356" s="4"/>
      <c r="R356" s="4"/>
      <c r="S356" s="4"/>
      <c r="T356" s="4"/>
      <c r="U356" s="4"/>
    </row>
    <row r="357" spans="2:21" ht="18" hidden="1" customHeight="1" thickTop="1" thickBot="1" x14ac:dyDescent="0.3">
      <c r="B357" s="43">
        <v>100519462</v>
      </c>
      <c r="C357" s="44" t="s">
        <v>462</v>
      </c>
      <c r="D357" s="45"/>
      <c r="E357" s="45" t="s">
        <v>44</v>
      </c>
      <c r="F357" s="44" t="s">
        <v>16</v>
      </c>
      <c r="G357" s="44" t="s">
        <v>17</v>
      </c>
      <c r="H357" s="44" t="s">
        <v>18</v>
      </c>
      <c r="I357" s="44" t="s">
        <v>101</v>
      </c>
      <c r="J357" s="44" t="s">
        <v>28</v>
      </c>
      <c r="K357" s="44" t="s">
        <v>201</v>
      </c>
      <c r="L357" s="44" t="s">
        <v>463</v>
      </c>
      <c r="M357" s="44" t="s">
        <v>57</v>
      </c>
      <c r="N357" s="44" t="str">
        <f>IF(ISERR(FIND("CONG",PRODUCTO_MI_AR68[[#This Row],[NOM PRODUCTO]])),"","CONGELADO")</f>
        <v>CONGELADO</v>
      </c>
      <c r="O357" s="46" t="s">
        <v>24</v>
      </c>
      <c r="P357"/>
      <c r="Q357" s="4"/>
      <c r="R357" s="4"/>
      <c r="S357" s="4"/>
      <c r="T357" s="4"/>
      <c r="U357" s="4"/>
    </row>
    <row r="358" spans="2:21" hidden="1" thickTop="1" thickBot="1" x14ac:dyDescent="0.3">
      <c r="B358" s="43">
        <v>100010515</v>
      </c>
      <c r="C358" s="44" t="s">
        <v>464</v>
      </c>
      <c r="D358" s="45"/>
      <c r="E358" s="45" t="s">
        <v>44</v>
      </c>
      <c r="F358" s="44" t="s">
        <v>16</v>
      </c>
      <c r="G358" s="44" t="s">
        <v>17</v>
      </c>
      <c r="H358" s="44" t="s">
        <v>18</v>
      </c>
      <c r="I358" s="44" t="s">
        <v>101</v>
      </c>
      <c r="J358" s="44" t="s">
        <v>28</v>
      </c>
      <c r="K358" s="44" t="s">
        <v>201</v>
      </c>
      <c r="L358" s="44" t="s">
        <v>463</v>
      </c>
      <c r="M358" s="44" t="s">
        <v>57</v>
      </c>
      <c r="N358" s="44" t="str">
        <f>IF(ISERR(FIND("CONG",PRODUCTO_MI_AR68[[#This Row],[NOM PRODUCTO]])),"","CONGELADO")</f>
        <v>CONGELADO</v>
      </c>
      <c r="O358" s="46" t="s">
        <v>24</v>
      </c>
      <c r="P358"/>
      <c r="Q358" s="4"/>
      <c r="R358" s="4"/>
      <c r="S358" s="4"/>
      <c r="T358" s="4"/>
      <c r="U358" s="4"/>
    </row>
    <row r="359" spans="2:21" ht="18" hidden="1" customHeight="1" thickTop="1" thickBot="1" x14ac:dyDescent="0.3">
      <c r="B359" s="43">
        <v>100523068</v>
      </c>
      <c r="C359" s="44" t="s">
        <v>465</v>
      </c>
      <c r="D359" s="45"/>
      <c r="E359" s="45" t="s">
        <v>44</v>
      </c>
      <c r="F359" s="44" t="s">
        <v>16</v>
      </c>
      <c r="G359" s="44" t="s">
        <v>17</v>
      </c>
      <c r="H359" s="44" t="s">
        <v>213</v>
      </c>
      <c r="I359" s="44" t="s">
        <v>46</v>
      </c>
      <c r="J359" s="44" t="s">
        <v>28</v>
      </c>
      <c r="K359" s="44" t="str">
        <f>PRODUCTO_MI_AR68[[#This Row],[NOM SUBFAMILIA COMERCIAL]]</f>
        <v>REBOZADO DE POLLO</v>
      </c>
      <c r="L359" s="44" t="s">
        <v>223</v>
      </c>
      <c r="M359" s="44" t="s">
        <v>57</v>
      </c>
      <c r="N359" s="44" t="str">
        <f>IF(ISERR(FIND("CONG",PRODUCTO_MI_AR68[[#This Row],[NOM PRODUCTO]])),"","CONGELADO")</f>
        <v>CONGELADO</v>
      </c>
      <c r="O359" s="46" t="s">
        <v>49</v>
      </c>
      <c r="P359"/>
      <c r="Q359" s="4"/>
      <c r="R359" s="4"/>
      <c r="S359" s="4"/>
      <c r="T359" s="4"/>
      <c r="U359" s="4"/>
    </row>
    <row r="360" spans="2:21" hidden="1" thickTop="1" thickBot="1" x14ac:dyDescent="0.3">
      <c r="B360" s="43">
        <v>100016146</v>
      </c>
      <c r="C360" s="44" t="s">
        <v>466</v>
      </c>
      <c r="D360" s="45"/>
      <c r="E360" s="45" t="s">
        <v>44</v>
      </c>
      <c r="F360" s="44" t="s">
        <v>16</v>
      </c>
      <c r="G360" s="44" t="s">
        <v>17</v>
      </c>
      <c r="H360" s="44" t="s">
        <v>18</v>
      </c>
      <c r="I360" s="44" t="s">
        <v>97</v>
      </c>
      <c r="J360" s="44" t="s">
        <v>28</v>
      </c>
      <c r="K360" s="44" t="s">
        <v>98</v>
      </c>
      <c r="L360" s="44" t="s">
        <v>467</v>
      </c>
      <c r="M360" s="44" t="s">
        <v>62</v>
      </c>
      <c r="N360" s="44" t="s">
        <v>193</v>
      </c>
      <c r="O360" s="46" t="s">
        <v>98</v>
      </c>
      <c r="P360"/>
      <c r="Q360" s="4"/>
      <c r="R360" s="4"/>
      <c r="S360" s="4"/>
      <c r="T360" s="4"/>
      <c r="U360" s="4"/>
    </row>
    <row r="361" spans="2:21" hidden="1" thickTop="1" thickBot="1" x14ac:dyDescent="0.3">
      <c r="B361" s="43">
        <v>100520868</v>
      </c>
      <c r="C361" s="44" t="s">
        <v>468</v>
      </c>
      <c r="D361" s="45"/>
      <c r="E361" s="45" t="s">
        <v>44</v>
      </c>
      <c r="F361" s="44" t="s">
        <v>16</v>
      </c>
      <c r="G361" s="44" t="s">
        <v>17</v>
      </c>
      <c r="H361" s="44" t="s">
        <v>18</v>
      </c>
      <c r="I361" s="44" t="s">
        <v>19</v>
      </c>
      <c r="J361" s="44" t="s">
        <v>28</v>
      </c>
      <c r="K361" s="44" t="s">
        <v>469</v>
      </c>
      <c r="L361" s="44" t="s">
        <v>470</v>
      </c>
      <c r="M361" s="44" t="s">
        <v>29</v>
      </c>
      <c r="N361" s="44" t="str">
        <f>IF(ISERR(FIND("CONG",PRODUCTO_MI_AR68[[#This Row],[NOM PRODUCTO]])),"","CONGELADO")</f>
        <v>CONGELADO</v>
      </c>
      <c r="O361" s="46" t="s">
        <v>24</v>
      </c>
      <c r="P361"/>
      <c r="Q361" s="4"/>
      <c r="R361" s="4"/>
      <c r="S361" s="4"/>
      <c r="T361" s="4"/>
      <c r="U361" s="4"/>
    </row>
    <row r="362" spans="2:21" ht="18" hidden="1" customHeight="1" thickTop="1" thickBot="1" x14ac:dyDescent="0.3">
      <c r="B362" s="43">
        <v>100016159</v>
      </c>
      <c r="C362" s="44" t="s">
        <v>471</v>
      </c>
      <c r="D362" s="45"/>
      <c r="E362" s="45" t="s">
        <v>44</v>
      </c>
      <c r="F362" s="44" t="s">
        <v>16</v>
      </c>
      <c r="G362" s="44" t="s">
        <v>17</v>
      </c>
      <c r="H362" s="44" t="s">
        <v>18</v>
      </c>
      <c r="I362" s="44" t="s">
        <v>231</v>
      </c>
      <c r="J362" s="44" t="s">
        <v>28</v>
      </c>
      <c r="K362" s="44" t="s">
        <v>469</v>
      </c>
      <c r="L362" s="44" t="s">
        <v>472</v>
      </c>
      <c r="M362" s="44" t="s">
        <v>62</v>
      </c>
      <c r="N362" s="44" t="s">
        <v>193</v>
      </c>
      <c r="O362" s="46" t="s">
        <v>24</v>
      </c>
      <c r="P362"/>
      <c r="Q362" s="4"/>
      <c r="R362" s="4"/>
      <c r="S362" s="4"/>
      <c r="T362" s="4"/>
      <c r="U362" s="4"/>
    </row>
    <row r="363" spans="2:21" hidden="1" thickTop="1" thickBot="1" x14ac:dyDescent="0.3">
      <c r="B363" s="43">
        <v>100519517</v>
      </c>
      <c r="C363" s="44" t="s">
        <v>473</v>
      </c>
      <c r="D363" s="45"/>
      <c r="E363" s="45" t="str">
        <f>IF(ISERR(FIND("PUL",PRODUCTO_MI_AR68[[#This Row],[NOM PRODUCTO]])),"","ME")</f>
        <v>ME</v>
      </c>
      <c r="F363" s="44" t="s">
        <v>16</v>
      </c>
      <c r="G363" s="44" t="s">
        <v>17</v>
      </c>
      <c r="H363" s="44" t="s">
        <v>18</v>
      </c>
      <c r="I363" s="44" t="s">
        <v>231</v>
      </c>
      <c r="J363" s="44" t="s">
        <v>28</v>
      </c>
      <c r="K363" s="44" t="s">
        <v>469</v>
      </c>
      <c r="L363" s="44" t="s">
        <v>472</v>
      </c>
      <c r="M363" s="44" t="s">
        <v>29</v>
      </c>
      <c r="N363" s="44" t="str">
        <f>IF(ISERR(FIND("CONG",PRODUCTO_MI_AR68[[#This Row],[NOM PRODUCTO]])),"","CONGELADO")</f>
        <v>CONGELADO</v>
      </c>
      <c r="O363" s="46" t="s">
        <v>24</v>
      </c>
      <c r="P363"/>
      <c r="Q363" s="4"/>
      <c r="R363" s="4"/>
      <c r="S363" s="4"/>
      <c r="T363" s="4"/>
      <c r="U363" s="4"/>
    </row>
    <row r="364" spans="2:21" ht="18" hidden="1" customHeight="1" thickTop="1" thickBot="1" x14ac:dyDescent="0.3">
      <c r="B364" s="43">
        <v>100016147</v>
      </c>
      <c r="C364" s="44" t="s">
        <v>474</v>
      </c>
      <c r="D364" s="45"/>
      <c r="E364" s="45" t="s">
        <v>44</v>
      </c>
      <c r="F364" s="44" t="s">
        <v>16</v>
      </c>
      <c r="G364" s="44" t="s">
        <v>17</v>
      </c>
      <c r="H364" s="44" t="s">
        <v>18</v>
      </c>
      <c r="I364" s="44" t="s">
        <v>97</v>
      </c>
      <c r="J364" s="44" t="s">
        <v>28</v>
      </c>
      <c r="K364" s="44" t="s">
        <v>98</v>
      </c>
      <c r="L364" s="44" t="s">
        <v>475</v>
      </c>
      <c r="M364" s="44" t="s">
        <v>62</v>
      </c>
      <c r="N364" s="44" t="str">
        <f>IF(ISERR(FIND("CONG",PRODUCTO_MI_AR68[[#This Row],[NOM PRODUCTO]])),"","CONGELADO")</f>
        <v>CONGELADO</v>
      </c>
      <c r="O364" s="46" t="s">
        <v>98</v>
      </c>
      <c r="P364"/>
      <c r="Q364" s="4"/>
      <c r="R364" s="4"/>
      <c r="S364" s="4"/>
      <c r="T364" s="4"/>
      <c r="U364" s="4"/>
    </row>
    <row r="365" spans="2:21" hidden="1" thickTop="1" thickBot="1" x14ac:dyDescent="0.3">
      <c r="B365" s="43">
        <v>100518291</v>
      </c>
      <c r="C365" s="44" t="s">
        <v>476</v>
      </c>
      <c r="D365" s="45" t="s">
        <v>43</v>
      </c>
      <c r="E365" s="45" t="s">
        <v>44</v>
      </c>
      <c r="F365" s="44" t="s">
        <v>16</v>
      </c>
      <c r="G365" s="44" t="s">
        <v>17</v>
      </c>
      <c r="H365" s="44" t="s">
        <v>18</v>
      </c>
      <c r="I365" s="44" t="s">
        <v>46</v>
      </c>
      <c r="J365" s="44" t="s">
        <v>28</v>
      </c>
      <c r="K365" s="44" t="s">
        <v>477</v>
      </c>
      <c r="L365" s="44" t="s">
        <v>477</v>
      </c>
      <c r="M365" s="44" t="s">
        <v>57</v>
      </c>
      <c r="N365" s="44" t="s">
        <v>193</v>
      </c>
      <c r="O365" s="46" t="s">
        <v>49</v>
      </c>
      <c r="P365"/>
      <c r="Q365" s="4"/>
      <c r="R365" s="4"/>
      <c r="S365" s="4"/>
      <c r="T365" s="4"/>
      <c r="U365" s="4"/>
    </row>
    <row r="366" spans="2:21" hidden="1" thickTop="1" thickBot="1" x14ac:dyDescent="0.3">
      <c r="B366" s="43">
        <v>100518292</v>
      </c>
      <c r="C366" s="44" t="s">
        <v>478</v>
      </c>
      <c r="D366" s="45" t="s">
        <v>43</v>
      </c>
      <c r="E366" s="45" t="s">
        <v>44</v>
      </c>
      <c r="F366" s="44" t="s">
        <v>16</v>
      </c>
      <c r="G366" s="44" t="s">
        <v>17</v>
      </c>
      <c r="H366" s="44" t="s">
        <v>18</v>
      </c>
      <c r="I366" s="44" t="s">
        <v>46</v>
      </c>
      <c r="J366" s="44" t="s">
        <v>28</v>
      </c>
      <c r="K366" s="44" t="s">
        <v>477</v>
      </c>
      <c r="L366" s="44" t="s">
        <v>477</v>
      </c>
      <c r="M366" s="44" t="s">
        <v>57</v>
      </c>
      <c r="N366" s="44" t="s">
        <v>193</v>
      </c>
      <c r="O366" s="46" t="s">
        <v>49</v>
      </c>
      <c r="P366"/>
      <c r="Q366" s="4"/>
      <c r="R366" s="4"/>
      <c r="S366" s="4"/>
      <c r="T366" s="4"/>
      <c r="U366" s="4"/>
    </row>
    <row r="367" spans="2:21" hidden="1" thickTop="1" thickBot="1" x14ac:dyDescent="0.3">
      <c r="B367" s="43">
        <v>100518709</v>
      </c>
      <c r="C367" s="44" t="s">
        <v>479</v>
      </c>
      <c r="D367" s="45" t="s">
        <v>43</v>
      </c>
      <c r="E367" s="45" t="s">
        <v>44</v>
      </c>
      <c r="F367" s="44" t="s">
        <v>16</v>
      </c>
      <c r="G367" s="44" t="s">
        <v>17</v>
      </c>
      <c r="H367" s="44" t="s">
        <v>18</v>
      </c>
      <c r="I367" s="44" t="s">
        <v>46</v>
      </c>
      <c r="J367" s="44" t="s">
        <v>28</v>
      </c>
      <c r="K367" s="44" t="s">
        <v>477</v>
      </c>
      <c r="L367" s="44" t="s">
        <v>477</v>
      </c>
      <c r="M367" s="44" t="s">
        <v>57</v>
      </c>
      <c r="N367" s="44" t="s">
        <v>193</v>
      </c>
      <c r="O367" s="46" t="s">
        <v>49</v>
      </c>
      <c r="P367"/>
      <c r="Q367" s="4"/>
      <c r="R367" s="4"/>
      <c r="S367" s="4"/>
      <c r="T367" s="4"/>
      <c r="U367" s="4"/>
    </row>
    <row r="368" spans="2:21" hidden="1" thickTop="1" thickBot="1" x14ac:dyDescent="0.3">
      <c r="B368" s="43">
        <v>100518708</v>
      </c>
      <c r="C368" s="44" t="s">
        <v>480</v>
      </c>
      <c r="D368" s="45"/>
      <c r="E368" s="45" t="s">
        <v>44</v>
      </c>
      <c r="F368" s="44" t="s">
        <v>16</v>
      </c>
      <c r="G368" s="44" t="s">
        <v>17</v>
      </c>
      <c r="H368" s="44" t="s">
        <v>18</v>
      </c>
      <c r="I368" s="44" t="s">
        <v>46</v>
      </c>
      <c r="J368" s="44" t="s">
        <v>28</v>
      </c>
      <c r="K368" s="44" t="s">
        <v>477</v>
      </c>
      <c r="L368" s="44" t="s">
        <v>477</v>
      </c>
      <c r="M368" s="44" t="s">
        <v>57</v>
      </c>
      <c r="N368" s="44" t="s">
        <v>193</v>
      </c>
      <c r="O368" s="46" t="s">
        <v>49</v>
      </c>
      <c r="P368"/>
      <c r="Q368" s="4"/>
      <c r="R368" s="4"/>
      <c r="S368" s="4"/>
      <c r="T368" s="4"/>
      <c r="U368" s="4"/>
    </row>
    <row r="369" spans="2:21" hidden="1" thickTop="1" thickBot="1" x14ac:dyDescent="0.3">
      <c r="B369" s="43">
        <v>100516067</v>
      </c>
      <c r="C369" s="44" t="s">
        <v>481</v>
      </c>
      <c r="D369" s="45"/>
      <c r="E369" s="45" t="str">
        <f>IF(ISERR(FIND("CHILE",PRODUCTO_MI_AR68[[#This Row],[NOM PRODUCTO]])),"","ME")</f>
        <v>ME</v>
      </c>
      <c r="F369" s="44" t="s">
        <v>16</v>
      </c>
      <c r="G369" s="44" t="s">
        <v>17</v>
      </c>
      <c r="H369" s="44" t="s">
        <v>45</v>
      </c>
      <c r="I369" s="44" t="s">
        <v>46</v>
      </c>
      <c r="J369" s="44" t="s">
        <v>40</v>
      </c>
      <c r="K369" s="44" t="s">
        <v>45</v>
      </c>
      <c r="L369" s="44" t="s">
        <v>47</v>
      </c>
      <c r="M369" s="44" t="s">
        <v>217</v>
      </c>
      <c r="N369" s="44" t="s">
        <v>193</v>
      </c>
      <c r="O369" s="46" t="s">
        <v>49</v>
      </c>
      <c r="P369"/>
      <c r="Q369" s="4"/>
      <c r="R369" s="4"/>
      <c r="S369" s="4"/>
      <c r="T369" s="4"/>
      <c r="U369" s="4"/>
    </row>
    <row r="370" spans="2:21" hidden="1" thickTop="1" thickBot="1" x14ac:dyDescent="0.3">
      <c r="B370" s="43">
        <v>100521098</v>
      </c>
      <c r="C370" s="44" t="s">
        <v>482</v>
      </c>
      <c r="D370" s="45" t="s">
        <v>43</v>
      </c>
      <c r="E370" s="45" t="s">
        <v>44</v>
      </c>
      <c r="F370" s="44" t="s">
        <v>228</v>
      </c>
      <c r="G370" s="44" t="s">
        <v>17</v>
      </c>
      <c r="H370" s="44" t="s">
        <v>45</v>
      </c>
      <c r="I370" s="44" t="s">
        <v>46</v>
      </c>
      <c r="J370" s="44" t="s">
        <v>28</v>
      </c>
      <c r="K370" s="44" t="s">
        <v>45</v>
      </c>
      <c r="L370" s="44" t="s">
        <v>47</v>
      </c>
      <c r="M370" s="44" t="s">
        <v>483</v>
      </c>
      <c r="N370" s="44" t="s">
        <v>193</v>
      </c>
      <c r="O370" s="46" t="s">
        <v>49</v>
      </c>
      <c r="P370"/>
      <c r="Q370" s="4"/>
      <c r="R370" s="4"/>
      <c r="S370" s="4"/>
      <c r="T370" s="4"/>
      <c r="U370" s="4"/>
    </row>
    <row r="371" spans="2:21" ht="18" hidden="1" customHeight="1" thickTop="1" thickBot="1" x14ac:dyDescent="0.3">
      <c r="B371" s="43">
        <v>100521104</v>
      </c>
      <c r="C371" s="44" t="s">
        <v>484</v>
      </c>
      <c r="D371" s="45" t="s">
        <v>43</v>
      </c>
      <c r="E371" s="45" t="s">
        <v>44</v>
      </c>
      <c r="F371" s="44" t="s">
        <v>228</v>
      </c>
      <c r="G371" s="44" t="s">
        <v>17</v>
      </c>
      <c r="H371" s="44" t="s">
        <v>45</v>
      </c>
      <c r="I371" s="44" t="s">
        <v>46</v>
      </c>
      <c r="J371" s="44" t="s">
        <v>28</v>
      </c>
      <c r="K371" s="44" t="s">
        <v>45</v>
      </c>
      <c r="L371" s="44" t="s">
        <v>47</v>
      </c>
      <c r="M371" s="44" t="s">
        <v>483</v>
      </c>
      <c r="N371" s="44" t="s">
        <v>193</v>
      </c>
      <c r="O371" s="46" t="s">
        <v>49</v>
      </c>
      <c r="P371"/>
      <c r="Q371" s="4"/>
      <c r="R371" s="4"/>
      <c r="S371" s="4"/>
      <c r="T371" s="4"/>
      <c r="U371" s="4"/>
    </row>
    <row r="372" spans="2:21" ht="18" hidden="1" customHeight="1" thickTop="1" thickBot="1" x14ac:dyDescent="0.3">
      <c r="B372" s="43">
        <v>100517438</v>
      </c>
      <c r="C372" s="44" t="s">
        <v>485</v>
      </c>
      <c r="D372" s="45"/>
      <c r="E372" s="45" t="s">
        <v>44</v>
      </c>
      <c r="F372" s="44" t="s">
        <v>16</v>
      </c>
      <c r="G372" s="44" t="s">
        <v>17</v>
      </c>
      <c r="H372" s="44" t="s">
        <v>45</v>
      </c>
      <c r="I372" s="44" t="s">
        <v>46</v>
      </c>
      <c r="J372" s="44" t="s">
        <v>28</v>
      </c>
      <c r="K372" s="44" t="s">
        <v>45</v>
      </c>
      <c r="L372" s="44" t="s">
        <v>47</v>
      </c>
      <c r="M372" s="44" t="s">
        <v>57</v>
      </c>
      <c r="N372" s="44" t="s">
        <v>193</v>
      </c>
      <c r="O372" s="46" t="s">
        <v>49</v>
      </c>
      <c r="P372"/>
      <c r="Q372" s="4"/>
      <c r="R372" s="4"/>
      <c r="S372" s="4"/>
      <c r="T372" s="4"/>
      <c r="U372" s="4"/>
    </row>
    <row r="373" spans="2:21" ht="18" hidden="1" customHeight="1" thickTop="1" thickBot="1" x14ac:dyDescent="0.3">
      <c r="B373" s="43">
        <v>100021647</v>
      </c>
      <c r="C373" s="44" t="s">
        <v>486</v>
      </c>
      <c r="D373" s="45" t="s">
        <v>43</v>
      </c>
      <c r="E373" s="45" t="s">
        <v>44</v>
      </c>
      <c r="F373" s="44" t="s">
        <v>228</v>
      </c>
      <c r="G373" s="44" t="s">
        <v>17</v>
      </c>
      <c r="H373" s="44" t="s">
        <v>45</v>
      </c>
      <c r="I373" s="44" t="s">
        <v>46</v>
      </c>
      <c r="J373" s="44" t="s">
        <v>28</v>
      </c>
      <c r="K373" s="44" t="s">
        <v>45</v>
      </c>
      <c r="L373" s="44" t="s">
        <v>47</v>
      </c>
      <c r="M373" s="44" t="s">
        <v>487</v>
      </c>
      <c r="N373" s="44" t="s">
        <v>193</v>
      </c>
      <c r="O373" s="46" t="s">
        <v>49</v>
      </c>
      <c r="P373"/>
      <c r="Q373" s="4"/>
      <c r="R373" s="4"/>
      <c r="S373" s="4"/>
      <c r="T373" s="4"/>
      <c r="U373" s="4"/>
    </row>
    <row r="374" spans="2:21" hidden="1" thickTop="1" thickBot="1" x14ac:dyDescent="0.3">
      <c r="B374" s="43">
        <v>100021652</v>
      </c>
      <c r="C374" s="44" t="s">
        <v>488</v>
      </c>
      <c r="D374" s="45"/>
      <c r="E374" s="45" t="s">
        <v>44</v>
      </c>
      <c r="F374" s="44" t="s">
        <v>16</v>
      </c>
      <c r="G374" s="44" t="s">
        <v>17</v>
      </c>
      <c r="H374" s="44" t="s">
        <v>45</v>
      </c>
      <c r="I374" s="44" t="s">
        <v>46</v>
      </c>
      <c r="J374" s="44" t="s">
        <v>40</v>
      </c>
      <c r="K374" s="44" t="s">
        <v>45</v>
      </c>
      <c r="L374" s="44" t="s">
        <v>47</v>
      </c>
      <c r="M374" s="44" t="s">
        <v>57</v>
      </c>
      <c r="N374" s="44" t="s">
        <v>193</v>
      </c>
      <c r="O374" s="46" t="s">
        <v>49</v>
      </c>
      <c r="P374"/>
      <c r="Q374" s="4"/>
      <c r="R374" s="4"/>
      <c r="S374" s="4"/>
      <c r="T374" s="4"/>
      <c r="U374" s="4"/>
    </row>
    <row r="375" spans="2:21" hidden="1" thickTop="1" thickBot="1" x14ac:dyDescent="0.3">
      <c r="B375" s="43">
        <v>100021669</v>
      </c>
      <c r="C375" s="44" t="s">
        <v>489</v>
      </c>
      <c r="D375" s="45" t="s">
        <v>43</v>
      </c>
      <c r="E375" s="45" t="s">
        <v>44</v>
      </c>
      <c r="F375" s="44" t="s">
        <v>228</v>
      </c>
      <c r="G375" s="44" t="s">
        <v>17</v>
      </c>
      <c r="H375" s="44" t="s">
        <v>45</v>
      </c>
      <c r="I375" s="44" t="s">
        <v>46</v>
      </c>
      <c r="J375" s="44" t="s">
        <v>28</v>
      </c>
      <c r="K375" s="44" t="s">
        <v>45</v>
      </c>
      <c r="L375" s="44" t="s">
        <v>47</v>
      </c>
      <c r="M375" s="44" t="s">
        <v>490</v>
      </c>
      <c r="N375" s="44" t="s">
        <v>193</v>
      </c>
      <c r="O375" s="46" t="s">
        <v>49</v>
      </c>
      <c r="P375"/>
      <c r="Q375" s="4"/>
      <c r="R375" s="4"/>
      <c r="S375" s="4"/>
      <c r="T375" s="4"/>
      <c r="U375" s="4"/>
    </row>
    <row r="376" spans="2:21" ht="18" hidden="1" customHeight="1" thickTop="1" thickBot="1" x14ac:dyDescent="0.3">
      <c r="B376" s="43">
        <v>100517046</v>
      </c>
      <c r="C376" s="44" t="s">
        <v>491</v>
      </c>
      <c r="D376" s="45"/>
      <c r="E376" s="45" t="s">
        <v>44</v>
      </c>
      <c r="F376" s="44" t="s">
        <v>16</v>
      </c>
      <c r="G376" s="44" t="s">
        <v>17</v>
      </c>
      <c r="H376" s="44" t="s">
        <v>45</v>
      </c>
      <c r="I376" s="44" t="s">
        <v>46</v>
      </c>
      <c r="J376" s="44" t="s">
        <v>28</v>
      </c>
      <c r="K376" s="44" t="s">
        <v>45</v>
      </c>
      <c r="L376" s="44" t="s">
        <v>47</v>
      </c>
      <c r="M376" s="44" t="s">
        <v>57</v>
      </c>
      <c r="N376" s="44" t="s">
        <v>193</v>
      </c>
      <c r="O376" s="46" t="s">
        <v>49</v>
      </c>
      <c r="P376"/>
      <c r="Q376" s="4"/>
      <c r="R376" s="4"/>
      <c r="S376" s="4"/>
      <c r="T376" s="4"/>
      <c r="U376" s="4"/>
    </row>
    <row r="377" spans="2:21" thickTop="1" thickBot="1" x14ac:dyDescent="0.3">
      <c r="B377" s="43">
        <v>100021676</v>
      </c>
      <c r="C377" s="44" t="s">
        <v>492</v>
      </c>
      <c r="D377" s="45"/>
      <c r="E377" s="45" t="s">
        <v>44</v>
      </c>
      <c r="F377" s="44" t="s">
        <v>16</v>
      </c>
      <c r="G377" s="44" t="s">
        <v>17</v>
      </c>
      <c r="H377" s="44" t="s">
        <v>45</v>
      </c>
      <c r="I377" s="44" t="s">
        <v>46</v>
      </c>
      <c r="J377" s="44" t="s">
        <v>20</v>
      </c>
      <c r="K377" s="44" t="s">
        <v>45</v>
      </c>
      <c r="L377" s="44" t="s">
        <v>47</v>
      </c>
      <c r="M377" s="44" t="s">
        <v>493</v>
      </c>
      <c r="N377" s="44" t="s">
        <v>193</v>
      </c>
      <c r="O377" s="46" t="s">
        <v>49</v>
      </c>
      <c r="P377"/>
      <c r="Q377" s="4"/>
      <c r="R377" s="4"/>
      <c r="S377" s="4"/>
      <c r="T377" s="4"/>
      <c r="U377" s="4"/>
    </row>
    <row r="378" spans="2:21" hidden="1" thickTop="1" thickBot="1" x14ac:dyDescent="0.3">
      <c r="B378" s="43">
        <v>100517525</v>
      </c>
      <c r="C378" s="44" t="s">
        <v>492</v>
      </c>
      <c r="D378" s="45"/>
      <c r="E378" s="45" t="s">
        <v>44</v>
      </c>
      <c r="F378" s="44" t="s">
        <v>16</v>
      </c>
      <c r="G378" s="44" t="s">
        <v>17</v>
      </c>
      <c r="H378" s="44" t="s">
        <v>45</v>
      </c>
      <c r="I378" s="44" t="s">
        <v>46</v>
      </c>
      <c r="J378" s="44" t="s">
        <v>28</v>
      </c>
      <c r="K378" s="44" t="s">
        <v>45</v>
      </c>
      <c r="L378" s="44" t="s">
        <v>47</v>
      </c>
      <c r="M378" s="44" t="s">
        <v>57</v>
      </c>
      <c r="N378" s="44" t="s">
        <v>193</v>
      </c>
      <c r="O378" s="46" t="s">
        <v>49</v>
      </c>
      <c r="P378"/>
      <c r="Q378" s="4"/>
      <c r="R378" s="4"/>
      <c r="S378" s="4"/>
      <c r="T378" s="4"/>
      <c r="U378" s="4"/>
    </row>
    <row r="379" spans="2:21" hidden="1" thickTop="1" thickBot="1" x14ac:dyDescent="0.3">
      <c r="B379" s="43">
        <v>100518195</v>
      </c>
      <c r="C379" s="44" t="s">
        <v>494</v>
      </c>
      <c r="D379" s="45"/>
      <c r="E379" s="45" t="s">
        <v>44</v>
      </c>
      <c r="F379" s="44" t="s">
        <v>16</v>
      </c>
      <c r="G379" s="44" t="s">
        <v>17</v>
      </c>
      <c r="H379" s="44" t="s">
        <v>45</v>
      </c>
      <c r="I379" s="44" t="s">
        <v>46</v>
      </c>
      <c r="J379" s="44" t="s">
        <v>28</v>
      </c>
      <c r="K379" s="44" t="s">
        <v>45</v>
      </c>
      <c r="L379" s="44" t="s">
        <v>47</v>
      </c>
      <c r="M379" s="44" t="s">
        <v>57</v>
      </c>
      <c r="N379" s="44" t="s">
        <v>193</v>
      </c>
      <c r="O379" s="46" t="s">
        <v>49</v>
      </c>
      <c r="P379"/>
      <c r="Q379" s="4"/>
      <c r="R379" s="4"/>
      <c r="S379" s="4"/>
      <c r="T379" s="4"/>
      <c r="U379" s="4"/>
    </row>
    <row r="380" spans="2:21" hidden="1" thickTop="1" thickBot="1" x14ac:dyDescent="0.3">
      <c r="B380" s="43">
        <v>100021664</v>
      </c>
      <c r="C380" s="44" t="s">
        <v>495</v>
      </c>
      <c r="D380" s="45"/>
      <c r="E380" s="45" t="s">
        <v>44</v>
      </c>
      <c r="F380" s="44" t="s">
        <v>16</v>
      </c>
      <c r="G380" s="44" t="s">
        <v>17</v>
      </c>
      <c r="H380" s="44" t="s">
        <v>45</v>
      </c>
      <c r="I380" s="44" t="s">
        <v>46</v>
      </c>
      <c r="J380" s="44" t="s">
        <v>28</v>
      </c>
      <c r="K380" s="44" t="s">
        <v>45</v>
      </c>
      <c r="L380" s="44" t="s">
        <v>47</v>
      </c>
      <c r="M380" s="44" t="s">
        <v>57</v>
      </c>
      <c r="N380" s="44" t="s">
        <v>193</v>
      </c>
      <c r="O380" s="46" t="s">
        <v>49</v>
      </c>
      <c r="P380"/>
      <c r="Q380" s="4"/>
      <c r="R380" s="4"/>
      <c r="S380" s="4"/>
      <c r="T380" s="4"/>
      <c r="U380" s="4"/>
    </row>
    <row r="381" spans="2:21" hidden="1" thickTop="1" thickBot="1" x14ac:dyDescent="0.3">
      <c r="B381" s="43">
        <v>100021662</v>
      </c>
      <c r="C381" s="44" t="s">
        <v>496</v>
      </c>
      <c r="D381" s="45"/>
      <c r="E381" s="45" t="str">
        <f>IF(ISERR(FIND("EXP",PRODUCTO_MI_AR68[[#This Row],[NOM PRODUCTO]])),"","ME")</f>
        <v>ME</v>
      </c>
      <c r="F381" s="44" t="s">
        <v>16</v>
      </c>
      <c r="G381" s="44" t="s">
        <v>17</v>
      </c>
      <c r="H381" s="44" t="s">
        <v>45</v>
      </c>
      <c r="I381" s="44" t="s">
        <v>46</v>
      </c>
      <c r="J381" s="44" t="s">
        <v>28</v>
      </c>
      <c r="K381" s="44" t="s">
        <v>45</v>
      </c>
      <c r="L381" s="44" t="s">
        <v>47</v>
      </c>
      <c r="M381" s="44" t="s">
        <v>57</v>
      </c>
      <c r="N381" s="44" t="s">
        <v>193</v>
      </c>
      <c r="O381" s="46" t="s">
        <v>49</v>
      </c>
      <c r="P381"/>
      <c r="Q381" s="4"/>
      <c r="R381" s="4"/>
      <c r="S381" s="4"/>
      <c r="T381" s="4"/>
      <c r="U381" s="4"/>
    </row>
    <row r="382" spans="2:21" hidden="1" thickTop="1" thickBot="1" x14ac:dyDescent="0.3">
      <c r="B382" s="43">
        <v>100021649</v>
      </c>
      <c r="C382" s="44" t="s">
        <v>497</v>
      </c>
      <c r="D382" s="45" t="s">
        <v>43</v>
      </c>
      <c r="E382" s="45" t="s">
        <v>44</v>
      </c>
      <c r="F382" s="44" t="s">
        <v>228</v>
      </c>
      <c r="G382" s="44" t="s">
        <v>17</v>
      </c>
      <c r="H382" s="44" t="s">
        <v>45</v>
      </c>
      <c r="I382" s="44" t="s">
        <v>46</v>
      </c>
      <c r="J382" s="44" t="s">
        <v>28</v>
      </c>
      <c r="K382" s="44" t="s">
        <v>45</v>
      </c>
      <c r="L382" s="44" t="s">
        <v>47</v>
      </c>
      <c r="M382" s="44" t="s">
        <v>487</v>
      </c>
      <c r="N382" s="44" t="s">
        <v>193</v>
      </c>
      <c r="O382" s="46" t="s">
        <v>49</v>
      </c>
      <c r="P382"/>
      <c r="Q382" s="4"/>
      <c r="R382" s="4"/>
      <c r="S382" s="4"/>
      <c r="T382" s="4"/>
      <c r="U382" s="4"/>
    </row>
    <row r="383" spans="2:21" hidden="1" thickTop="1" thickBot="1" x14ac:dyDescent="0.3">
      <c r="B383" s="43">
        <v>100021630</v>
      </c>
      <c r="C383" s="44" t="s">
        <v>498</v>
      </c>
      <c r="D383" s="45"/>
      <c r="E383" s="45" t="s">
        <v>44</v>
      </c>
      <c r="F383" s="44" t="s">
        <v>16</v>
      </c>
      <c r="G383" s="44" t="s">
        <v>17</v>
      </c>
      <c r="H383" s="44" t="s">
        <v>45</v>
      </c>
      <c r="I383" s="44" t="s">
        <v>46</v>
      </c>
      <c r="J383" s="44" t="s">
        <v>40</v>
      </c>
      <c r="K383" s="44" t="s">
        <v>45</v>
      </c>
      <c r="L383" s="44" t="s">
        <v>47</v>
      </c>
      <c r="M383" s="44" t="s">
        <v>57</v>
      </c>
      <c r="N383" s="44" t="s">
        <v>193</v>
      </c>
      <c r="O383" s="46" t="s">
        <v>49</v>
      </c>
      <c r="P383"/>
      <c r="Q383" s="4"/>
      <c r="R383" s="4"/>
      <c r="S383" s="4"/>
      <c r="T383" s="4"/>
      <c r="U383" s="4"/>
    </row>
    <row r="384" spans="2:21" hidden="1" thickTop="1" thickBot="1" x14ac:dyDescent="0.3">
      <c r="B384" s="43">
        <v>100021671</v>
      </c>
      <c r="C384" s="44" t="s">
        <v>499</v>
      </c>
      <c r="D384" s="45" t="s">
        <v>43</v>
      </c>
      <c r="E384" s="45" t="s">
        <v>44</v>
      </c>
      <c r="F384" s="44" t="s">
        <v>228</v>
      </c>
      <c r="G384" s="44" t="s">
        <v>17</v>
      </c>
      <c r="H384" s="44" t="s">
        <v>45</v>
      </c>
      <c r="I384" s="44" t="s">
        <v>46</v>
      </c>
      <c r="J384" s="44" t="s">
        <v>28</v>
      </c>
      <c r="K384" s="44" t="s">
        <v>45</v>
      </c>
      <c r="L384" s="44" t="s">
        <v>47</v>
      </c>
      <c r="M384" s="44" t="s">
        <v>490</v>
      </c>
      <c r="N384" s="44" t="s">
        <v>193</v>
      </c>
      <c r="O384" s="46" t="s">
        <v>49</v>
      </c>
      <c r="P384"/>
      <c r="Q384" s="4"/>
      <c r="R384" s="4"/>
      <c r="S384" s="4"/>
      <c r="T384" s="4"/>
      <c r="U384" s="4"/>
    </row>
    <row r="385" spans="2:21" hidden="1" thickTop="1" thickBot="1" x14ac:dyDescent="0.3">
      <c r="B385" s="43">
        <v>100021648</v>
      </c>
      <c r="C385" s="44" t="s">
        <v>500</v>
      </c>
      <c r="D385" s="45" t="s">
        <v>43</v>
      </c>
      <c r="E385" s="45" t="s">
        <v>44</v>
      </c>
      <c r="F385" s="44" t="s">
        <v>228</v>
      </c>
      <c r="G385" s="44" t="s">
        <v>17</v>
      </c>
      <c r="H385" s="44" t="s">
        <v>45</v>
      </c>
      <c r="I385" s="44" t="s">
        <v>46</v>
      </c>
      <c r="J385" s="44" t="s">
        <v>28</v>
      </c>
      <c r="K385" s="44" t="s">
        <v>45</v>
      </c>
      <c r="L385" s="44" t="s">
        <v>47</v>
      </c>
      <c r="M385" s="44" t="s">
        <v>487</v>
      </c>
      <c r="N385" s="44" t="s">
        <v>193</v>
      </c>
      <c r="O385" s="46" t="s">
        <v>49</v>
      </c>
      <c r="P385"/>
      <c r="Q385" s="4"/>
      <c r="R385" s="4"/>
      <c r="S385" s="4"/>
      <c r="T385" s="4"/>
      <c r="U385" s="4"/>
    </row>
    <row r="386" spans="2:21" hidden="1" thickTop="1" thickBot="1" x14ac:dyDescent="0.3">
      <c r="B386" s="43">
        <v>100021631</v>
      </c>
      <c r="C386" s="44" t="s">
        <v>501</v>
      </c>
      <c r="D386" s="45"/>
      <c r="E386" s="45" t="s">
        <v>44</v>
      </c>
      <c r="F386" s="44" t="s">
        <v>16</v>
      </c>
      <c r="G386" s="44" t="s">
        <v>17</v>
      </c>
      <c r="H386" s="44" t="s">
        <v>45</v>
      </c>
      <c r="I386" s="44" t="s">
        <v>46</v>
      </c>
      <c r="J386" s="44" t="s">
        <v>40</v>
      </c>
      <c r="K386" s="44" t="s">
        <v>45</v>
      </c>
      <c r="L386" s="44" t="s">
        <v>47</v>
      </c>
      <c r="M386" s="44" t="s">
        <v>57</v>
      </c>
      <c r="N386" s="44" t="s">
        <v>193</v>
      </c>
      <c r="O386" s="46" t="s">
        <v>49</v>
      </c>
      <c r="P386"/>
      <c r="Q386" s="4"/>
      <c r="R386" s="4"/>
      <c r="S386" s="4"/>
      <c r="T386" s="4"/>
      <c r="U386" s="4"/>
    </row>
    <row r="387" spans="2:21" ht="18" hidden="1" customHeight="1" thickTop="1" thickBot="1" x14ac:dyDescent="0.3">
      <c r="B387" s="43">
        <v>100517522</v>
      </c>
      <c r="C387" s="44" t="s">
        <v>501</v>
      </c>
      <c r="D387" s="45"/>
      <c r="E387" s="45" t="s">
        <v>44</v>
      </c>
      <c r="F387" s="44" t="s">
        <v>16</v>
      </c>
      <c r="G387" s="44" t="s">
        <v>17</v>
      </c>
      <c r="H387" s="44" t="s">
        <v>45</v>
      </c>
      <c r="I387" s="44" t="s">
        <v>46</v>
      </c>
      <c r="J387" s="44" t="s">
        <v>40</v>
      </c>
      <c r="K387" s="44" t="s">
        <v>45</v>
      </c>
      <c r="L387" s="44" t="s">
        <v>47</v>
      </c>
      <c r="M387" s="44" t="s">
        <v>57</v>
      </c>
      <c r="N387" s="44" t="s">
        <v>193</v>
      </c>
      <c r="O387" s="46" t="s">
        <v>49</v>
      </c>
      <c r="P387"/>
      <c r="Q387" s="4"/>
      <c r="R387" s="4"/>
      <c r="S387" s="4"/>
      <c r="T387" s="4"/>
      <c r="U387" s="4"/>
    </row>
    <row r="388" spans="2:21" hidden="1" thickTop="1" thickBot="1" x14ac:dyDescent="0.3">
      <c r="B388" s="43">
        <v>100517184</v>
      </c>
      <c r="C388" s="44" t="s">
        <v>502</v>
      </c>
      <c r="D388" s="45" t="s">
        <v>43</v>
      </c>
      <c r="E388" s="45" t="s">
        <v>44</v>
      </c>
      <c r="F388" s="44" t="s">
        <v>16</v>
      </c>
      <c r="G388" s="44" t="s">
        <v>17</v>
      </c>
      <c r="H388" s="44" t="s">
        <v>45</v>
      </c>
      <c r="I388" s="44" t="s">
        <v>46</v>
      </c>
      <c r="J388" s="44" t="s">
        <v>28</v>
      </c>
      <c r="K388" s="44" t="s">
        <v>45</v>
      </c>
      <c r="L388" s="44" t="s">
        <v>47</v>
      </c>
      <c r="M388" s="44" t="s">
        <v>503</v>
      </c>
      <c r="N388" s="44" t="s">
        <v>193</v>
      </c>
      <c r="O388" s="46" t="s">
        <v>49</v>
      </c>
      <c r="P388"/>
      <c r="Q388" s="4"/>
      <c r="R388" s="4"/>
      <c r="S388" s="4"/>
      <c r="T388" s="4"/>
      <c r="U388" s="4"/>
    </row>
    <row r="389" spans="2:21" hidden="1" thickTop="1" thickBot="1" x14ac:dyDescent="0.3">
      <c r="B389" s="43">
        <v>100518223</v>
      </c>
      <c r="C389" s="44" t="s">
        <v>504</v>
      </c>
      <c r="D389" s="45"/>
      <c r="E389" s="45" t="s">
        <v>44</v>
      </c>
      <c r="F389" s="44" t="s">
        <v>16</v>
      </c>
      <c r="G389" s="44" t="s">
        <v>17</v>
      </c>
      <c r="H389" s="44" t="s">
        <v>45</v>
      </c>
      <c r="I389" s="44" t="s">
        <v>46</v>
      </c>
      <c r="J389" s="44" t="s">
        <v>28</v>
      </c>
      <c r="K389" s="44" t="s">
        <v>45</v>
      </c>
      <c r="L389" s="44" t="s">
        <v>47</v>
      </c>
      <c r="M389" s="44" t="s">
        <v>57</v>
      </c>
      <c r="N389" s="44" t="s">
        <v>193</v>
      </c>
      <c r="O389" s="46" t="s">
        <v>49</v>
      </c>
      <c r="P389"/>
      <c r="Q389" s="4"/>
      <c r="R389" s="4"/>
      <c r="S389" s="4"/>
      <c r="T389" s="4"/>
      <c r="U389" s="4"/>
    </row>
    <row r="390" spans="2:21" hidden="1" thickTop="1" thickBot="1" x14ac:dyDescent="0.3">
      <c r="B390" s="43">
        <v>100021659</v>
      </c>
      <c r="C390" s="44" t="s">
        <v>505</v>
      </c>
      <c r="D390" s="45" t="s">
        <v>43</v>
      </c>
      <c r="E390" s="45" t="s">
        <v>44</v>
      </c>
      <c r="F390" s="44" t="s">
        <v>16</v>
      </c>
      <c r="G390" s="44" t="s">
        <v>17</v>
      </c>
      <c r="H390" s="44" t="s">
        <v>45</v>
      </c>
      <c r="I390" s="44" t="s">
        <v>46</v>
      </c>
      <c r="J390" s="44" t="s">
        <v>28</v>
      </c>
      <c r="K390" s="44" t="s">
        <v>45</v>
      </c>
      <c r="L390" s="44" t="s">
        <v>47</v>
      </c>
      <c r="M390" s="44" t="s">
        <v>503</v>
      </c>
      <c r="N390" s="44" t="s">
        <v>193</v>
      </c>
      <c r="O390" s="46" t="s">
        <v>49</v>
      </c>
      <c r="P390"/>
      <c r="Q390" s="4"/>
      <c r="R390" s="4"/>
      <c r="S390" s="4"/>
      <c r="T390" s="4"/>
      <c r="U390" s="4"/>
    </row>
    <row r="391" spans="2:21" hidden="1" thickTop="1" thickBot="1" x14ac:dyDescent="0.3">
      <c r="B391" s="43">
        <v>100522168</v>
      </c>
      <c r="C391" s="44" t="s">
        <v>506</v>
      </c>
      <c r="D391" s="45"/>
      <c r="E391" s="45" t="s">
        <v>44</v>
      </c>
      <c r="F391" s="44" t="s">
        <v>16</v>
      </c>
      <c r="G391" s="44" t="s">
        <v>17</v>
      </c>
      <c r="H391" s="44" t="s">
        <v>45</v>
      </c>
      <c r="I391" s="44" t="s">
        <v>46</v>
      </c>
      <c r="J391" s="44" t="s">
        <v>28</v>
      </c>
      <c r="K391" s="44" t="s">
        <v>45</v>
      </c>
      <c r="L391" s="44" t="s">
        <v>47</v>
      </c>
      <c r="M391" s="44" t="s">
        <v>507</v>
      </c>
      <c r="N391" s="44" t="s">
        <v>193</v>
      </c>
      <c r="O391" s="46" t="s">
        <v>49</v>
      </c>
      <c r="P391"/>
      <c r="Q391" s="4"/>
      <c r="R391" s="4"/>
      <c r="S391" s="4"/>
      <c r="T391" s="4"/>
      <c r="U391" s="4"/>
    </row>
    <row r="392" spans="2:21" hidden="1" thickTop="1" thickBot="1" x14ac:dyDescent="0.3">
      <c r="B392" s="43">
        <v>100520324</v>
      </c>
      <c r="C392" s="44" t="s">
        <v>508</v>
      </c>
      <c r="D392" s="45"/>
      <c r="E392" s="45" t="str">
        <f>IF(ISERR(FIND("PUL",PRODUCTO_MI_AR68[[#This Row],[NOM PRODUCTO]])),"","ME")</f>
        <v>ME</v>
      </c>
      <c r="F392" s="44" t="s">
        <v>16</v>
      </c>
      <c r="G392" s="44" t="s">
        <v>17</v>
      </c>
      <c r="H392" s="44" t="s">
        <v>45</v>
      </c>
      <c r="I392" s="44" t="s">
        <v>46</v>
      </c>
      <c r="J392" s="44" t="s">
        <v>28</v>
      </c>
      <c r="K392" s="44" t="s">
        <v>45</v>
      </c>
      <c r="L392" s="44" t="s">
        <v>47</v>
      </c>
      <c r="M392" s="44" t="s">
        <v>29</v>
      </c>
      <c r="N392" s="44" t="s">
        <v>193</v>
      </c>
      <c r="O392" s="46" t="s">
        <v>49</v>
      </c>
      <c r="P392"/>
      <c r="Q392" s="4"/>
      <c r="R392" s="4"/>
      <c r="S392" s="4"/>
      <c r="T392" s="4"/>
      <c r="U392" s="4"/>
    </row>
    <row r="393" spans="2:21" hidden="1" thickTop="1" thickBot="1" x14ac:dyDescent="0.3">
      <c r="B393" s="43">
        <v>100520323</v>
      </c>
      <c r="C393" s="44" t="s">
        <v>509</v>
      </c>
      <c r="D393" s="45"/>
      <c r="E393" s="45" t="str">
        <f>IF(ISERR(FIND("PUL",PRODUCTO_MI_AR68[[#This Row],[NOM PRODUCTO]])),"","ME")</f>
        <v>ME</v>
      </c>
      <c r="F393" s="44" t="s">
        <v>16</v>
      </c>
      <c r="G393" s="44" t="s">
        <v>17</v>
      </c>
      <c r="H393" s="44" t="s">
        <v>45</v>
      </c>
      <c r="I393" s="44" t="s">
        <v>46</v>
      </c>
      <c r="J393" s="44" t="s">
        <v>28</v>
      </c>
      <c r="K393" s="44" t="s">
        <v>45</v>
      </c>
      <c r="L393" s="44" t="s">
        <v>47</v>
      </c>
      <c r="M393" s="44" t="s">
        <v>29</v>
      </c>
      <c r="N393" s="44" t="s">
        <v>193</v>
      </c>
      <c r="O393" s="46" t="s">
        <v>49</v>
      </c>
      <c r="P393"/>
      <c r="Q393" s="4"/>
      <c r="R393" s="4"/>
      <c r="S393" s="4"/>
      <c r="T393" s="4"/>
      <c r="U393" s="4"/>
    </row>
    <row r="394" spans="2:21" hidden="1" thickTop="1" thickBot="1" x14ac:dyDescent="0.3">
      <c r="B394" s="43">
        <v>100520446</v>
      </c>
      <c r="C394" s="44" t="s">
        <v>510</v>
      </c>
      <c r="D394" s="45"/>
      <c r="E394" s="45" t="str">
        <f>IF(ISERR(FIND("CHILE",PRODUCTO_MI_AR68[[#This Row],[NOM PRODUCTO]])),"","ME")</f>
        <v>ME</v>
      </c>
      <c r="F394" s="44" t="s">
        <v>228</v>
      </c>
      <c r="G394" s="44" t="s">
        <v>17</v>
      </c>
      <c r="H394" s="44" t="s">
        <v>45</v>
      </c>
      <c r="I394" s="44" t="s">
        <v>46</v>
      </c>
      <c r="J394" s="44" t="s">
        <v>28</v>
      </c>
      <c r="K394" s="44" t="s">
        <v>45</v>
      </c>
      <c r="L394" s="44" t="s">
        <v>47</v>
      </c>
      <c r="M394" s="44" t="s">
        <v>511</v>
      </c>
      <c r="N394" s="44" t="s">
        <v>193</v>
      </c>
      <c r="O394" s="46" t="s">
        <v>49</v>
      </c>
      <c r="P394"/>
      <c r="Q394" s="4"/>
      <c r="R394" s="4"/>
      <c r="S394" s="4"/>
      <c r="T394" s="4"/>
      <c r="U394" s="4"/>
    </row>
    <row r="395" spans="2:21" ht="18" hidden="1" customHeight="1" thickTop="1" thickBot="1" x14ac:dyDescent="0.3">
      <c r="B395" s="43">
        <v>100520851</v>
      </c>
      <c r="C395" s="44" t="s">
        <v>512</v>
      </c>
      <c r="D395" s="45"/>
      <c r="E395" s="45" t="s">
        <v>44</v>
      </c>
      <c r="F395" s="44" t="s">
        <v>16</v>
      </c>
      <c r="G395" s="44" t="s">
        <v>17</v>
      </c>
      <c r="H395" s="44" t="s">
        <v>45</v>
      </c>
      <c r="I395" s="44" t="s">
        <v>46</v>
      </c>
      <c r="J395" s="44" t="s">
        <v>28</v>
      </c>
      <c r="K395" s="44" t="s">
        <v>45</v>
      </c>
      <c r="L395" s="44" t="s">
        <v>47</v>
      </c>
      <c r="M395" s="44" t="s">
        <v>507</v>
      </c>
      <c r="N395" s="44" t="s">
        <v>193</v>
      </c>
      <c r="O395" s="46" t="s">
        <v>49</v>
      </c>
      <c r="P395"/>
      <c r="Q395" s="4"/>
      <c r="R395" s="4"/>
      <c r="S395" s="4"/>
      <c r="T395" s="4"/>
      <c r="U395" s="4"/>
    </row>
    <row r="396" spans="2:21" hidden="1" thickTop="1" thickBot="1" x14ac:dyDescent="0.3">
      <c r="B396" s="43">
        <v>100518435</v>
      </c>
      <c r="C396" s="44" t="s">
        <v>513</v>
      </c>
      <c r="D396" s="45"/>
      <c r="E396" s="45" t="s">
        <v>15</v>
      </c>
      <c r="F396" s="44" t="s">
        <v>16</v>
      </c>
      <c r="G396" s="44" t="s">
        <v>17</v>
      </c>
      <c r="H396" s="44" t="s">
        <v>45</v>
      </c>
      <c r="I396" s="44" t="s">
        <v>46</v>
      </c>
      <c r="J396" s="44" t="s">
        <v>28</v>
      </c>
      <c r="K396" s="44" t="s">
        <v>45</v>
      </c>
      <c r="L396" s="44" t="s">
        <v>47</v>
      </c>
      <c r="M396" s="44" t="s">
        <v>62</v>
      </c>
      <c r="N396" s="44" t="s">
        <v>193</v>
      </c>
      <c r="O396" s="46" t="s">
        <v>49</v>
      </c>
      <c r="P396"/>
      <c r="Q396" s="4"/>
      <c r="R396" s="4"/>
      <c r="S396" s="4"/>
      <c r="T396" s="4"/>
      <c r="U396" s="4"/>
    </row>
    <row r="397" spans="2:21" hidden="1" thickTop="1" thickBot="1" x14ac:dyDescent="0.3">
      <c r="B397" s="43">
        <v>100021625</v>
      </c>
      <c r="C397" s="44" t="s">
        <v>514</v>
      </c>
      <c r="D397" s="45" t="s">
        <v>43</v>
      </c>
      <c r="E397" s="45" t="s">
        <v>44</v>
      </c>
      <c r="F397" s="44" t="s">
        <v>16</v>
      </c>
      <c r="G397" s="44" t="s">
        <v>17</v>
      </c>
      <c r="H397" s="44" t="s">
        <v>45</v>
      </c>
      <c r="I397" s="44" t="s">
        <v>46</v>
      </c>
      <c r="J397" s="44" t="s">
        <v>28</v>
      </c>
      <c r="K397" s="44" t="s">
        <v>45</v>
      </c>
      <c r="L397" s="44" t="s">
        <v>47</v>
      </c>
      <c r="M397" s="44" t="s">
        <v>503</v>
      </c>
      <c r="N397" s="44" t="s">
        <v>193</v>
      </c>
      <c r="O397" s="46" t="s">
        <v>49</v>
      </c>
      <c r="P397"/>
      <c r="Q397" s="4"/>
      <c r="R397" s="4"/>
      <c r="S397" s="4"/>
      <c r="T397" s="4"/>
      <c r="U397" s="4"/>
    </row>
    <row r="398" spans="2:21" hidden="1" thickTop="1" thickBot="1" x14ac:dyDescent="0.3">
      <c r="B398" s="43">
        <v>100517176</v>
      </c>
      <c r="C398" s="44" t="s">
        <v>515</v>
      </c>
      <c r="D398" s="45" t="s">
        <v>43</v>
      </c>
      <c r="E398" s="45" t="s">
        <v>44</v>
      </c>
      <c r="F398" s="44" t="s">
        <v>16</v>
      </c>
      <c r="G398" s="44" t="s">
        <v>17</v>
      </c>
      <c r="H398" s="44" t="s">
        <v>45</v>
      </c>
      <c r="I398" s="44" t="s">
        <v>46</v>
      </c>
      <c r="J398" s="44" t="s">
        <v>28</v>
      </c>
      <c r="K398" s="44" t="s">
        <v>45</v>
      </c>
      <c r="L398" s="44" t="s">
        <v>47</v>
      </c>
      <c r="M398" s="44" t="s">
        <v>516</v>
      </c>
      <c r="N398" s="44" t="s">
        <v>193</v>
      </c>
      <c r="O398" s="46" t="s">
        <v>49</v>
      </c>
      <c r="P398"/>
      <c r="Q398" s="4"/>
      <c r="R398" s="4"/>
      <c r="S398" s="4"/>
      <c r="T398" s="4"/>
      <c r="U398" s="4"/>
    </row>
    <row r="399" spans="2:21" hidden="1" thickTop="1" thickBot="1" x14ac:dyDescent="0.3">
      <c r="B399" s="43">
        <v>100516789</v>
      </c>
      <c r="C399" s="44" t="s">
        <v>517</v>
      </c>
      <c r="D399" s="45" t="s">
        <v>43</v>
      </c>
      <c r="E399" s="45" t="s">
        <v>44</v>
      </c>
      <c r="F399" s="44" t="s">
        <v>16</v>
      </c>
      <c r="G399" s="44" t="s">
        <v>17</v>
      </c>
      <c r="H399" s="44" t="s">
        <v>45</v>
      </c>
      <c r="I399" s="44" t="s">
        <v>46</v>
      </c>
      <c r="J399" s="44" t="s">
        <v>28</v>
      </c>
      <c r="K399" s="44" t="s">
        <v>45</v>
      </c>
      <c r="L399" s="44" t="s">
        <v>47</v>
      </c>
      <c r="M399" s="44" t="s">
        <v>516</v>
      </c>
      <c r="N399" s="44" t="s">
        <v>193</v>
      </c>
      <c r="O399" s="46" t="s">
        <v>49</v>
      </c>
      <c r="P399"/>
      <c r="Q399" s="4"/>
      <c r="R399" s="4"/>
      <c r="S399" s="4"/>
      <c r="T399" s="4"/>
      <c r="U399" s="4"/>
    </row>
    <row r="400" spans="2:21" thickTop="1" thickBot="1" x14ac:dyDescent="0.3">
      <c r="B400" s="43">
        <v>100520834</v>
      </c>
      <c r="C400" s="44" t="s">
        <v>518</v>
      </c>
      <c r="D400" s="45"/>
      <c r="E400" s="45" t="s">
        <v>44</v>
      </c>
      <c r="F400" s="44" t="s">
        <v>16</v>
      </c>
      <c r="G400" s="44" t="s">
        <v>17</v>
      </c>
      <c r="H400" s="44" t="s">
        <v>45</v>
      </c>
      <c r="I400" s="44" t="s">
        <v>46</v>
      </c>
      <c r="J400" s="44" t="s">
        <v>20</v>
      </c>
      <c r="K400" s="44" t="s">
        <v>45</v>
      </c>
      <c r="L400" s="44" t="s">
        <v>47</v>
      </c>
      <c r="M400" s="44" t="s">
        <v>519</v>
      </c>
      <c r="N400" s="44" t="s">
        <v>193</v>
      </c>
      <c r="O400" s="46" t="s">
        <v>49</v>
      </c>
      <c r="P400"/>
      <c r="Q400" s="4"/>
      <c r="R400" s="4"/>
      <c r="S400" s="4"/>
      <c r="T400" s="4"/>
      <c r="U400" s="4"/>
    </row>
    <row r="401" spans="2:21" hidden="1" thickTop="1" thickBot="1" x14ac:dyDescent="0.3">
      <c r="B401" s="43">
        <v>100518095</v>
      </c>
      <c r="C401" s="44" t="s">
        <v>520</v>
      </c>
      <c r="D401" s="45"/>
      <c r="E401" s="45" t="s">
        <v>44</v>
      </c>
      <c r="F401" s="44" t="s">
        <v>16</v>
      </c>
      <c r="G401" s="44" t="s">
        <v>17</v>
      </c>
      <c r="H401" s="44" t="s">
        <v>45</v>
      </c>
      <c r="I401" s="44" t="s">
        <v>46</v>
      </c>
      <c r="J401" s="44" t="s">
        <v>28</v>
      </c>
      <c r="K401" s="44" t="s">
        <v>45</v>
      </c>
      <c r="L401" s="44" t="s">
        <v>47</v>
      </c>
      <c r="M401" s="44" t="s">
        <v>57</v>
      </c>
      <c r="N401" s="44" t="s">
        <v>193</v>
      </c>
      <c r="O401" s="46" t="s">
        <v>49</v>
      </c>
      <c r="P401"/>
      <c r="Q401" s="4"/>
      <c r="R401" s="4"/>
      <c r="S401" s="4"/>
      <c r="T401" s="4"/>
      <c r="U401" s="4"/>
    </row>
    <row r="402" spans="2:21" ht="18" hidden="1" customHeight="1" thickTop="1" thickBot="1" x14ac:dyDescent="0.3">
      <c r="B402" s="43">
        <v>100021670</v>
      </c>
      <c r="C402" s="44" t="s">
        <v>521</v>
      </c>
      <c r="D402" s="45" t="s">
        <v>43</v>
      </c>
      <c r="E402" s="45" t="s">
        <v>44</v>
      </c>
      <c r="F402" s="44" t="s">
        <v>228</v>
      </c>
      <c r="G402" s="44" t="s">
        <v>17</v>
      </c>
      <c r="H402" s="44" t="s">
        <v>45</v>
      </c>
      <c r="I402" s="44" t="s">
        <v>46</v>
      </c>
      <c r="J402" s="44" t="s">
        <v>28</v>
      </c>
      <c r="K402" s="44" t="s">
        <v>45</v>
      </c>
      <c r="L402" s="44" t="s">
        <v>47</v>
      </c>
      <c r="M402" s="44" t="s">
        <v>490</v>
      </c>
      <c r="N402" s="44" t="s">
        <v>193</v>
      </c>
      <c r="O402" s="46" t="s">
        <v>49</v>
      </c>
      <c r="P402"/>
      <c r="Q402" s="4"/>
      <c r="R402" s="4"/>
      <c r="S402" s="4"/>
      <c r="T402" s="4"/>
      <c r="U402" s="4"/>
    </row>
    <row r="403" spans="2:21" ht="18" customHeight="1" thickTop="1" thickBot="1" x14ac:dyDescent="0.3">
      <c r="B403" s="43">
        <v>100516207</v>
      </c>
      <c r="C403" s="44" t="s">
        <v>522</v>
      </c>
      <c r="D403" s="45"/>
      <c r="E403" s="45" t="str">
        <f>IF(ISERR(FIND("CLL",PRODUCTO_MI_AR68[[#This Row],[NOM PRODUCTO]])),"","ME")</f>
        <v>ME</v>
      </c>
      <c r="F403" s="44" t="s">
        <v>16</v>
      </c>
      <c r="G403" s="44" t="s">
        <v>17</v>
      </c>
      <c r="H403" s="44" t="s">
        <v>45</v>
      </c>
      <c r="I403" s="44" t="s">
        <v>46</v>
      </c>
      <c r="J403" s="44" t="s">
        <v>20</v>
      </c>
      <c r="K403" s="44" t="s">
        <v>45</v>
      </c>
      <c r="L403" s="44" t="s">
        <v>47</v>
      </c>
      <c r="M403" s="44" t="s">
        <v>22</v>
      </c>
      <c r="N403" s="44" t="s">
        <v>193</v>
      </c>
      <c r="O403" s="46" t="s">
        <v>49</v>
      </c>
      <c r="P403"/>
      <c r="Q403" s="4"/>
      <c r="R403" s="4"/>
      <c r="S403" s="4"/>
      <c r="T403" s="4"/>
      <c r="U403" s="4"/>
    </row>
    <row r="404" spans="2:21" thickTop="1" thickBot="1" x14ac:dyDescent="0.3">
      <c r="B404" s="43">
        <v>100516008</v>
      </c>
      <c r="C404" s="44" t="s">
        <v>523</v>
      </c>
      <c r="D404" s="45"/>
      <c r="E404" s="45" t="s">
        <v>44</v>
      </c>
      <c r="F404" s="44" t="s">
        <v>16</v>
      </c>
      <c r="G404" s="44" t="s">
        <v>17</v>
      </c>
      <c r="H404" s="44" t="s">
        <v>45</v>
      </c>
      <c r="I404" s="44" t="s">
        <v>46</v>
      </c>
      <c r="J404" s="44" t="s">
        <v>20</v>
      </c>
      <c r="K404" s="44" t="s">
        <v>45</v>
      </c>
      <c r="L404" s="44" t="s">
        <v>47</v>
      </c>
      <c r="M404" s="44" t="s">
        <v>524</v>
      </c>
      <c r="N404" s="44" t="s">
        <v>193</v>
      </c>
      <c r="O404" s="46" t="s">
        <v>49</v>
      </c>
      <c r="P404"/>
      <c r="Q404" s="4"/>
      <c r="R404" s="4"/>
      <c r="S404" s="4"/>
      <c r="T404" s="4"/>
      <c r="U404" s="4"/>
    </row>
    <row r="405" spans="2:21" hidden="1" thickTop="1" thickBot="1" x14ac:dyDescent="0.3">
      <c r="B405" s="43">
        <v>100518163</v>
      </c>
      <c r="C405" s="44" t="s">
        <v>525</v>
      </c>
      <c r="D405" s="45"/>
      <c r="E405" s="45" t="s">
        <v>44</v>
      </c>
      <c r="F405" s="44" t="s">
        <v>16</v>
      </c>
      <c r="G405" s="44" t="s">
        <v>17</v>
      </c>
      <c r="H405" s="44" t="s">
        <v>45</v>
      </c>
      <c r="I405" s="44" t="s">
        <v>46</v>
      </c>
      <c r="J405" s="44" t="s">
        <v>28</v>
      </c>
      <c r="K405" s="44" t="s">
        <v>45</v>
      </c>
      <c r="L405" s="44" t="s">
        <v>47</v>
      </c>
      <c r="M405" s="44" t="s">
        <v>57</v>
      </c>
      <c r="N405" s="44" t="s">
        <v>193</v>
      </c>
      <c r="O405" s="46" t="s">
        <v>49</v>
      </c>
      <c r="P405"/>
      <c r="Q405" s="4"/>
      <c r="R405" s="4"/>
      <c r="S405" s="4"/>
      <c r="T405" s="4"/>
      <c r="U405" s="4"/>
    </row>
    <row r="406" spans="2:21" ht="18" hidden="1" customHeight="1" thickTop="1" thickBot="1" x14ac:dyDescent="0.3">
      <c r="B406" s="43">
        <v>100021632</v>
      </c>
      <c r="C406" s="44" t="s">
        <v>526</v>
      </c>
      <c r="D406" s="45"/>
      <c r="E406" s="45" t="s">
        <v>44</v>
      </c>
      <c r="F406" s="44" t="s">
        <v>16</v>
      </c>
      <c r="G406" s="44" t="s">
        <v>17</v>
      </c>
      <c r="H406" s="44" t="s">
        <v>45</v>
      </c>
      <c r="I406" s="44" t="s">
        <v>46</v>
      </c>
      <c r="J406" s="44" t="s">
        <v>40</v>
      </c>
      <c r="K406" s="44" t="s">
        <v>45</v>
      </c>
      <c r="L406" s="44" t="s">
        <v>47</v>
      </c>
      <c r="M406" s="44" t="s">
        <v>57</v>
      </c>
      <c r="N406" s="44" t="s">
        <v>193</v>
      </c>
      <c r="O406" s="46" t="s">
        <v>49</v>
      </c>
      <c r="P406"/>
      <c r="Q406" s="4"/>
      <c r="R406" s="4"/>
      <c r="S406" s="4"/>
      <c r="T406" s="4"/>
      <c r="U406" s="4"/>
    </row>
    <row r="407" spans="2:21" hidden="1" thickTop="1" thickBot="1" x14ac:dyDescent="0.3">
      <c r="B407" s="43">
        <v>100517523</v>
      </c>
      <c r="C407" s="44" t="s">
        <v>526</v>
      </c>
      <c r="D407" s="45"/>
      <c r="E407" s="45" t="s">
        <v>44</v>
      </c>
      <c r="F407" s="44" t="s">
        <v>16</v>
      </c>
      <c r="G407" s="44" t="s">
        <v>17</v>
      </c>
      <c r="H407" s="44" t="s">
        <v>45</v>
      </c>
      <c r="I407" s="44" t="s">
        <v>46</v>
      </c>
      <c r="J407" s="44" t="s">
        <v>28</v>
      </c>
      <c r="K407" s="44" t="s">
        <v>45</v>
      </c>
      <c r="L407" s="44" t="s">
        <v>47</v>
      </c>
      <c r="M407" s="44" t="s">
        <v>57</v>
      </c>
      <c r="N407" s="44" t="s">
        <v>193</v>
      </c>
      <c r="O407" s="46" t="s">
        <v>49</v>
      </c>
      <c r="P407"/>
      <c r="Q407" s="4"/>
      <c r="R407" s="4"/>
      <c r="S407" s="4"/>
      <c r="T407" s="4"/>
      <c r="U407" s="4"/>
    </row>
    <row r="408" spans="2:21" ht="18" hidden="1" customHeight="1" thickTop="1" thickBot="1" x14ac:dyDescent="0.3">
      <c r="B408" s="43">
        <v>100518343</v>
      </c>
      <c r="C408" s="44" t="s">
        <v>527</v>
      </c>
      <c r="D408" s="45"/>
      <c r="E408" s="45" t="s">
        <v>44</v>
      </c>
      <c r="F408" s="44" t="s">
        <v>16</v>
      </c>
      <c r="G408" s="44" t="s">
        <v>17</v>
      </c>
      <c r="H408" s="44" t="s">
        <v>45</v>
      </c>
      <c r="I408" s="44" t="s">
        <v>46</v>
      </c>
      <c r="J408" s="44" t="s">
        <v>28</v>
      </c>
      <c r="K408" s="44" t="s">
        <v>45</v>
      </c>
      <c r="L408" s="44" t="s">
        <v>47</v>
      </c>
      <c r="M408" s="44" t="s">
        <v>57</v>
      </c>
      <c r="N408" s="44" t="s">
        <v>193</v>
      </c>
      <c r="O408" s="46" t="s">
        <v>49</v>
      </c>
      <c r="P408"/>
      <c r="Q408" s="4"/>
      <c r="R408" s="4"/>
      <c r="S408" s="4"/>
      <c r="T408" s="4"/>
      <c r="U408" s="4"/>
    </row>
    <row r="409" spans="2:21" thickTop="1" thickBot="1" x14ac:dyDescent="0.3">
      <c r="B409" s="43">
        <v>100522825</v>
      </c>
      <c r="C409" s="44" t="s">
        <v>528</v>
      </c>
      <c r="D409" s="45"/>
      <c r="E409" s="45" t="s">
        <v>44</v>
      </c>
      <c r="F409" s="44" t="s">
        <v>16</v>
      </c>
      <c r="G409" s="44" t="s">
        <v>17</v>
      </c>
      <c r="H409" s="44" t="s">
        <v>45</v>
      </c>
      <c r="I409" s="44" t="s">
        <v>46</v>
      </c>
      <c r="J409" s="44" t="s">
        <v>20</v>
      </c>
      <c r="K409" s="44" t="s">
        <v>45</v>
      </c>
      <c r="L409" s="44" t="s">
        <v>47</v>
      </c>
      <c r="M409" s="44" t="s">
        <v>524</v>
      </c>
      <c r="N409" s="44" t="s">
        <v>193</v>
      </c>
      <c r="O409" s="46" t="s">
        <v>49</v>
      </c>
      <c r="P409"/>
      <c r="Q409" s="4"/>
      <c r="R409" s="4"/>
      <c r="S409" s="4"/>
      <c r="T409" s="4"/>
      <c r="U409" s="4"/>
    </row>
    <row r="410" spans="2:21" thickTop="1" thickBot="1" x14ac:dyDescent="0.3">
      <c r="B410" s="43">
        <v>100021667</v>
      </c>
      <c r="C410" s="44" t="s">
        <v>529</v>
      </c>
      <c r="D410" s="45"/>
      <c r="E410" s="45" t="s">
        <v>44</v>
      </c>
      <c r="F410" s="44" t="s">
        <v>16</v>
      </c>
      <c r="G410" s="44" t="s">
        <v>17</v>
      </c>
      <c r="H410" s="44" t="s">
        <v>45</v>
      </c>
      <c r="I410" s="44" t="s">
        <v>46</v>
      </c>
      <c r="J410" s="44" t="s">
        <v>20</v>
      </c>
      <c r="K410" s="44" t="s">
        <v>45</v>
      </c>
      <c r="L410" s="44" t="s">
        <v>47</v>
      </c>
      <c r="M410" s="44" t="s">
        <v>22</v>
      </c>
      <c r="N410" s="44" t="s">
        <v>193</v>
      </c>
      <c r="O410" s="46" t="s">
        <v>49</v>
      </c>
      <c r="P410"/>
      <c r="Q410" s="4"/>
      <c r="R410" s="4"/>
      <c r="S410" s="4"/>
      <c r="T410" s="4"/>
      <c r="U410" s="4"/>
    </row>
    <row r="411" spans="2:21" thickTop="1" thickBot="1" x14ac:dyDescent="0.3">
      <c r="B411" s="43">
        <v>100516023</v>
      </c>
      <c r="C411" s="44" t="s">
        <v>529</v>
      </c>
      <c r="D411" s="45"/>
      <c r="E411" s="45" t="s">
        <v>44</v>
      </c>
      <c r="F411" s="44" t="s">
        <v>16</v>
      </c>
      <c r="G411" s="44" t="s">
        <v>17</v>
      </c>
      <c r="H411" s="44" t="s">
        <v>45</v>
      </c>
      <c r="I411" s="44" t="s">
        <v>46</v>
      </c>
      <c r="J411" s="44" t="s">
        <v>20</v>
      </c>
      <c r="K411" s="44" t="s">
        <v>45</v>
      </c>
      <c r="L411" s="44" t="s">
        <v>47</v>
      </c>
      <c r="M411" s="44" t="s">
        <v>22</v>
      </c>
      <c r="N411" s="44" t="s">
        <v>193</v>
      </c>
      <c r="O411" s="46" t="s">
        <v>49</v>
      </c>
      <c r="P411"/>
      <c r="Q411" s="4"/>
      <c r="R411" s="4"/>
      <c r="S411" s="4"/>
      <c r="T411" s="4"/>
      <c r="U411" s="4"/>
    </row>
    <row r="412" spans="2:21" thickTop="1" thickBot="1" x14ac:dyDescent="0.3">
      <c r="B412" s="43">
        <v>100021665</v>
      </c>
      <c r="C412" s="44" t="s">
        <v>530</v>
      </c>
      <c r="D412" s="45"/>
      <c r="E412" s="45" t="s">
        <v>44</v>
      </c>
      <c r="F412" s="44" t="s">
        <v>16</v>
      </c>
      <c r="G412" s="44" t="s">
        <v>17</v>
      </c>
      <c r="H412" s="44" t="s">
        <v>45</v>
      </c>
      <c r="I412" s="44" t="s">
        <v>46</v>
      </c>
      <c r="J412" s="44" t="s">
        <v>20</v>
      </c>
      <c r="K412" s="44" t="s">
        <v>45</v>
      </c>
      <c r="L412" s="44" t="s">
        <v>47</v>
      </c>
      <c r="M412" s="44" t="s">
        <v>22</v>
      </c>
      <c r="N412" s="44" t="s">
        <v>193</v>
      </c>
      <c r="O412" s="46" t="s">
        <v>49</v>
      </c>
      <c r="P412"/>
      <c r="Q412" s="4"/>
      <c r="R412" s="4"/>
      <c r="S412" s="4"/>
      <c r="T412" s="4"/>
      <c r="U412" s="4"/>
    </row>
    <row r="413" spans="2:21" hidden="1" thickTop="1" thickBot="1" x14ac:dyDescent="0.3">
      <c r="B413" s="43">
        <v>100021658</v>
      </c>
      <c r="C413" s="44" t="s">
        <v>531</v>
      </c>
      <c r="D413" s="45" t="s">
        <v>43</v>
      </c>
      <c r="E413" s="45" t="s">
        <v>44</v>
      </c>
      <c r="F413" s="44" t="s">
        <v>16</v>
      </c>
      <c r="G413" s="44" t="s">
        <v>17</v>
      </c>
      <c r="H413" s="44" t="s">
        <v>45</v>
      </c>
      <c r="I413" s="44" t="s">
        <v>46</v>
      </c>
      <c r="J413" s="44" t="s">
        <v>28</v>
      </c>
      <c r="K413" s="44" t="s">
        <v>45</v>
      </c>
      <c r="L413" s="44" t="s">
        <v>47</v>
      </c>
      <c r="M413" s="44" t="s">
        <v>503</v>
      </c>
      <c r="N413" s="44" t="s">
        <v>193</v>
      </c>
      <c r="O413" s="46" t="s">
        <v>49</v>
      </c>
      <c r="P413"/>
      <c r="Q413" s="4"/>
      <c r="R413" s="4"/>
      <c r="S413" s="4"/>
      <c r="T413" s="4"/>
      <c r="U413" s="4"/>
    </row>
    <row r="414" spans="2:21" hidden="1" thickTop="1" thickBot="1" x14ac:dyDescent="0.3">
      <c r="B414" s="43">
        <v>100522161</v>
      </c>
      <c r="C414" s="44" t="s">
        <v>532</v>
      </c>
      <c r="D414" s="45"/>
      <c r="E414" s="45" t="s">
        <v>44</v>
      </c>
      <c r="F414" s="44" t="s">
        <v>16</v>
      </c>
      <c r="G414" s="44" t="s">
        <v>17</v>
      </c>
      <c r="H414" s="44" t="s">
        <v>45</v>
      </c>
      <c r="I414" s="44" t="s">
        <v>46</v>
      </c>
      <c r="J414" s="44" t="s">
        <v>28</v>
      </c>
      <c r="K414" s="44" t="s">
        <v>45</v>
      </c>
      <c r="L414" s="44" t="s">
        <v>47</v>
      </c>
      <c r="M414" s="44" t="s">
        <v>57</v>
      </c>
      <c r="N414" s="44" t="str">
        <f>IF(ISERR(FIND("CONG",PRODUCTO_MI_AR68[[#This Row],[NOM PRODUCTO]])),"","CONGELADO")</f>
        <v>CONGELADO</v>
      </c>
      <c r="O414" s="46" t="s">
        <v>49</v>
      </c>
      <c r="P414"/>
      <c r="Q414" s="4"/>
      <c r="R414" s="4"/>
      <c r="S414" s="4"/>
      <c r="T414" s="4"/>
      <c r="U414" s="4"/>
    </row>
    <row r="415" spans="2:21" hidden="1" thickTop="1" thickBot="1" x14ac:dyDescent="0.3">
      <c r="B415" s="43">
        <v>100522253</v>
      </c>
      <c r="C415" s="44" t="s">
        <v>533</v>
      </c>
      <c r="D415" s="45"/>
      <c r="E415" s="45" t="s">
        <v>44</v>
      </c>
      <c r="F415" s="44" t="s">
        <v>16</v>
      </c>
      <c r="G415" s="44" t="s">
        <v>17</v>
      </c>
      <c r="H415" s="44" t="s">
        <v>45</v>
      </c>
      <c r="I415" s="44" t="s">
        <v>46</v>
      </c>
      <c r="J415" s="44" t="s">
        <v>28</v>
      </c>
      <c r="K415" s="44" t="s">
        <v>45</v>
      </c>
      <c r="L415" s="44" t="s">
        <v>47</v>
      </c>
      <c r="M415" s="44" t="s">
        <v>62</v>
      </c>
      <c r="N415" s="44" t="s">
        <v>193</v>
      </c>
      <c r="O415" s="46" t="s">
        <v>49</v>
      </c>
      <c r="P415"/>
      <c r="Q415" s="4"/>
      <c r="R415" s="4"/>
      <c r="S415" s="4"/>
      <c r="T415" s="4"/>
      <c r="U415" s="4"/>
    </row>
    <row r="416" spans="2:21" thickTop="1" thickBot="1" x14ac:dyDescent="0.3">
      <c r="B416" s="43">
        <v>100516979</v>
      </c>
      <c r="C416" s="44" t="s">
        <v>534</v>
      </c>
      <c r="D416" s="45"/>
      <c r="E416" s="45" t="s">
        <v>44</v>
      </c>
      <c r="F416" s="44" t="s">
        <v>16</v>
      </c>
      <c r="G416" s="44" t="s">
        <v>17</v>
      </c>
      <c r="H416" s="44" t="s">
        <v>45</v>
      </c>
      <c r="I416" s="44" t="s">
        <v>46</v>
      </c>
      <c r="J416" s="44" t="s">
        <v>20</v>
      </c>
      <c r="K416" s="44" t="s">
        <v>45</v>
      </c>
      <c r="L416" s="44" t="s">
        <v>47</v>
      </c>
      <c r="M416" s="44" t="s">
        <v>524</v>
      </c>
      <c r="N416" s="44" t="s">
        <v>193</v>
      </c>
      <c r="O416" s="46" t="s">
        <v>49</v>
      </c>
      <c r="P416"/>
      <c r="Q416" s="4"/>
      <c r="R416" s="4"/>
      <c r="S416" s="4"/>
      <c r="T416" s="4"/>
      <c r="U416" s="4"/>
    </row>
    <row r="417" spans="2:21" hidden="1" thickTop="1" thickBot="1" x14ac:dyDescent="0.3">
      <c r="B417" s="43">
        <v>100518618</v>
      </c>
      <c r="C417" s="44" t="s">
        <v>535</v>
      </c>
      <c r="D417" s="45"/>
      <c r="E417" s="45" t="str">
        <f>IF(ISERR(FIND("CHILE",PRODUCTO_MI_AR68[[#This Row],[NOM PRODUCTO]])),"","ME")</f>
        <v>ME</v>
      </c>
      <c r="F417" s="44" t="s">
        <v>16</v>
      </c>
      <c r="G417" s="44" t="s">
        <v>17</v>
      </c>
      <c r="H417" s="44" t="s">
        <v>45</v>
      </c>
      <c r="I417" s="44" t="s">
        <v>46</v>
      </c>
      <c r="J417" s="44" t="s">
        <v>28</v>
      </c>
      <c r="K417" s="44" t="s">
        <v>45</v>
      </c>
      <c r="L417" s="44" t="s">
        <v>47</v>
      </c>
      <c r="M417" s="44" t="s">
        <v>229</v>
      </c>
      <c r="N417" s="44" t="s">
        <v>193</v>
      </c>
      <c r="O417" s="46" t="s">
        <v>49</v>
      </c>
      <c r="P417"/>
      <c r="Q417" s="4"/>
      <c r="R417" s="4"/>
      <c r="S417" s="4"/>
      <c r="T417" s="4"/>
      <c r="U417" s="4"/>
    </row>
    <row r="418" spans="2:21" hidden="1" thickTop="1" thickBot="1" x14ac:dyDescent="0.3">
      <c r="B418" s="43">
        <v>100016144</v>
      </c>
      <c r="C418" s="44" t="s">
        <v>536</v>
      </c>
      <c r="D418" s="45"/>
      <c r="E418" s="45" t="s">
        <v>44</v>
      </c>
      <c r="F418" s="44" t="s">
        <v>16</v>
      </c>
      <c r="G418" s="44" t="s">
        <v>17</v>
      </c>
      <c r="H418" s="44" t="s">
        <v>18</v>
      </c>
      <c r="I418" s="44" t="s">
        <v>319</v>
      </c>
      <c r="J418" s="44" t="s">
        <v>28</v>
      </c>
      <c r="K418" s="44" t="s">
        <v>320</v>
      </c>
      <c r="L418" s="44" t="s">
        <v>537</v>
      </c>
      <c r="M418" s="44" t="s">
        <v>62</v>
      </c>
      <c r="N418" s="44" t="str">
        <f>IF(ISERR(FIND("CONG",PRODUCTO_MI_AR68[[#This Row],[NOM PRODUCTO]])),"","CONGELADO")</f>
        <v>CONGELADO</v>
      </c>
      <c r="O418" s="46" t="s">
        <v>24</v>
      </c>
      <c r="P418"/>
      <c r="Q418" s="4"/>
      <c r="R418" s="4"/>
      <c r="S418" s="4"/>
      <c r="T418" s="4"/>
      <c r="U418" s="4"/>
    </row>
    <row r="419" spans="2:21" hidden="1" thickTop="1" thickBot="1" x14ac:dyDescent="0.3">
      <c r="B419" s="43">
        <v>100518869</v>
      </c>
      <c r="C419" s="44" t="s">
        <v>538</v>
      </c>
      <c r="D419" s="45"/>
      <c r="E419" s="45" t="str">
        <f>IF(ISERR(FIND("AFRICA",PRODUCTO_MI_AR68[[#This Row],[NOM PRODUCTO]])),"","ME")</f>
        <v>ME</v>
      </c>
      <c r="F419" s="44" t="s">
        <v>16</v>
      </c>
      <c r="G419" s="44" t="s">
        <v>17</v>
      </c>
      <c r="H419" s="44" t="s">
        <v>18</v>
      </c>
      <c r="I419" s="44" t="s">
        <v>319</v>
      </c>
      <c r="J419" s="44" t="s">
        <v>28</v>
      </c>
      <c r="K419" s="44" t="s">
        <v>320</v>
      </c>
      <c r="L419" s="44" t="s">
        <v>537</v>
      </c>
      <c r="M419" s="44" t="s">
        <v>29</v>
      </c>
      <c r="N419" s="44" t="str">
        <f>IF(ISERR(FIND("CONG",PRODUCTO_MI_AR68[[#This Row],[NOM PRODUCTO]])),"","CONGELADO")</f>
        <v>CONGELADO</v>
      </c>
      <c r="O419" s="46" t="s">
        <v>24</v>
      </c>
      <c r="P419"/>
      <c r="Q419" s="4"/>
      <c r="R419" s="4"/>
      <c r="S419" s="4"/>
      <c r="T419" s="4"/>
      <c r="U419" s="4"/>
    </row>
    <row r="420" spans="2:21" hidden="1" thickTop="1" thickBot="1" x14ac:dyDescent="0.3">
      <c r="B420" s="43">
        <v>100519277</v>
      </c>
      <c r="C420" s="44" t="s">
        <v>538</v>
      </c>
      <c r="D420" s="45"/>
      <c r="E420" s="45" t="str">
        <f>IF(ISERR(FIND("AFRICA",PRODUCTO_MI_AR68[[#This Row],[NOM PRODUCTO]])),"","ME")</f>
        <v>ME</v>
      </c>
      <c r="F420" s="44" t="s">
        <v>16</v>
      </c>
      <c r="G420" s="44" t="s">
        <v>17</v>
      </c>
      <c r="H420" s="44" t="s">
        <v>18</v>
      </c>
      <c r="I420" s="44" t="s">
        <v>319</v>
      </c>
      <c r="J420" s="44" t="s">
        <v>28</v>
      </c>
      <c r="K420" s="44" t="s">
        <v>320</v>
      </c>
      <c r="L420" s="44" t="s">
        <v>537</v>
      </c>
      <c r="M420" s="44" t="s">
        <v>29</v>
      </c>
      <c r="N420" s="44" t="str">
        <f>IF(ISERR(FIND("CONG",PRODUCTO_MI_AR68[[#This Row],[NOM PRODUCTO]])),"","CONGELADO")</f>
        <v>CONGELADO</v>
      </c>
      <c r="O420" s="46" t="s">
        <v>24</v>
      </c>
      <c r="P420"/>
      <c r="Q420" s="4"/>
      <c r="R420" s="4"/>
      <c r="S420" s="4"/>
      <c r="T420" s="4"/>
      <c r="U420" s="4"/>
    </row>
    <row r="421" spans="2:21" ht="18" hidden="1" customHeight="1" thickTop="1" thickBot="1" x14ac:dyDescent="0.3">
      <c r="B421" s="43">
        <v>100016337</v>
      </c>
      <c r="C421" s="44" t="s">
        <v>539</v>
      </c>
      <c r="D421" s="45"/>
      <c r="E421" s="45" t="s">
        <v>44</v>
      </c>
      <c r="F421" s="44" t="s">
        <v>16</v>
      </c>
      <c r="G421" s="44" t="s">
        <v>17</v>
      </c>
      <c r="H421" s="44" t="s">
        <v>18</v>
      </c>
      <c r="I421" s="44" t="s">
        <v>319</v>
      </c>
      <c r="J421" s="44" t="s">
        <v>28</v>
      </c>
      <c r="K421" s="44" t="s">
        <v>320</v>
      </c>
      <c r="L421" s="44" t="s">
        <v>537</v>
      </c>
      <c r="M421" s="44" t="s">
        <v>57</v>
      </c>
      <c r="N421" s="44" t="str">
        <f>IF(ISERR(FIND("CONG",PRODUCTO_MI_AR68[[#This Row],[NOM PRODUCTO]])),"","CONGELADO")</f>
        <v>CONGELADO</v>
      </c>
      <c r="O421" s="46" t="s">
        <v>24</v>
      </c>
      <c r="P421"/>
      <c r="Q421" s="4"/>
      <c r="R421" s="4"/>
      <c r="S421" s="4"/>
      <c r="T421" s="4"/>
      <c r="U421" s="4"/>
    </row>
    <row r="422" spans="2:21" hidden="1" thickTop="1" thickBot="1" x14ac:dyDescent="0.3">
      <c r="B422" s="43">
        <v>100519543</v>
      </c>
      <c r="C422" s="44" t="s">
        <v>540</v>
      </c>
      <c r="D422" s="45"/>
      <c r="E422" s="45" t="str">
        <f>IF(ISERR(FIND("PUL",PRODUCTO_MI_AR68[[#This Row],[NOM PRODUCTO]])),"","ME")</f>
        <v>ME</v>
      </c>
      <c r="F422" s="44" t="s">
        <v>16</v>
      </c>
      <c r="G422" s="44" t="s">
        <v>17</v>
      </c>
      <c r="H422" s="44" t="s">
        <v>18</v>
      </c>
      <c r="I422" s="44" t="s">
        <v>19</v>
      </c>
      <c r="J422" s="44" t="s">
        <v>40</v>
      </c>
      <c r="K422" s="44" t="s">
        <v>21</v>
      </c>
      <c r="L422" s="44" t="s">
        <v>541</v>
      </c>
      <c r="M422" s="44" t="s">
        <v>41</v>
      </c>
      <c r="N422" s="44" t="s">
        <v>23</v>
      </c>
      <c r="O422" s="46" t="s">
        <v>24</v>
      </c>
      <c r="P422"/>
      <c r="Q422" s="4"/>
      <c r="R422" s="4"/>
      <c r="S422" s="4"/>
      <c r="T422" s="4"/>
      <c r="U422" s="4"/>
    </row>
    <row r="423" spans="2:21" hidden="1" thickTop="1" thickBot="1" x14ac:dyDescent="0.3">
      <c r="B423" s="43">
        <v>100519544</v>
      </c>
      <c r="C423" s="44" t="s">
        <v>542</v>
      </c>
      <c r="D423" s="45"/>
      <c r="E423" s="45" t="str">
        <f>IF(ISERR(FIND("PUL",PRODUCTO_MI_AR68[[#This Row],[NOM PRODUCTO]])),"","ME")</f>
        <v>ME</v>
      </c>
      <c r="F423" s="44" t="s">
        <v>16</v>
      </c>
      <c r="G423" s="44" t="s">
        <v>17</v>
      </c>
      <c r="H423" s="44" t="s">
        <v>18</v>
      </c>
      <c r="I423" s="44" t="s">
        <v>19</v>
      </c>
      <c r="J423" s="44" t="s">
        <v>40</v>
      </c>
      <c r="K423" s="44" t="s">
        <v>21</v>
      </c>
      <c r="L423" s="44" t="s">
        <v>541</v>
      </c>
      <c r="M423" s="44" t="s">
        <v>41</v>
      </c>
      <c r="N423" s="44" t="s">
        <v>23</v>
      </c>
      <c r="O423" s="46" t="s">
        <v>24</v>
      </c>
      <c r="P423"/>
      <c r="Q423" s="4"/>
      <c r="R423" s="4"/>
      <c r="S423" s="4"/>
      <c r="T423" s="4"/>
      <c r="U423" s="4"/>
    </row>
    <row r="424" spans="2:21" hidden="1" thickTop="1" thickBot="1" x14ac:dyDescent="0.3">
      <c r="B424" s="43">
        <v>100519545</v>
      </c>
      <c r="C424" s="44" t="s">
        <v>543</v>
      </c>
      <c r="D424" s="45"/>
      <c r="E424" s="45" t="str">
        <f>IF(ISERR(FIND("PUL",PRODUCTO_MI_AR68[[#This Row],[NOM PRODUCTO]])),"","ME")</f>
        <v>ME</v>
      </c>
      <c r="F424" s="44" t="s">
        <v>16</v>
      </c>
      <c r="G424" s="44" t="s">
        <v>17</v>
      </c>
      <c r="H424" s="44" t="s">
        <v>18</v>
      </c>
      <c r="I424" s="44" t="s">
        <v>19</v>
      </c>
      <c r="J424" s="44" t="s">
        <v>40</v>
      </c>
      <c r="K424" s="44" t="s">
        <v>21</v>
      </c>
      <c r="L424" s="44" t="s">
        <v>541</v>
      </c>
      <c r="M424" s="44" t="s">
        <v>41</v>
      </c>
      <c r="N424" s="44" t="s">
        <v>23</v>
      </c>
      <c r="O424" s="46" t="s">
        <v>24</v>
      </c>
      <c r="P424"/>
      <c r="Q424" s="4"/>
      <c r="R424" s="4"/>
      <c r="S424" s="4"/>
      <c r="T424" s="4"/>
      <c r="U424" s="4"/>
    </row>
    <row r="425" spans="2:21" ht="18" hidden="1" customHeight="1" thickTop="1" thickBot="1" x14ac:dyDescent="0.3">
      <c r="B425" s="43">
        <v>100516528</v>
      </c>
      <c r="C425" s="44" t="s">
        <v>544</v>
      </c>
      <c r="D425" s="45"/>
      <c r="E425" s="45" t="str">
        <f>IF(ISERR(FIND("CHILE",PRODUCTO_MI_AR68[[#This Row],[NOM PRODUCTO]])),"","ME")</f>
        <v>ME</v>
      </c>
      <c r="F425" s="44" t="s">
        <v>16</v>
      </c>
      <c r="G425" s="44" t="s">
        <v>17</v>
      </c>
      <c r="H425" s="44" t="s">
        <v>18</v>
      </c>
      <c r="I425" s="44" t="s">
        <v>19</v>
      </c>
      <c r="J425" s="44" t="s">
        <v>28</v>
      </c>
      <c r="K425" s="44" t="s">
        <v>21</v>
      </c>
      <c r="L425" s="44" t="s">
        <v>541</v>
      </c>
      <c r="M425" s="44" t="s">
        <v>29</v>
      </c>
      <c r="N425" s="44" t="s">
        <v>23</v>
      </c>
      <c r="O425" s="46" t="s">
        <v>24</v>
      </c>
      <c r="P425"/>
      <c r="Q425" s="4"/>
      <c r="R425" s="4"/>
      <c r="S425" s="4"/>
      <c r="T425" s="4"/>
      <c r="U425" s="4"/>
    </row>
    <row r="426" spans="2:21" hidden="1" thickTop="1" thickBot="1" x14ac:dyDescent="0.3">
      <c r="B426" s="43">
        <v>100519482</v>
      </c>
      <c r="C426" s="44" t="s">
        <v>545</v>
      </c>
      <c r="D426" s="45"/>
      <c r="E426" s="45" t="str">
        <f>IF(ISERR(FIND("PUL",PRODUCTO_MI_AR68[[#This Row],[NOM PRODUCTO]])),"","ME")</f>
        <v>ME</v>
      </c>
      <c r="F426" s="44" t="s">
        <v>16</v>
      </c>
      <c r="G426" s="44" t="s">
        <v>17</v>
      </c>
      <c r="H426" s="44" t="s">
        <v>18</v>
      </c>
      <c r="I426" s="44" t="s">
        <v>19</v>
      </c>
      <c r="J426" s="44" t="s">
        <v>40</v>
      </c>
      <c r="K426" s="44" t="s">
        <v>21</v>
      </c>
      <c r="L426" s="44" t="s">
        <v>546</v>
      </c>
      <c r="M426" s="44" t="s">
        <v>41</v>
      </c>
      <c r="N426" s="44" t="s">
        <v>23</v>
      </c>
      <c r="O426" s="46" t="s">
        <v>24</v>
      </c>
      <c r="P426"/>
      <c r="Q426" s="4"/>
      <c r="R426" s="4"/>
      <c r="S426" s="4"/>
      <c r="T426" s="4"/>
      <c r="U426" s="4"/>
    </row>
    <row r="427" spans="2:21" ht="18" hidden="1" customHeight="1" thickTop="1" thickBot="1" x14ac:dyDescent="0.3">
      <c r="B427" s="43">
        <v>100016162</v>
      </c>
      <c r="C427" s="44" t="s">
        <v>547</v>
      </c>
      <c r="D427" s="45"/>
      <c r="E427" s="45" t="s">
        <v>44</v>
      </c>
      <c r="F427" s="44" t="s">
        <v>16</v>
      </c>
      <c r="G427" s="44" t="s">
        <v>17</v>
      </c>
      <c r="H427" s="44" t="s">
        <v>18</v>
      </c>
      <c r="I427" s="44" t="s">
        <v>97</v>
      </c>
      <c r="J427" s="44" t="s">
        <v>28</v>
      </c>
      <c r="K427" s="44" t="s">
        <v>98</v>
      </c>
      <c r="L427" s="44" t="s">
        <v>548</v>
      </c>
      <c r="M427" s="44" t="s">
        <v>62</v>
      </c>
      <c r="N427" s="44" t="s">
        <v>193</v>
      </c>
      <c r="O427" s="46" t="s">
        <v>98</v>
      </c>
      <c r="P427"/>
      <c r="Q427" s="4"/>
      <c r="R427" s="4"/>
      <c r="S427" s="4"/>
      <c r="T427" s="4"/>
      <c r="U427" s="4"/>
    </row>
    <row r="428" spans="2:21" hidden="1" thickTop="1" thickBot="1" x14ac:dyDescent="0.3">
      <c r="B428" s="43">
        <v>100520328</v>
      </c>
      <c r="C428" s="44" t="s">
        <v>549</v>
      </c>
      <c r="D428" s="45"/>
      <c r="E428" s="45" t="s">
        <v>44</v>
      </c>
      <c r="F428" s="44" t="s">
        <v>16</v>
      </c>
      <c r="G428" s="44" t="s">
        <v>17</v>
      </c>
      <c r="H428" s="44" t="s">
        <v>18</v>
      </c>
      <c r="I428" s="44" t="s">
        <v>101</v>
      </c>
      <c r="J428" s="44" t="s">
        <v>28</v>
      </c>
      <c r="K428" s="44" t="s">
        <v>201</v>
      </c>
      <c r="L428" s="44" t="s">
        <v>439</v>
      </c>
      <c r="M428" s="44" t="s">
        <v>29</v>
      </c>
      <c r="N428" s="44" t="str">
        <f>IF(ISERR(FIND("CONG",PRODUCTO_MI_AR68[[#This Row],[NOM PRODUCTO]])),"","CONGELADO")</f>
        <v>CONGELADO</v>
      </c>
      <c r="O428" s="46" t="s">
        <v>24</v>
      </c>
      <c r="P428"/>
      <c r="Q428" s="4"/>
      <c r="R428" s="4"/>
      <c r="S428" s="4"/>
      <c r="T428" s="4"/>
      <c r="U428" s="4"/>
    </row>
    <row r="429" spans="2:21" hidden="1" thickTop="1" thickBot="1" x14ac:dyDescent="0.3">
      <c r="B429" s="43">
        <v>100021006</v>
      </c>
      <c r="C429" s="44" t="s">
        <v>550</v>
      </c>
      <c r="D429" s="45" t="s">
        <v>43</v>
      </c>
      <c r="E429" s="45" t="s">
        <v>44</v>
      </c>
      <c r="F429" s="44" t="s">
        <v>16</v>
      </c>
      <c r="G429" s="44" t="s">
        <v>17</v>
      </c>
      <c r="H429" s="44" t="s">
        <v>551</v>
      </c>
      <c r="I429" s="44" t="s">
        <v>46</v>
      </c>
      <c r="J429" s="44" t="s">
        <v>40</v>
      </c>
      <c r="K429" s="44" t="s">
        <v>552</v>
      </c>
      <c r="L429" s="44" t="s">
        <v>552</v>
      </c>
      <c r="M429" s="44" t="s">
        <v>553</v>
      </c>
      <c r="N429" s="44" t="s">
        <v>193</v>
      </c>
      <c r="O429" s="46" t="s">
        <v>49</v>
      </c>
      <c r="P429"/>
      <c r="Q429" s="4"/>
      <c r="R429" s="4"/>
      <c r="S429" s="4"/>
      <c r="T429" s="4"/>
      <c r="U429" s="4"/>
    </row>
    <row r="430" spans="2:21" hidden="1" thickTop="1" thickBot="1" x14ac:dyDescent="0.3">
      <c r="B430" s="43">
        <v>100517542</v>
      </c>
      <c r="C430" s="44" t="s">
        <v>550</v>
      </c>
      <c r="D430" s="45" t="s">
        <v>212</v>
      </c>
      <c r="E430" s="45" t="s">
        <v>44</v>
      </c>
      <c r="F430" s="44" t="s">
        <v>16</v>
      </c>
      <c r="G430" s="44" t="s">
        <v>17</v>
      </c>
      <c r="H430" s="44" t="s">
        <v>551</v>
      </c>
      <c r="I430" s="44" t="s">
        <v>46</v>
      </c>
      <c r="J430" s="44" t="s">
        <v>40</v>
      </c>
      <c r="K430" s="44" t="s">
        <v>552</v>
      </c>
      <c r="L430" s="44" t="s">
        <v>552</v>
      </c>
      <c r="M430" s="44" t="s">
        <v>553</v>
      </c>
      <c r="N430" s="44" t="s">
        <v>554</v>
      </c>
      <c r="O430" s="46" t="s">
        <v>49</v>
      </c>
      <c r="P430"/>
      <c r="Q430" s="4"/>
      <c r="R430" s="4"/>
      <c r="S430" s="4"/>
      <c r="T430" s="4"/>
      <c r="U430" s="4"/>
    </row>
    <row r="431" spans="2:21" ht="18" hidden="1" customHeight="1" thickTop="1" thickBot="1" x14ac:dyDescent="0.3">
      <c r="B431" s="43">
        <v>100518870</v>
      </c>
      <c r="C431" s="44" t="s">
        <v>555</v>
      </c>
      <c r="D431" s="45"/>
      <c r="E431" s="45" t="str">
        <f>IF(ISERR(FIND("AFRICA",PRODUCTO_MI_AR68[[#This Row],[NOM PRODUCTO]])),"","ME")</f>
        <v>ME</v>
      </c>
      <c r="F431" s="44" t="s">
        <v>16</v>
      </c>
      <c r="G431" s="44" t="s">
        <v>17</v>
      </c>
      <c r="H431" s="44" t="s">
        <v>18</v>
      </c>
      <c r="I431" s="44" t="s">
        <v>97</v>
      </c>
      <c r="J431" s="44" t="s">
        <v>28</v>
      </c>
      <c r="K431" s="44" t="s">
        <v>98</v>
      </c>
      <c r="L431" s="44" t="s">
        <v>556</v>
      </c>
      <c r="M431" s="44" t="s">
        <v>62</v>
      </c>
      <c r="N431" s="44" t="str">
        <f>IF(ISERR(FIND("CONG",PRODUCTO_MI_AR68[[#This Row],[NOM PRODUCTO]])),"","CONGELADO")</f>
        <v>CONGELADO</v>
      </c>
      <c r="O431" s="46" t="s">
        <v>98</v>
      </c>
      <c r="P431"/>
      <c r="Q431" s="4"/>
      <c r="R431" s="4"/>
      <c r="S431" s="4"/>
      <c r="T431" s="4"/>
      <c r="U431" s="4"/>
    </row>
    <row r="432" spans="2:21" hidden="1" thickTop="1" thickBot="1" x14ac:dyDescent="0.3">
      <c r="B432" s="43">
        <v>100520295</v>
      </c>
      <c r="C432" s="44" t="s">
        <v>557</v>
      </c>
      <c r="D432" s="45"/>
      <c r="E432" s="45" t="str">
        <f>IF(ISERR(FIND("AFRICA",PRODUCTO_MI_AR68[[#This Row],[NOM PRODUCTO]])),"","ME")</f>
        <v>ME</v>
      </c>
      <c r="F432" s="44" t="s">
        <v>16</v>
      </c>
      <c r="G432" s="44" t="s">
        <v>17</v>
      </c>
      <c r="H432" s="44" t="s">
        <v>18</v>
      </c>
      <c r="I432" s="44" t="s">
        <v>97</v>
      </c>
      <c r="J432" s="44" t="s">
        <v>28</v>
      </c>
      <c r="K432" s="44" t="s">
        <v>98</v>
      </c>
      <c r="L432" s="44" t="s">
        <v>556</v>
      </c>
      <c r="M432" s="44" t="s">
        <v>62</v>
      </c>
      <c r="N432" s="44" t="str">
        <f>IF(ISERR(FIND("CONG",PRODUCTO_MI_AR68[[#This Row],[NOM PRODUCTO]])),"","CONGELADO")</f>
        <v>CONGELADO</v>
      </c>
      <c r="O432" s="46" t="s">
        <v>98</v>
      </c>
      <c r="P432"/>
      <c r="Q432" s="4"/>
      <c r="R432" s="4"/>
      <c r="S432" s="4"/>
      <c r="T432" s="4"/>
      <c r="U432" s="4"/>
    </row>
    <row r="433" spans="2:21" ht="18" hidden="1" customHeight="1" thickTop="1" thickBot="1" x14ac:dyDescent="0.3">
      <c r="B433" s="43">
        <v>100518151</v>
      </c>
      <c r="C433" s="44" t="s">
        <v>558</v>
      </c>
      <c r="D433" s="45" t="s">
        <v>43</v>
      </c>
      <c r="E433" s="45" t="s">
        <v>44</v>
      </c>
      <c r="F433" s="44" t="s">
        <v>16</v>
      </c>
      <c r="G433" s="44" t="s">
        <v>17</v>
      </c>
      <c r="H433" s="44" t="s">
        <v>338</v>
      </c>
      <c r="I433" s="44" t="s">
        <v>46</v>
      </c>
      <c r="J433" s="44" t="s">
        <v>28</v>
      </c>
      <c r="K433" s="44" t="s">
        <v>559</v>
      </c>
      <c r="L433" s="44" t="s">
        <v>560</v>
      </c>
      <c r="M433" s="44" t="s">
        <v>57</v>
      </c>
      <c r="N433" s="44" t="s">
        <v>23</v>
      </c>
      <c r="O433" s="46" t="s">
        <v>49</v>
      </c>
      <c r="P433"/>
      <c r="Q433" s="4"/>
      <c r="R433" s="4"/>
      <c r="S433" s="4"/>
      <c r="T433" s="4"/>
      <c r="U433" s="4"/>
    </row>
    <row r="434" spans="2:21" ht="18" hidden="1" customHeight="1" thickTop="1" thickBot="1" x14ac:dyDescent="0.3">
      <c r="B434" s="43">
        <v>100518892</v>
      </c>
      <c r="C434" s="44" t="s">
        <v>561</v>
      </c>
      <c r="D434" s="45"/>
      <c r="E434" s="45" t="s">
        <v>15</v>
      </c>
      <c r="F434" s="44" t="s">
        <v>16</v>
      </c>
      <c r="G434" s="44" t="s">
        <v>17</v>
      </c>
      <c r="H434" s="44" t="s">
        <v>18</v>
      </c>
      <c r="I434" s="44" t="s">
        <v>319</v>
      </c>
      <c r="J434" s="44" t="s">
        <v>28</v>
      </c>
      <c r="K434" s="44" t="s">
        <v>320</v>
      </c>
      <c r="L434" s="44" t="s">
        <v>562</v>
      </c>
      <c r="M434" s="44" t="s">
        <v>62</v>
      </c>
      <c r="N434" s="44" t="str">
        <f>IF(ISERR(FIND("CONG",PRODUCTO_MI_AR68[[#This Row],[NOM PRODUCTO]])),"","CONGELADO")</f>
        <v>CONGELADO</v>
      </c>
      <c r="O434" s="46" t="s">
        <v>24</v>
      </c>
      <c r="P434"/>
      <c r="Q434" s="4"/>
      <c r="R434" s="4"/>
      <c r="S434" s="4"/>
      <c r="T434" s="4"/>
      <c r="U434" s="4"/>
    </row>
    <row r="435" spans="2:21" ht="18" hidden="1" customHeight="1" thickTop="1" thickBot="1" x14ac:dyDescent="0.3">
      <c r="B435" s="43">
        <v>100016341</v>
      </c>
      <c r="C435" s="44" t="s">
        <v>563</v>
      </c>
      <c r="D435" s="45"/>
      <c r="E435" s="45" t="s">
        <v>44</v>
      </c>
      <c r="F435" s="44" t="s">
        <v>16</v>
      </c>
      <c r="G435" s="44" t="s">
        <v>17</v>
      </c>
      <c r="H435" s="44" t="s">
        <v>18</v>
      </c>
      <c r="I435" s="44" t="s">
        <v>319</v>
      </c>
      <c r="J435" s="44" t="s">
        <v>28</v>
      </c>
      <c r="K435" s="44" t="s">
        <v>320</v>
      </c>
      <c r="L435" s="44" t="s">
        <v>562</v>
      </c>
      <c r="M435" s="44" t="s">
        <v>57</v>
      </c>
      <c r="N435" s="44" t="str">
        <f>IF(ISERR(FIND("CONG",PRODUCTO_MI_AR68[[#This Row],[NOM PRODUCTO]])),"","CONGELADO")</f>
        <v>CONGELADO</v>
      </c>
      <c r="O435" s="46" t="s">
        <v>24</v>
      </c>
      <c r="P435"/>
      <c r="Q435" s="4"/>
      <c r="R435" s="4"/>
      <c r="S435" s="4"/>
      <c r="T435" s="4"/>
      <c r="U435" s="4"/>
    </row>
    <row r="436" spans="2:21" ht="18" hidden="1" customHeight="1" thickTop="1" thickBot="1" x14ac:dyDescent="0.3">
      <c r="B436" s="43">
        <v>100518885</v>
      </c>
      <c r="C436" s="44" t="s">
        <v>564</v>
      </c>
      <c r="D436" s="45"/>
      <c r="E436" s="45" t="s">
        <v>44</v>
      </c>
      <c r="F436" s="44" t="s">
        <v>16</v>
      </c>
      <c r="G436" s="44" t="s">
        <v>17</v>
      </c>
      <c r="H436" s="44" t="s">
        <v>18</v>
      </c>
      <c r="I436" s="44" t="s">
        <v>319</v>
      </c>
      <c r="J436" s="44" t="s">
        <v>28</v>
      </c>
      <c r="K436" s="44" t="s">
        <v>320</v>
      </c>
      <c r="L436" s="44" t="s">
        <v>565</v>
      </c>
      <c r="M436" s="44" t="s">
        <v>62</v>
      </c>
      <c r="N436" s="44" t="str">
        <f>IF(ISERR(FIND("CONG",PRODUCTO_MI_AR68[[#This Row],[NOM PRODUCTO]])),"","CONGELADO")</f>
        <v>CONGELADO</v>
      </c>
      <c r="O436" s="46" t="s">
        <v>24</v>
      </c>
      <c r="P436"/>
      <c r="Q436" s="4"/>
      <c r="R436" s="4"/>
      <c r="S436" s="4"/>
      <c r="T436" s="4"/>
      <c r="U436" s="4"/>
    </row>
    <row r="437" spans="2:21" hidden="1" thickTop="1" thickBot="1" x14ac:dyDescent="0.3">
      <c r="B437" s="43">
        <v>100520551</v>
      </c>
      <c r="C437" s="44" t="s">
        <v>566</v>
      </c>
      <c r="D437" s="45"/>
      <c r="E437" s="45" t="str">
        <f>IF(ISERR(FIND("ISRAEL",PRODUCTO_MI_AR68[[#This Row],[NOM PRODUCTO]])),"","ME")</f>
        <v>ME</v>
      </c>
      <c r="F437" s="44" t="s">
        <v>16</v>
      </c>
      <c r="G437" s="44" t="s">
        <v>17</v>
      </c>
      <c r="H437" s="44" t="s">
        <v>18</v>
      </c>
      <c r="I437" s="44" t="s">
        <v>101</v>
      </c>
      <c r="J437" s="44" t="s">
        <v>28</v>
      </c>
      <c r="K437" s="44" t="s">
        <v>567</v>
      </c>
      <c r="L437" s="44" t="s">
        <v>568</v>
      </c>
      <c r="M437" s="44" t="s">
        <v>29</v>
      </c>
      <c r="N437" s="44" t="s">
        <v>23</v>
      </c>
      <c r="O437" s="46" t="s">
        <v>24</v>
      </c>
      <c r="P437"/>
      <c r="Q437" s="4"/>
      <c r="R437" s="4"/>
      <c r="S437" s="4"/>
      <c r="T437" s="4"/>
      <c r="U437" s="4"/>
    </row>
    <row r="438" spans="2:21" ht="18" hidden="1" customHeight="1" thickTop="1" thickBot="1" x14ac:dyDescent="0.3">
      <c r="B438" s="43">
        <v>100520553</v>
      </c>
      <c r="C438" s="44" t="s">
        <v>569</v>
      </c>
      <c r="D438" s="45"/>
      <c r="E438" s="45" t="str">
        <f>IF(ISERR(FIND("ISRAEL",PRODUCTO_MI_AR68[[#This Row],[NOM PRODUCTO]])),"","ME")</f>
        <v>ME</v>
      </c>
      <c r="F438" s="44" t="s">
        <v>16</v>
      </c>
      <c r="G438" s="44" t="s">
        <v>17</v>
      </c>
      <c r="H438" s="44" t="s">
        <v>18</v>
      </c>
      <c r="I438" s="44" t="s">
        <v>101</v>
      </c>
      <c r="J438" s="44" t="s">
        <v>28</v>
      </c>
      <c r="K438" s="44" t="s">
        <v>567</v>
      </c>
      <c r="L438" s="44" t="s">
        <v>568</v>
      </c>
      <c r="M438" s="44" t="s">
        <v>29</v>
      </c>
      <c r="N438" s="44" t="s">
        <v>23</v>
      </c>
      <c r="O438" s="46" t="s">
        <v>24</v>
      </c>
      <c r="P438"/>
      <c r="Q438" s="4"/>
      <c r="R438" s="4"/>
      <c r="S438" s="4"/>
      <c r="T438" s="4"/>
      <c r="U438" s="4"/>
    </row>
    <row r="439" spans="2:21" hidden="1" thickTop="1" thickBot="1" x14ac:dyDescent="0.3">
      <c r="B439" s="43">
        <v>100516662</v>
      </c>
      <c r="C439" s="44" t="s">
        <v>570</v>
      </c>
      <c r="D439" s="45"/>
      <c r="E439" s="45" t="str">
        <f>IF(ISERR(FIND("CLL",PRODUCTO_MI_AR68[[#This Row],[NOM PRODUCTO]])),"","ME")</f>
        <v>ME</v>
      </c>
      <c r="F439" s="44" t="s">
        <v>16</v>
      </c>
      <c r="G439" s="44" t="s">
        <v>17</v>
      </c>
      <c r="H439" s="44" t="s">
        <v>18</v>
      </c>
      <c r="I439" s="44" t="s">
        <v>101</v>
      </c>
      <c r="J439" s="44" t="s">
        <v>20</v>
      </c>
      <c r="K439" s="44" t="s">
        <v>567</v>
      </c>
      <c r="L439" s="44" t="s">
        <v>568</v>
      </c>
      <c r="M439" s="44" t="s">
        <v>22</v>
      </c>
      <c r="N439" s="44" t="s">
        <v>23</v>
      </c>
      <c r="O439" s="46" t="s">
        <v>24</v>
      </c>
      <c r="P439"/>
      <c r="Q439" s="4"/>
      <c r="R439" s="4"/>
      <c r="S439" s="4"/>
      <c r="T439" s="4"/>
      <c r="U439" s="4"/>
    </row>
    <row r="440" spans="2:21" hidden="1" thickTop="1" thickBot="1" x14ac:dyDescent="0.3">
      <c r="B440" s="43">
        <v>100519459</v>
      </c>
      <c r="C440" s="44" t="s">
        <v>571</v>
      </c>
      <c r="D440" s="45"/>
      <c r="E440" s="45" t="str">
        <f>IF(ISERR(FIND("PUL",PRODUCTO_MI_AR68[[#This Row],[NOM PRODUCTO]])),"","ME")</f>
        <v>ME</v>
      </c>
      <c r="F440" s="44" t="s">
        <v>16</v>
      </c>
      <c r="G440" s="44" t="s">
        <v>17</v>
      </c>
      <c r="H440" s="44" t="s">
        <v>18</v>
      </c>
      <c r="I440" s="44" t="s">
        <v>101</v>
      </c>
      <c r="J440" s="44" t="s">
        <v>28</v>
      </c>
      <c r="K440" s="44" t="s">
        <v>567</v>
      </c>
      <c r="L440" s="44" t="s">
        <v>568</v>
      </c>
      <c r="M440" s="44" t="s">
        <v>29</v>
      </c>
      <c r="N440" s="44" t="str">
        <f>IF(ISERR(FIND("CONG",PRODUCTO_MI_AR68[[#This Row],[NOM PRODUCTO]])),"","CONGELADO")</f>
        <v>CONGELADO</v>
      </c>
      <c r="O440" s="46" t="s">
        <v>24</v>
      </c>
      <c r="P440"/>
      <c r="Q440" s="4"/>
      <c r="R440" s="4"/>
      <c r="S440" s="4"/>
      <c r="T440" s="4"/>
      <c r="U440" s="4"/>
    </row>
    <row r="441" spans="2:21" hidden="1" thickTop="1" thickBot="1" x14ac:dyDescent="0.3">
      <c r="B441" s="43">
        <v>100519449</v>
      </c>
      <c r="C441" s="44" t="s">
        <v>572</v>
      </c>
      <c r="D441" s="45"/>
      <c r="E441" s="45" t="str">
        <f>IF(ISERR(FIND("PUL",PRODUCTO_MI_AR68[[#This Row],[NOM PRODUCTO]])),"","ME")</f>
        <v>ME</v>
      </c>
      <c r="F441" s="44" t="s">
        <v>16</v>
      </c>
      <c r="G441" s="44" t="s">
        <v>17</v>
      </c>
      <c r="H441" s="44" t="s">
        <v>18</v>
      </c>
      <c r="I441" s="44" t="s">
        <v>101</v>
      </c>
      <c r="J441" s="44" t="s">
        <v>28</v>
      </c>
      <c r="K441" s="44" t="s">
        <v>567</v>
      </c>
      <c r="L441" s="44" t="s">
        <v>568</v>
      </c>
      <c r="M441" s="44" t="s">
        <v>29</v>
      </c>
      <c r="N441" s="44" t="str">
        <f>IF(ISERR(FIND("CONG",PRODUCTO_MI_AR68[[#This Row],[NOM PRODUCTO]])),"","CONGELADO")</f>
        <v>CONGELADO</v>
      </c>
      <c r="O441" s="46" t="s">
        <v>24</v>
      </c>
      <c r="P441"/>
      <c r="Q441" s="4"/>
      <c r="R441" s="4"/>
      <c r="S441" s="4"/>
      <c r="T441" s="4"/>
      <c r="U441" s="4"/>
    </row>
    <row r="442" spans="2:21" ht="18" hidden="1" customHeight="1" thickTop="1" thickBot="1" x14ac:dyDescent="0.3">
      <c r="B442" s="43">
        <v>100519460</v>
      </c>
      <c r="C442" s="44" t="s">
        <v>573</v>
      </c>
      <c r="D442" s="45"/>
      <c r="E442" s="45" t="str">
        <f>IF(ISERR(FIND("PUL",PRODUCTO_MI_AR68[[#This Row],[NOM PRODUCTO]])),"","ME")</f>
        <v>ME</v>
      </c>
      <c r="F442" s="44" t="s">
        <v>16</v>
      </c>
      <c r="G442" s="44" t="s">
        <v>17</v>
      </c>
      <c r="H442" s="44" t="s">
        <v>18</v>
      </c>
      <c r="I442" s="44" t="s">
        <v>101</v>
      </c>
      <c r="J442" s="44" t="s">
        <v>28</v>
      </c>
      <c r="K442" s="44" t="s">
        <v>567</v>
      </c>
      <c r="L442" s="44" t="s">
        <v>568</v>
      </c>
      <c r="M442" s="44" t="s">
        <v>29</v>
      </c>
      <c r="N442" s="44" t="str">
        <f>IF(ISERR(FIND("CONG",PRODUCTO_MI_AR68[[#This Row],[NOM PRODUCTO]])),"","CONGELADO")</f>
        <v>CONGELADO</v>
      </c>
      <c r="O442" s="46" t="s">
        <v>24</v>
      </c>
      <c r="P442"/>
      <c r="Q442" s="4"/>
      <c r="R442" s="4"/>
      <c r="S442" s="4"/>
      <c r="T442" s="4"/>
      <c r="U442" s="4"/>
    </row>
    <row r="443" spans="2:21" hidden="1" thickTop="1" thickBot="1" x14ac:dyDescent="0.3">
      <c r="B443" s="43">
        <v>100519450</v>
      </c>
      <c r="C443" s="44" t="s">
        <v>574</v>
      </c>
      <c r="D443" s="45"/>
      <c r="E443" s="45" t="str">
        <f>IF(ISERR(FIND("PUL",PRODUCTO_MI_AR68[[#This Row],[NOM PRODUCTO]])),"","ME")</f>
        <v>ME</v>
      </c>
      <c r="F443" s="44" t="s">
        <v>16</v>
      </c>
      <c r="G443" s="44" t="s">
        <v>17</v>
      </c>
      <c r="H443" s="44" t="s">
        <v>18</v>
      </c>
      <c r="I443" s="44" t="s">
        <v>101</v>
      </c>
      <c r="J443" s="44" t="s">
        <v>28</v>
      </c>
      <c r="K443" s="44" t="s">
        <v>567</v>
      </c>
      <c r="L443" s="44" t="s">
        <v>568</v>
      </c>
      <c r="M443" s="44" t="s">
        <v>29</v>
      </c>
      <c r="N443" s="44" t="str">
        <f>IF(ISERR(FIND("CONG",PRODUCTO_MI_AR68[[#This Row],[NOM PRODUCTO]])),"","CONGELADO")</f>
        <v>CONGELADO</v>
      </c>
      <c r="O443" s="46" t="s">
        <v>24</v>
      </c>
      <c r="P443"/>
      <c r="Q443" s="4"/>
      <c r="R443" s="4"/>
      <c r="S443" s="4"/>
      <c r="T443" s="4"/>
      <c r="U443" s="4"/>
    </row>
    <row r="444" spans="2:21" hidden="1" thickTop="1" thickBot="1" x14ac:dyDescent="0.3">
      <c r="B444" s="43">
        <v>100519461</v>
      </c>
      <c r="C444" s="44" t="s">
        <v>575</v>
      </c>
      <c r="D444" s="45"/>
      <c r="E444" s="45" t="str">
        <f>IF(ISERR(FIND("PUL",PRODUCTO_MI_AR68[[#This Row],[NOM PRODUCTO]])),"","ME")</f>
        <v>ME</v>
      </c>
      <c r="F444" s="44" t="s">
        <v>16</v>
      </c>
      <c r="G444" s="44" t="s">
        <v>17</v>
      </c>
      <c r="H444" s="44" t="s">
        <v>18</v>
      </c>
      <c r="I444" s="44" t="s">
        <v>101</v>
      </c>
      <c r="J444" s="44" t="s">
        <v>28</v>
      </c>
      <c r="K444" s="44" t="s">
        <v>567</v>
      </c>
      <c r="L444" s="44" t="s">
        <v>568</v>
      </c>
      <c r="M444" s="44" t="s">
        <v>29</v>
      </c>
      <c r="N444" s="44" t="str">
        <f>IF(ISERR(FIND("CONG",PRODUCTO_MI_AR68[[#This Row],[NOM PRODUCTO]])),"","CONGELADO")</f>
        <v>CONGELADO</v>
      </c>
      <c r="O444" s="46" t="s">
        <v>24</v>
      </c>
      <c r="P444"/>
      <c r="Q444" s="4"/>
      <c r="R444" s="4"/>
      <c r="S444" s="4"/>
      <c r="T444" s="4"/>
      <c r="U444" s="4"/>
    </row>
    <row r="445" spans="2:21" hidden="1" thickTop="1" thickBot="1" x14ac:dyDescent="0.3">
      <c r="B445" s="43">
        <v>100519452</v>
      </c>
      <c r="C445" s="44" t="s">
        <v>576</v>
      </c>
      <c r="D445" s="45"/>
      <c r="E445" s="45" t="str">
        <f>IF(ISERR(FIND("PUL",PRODUCTO_MI_AR68[[#This Row],[NOM PRODUCTO]])),"","ME")</f>
        <v>ME</v>
      </c>
      <c r="F445" s="44" t="s">
        <v>16</v>
      </c>
      <c r="G445" s="44" t="s">
        <v>17</v>
      </c>
      <c r="H445" s="44" t="s">
        <v>18</v>
      </c>
      <c r="I445" s="44" t="s">
        <v>101</v>
      </c>
      <c r="J445" s="44" t="s">
        <v>28</v>
      </c>
      <c r="K445" s="44" t="s">
        <v>567</v>
      </c>
      <c r="L445" s="44" t="s">
        <v>568</v>
      </c>
      <c r="M445" s="44" t="s">
        <v>29</v>
      </c>
      <c r="N445" s="44" t="str">
        <f>IF(ISERR(FIND("CONG",PRODUCTO_MI_AR68[[#This Row],[NOM PRODUCTO]])),"","CONGELADO")</f>
        <v>CONGELADO</v>
      </c>
      <c r="O445" s="46" t="s">
        <v>24</v>
      </c>
      <c r="P445"/>
      <c r="Q445" s="4"/>
      <c r="R445" s="4"/>
      <c r="S445" s="4"/>
      <c r="T445" s="4"/>
      <c r="U445" s="4"/>
    </row>
    <row r="446" spans="2:21" hidden="1" thickTop="1" thickBot="1" x14ac:dyDescent="0.3">
      <c r="B446" s="43">
        <v>100517130</v>
      </c>
      <c r="C446" s="44" t="s">
        <v>577</v>
      </c>
      <c r="D446" s="45"/>
      <c r="E446" s="45" t="s">
        <v>44</v>
      </c>
      <c r="F446" s="44" t="s">
        <v>16</v>
      </c>
      <c r="G446" s="44" t="s">
        <v>17</v>
      </c>
      <c r="H446" s="44" t="s">
        <v>18</v>
      </c>
      <c r="I446" s="44" t="s">
        <v>101</v>
      </c>
      <c r="J446" s="44" t="s">
        <v>28</v>
      </c>
      <c r="K446" s="44" t="s">
        <v>567</v>
      </c>
      <c r="L446" s="44" t="s">
        <v>578</v>
      </c>
      <c r="M446" s="44" t="s">
        <v>57</v>
      </c>
      <c r="N446" s="44" t="s">
        <v>23</v>
      </c>
      <c r="O446" s="46" t="s">
        <v>24</v>
      </c>
      <c r="P446"/>
      <c r="Q446" s="4"/>
      <c r="R446" s="4"/>
      <c r="S446" s="4"/>
      <c r="T446" s="4"/>
      <c r="U446" s="4"/>
    </row>
    <row r="447" spans="2:21" hidden="1" thickTop="1" thickBot="1" x14ac:dyDescent="0.3">
      <c r="B447" s="43">
        <v>100518972</v>
      </c>
      <c r="C447" s="44" t="s">
        <v>579</v>
      </c>
      <c r="D447" s="45"/>
      <c r="E447" s="45" t="str">
        <f>IF(ISERR(FIND("PUL",PRODUCTO_MI_AR68[[#This Row],[NOM PRODUCTO]])),"","ME")</f>
        <v>ME</v>
      </c>
      <c r="F447" s="44" t="s">
        <v>16</v>
      </c>
      <c r="G447" s="44" t="s">
        <v>17</v>
      </c>
      <c r="H447" s="44" t="s">
        <v>18</v>
      </c>
      <c r="I447" s="44" t="s">
        <v>101</v>
      </c>
      <c r="J447" s="44" t="s">
        <v>28</v>
      </c>
      <c r="K447" s="44" t="s">
        <v>567</v>
      </c>
      <c r="L447" s="44" t="s">
        <v>578</v>
      </c>
      <c r="M447" s="44" t="s">
        <v>29</v>
      </c>
      <c r="N447" s="44" t="str">
        <f>IF(ISERR(FIND("CONG",PRODUCTO_MI_AR68[[#This Row],[NOM PRODUCTO]])),"","CONGELADO")</f>
        <v>CONGELADO</v>
      </c>
      <c r="O447" s="46" t="s">
        <v>24</v>
      </c>
      <c r="P447"/>
      <c r="Q447" s="4"/>
      <c r="R447" s="4"/>
      <c r="S447" s="4"/>
      <c r="T447" s="4"/>
      <c r="U447" s="4"/>
    </row>
    <row r="448" spans="2:21" hidden="1" thickTop="1" thickBot="1" x14ac:dyDescent="0.3">
      <c r="B448" s="43">
        <v>100518379</v>
      </c>
      <c r="C448" s="44" t="s">
        <v>580</v>
      </c>
      <c r="D448" s="45"/>
      <c r="E448" s="45" t="s">
        <v>44</v>
      </c>
      <c r="F448" s="44" t="s">
        <v>16</v>
      </c>
      <c r="G448" s="44" t="s">
        <v>17</v>
      </c>
      <c r="H448" s="44" t="s">
        <v>18</v>
      </c>
      <c r="I448" s="44" t="s">
        <v>101</v>
      </c>
      <c r="J448" s="44" t="s">
        <v>28</v>
      </c>
      <c r="K448" s="44" t="s">
        <v>567</v>
      </c>
      <c r="L448" s="44" t="s">
        <v>578</v>
      </c>
      <c r="M448" s="44" t="s">
        <v>57</v>
      </c>
      <c r="N448" s="44" t="str">
        <f>IF(ISERR(FIND("CONG",PRODUCTO_MI_AR68[[#This Row],[NOM PRODUCTO]])),"","CONGELADO")</f>
        <v>CONGELADO</v>
      </c>
      <c r="O448" s="46" t="s">
        <v>24</v>
      </c>
      <c r="P448"/>
      <c r="Q448" s="4"/>
      <c r="R448" s="4"/>
      <c r="S448" s="4"/>
      <c r="T448" s="4"/>
      <c r="U448" s="4"/>
    </row>
    <row r="449" spans="2:21" hidden="1" thickTop="1" thickBot="1" x14ac:dyDescent="0.3">
      <c r="B449" s="43">
        <v>100010372</v>
      </c>
      <c r="C449" s="44" t="s">
        <v>581</v>
      </c>
      <c r="D449" s="45"/>
      <c r="E449" s="45" t="str">
        <f>IF(ISERR(FIND("CLL",PRODUCTO_MI_AR68[[#This Row],[NOM PRODUCTO]])),"","ME")</f>
        <v>ME</v>
      </c>
      <c r="F449" s="44" t="s">
        <v>16</v>
      </c>
      <c r="G449" s="44" t="s">
        <v>17</v>
      </c>
      <c r="H449" s="44" t="s">
        <v>18</v>
      </c>
      <c r="I449" s="44" t="s">
        <v>101</v>
      </c>
      <c r="J449" s="44" t="s">
        <v>20</v>
      </c>
      <c r="K449" s="44" t="s">
        <v>567</v>
      </c>
      <c r="L449" s="44" t="s">
        <v>578</v>
      </c>
      <c r="M449" s="44" t="s">
        <v>22</v>
      </c>
      <c r="N449" s="44" t="s">
        <v>23</v>
      </c>
      <c r="O449" s="46" t="s">
        <v>24</v>
      </c>
      <c r="P449"/>
      <c r="Q449" s="4"/>
      <c r="R449" s="4"/>
      <c r="S449" s="4"/>
      <c r="T449" s="4"/>
      <c r="U449" s="4"/>
    </row>
    <row r="450" spans="2:21" hidden="1" thickTop="1" thickBot="1" x14ac:dyDescent="0.3">
      <c r="B450" s="43">
        <v>100519494</v>
      </c>
      <c r="C450" s="44" t="s">
        <v>582</v>
      </c>
      <c r="D450" s="45"/>
      <c r="E450" s="45" t="str">
        <f>IF(ISERR(FIND("PUL",PRODUCTO_MI_AR68[[#This Row],[NOM PRODUCTO]])),"","ME")</f>
        <v>ME</v>
      </c>
      <c r="F450" s="44" t="s">
        <v>16</v>
      </c>
      <c r="G450" s="44" t="s">
        <v>17</v>
      </c>
      <c r="H450" s="44" t="s">
        <v>18</v>
      </c>
      <c r="I450" s="44" t="s">
        <v>101</v>
      </c>
      <c r="J450" s="44" t="s">
        <v>40</v>
      </c>
      <c r="K450" s="44" t="s">
        <v>567</v>
      </c>
      <c r="L450" s="44" t="s">
        <v>578</v>
      </c>
      <c r="M450" s="44" t="s">
        <v>41</v>
      </c>
      <c r="N450" s="44" t="s">
        <v>23</v>
      </c>
      <c r="O450" s="46" t="s">
        <v>24</v>
      </c>
      <c r="P450"/>
      <c r="Q450" s="4"/>
      <c r="R450" s="4"/>
      <c r="S450" s="4"/>
      <c r="T450" s="4"/>
      <c r="U450" s="4"/>
    </row>
    <row r="451" spans="2:21" hidden="1" thickTop="1" thickBot="1" x14ac:dyDescent="0.3">
      <c r="B451" s="43">
        <v>100519496</v>
      </c>
      <c r="C451" s="44" t="s">
        <v>583</v>
      </c>
      <c r="D451" s="45"/>
      <c r="E451" s="45" t="str">
        <f>IF(ISERR(FIND("PUL",PRODUCTO_MI_AR68[[#This Row],[NOM PRODUCTO]])),"","ME")</f>
        <v>ME</v>
      </c>
      <c r="F451" s="44" t="s">
        <v>16</v>
      </c>
      <c r="G451" s="44" t="s">
        <v>17</v>
      </c>
      <c r="H451" s="44" t="s">
        <v>18</v>
      </c>
      <c r="I451" s="44" t="s">
        <v>101</v>
      </c>
      <c r="J451" s="44" t="s">
        <v>40</v>
      </c>
      <c r="K451" s="44" t="s">
        <v>567</v>
      </c>
      <c r="L451" s="44" t="s">
        <v>578</v>
      </c>
      <c r="M451" s="44" t="s">
        <v>41</v>
      </c>
      <c r="N451" s="44" t="s">
        <v>23</v>
      </c>
      <c r="O451" s="46" t="s">
        <v>24</v>
      </c>
      <c r="P451"/>
      <c r="Q451" s="4"/>
      <c r="R451" s="4"/>
      <c r="S451" s="4"/>
      <c r="T451" s="4"/>
      <c r="U451" s="4"/>
    </row>
    <row r="452" spans="2:21" hidden="1" thickTop="1" thickBot="1" x14ac:dyDescent="0.3">
      <c r="B452" s="43">
        <v>100012995</v>
      </c>
      <c r="C452" s="44" t="s">
        <v>584</v>
      </c>
      <c r="D452" s="45"/>
      <c r="E452" s="45" t="s">
        <v>44</v>
      </c>
      <c r="F452" s="44" t="s">
        <v>16</v>
      </c>
      <c r="G452" s="44" t="s">
        <v>17</v>
      </c>
      <c r="H452" s="44" t="s">
        <v>18</v>
      </c>
      <c r="I452" s="44" t="s">
        <v>101</v>
      </c>
      <c r="J452" s="44" t="s">
        <v>28</v>
      </c>
      <c r="K452" s="44" t="s">
        <v>567</v>
      </c>
      <c r="L452" s="44" t="s">
        <v>578</v>
      </c>
      <c r="M452" s="44" t="s">
        <v>57</v>
      </c>
      <c r="N452" s="44" t="str">
        <f>IF(ISERR(FIND("CONG",PRODUCTO_MI_AR68[[#This Row],[NOM PRODUCTO]])),"","CONGELADO")</f>
        <v>CONGELADO</v>
      </c>
      <c r="O452" s="46" t="s">
        <v>24</v>
      </c>
      <c r="P452"/>
      <c r="Q452" s="4"/>
      <c r="R452" s="4"/>
      <c r="S452" s="4"/>
      <c r="T452" s="4"/>
      <c r="U452" s="4"/>
    </row>
    <row r="453" spans="2:21" hidden="1" thickTop="1" thickBot="1" x14ac:dyDescent="0.3">
      <c r="B453" s="43">
        <v>100518973</v>
      </c>
      <c r="C453" s="44" t="s">
        <v>585</v>
      </c>
      <c r="D453" s="45"/>
      <c r="E453" s="45" t="str">
        <f>IF(ISERR(FIND("PUL",PRODUCTO_MI_AR68[[#This Row],[NOM PRODUCTO]])),"","ME")</f>
        <v>ME</v>
      </c>
      <c r="F453" s="44" t="s">
        <v>16</v>
      </c>
      <c r="G453" s="44" t="s">
        <v>17</v>
      </c>
      <c r="H453" s="44" t="s">
        <v>18</v>
      </c>
      <c r="I453" s="44" t="s">
        <v>101</v>
      </c>
      <c r="J453" s="44" t="s">
        <v>28</v>
      </c>
      <c r="K453" s="44" t="s">
        <v>567</v>
      </c>
      <c r="L453" s="44" t="s">
        <v>578</v>
      </c>
      <c r="M453" s="44" t="s">
        <v>29</v>
      </c>
      <c r="N453" s="44" t="str">
        <f>IF(ISERR(FIND("CONG",PRODUCTO_MI_AR68[[#This Row],[NOM PRODUCTO]])),"","CONGELADO")</f>
        <v>CONGELADO</v>
      </c>
      <c r="O453" s="46" t="s">
        <v>24</v>
      </c>
      <c r="P453"/>
      <c r="Q453" s="4"/>
      <c r="R453" s="4"/>
      <c r="S453" s="4"/>
      <c r="T453" s="4"/>
      <c r="U453" s="4"/>
    </row>
    <row r="454" spans="2:21" hidden="1" thickTop="1" thickBot="1" x14ac:dyDescent="0.3">
      <c r="B454" s="43">
        <v>100011008</v>
      </c>
      <c r="C454" s="44" t="s">
        <v>586</v>
      </c>
      <c r="D454" s="45"/>
      <c r="E454" s="45" t="s">
        <v>44</v>
      </c>
      <c r="F454" s="44" t="s">
        <v>16</v>
      </c>
      <c r="G454" s="44" t="s">
        <v>17</v>
      </c>
      <c r="H454" s="44" t="s">
        <v>18</v>
      </c>
      <c r="I454" s="44" t="s">
        <v>101</v>
      </c>
      <c r="J454" s="44" t="s">
        <v>28</v>
      </c>
      <c r="K454" s="44" t="s">
        <v>567</v>
      </c>
      <c r="L454" s="44" t="s">
        <v>578</v>
      </c>
      <c r="M454" s="44" t="s">
        <v>57</v>
      </c>
      <c r="N454" s="44" t="s">
        <v>23</v>
      </c>
      <c r="O454" s="46" t="s">
        <v>24</v>
      </c>
      <c r="P454"/>
      <c r="Q454" s="4"/>
      <c r="R454" s="4"/>
      <c r="S454" s="4"/>
      <c r="T454" s="4"/>
      <c r="U454" s="4"/>
    </row>
    <row r="455" spans="2:21" hidden="1" thickTop="1" thickBot="1" x14ac:dyDescent="0.3">
      <c r="B455" s="43">
        <v>100519495</v>
      </c>
      <c r="C455" s="44" t="s">
        <v>587</v>
      </c>
      <c r="D455" s="45"/>
      <c r="E455" s="45" t="str">
        <f>IF(ISERR(FIND("PUL",PRODUCTO_MI_AR68[[#This Row],[NOM PRODUCTO]])),"","ME")</f>
        <v>ME</v>
      </c>
      <c r="F455" s="44" t="s">
        <v>16</v>
      </c>
      <c r="G455" s="44" t="s">
        <v>17</v>
      </c>
      <c r="H455" s="44" t="s">
        <v>18</v>
      </c>
      <c r="I455" s="44" t="s">
        <v>101</v>
      </c>
      <c r="J455" s="44" t="s">
        <v>40</v>
      </c>
      <c r="K455" s="44" t="s">
        <v>567</v>
      </c>
      <c r="L455" s="44" t="s">
        <v>578</v>
      </c>
      <c r="M455" s="44" t="s">
        <v>41</v>
      </c>
      <c r="N455" s="44" t="s">
        <v>23</v>
      </c>
      <c r="O455" s="46" t="s">
        <v>24</v>
      </c>
      <c r="P455"/>
      <c r="Q455" s="4"/>
      <c r="R455" s="4"/>
      <c r="S455" s="4"/>
      <c r="T455" s="4"/>
      <c r="U455" s="4"/>
    </row>
    <row r="456" spans="2:21" hidden="1" thickTop="1" thickBot="1" x14ac:dyDescent="0.3">
      <c r="B456" s="43">
        <v>100518226</v>
      </c>
      <c r="C456" s="44" t="s">
        <v>588</v>
      </c>
      <c r="D456" s="45"/>
      <c r="E456" s="45" t="str">
        <f>IF(ISERR(FIND("CHILE",PRODUCTO_MI_AR68[[#This Row],[NOM PRODUCTO]])),"","ME")</f>
        <v>ME</v>
      </c>
      <c r="F456" s="44" t="s">
        <v>16</v>
      </c>
      <c r="G456" s="44" t="s">
        <v>17</v>
      </c>
      <c r="H456" s="44" t="s">
        <v>18</v>
      </c>
      <c r="I456" s="44" t="s">
        <v>101</v>
      </c>
      <c r="J456" s="44" t="s">
        <v>28</v>
      </c>
      <c r="K456" s="44" t="s">
        <v>567</v>
      </c>
      <c r="L456" s="44" t="s">
        <v>578</v>
      </c>
      <c r="M456" s="44" t="s">
        <v>29</v>
      </c>
      <c r="N456" s="44" t="s">
        <v>23</v>
      </c>
      <c r="O456" s="46" t="s">
        <v>24</v>
      </c>
      <c r="P456"/>
      <c r="Q456" s="4"/>
      <c r="R456" s="4"/>
      <c r="S456" s="4"/>
      <c r="T456" s="4"/>
      <c r="U456" s="4"/>
    </row>
    <row r="457" spans="2:21" hidden="1" thickTop="1" thickBot="1" x14ac:dyDescent="0.3">
      <c r="B457" s="43">
        <v>100516522</v>
      </c>
      <c r="C457" s="44" t="s">
        <v>589</v>
      </c>
      <c r="D457" s="45"/>
      <c r="E457" s="45" t="str">
        <f>IF(ISERR(FIND("CHILE",PRODUCTO_MI_AR68[[#This Row],[NOM PRODUCTO]])),"","ME")</f>
        <v>ME</v>
      </c>
      <c r="F457" s="44" t="s">
        <v>16</v>
      </c>
      <c r="G457" s="44" t="s">
        <v>17</v>
      </c>
      <c r="H457" s="44" t="s">
        <v>18</v>
      </c>
      <c r="I457" s="44" t="s">
        <v>101</v>
      </c>
      <c r="J457" s="44" t="s">
        <v>28</v>
      </c>
      <c r="K457" s="44" t="s">
        <v>567</v>
      </c>
      <c r="L457" s="44" t="s">
        <v>578</v>
      </c>
      <c r="M457" s="44" t="s">
        <v>29</v>
      </c>
      <c r="N457" s="44" t="s">
        <v>23</v>
      </c>
      <c r="O457" s="46" t="s">
        <v>24</v>
      </c>
      <c r="P457"/>
      <c r="Q457" s="4"/>
      <c r="R457" s="4"/>
      <c r="S457" s="4"/>
      <c r="T457" s="4"/>
      <c r="U457" s="4"/>
    </row>
    <row r="458" spans="2:21" hidden="1" thickTop="1" thickBot="1" x14ac:dyDescent="0.3">
      <c r="B458" s="43">
        <v>100012996</v>
      </c>
      <c r="C458" s="44" t="s">
        <v>590</v>
      </c>
      <c r="D458" s="45"/>
      <c r="E458" s="45" t="s">
        <v>44</v>
      </c>
      <c r="F458" s="44" t="s">
        <v>16</v>
      </c>
      <c r="G458" s="44" t="s">
        <v>17</v>
      </c>
      <c r="H458" s="44" t="s">
        <v>18</v>
      </c>
      <c r="I458" s="44" t="s">
        <v>101</v>
      </c>
      <c r="J458" s="44" t="s">
        <v>28</v>
      </c>
      <c r="K458" s="44" t="s">
        <v>567</v>
      </c>
      <c r="L458" s="44" t="s">
        <v>578</v>
      </c>
      <c r="M458" s="44" t="s">
        <v>57</v>
      </c>
      <c r="N458" s="44" t="str">
        <f>IF(ISERR(FIND("CONG",PRODUCTO_MI_AR68[[#This Row],[NOM PRODUCTO]])),"","CONGELADO")</f>
        <v>CONGELADO</v>
      </c>
      <c r="O458" s="46" t="s">
        <v>24</v>
      </c>
      <c r="P458"/>
      <c r="Q458" s="4"/>
      <c r="R458" s="4"/>
      <c r="S458" s="4"/>
      <c r="T458" s="4"/>
      <c r="U458" s="4"/>
    </row>
    <row r="459" spans="2:21" hidden="1" thickTop="1" thickBot="1" x14ac:dyDescent="0.3">
      <c r="B459" s="43">
        <v>100518976</v>
      </c>
      <c r="C459" s="44" t="s">
        <v>591</v>
      </c>
      <c r="D459" s="45"/>
      <c r="E459" s="45" t="str">
        <f>IF(ISERR(FIND("PUL",PRODUCTO_MI_AR68[[#This Row],[NOM PRODUCTO]])),"","ME")</f>
        <v>ME</v>
      </c>
      <c r="F459" s="44" t="s">
        <v>16</v>
      </c>
      <c r="G459" s="44" t="s">
        <v>17</v>
      </c>
      <c r="H459" s="44" t="s">
        <v>18</v>
      </c>
      <c r="I459" s="44" t="s">
        <v>101</v>
      </c>
      <c r="J459" s="44" t="s">
        <v>28</v>
      </c>
      <c r="K459" s="44" t="s">
        <v>567</v>
      </c>
      <c r="L459" s="44" t="s">
        <v>578</v>
      </c>
      <c r="M459" s="44" t="s">
        <v>29</v>
      </c>
      <c r="N459" s="44" t="str">
        <f>IF(ISERR(FIND("CONG",PRODUCTO_MI_AR68[[#This Row],[NOM PRODUCTO]])),"","CONGELADO")</f>
        <v>CONGELADO</v>
      </c>
      <c r="O459" s="46" t="s">
        <v>24</v>
      </c>
      <c r="P459"/>
      <c r="Q459" s="4"/>
      <c r="R459" s="4"/>
      <c r="S459" s="4"/>
      <c r="T459" s="4"/>
      <c r="U459" s="4"/>
    </row>
    <row r="460" spans="2:21" hidden="1" thickTop="1" thickBot="1" x14ac:dyDescent="0.3">
      <c r="B460" s="43">
        <v>100011009</v>
      </c>
      <c r="C460" s="44" t="s">
        <v>592</v>
      </c>
      <c r="D460" s="45"/>
      <c r="E460" s="45" t="s">
        <v>44</v>
      </c>
      <c r="F460" s="44" t="s">
        <v>16</v>
      </c>
      <c r="G460" s="44" t="s">
        <v>17</v>
      </c>
      <c r="H460" s="44" t="s">
        <v>18</v>
      </c>
      <c r="I460" s="44" t="s">
        <v>101</v>
      </c>
      <c r="J460" s="44" t="s">
        <v>28</v>
      </c>
      <c r="K460" s="44" t="s">
        <v>567</v>
      </c>
      <c r="L460" s="44" t="s">
        <v>578</v>
      </c>
      <c r="M460" s="44" t="s">
        <v>57</v>
      </c>
      <c r="N460" s="44" t="s">
        <v>23</v>
      </c>
      <c r="O460" s="46" t="s">
        <v>24</v>
      </c>
      <c r="P460"/>
      <c r="Q460" s="4"/>
      <c r="R460" s="4"/>
      <c r="S460" s="4"/>
      <c r="T460" s="4"/>
      <c r="U460" s="4"/>
    </row>
    <row r="461" spans="2:21" hidden="1" thickTop="1" thickBot="1" x14ac:dyDescent="0.3">
      <c r="B461" s="43">
        <v>100012997</v>
      </c>
      <c r="C461" s="44" t="s">
        <v>593</v>
      </c>
      <c r="D461" s="45"/>
      <c r="E461" s="45" t="s">
        <v>44</v>
      </c>
      <c r="F461" s="44" t="s">
        <v>16</v>
      </c>
      <c r="G461" s="44" t="s">
        <v>17</v>
      </c>
      <c r="H461" s="44" t="s">
        <v>18</v>
      </c>
      <c r="I461" s="44" t="s">
        <v>101</v>
      </c>
      <c r="J461" s="44" t="s">
        <v>28</v>
      </c>
      <c r="K461" s="44" t="s">
        <v>567</v>
      </c>
      <c r="L461" s="44" t="s">
        <v>578</v>
      </c>
      <c r="M461" s="44" t="s">
        <v>57</v>
      </c>
      <c r="N461" s="44" t="str">
        <f>IF(ISERR(FIND("CONG",PRODUCTO_MI_AR68[[#This Row],[NOM PRODUCTO]])),"","CONGELADO")</f>
        <v>CONGELADO</v>
      </c>
      <c r="O461" s="46" t="s">
        <v>24</v>
      </c>
      <c r="P461"/>
      <c r="Q461" s="4"/>
      <c r="R461" s="4"/>
      <c r="S461" s="4"/>
      <c r="T461" s="4"/>
      <c r="U461" s="4"/>
    </row>
    <row r="462" spans="2:21" hidden="1" thickTop="1" thickBot="1" x14ac:dyDescent="0.3">
      <c r="B462" s="43">
        <v>100011010</v>
      </c>
      <c r="C462" s="44" t="s">
        <v>594</v>
      </c>
      <c r="D462" s="45"/>
      <c r="E462" s="45" t="s">
        <v>44</v>
      </c>
      <c r="F462" s="44" t="s">
        <v>16</v>
      </c>
      <c r="G462" s="44" t="s">
        <v>17</v>
      </c>
      <c r="H462" s="44" t="s">
        <v>18</v>
      </c>
      <c r="I462" s="44" t="s">
        <v>101</v>
      </c>
      <c r="J462" s="44" t="s">
        <v>28</v>
      </c>
      <c r="K462" s="44" t="s">
        <v>567</v>
      </c>
      <c r="L462" s="44" t="s">
        <v>578</v>
      </c>
      <c r="M462" s="44" t="s">
        <v>57</v>
      </c>
      <c r="N462" s="44" t="s">
        <v>23</v>
      </c>
      <c r="O462" s="46" t="s">
        <v>24</v>
      </c>
      <c r="P462"/>
      <c r="Q462" s="4"/>
      <c r="R462" s="4"/>
      <c r="S462" s="4"/>
      <c r="T462" s="4"/>
      <c r="U462" s="4"/>
    </row>
    <row r="463" spans="2:21" hidden="1" thickTop="1" thickBot="1" x14ac:dyDescent="0.3">
      <c r="B463" s="43">
        <v>100517635</v>
      </c>
      <c r="C463" s="44" t="s">
        <v>595</v>
      </c>
      <c r="D463" s="45"/>
      <c r="E463" s="45" t="s">
        <v>44</v>
      </c>
      <c r="F463" s="44" t="s">
        <v>16</v>
      </c>
      <c r="G463" s="44" t="s">
        <v>17</v>
      </c>
      <c r="H463" s="44" t="s">
        <v>18</v>
      </c>
      <c r="I463" s="44" t="s">
        <v>101</v>
      </c>
      <c r="J463" s="44" t="s">
        <v>28</v>
      </c>
      <c r="K463" s="44" t="s">
        <v>567</v>
      </c>
      <c r="L463" s="44" t="s">
        <v>578</v>
      </c>
      <c r="M463" s="44" t="s">
        <v>57</v>
      </c>
      <c r="N463" s="44" t="s">
        <v>23</v>
      </c>
      <c r="O463" s="46" t="s">
        <v>24</v>
      </c>
      <c r="P463"/>
      <c r="Q463" s="4"/>
      <c r="R463" s="4"/>
      <c r="S463" s="4"/>
      <c r="T463" s="4"/>
      <c r="U463" s="4"/>
    </row>
    <row r="464" spans="2:21" hidden="1" thickTop="1" thickBot="1" x14ac:dyDescent="0.3">
      <c r="B464" s="43">
        <v>100013150</v>
      </c>
      <c r="C464" s="44" t="s">
        <v>596</v>
      </c>
      <c r="D464" s="45"/>
      <c r="E464" s="45" t="s">
        <v>44</v>
      </c>
      <c r="F464" s="44" t="s">
        <v>16</v>
      </c>
      <c r="G464" s="44" t="s">
        <v>17</v>
      </c>
      <c r="H464" s="44" t="s">
        <v>18</v>
      </c>
      <c r="I464" s="44" t="s">
        <v>101</v>
      </c>
      <c r="J464" s="44" t="s">
        <v>28</v>
      </c>
      <c r="K464" s="44" t="s">
        <v>567</v>
      </c>
      <c r="L464" s="44" t="s">
        <v>578</v>
      </c>
      <c r="M464" s="44" t="s">
        <v>57</v>
      </c>
      <c r="N464" s="44" t="s">
        <v>23</v>
      </c>
      <c r="O464" s="46" t="s">
        <v>24</v>
      </c>
      <c r="P464"/>
      <c r="Q464" s="4"/>
      <c r="R464" s="4"/>
      <c r="S464" s="4"/>
      <c r="T464" s="4"/>
      <c r="U464" s="4"/>
    </row>
    <row r="465" spans="2:21" hidden="1" thickTop="1" thickBot="1" x14ac:dyDescent="0.3">
      <c r="B465" s="43">
        <v>100522246</v>
      </c>
      <c r="C465" s="44" t="s">
        <v>597</v>
      </c>
      <c r="D465" s="45"/>
      <c r="E465" s="45" t="s">
        <v>44</v>
      </c>
      <c r="F465" s="44" t="s">
        <v>16</v>
      </c>
      <c r="G465" s="44" t="s">
        <v>17</v>
      </c>
      <c r="H465" s="44" t="s">
        <v>598</v>
      </c>
      <c r="I465" s="44" t="s">
        <v>599</v>
      </c>
      <c r="J465" s="44" t="s">
        <v>28</v>
      </c>
      <c r="K465" s="44" t="s">
        <v>600</v>
      </c>
      <c r="L465" s="44" t="s">
        <v>601</v>
      </c>
      <c r="M465" s="44" t="s">
        <v>57</v>
      </c>
      <c r="N465" s="44" t="s">
        <v>193</v>
      </c>
      <c r="O465" s="46" t="s">
        <v>49</v>
      </c>
      <c r="P465"/>
      <c r="Q465" s="4"/>
      <c r="R465" s="4"/>
      <c r="S465" s="4"/>
      <c r="T465" s="4"/>
      <c r="U465" s="4"/>
    </row>
    <row r="466" spans="2:21" hidden="1" thickTop="1" thickBot="1" x14ac:dyDescent="0.3">
      <c r="B466" s="43">
        <v>100522247</v>
      </c>
      <c r="C466" s="44" t="s">
        <v>602</v>
      </c>
      <c r="D466" s="45"/>
      <c r="E466" s="45" t="s">
        <v>44</v>
      </c>
      <c r="F466" s="44" t="s">
        <v>16</v>
      </c>
      <c r="G466" s="44" t="s">
        <v>17</v>
      </c>
      <c r="H466" s="44" t="s">
        <v>598</v>
      </c>
      <c r="I466" s="44" t="s">
        <v>599</v>
      </c>
      <c r="J466" s="44" t="s">
        <v>28</v>
      </c>
      <c r="K466" s="44" t="s">
        <v>600</v>
      </c>
      <c r="L466" s="44" t="s">
        <v>601</v>
      </c>
      <c r="M466" s="44" t="s">
        <v>57</v>
      </c>
      <c r="N466" s="44" t="s">
        <v>193</v>
      </c>
      <c r="O466" s="46" t="s">
        <v>49</v>
      </c>
      <c r="P466"/>
      <c r="Q466" s="4"/>
      <c r="R466" s="4"/>
      <c r="S466" s="4"/>
      <c r="T466" s="4"/>
      <c r="U466" s="4"/>
    </row>
    <row r="467" spans="2:21" hidden="1" thickTop="1" thickBot="1" x14ac:dyDescent="0.3">
      <c r="B467" s="43">
        <v>100518359</v>
      </c>
      <c r="C467" s="44" t="s">
        <v>603</v>
      </c>
      <c r="D467" s="45"/>
      <c r="E467" s="45" t="s">
        <v>44</v>
      </c>
      <c r="F467" s="44" t="s">
        <v>16</v>
      </c>
      <c r="G467" s="44" t="s">
        <v>17</v>
      </c>
      <c r="H467" s="44" t="s">
        <v>18</v>
      </c>
      <c r="I467" s="44" t="s">
        <v>101</v>
      </c>
      <c r="J467" s="44" t="s">
        <v>20</v>
      </c>
      <c r="K467" s="44" t="s">
        <v>567</v>
      </c>
      <c r="L467" s="44" t="s">
        <v>567</v>
      </c>
      <c r="M467" s="44" t="s">
        <v>73</v>
      </c>
      <c r="N467" s="44" t="s">
        <v>23</v>
      </c>
      <c r="O467" s="46" t="s">
        <v>24</v>
      </c>
      <c r="P467"/>
      <c r="Q467" s="4"/>
      <c r="R467" s="4"/>
      <c r="S467" s="4"/>
      <c r="T467" s="4"/>
      <c r="U467" s="4"/>
    </row>
    <row r="468" spans="2:21" hidden="1" thickTop="1" thickBot="1" x14ac:dyDescent="0.3">
      <c r="B468" s="43">
        <v>100520550</v>
      </c>
      <c r="C468" s="44" t="s">
        <v>604</v>
      </c>
      <c r="D468" s="45"/>
      <c r="E468" s="45" t="str">
        <f>IF(ISERR(FIND("ISRAEL",PRODUCTO_MI_AR68[[#This Row],[NOM PRODUCTO]])),"","ME")</f>
        <v>ME</v>
      </c>
      <c r="F468" s="44" t="s">
        <v>16</v>
      </c>
      <c r="G468" s="44" t="s">
        <v>17</v>
      </c>
      <c r="H468" s="44" t="s">
        <v>18</v>
      </c>
      <c r="I468" s="44" t="s">
        <v>101</v>
      </c>
      <c r="J468" s="44" t="s">
        <v>28</v>
      </c>
      <c r="K468" s="44" t="s">
        <v>567</v>
      </c>
      <c r="L468" s="44" t="s">
        <v>567</v>
      </c>
      <c r="M468" s="44" t="s">
        <v>29</v>
      </c>
      <c r="N468" s="44" t="s">
        <v>23</v>
      </c>
      <c r="O468" s="46" t="s">
        <v>24</v>
      </c>
      <c r="P468"/>
      <c r="Q468" s="4"/>
      <c r="R468" s="4"/>
      <c r="S468" s="4"/>
      <c r="T468" s="4"/>
      <c r="U468" s="4"/>
    </row>
    <row r="469" spans="2:21" hidden="1" thickTop="1" thickBot="1" x14ac:dyDescent="0.3">
      <c r="B469" s="43">
        <v>100521465</v>
      </c>
      <c r="C469" s="44" t="s">
        <v>605</v>
      </c>
      <c r="D469" s="45"/>
      <c r="E469" s="45" t="str">
        <f>IF(ISERR(FIND("CLL",PRODUCTO_MI_AR68[[#This Row],[NOM PRODUCTO]])),"","ME")</f>
        <v>ME</v>
      </c>
      <c r="F469" s="44" t="s">
        <v>16</v>
      </c>
      <c r="G469" s="44" t="s">
        <v>17</v>
      </c>
      <c r="H469" s="44" t="s">
        <v>18</v>
      </c>
      <c r="I469" s="44" t="s">
        <v>101</v>
      </c>
      <c r="J469" s="44" t="s">
        <v>20</v>
      </c>
      <c r="K469" s="44" t="s">
        <v>567</v>
      </c>
      <c r="L469" s="44" t="s">
        <v>568</v>
      </c>
      <c r="M469" s="44" t="s">
        <v>22</v>
      </c>
      <c r="N469" s="44" t="str">
        <f>IF(ISERR(FIND("CONG",PRODUCTO_MI_AR68[[#This Row],[NOM PRODUCTO]])),"","CONGELADO")</f>
        <v>CONGELADO</v>
      </c>
      <c r="O469" s="46" t="s">
        <v>24</v>
      </c>
      <c r="P469"/>
      <c r="Q469" s="4"/>
      <c r="R469" s="4"/>
      <c r="S469" s="4"/>
      <c r="T469" s="4"/>
      <c r="U469" s="4"/>
    </row>
    <row r="470" spans="2:21" hidden="1" thickTop="1" thickBot="1" x14ac:dyDescent="0.3">
      <c r="B470" s="43">
        <v>100520260</v>
      </c>
      <c r="C470" s="44" t="s">
        <v>606</v>
      </c>
      <c r="D470" s="45"/>
      <c r="E470" s="45" t="str">
        <f>IF(ISERR(FIND("CLL",PRODUCTO_MI_AR68[[#This Row],[NOM PRODUCTO]])),"","ME")</f>
        <v>ME</v>
      </c>
      <c r="F470" s="44" t="s">
        <v>16</v>
      </c>
      <c r="G470" s="44" t="s">
        <v>17</v>
      </c>
      <c r="H470" s="44" t="s">
        <v>18</v>
      </c>
      <c r="I470" s="44" t="s">
        <v>101</v>
      </c>
      <c r="J470" s="44" t="s">
        <v>20</v>
      </c>
      <c r="K470" s="44" t="s">
        <v>567</v>
      </c>
      <c r="L470" s="44" t="s">
        <v>568</v>
      </c>
      <c r="M470" s="44" t="s">
        <v>22</v>
      </c>
      <c r="N470" s="44" t="s">
        <v>23</v>
      </c>
      <c r="O470" s="46" t="s">
        <v>24</v>
      </c>
      <c r="P470"/>
      <c r="Q470" s="4"/>
      <c r="R470" s="4"/>
      <c r="S470" s="4"/>
      <c r="T470" s="4"/>
      <c r="U470" s="4"/>
    </row>
    <row r="471" spans="2:21" hidden="1" thickTop="1" thickBot="1" x14ac:dyDescent="0.3">
      <c r="B471" s="43">
        <v>100517690</v>
      </c>
      <c r="C471" s="44" t="s">
        <v>607</v>
      </c>
      <c r="D471" s="45"/>
      <c r="E471" s="45" t="s">
        <v>44</v>
      </c>
      <c r="F471" s="44" t="s">
        <v>16</v>
      </c>
      <c r="G471" s="44" t="s">
        <v>17</v>
      </c>
      <c r="H471" s="44" t="s">
        <v>18</v>
      </c>
      <c r="I471" s="44" t="s">
        <v>101</v>
      </c>
      <c r="J471" s="44" t="s">
        <v>20</v>
      </c>
      <c r="K471" s="44" t="s">
        <v>567</v>
      </c>
      <c r="L471" s="44" t="s">
        <v>568</v>
      </c>
      <c r="M471" s="44" t="s">
        <v>73</v>
      </c>
      <c r="N471" s="44" t="s">
        <v>23</v>
      </c>
      <c r="O471" s="46" t="s">
        <v>24</v>
      </c>
      <c r="P471"/>
      <c r="Q471" s="4"/>
      <c r="R471" s="4"/>
      <c r="S471" s="4"/>
      <c r="T471" s="4"/>
      <c r="U471" s="4"/>
    </row>
    <row r="472" spans="2:21" hidden="1" thickTop="1" thickBot="1" x14ac:dyDescent="0.3">
      <c r="B472" s="43">
        <v>100520276</v>
      </c>
      <c r="C472" s="44" t="s">
        <v>608</v>
      </c>
      <c r="D472" s="45"/>
      <c r="E472" s="45" t="s">
        <v>44</v>
      </c>
      <c r="F472" s="44" t="s">
        <v>16</v>
      </c>
      <c r="G472" s="44" t="s">
        <v>17</v>
      </c>
      <c r="H472" s="44" t="s">
        <v>18</v>
      </c>
      <c r="I472" s="44" t="s">
        <v>101</v>
      </c>
      <c r="J472" s="44" t="s">
        <v>20</v>
      </c>
      <c r="K472" s="44" t="s">
        <v>567</v>
      </c>
      <c r="L472" s="44" t="s">
        <v>568</v>
      </c>
      <c r="M472" s="44" t="s">
        <v>73</v>
      </c>
      <c r="N472" s="44" t="str">
        <f>IF(ISERR(FIND("CONG",PRODUCTO_MI_AR68[[#This Row],[NOM PRODUCTO]])),"","CONGELADO")</f>
        <v>CONGELADO</v>
      </c>
      <c r="O472" s="46" t="s">
        <v>24</v>
      </c>
      <c r="P472"/>
      <c r="Q472" s="4"/>
      <c r="R472" s="4"/>
      <c r="S472" s="4"/>
      <c r="T472" s="4"/>
      <c r="U472" s="4"/>
    </row>
    <row r="473" spans="2:21" hidden="1" thickTop="1" thickBot="1" x14ac:dyDescent="0.3">
      <c r="B473" s="43">
        <v>100520873</v>
      </c>
      <c r="C473" s="44" t="s">
        <v>609</v>
      </c>
      <c r="D473" s="45"/>
      <c r="E473" s="45" t="str">
        <f>IF(ISERR(FIND("VENTA LOCAL",PRODUCTO_MI_AR68[[#This Row],[NOM PRODUCTO]])),"","MI")</f>
        <v>MI</v>
      </c>
      <c r="F473" s="44" t="s">
        <v>16</v>
      </c>
      <c r="G473" s="44" t="s">
        <v>17</v>
      </c>
      <c r="H473" s="44" t="s">
        <v>18</v>
      </c>
      <c r="I473" s="44" t="s">
        <v>101</v>
      </c>
      <c r="J473" s="44" t="s">
        <v>28</v>
      </c>
      <c r="K473" s="44" t="s">
        <v>567</v>
      </c>
      <c r="L473" s="44" t="s">
        <v>568</v>
      </c>
      <c r="M473" s="44" t="s">
        <v>29</v>
      </c>
      <c r="N473" s="44" t="str">
        <f>IF(ISERR(FIND("CONG",PRODUCTO_MI_AR68[[#This Row],[NOM PRODUCTO]])),"","CONGELADO")</f>
        <v>CONGELADO</v>
      </c>
      <c r="O473" s="46" t="s">
        <v>24</v>
      </c>
      <c r="P473"/>
      <c r="Q473" s="4"/>
      <c r="R473" s="4"/>
      <c r="S473" s="4"/>
      <c r="T473" s="4"/>
      <c r="U473" s="4"/>
    </row>
    <row r="474" spans="2:21" hidden="1" thickTop="1" thickBot="1" x14ac:dyDescent="0.3">
      <c r="B474" s="43">
        <v>100518974</v>
      </c>
      <c r="C474" s="44" t="s">
        <v>610</v>
      </c>
      <c r="D474" s="45"/>
      <c r="E474" s="45" t="str">
        <f>IF(ISERR(FIND("PUL",PRODUCTO_MI_AR68[[#This Row],[NOM PRODUCTO]])),"","ME")</f>
        <v>ME</v>
      </c>
      <c r="F474" s="44" t="s">
        <v>16</v>
      </c>
      <c r="G474" s="44" t="s">
        <v>17</v>
      </c>
      <c r="H474" s="44" t="s">
        <v>18</v>
      </c>
      <c r="I474" s="44" t="s">
        <v>101</v>
      </c>
      <c r="J474" s="44" t="s">
        <v>28</v>
      </c>
      <c r="K474" s="44" t="s">
        <v>567</v>
      </c>
      <c r="L474" s="44" t="s">
        <v>568</v>
      </c>
      <c r="M474" s="44" t="s">
        <v>29</v>
      </c>
      <c r="N474" s="44" t="str">
        <f>IF(ISERR(FIND("CONG",PRODUCTO_MI_AR68[[#This Row],[NOM PRODUCTO]])),"","CONGELADO")</f>
        <v>CONGELADO</v>
      </c>
      <c r="O474" s="46" t="s">
        <v>24</v>
      </c>
      <c r="P474"/>
      <c r="Q474" s="4"/>
      <c r="R474" s="4"/>
      <c r="S474" s="4"/>
      <c r="T474" s="4"/>
      <c r="U474" s="4"/>
    </row>
    <row r="475" spans="2:21" hidden="1" thickTop="1" thickBot="1" x14ac:dyDescent="0.3">
      <c r="B475" s="43">
        <v>100519857</v>
      </c>
      <c r="C475" s="44" t="s">
        <v>611</v>
      </c>
      <c r="D475" s="45"/>
      <c r="E475" s="45" t="str">
        <f>IF(ISERR(FIND("CLL",PRODUCTO_MI_AR68[[#This Row],[NOM PRODUCTO]])),"","ME")</f>
        <v>ME</v>
      </c>
      <c r="F475" s="44" t="s">
        <v>16</v>
      </c>
      <c r="G475" s="44" t="s">
        <v>17</v>
      </c>
      <c r="H475" s="44" t="s">
        <v>18</v>
      </c>
      <c r="I475" s="44" t="s">
        <v>101</v>
      </c>
      <c r="J475" s="44" t="s">
        <v>20</v>
      </c>
      <c r="K475" s="44" t="s">
        <v>567</v>
      </c>
      <c r="L475" s="44" t="s">
        <v>568</v>
      </c>
      <c r="M475" s="44" t="s">
        <v>22</v>
      </c>
      <c r="N475" s="44" t="s">
        <v>23</v>
      </c>
      <c r="O475" s="46" t="s">
        <v>24</v>
      </c>
      <c r="P475"/>
      <c r="Q475" s="4"/>
      <c r="R475" s="4"/>
      <c r="S475" s="4"/>
      <c r="T475" s="4"/>
      <c r="U475" s="4"/>
    </row>
    <row r="476" spans="2:21" hidden="1" thickTop="1" thickBot="1" x14ac:dyDescent="0.3">
      <c r="B476" s="43">
        <v>100520454</v>
      </c>
      <c r="C476" s="44" t="s">
        <v>612</v>
      </c>
      <c r="D476" s="45"/>
      <c r="E476" s="45" t="str">
        <f>IF(ISERR(FIND("CLL",PRODUCTO_MI_AR68[[#This Row],[NOM PRODUCTO]])),"","ME")</f>
        <v>ME</v>
      </c>
      <c r="F476" s="44" t="s">
        <v>16</v>
      </c>
      <c r="G476" s="44" t="s">
        <v>17</v>
      </c>
      <c r="H476" s="44" t="s">
        <v>18</v>
      </c>
      <c r="I476" s="44" t="s">
        <v>101</v>
      </c>
      <c r="J476" s="44" t="s">
        <v>20</v>
      </c>
      <c r="K476" s="44" t="s">
        <v>567</v>
      </c>
      <c r="L476" s="44" t="s">
        <v>568</v>
      </c>
      <c r="M476" s="44" t="s">
        <v>22</v>
      </c>
      <c r="N476" s="44" t="s">
        <v>23</v>
      </c>
      <c r="O476" s="46" t="s">
        <v>24</v>
      </c>
      <c r="P476"/>
      <c r="Q476" s="4"/>
      <c r="R476" s="4"/>
      <c r="S476" s="4"/>
      <c r="T476" s="4"/>
      <c r="U476" s="4"/>
    </row>
    <row r="477" spans="2:21" hidden="1" thickTop="1" thickBot="1" x14ac:dyDescent="0.3">
      <c r="B477" s="43">
        <v>100521155</v>
      </c>
      <c r="C477" s="44" t="s">
        <v>613</v>
      </c>
      <c r="D477" s="45"/>
      <c r="E477" s="45" t="str">
        <f>IF(ISERR(FIND("CLL",PRODUCTO_MI_AR68[[#This Row],[NOM PRODUCTO]])),"","ME")</f>
        <v>ME</v>
      </c>
      <c r="F477" s="44" t="s">
        <v>16</v>
      </c>
      <c r="G477" s="44" t="s">
        <v>17</v>
      </c>
      <c r="H477" s="44" t="s">
        <v>18</v>
      </c>
      <c r="I477" s="44" t="s">
        <v>101</v>
      </c>
      <c r="J477" s="44" t="s">
        <v>20</v>
      </c>
      <c r="K477" s="44" t="s">
        <v>567</v>
      </c>
      <c r="L477" s="44" t="s">
        <v>568</v>
      </c>
      <c r="M477" s="44" t="s">
        <v>22</v>
      </c>
      <c r="N477" s="44" t="s">
        <v>23</v>
      </c>
      <c r="O477" s="46" t="s">
        <v>24</v>
      </c>
      <c r="P477"/>
      <c r="Q477" s="4"/>
      <c r="R477" s="4"/>
      <c r="S477" s="4"/>
      <c r="T477" s="4"/>
      <c r="U477" s="4"/>
    </row>
    <row r="478" spans="2:21" hidden="1" thickTop="1" thickBot="1" x14ac:dyDescent="0.3">
      <c r="B478" s="43">
        <v>100519645</v>
      </c>
      <c r="C478" s="44" t="s">
        <v>614</v>
      </c>
      <c r="D478" s="45"/>
      <c r="E478" s="45" t="str">
        <f>IF(ISERR(FIND("PUL",PRODUCTO_MI_AR68[[#This Row],[NOM PRODUCTO]])),"","ME")</f>
        <v>ME</v>
      </c>
      <c r="F478" s="44" t="s">
        <v>16</v>
      </c>
      <c r="G478" s="44" t="s">
        <v>17</v>
      </c>
      <c r="H478" s="44" t="s">
        <v>18</v>
      </c>
      <c r="I478" s="44" t="s">
        <v>101</v>
      </c>
      <c r="J478" s="44" t="s">
        <v>28</v>
      </c>
      <c r="K478" s="44" t="s">
        <v>567</v>
      </c>
      <c r="L478" s="44" t="s">
        <v>568</v>
      </c>
      <c r="M478" s="44" t="s">
        <v>29</v>
      </c>
      <c r="N478" s="44" t="s">
        <v>23</v>
      </c>
      <c r="O478" s="46" t="s">
        <v>24</v>
      </c>
      <c r="P478"/>
      <c r="Q478" s="4"/>
      <c r="R478" s="4"/>
      <c r="S478" s="4"/>
      <c r="T478" s="4"/>
      <c r="U478" s="4"/>
    </row>
    <row r="479" spans="2:21" hidden="1" thickTop="1" thickBot="1" x14ac:dyDescent="0.3">
      <c r="B479" s="43">
        <v>100519670</v>
      </c>
      <c r="C479" s="44" t="s">
        <v>615</v>
      </c>
      <c r="D479" s="45"/>
      <c r="E479" s="45" t="str">
        <f>IF(ISERR(FIND("PUL",PRODUCTO_MI_AR68[[#This Row],[NOM PRODUCTO]])),"","ME")</f>
        <v>ME</v>
      </c>
      <c r="F479" s="44" t="s">
        <v>16</v>
      </c>
      <c r="G479" s="44" t="s">
        <v>17</v>
      </c>
      <c r="H479" s="44" t="s">
        <v>18</v>
      </c>
      <c r="I479" s="44" t="s">
        <v>101</v>
      </c>
      <c r="J479" s="44" t="s">
        <v>28</v>
      </c>
      <c r="K479" s="44" t="s">
        <v>567</v>
      </c>
      <c r="L479" s="44" t="s">
        <v>568</v>
      </c>
      <c r="M479" s="44" t="s">
        <v>29</v>
      </c>
      <c r="N479" s="44" t="s">
        <v>23</v>
      </c>
      <c r="O479" s="46" t="s">
        <v>24</v>
      </c>
      <c r="P479"/>
      <c r="Q479" s="4"/>
      <c r="R479" s="4"/>
      <c r="S479" s="4"/>
      <c r="T479" s="4"/>
      <c r="U479" s="4"/>
    </row>
    <row r="480" spans="2:21" hidden="1" thickTop="1" thickBot="1" x14ac:dyDescent="0.3">
      <c r="B480" s="43">
        <v>100519568</v>
      </c>
      <c r="C480" s="44" t="s">
        <v>616</v>
      </c>
      <c r="D480" s="45"/>
      <c r="E480" s="45" t="str">
        <f>IF(ISERR(FIND("PUL",PRODUCTO_MI_AR68[[#This Row],[NOM PRODUCTO]])),"","ME")</f>
        <v>ME</v>
      </c>
      <c r="F480" s="44" t="s">
        <v>16</v>
      </c>
      <c r="G480" s="44" t="s">
        <v>17</v>
      </c>
      <c r="H480" s="44" t="s">
        <v>18</v>
      </c>
      <c r="I480" s="44" t="s">
        <v>101</v>
      </c>
      <c r="J480" s="44" t="s">
        <v>28</v>
      </c>
      <c r="K480" s="44" t="s">
        <v>567</v>
      </c>
      <c r="L480" s="44" t="s">
        <v>568</v>
      </c>
      <c r="M480" s="44" t="s">
        <v>29</v>
      </c>
      <c r="N480" s="44" t="str">
        <f>IF(ISERR(FIND("CONG",PRODUCTO_MI_AR68[[#This Row],[NOM PRODUCTO]])),"","CONGELADO")</f>
        <v>CONGELADO</v>
      </c>
      <c r="O480" s="46" t="s">
        <v>24</v>
      </c>
      <c r="P480"/>
      <c r="Q480" s="4"/>
      <c r="R480" s="4"/>
      <c r="S480" s="4"/>
      <c r="T480" s="4"/>
      <c r="U480" s="4"/>
    </row>
    <row r="481" spans="2:21" ht="18" hidden="1" customHeight="1" thickTop="1" thickBot="1" x14ac:dyDescent="0.3">
      <c r="B481" s="43">
        <v>100520342</v>
      </c>
      <c r="C481" s="44" t="s">
        <v>617</v>
      </c>
      <c r="D481" s="45"/>
      <c r="E481" s="45" t="str">
        <f>IF(ISERR(FIND("PUL",PRODUCTO_MI_AR68[[#This Row],[NOM PRODUCTO]])),"","ME")</f>
        <v>ME</v>
      </c>
      <c r="F481" s="44" t="s">
        <v>16</v>
      </c>
      <c r="G481" s="44" t="s">
        <v>17</v>
      </c>
      <c r="H481" s="44" t="s">
        <v>18</v>
      </c>
      <c r="I481" s="44" t="s">
        <v>101</v>
      </c>
      <c r="J481" s="44" t="s">
        <v>28</v>
      </c>
      <c r="K481" s="44" t="s">
        <v>567</v>
      </c>
      <c r="L481" s="44" t="s">
        <v>568</v>
      </c>
      <c r="M481" s="44" t="s">
        <v>29</v>
      </c>
      <c r="N481" s="44" t="str">
        <f>IF(ISERR(FIND("CONG",PRODUCTO_MI_AR68[[#This Row],[NOM PRODUCTO]])),"","CONGELADO")</f>
        <v>CONGELADO</v>
      </c>
      <c r="O481" s="46" t="s">
        <v>24</v>
      </c>
      <c r="P481"/>
      <c r="Q481" s="4"/>
      <c r="R481" s="4"/>
      <c r="S481" s="4"/>
      <c r="T481" s="4"/>
      <c r="U481" s="4"/>
    </row>
    <row r="482" spans="2:21" hidden="1" thickTop="1" thickBot="1" x14ac:dyDescent="0.3">
      <c r="B482" s="43">
        <v>100519858</v>
      </c>
      <c r="C482" s="44" t="s">
        <v>618</v>
      </c>
      <c r="D482" s="45"/>
      <c r="E482" s="45" t="str">
        <f>IF(ISERR(FIND("CLL",PRODUCTO_MI_AR68[[#This Row],[NOM PRODUCTO]])),"","ME")</f>
        <v>ME</v>
      </c>
      <c r="F482" s="44" t="s">
        <v>16</v>
      </c>
      <c r="G482" s="44" t="s">
        <v>17</v>
      </c>
      <c r="H482" s="44" t="s">
        <v>18</v>
      </c>
      <c r="I482" s="44" t="s">
        <v>101</v>
      </c>
      <c r="J482" s="44" t="s">
        <v>20</v>
      </c>
      <c r="K482" s="44" t="s">
        <v>567</v>
      </c>
      <c r="L482" s="44" t="s">
        <v>568</v>
      </c>
      <c r="M482" s="44" t="s">
        <v>22</v>
      </c>
      <c r="N482" s="44" t="s">
        <v>23</v>
      </c>
      <c r="O482" s="46" t="s">
        <v>24</v>
      </c>
      <c r="P482"/>
      <c r="Q482" s="4"/>
      <c r="R482" s="4"/>
      <c r="S482" s="4"/>
      <c r="T482" s="4"/>
      <c r="U482" s="4"/>
    </row>
    <row r="483" spans="2:21" hidden="1" thickTop="1" thickBot="1" x14ac:dyDescent="0.3">
      <c r="B483" s="43">
        <v>100520455</v>
      </c>
      <c r="C483" s="44" t="s">
        <v>619</v>
      </c>
      <c r="D483" s="45"/>
      <c r="E483" s="45" t="str">
        <f>IF(ISERR(FIND("CLL",PRODUCTO_MI_AR68[[#This Row],[NOM PRODUCTO]])),"","ME")</f>
        <v>ME</v>
      </c>
      <c r="F483" s="44" t="s">
        <v>16</v>
      </c>
      <c r="G483" s="44" t="s">
        <v>17</v>
      </c>
      <c r="H483" s="44" t="s">
        <v>18</v>
      </c>
      <c r="I483" s="44" t="s">
        <v>101</v>
      </c>
      <c r="J483" s="44" t="s">
        <v>20</v>
      </c>
      <c r="K483" s="44" t="s">
        <v>567</v>
      </c>
      <c r="L483" s="44" t="s">
        <v>568</v>
      </c>
      <c r="M483" s="44" t="s">
        <v>22</v>
      </c>
      <c r="N483" s="44" t="s">
        <v>23</v>
      </c>
      <c r="O483" s="46" t="s">
        <v>24</v>
      </c>
      <c r="P483"/>
      <c r="Q483" s="4"/>
      <c r="R483" s="4"/>
      <c r="S483" s="4"/>
      <c r="T483" s="4"/>
      <c r="U483" s="4"/>
    </row>
    <row r="484" spans="2:21" hidden="1" thickTop="1" thickBot="1" x14ac:dyDescent="0.3">
      <c r="B484" s="43">
        <v>100010248</v>
      </c>
      <c r="C484" s="44" t="s">
        <v>620</v>
      </c>
      <c r="D484" s="45"/>
      <c r="E484" s="45" t="s">
        <v>15</v>
      </c>
      <c r="F484" s="44" t="s">
        <v>16</v>
      </c>
      <c r="G484" s="44" t="s">
        <v>17</v>
      </c>
      <c r="H484" s="44" t="s">
        <v>18</v>
      </c>
      <c r="I484" s="44" t="s">
        <v>101</v>
      </c>
      <c r="J484" s="44" t="s">
        <v>20</v>
      </c>
      <c r="K484" s="44" t="s">
        <v>567</v>
      </c>
      <c r="L484" s="44" t="s">
        <v>568</v>
      </c>
      <c r="M484" s="44" t="s">
        <v>22</v>
      </c>
      <c r="N484" s="44" t="s">
        <v>23</v>
      </c>
      <c r="O484" s="46" t="s">
        <v>24</v>
      </c>
      <c r="P484"/>
      <c r="Q484" s="4"/>
      <c r="R484" s="4"/>
      <c r="S484" s="4"/>
      <c r="T484" s="4"/>
      <c r="U484" s="4"/>
    </row>
    <row r="485" spans="2:21" hidden="1" thickTop="1" thickBot="1" x14ac:dyDescent="0.3">
      <c r="B485" s="43">
        <v>100521156</v>
      </c>
      <c r="C485" s="44" t="s">
        <v>621</v>
      </c>
      <c r="D485" s="45"/>
      <c r="E485" s="45" t="str">
        <f>IF(ISERR(FIND("CLL",PRODUCTO_MI_AR68[[#This Row],[NOM PRODUCTO]])),"","ME")</f>
        <v>ME</v>
      </c>
      <c r="F485" s="44" t="s">
        <v>16</v>
      </c>
      <c r="G485" s="44" t="s">
        <v>17</v>
      </c>
      <c r="H485" s="44" t="s">
        <v>18</v>
      </c>
      <c r="I485" s="44" t="s">
        <v>101</v>
      </c>
      <c r="J485" s="44" t="s">
        <v>20</v>
      </c>
      <c r="K485" s="44" t="s">
        <v>567</v>
      </c>
      <c r="L485" s="44" t="s">
        <v>568</v>
      </c>
      <c r="M485" s="44" t="s">
        <v>22</v>
      </c>
      <c r="N485" s="44" t="s">
        <v>23</v>
      </c>
      <c r="O485" s="46" t="s">
        <v>24</v>
      </c>
      <c r="P485"/>
      <c r="Q485" s="4"/>
      <c r="R485" s="4"/>
      <c r="S485" s="4"/>
      <c r="T485" s="4"/>
      <c r="U485" s="4"/>
    </row>
    <row r="486" spans="2:21" hidden="1" thickTop="1" thickBot="1" x14ac:dyDescent="0.3">
      <c r="B486" s="43">
        <v>100519646</v>
      </c>
      <c r="C486" s="44" t="s">
        <v>622</v>
      </c>
      <c r="D486" s="45"/>
      <c r="E486" s="45" t="str">
        <f>IF(ISERR(FIND("PUL",PRODUCTO_MI_AR68[[#This Row],[NOM PRODUCTO]])),"","ME")</f>
        <v>ME</v>
      </c>
      <c r="F486" s="44" t="s">
        <v>16</v>
      </c>
      <c r="G486" s="44" t="s">
        <v>17</v>
      </c>
      <c r="H486" s="44" t="s">
        <v>18</v>
      </c>
      <c r="I486" s="44" t="s">
        <v>101</v>
      </c>
      <c r="J486" s="44" t="s">
        <v>28</v>
      </c>
      <c r="K486" s="44" t="s">
        <v>567</v>
      </c>
      <c r="L486" s="44" t="s">
        <v>568</v>
      </c>
      <c r="M486" s="44" t="s">
        <v>29</v>
      </c>
      <c r="N486" s="44" t="s">
        <v>23</v>
      </c>
      <c r="O486" s="46" t="s">
        <v>24</v>
      </c>
      <c r="P486"/>
      <c r="Q486" s="4"/>
      <c r="R486" s="4"/>
      <c r="S486" s="4"/>
      <c r="T486" s="4"/>
      <c r="U486" s="4"/>
    </row>
    <row r="487" spans="2:21" ht="18" hidden="1" customHeight="1" thickTop="1" thickBot="1" x14ac:dyDescent="0.3">
      <c r="B487" s="43">
        <v>100519671</v>
      </c>
      <c r="C487" s="44" t="s">
        <v>623</v>
      </c>
      <c r="D487" s="45"/>
      <c r="E487" s="45" t="str">
        <f>IF(ISERR(FIND("PUL",PRODUCTO_MI_AR68[[#This Row],[NOM PRODUCTO]])),"","ME")</f>
        <v>ME</v>
      </c>
      <c r="F487" s="44" t="s">
        <v>16</v>
      </c>
      <c r="G487" s="44" t="s">
        <v>17</v>
      </c>
      <c r="H487" s="44" t="s">
        <v>18</v>
      </c>
      <c r="I487" s="44" t="s">
        <v>101</v>
      </c>
      <c r="J487" s="44" t="s">
        <v>28</v>
      </c>
      <c r="K487" s="44" t="s">
        <v>567</v>
      </c>
      <c r="L487" s="44" t="s">
        <v>568</v>
      </c>
      <c r="M487" s="44" t="s">
        <v>29</v>
      </c>
      <c r="N487" s="44" t="s">
        <v>23</v>
      </c>
      <c r="O487" s="46" t="s">
        <v>24</v>
      </c>
      <c r="P487"/>
      <c r="Q487" s="4"/>
      <c r="R487" s="4"/>
      <c r="S487" s="4"/>
      <c r="T487" s="4"/>
      <c r="U487" s="4"/>
    </row>
    <row r="488" spans="2:21" hidden="1" thickTop="1" thickBot="1" x14ac:dyDescent="0.3">
      <c r="B488" s="43">
        <v>100519569</v>
      </c>
      <c r="C488" s="44" t="s">
        <v>624</v>
      </c>
      <c r="D488" s="45"/>
      <c r="E488" s="45" t="str">
        <f>IF(ISERR(FIND("PUL",PRODUCTO_MI_AR68[[#This Row],[NOM PRODUCTO]])),"","ME")</f>
        <v>ME</v>
      </c>
      <c r="F488" s="44" t="s">
        <v>16</v>
      </c>
      <c r="G488" s="44" t="s">
        <v>17</v>
      </c>
      <c r="H488" s="44" t="s">
        <v>18</v>
      </c>
      <c r="I488" s="44" t="s">
        <v>101</v>
      </c>
      <c r="J488" s="44" t="s">
        <v>28</v>
      </c>
      <c r="K488" s="44" t="s">
        <v>567</v>
      </c>
      <c r="L488" s="44" t="s">
        <v>568</v>
      </c>
      <c r="M488" s="44" t="s">
        <v>29</v>
      </c>
      <c r="N488" s="44" t="str">
        <f>IF(ISERR(FIND("CONG",PRODUCTO_MI_AR68[[#This Row],[NOM PRODUCTO]])),"","CONGELADO")</f>
        <v>CONGELADO</v>
      </c>
      <c r="O488" s="46" t="s">
        <v>24</v>
      </c>
      <c r="P488"/>
      <c r="Q488" s="4"/>
      <c r="R488" s="4"/>
      <c r="S488" s="4"/>
      <c r="T488" s="4"/>
      <c r="U488" s="4"/>
    </row>
    <row r="489" spans="2:21" ht="18" hidden="1" customHeight="1" thickTop="1" thickBot="1" x14ac:dyDescent="0.3">
      <c r="B489" s="43">
        <v>100519860</v>
      </c>
      <c r="C489" s="44" t="s">
        <v>625</v>
      </c>
      <c r="D489" s="45"/>
      <c r="E489" s="45" t="str">
        <f>IF(ISERR(FIND("CLL",PRODUCTO_MI_AR68[[#This Row],[NOM PRODUCTO]])),"","ME")</f>
        <v>ME</v>
      </c>
      <c r="F489" s="44" t="s">
        <v>16</v>
      </c>
      <c r="G489" s="44" t="s">
        <v>17</v>
      </c>
      <c r="H489" s="44" t="s">
        <v>18</v>
      </c>
      <c r="I489" s="44" t="s">
        <v>101</v>
      </c>
      <c r="J489" s="44" t="s">
        <v>20</v>
      </c>
      <c r="K489" s="44" t="s">
        <v>567</v>
      </c>
      <c r="L489" s="44" t="s">
        <v>568</v>
      </c>
      <c r="M489" s="44" t="s">
        <v>22</v>
      </c>
      <c r="N489" s="44" t="s">
        <v>23</v>
      </c>
      <c r="O489" s="46" t="s">
        <v>24</v>
      </c>
      <c r="P489"/>
      <c r="Q489" s="4"/>
      <c r="R489" s="4"/>
      <c r="S489" s="4"/>
      <c r="T489" s="4"/>
      <c r="U489" s="4"/>
    </row>
    <row r="490" spans="2:21" ht="18" hidden="1" customHeight="1" thickTop="1" thickBot="1" x14ac:dyDescent="0.3">
      <c r="B490" s="43">
        <v>100519570</v>
      </c>
      <c r="C490" s="44" t="s">
        <v>626</v>
      </c>
      <c r="D490" s="45"/>
      <c r="E490" s="45" t="str">
        <f>IF(ISERR(FIND("PUL",PRODUCTO_MI_AR68[[#This Row],[NOM PRODUCTO]])),"","ME")</f>
        <v>ME</v>
      </c>
      <c r="F490" s="44" t="s">
        <v>16</v>
      </c>
      <c r="G490" s="44" t="s">
        <v>17</v>
      </c>
      <c r="H490" s="44" t="s">
        <v>18</v>
      </c>
      <c r="I490" s="44" t="s">
        <v>101</v>
      </c>
      <c r="J490" s="44" t="s">
        <v>28</v>
      </c>
      <c r="K490" s="44" t="s">
        <v>567</v>
      </c>
      <c r="L490" s="44" t="s">
        <v>568</v>
      </c>
      <c r="M490" s="44" t="s">
        <v>29</v>
      </c>
      <c r="N490" s="44" t="str">
        <f>IF(ISERR(FIND("CONG",PRODUCTO_MI_AR68[[#This Row],[NOM PRODUCTO]])),"","CONGELADO")</f>
        <v>CONGELADO</v>
      </c>
      <c r="O490" s="46" t="s">
        <v>24</v>
      </c>
      <c r="P490"/>
      <c r="Q490" s="4"/>
      <c r="R490" s="4"/>
      <c r="S490" s="4"/>
      <c r="T490" s="4"/>
      <c r="U490" s="4"/>
    </row>
    <row r="491" spans="2:21" ht="18" hidden="1" customHeight="1" thickTop="1" thickBot="1" x14ac:dyDescent="0.3">
      <c r="B491" s="43">
        <v>100521159</v>
      </c>
      <c r="C491" s="44" t="s">
        <v>627</v>
      </c>
      <c r="D491" s="45"/>
      <c r="E491" s="45" t="str">
        <f>IF(ISERR(FIND("CLL",PRODUCTO_MI_AR68[[#This Row],[NOM PRODUCTO]])),"","ME")</f>
        <v>ME</v>
      </c>
      <c r="F491" s="44" t="s">
        <v>16</v>
      </c>
      <c r="G491" s="44" t="s">
        <v>17</v>
      </c>
      <c r="H491" s="44" t="s">
        <v>18</v>
      </c>
      <c r="I491" s="44" t="s">
        <v>101</v>
      </c>
      <c r="J491" s="44" t="s">
        <v>20</v>
      </c>
      <c r="K491" s="44" t="s">
        <v>567</v>
      </c>
      <c r="L491" s="44" t="s">
        <v>568</v>
      </c>
      <c r="M491" s="44" t="s">
        <v>22</v>
      </c>
      <c r="N491" s="44" t="s">
        <v>23</v>
      </c>
      <c r="O491" s="46" t="s">
        <v>24</v>
      </c>
      <c r="P491"/>
      <c r="Q491" s="4"/>
      <c r="R491" s="4"/>
      <c r="S491" s="4"/>
      <c r="T491" s="4"/>
      <c r="U491" s="4"/>
    </row>
    <row r="492" spans="2:21" hidden="1" thickTop="1" thickBot="1" x14ac:dyDescent="0.3">
      <c r="B492" s="43">
        <v>100519647</v>
      </c>
      <c r="C492" s="44" t="s">
        <v>628</v>
      </c>
      <c r="D492" s="45"/>
      <c r="E492" s="45" t="str">
        <f>IF(ISERR(FIND("PUL",PRODUCTO_MI_AR68[[#This Row],[NOM PRODUCTO]])),"","ME")</f>
        <v>ME</v>
      </c>
      <c r="F492" s="44" t="s">
        <v>16</v>
      </c>
      <c r="G492" s="44" t="s">
        <v>17</v>
      </c>
      <c r="H492" s="44" t="s">
        <v>18</v>
      </c>
      <c r="I492" s="44" t="s">
        <v>101</v>
      </c>
      <c r="J492" s="44" t="s">
        <v>28</v>
      </c>
      <c r="K492" s="44" t="s">
        <v>567</v>
      </c>
      <c r="L492" s="44" t="s">
        <v>568</v>
      </c>
      <c r="M492" s="44" t="s">
        <v>29</v>
      </c>
      <c r="N492" s="44" t="s">
        <v>23</v>
      </c>
      <c r="O492" s="46" t="s">
        <v>24</v>
      </c>
      <c r="P492"/>
      <c r="Q492" s="4"/>
      <c r="R492" s="4"/>
      <c r="S492" s="4"/>
      <c r="T492" s="4"/>
      <c r="U492" s="4"/>
    </row>
    <row r="493" spans="2:21" ht="18" hidden="1" customHeight="1" thickTop="1" thickBot="1" x14ac:dyDescent="0.3">
      <c r="B493" s="43">
        <v>100519672</v>
      </c>
      <c r="C493" s="44" t="s">
        <v>629</v>
      </c>
      <c r="D493" s="45"/>
      <c r="E493" s="45" t="str">
        <f>IF(ISERR(FIND("PUL",PRODUCTO_MI_AR68[[#This Row],[NOM PRODUCTO]])),"","ME")</f>
        <v>ME</v>
      </c>
      <c r="F493" s="44" t="s">
        <v>16</v>
      </c>
      <c r="G493" s="44" t="s">
        <v>17</v>
      </c>
      <c r="H493" s="44" t="s">
        <v>18</v>
      </c>
      <c r="I493" s="44" t="s">
        <v>101</v>
      </c>
      <c r="J493" s="44" t="s">
        <v>28</v>
      </c>
      <c r="K493" s="44" t="s">
        <v>567</v>
      </c>
      <c r="L493" s="44" t="s">
        <v>568</v>
      </c>
      <c r="M493" s="44" t="s">
        <v>29</v>
      </c>
      <c r="N493" s="44" t="s">
        <v>23</v>
      </c>
      <c r="O493" s="46" t="s">
        <v>24</v>
      </c>
      <c r="P493"/>
      <c r="Q493" s="4"/>
      <c r="R493" s="4"/>
      <c r="S493" s="4"/>
      <c r="T493" s="4"/>
      <c r="U493" s="4"/>
    </row>
    <row r="494" spans="2:21" hidden="1" thickTop="1" thickBot="1" x14ac:dyDescent="0.3">
      <c r="B494" s="43">
        <v>100010668</v>
      </c>
      <c r="C494" s="44" t="s">
        <v>630</v>
      </c>
      <c r="D494" s="45"/>
      <c r="E494" s="45" t="str">
        <f>IF(ISERR(FIND("CLL",PRODUCTO_MI_AR68[[#This Row],[NOM PRODUCTO]])),"","ME")</f>
        <v>ME</v>
      </c>
      <c r="F494" s="44" t="s">
        <v>16</v>
      </c>
      <c r="G494" s="44" t="s">
        <v>17</v>
      </c>
      <c r="H494" s="44" t="s">
        <v>18</v>
      </c>
      <c r="I494" s="44" t="s">
        <v>101</v>
      </c>
      <c r="J494" s="44" t="s">
        <v>20</v>
      </c>
      <c r="K494" s="44" t="s">
        <v>567</v>
      </c>
      <c r="L494" s="44" t="s">
        <v>568</v>
      </c>
      <c r="M494" s="44" t="s">
        <v>22</v>
      </c>
      <c r="N494" s="44" t="s">
        <v>23</v>
      </c>
      <c r="O494" s="46" t="s">
        <v>24</v>
      </c>
      <c r="P494"/>
      <c r="Q494" s="4"/>
      <c r="R494" s="4"/>
      <c r="S494" s="4"/>
      <c r="T494" s="4"/>
      <c r="U494" s="4"/>
    </row>
    <row r="495" spans="2:21" ht="18" hidden="1" customHeight="1" thickTop="1" thickBot="1" x14ac:dyDescent="0.3">
      <c r="B495" s="43">
        <v>100520825</v>
      </c>
      <c r="C495" s="44" t="s">
        <v>631</v>
      </c>
      <c r="D495" s="45"/>
      <c r="E495" s="45" t="s">
        <v>15</v>
      </c>
      <c r="F495" s="44" t="s">
        <v>16</v>
      </c>
      <c r="G495" s="44" t="s">
        <v>17</v>
      </c>
      <c r="H495" s="44" t="s">
        <v>18</v>
      </c>
      <c r="I495" s="44" t="s">
        <v>101</v>
      </c>
      <c r="J495" s="44" t="s">
        <v>28</v>
      </c>
      <c r="K495" s="44" t="s">
        <v>567</v>
      </c>
      <c r="L495" s="44" t="s">
        <v>568</v>
      </c>
      <c r="M495" s="44" t="s">
        <v>29</v>
      </c>
      <c r="N495" s="44" t="str">
        <f>IF(ISERR(FIND("CONG",PRODUCTO_MI_AR68[[#This Row],[NOM PRODUCTO]])),"","CONGELADO")</f>
        <v>CONGELADO</v>
      </c>
      <c r="O495" s="46" t="s">
        <v>24</v>
      </c>
      <c r="P495"/>
      <c r="Q495" s="4"/>
      <c r="R495" s="4"/>
      <c r="S495" s="4"/>
      <c r="T495" s="4"/>
      <c r="U495" s="4"/>
    </row>
    <row r="496" spans="2:21" hidden="1" thickTop="1" thickBot="1" x14ac:dyDescent="0.3">
      <c r="B496" s="43">
        <v>100520813</v>
      </c>
      <c r="C496" s="44" t="s">
        <v>632</v>
      </c>
      <c r="D496" s="45"/>
      <c r="E496" s="45" t="str">
        <f>IF(ISERR(FIND("PUL",PRODUCTO_MI_AR68[[#This Row],[NOM PRODUCTO]])),"","ME")</f>
        <v>ME</v>
      </c>
      <c r="F496" s="44" t="s">
        <v>16</v>
      </c>
      <c r="G496" s="44" t="s">
        <v>17</v>
      </c>
      <c r="H496" s="44" t="s">
        <v>18</v>
      </c>
      <c r="I496" s="44" t="s">
        <v>101</v>
      </c>
      <c r="J496" s="44" t="s">
        <v>28</v>
      </c>
      <c r="K496" s="44" t="s">
        <v>567</v>
      </c>
      <c r="L496" s="44" t="s">
        <v>568</v>
      </c>
      <c r="M496" s="44" t="s">
        <v>29</v>
      </c>
      <c r="N496" s="44" t="str">
        <f>IF(ISERR(FIND("CONG",PRODUCTO_MI_AR68[[#This Row],[NOM PRODUCTO]])),"","CONGELADO")</f>
        <v>CONGELADO</v>
      </c>
      <c r="O496" s="46" t="s">
        <v>24</v>
      </c>
      <c r="P496"/>
      <c r="Q496" s="4"/>
      <c r="R496" s="4"/>
      <c r="S496" s="4"/>
      <c r="T496" s="4"/>
      <c r="U496" s="4"/>
    </row>
    <row r="497" spans="2:21" hidden="1" thickTop="1" thickBot="1" x14ac:dyDescent="0.3">
      <c r="B497" s="43">
        <v>100520826</v>
      </c>
      <c r="C497" s="44" t="s">
        <v>633</v>
      </c>
      <c r="D497" s="45"/>
      <c r="E497" s="45" t="str">
        <f>IF(ISERR(FIND("PUL",PRODUCTO_MI_AR68[[#This Row],[NOM PRODUCTO]])),"","ME")</f>
        <v>ME</v>
      </c>
      <c r="F497" s="44" t="s">
        <v>16</v>
      </c>
      <c r="G497" s="44" t="s">
        <v>17</v>
      </c>
      <c r="H497" s="44" t="s">
        <v>18</v>
      </c>
      <c r="I497" s="44" t="s">
        <v>101</v>
      </c>
      <c r="J497" s="44" t="s">
        <v>28</v>
      </c>
      <c r="K497" s="44" t="s">
        <v>567</v>
      </c>
      <c r="L497" s="44" t="s">
        <v>568</v>
      </c>
      <c r="M497" s="44" t="s">
        <v>29</v>
      </c>
      <c r="N497" s="44" t="str">
        <f>IF(ISERR(FIND("CONG",PRODUCTO_MI_AR68[[#This Row],[NOM PRODUCTO]])),"","CONGELADO")</f>
        <v>CONGELADO</v>
      </c>
      <c r="O497" s="46" t="s">
        <v>24</v>
      </c>
      <c r="P497"/>
      <c r="Q497" s="4"/>
      <c r="R497" s="4"/>
      <c r="S497" s="4"/>
      <c r="T497" s="4"/>
      <c r="U497" s="4"/>
    </row>
    <row r="498" spans="2:21" hidden="1" thickTop="1" thickBot="1" x14ac:dyDescent="0.3">
      <c r="B498" s="43">
        <v>100520814</v>
      </c>
      <c r="C498" s="44" t="s">
        <v>634</v>
      </c>
      <c r="D498" s="45"/>
      <c r="E498" s="45" t="str">
        <f>IF(ISERR(FIND("PUL",PRODUCTO_MI_AR68[[#This Row],[NOM PRODUCTO]])),"","ME")</f>
        <v>ME</v>
      </c>
      <c r="F498" s="44" t="s">
        <v>16</v>
      </c>
      <c r="G498" s="44" t="s">
        <v>17</v>
      </c>
      <c r="H498" s="44" t="s">
        <v>18</v>
      </c>
      <c r="I498" s="44" t="s">
        <v>101</v>
      </c>
      <c r="J498" s="44" t="s">
        <v>28</v>
      </c>
      <c r="K498" s="44" t="s">
        <v>567</v>
      </c>
      <c r="L498" s="44" t="s">
        <v>568</v>
      </c>
      <c r="M498" s="44" t="s">
        <v>29</v>
      </c>
      <c r="N498" s="44" t="str">
        <f>IF(ISERR(FIND("CONG",PRODUCTO_MI_AR68[[#This Row],[NOM PRODUCTO]])),"","CONGELADO")</f>
        <v>CONGELADO</v>
      </c>
      <c r="O498" s="46" t="s">
        <v>24</v>
      </c>
      <c r="P498"/>
      <c r="Q498" s="4"/>
      <c r="R498" s="4"/>
      <c r="S498" s="4"/>
      <c r="T498" s="4"/>
      <c r="U498" s="4"/>
    </row>
    <row r="499" spans="2:21" hidden="1" thickTop="1" thickBot="1" x14ac:dyDescent="0.3">
      <c r="B499" s="43">
        <v>100520969</v>
      </c>
      <c r="C499" s="44" t="s">
        <v>635</v>
      </c>
      <c r="D499" s="45"/>
      <c r="E499" s="45" t="s">
        <v>15</v>
      </c>
      <c r="F499" s="44" t="s">
        <v>16</v>
      </c>
      <c r="G499" s="44" t="s">
        <v>17</v>
      </c>
      <c r="H499" s="44" t="s">
        <v>18</v>
      </c>
      <c r="I499" s="44" t="s">
        <v>101</v>
      </c>
      <c r="J499" s="44" t="s">
        <v>20</v>
      </c>
      <c r="K499" s="44" t="s">
        <v>567</v>
      </c>
      <c r="L499" s="44" t="s">
        <v>568</v>
      </c>
      <c r="M499" s="44" t="s">
        <v>22</v>
      </c>
      <c r="N499" s="44" t="s">
        <v>23</v>
      </c>
      <c r="O499" s="46" t="s">
        <v>24</v>
      </c>
      <c r="P499"/>
      <c r="Q499" s="4"/>
      <c r="R499" s="4"/>
      <c r="S499" s="4"/>
      <c r="T499" s="4"/>
      <c r="U499" s="4"/>
    </row>
    <row r="500" spans="2:21" hidden="1" thickTop="1" thickBot="1" x14ac:dyDescent="0.3">
      <c r="B500" s="43">
        <v>100520815</v>
      </c>
      <c r="C500" s="44" t="s">
        <v>636</v>
      </c>
      <c r="D500" s="45"/>
      <c r="E500" s="45" t="str">
        <f>IF(ISERR(FIND("PUL",PRODUCTO_MI_AR68[[#This Row],[NOM PRODUCTO]])),"","ME")</f>
        <v>ME</v>
      </c>
      <c r="F500" s="44" t="s">
        <v>16</v>
      </c>
      <c r="G500" s="44" t="s">
        <v>17</v>
      </c>
      <c r="H500" s="44" t="s">
        <v>18</v>
      </c>
      <c r="I500" s="44" t="s">
        <v>101</v>
      </c>
      <c r="J500" s="44" t="s">
        <v>28</v>
      </c>
      <c r="K500" s="44" t="s">
        <v>567</v>
      </c>
      <c r="L500" s="44" t="s">
        <v>568</v>
      </c>
      <c r="M500" s="44" t="s">
        <v>29</v>
      </c>
      <c r="N500" s="44" t="str">
        <f>IF(ISERR(FIND("CONG",PRODUCTO_MI_AR68[[#This Row],[NOM PRODUCTO]])),"","CONGELADO")</f>
        <v>CONGELADO</v>
      </c>
      <c r="O500" s="46" t="s">
        <v>24</v>
      </c>
      <c r="P500"/>
      <c r="Q500" s="4"/>
      <c r="R500" s="4"/>
      <c r="S500" s="4"/>
      <c r="T500" s="4"/>
      <c r="U500" s="4"/>
    </row>
    <row r="501" spans="2:21" hidden="1" thickTop="1" thickBot="1" x14ac:dyDescent="0.3">
      <c r="B501" s="43">
        <v>100518050</v>
      </c>
      <c r="C501" s="44" t="s">
        <v>637</v>
      </c>
      <c r="D501" s="45"/>
      <c r="E501" s="45" t="s">
        <v>44</v>
      </c>
      <c r="F501" s="44" t="s">
        <v>16</v>
      </c>
      <c r="G501" s="44" t="s">
        <v>17</v>
      </c>
      <c r="H501" s="44" t="s">
        <v>18</v>
      </c>
      <c r="I501" s="44" t="s">
        <v>101</v>
      </c>
      <c r="J501" s="44" t="s">
        <v>28</v>
      </c>
      <c r="K501" s="44" t="s">
        <v>567</v>
      </c>
      <c r="L501" s="44" t="s">
        <v>568</v>
      </c>
      <c r="M501" s="44" t="s">
        <v>192</v>
      </c>
      <c r="N501" s="44" t="s">
        <v>193</v>
      </c>
      <c r="O501" s="46" t="s">
        <v>24</v>
      </c>
      <c r="P501"/>
      <c r="Q501" s="4"/>
      <c r="R501" s="4"/>
      <c r="S501" s="4"/>
      <c r="T501" s="4"/>
      <c r="U501" s="4"/>
    </row>
    <row r="502" spans="2:21" hidden="1" thickTop="1" thickBot="1" x14ac:dyDescent="0.3">
      <c r="B502" s="43">
        <v>100518348</v>
      </c>
      <c r="C502" s="44" t="s">
        <v>638</v>
      </c>
      <c r="D502" s="45"/>
      <c r="E502" s="45" t="str">
        <f>IF(ISERR(FIND("CLL",PRODUCTO_MI_AR68[[#This Row],[NOM PRODUCTO]])),"","ME")</f>
        <v>ME</v>
      </c>
      <c r="F502" s="44" t="s">
        <v>16</v>
      </c>
      <c r="G502" s="44" t="s">
        <v>17</v>
      </c>
      <c r="H502" s="44" t="s">
        <v>18</v>
      </c>
      <c r="I502" s="44" t="s">
        <v>19</v>
      </c>
      <c r="J502" s="44" t="s">
        <v>20</v>
      </c>
      <c r="K502" s="44" t="s">
        <v>196</v>
      </c>
      <c r="L502" s="44" t="s">
        <v>639</v>
      </c>
      <c r="M502" s="44" t="s">
        <v>22</v>
      </c>
      <c r="N502" s="44" t="s">
        <v>23</v>
      </c>
      <c r="O502" s="46" t="s">
        <v>24</v>
      </c>
      <c r="P502"/>
      <c r="Q502" s="4"/>
      <c r="R502" s="4"/>
      <c r="S502" s="4"/>
      <c r="T502" s="4"/>
      <c r="U502" s="4"/>
    </row>
    <row r="503" spans="2:21" hidden="1" thickTop="1" thickBot="1" x14ac:dyDescent="0.3">
      <c r="B503" s="43">
        <v>100523016</v>
      </c>
      <c r="C503" s="44" t="s">
        <v>640</v>
      </c>
      <c r="D503" s="45"/>
      <c r="E503" s="45" t="s">
        <v>15</v>
      </c>
      <c r="F503" s="44" t="s">
        <v>16</v>
      </c>
      <c r="G503" s="44" t="s">
        <v>17</v>
      </c>
      <c r="H503" s="44" t="s">
        <v>18</v>
      </c>
      <c r="I503" s="44" t="s">
        <v>19</v>
      </c>
      <c r="J503" s="44" t="s">
        <v>28</v>
      </c>
      <c r="K503" s="44" t="s">
        <v>196</v>
      </c>
      <c r="L503" s="44" t="s">
        <v>639</v>
      </c>
      <c r="M503" s="44" t="s">
        <v>29</v>
      </c>
      <c r="N503" s="44" t="str">
        <f>IF(ISERR(FIND("CONG",PRODUCTO_MI_AR68[[#This Row],[NOM PRODUCTO]])),"","CONGELADO")</f>
        <v>CONGELADO</v>
      </c>
      <c r="O503" s="46" t="s">
        <v>24</v>
      </c>
      <c r="P503"/>
      <c r="Q503" s="4"/>
      <c r="R503" s="4"/>
      <c r="S503" s="4"/>
      <c r="T503" s="4"/>
      <c r="U503" s="4"/>
    </row>
    <row r="504" spans="2:21" hidden="1" thickTop="1" thickBot="1" x14ac:dyDescent="0.3">
      <c r="B504" s="43">
        <v>100519836</v>
      </c>
      <c r="C504" s="44" t="s">
        <v>641</v>
      </c>
      <c r="D504" s="45"/>
      <c r="E504" s="45" t="str">
        <f>IF(ISERR(FIND("CLL",PRODUCTO_MI_AR68[[#This Row],[NOM PRODUCTO]])),"","ME")</f>
        <v>ME</v>
      </c>
      <c r="F504" s="44" t="s">
        <v>16</v>
      </c>
      <c r="G504" s="44" t="s">
        <v>17</v>
      </c>
      <c r="H504" s="44" t="s">
        <v>18</v>
      </c>
      <c r="I504" s="44" t="s">
        <v>19</v>
      </c>
      <c r="J504" s="44" t="s">
        <v>20</v>
      </c>
      <c r="K504" s="44" t="s">
        <v>196</v>
      </c>
      <c r="L504" s="44" t="s">
        <v>639</v>
      </c>
      <c r="M504" s="44" t="s">
        <v>22</v>
      </c>
      <c r="N504" s="44" t="str">
        <f>IF(ISERR(FIND("CONG",PRODUCTO_MI_AR68[[#This Row],[NOM PRODUCTO]])),"","CONGELADO")</f>
        <v>CONGELADO</v>
      </c>
      <c r="O504" s="46" t="s">
        <v>24</v>
      </c>
      <c r="P504"/>
      <c r="Q504" s="4"/>
      <c r="R504" s="4"/>
      <c r="S504" s="4"/>
      <c r="T504" s="4"/>
      <c r="U504" s="4"/>
    </row>
    <row r="505" spans="2:21" hidden="1" thickTop="1" thickBot="1" x14ac:dyDescent="0.3">
      <c r="B505" s="43">
        <v>100518935</v>
      </c>
      <c r="C505" s="44" t="s">
        <v>642</v>
      </c>
      <c r="D505" s="45"/>
      <c r="E505" s="45" t="str">
        <f>IF(ISERR(FIND("PUL",PRODUCTO_MI_AR68[[#This Row],[NOM PRODUCTO]])),"","ME")</f>
        <v>ME</v>
      </c>
      <c r="F505" s="44" t="s">
        <v>16</v>
      </c>
      <c r="G505" s="44" t="s">
        <v>17</v>
      </c>
      <c r="H505" s="44" t="s">
        <v>18</v>
      </c>
      <c r="I505" s="44" t="s">
        <v>19</v>
      </c>
      <c r="J505" s="44" t="s">
        <v>28</v>
      </c>
      <c r="K505" s="44" t="s">
        <v>196</v>
      </c>
      <c r="L505" s="44" t="s">
        <v>639</v>
      </c>
      <c r="M505" s="44" t="s">
        <v>29</v>
      </c>
      <c r="N505" s="44" t="str">
        <f>IF(ISERR(FIND("CONG",PRODUCTO_MI_AR68[[#This Row],[NOM PRODUCTO]])),"","CONGELADO")</f>
        <v>CONGELADO</v>
      </c>
      <c r="O505" s="46" t="s">
        <v>24</v>
      </c>
      <c r="P505"/>
      <c r="Q505" s="4"/>
      <c r="R505" s="4"/>
      <c r="S505" s="4"/>
      <c r="T505" s="4"/>
      <c r="U505" s="4"/>
    </row>
    <row r="506" spans="2:21" hidden="1" thickTop="1" thickBot="1" x14ac:dyDescent="0.3">
      <c r="B506" s="43">
        <v>100519386</v>
      </c>
      <c r="C506" s="44" t="s">
        <v>643</v>
      </c>
      <c r="D506" s="45"/>
      <c r="E506" s="45" t="str">
        <f>IF(ISERR(FIND("PUL",PRODUCTO_MI_AR68[[#This Row],[NOM PRODUCTO]])),"","ME")</f>
        <v>ME</v>
      </c>
      <c r="F506" s="44" t="s">
        <v>16</v>
      </c>
      <c r="G506" s="44" t="s">
        <v>17</v>
      </c>
      <c r="H506" s="44" t="s">
        <v>18</v>
      </c>
      <c r="I506" s="44" t="s">
        <v>19</v>
      </c>
      <c r="J506" s="44" t="s">
        <v>28</v>
      </c>
      <c r="K506" s="44" t="s">
        <v>196</v>
      </c>
      <c r="L506" s="44" t="s">
        <v>639</v>
      </c>
      <c r="M506" s="44" t="s">
        <v>29</v>
      </c>
      <c r="N506" s="44" t="str">
        <f>IF(ISERR(FIND("CONG",PRODUCTO_MI_AR68[[#This Row],[NOM PRODUCTO]])),"","CONGELADO")</f>
        <v>CONGELADO</v>
      </c>
      <c r="O506" s="46" t="s">
        <v>24</v>
      </c>
      <c r="P506"/>
      <c r="Q506" s="4"/>
      <c r="R506" s="4"/>
      <c r="S506" s="4"/>
      <c r="T506" s="4"/>
      <c r="U506" s="4"/>
    </row>
    <row r="507" spans="2:21" ht="18" hidden="1" customHeight="1" thickTop="1" thickBot="1" x14ac:dyDescent="0.3">
      <c r="B507" s="43">
        <v>100520235</v>
      </c>
      <c r="C507" s="44" t="s">
        <v>644</v>
      </c>
      <c r="D507" s="45"/>
      <c r="E507" s="45" t="str">
        <f>IF(ISERR(FIND("PUL",PRODUCTO_MI_AR68[[#This Row],[NOM PRODUCTO]])),"","ME")</f>
        <v>ME</v>
      </c>
      <c r="F507" s="44" t="s">
        <v>16</v>
      </c>
      <c r="G507" s="44" t="s">
        <v>17</v>
      </c>
      <c r="H507" s="44" t="s">
        <v>18</v>
      </c>
      <c r="I507" s="44" t="s">
        <v>19</v>
      </c>
      <c r="J507" s="44" t="s">
        <v>28</v>
      </c>
      <c r="K507" s="44" t="s">
        <v>196</v>
      </c>
      <c r="L507" s="44" t="s">
        <v>639</v>
      </c>
      <c r="M507" s="44" t="s">
        <v>29</v>
      </c>
      <c r="N507" s="44" t="str">
        <f>IF(ISERR(FIND("CONG",PRODUCTO_MI_AR68[[#This Row],[NOM PRODUCTO]])),"","CONGELADO")</f>
        <v>CONGELADO</v>
      </c>
      <c r="O507" s="46" t="s">
        <v>24</v>
      </c>
      <c r="P507"/>
      <c r="Q507" s="4"/>
      <c r="R507" s="4"/>
      <c r="S507" s="4"/>
      <c r="T507" s="4"/>
      <c r="U507" s="4"/>
    </row>
    <row r="508" spans="2:21" hidden="1" thickTop="1" thickBot="1" x14ac:dyDescent="0.3">
      <c r="B508" s="43">
        <v>100522450</v>
      </c>
      <c r="C508" s="44" t="s">
        <v>645</v>
      </c>
      <c r="D508" s="45"/>
      <c r="E508" s="45" t="str">
        <f>IF(ISERR(FIND("PUL",PRODUCTO_MI_AR68[[#This Row],[NOM PRODUCTO]])),"","ME")</f>
        <v>ME</v>
      </c>
      <c r="F508" s="44" t="s">
        <v>16</v>
      </c>
      <c r="G508" s="44" t="s">
        <v>17</v>
      </c>
      <c r="H508" s="44" t="s">
        <v>18</v>
      </c>
      <c r="I508" s="44" t="s">
        <v>19</v>
      </c>
      <c r="J508" s="44" t="s">
        <v>40</v>
      </c>
      <c r="K508" s="44" t="s">
        <v>196</v>
      </c>
      <c r="L508" s="44" t="s">
        <v>639</v>
      </c>
      <c r="M508" s="44" t="s">
        <v>41</v>
      </c>
      <c r="N508" s="44" t="s">
        <v>23</v>
      </c>
      <c r="O508" s="46" t="s">
        <v>24</v>
      </c>
      <c r="P508"/>
      <c r="Q508" s="4"/>
      <c r="R508" s="4"/>
      <c r="S508" s="4"/>
      <c r="T508" s="4"/>
      <c r="U508" s="4"/>
    </row>
    <row r="509" spans="2:21" hidden="1" thickTop="1" thickBot="1" x14ac:dyDescent="0.3">
      <c r="B509" s="43">
        <v>100518357</v>
      </c>
      <c r="C509" s="44" t="s">
        <v>646</v>
      </c>
      <c r="D509" s="45"/>
      <c r="E509" s="45" t="str">
        <f>IF(ISERR(FIND("CHILE",PRODUCTO_MI_AR68[[#This Row],[NOM PRODUCTO]])),"","ME")</f>
        <v>ME</v>
      </c>
      <c r="F509" s="44" t="s">
        <v>16</v>
      </c>
      <c r="G509" s="44" t="s">
        <v>17</v>
      </c>
      <c r="H509" s="44" t="s">
        <v>18</v>
      </c>
      <c r="I509" s="44" t="s">
        <v>19</v>
      </c>
      <c r="J509" s="44" t="s">
        <v>28</v>
      </c>
      <c r="K509" s="44" t="s">
        <v>196</v>
      </c>
      <c r="L509" s="44" t="s">
        <v>639</v>
      </c>
      <c r="M509" s="44" t="s">
        <v>29</v>
      </c>
      <c r="N509" s="44" t="s">
        <v>23</v>
      </c>
      <c r="O509" s="46" t="s">
        <v>24</v>
      </c>
      <c r="P509"/>
      <c r="Q509" s="4"/>
      <c r="R509" s="4"/>
      <c r="S509" s="4"/>
      <c r="T509" s="4"/>
      <c r="U509" s="4"/>
    </row>
    <row r="510" spans="2:21" ht="18" hidden="1" customHeight="1" thickTop="1" thickBot="1" x14ac:dyDescent="0.3">
      <c r="B510" s="43">
        <v>100520495</v>
      </c>
      <c r="C510" s="44" t="s">
        <v>647</v>
      </c>
      <c r="D510" s="45"/>
      <c r="E510" s="45" t="str">
        <f>IF(ISERR(FIND("ISRAEL",PRODUCTO_MI_AR68[[#This Row],[NOM PRODUCTO]])),"","ME")</f>
        <v>ME</v>
      </c>
      <c r="F510" s="44" t="s">
        <v>16</v>
      </c>
      <c r="G510" s="44" t="s">
        <v>17</v>
      </c>
      <c r="H510" s="44" t="s">
        <v>18</v>
      </c>
      <c r="I510" s="44" t="s">
        <v>19</v>
      </c>
      <c r="J510" s="44" t="s">
        <v>28</v>
      </c>
      <c r="K510" s="44" t="s">
        <v>196</v>
      </c>
      <c r="L510" s="44" t="s">
        <v>639</v>
      </c>
      <c r="M510" s="44" t="s">
        <v>29</v>
      </c>
      <c r="N510" s="44" t="s">
        <v>23</v>
      </c>
      <c r="O510" s="46" t="s">
        <v>24</v>
      </c>
      <c r="P510"/>
      <c r="Q510" s="4"/>
      <c r="R510" s="4"/>
      <c r="S510" s="4"/>
      <c r="T510" s="4"/>
      <c r="U510" s="4"/>
    </row>
    <row r="511" spans="2:21" ht="18" hidden="1" customHeight="1" thickTop="1" thickBot="1" x14ac:dyDescent="0.3">
      <c r="B511" s="43">
        <v>100520523</v>
      </c>
      <c r="C511" s="44" t="s">
        <v>648</v>
      </c>
      <c r="D511" s="45"/>
      <c r="E511" s="45" t="str">
        <f>IF(ISERR(FIND("KOSHER",PRODUCTO_MI_AR68[[#This Row],[NOM PRODUCTO]])),"","ME")</f>
        <v>ME</v>
      </c>
      <c r="F511" s="44" t="s">
        <v>16</v>
      </c>
      <c r="G511" s="44" t="s">
        <v>17</v>
      </c>
      <c r="H511" s="44" t="s">
        <v>18</v>
      </c>
      <c r="I511" s="44" t="s">
        <v>19</v>
      </c>
      <c r="J511" s="44" t="s">
        <v>28</v>
      </c>
      <c r="K511" s="44" t="s">
        <v>196</v>
      </c>
      <c r="L511" s="44" t="s">
        <v>639</v>
      </c>
      <c r="M511" s="44" t="s">
        <v>29</v>
      </c>
      <c r="N511" s="44" t="s">
        <v>23</v>
      </c>
      <c r="O511" s="46" t="s">
        <v>24</v>
      </c>
      <c r="P511"/>
      <c r="Q511" s="4"/>
      <c r="R511" s="4"/>
      <c r="S511" s="4"/>
      <c r="T511" s="4"/>
      <c r="U511" s="4"/>
    </row>
    <row r="512" spans="2:21" ht="18" hidden="1" customHeight="1" thickTop="1" thickBot="1" x14ac:dyDescent="0.3">
      <c r="B512" s="43">
        <v>100519861</v>
      </c>
      <c r="C512" s="44" t="s">
        <v>649</v>
      </c>
      <c r="D512" s="45"/>
      <c r="E512" s="45" t="str">
        <f>IF(ISERR(FIND("CLL",PRODUCTO_MI_AR68[[#This Row],[NOM PRODUCTO]])),"","ME")</f>
        <v>ME</v>
      </c>
      <c r="F512" s="44" t="s">
        <v>16</v>
      </c>
      <c r="G512" s="44" t="s">
        <v>17</v>
      </c>
      <c r="H512" s="44" t="s">
        <v>18</v>
      </c>
      <c r="I512" s="44" t="s">
        <v>19</v>
      </c>
      <c r="J512" s="44" t="s">
        <v>20</v>
      </c>
      <c r="K512" s="44" t="s">
        <v>196</v>
      </c>
      <c r="L512" s="44" t="s">
        <v>639</v>
      </c>
      <c r="M512" s="44" t="s">
        <v>22</v>
      </c>
      <c r="N512" s="44" t="s">
        <v>23</v>
      </c>
      <c r="O512" s="46" t="s">
        <v>24</v>
      </c>
      <c r="P512"/>
      <c r="Q512" s="4"/>
      <c r="R512" s="4"/>
      <c r="S512" s="4"/>
      <c r="T512" s="4"/>
      <c r="U512" s="4"/>
    </row>
    <row r="513" spans="2:21" hidden="1" thickTop="1" thickBot="1" x14ac:dyDescent="0.3">
      <c r="B513" s="43">
        <v>100519829</v>
      </c>
      <c r="C513" s="44" t="s">
        <v>650</v>
      </c>
      <c r="D513" s="45"/>
      <c r="E513" s="45" t="str">
        <f>IF(ISERR(FIND("PUL",PRODUCTO_MI_AR68[[#This Row],[NOM PRODUCTO]])),"","ME")</f>
        <v>ME</v>
      </c>
      <c r="F513" s="44" t="s">
        <v>16</v>
      </c>
      <c r="G513" s="44" t="s">
        <v>17</v>
      </c>
      <c r="H513" s="44" t="s">
        <v>18</v>
      </c>
      <c r="I513" s="44" t="s">
        <v>19</v>
      </c>
      <c r="J513" s="44" t="s">
        <v>40</v>
      </c>
      <c r="K513" s="44" t="s">
        <v>196</v>
      </c>
      <c r="L513" s="44" t="s">
        <v>639</v>
      </c>
      <c r="M513" s="44" t="s">
        <v>41</v>
      </c>
      <c r="N513" s="44" t="s">
        <v>23</v>
      </c>
      <c r="O513" s="46" t="s">
        <v>24</v>
      </c>
      <c r="P513"/>
      <c r="Q513" s="4"/>
      <c r="R513" s="4"/>
      <c r="S513" s="4"/>
      <c r="T513" s="4"/>
      <c r="U513" s="4"/>
    </row>
    <row r="514" spans="2:21" ht="18" hidden="1" customHeight="1" thickTop="1" thickBot="1" x14ac:dyDescent="0.3">
      <c r="B514" s="43">
        <v>100010656</v>
      </c>
      <c r="C514" s="44" t="s">
        <v>651</v>
      </c>
      <c r="D514" s="45"/>
      <c r="E514" s="45" t="s">
        <v>44</v>
      </c>
      <c r="F514" s="44" t="s">
        <v>16</v>
      </c>
      <c r="G514" s="44" t="s">
        <v>17</v>
      </c>
      <c r="H514" s="44" t="s">
        <v>18</v>
      </c>
      <c r="I514" s="44" t="s">
        <v>19</v>
      </c>
      <c r="J514" s="44" t="s">
        <v>28</v>
      </c>
      <c r="K514" s="44" t="s">
        <v>196</v>
      </c>
      <c r="L514" s="44" t="s">
        <v>639</v>
      </c>
      <c r="M514" s="44" t="s">
        <v>57</v>
      </c>
      <c r="N514" s="44" t="s">
        <v>23</v>
      </c>
      <c r="O514" s="46" t="s">
        <v>24</v>
      </c>
      <c r="P514"/>
      <c r="Q514" s="4"/>
      <c r="R514" s="4"/>
      <c r="S514" s="4"/>
      <c r="T514" s="4"/>
      <c r="U514" s="4"/>
    </row>
    <row r="515" spans="2:21" ht="18" hidden="1" customHeight="1" thickTop="1" thickBot="1" x14ac:dyDescent="0.3">
      <c r="B515" s="43">
        <v>100522387</v>
      </c>
      <c r="C515" s="44" t="s">
        <v>652</v>
      </c>
      <c r="D515" s="45"/>
      <c r="E515" s="45" t="str">
        <f>IF(ISERR(FIND("PUL",PRODUCTO_MI_AR68[[#This Row],[NOM PRODUCTO]])),"","ME")</f>
        <v>ME</v>
      </c>
      <c r="F515" s="44" t="s">
        <v>16</v>
      </c>
      <c r="G515" s="44" t="s">
        <v>17</v>
      </c>
      <c r="H515" s="44" t="s">
        <v>18</v>
      </c>
      <c r="I515" s="44" t="s">
        <v>19</v>
      </c>
      <c r="J515" s="44" t="s">
        <v>28</v>
      </c>
      <c r="K515" s="44" t="s">
        <v>196</v>
      </c>
      <c r="L515" s="44" t="s">
        <v>639</v>
      </c>
      <c r="M515" s="44" t="s">
        <v>29</v>
      </c>
      <c r="N515" s="44" t="s">
        <v>23</v>
      </c>
      <c r="O515" s="46" t="s">
        <v>24</v>
      </c>
      <c r="P515"/>
      <c r="Q515" s="4"/>
      <c r="R515" s="4"/>
      <c r="S515" s="4"/>
      <c r="T515" s="4"/>
      <c r="U515" s="4"/>
    </row>
    <row r="516" spans="2:21" hidden="1" thickTop="1" thickBot="1" x14ac:dyDescent="0.3">
      <c r="B516" s="43">
        <v>100519480</v>
      </c>
      <c r="C516" s="44" t="s">
        <v>653</v>
      </c>
      <c r="D516" s="45"/>
      <c r="E516" s="45" t="str">
        <f>IF(ISERR(FIND("PUL",PRODUCTO_MI_AR68[[#This Row],[NOM PRODUCTO]])),"","ME")</f>
        <v>ME</v>
      </c>
      <c r="F516" s="44" t="s">
        <v>16</v>
      </c>
      <c r="G516" s="44" t="s">
        <v>17</v>
      </c>
      <c r="H516" s="44" t="s">
        <v>18</v>
      </c>
      <c r="I516" s="44" t="s">
        <v>19</v>
      </c>
      <c r="J516" s="44" t="s">
        <v>40</v>
      </c>
      <c r="K516" s="44" t="s">
        <v>196</v>
      </c>
      <c r="L516" s="44" t="s">
        <v>639</v>
      </c>
      <c r="M516" s="44" t="s">
        <v>41</v>
      </c>
      <c r="N516" s="44" t="s">
        <v>23</v>
      </c>
      <c r="O516" s="46" t="s">
        <v>24</v>
      </c>
      <c r="P516"/>
      <c r="Q516" s="4"/>
      <c r="R516" s="4"/>
      <c r="S516" s="4"/>
      <c r="T516" s="4"/>
      <c r="U516" s="4"/>
    </row>
    <row r="517" spans="2:21" hidden="1" thickTop="1" thickBot="1" x14ac:dyDescent="0.3">
      <c r="B517" s="43">
        <v>100519481</v>
      </c>
      <c r="C517" s="44" t="s">
        <v>654</v>
      </c>
      <c r="D517" s="45"/>
      <c r="E517" s="45" t="str">
        <f>IF(ISERR(FIND("PUL",PRODUCTO_MI_AR68[[#This Row],[NOM PRODUCTO]])),"","ME")</f>
        <v>ME</v>
      </c>
      <c r="F517" s="44" t="s">
        <v>16</v>
      </c>
      <c r="G517" s="44" t="s">
        <v>17</v>
      </c>
      <c r="H517" s="44" t="s">
        <v>18</v>
      </c>
      <c r="I517" s="44" t="s">
        <v>19</v>
      </c>
      <c r="J517" s="44" t="s">
        <v>40</v>
      </c>
      <c r="K517" s="44" t="s">
        <v>196</v>
      </c>
      <c r="L517" s="44" t="s">
        <v>639</v>
      </c>
      <c r="M517" s="44" t="s">
        <v>41</v>
      </c>
      <c r="N517" s="44" t="s">
        <v>23</v>
      </c>
      <c r="O517" s="46" t="s">
        <v>24</v>
      </c>
      <c r="P517"/>
      <c r="Q517" s="4"/>
      <c r="R517" s="4"/>
      <c r="S517" s="4"/>
      <c r="T517" s="4"/>
      <c r="U517" s="4"/>
    </row>
    <row r="518" spans="2:21" hidden="1" thickTop="1" thickBot="1" x14ac:dyDescent="0.3">
      <c r="B518" s="43">
        <v>100522276</v>
      </c>
      <c r="C518" s="44" t="s">
        <v>655</v>
      </c>
      <c r="D518" s="45"/>
      <c r="E518" s="45" t="str">
        <f>IF(ISERR(FIND("PUL",PRODUCTO_MI_AR68[[#This Row],[NOM PRODUCTO]])),"","ME")</f>
        <v>ME</v>
      </c>
      <c r="F518" s="44" t="s">
        <v>16</v>
      </c>
      <c r="G518" s="44" t="s">
        <v>17</v>
      </c>
      <c r="H518" s="44" t="s">
        <v>18</v>
      </c>
      <c r="I518" s="44" t="s">
        <v>19</v>
      </c>
      <c r="J518" s="44" t="s">
        <v>40</v>
      </c>
      <c r="K518" s="44" t="s">
        <v>196</v>
      </c>
      <c r="L518" s="44" t="s">
        <v>639</v>
      </c>
      <c r="M518" s="44" t="s">
        <v>41</v>
      </c>
      <c r="N518" s="44" t="s">
        <v>23</v>
      </c>
      <c r="O518" s="46" t="s">
        <v>24</v>
      </c>
      <c r="P518"/>
      <c r="Q518" s="4"/>
      <c r="R518" s="4"/>
      <c r="S518" s="4"/>
      <c r="T518" s="4"/>
      <c r="U518" s="4"/>
    </row>
    <row r="519" spans="2:21" hidden="1" thickTop="1" thickBot="1" x14ac:dyDescent="0.3">
      <c r="B519" s="43">
        <v>100519868</v>
      </c>
      <c r="C519" s="44" t="s">
        <v>656</v>
      </c>
      <c r="D519" s="45"/>
      <c r="E519" s="45" t="str">
        <f>IF(ISERR(FIND("CLL",PRODUCTO_MI_AR68[[#This Row],[NOM PRODUCTO]])),"","ME")</f>
        <v>ME</v>
      </c>
      <c r="F519" s="44" t="s">
        <v>16</v>
      </c>
      <c r="G519" s="44" t="s">
        <v>17</v>
      </c>
      <c r="H519" s="44" t="s">
        <v>18</v>
      </c>
      <c r="I519" s="44" t="s">
        <v>19</v>
      </c>
      <c r="J519" s="44" t="s">
        <v>20</v>
      </c>
      <c r="K519" s="44" t="s">
        <v>196</v>
      </c>
      <c r="L519" s="44" t="s">
        <v>639</v>
      </c>
      <c r="M519" s="44" t="s">
        <v>22</v>
      </c>
      <c r="N519" s="44" t="s">
        <v>23</v>
      </c>
      <c r="O519" s="46" t="s">
        <v>24</v>
      </c>
      <c r="P519"/>
      <c r="Q519" s="4"/>
      <c r="R519" s="4"/>
      <c r="S519" s="4"/>
      <c r="T519" s="4"/>
      <c r="U519" s="4"/>
    </row>
    <row r="520" spans="2:21" ht="18" hidden="1" customHeight="1" thickTop="1" thickBot="1" x14ac:dyDescent="0.3">
      <c r="B520" s="43">
        <v>100517595</v>
      </c>
      <c r="C520" s="44" t="s">
        <v>657</v>
      </c>
      <c r="D520" s="45"/>
      <c r="E520" s="45" t="s">
        <v>44</v>
      </c>
      <c r="F520" s="44" t="s">
        <v>16</v>
      </c>
      <c r="G520" s="44" t="s">
        <v>17</v>
      </c>
      <c r="H520" s="44" t="s">
        <v>18</v>
      </c>
      <c r="I520" s="44" t="s">
        <v>19</v>
      </c>
      <c r="J520" s="44" t="s">
        <v>20</v>
      </c>
      <c r="K520" s="44" t="s">
        <v>196</v>
      </c>
      <c r="L520" s="44" t="s">
        <v>639</v>
      </c>
      <c r="M520" s="44" t="s">
        <v>73</v>
      </c>
      <c r="N520" s="44" t="s">
        <v>23</v>
      </c>
      <c r="O520" s="46" t="s">
        <v>24</v>
      </c>
      <c r="P520"/>
      <c r="Q520" s="4"/>
      <c r="R520" s="4"/>
      <c r="S520" s="4"/>
      <c r="T520" s="4"/>
      <c r="U520" s="4"/>
    </row>
    <row r="521" spans="2:21" ht="18" hidden="1" customHeight="1" thickTop="1" thickBot="1" x14ac:dyDescent="0.3">
      <c r="B521" s="43">
        <v>100010050</v>
      </c>
      <c r="C521" s="44" t="s">
        <v>658</v>
      </c>
      <c r="D521" s="45"/>
      <c r="E521" s="45" t="str">
        <f>IF(ISERR(FIND("CLL",PRODUCTO_MI_AR68[[#This Row],[NOM PRODUCTO]])),"","ME")</f>
        <v>ME</v>
      </c>
      <c r="F521" s="44" t="s">
        <v>16</v>
      </c>
      <c r="G521" s="44" t="s">
        <v>17</v>
      </c>
      <c r="H521" s="44" t="s">
        <v>18</v>
      </c>
      <c r="I521" s="44" t="s">
        <v>19</v>
      </c>
      <c r="J521" s="44" t="s">
        <v>20</v>
      </c>
      <c r="K521" s="44" t="s">
        <v>407</v>
      </c>
      <c r="L521" s="44" t="s">
        <v>659</v>
      </c>
      <c r="M521" s="44" t="s">
        <v>22</v>
      </c>
      <c r="N521" s="44" t="str">
        <f>IF(ISERR(FIND("CONG",PRODUCTO_MI_AR68[[#This Row],[NOM PRODUCTO]])),"","CONGELADO")</f>
        <v>CONGELADO</v>
      </c>
      <c r="O521" s="46" t="s">
        <v>58</v>
      </c>
      <c r="P521"/>
      <c r="Q521" s="4"/>
      <c r="R521" s="4"/>
      <c r="S521" s="4"/>
      <c r="T521" s="4"/>
      <c r="U521" s="4"/>
    </row>
    <row r="522" spans="2:21" ht="18" hidden="1" customHeight="1" thickTop="1" thickBot="1" x14ac:dyDescent="0.3">
      <c r="B522" s="43">
        <v>100517694</v>
      </c>
      <c r="C522" s="44" t="s">
        <v>660</v>
      </c>
      <c r="D522" s="45"/>
      <c r="E522" s="45" t="s">
        <v>44</v>
      </c>
      <c r="F522" s="44" t="s">
        <v>16</v>
      </c>
      <c r="G522" s="44" t="s">
        <v>17</v>
      </c>
      <c r="H522" s="44" t="s">
        <v>18</v>
      </c>
      <c r="I522" s="44" t="s">
        <v>19</v>
      </c>
      <c r="J522" s="44" t="s">
        <v>20</v>
      </c>
      <c r="K522" s="44" t="s">
        <v>407</v>
      </c>
      <c r="L522" s="44" t="s">
        <v>659</v>
      </c>
      <c r="M522" s="44" t="s">
        <v>73</v>
      </c>
      <c r="N522" s="44" t="str">
        <f>IF(ISERR(FIND("CONG",PRODUCTO_MI_AR68[[#This Row],[NOM PRODUCTO]])),"","CONGELADO")</f>
        <v>CONGELADO</v>
      </c>
      <c r="O522" s="46" t="s">
        <v>58</v>
      </c>
      <c r="P522"/>
      <c r="Q522" s="4"/>
      <c r="R522" s="4"/>
      <c r="S522" s="4"/>
      <c r="T522" s="4"/>
      <c r="U522" s="4"/>
    </row>
    <row r="523" spans="2:21" ht="18" hidden="1" customHeight="1" thickTop="1" thickBot="1" x14ac:dyDescent="0.3">
      <c r="B523" s="43">
        <v>100012915</v>
      </c>
      <c r="C523" s="44" t="s">
        <v>661</v>
      </c>
      <c r="D523" s="45"/>
      <c r="E523" s="45" t="s">
        <v>44</v>
      </c>
      <c r="F523" s="44" t="s">
        <v>16</v>
      </c>
      <c r="G523" s="44" t="s">
        <v>17</v>
      </c>
      <c r="H523" s="44" t="s">
        <v>18</v>
      </c>
      <c r="I523" s="44" t="s">
        <v>54</v>
      </c>
      <c r="J523" s="44" t="s">
        <v>28</v>
      </c>
      <c r="K523" s="44" t="s">
        <v>55</v>
      </c>
      <c r="L523" s="44" t="s">
        <v>662</v>
      </c>
      <c r="M523" s="44" t="s">
        <v>57</v>
      </c>
      <c r="N523" s="44" t="str">
        <f>IF(ISERR(FIND("CONG",PRODUCTO_MI_AR68[[#This Row],[NOM PRODUCTO]])),"","CONGELADO")</f>
        <v>CONGELADO</v>
      </c>
      <c r="O523" s="46" t="s">
        <v>24</v>
      </c>
      <c r="P523"/>
      <c r="Q523" s="4"/>
      <c r="R523" s="4"/>
      <c r="S523" s="4"/>
      <c r="T523" s="4"/>
      <c r="U523" s="4"/>
    </row>
    <row r="524" spans="2:21" hidden="1" thickTop="1" thickBot="1" x14ac:dyDescent="0.3">
      <c r="B524" s="43">
        <v>100010546</v>
      </c>
      <c r="C524" s="44" t="s">
        <v>663</v>
      </c>
      <c r="D524" s="45"/>
      <c r="E524" s="45" t="s">
        <v>44</v>
      </c>
      <c r="F524" s="44" t="s">
        <v>16</v>
      </c>
      <c r="G524" s="44" t="s">
        <v>17</v>
      </c>
      <c r="H524" s="44" t="s">
        <v>18</v>
      </c>
      <c r="I524" s="44" t="s">
        <v>54</v>
      </c>
      <c r="J524" s="44" t="s">
        <v>28</v>
      </c>
      <c r="K524" s="44" t="s">
        <v>55</v>
      </c>
      <c r="L524" s="44" t="s">
        <v>662</v>
      </c>
      <c r="M524" s="44" t="s">
        <v>57</v>
      </c>
      <c r="N524" s="44" t="s">
        <v>23</v>
      </c>
      <c r="O524" s="46" t="s">
        <v>24</v>
      </c>
      <c r="P524"/>
      <c r="Q524" s="4"/>
      <c r="R524" s="4"/>
      <c r="S524" s="4"/>
      <c r="T524" s="4"/>
      <c r="U524" s="4"/>
    </row>
    <row r="525" spans="2:21" hidden="1" thickTop="1" thickBot="1" x14ac:dyDescent="0.3">
      <c r="B525" s="43">
        <v>100013144</v>
      </c>
      <c r="C525" s="44" t="s">
        <v>664</v>
      </c>
      <c r="D525" s="45"/>
      <c r="E525" s="45" t="str">
        <f>IF(ISERR(FIND("(L)",PRODUCTO_MI_AR68[[#This Row],[NOM PRODUCTO]])),"","MI")</f>
        <v>MI</v>
      </c>
      <c r="F525" s="44" t="s">
        <v>16</v>
      </c>
      <c r="G525" s="44" t="s">
        <v>17</v>
      </c>
      <c r="H525" s="44" t="s">
        <v>18</v>
      </c>
      <c r="I525" s="44" t="s">
        <v>54</v>
      </c>
      <c r="J525" s="44" t="s">
        <v>28</v>
      </c>
      <c r="K525" s="44" t="s">
        <v>55</v>
      </c>
      <c r="L525" s="44" t="s">
        <v>662</v>
      </c>
      <c r="M525" s="44" t="s">
        <v>57</v>
      </c>
      <c r="N525" s="44" t="s">
        <v>23</v>
      </c>
      <c r="O525" s="46" t="s">
        <v>24</v>
      </c>
      <c r="P525"/>
      <c r="Q525" s="4"/>
      <c r="R525" s="4"/>
      <c r="S525" s="4"/>
      <c r="T525" s="4"/>
      <c r="U525" s="4"/>
    </row>
    <row r="526" spans="2:21" hidden="1" thickTop="1" thickBot="1" x14ac:dyDescent="0.3">
      <c r="B526" s="43">
        <v>100517143</v>
      </c>
      <c r="C526" s="44" t="s">
        <v>665</v>
      </c>
      <c r="D526" s="45"/>
      <c r="E526" s="45" t="s">
        <v>44</v>
      </c>
      <c r="F526" s="44" t="s">
        <v>16</v>
      </c>
      <c r="G526" s="44" t="s">
        <v>17</v>
      </c>
      <c r="H526" s="44" t="s">
        <v>18</v>
      </c>
      <c r="I526" s="44" t="s">
        <v>54</v>
      </c>
      <c r="J526" s="44" t="s">
        <v>20</v>
      </c>
      <c r="K526" s="44" t="s">
        <v>55</v>
      </c>
      <c r="L526" s="44" t="s">
        <v>662</v>
      </c>
      <c r="M526" s="44" t="s">
        <v>73</v>
      </c>
      <c r="N526" s="44" t="s">
        <v>23</v>
      </c>
      <c r="O526" s="46" t="s">
        <v>24</v>
      </c>
      <c r="P526"/>
      <c r="Q526" s="4"/>
      <c r="R526" s="4"/>
      <c r="S526" s="4"/>
      <c r="T526" s="4"/>
      <c r="U526" s="4"/>
    </row>
    <row r="527" spans="2:21" hidden="1" thickTop="1" thickBot="1" x14ac:dyDescent="0.3">
      <c r="B527" s="43">
        <v>100520272</v>
      </c>
      <c r="C527" s="44" t="s">
        <v>666</v>
      </c>
      <c r="D527" s="45"/>
      <c r="E527" s="45" t="s">
        <v>44</v>
      </c>
      <c r="F527" s="44" t="s">
        <v>16</v>
      </c>
      <c r="G527" s="44" t="s">
        <v>17</v>
      </c>
      <c r="H527" s="44" t="s">
        <v>18</v>
      </c>
      <c r="I527" s="44" t="s">
        <v>54</v>
      </c>
      <c r="J527" s="44" t="s">
        <v>20</v>
      </c>
      <c r="K527" s="44" t="s">
        <v>55</v>
      </c>
      <c r="L527" s="44" t="s">
        <v>662</v>
      </c>
      <c r="M527" s="44" t="s">
        <v>73</v>
      </c>
      <c r="N527" s="44" t="str">
        <f>IF(ISERR(FIND("CONG",PRODUCTO_MI_AR68[[#This Row],[NOM PRODUCTO]])),"","CONGELADO")</f>
        <v>CONGELADO</v>
      </c>
      <c r="O527" s="46" t="s">
        <v>24</v>
      </c>
      <c r="P527"/>
      <c r="Q527" s="4"/>
      <c r="R527" s="4"/>
      <c r="S527" s="4"/>
      <c r="T527" s="4"/>
      <c r="U527" s="4"/>
    </row>
    <row r="528" spans="2:21" ht="18" hidden="1" customHeight="1" thickTop="1" thickBot="1" x14ac:dyDescent="0.3">
      <c r="B528" s="43">
        <v>100520894</v>
      </c>
      <c r="C528" s="44" t="s">
        <v>667</v>
      </c>
      <c r="D528" s="45"/>
      <c r="E528" s="45" t="s">
        <v>44</v>
      </c>
      <c r="F528" s="44" t="s">
        <v>16</v>
      </c>
      <c r="G528" s="44" t="s">
        <v>17</v>
      </c>
      <c r="H528" s="44" t="s">
        <v>18</v>
      </c>
      <c r="I528" s="44" t="s">
        <v>54</v>
      </c>
      <c r="J528" s="44" t="s">
        <v>20</v>
      </c>
      <c r="K528" s="44" t="s">
        <v>55</v>
      </c>
      <c r="L528" s="44" t="s">
        <v>668</v>
      </c>
      <c r="M528" s="44" t="s">
        <v>73</v>
      </c>
      <c r="N528" s="44" t="s">
        <v>23</v>
      </c>
      <c r="O528" s="46" t="s">
        <v>24</v>
      </c>
      <c r="P528"/>
      <c r="Q528" s="4"/>
      <c r="R528" s="4"/>
      <c r="S528" s="4"/>
      <c r="T528" s="4"/>
      <c r="U528" s="4"/>
    </row>
    <row r="529" spans="2:21" ht="18" hidden="1" customHeight="1" thickTop="1" thickBot="1" x14ac:dyDescent="0.3">
      <c r="B529" s="43">
        <v>100516325</v>
      </c>
      <c r="C529" s="44" t="s">
        <v>669</v>
      </c>
      <c r="D529" s="45"/>
      <c r="E529" s="45" t="s">
        <v>44</v>
      </c>
      <c r="F529" s="44" t="s">
        <v>16</v>
      </c>
      <c r="G529" s="44" t="s">
        <v>17</v>
      </c>
      <c r="H529" s="44" t="s">
        <v>45</v>
      </c>
      <c r="I529" s="44" t="s">
        <v>46</v>
      </c>
      <c r="J529" s="44" t="s">
        <v>28</v>
      </c>
      <c r="K529" s="44" t="s">
        <v>45</v>
      </c>
      <c r="L529" s="44" t="s">
        <v>670</v>
      </c>
      <c r="M529" s="44" t="s">
        <v>671</v>
      </c>
      <c r="N529" s="44" t="s">
        <v>193</v>
      </c>
      <c r="O529" s="46" t="s">
        <v>49</v>
      </c>
      <c r="P529"/>
      <c r="Q529" s="4"/>
      <c r="R529" s="4"/>
      <c r="S529" s="4"/>
      <c r="T529" s="4"/>
      <c r="U529" s="4"/>
    </row>
    <row r="530" spans="2:21" ht="18" hidden="1" customHeight="1" thickTop="1" thickBot="1" x14ac:dyDescent="0.3">
      <c r="B530" s="43">
        <v>100021677</v>
      </c>
      <c r="C530" s="44" t="s">
        <v>672</v>
      </c>
      <c r="D530" s="45"/>
      <c r="E530" s="45" t="s">
        <v>44</v>
      </c>
      <c r="F530" s="44" t="s">
        <v>16</v>
      </c>
      <c r="G530" s="44" t="s">
        <v>17</v>
      </c>
      <c r="H530" s="44" t="s">
        <v>45</v>
      </c>
      <c r="I530" s="44" t="s">
        <v>46</v>
      </c>
      <c r="J530" s="44" t="s">
        <v>28</v>
      </c>
      <c r="K530" s="44" t="s">
        <v>45</v>
      </c>
      <c r="L530" s="44" t="s">
        <v>670</v>
      </c>
      <c r="M530" s="44" t="s">
        <v>229</v>
      </c>
      <c r="N530" s="44" t="s">
        <v>193</v>
      </c>
      <c r="O530" s="46" t="s">
        <v>49</v>
      </c>
      <c r="P530"/>
      <c r="Q530" s="4"/>
      <c r="R530" s="4"/>
      <c r="S530" s="4"/>
      <c r="T530" s="4"/>
      <c r="U530" s="4"/>
    </row>
    <row r="531" spans="2:21" ht="18" hidden="1" customHeight="1" thickTop="1" thickBot="1" x14ac:dyDescent="0.3">
      <c r="B531" s="43">
        <v>100021503</v>
      </c>
      <c r="C531" s="44" t="s">
        <v>673</v>
      </c>
      <c r="D531" s="45"/>
      <c r="E531" s="45" t="s">
        <v>44</v>
      </c>
      <c r="F531" s="44" t="s">
        <v>16</v>
      </c>
      <c r="G531" s="44" t="s">
        <v>17</v>
      </c>
      <c r="H531" s="44" t="s">
        <v>45</v>
      </c>
      <c r="I531" s="44" t="s">
        <v>46</v>
      </c>
      <c r="J531" s="44" t="s">
        <v>28</v>
      </c>
      <c r="K531" s="44" t="s">
        <v>45</v>
      </c>
      <c r="L531" s="44" t="s">
        <v>670</v>
      </c>
      <c r="M531" s="44" t="s">
        <v>57</v>
      </c>
      <c r="N531" s="44" t="s">
        <v>193</v>
      </c>
      <c r="O531" s="46" t="s">
        <v>49</v>
      </c>
      <c r="P531"/>
      <c r="Q531" s="4"/>
      <c r="R531" s="4"/>
      <c r="S531" s="4"/>
      <c r="T531" s="4"/>
      <c r="U531" s="4"/>
    </row>
    <row r="532" spans="2:21" thickTop="1" thickBot="1" x14ac:dyDescent="0.3">
      <c r="B532" s="43">
        <v>100021653</v>
      </c>
      <c r="C532" s="44" t="s">
        <v>674</v>
      </c>
      <c r="D532" s="45"/>
      <c r="E532" s="45" t="s">
        <v>44</v>
      </c>
      <c r="F532" s="44" t="s">
        <v>16</v>
      </c>
      <c r="G532" s="44" t="s">
        <v>17</v>
      </c>
      <c r="H532" s="44" t="s">
        <v>45</v>
      </c>
      <c r="I532" s="44" t="s">
        <v>46</v>
      </c>
      <c r="J532" s="44" t="s">
        <v>20</v>
      </c>
      <c r="K532" s="44" t="s">
        <v>45</v>
      </c>
      <c r="L532" s="44" t="s">
        <v>670</v>
      </c>
      <c r="M532" s="44" t="s">
        <v>675</v>
      </c>
      <c r="N532" s="44" t="s">
        <v>193</v>
      </c>
      <c r="O532" s="46" t="s">
        <v>49</v>
      </c>
      <c r="P532"/>
      <c r="Q532" s="4"/>
      <c r="R532" s="4"/>
      <c r="S532" s="4"/>
      <c r="T532" s="4"/>
      <c r="U532" s="4"/>
    </row>
    <row r="533" spans="2:21" hidden="1" thickTop="1" thickBot="1" x14ac:dyDescent="0.3">
      <c r="B533" s="43">
        <v>100021530</v>
      </c>
      <c r="C533" s="44" t="s">
        <v>676</v>
      </c>
      <c r="D533" s="45"/>
      <c r="E533" s="45" t="s">
        <v>15</v>
      </c>
      <c r="F533" s="44" t="s">
        <v>16</v>
      </c>
      <c r="G533" s="44" t="s">
        <v>17</v>
      </c>
      <c r="H533" s="44" t="s">
        <v>45</v>
      </c>
      <c r="I533" s="44" t="s">
        <v>46</v>
      </c>
      <c r="J533" s="44" t="s">
        <v>28</v>
      </c>
      <c r="K533" s="44" t="s">
        <v>45</v>
      </c>
      <c r="L533" s="44" t="s">
        <v>670</v>
      </c>
      <c r="M533" s="44" t="s">
        <v>675</v>
      </c>
      <c r="N533" s="44" t="s">
        <v>193</v>
      </c>
      <c r="O533" s="46" t="s">
        <v>49</v>
      </c>
      <c r="P533"/>
      <c r="Q533" s="4"/>
      <c r="R533" s="4"/>
      <c r="S533" s="4"/>
      <c r="T533" s="4"/>
      <c r="U533" s="4"/>
    </row>
    <row r="534" spans="2:21" ht="18" hidden="1" customHeight="1" thickTop="1" thickBot="1" x14ac:dyDescent="0.3">
      <c r="B534" s="43">
        <v>100021643</v>
      </c>
      <c r="C534" s="44" t="s">
        <v>677</v>
      </c>
      <c r="D534" s="45"/>
      <c r="E534" s="45" t="s">
        <v>44</v>
      </c>
      <c r="F534" s="44" t="s">
        <v>16</v>
      </c>
      <c r="G534" s="44" t="s">
        <v>17</v>
      </c>
      <c r="H534" s="44" t="s">
        <v>45</v>
      </c>
      <c r="I534" s="44" t="s">
        <v>46</v>
      </c>
      <c r="J534" s="44" t="s">
        <v>28</v>
      </c>
      <c r="K534" s="44" t="s">
        <v>45</v>
      </c>
      <c r="L534" s="44" t="s">
        <v>670</v>
      </c>
      <c r="M534" s="44" t="s">
        <v>671</v>
      </c>
      <c r="N534" s="44" t="s">
        <v>193</v>
      </c>
      <c r="O534" s="46" t="s">
        <v>49</v>
      </c>
      <c r="P534"/>
      <c r="Q534" s="4"/>
      <c r="R534" s="4"/>
      <c r="S534" s="4"/>
      <c r="T534" s="4"/>
      <c r="U534" s="4"/>
    </row>
    <row r="535" spans="2:21" ht="18" hidden="1" customHeight="1" thickTop="1" thickBot="1" x14ac:dyDescent="0.3">
      <c r="B535" s="43">
        <v>100021644</v>
      </c>
      <c r="C535" s="44" t="s">
        <v>678</v>
      </c>
      <c r="D535" s="45"/>
      <c r="E535" s="45" t="s">
        <v>44</v>
      </c>
      <c r="F535" s="44" t="s">
        <v>16</v>
      </c>
      <c r="G535" s="44" t="s">
        <v>17</v>
      </c>
      <c r="H535" s="44" t="s">
        <v>45</v>
      </c>
      <c r="I535" s="44" t="s">
        <v>46</v>
      </c>
      <c r="J535" s="44" t="s">
        <v>28</v>
      </c>
      <c r="K535" s="44" t="s">
        <v>45</v>
      </c>
      <c r="L535" s="44" t="s">
        <v>670</v>
      </c>
      <c r="M535" s="44" t="s">
        <v>229</v>
      </c>
      <c r="N535" s="44" t="s">
        <v>193</v>
      </c>
      <c r="O535" s="46" t="s">
        <v>49</v>
      </c>
      <c r="P535"/>
      <c r="Q535" s="4"/>
      <c r="R535" s="4"/>
      <c r="S535" s="4"/>
      <c r="T535" s="4"/>
      <c r="U535" s="4"/>
    </row>
    <row r="536" spans="2:21" ht="18" hidden="1" customHeight="1" thickTop="1" thickBot="1" x14ac:dyDescent="0.3">
      <c r="B536" s="43">
        <v>100518346</v>
      </c>
      <c r="C536" s="44" t="s">
        <v>679</v>
      </c>
      <c r="D536" s="45"/>
      <c r="E536" s="45" t="s">
        <v>44</v>
      </c>
      <c r="F536" s="44" t="s">
        <v>16</v>
      </c>
      <c r="G536" s="44" t="s">
        <v>17</v>
      </c>
      <c r="H536" s="44" t="s">
        <v>45</v>
      </c>
      <c r="I536" s="44" t="s">
        <v>46</v>
      </c>
      <c r="J536" s="44" t="s">
        <v>28</v>
      </c>
      <c r="K536" s="44" t="s">
        <v>45</v>
      </c>
      <c r="L536" s="44" t="s">
        <v>670</v>
      </c>
      <c r="M536" s="44" t="s">
        <v>675</v>
      </c>
      <c r="N536" s="44" t="s">
        <v>193</v>
      </c>
      <c r="O536" s="46" t="s">
        <v>49</v>
      </c>
      <c r="P536"/>
      <c r="Q536" s="4"/>
      <c r="R536" s="4"/>
      <c r="S536" s="4"/>
      <c r="T536" s="4"/>
      <c r="U536" s="4"/>
    </row>
    <row r="537" spans="2:21" ht="18" hidden="1" customHeight="1" thickTop="1" thickBot="1" x14ac:dyDescent="0.3">
      <c r="B537" s="43">
        <v>100021514</v>
      </c>
      <c r="C537" s="44" t="s">
        <v>680</v>
      </c>
      <c r="D537" s="45"/>
      <c r="E537" s="45" t="s">
        <v>44</v>
      </c>
      <c r="F537" s="44" t="s">
        <v>16</v>
      </c>
      <c r="G537" s="44" t="s">
        <v>17</v>
      </c>
      <c r="H537" s="44" t="s">
        <v>45</v>
      </c>
      <c r="I537" s="44" t="s">
        <v>46</v>
      </c>
      <c r="J537" s="44" t="s">
        <v>28</v>
      </c>
      <c r="K537" s="44" t="s">
        <v>45</v>
      </c>
      <c r="L537" s="44" t="s">
        <v>670</v>
      </c>
      <c r="M537" s="44" t="s">
        <v>57</v>
      </c>
      <c r="N537" s="44" t="s">
        <v>193</v>
      </c>
      <c r="O537" s="46" t="s">
        <v>49</v>
      </c>
      <c r="P537"/>
      <c r="Q537" s="4"/>
      <c r="R537" s="4"/>
      <c r="S537" s="4"/>
      <c r="T537" s="4"/>
      <c r="U537" s="4"/>
    </row>
    <row r="538" spans="2:21" ht="18" hidden="1" customHeight="1" thickTop="1" thickBot="1" x14ac:dyDescent="0.3">
      <c r="B538" s="43">
        <v>100516208</v>
      </c>
      <c r="C538" s="44" t="s">
        <v>681</v>
      </c>
      <c r="D538" s="45"/>
      <c r="E538" s="45" t="s">
        <v>44</v>
      </c>
      <c r="F538" s="44" t="s">
        <v>16</v>
      </c>
      <c r="G538" s="44" t="s">
        <v>17</v>
      </c>
      <c r="H538" s="44" t="s">
        <v>45</v>
      </c>
      <c r="I538" s="44" t="s">
        <v>46</v>
      </c>
      <c r="J538" s="44" t="s">
        <v>28</v>
      </c>
      <c r="K538" s="44" t="s">
        <v>45</v>
      </c>
      <c r="L538" s="44" t="s">
        <v>670</v>
      </c>
      <c r="M538" s="44" t="s">
        <v>675</v>
      </c>
      <c r="N538" s="44" t="s">
        <v>193</v>
      </c>
      <c r="O538" s="46" t="s">
        <v>49</v>
      </c>
      <c r="P538"/>
      <c r="Q538" s="4"/>
      <c r="R538" s="4"/>
      <c r="S538" s="4"/>
      <c r="T538" s="4"/>
      <c r="U538" s="4"/>
    </row>
    <row r="539" spans="2:21" ht="18" hidden="1" customHeight="1" thickTop="1" thickBot="1" x14ac:dyDescent="0.3">
      <c r="B539" s="43">
        <v>100516191</v>
      </c>
      <c r="C539" s="44" t="s">
        <v>682</v>
      </c>
      <c r="D539" s="45"/>
      <c r="E539" s="45" t="s">
        <v>44</v>
      </c>
      <c r="F539" s="44" t="s">
        <v>16</v>
      </c>
      <c r="G539" s="44" t="s">
        <v>17</v>
      </c>
      <c r="H539" s="44" t="s">
        <v>45</v>
      </c>
      <c r="I539" s="44" t="s">
        <v>46</v>
      </c>
      <c r="J539" s="44" t="s">
        <v>28</v>
      </c>
      <c r="K539" s="44" t="s">
        <v>45</v>
      </c>
      <c r="L539" s="44" t="s">
        <v>670</v>
      </c>
      <c r="M539" s="44" t="s">
        <v>683</v>
      </c>
      <c r="N539" s="44" t="s">
        <v>193</v>
      </c>
      <c r="O539" s="46" t="s">
        <v>49</v>
      </c>
      <c r="P539"/>
      <c r="Q539" s="4"/>
      <c r="R539" s="4"/>
      <c r="S539" s="4"/>
      <c r="T539" s="4"/>
      <c r="U539" s="4"/>
    </row>
    <row r="540" spans="2:21" ht="18" hidden="1" customHeight="1" thickTop="1" thickBot="1" x14ac:dyDescent="0.3">
      <c r="B540" s="43">
        <v>100516201</v>
      </c>
      <c r="C540" s="44" t="s">
        <v>684</v>
      </c>
      <c r="D540" s="45"/>
      <c r="E540" s="45" t="s">
        <v>44</v>
      </c>
      <c r="F540" s="44" t="s">
        <v>16</v>
      </c>
      <c r="G540" s="44" t="s">
        <v>17</v>
      </c>
      <c r="H540" s="44" t="s">
        <v>45</v>
      </c>
      <c r="I540" s="44" t="s">
        <v>46</v>
      </c>
      <c r="J540" s="44" t="s">
        <v>28</v>
      </c>
      <c r="K540" s="44" t="s">
        <v>45</v>
      </c>
      <c r="L540" s="44" t="s">
        <v>670</v>
      </c>
      <c r="M540" s="44" t="s">
        <v>671</v>
      </c>
      <c r="N540" s="44" t="s">
        <v>193</v>
      </c>
      <c r="O540" s="46" t="s">
        <v>49</v>
      </c>
      <c r="P540"/>
      <c r="Q540" s="4"/>
      <c r="R540" s="4"/>
      <c r="S540" s="4"/>
      <c r="T540" s="4"/>
      <c r="U540" s="4"/>
    </row>
    <row r="541" spans="2:21" ht="18" customHeight="1" thickTop="1" thickBot="1" x14ac:dyDescent="0.3">
      <c r="B541" s="43">
        <v>100521453</v>
      </c>
      <c r="C541" s="44" t="s">
        <v>685</v>
      </c>
      <c r="D541" s="45" t="s">
        <v>43</v>
      </c>
      <c r="E541" s="45" t="s">
        <v>44</v>
      </c>
      <c r="F541" s="44" t="s">
        <v>16</v>
      </c>
      <c r="G541" s="44" t="s">
        <v>17</v>
      </c>
      <c r="H541" s="44" t="s">
        <v>45</v>
      </c>
      <c r="I541" s="44" t="s">
        <v>46</v>
      </c>
      <c r="J541" s="44" t="s">
        <v>20</v>
      </c>
      <c r="K541" s="44" t="s">
        <v>686</v>
      </c>
      <c r="L541" s="44" t="s">
        <v>687</v>
      </c>
      <c r="M541" s="44" t="s">
        <v>688</v>
      </c>
      <c r="N541" s="44" t="s">
        <v>193</v>
      </c>
      <c r="O541" s="46" t="s">
        <v>49</v>
      </c>
      <c r="P541"/>
      <c r="Q541" s="4"/>
      <c r="R541" s="4"/>
      <c r="S541" s="4"/>
      <c r="T541" s="4"/>
      <c r="U541" s="4"/>
    </row>
    <row r="542" spans="2:21" ht="18" hidden="1" customHeight="1" thickTop="1" thickBot="1" x14ac:dyDescent="0.3">
      <c r="B542" s="43">
        <v>100520337</v>
      </c>
      <c r="C542" s="44" t="s">
        <v>689</v>
      </c>
      <c r="D542" s="45"/>
      <c r="E542" s="45" t="s">
        <v>44</v>
      </c>
      <c r="F542" s="44" t="s">
        <v>16</v>
      </c>
      <c r="G542" s="44" t="s">
        <v>17</v>
      </c>
      <c r="H542" s="44" t="s">
        <v>45</v>
      </c>
      <c r="I542" s="44" t="s">
        <v>46</v>
      </c>
      <c r="J542" s="44" t="s">
        <v>28</v>
      </c>
      <c r="K542" s="44" t="s">
        <v>45</v>
      </c>
      <c r="L542" s="44" t="s">
        <v>670</v>
      </c>
      <c r="M542" s="44" t="s">
        <v>671</v>
      </c>
      <c r="N542" s="44" t="s">
        <v>193</v>
      </c>
      <c r="O542" s="46" t="s">
        <v>49</v>
      </c>
      <c r="P542"/>
      <c r="Q542" s="4"/>
      <c r="R542" s="4"/>
      <c r="S542" s="4"/>
      <c r="T542" s="4"/>
      <c r="U542" s="4"/>
    </row>
    <row r="543" spans="2:21" hidden="1" thickTop="1" thickBot="1" x14ac:dyDescent="0.3">
      <c r="B543" s="43">
        <v>100521173</v>
      </c>
      <c r="C543" s="44" t="s">
        <v>690</v>
      </c>
      <c r="D543" s="45"/>
      <c r="E543" s="45" t="s">
        <v>44</v>
      </c>
      <c r="F543" s="44" t="s">
        <v>16</v>
      </c>
      <c r="G543" s="44" t="s">
        <v>17</v>
      </c>
      <c r="H543" s="44" t="s">
        <v>45</v>
      </c>
      <c r="I543" s="44" t="s">
        <v>46</v>
      </c>
      <c r="J543" s="44" t="s">
        <v>28</v>
      </c>
      <c r="K543" s="44" t="s">
        <v>45</v>
      </c>
      <c r="L543" s="44" t="s">
        <v>670</v>
      </c>
      <c r="M543" s="44" t="s">
        <v>683</v>
      </c>
      <c r="N543" s="44" t="s">
        <v>193</v>
      </c>
      <c r="O543" s="46" t="s">
        <v>49</v>
      </c>
      <c r="P543"/>
      <c r="Q543" s="4"/>
      <c r="R543" s="4"/>
      <c r="S543" s="4"/>
      <c r="T543" s="4"/>
      <c r="U543" s="4"/>
    </row>
    <row r="544" spans="2:21" thickTop="1" thickBot="1" x14ac:dyDescent="0.3">
      <c r="B544" s="43">
        <v>100521454</v>
      </c>
      <c r="C544" s="44" t="s">
        <v>691</v>
      </c>
      <c r="D544" s="45" t="s">
        <v>43</v>
      </c>
      <c r="E544" s="45" t="s">
        <v>44</v>
      </c>
      <c r="F544" s="44" t="s">
        <v>16</v>
      </c>
      <c r="G544" s="44" t="s">
        <v>17</v>
      </c>
      <c r="H544" s="44" t="s">
        <v>45</v>
      </c>
      <c r="I544" s="44" t="s">
        <v>46</v>
      </c>
      <c r="J544" s="44" t="s">
        <v>20</v>
      </c>
      <c r="K544" s="44" t="s">
        <v>686</v>
      </c>
      <c r="L544" s="44" t="s">
        <v>691</v>
      </c>
      <c r="M544" s="44" t="s">
        <v>688</v>
      </c>
      <c r="N544" s="44" t="s">
        <v>193</v>
      </c>
      <c r="O544" s="46" t="s">
        <v>49</v>
      </c>
      <c r="P544"/>
      <c r="Q544" s="4"/>
      <c r="R544" s="4"/>
      <c r="S544" s="4"/>
      <c r="T544" s="4"/>
      <c r="U544" s="4"/>
    </row>
    <row r="545" spans="2:21" ht="18" hidden="1" customHeight="1" thickTop="1" thickBot="1" x14ac:dyDescent="0.3">
      <c r="B545" s="43">
        <v>100021626</v>
      </c>
      <c r="C545" s="44" t="s">
        <v>692</v>
      </c>
      <c r="D545" s="45" t="s">
        <v>43</v>
      </c>
      <c r="E545" s="45" t="s">
        <v>44</v>
      </c>
      <c r="F545" s="44" t="s">
        <v>228</v>
      </c>
      <c r="G545" s="44" t="s">
        <v>17</v>
      </c>
      <c r="H545" s="44" t="s">
        <v>45</v>
      </c>
      <c r="I545" s="44" t="s">
        <v>46</v>
      </c>
      <c r="J545" s="44" t="s">
        <v>28</v>
      </c>
      <c r="K545" s="44" t="s">
        <v>45</v>
      </c>
      <c r="L545" s="44" t="s">
        <v>670</v>
      </c>
      <c r="M545" s="44" t="s">
        <v>693</v>
      </c>
      <c r="N545" s="44" t="s">
        <v>193</v>
      </c>
      <c r="O545" s="46" t="s">
        <v>49</v>
      </c>
      <c r="P545"/>
      <c r="Q545" s="4"/>
      <c r="R545" s="4"/>
      <c r="S545" s="4"/>
      <c r="T545" s="4"/>
      <c r="U545" s="4"/>
    </row>
    <row r="546" spans="2:21" ht="18" hidden="1" customHeight="1" thickTop="1" thickBot="1" x14ac:dyDescent="0.3">
      <c r="B546" s="43">
        <v>100517679</v>
      </c>
      <c r="C546" s="44" t="s">
        <v>694</v>
      </c>
      <c r="D546" s="45" t="s">
        <v>43</v>
      </c>
      <c r="E546" s="45" t="s">
        <v>44</v>
      </c>
      <c r="F546" s="44" t="s">
        <v>16</v>
      </c>
      <c r="G546" s="44" t="s">
        <v>17</v>
      </c>
      <c r="H546" s="44" t="s">
        <v>45</v>
      </c>
      <c r="I546" s="44" t="s">
        <v>46</v>
      </c>
      <c r="J546" s="44" t="s">
        <v>28</v>
      </c>
      <c r="K546" s="44" t="s">
        <v>223</v>
      </c>
      <c r="L546" s="44" t="s">
        <v>695</v>
      </c>
      <c r="M546" s="44" t="s">
        <v>57</v>
      </c>
      <c r="N546" s="44" t="s">
        <v>193</v>
      </c>
      <c r="O546" s="46" t="s">
        <v>49</v>
      </c>
      <c r="P546"/>
      <c r="Q546" s="4"/>
      <c r="R546" s="4"/>
      <c r="S546" s="4"/>
      <c r="T546" s="4"/>
      <c r="U546" s="4"/>
    </row>
    <row r="547" spans="2:21" hidden="1" thickTop="1" thickBot="1" x14ac:dyDescent="0.3">
      <c r="B547" s="43">
        <v>100516259</v>
      </c>
      <c r="C547" s="44" t="s">
        <v>696</v>
      </c>
      <c r="D547" s="45"/>
      <c r="E547" s="45" t="s">
        <v>44</v>
      </c>
      <c r="F547" s="44" t="s">
        <v>16</v>
      </c>
      <c r="G547" s="44" t="s">
        <v>17</v>
      </c>
      <c r="H547" s="44" t="s">
        <v>45</v>
      </c>
      <c r="I547" s="44" t="s">
        <v>46</v>
      </c>
      <c r="J547" s="44" t="s">
        <v>28</v>
      </c>
      <c r="K547" s="44" t="s">
        <v>45</v>
      </c>
      <c r="L547" s="44" t="s">
        <v>670</v>
      </c>
      <c r="M547" s="44" t="s">
        <v>57</v>
      </c>
      <c r="N547" s="44" t="s">
        <v>193</v>
      </c>
      <c r="O547" s="46" t="s">
        <v>49</v>
      </c>
      <c r="P547"/>
      <c r="Q547" s="4"/>
      <c r="R547" s="4"/>
      <c r="S547" s="4"/>
      <c r="T547" s="4"/>
      <c r="U547" s="4"/>
    </row>
    <row r="548" spans="2:21" hidden="1" thickTop="1" thickBot="1" x14ac:dyDescent="0.3">
      <c r="B548" s="43">
        <v>100021673</v>
      </c>
      <c r="C548" s="44" t="s">
        <v>697</v>
      </c>
      <c r="D548" s="45" t="s">
        <v>212</v>
      </c>
      <c r="E548" s="45" t="s">
        <v>44</v>
      </c>
      <c r="F548" s="44" t="s">
        <v>16</v>
      </c>
      <c r="G548" s="44" t="s">
        <v>17</v>
      </c>
      <c r="H548" s="44" t="s">
        <v>45</v>
      </c>
      <c r="I548" s="44" t="s">
        <v>46</v>
      </c>
      <c r="J548" s="44" t="s">
        <v>28</v>
      </c>
      <c r="K548" s="44" t="s">
        <v>45</v>
      </c>
      <c r="L548" s="44" t="s">
        <v>670</v>
      </c>
      <c r="M548" s="44" t="s">
        <v>62</v>
      </c>
      <c r="N548" s="44" t="s">
        <v>193</v>
      </c>
      <c r="O548" s="46" t="s">
        <v>49</v>
      </c>
      <c r="P548"/>
      <c r="Q548" s="4"/>
      <c r="R548" s="4"/>
      <c r="S548" s="4"/>
      <c r="T548" s="4"/>
      <c r="U548" s="4"/>
    </row>
    <row r="549" spans="2:21" ht="18" hidden="1" customHeight="1" thickTop="1" thickBot="1" x14ac:dyDescent="0.3">
      <c r="B549" s="43">
        <v>100021675</v>
      </c>
      <c r="C549" s="44" t="s">
        <v>698</v>
      </c>
      <c r="D549" s="45" t="s">
        <v>212</v>
      </c>
      <c r="E549" s="45" t="s">
        <v>44</v>
      </c>
      <c r="F549" s="44" t="s">
        <v>16</v>
      </c>
      <c r="G549" s="44" t="s">
        <v>17</v>
      </c>
      <c r="H549" s="44" t="s">
        <v>45</v>
      </c>
      <c r="I549" s="44" t="s">
        <v>46</v>
      </c>
      <c r="J549" s="44" t="s">
        <v>28</v>
      </c>
      <c r="K549" s="44" t="s">
        <v>45</v>
      </c>
      <c r="L549" s="44" t="s">
        <v>670</v>
      </c>
      <c r="M549" s="44" t="s">
        <v>62</v>
      </c>
      <c r="N549" s="44" t="s">
        <v>193</v>
      </c>
      <c r="O549" s="46" t="s">
        <v>49</v>
      </c>
      <c r="P549"/>
      <c r="Q549" s="4"/>
      <c r="R549" s="4"/>
      <c r="S549" s="4"/>
      <c r="T549" s="4"/>
      <c r="U549" s="4"/>
    </row>
    <row r="550" spans="2:21" ht="18" hidden="1" customHeight="1" thickTop="1" thickBot="1" x14ac:dyDescent="0.3">
      <c r="B550" s="43">
        <v>100521349</v>
      </c>
      <c r="C550" s="44" t="s">
        <v>699</v>
      </c>
      <c r="D550" s="45"/>
      <c r="E550" s="45" t="str">
        <f>IF(ISERR(FIND("CUBA",PRODUCTO_MI_AR68[[#This Row],[NOM PRODUCTO]])),"","ME")</f>
        <v>ME</v>
      </c>
      <c r="F550" s="44" t="s">
        <v>228</v>
      </c>
      <c r="G550" s="44" t="s">
        <v>17</v>
      </c>
      <c r="H550" s="44" t="s">
        <v>45</v>
      </c>
      <c r="I550" s="44" t="s">
        <v>46</v>
      </c>
      <c r="J550" s="44" t="s">
        <v>28</v>
      </c>
      <c r="K550" s="44" t="s">
        <v>45</v>
      </c>
      <c r="L550" s="44" t="s">
        <v>670</v>
      </c>
      <c r="M550" s="44" t="s">
        <v>700</v>
      </c>
      <c r="N550" s="44" t="s">
        <v>193</v>
      </c>
      <c r="O550" s="46" t="s">
        <v>49</v>
      </c>
      <c r="P550"/>
      <c r="Q550" s="4"/>
      <c r="R550" s="4"/>
      <c r="S550" s="4"/>
      <c r="T550" s="4"/>
      <c r="U550" s="4"/>
    </row>
    <row r="551" spans="2:21" hidden="1" thickTop="1" thickBot="1" x14ac:dyDescent="0.3">
      <c r="B551" s="43">
        <v>100523046</v>
      </c>
      <c r="C551" s="44" t="s">
        <v>701</v>
      </c>
      <c r="D551" s="45"/>
      <c r="E551" s="45" t="s">
        <v>44</v>
      </c>
      <c r="F551" s="44" t="s">
        <v>16</v>
      </c>
      <c r="G551" s="44" t="s">
        <v>17</v>
      </c>
      <c r="H551" s="44" t="s">
        <v>45</v>
      </c>
      <c r="I551" s="44" t="s">
        <v>46</v>
      </c>
      <c r="J551" s="44" t="s">
        <v>28</v>
      </c>
      <c r="K551" s="44" t="s">
        <v>45</v>
      </c>
      <c r="L551" s="44" t="s">
        <v>670</v>
      </c>
      <c r="M551" s="44" t="s">
        <v>702</v>
      </c>
      <c r="N551" s="44" t="s">
        <v>193</v>
      </c>
      <c r="O551" s="46" t="s">
        <v>49</v>
      </c>
      <c r="P551"/>
      <c r="Q551" s="4"/>
      <c r="R551" s="4"/>
      <c r="S551" s="4"/>
      <c r="T551" s="4"/>
      <c r="U551" s="4"/>
    </row>
    <row r="552" spans="2:21" thickTop="1" thickBot="1" x14ac:dyDescent="0.3">
      <c r="B552" s="43">
        <v>100516169</v>
      </c>
      <c r="C552" s="44" t="s">
        <v>703</v>
      </c>
      <c r="D552" s="45"/>
      <c r="E552" s="45" t="s">
        <v>44</v>
      </c>
      <c r="F552" s="44" t="s">
        <v>16</v>
      </c>
      <c r="G552" s="44" t="s">
        <v>17</v>
      </c>
      <c r="H552" s="44" t="s">
        <v>45</v>
      </c>
      <c r="I552" s="44" t="s">
        <v>46</v>
      </c>
      <c r="J552" s="44" t="s">
        <v>20</v>
      </c>
      <c r="K552" s="44" t="s">
        <v>45</v>
      </c>
      <c r="L552" s="44" t="s">
        <v>670</v>
      </c>
      <c r="M552" s="44" t="s">
        <v>57</v>
      </c>
      <c r="N552" s="44" t="s">
        <v>193</v>
      </c>
      <c r="O552" s="46" t="s">
        <v>49</v>
      </c>
      <c r="P552"/>
      <c r="Q552" s="4"/>
      <c r="R552" s="4"/>
      <c r="S552" s="4"/>
      <c r="T552" s="4"/>
      <c r="U552" s="4"/>
    </row>
    <row r="553" spans="2:21" hidden="1" thickTop="1" thickBot="1" x14ac:dyDescent="0.3">
      <c r="B553" s="43">
        <v>100021575</v>
      </c>
      <c r="C553" s="44" t="s">
        <v>704</v>
      </c>
      <c r="D553" s="45"/>
      <c r="E553" s="45" t="s">
        <v>44</v>
      </c>
      <c r="F553" s="44" t="s">
        <v>16</v>
      </c>
      <c r="G553" s="44" t="s">
        <v>17</v>
      </c>
      <c r="H553" s="44" t="s">
        <v>45</v>
      </c>
      <c r="I553" s="44" t="s">
        <v>46</v>
      </c>
      <c r="J553" s="44" t="s">
        <v>28</v>
      </c>
      <c r="K553" s="44" t="s">
        <v>45</v>
      </c>
      <c r="L553" s="44" t="s">
        <v>670</v>
      </c>
      <c r="M553" s="44" t="s">
        <v>675</v>
      </c>
      <c r="N553" s="44" t="s">
        <v>193</v>
      </c>
      <c r="O553" s="46" t="s">
        <v>49</v>
      </c>
      <c r="P553"/>
      <c r="Q553" s="4"/>
      <c r="R553" s="4"/>
      <c r="S553" s="4"/>
      <c r="T553" s="4"/>
      <c r="U553" s="4"/>
    </row>
    <row r="554" spans="2:21" hidden="1" thickTop="1" thickBot="1" x14ac:dyDescent="0.3">
      <c r="B554" s="43">
        <v>100021638</v>
      </c>
      <c r="C554" s="44" t="s">
        <v>705</v>
      </c>
      <c r="D554" s="45"/>
      <c r="E554" s="45" t="s">
        <v>44</v>
      </c>
      <c r="F554" s="44" t="s">
        <v>16</v>
      </c>
      <c r="G554" s="44" t="s">
        <v>17</v>
      </c>
      <c r="H554" s="44" t="s">
        <v>45</v>
      </c>
      <c r="I554" s="44" t="s">
        <v>46</v>
      </c>
      <c r="J554" s="44" t="s">
        <v>28</v>
      </c>
      <c r="K554" s="44" t="s">
        <v>45</v>
      </c>
      <c r="L554" s="44" t="s">
        <v>670</v>
      </c>
      <c r="M554" s="44" t="s">
        <v>675</v>
      </c>
      <c r="N554" s="44" t="s">
        <v>193</v>
      </c>
      <c r="O554" s="46" t="s">
        <v>49</v>
      </c>
      <c r="P554"/>
      <c r="Q554" s="4"/>
      <c r="R554" s="4"/>
      <c r="S554" s="4"/>
      <c r="T554" s="4"/>
      <c r="U554" s="4"/>
    </row>
    <row r="555" spans="2:21" hidden="1" thickTop="1" thickBot="1" x14ac:dyDescent="0.3">
      <c r="B555" s="43">
        <v>100021627</v>
      </c>
      <c r="C555" s="44" t="s">
        <v>706</v>
      </c>
      <c r="D555" s="45" t="s">
        <v>43</v>
      </c>
      <c r="E555" s="45" t="s">
        <v>44</v>
      </c>
      <c r="F555" s="44" t="s">
        <v>228</v>
      </c>
      <c r="G555" s="44" t="s">
        <v>17</v>
      </c>
      <c r="H555" s="44" t="s">
        <v>45</v>
      </c>
      <c r="I555" s="44" t="s">
        <v>46</v>
      </c>
      <c r="J555" s="44" t="s">
        <v>28</v>
      </c>
      <c r="K555" s="44" t="s">
        <v>45</v>
      </c>
      <c r="L555" s="44" t="s">
        <v>670</v>
      </c>
      <c r="M555" s="44" t="s">
        <v>693</v>
      </c>
      <c r="N555" s="44" t="s">
        <v>193</v>
      </c>
      <c r="O555" s="46" t="s">
        <v>49</v>
      </c>
      <c r="P555"/>
      <c r="Q555" s="4"/>
      <c r="R555" s="4"/>
      <c r="S555" s="4"/>
      <c r="T555" s="4"/>
      <c r="U555" s="4"/>
    </row>
    <row r="556" spans="2:21" hidden="1" thickTop="1" thickBot="1" x14ac:dyDescent="0.3">
      <c r="B556" s="43">
        <v>100522146</v>
      </c>
      <c r="C556" s="44" t="s">
        <v>707</v>
      </c>
      <c r="D556" s="45" t="s">
        <v>43</v>
      </c>
      <c r="E556" s="45" t="s">
        <v>44</v>
      </c>
      <c r="F556" s="44" t="s">
        <v>16</v>
      </c>
      <c r="G556" s="44" t="s">
        <v>17</v>
      </c>
      <c r="H556" s="44" t="s">
        <v>213</v>
      </c>
      <c r="I556" s="44" t="s">
        <v>46</v>
      </c>
      <c r="J556" s="44" t="s">
        <v>28</v>
      </c>
      <c r="K556" s="44" t="s">
        <v>223</v>
      </c>
      <c r="L556" s="44" t="s">
        <v>695</v>
      </c>
      <c r="M556" s="44" t="s">
        <v>516</v>
      </c>
      <c r="N556" s="44" t="s">
        <v>193</v>
      </c>
      <c r="O556" s="46" t="s">
        <v>49</v>
      </c>
      <c r="P556"/>
      <c r="Q556" s="4"/>
      <c r="R556" s="4"/>
      <c r="S556" s="4"/>
      <c r="T556" s="4"/>
      <c r="U556" s="4"/>
    </row>
    <row r="557" spans="2:21" thickTop="1" thickBot="1" x14ac:dyDescent="0.3">
      <c r="B557" s="43">
        <v>100021728</v>
      </c>
      <c r="C557" s="44" t="s">
        <v>708</v>
      </c>
      <c r="D557" s="45" t="s">
        <v>43</v>
      </c>
      <c r="E557" s="45" t="s">
        <v>44</v>
      </c>
      <c r="F557" s="44" t="s">
        <v>16</v>
      </c>
      <c r="G557" s="44" t="s">
        <v>17</v>
      </c>
      <c r="H557" s="44" t="s">
        <v>213</v>
      </c>
      <c r="I557" s="44" t="s">
        <v>46</v>
      </c>
      <c r="J557" s="44" t="s">
        <v>20</v>
      </c>
      <c r="K557" s="44" t="s">
        <v>223</v>
      </c>
      <c r="L557" s="44" t="s">
        <v>695</v>
      </c>
      <c r="M557" s="44" t="s">
        <v>57</v>
      </c>
      <c r="N557" s="44" t="s">
        <v>193</v>
      </c>
      <c r="O557" s="46" t="s">
        <v>49</v>
      </c>
      <c r="P557"/>
      <c r="Q557" s="4"/>
      <c r="R557" s="4"/>
      <c r="S557" s="4"/>
      <c r="T557" s="4"/>
      <c r="U557" s="4"/>
    </row>
    <row r="558" spans="2:21" hidden="1" thickTop="1" thickBot="1" x14ac:dyDescent="0.3">
      <c r="B558" s="43">
        <v>100517521</v>
      </c>
      <c r="C558" s="44" t="s">
        <v>708</v>
      </c>
      <c r="D558" s="45" t="s">
        <v>43</v>
      </c>
      <c r="E558" s="45" t="s">
        <v>44</v>
      </c>
      <c r="F558" s="44" t="s">
        <v>16</v>
      </c>
      <c r="G558" s="44" t="s">
        <v>17</v>
      </c>
      <c r="H558" s="44" t="s">
        <v>213</v>
      </c>
      <c r="I558" s="44" t="s">
        <v>46</v>
      </c>
      <c r="J558" s="44" t="s">
        <v>28</v>
      </c>
      <c r="K558" s="44" t="s">
        <v>223</v>
      </c>
      <c r="L558" s="44" t="s">
        <v>695</v>
      </c>
      <c r="M558" s="44" t="s">
        <v>57</v>
      </c>
      <c r="N558" s="44" t="s">
        <v>193</v>
      </c>
      <c r="O558" s="46" t="s">
        <v>49</v>
      </c>
      <c r="P558"/>
      <c r="Q558" s="4"/>
      <c r="R558" s="4"/>
      <c r="S558" s="4"/>
      <c r="T558" s="4"/>
      <c r="U558" s="4"/>
    </row>
    <row r="559" spans="2:21" hidden="1" thickTop="1" thickBot="1" x14ac:dyDescent="0.3">
      <c r="B559" s="43">
        <v>100519470</v>
      </c>
      <c r="C559" s="44" t="s">
        <v>709</v>
      </c>
      <c r="D559" s="45"/>
      <c r="E559" s="45" t="str">
        <f>IF(ISERR(FIND("CLL",PRODUCTO_MI_AR68[[#This Row],[NOM PRODUCTO]])),"","ME")</f>
        <v>ME</v>
      </c>
      <c r="F559" s="44" t="s">
        <v>16</v>
      </c>
      <c r="G559" s="44" t="s">
        <v>17</v>
      </c>
      <c r="H559" s="44" t="s">
        <v>18</v>
      </c>
      <c r="I559" s="44" t="s">
        <v>101</v>
      </c>
      <c r="J559" s="44" t="s">
        <v>20</v>
      </c>
      <c r="K559" s="44" t="s">
        <v>201</v>
      </c>
      <c r="L559" s="44" t="s">
        <v>710</v>
      </c>
      <c r="M559" s="44" t="s">
        <v>22</v>
      </c>
      <c r="N559" s="44" t="s">
        <v>23</v>
      </c>
      <c r="O559" s="46" t="s">
        <v>24</v>
      </c>
      <c r="P559"/>
      <c r="Q559" s="4"/>
      <c r="R559" s="4"/>
      <c r="S559" s="4"/>
      <c r="T559" s="4"/>
      <c r="U559" s="4"/>
    </row>
    <row r="560" spans="2:21" hidden="1" thickTop="1" thickBot="1" x14ac:dyDescent="0.3">
      <c r="B560" s="43">
        <v>100517644</v>
      </c>
      <c r="C560" s="44" t="s">
        <v>711</v>
      </c>
      <c r="D560" s="45"/>
      <c r="E560" s="45" t="str">
        <f>IF(ISERR(FIND("CLL",PRODUCTO_MI_AR68[[#This Row],[NOM PRODUCTO]])),"","ME")</f>
        <v>ME</v>
      </c>
      <c r="F560" s="44" t="s">
        <v>16</v>
      </c>
      <c r="G560" s="44" t="s">
        <v>17</v>
      </c>
      <c r="H560" s="44" t="s">
        <v>18</v>
      </c>
      <c r="I560" s="44" t="s">
        <v>101</v>
      </c>
      <c r="J560" s="44" t="s">
        <v>20</v>
      </c>
      <c r="K560" s="44" t="s">
        <v>201</v>
      </c>
      <c r="L560" s="44" t="s">
        <v>710</v>
      </c>
      <c r="M560" s="44" t="s">
        <v>22</v>
      </c>
      <c r="N560" s="44" t="s">
        <v>23</v>
      </c>
      <c r="O560" s="46" t="s">
        <v>24</v>
      </c>
      <c r="P560"/>
      <c r="Q560" s="4"/>
      <c r="R560" s="4"/>
      <c r="S560" s="4"/>
      <c r="T560" s="4"/>
      <c r="U560" s="4"/>
    </row>
    <row r="561" spans="2:21" ht="18" hidden="1" customHeight="1" thickTop="1" thickBot="1" x14ac:dyDescent="0.3">
      <c r="B561" s="43">
        <v>100016158</v>
      </c>
      <c r="C561" s="44" t="s">
        <v>712</v>
      </c>
      <c r="D561" s="45"/>
      <c r="E561" s="45" t="s">
        <v>44</v>
      </c>
      <c r="F561" s="44" t="s">
        <v>16</v>
      </c>
      <c r="G561" s="44" t="s">
        <v>17</v>
      </c>
      <c r="H561" s="44" t="s">
        <v>18</v>
      </c>
      <c r="I561" s="44" t="s">
        <v>97</v>
      </c>
      <c r="J561" s="44" t="s">
        <v>28</v>
      </c>
      <c r="K561" s="44" t="s">
        <v>98</v>
      </c>
      <c r="L561" s="44" t="s">
        <v>713</v>
      </c>
      <c r="M561" s="44" t="s">
        <v>62</v>
      </c>
      <c r="N561" s="44" t="str">
        <f>IF(ISERR(FIND("CONG",PRODUCTO_MI_AR68[[#This Row],[NOM PRODUCTO]])),"","CONGELADO")</f>
        <v>CONGELADO</v>
      </c>
      <c r="O561" s="46" t="s">
        <v>98</v>
      </c>
      <c r="P561"/>
      <c r="Q561" s="4"/>
      <c r="R561" s="4"/>
      <c r="S561" s="4"/>
      <c r="T561" s="4"/>
      <c r="U561" s="4"/>
    </row>
    <row r="562" spans="2:21" hidden="1" thickTop="1" thickBot="1" x14ac:dyDescent="0.3">
      <c r="B562" s="43">
        <v>100519006</v>
      </c>
      <c r="C562" s="44" t="s">
        <v>714</v>
      </c>
      <c r="D562" s="45"/>
      <c r="E562" s="45" t="s">
        <v>15</v>
      </c>
      <c r="F562" s="44" t="s">
        <v>16</v>
      </c>
      <c r="G562" s="44" t="s">
        <v>17</v>
      </c>
      <c r="H562" s="44" t="s">
        <v>18</v>
      </c>
      <c r="I562" s="44" t="s">
        <v>319</v>
      </c>
      <c r="J562" s="44" t="s">
        <v>28</v>
      </c>
      <c r="K562" s="44" t="s">
        <v>320</v>
      </c>
      <c r="L562" s="44" t="s">
        <v>715</v>
      </c>
      <c r="M562" s="44" t="s">
        <v>29</v>
      </c>
      <c r="N562" s="44" t="str">
        <f>IF(ISERR(FIND("CONG",PRODUCTO_MI_AR68[[#This Row],[NOM PRODUCTO]])),"","CONGELADO")</f>
        <v>CONGELADO</v>
      </c>
      <c r="O562" s="46" t="s">
        <v>24</v>
      </c>
      <c r="P562"/>
      <c r="Q562" s="4"/>
      <c r="R562" s="4"/>
      <c r="S562" s="4"/>
      <c r="T562" s="4"/>
      <c r="U562" s="4"/>
    </row>
    <row r="563" spans="2:21" hidden="1" thickTop="1" thickBot="1" x14ac:dyDescent="0.3">
      <c r="B563" s="43">
        <v>100518160</v>
      </c>
      <c r="C563" s="44" t="s">
        <v>716</v>
      </c>
      <c r="D563" s="45" t="s">
        <v>43</v>
      </c>
      <c r="E563" s="45" t="s">
        <v>44</v>
      </c>
      <c r="F563" s="44" t="s">
        <v>16</v>
      </c>
      <c r="G563" s="44" t="s">
        <v>17</v>
      </c>
      <c r="H563" s="44" t="s">
        <v>213</v>
      </c>
      <c r="I563" s="44" t="s">
        <v>46</v>
      </c>
      <c r="J563" s="44" t="s">
        <v>28</v>
      </c>
      <c r="K563" s="44" t="s">
        <v>717</v>
      </c>
      <c r="L563" s="44" t="s">
        <v>718</v>
      </c>
      <c r="M563" s="44" t="s">
        <v>57</v>
      </c>
      <c r="N563" s="44" t="str">
        <f>IF(ISERR(FIND("CONG",PRODUCTO_MI_AR68[[#This Row],[NOM PRODUCTO]])),"","CONGELADO")</f>
        <v>CONGELADO</v>
      </c>
      <c r="O563" s="46" t="s">
        <v>49</v>
      </c>
      <c r="P563"/>
      <c r="Q563" s="4"/>
      <c r="R563" s="4"/>
      <c r="S563" s="4"/>
      <c r="T563" s="4"/>
      <c r="U563" s="4"/>
    </row>
    <row r="564" spans="2:21" hidden="1" thickTop="1" thickBot="1" x14ac:dyDescent="0.3">
      <c r="B564" s="43">
        <v>100518158</v>
      </c>
      <c r="C564" s="44" t="s">
        <v>719</v>
      </c>
      <c r="D564" s="45" t="s">
        <v>43</v>
      </c>
      <c r="E564" s="45" t="s">
        <v>44</v>
      </c>
      <c r="F564" s="44" t="s">
        <v>16</v>
      </c>
      <c r="G564" s="44" t="s">
        <v>17</v>
      </c>
      <c r="H564" s="44" t="s">
        <v>213</v>
      </c>
      <c r="I564" s="44" t="s">
        <v>46</v>
      </c>
      <c r="J564" s="44" t="s">
        <v>28</v>
      </c>
      <c r="K564" s="44" t="s">
        <v>717</v>
      </c>
      <c r="L564" s="44" t="s">
        <v>718</v>
      </c>
      <c r="M564" s="44" t="s">
        <v>57</v>
      </c>
      <c r="N564" s="44" t="str">
        <f>IF(ISERR(FIND("CONG",PRODUCTO_MI_AR68[[#This Row],[NOM PRODUCTO]])),"","CONGELADO")</f>
        <v>CONGELADO</v>
      </c>
      <c r="O564" s="46" t="s">
        <v>49</v>
      </c>
      <c r="P564"/>
      <c r="Q564" s="4"/>
      <c r="R564" s="4"/>
      <c r="S564" s="4"/>
      <c r="T564" s="4"/>
      <c r="U564" s="4"/>
    </row>
    <row r="565" spans="2:21" hidden="1" thickTop="1" thickBot="1" x14ac:dyDescent="0.3">
      <c r="B565" s="43">
        <v>100518196</v>
      </c>
      <c r="C565" s="44" t="s">
        <v>720</v>
      </c>
      <c r="D565" s="45" t="s">
        <v>212</v>
      </c>
      <c r="E565" s="45" t="s">
        <v>44</v>
      </c>
      <c r="F565" s="44" t="s">
        <v>16</v>
      </c>
      <c r="G565" s="44" t="s">
        <v>17</v>
      </c>
      <c r="H565" s="44" t="s">
        <v>213</v>
      </c>
      <c r="I565" s="44" t="s">
        <v>46</v>
      </c>
      <c r="J565" s="44" t="s">
        <v>28</v>
      </c>
      <c r="K565" s="44" t="s">
        <v>717</v>
      </c>
      <c r="L565" s="44" t="s">
        <v>721</v>
      </c>
      <c r="M565" s="44" t="s">
        <v>57</v>
      </c>
      <c r="N565" s="44" t="s">
        <v>193</v>
      </c>
      <c r="O565" s="46" t="s">
        <v>49</v>
      </c>
      <c r="P565"/>
      <c r="Q565" s="4"/>
      <c r="R565" s="4"/>
      <c r="S565" s="4"/>
      <c r="T565" s="4"/>
      <c r="U565" s="4"/>
    </row>
    <row r="566" spans="2:21" hidden="1" thickTop="1" thickBot="1" x14ac:dyDescent="0.3">
      <c r="B566" s="43">
        <v>100518275</v>
      </c>
      <c r="C566" s="44" t="s">
        <v>722</v>
      </c>
      <c r="D566" s="45" t="s">
        <v>43</v>
      </c>
      <c r="E566" s="45" t="s">
        <v>44</v>
      </c>
      <c r="F566" s="44" t="s">
        <v>16</v>
      </c>
      <c r="G566" s="44" t="s">
        <v>17</v>
      </c>
      <c r="H566" s="44" t="s">
        <v>213</v>
      </c>
      <c r="I566" s="44" t="s">
        <v>46</v>
      </c>
      <c r="J566" s="44" t="s">
        <v>28</v>
      </c>
      <c r="K566" s="44" t="s">
        <v>717</v>
      </c>
      <c r="L566" s="44" t="s">
        <v>718</v>
      </c>
      <c r="M566" s="44" t="s">
        <v>57</v>
      </c>
      <c r="N566" s="44" t="str">
        <f>IF(ISERR(FIND("CONG",PRODUCTO_MI_AR68[[#This Row],[NOM PRODUCTO]])),"","CONGELADO")</f>
        <v>CONGELADO</v>
      </c>
      <c r="O566" s="46" t="s">
        <v>49</v>
      </c>
      <c r="P566"/>
      <c r="Q566" s="4"/>
      <c r="R566" s="4"/>
      <c r="S566" s="4"/>
      <c r="T566" s="4"/>
      <c r="U566" s="4"/>
    </row>
    <row r="567" spans="2:21" hidden="1" thickTop="1" thickBot="1" x14ac:dyDescent="0.3">
      <c r="B567" s="43">
        <v>100518427</v>
      </c>
      <c r="C567" s="44" t="s">
        <v>723</v>
      </c>
      <c r="D567" s="45"/>
      <c r="E567" s="45" t="s">
        <v>44</v>
      </c>
      <c r="F567" s="44" t="s">
        <v>16</v>
      </c>
      <c r="G567" s="44" t="s">
        <v>17</v>
      </c>
      <c r="H567" s="44" t="s">
        <v>213</v>
      </c>
      <c r="I567" s="44" t="s">
        <v>46</v>
      </c>
      <c r="J567" s="44" t="s">
        <v>28</v>
      </c>
      <c r="K567" s="44" t="s">
        <v>717</v>
      </c>
      <c r="L567" s="44" t="s">
        <v>718</v>
      </c>
      <c r="M567" s="44" t="s">
        <v>57</v>
      </c>
      <c r="N567" s="44" t="str">
        <f>IF(ISERR(FIND("CONG",PRODUCTO_MI_AR68[[#This Row],[NOM PRODUCTO]])),"","CONGELADO")</f>
        <v>CONGELADO</v>
      </c>
      <c r="O567" s="46" t="s">
        <v>49</v>
      </c>
      <c r="P567"/>
      <c r="Q567" s="4"/>
      <c r="R567" s="4"/>
      <c r="S567" s="4"/>
      <c r="T567" s="4"/>
      <c r="U567" s="4"/>
    </row>
    <row r="568" spans="2:21" hidden="1" thickTop="1" thickBot="1" x14ac:dyDescent="0.3">
      <c r="B568" s="43">
        <v>100518426</v>
      </c>
      <c r="C568" s="44" t="s">
        <v>724</v>
      </c>
      <c r="D568" s="45"/>
      <c r="E568" s="45" t="s">
        <v>44</v>
      </c>
      <c r="F568" s="44" t="s">
        <v>16</v>
      </c>
      <c r="G568" s="44" t="s">
        <v>17</v>
      </c>
      <c r="H568" s="44" t="s">
        <v>213</v>
      </c>
      <c r="I568" s="44" t="s">
        <v>46</v>
      </c>
      <c r="J568" s="44" t="s">
        <v>28</v>
      </c>
      <c r="K568" s="44" t="s">
        <v>717</v>
      </c>
      <c r="L568" s="44" t="s">
        <v>718</v>
      </c>
      <c r="M568" s="44" t="s">
        <v>57</v>
      </c>
      <c r="N568" s="44" t="str">
        <f>IF(ISERR(FIND("CONG",PRODUCTO_MI_AR68[[#This Row],[NOM PRODUCTO]])),"","CONGELADO")</f>
        <v>CONGELADO</v>
      </c>
      <c r="O568" s="46" t="s">
        <v>49</v>
      </c>
      <c r="P568"/>
      <c r="Q568" s="4"/>
      <c r="R568" s="4"/>
      <c r="S568" s="4"/>
      <c r="T568" s="4"/>
      <c r="U568" s="4"/>
    </row>
    <row r="569" spans="2:21" hidden="1" thickTop="1" thickBot="1" x14ac:dyDescent="0.3">
      <c r="B569" s="43">
        <v>100518299</v>
      </c>
      <c r="C569" s="44" t="s">
        <v>725</v>
      </c>
      <c r="D569" s="45" t="s">
        <v>212</v>
      </c>
      <c r="E569" s="45" t="s">
        <v>44</v>
      </c>
      <c r="F569" s="44" t="s">
        <v>16</v>
      </c>
      <c r="G569" s="44" t="s">
        <v>17</v>
      </c>
      <c r="H569" s="44" t="s">
        <v>213</v>
      </c>
      <c r="I569" s="44" t="s">
        <v>46</v>
      </c>
      <c r="J569" s="44" t="s">
        <v>28</v>
      </c>
      <c r="K569" s="44" t="s">
        <v>717</v>
      </c>
      <c r="L569" s="44" t="s">
        <v>721</v>
      </c>
      <c r="M569" s="44" t="s">
        <v>57</v>
      </c>
      <c r="N569" s="44" t="s">
        <v>193</v>
      </c>
      <c r="O569" s="46" t="s">
        <v>49</v>
      </c>
      <c r="P569"/>
      <c r="Q569" s="4"/>
      <c r="R569" s="4"/>
      <c r="S569" s="4"/>
      <c r="T569" s="4"/>
      <c r="U569" s="4"/>
    </row>
    <row r="570" spans="2:21" hidden="1" thickTop="1" thickBot="1" x14ac:dyDescent="0.3">
      <c r="B570" s="43">
        <v>100516217</v>
      </c>
      <c r="C570" s="44" t="s">
        <v>726</v>
      </c>
      <c r="D570" s="45" t="s">
        <v>43</v>
      </c>
      <c r="E570" s="45" t="s">
        <v>44</v>
      </c>
      <c r="F570" s="44" t="s">
        <v>16</v>
      </c>
      <c r="G570" s="44" t="s">
        <v>17</v>
      </c>
      <c r="H570" s="44" t="s">
        <v>213</v>
      </c>
      <c r="I570" s="44" t="s">
        <v>46</v>
      </c>
      <c r="J570" s="44" t="s">
        <v>28</v>
      </c>
      <c r="K570" s="44" t="s">
        <v>717</v>
      </c>
      <c r="L570" s="44" t="s">
        <v>721</v>
      </c>
      <c r="M570" s="44" t="s">
        <v>57</v>
      </c>
      <c r="N570" s="44" t="s">
        <v>193</v>
      </c>
      <c r="O570" s="46" t="s">
        <v>49</v>
      </c>
      <c r="P570"/>
      <c r="Q570" s="4"/>
      <c r="R570" s="4"/>
      <c r="S570" s="4"/>
      <c r="T570" s="4"/>
      <c r="U570" s="4"/>
    </row>
    <row r="571" spans="2:21" ht="18" hidden="1" customHeight="1" thickTop="1" thickBot="1" x14ac:dyDescent="0.3">
      <c r="B571" s="43">
        <v>100516215</v>
      </c>
      <c r="C571" s="44" t="s">
        <v>727</v>
      </c>
      <c r="D571" s="45" t="s">
        <v>43</v>
      </c>
      <c r="E571" s="45" t="s">
        <v>44</v>
      </c>
      <c r="F571" s="44" t="s">
        <v>16</v>
      </c>
      <c r="G571" s="44" t="s">
        <v>17</v>
      </c>
      <c r="H571" s="44" t="s">
        <v>213</v>
      </c>
      <c r="I571" s="44" t="s">
        <v>46</v>
      </c>
      <c r="J571" s="44" t="s">
        <v>28</v>
      </c>
      <c r="K571" s="44" t="s">
        <v>717</v>
      </c>
      <c r="L571" s="44" t="s">
        <v>721</v>
      </c>
      <c r="M571" s="44" t="s">
        <v>57</v>
      </c>
      <c r="N571" s="44" t="s">
        <v>193</v>
      </c>
      <c r="O571" s="46" t="s">
        <v>49</v>
      </c>
      <c r="P571"/>
      <c r="Q571" s="4"/>
      <c r="R571" s="4"/>
      <c r="S571" s="4"/>
      <c r="T571" s="4"/>
      <c r="U571" s="4"/>
    </row>
    <row r="572" spans="2:21" ht="18" hidden="1" customHeight="1" thickTop="1" thickBot="1" x14ac:dyDescent="0.3">
      <c r="B572" s="43">
        <v>100518301</v>
      </c>
      <c r="C572" s="44" t="s">
        <v>728</v>
      </c>
      <c r="D572" s="45" t="s">
        <v>212</v>
      </c>
      <c r="E572" s="45" t="s">
        <v>44</v>
      </c>
      <c r="F572" s="44" t="s">
        <v>16</v>
      </c>
      <c r="G572" s="44" t="s">
        <v>17</v>
      </c>
      <c r="H572" s="44" t="s">
        <v>213</v>
      </c>
      <c r="I572" s="44" t="s">
        <v>46</v>
      </c>
      <c r="J572" s="44" t="s">
        <v>28</v>
      </c>
      <c r="K572" s="44" t="s">
        <v>717</v>
      </c>
      <c r="L572" s="44" t="s">
        <v>721</v>
      </c>
      <c r="M572" s="44" t="s">
        <v>57</v>
      </c>
      <c r="N572" s="44" t="s">
        <v>193</v>
      </c>
      <c r="O572" s="46" t="s">
        <v>49</v>
      </c>
      <c r="P572"/>
      <c r="Q572" s="4"/>
      <c r="R572" s="4"/>
      <c r="S572" s="4"/>
      <c r="T572" s="4"/>
      <c r="U572" s="4"/>
    </row>
    <row r="573" spans="2:21" hidden="1" thickTop="1" thickBot="1" x14ac:dyDescent="0.3">
      <c r="B573" s="43">
        <v>100516214</v>
      </c>
      <c r="C573" s="44" t="s">
        <v>729</v>
      </c>
      <c r="D573" s="45" t="s">
        <v>43</v>
      </c>
      <c r="E573" s="45" t="s">
        <v>44</v>
      </c>
      <c r="F573" s="44" t="s">
        <v>16</v>
      </c>
      <c r="G573" s="44" t="s">
        <v>17</v>
      </c>
      <c r="H573" s="44" t="s">
        <v>213</v>
      </c>
      <c r="I573" s="44" t="s">
        <v>46</v>
      </c>
      <c r="J573" s="44" t="s">
        <v>28</v>
      </c>
      <c r="K573" s="44" t="s">
        <v>717</v>
      </c>
      <c r="L573" s="44" t="s">
        <v>721</v>
      </c>
      <c r="M573" s="44" t="s">
        <v>57</v>
      </c>
      <c r="N573" s="44" t="s">
        <v>193</v>
      </c>
      <c r="O573" s="46" t="s">
        <v>49</v>
      </c>
      <c r="P573"/>
      <c r="Q573" s="4"/>
      <c r="R573" s="4"/>
      <c r="S573" s="4"/>
      <c r="T573" s="4"/>
      <c r="U573" s="4"/>
    </row>
    <row r="574" spans="2:21" ht="18" hidden="1" customHeight="1" thickTop="1" thickBot="1" x14ac:dyDescent="0.3">
      <c r="B574" s="43">
        <v>100518300</v>
      </c>
      <c r="C574" s="44" t="s">
        <v>730</v>
      </c>
      <c r="D574" s="45" t="s">
        <v>212</v>
      </c>
      <c r="E574" s="45" t="s">
        <v>44</v>
      </c>
      <c r="F574" s="44" t="s">
        <v>16</v>
      </c>
      <c r="G574" s="44" t="s">
        <v>17</v>
      </c>
      <c r="H574" s="44" t="s">
        <v>213</v>
      </c>
      <c r="I574" s="44" t="s">
        <v>46</v>
      </c>
      <c r="J574" s="44" t="s">
        <v>28</v>
      </c>
      <c r="K574" s="44" t="s">
        <v>717</v>
      </c>
      <c r="L574" s="44" t="s">
        <v>721</v>
      </c>
      <c r="M574" s="44" t="s">
        <v>57</v>
      </c>
      <c r="N574" s="44" t="s">
        <v>193</v>
      </c>
      <c r="O574" s="46" t="s">
        <v>49</v>
      </c>
      <c r="P574"/>
      <c r="Q574" s="4"/>
      <c r="R574" s="4"/>
      <c r="S574" s="4"/>
      <c r="T574" s="4"/>
      <c r="U574" s="4"/>
    </row>
    <row r="575" spans="2:21" ht="18" hidden="1" customHeight="1" thickTop="1" thickBot="1" x14ac:dyDescent="0.3">
      <c r="B575" s="43">
        <v>100516216</v>
      </c>
      <c r="C575" s="44" t="s">
        <v>731</v>
      </c>
      <c r="D575" s="45" t="s">
        <v>43</v>
      </c>
      <c r="E575" s="45" t="s">
        <v>44</v>
      </c>
      <c r="F575" s="44" t="s">
        <v>16</v>
      </c>
      <c r="G575" s="44" t="s">
        <v>17</v>
      </c>
      <c r="H575" s="44" t="s">
        <v>213</v>
      </c>
      <c r="I575" s="44" t="s">
        <v>46</v>
      </c>
      <c r="J575" s="44" t="s">
        <v>28</v>
      </c>
      <c r="K575" s="44" t="s">
        <v>717</v>
      </c>
      <c r="L575" s="44" t="s">
        <v>721</v>
      </c>
      <c r="M575" s="44" t="s">
        <v>57</v>
      </c>
      <c r="N575" s="44" t="s">
        <v>193</v>
      </c>
      <c r="O575" s="46" t="s">
        <v>49</v>
      </c>
      <c r="P575"/>
      <c r="Q575" s="4"/>
      <c r="R575" s="4"/>
      <c r="S575" s="4"/>
      <c r="T575" s="4"/>
      <c r="U575" s="4"/>
    </row>
    <row r="576" spans="2:21" ht="18" hidden="1" customHeight="1" thickTop="1" thickBot="1" x14ac:dyDescent="0.3">
      <c r="B576" s="43">
        <v>100521663</v>
      </c>
      <c r="C576" s="44" t="s">
        <v>732</v>
      </c>
      <c r="D576" s="45" t="s">
        <v>43</v>
      </c>
      <c r="E576" s="45" t="s">
        <v>44</v>
      </c>
      <c r="F576" s="44" t="s">
        <v>16</v>
      </c>
      <c r="G576" s="44" t="s">
        <v>17</v>
      </c>
      <c r="H576" s="44" t="s">
        <v>213</v>
      </c>
      <c r="I576" s="44" t="s">
        <v>46</v>
      </c>
      <c r="J576" s="44" t="s">
        <v>28</v>
      </c>
      <c r="K576" s="44" t="str">
        <f>PRODUCTO_MI_AR68[[#This Row],[NOM SUBFAMILIA COMERCIAL]]</f>
        <v>REBOZADO DE CARNE</v>
      </c>
      <c r="L576" s="44" t="s">
        <v>214</v>
      </c>
      <c r="M576" s="44" t="s">
        <v>57</v>
      </c>
      <c r="N576" s="44" t="s">
        <v>193</v>
      </c>
      <c r="O576" s="46" t="s">
        <v>49</v>
      </c>
      <c r="P576"/>
      <c r="Q576" s="4"/>
      <c r="R576" s="4"/>
      <c r="S576" s="4"/>
      <c r="T576" s="4"/>
      <c r="U576" s="4"/>
    </row>
    <row r="577" spans="2:21" hidden="1" thickTop="1" thickBot="1" x14ac:dyDescent="0.3">
      <c r="B577" s="43">
        <v>100521441</v>
      </c>
      <c r="C577" s="44" t="s">
        <v>733</v>
      </c>
      <c r="D577" s="45"/>
      <c r="E577" s="45" t="s">
        <v>15</v>
      </c>
      <c r="F577" s="44" t="s">
        <v>16</v>
      </c>
      <c r="G577" s="44" t="s">
        <v>17</v>
      </c>
      <c r="H577" s="44" t="s">
        <v>18</v>
      </c>
      <c r="I577" s="44" t="s">
        <v>319</v>
      </c>
      <c r="J577" s="44" t="s">
        <v>28</v>
      </c>
      <c r="K577" s="44" t="s">
        <v>320</v>
      </c>
      <c r="L577" s="44" t="s">
        <v>734</v>
      </c>
      <c r="M577" s="44" t="s">
        <v>29</v>
      </c>
      <c r="N577" s="44" t="str">
        <f>IF(ISERR(FIND("CONG",PRODUCTO_MI_AR68[[#This Row],[NOM PRODUCTO]])),"","CONGELADO")</f>
        <v>CONGELADO</v>
      </c>
      <c r="O577" s="46" t="s">
        <v>24</v>
      </c>
      <c r="P577"/>
      <c r="Q577" s="4"/>
      <c r="R577" s="4"/>
      <c r="S577" s="4"/>
      <c r="T577" s="4"/>
      <c r="U577" s="4"/>
    </row>
    <row r="578" spans="2:21" hidden="1" thickTop="1" thickBot="1" x14ac:dyDescent="0.3">
      <c r="B578" s="43">
        <v>100016121</v>
      </c>
      <c r="C578" s="44" t="s">
        <v>735</v>
      </c>
      <c r="D578" s="45"/>
      <c r="E578" s="45" t="s">
        <v>44</v>
      </c>
      <c r="F578" s="44" t="s">
        <v>16</v>
      </c>
      <c r="G578" s="44" t="s">
        <v>17</v>
      </c>
      <c r="H578" s="44" t="s">
        <v>18</v>
      </c>
      <c r="I578" s="44" t="s">
        <v>319</v>
      </c>
      <c r="J578" s="44" t="s">
        <v>28</v>
      </c>
      <c r="K578" s="44" t="s">
        <v>320</v>
      </c>
      <c r="L578" s="44" t="s">
        <v>734</v>
      </c>
      <c r="M578" s="44" t="s">
        <v>57</v>
      </c>
      <c r="N578" s="44" t="str">
        <f>IF(ISERR(FIND("CONG",PRODUCTO_MI_AR68[[#This Row],[NOM PRODUCTO]])),"","CONGELADO")</f>
        <v>CONGELADO</v>
      </c>
      <c r="O578" s="46" t="s">
        <v>24</v>
      </c>
      <c r="P578"/>
      <c r="Q578" s="4"/>
      <c r="R578" s="4"/>
      <c r="S578" s="4"/>
      <c r="T578" s="4"/>
      <c r="U578" s="4"/>
    </row>
    <row r="579" spans="2:21" hidden="1" thickTop="1" thickBot="1" x14ac:dyDescent="0.3">
      <c r="B579" s="43">
        <v>100016168</v>
      </c>
      <c r="C579" s="44" t="s">
        <v>736</v>
      </c>
      <c r="D579" s="45"/>
      <c r="E579" s="45" t="s">
        <v>44</v>
      </c>
      <c r="F579" s="44" t="s">
        <v>16</v>
      </c>
      <c r="G579" s="44" t="s">
        <v>17</v>
      </c>
      <c r="H579" s="44" t="s">
        <v>18</v>
      </c>
      <c r="I579" s="44" t="s">
        <v>319</v>
      </c>
      <c r="J579" s="44" t="s">
        <v>28</v>
      </c>
      <c r="K579" s="44" t="s">
        <v>320</v>
      </c>
      <c r="L579" s="44" t="s">
        <v>734</v>
      </c>
      <c r="M579" s="44" t="s">
        <v>62</v>
      </c>
      <c r="N579" s="44" t="str">
        <f>IF(ISERR(FIND("CONG",PRODUCTO_MI_AR68[[#This Row],[NOM PRODUCTO]])),"","CONGELADO")</f>
        <v>CONGELADO</v>
      </c>
      <c r="O579" s="46" t="s">
        <v>98</v>
      </c>
      <c r="P579"/>
      <c r="Q579" s="4"/>
      <c r="R579" s="4"/>
      <c r="S579" s="4"/>
      <c r="T579" s="4"/>
      <c r="U579" s="4"/>
    </row>
    <row r="580" spans="2:21" ht="18" hidden="1" customHeight="1" thickTop="1" thickBot="1" x14ac:dyDescent="0.3">
      <c r="B580" s="43">
        <v>100016023</v>
      </c>
      <c r="C580" s="44" t="s">
        <v>737</v>
      </c>
      <c r="D580" s="45"/>
      <c r="E580" s="45" t="str">
        <f>IF(ISERR(FIND("CLL",PRODUCTO_MI_AR68[[#This Row],[NOM PRODUCTO]])),"","ME")</f>
        <v>ME</v>
      </c>
      <c r="F580" s="44" t="s">
        <v>16</v>
      </c>
      <c r="G580" s="44" t="s">
        <v>17</v>
      </c>
      <c r="H580" s="44" t="s">
        <v>18</v>
      </c>
      <c r="I580" s="44" t="s">
        <v>319</v>
      </c>
      <c r="J580" s="44" t="s">
        <v>20</v>
      </c>
      <c r="K580" s="44" t="s">
        <v>320</v>
      </c>
      <c r="L580" s="44" t="s">
        <v>738</v>
      </c>
      <c r="M580" s="44" t="s">
        <v>22</v>
      </c>
      <c r="N580" s="44" t="str">
        <f>IF(ISERR(FIND("CONG",PRODUCTO_MI_AR68[[#This Row],[NOM PRODUCTO]])),"","CONGELADO")</f>
        <v>CONGELADO</v>
      </c>
      <c r="O580" s="46" t="s">
        <v>24</v>
      </c>
      <c r="P580"/>
      <c r="Q580" s="4"/>
      <c r="R580" s="4"/>
      <c r="S580" s="4"/>
      <c r="T580" s="4"/>
      <c r="U580" s="4"/>
    </row>
    <row r="581" spans="2:21" hidden="1" thickTop="1" thickBot="1" x14ac:dyDescent="0.3">
      <c r="B581" s="43">
        <v>100521410</v>
      </c>
      <c r="C581" s="44" t="s">
        <v>739</v>
      </c>
      <c r="D581" s="45"/>
      <c r="E581" s="45" t="s">
        <v>15</v>
      </c>
      <c r="F581" s="44" t="s">
        <v>16</v>
      </c>
      <c r="G581" s="44" t="s">
        <v>17</v>
      </c>
      <c r="H581" s="44" t="s">
        <v>18</v>
      </c>
      <c r="I581" s="44" t="s">
        <v>319</v>
      </c>
      <c r="J581" s="44" t="s">
        <v>28</v>
      </c>
      <c r="K581" s="44" t="s">
        <v>320</v>
      </c>
      <c r="L581" s="44" t="s">
        <v>738</v>
      </c>
      <c r="M581" s="44" t="s">
        <v>29</v>
      </c>
      <c r="N581" s="44" t="str">
        <f>IF(ISERR(FIND("CONG",PRODUCTO_MI_AR68[[#This Row],[NOM PRODUCTO]])),"","CONGELADO")</f>
        <v>CONGELADO</v>
      </c>
      <c r="O581" s="46" t="s">
        <v>24</v>
      </c>
      <c r="P581"/>
      <c r="Q581" s="4"/>
      <c r="R581" s="4"/>
      <c r="S581" s="4"/>
      <c r="T581" s="4"/>
      <c r="U581" s="4"/>
    </row>
    <row r="582" spans="2:21" ht="18" hidden="1" customHeight="1" thickTop="1" thickBot="1" x14ac:dyDescent="0.3">
      <c r="B582" s="43">
        <v>100521440</v>
      </c>
      <c r="C582" s="44" t="s">
        <v>740</v>
      </c>
      <c r="D582" s="45"/>
      <c r="E582" s="45" t="s">
        <v>15</v>
      </c>
      <c r="F582" s="44" t="s">
        <v>16</v>
      </c>
      <c r="G582" s="44" t="s">
        <v>17</v>
      </c>
      <c r="H582" s="44" t="s">
        <v>18</v>
      </c>
      <c r="I582" s="44" t="s">
        <v>319</v>
      </c>
      <c r="J582" s="44" t="s">
        <v>28</v>
      </c>
      <c r="K582" s="44" t="s">
        <v>320</v>
      </c>
      <c r="L582" s="44" t="s">
        <v>738</v>
      </c>
      <c r="M582" s="44" t="s">
        <v>29</v>
      </c>
      <c r="N582" s="44" t="str">
        <f>IF(ISERR(FIND("CONG",PRODUCTO_MI_AR68[[#This Row],[NOM PRODUCTO]])),"","CONGELADO")</f>
        <v>CONGELADO</v>
      </c>
      <c r="O582" s="46" t="s">
        <v>24</v>
      </c>
      <c r="P582"/>
      <c r="Q582" s="4"/>
      <c r="R582" s="4"/>
      <c r="S582" s="4"/>
      <c r="T582" s="4"/>
      <c r="U582" s="4"/>
    </row>
    <row r="583" spans="2:21" ht="18" hidden="1" customHeight="1" thickTop="1" thickBot="1" x14ac:dyDescent="0.3">
      <c r="B583" s="43">
        <v>100016120</v>
      </c>
      <c r="C583" s="44" t="s">
        <v>741</v>
      </c>
      <c r="D583" s="45"/>
      <c r="E583" s="45" t="s">
        <v>44</v>
      </c>
      <c r="F583" s="44" t="s">
        <v>16</v>
      </c>
      <c r="G583" s="44" t="s">
        <v>17</v>
      </c>
      <c r="H583" s="44" t="s">
        <v>18</v>
      </c>
      <c r="I583" s="44" t="s">
        <v>319</v>
      </c>
      <c r="J583" s="44" t="s">
        <v>28</v>
      </c>
      <c r="K583" s="44" t="s">
        <v>320</v>
      </c>
      <c r="L583" s="44" t="s">
        <v>738</v>
      </c>
      <c r="M583" s="44" t="s">
        <v>57</v>
      </c>
      <c r="N583" s="44" t="str">
        <f>IF(ISERR(FIND("CONG",PRODUCTO_MI_AR68[[#This Row],[NOM PRODUCTO]])),"","CONGELADO")</f>
        <v>CONGELADO</v>
      </c>
      <c r="O583" s="46" t="s">
        <v>24</v>
      </c>
      <c r="P583"/>
      <c r="Q583" s="4"/>
      <c r="R583" s="4"/>
      <c r="S583" s="4"/>
      <c r="T583" s="4"/>
      <c r="U583" s="4"/>
    </row>
    <row r="584" spans="2:21" hidden="1" thickTop="1" thickBot="1" x14ac:dyDescent="0.3">
      <c r="B584" s="43">
        <v>100517593</v>
      </c>
      <c r="C584" s="44" t="s">
        <v>742</v>
      </c>
      <c r="D584" s="45"/>
      <c r="E584" s="45" t="s">
        <v>44</v>
      </c>
      <c r="F584" s="44" t="s">
        <v>16</v>
      </c>
      <c r="G584" s="44" t="s">
        <v>17</v>
      </c>
      <c r="H584" s="44" t="s">
        <v>18</v>
      </c>
      <c r="I584" s="44" t="s">
        <v>319</v>
      </c>
      <c r="J584" s="44" t="s">
        <v>20</v>
      </c>
      <c r="K584" s="44" t="s">
        <v>320</v>
      </c>
      <c r="L584" s="44" t="s">
        <v>738</v>
      </c>
      <c r="M584" s="44" t="s">
        <v>73</v>
      </c>
      <c r="N584" s="44" t="str">
        <f>IF(ISERR(FIND("CONG",PRODUCTO_MI_AR68[[#This Row],[NOM PRODUCTO]])),"","CONGELADO")</f>
        <v>CONGELADO</v>
      </c>
      <c r="O584" s="46" t="s">
        <v>24</v>
      </c>
      <c r="P584"/>
      <c r="Q584" s="4"/>
      <c r="R584" s="4"/>
      <c r="S584" s="4"/>
      <c r="T584" s="4"/>
      <c r="U584" s="4"/>
    </row>
    <row r="585" spans="2:21" hidden="1" thickTop="1" thickBot="1" x14ac:dyDescent="0.3">
      <c r="B585" s="43">
        <v>100519675</v>
      </c>
      <c r="C585" s="44" t="s">
        <v>743</v>
      </c>
      <c r="D585" s="45"/>
      <c r="E585" s="45" t="s">
        <v>44</v>
      </c>
      <c r="F585" s="44" t="s">
        <v>16</v>
      </c>
      <c r="G585" s="44" t="s">
        <v>17</v>
      </c>
      <c r="H585" s="44" t="s">
        <v>18</v>
      </c>
      <c r="I585" s="44" t="s">
        <v>319</v>
      </c>
      <c r="J585" s="44" t="s">
        <v>28</v>
      </c>
      <c r="K585" s="44" t="s">
        <v>320</v>
      </c>
      <c r="L585" s="44" t="s">
        <v>744</v>
      </c>
      <c r="M585" s="44" t="s">
        <v>57</v>
      </c>
      <c r="N585" s="44" t="str">
        <f>IF(ISERR(FIND("CONG",PRODUCTO_MI_AR68[[#This Row],[NOM PRODUCTO]])),"","CONGELADO")</f>
        <v>CONGELADO</v>
      </c>
      <c r="O585" s="46" t="s">
        <v>24</v>
      </c>
      <c r="P585"/>
      <c r="Q585" s="4"/>
      <c r="R585" s="4"/>
      <c r="S585" s="4"/>
      <c r="T585" s="4"/>
      <c r="U585" s="4"/>
    </row>
    <row r="586" spans="2:21" hidden="1" thickTop="1" thickBot="1" x14ac:dyDescent="0.3">
      <c r="B586" s="43">
        <v>100518884</v>
      </c>
      <c r="C586" s="44" t="s">
        <v>745</v>
      </c>
      <c r="D586" s="45"/>
      <c r="E586" s="45" t="s">
        <v>44</v>
      </c>
      <c r="F586" s="44" t="s">
        <v>16</v>
      </c>
      <c r="G586" s="44" t="s">
        <v>17</v>
      </c>
      <c r="H586" s="44" t="s">
        <v>18</v>
      </c>
      <c r="I586" s="44" t="s">
        <v>319</v>
      </c>
      <c r="J586" s="44" t="s">
        <v>28</v>
      </c>
      <c r="K586" s="44" t="s">
        <v>320</v>
      </c>
      <c r="L586" s="44" t="s">
        <v>744</v>
      </c>
      <c r="M586" s="44" t="s">
        <v>57</v>
      </c>
      <c r="N586" s="44" t="str">
        <f>IF(ISERR(FIND("CONG",PRODUCTO_MI_AR68[[#This Row],[NOM PRODUCTO]])),"","CONGELADO")</f>
        <v>CONGELADO</v>
      </c>
      <c r="O586" s="46" t="s">
        <v>24</v>
      </c>
      <c r="P586"/>
      <c r="Q586" s="4"/>
      <c r="R586" s="4"/>
      <c r="S586" s="4"/>
      <c r="T586" s="4"/>
      <c r="U586" s="4"/>
    </row>
    <row r="587" spans="2:21" hidden="1" thickTop="1" thickBot="1" x14ac:dyDescent="0.3">
      <c r="B587" s="43">
        <v>100016267</v>
      </c>
      <c r="C587" s="44" t="s">
        <v>746</v>
      </c>
      <c r="D587" s="45"/>
      <c r="E587" s="45" t="s">
        <v>44</v>
      </c>
      <c r="F587" s="44" t="s">
        <v>16</v>
      </c>
      <c r="G587" s="44" t="s">
        <v>17</v>
      </c>
      <c r="H587" s="44" t="s">
        <v>18</v>
      </c>
      <c r="I587" s="44" t="s">
        <v>319</v>
      </c>
      <c r="J587" s="44" t="s">
        <v>28</v>
      </c>
      <c r="K587" s="44" t="s">
        <v>320</v>
      </c>
      <c r="L587" s="44" t="s">
        <v>744</v>
      </c>
      <c r="M587" s="44" t="s">
        <v>57</v>
      </c>
      <c r="N587" s="44" t="str">
        <f>IF(ISERR(FIND("CONG",PRODUCTO_MI_AR68[[#This Row],[NOM PRODUCTO]])),"","CONGELADO")</f>
        <v>CONGELADO</v>
      </c>
      <c r="O587" s="46" t="s">
        <v>24</v>
      </c>
      <c r="P587"/>
      <c r="Q587" s="4"/>
      <c r="R587" s="4"/>
      <c r="S587" s="4"/>
      <c r="T587" s="4"/>
      <c r="U587" s="4"/>
    </row>
    <row r="588" spans="2:21" hidden="1" thickTop="1" thickBot="1" x14ac:dyDescent="0.3">
      <c r="B588" s="43">
        <v>100022200</v>
      </c>
      <c r="C588" s="44" t="s">
        <v>747</v>
      </c>
      <c r="D588" s="45" t="s">
        <v>212</v>
      </c>
      <c r="E588" s="45" t="s">
        <v>44</v>
      </c>
      <c r="F588" s="44" t="s">
        <v>16</v>
      </c>
      <c r="G588" s="44" t="s">
        <v>17</v>
      </c>
      <c r="H588" s="44" t="s">
        <v>338</v>
      </c>
      <c r="I588" s="44" t="s">
        <v>46</v>
      </c>
      <c r="J588" s="44" t="s">
        <v>28</v>
      </c>
      <c r="K588" s="44" t="s">
        <v>748</v>
      </c>
      <c r="L588" s="44" t="s">
        <v>749</v>
      </c>
      <c r="M588" s="44" t="s">
        <v>57</v>
      </c>
      <c r="N588" s="44" t="s">
        <v>193</v>
      </c>
      <c r="O588" s="46" t="s">
        <v>49</v>
      </c>
      <c r="P588"/>
      <c r="Q588" s="4"/>
      <c r="R588" s="4"/>
      <c r="S588" s="4"/>
      <c r="T588" s="4"/>
      <c r="U588" s="4"/>
    </row>
    <row r="589" spans="2:21" hidden="1" thickTop="1" thickBot="1" x14ac:dyDescent="0.3">
      <c r="B589" s="43">
        <v>100517998</v>
      </c>
      <c r="C589" s="44" t="s">
        <v>750</v>
      </c>
      <c r="D589" s="45"/>
      <c r="E589" s="45" t="s">
        <v>44</v>
      </c>
      <c r="F589" s="44" t="s">
        <v>16</v>
      </c>
      <c r="G589" s="44" t="s">
        <v>17</v>
      </c>
      <c r="H589" s="44" t="s">
        <v>18</v>
      </c>
      <c r="I589" s="44" t="s">
        <v>231</v>
      </c>
      <c r="J589" s="44" t="s">
        <v>28</v>
      </c>
      <c r="K589" s="44" t="s">
        <v>751</v>
      </c>
      <c r="L589" s="44" t="s">
        <v>751</v>
      </c>
      <c r="M589" s="44" t="s">
        <v>57</v>
      </c>
      <c r="N589" s="44" t="s">
        <v>193</v>
      </c>
      <c r="O589" s="46" t="s">
        <v>24</v>
      </c>
      <c r="P589"/>
      <c r="Q589" s="4"/>
      <c r="R589" s="4"/>
      <c r="S589" s="4"/>
      <c r="T589" s="4"/>
      <c r="U589" s="4"/>
    </row>
    <row r="590" spans="2:21" hidden="1" thickTop="1" thickBot="1" x14ac:dyDescent="0.3">
      <c r="B590" s="43">
        <v>100519874</v>
      </c>
      <c r="C590" s="44" t="s">
        <v>752</v>
      </c>
      <c r="D590" s="45"/>
      <c r="E590" s="45" t="str">
        <f>IF(ISERR(FIND("PUL",PRODUCTO_MI_AR68[[#This Row],[NOM PRODUCTO]])),"","ME")</f>
        <v>ME</v>
      </c>
      <c r="F590" s="44" t="s">
        <v>16</v>
      </c>
      <c r="G590" s="44" t="s">
        <v>17</v>
      </c>
      <c r="H590" s="44" t="s">
        <v>18</v>
      </c>
      <c r="I590" s="44" t="s">
        <v>231</v>
      </c>
      <c r="J590" s="44" t="s">
        <v>28</v>
      </c>
      <c r="K590" s="44" t="s">
        <v>751</v>
      </c>
      <c r="L590" s="44" t="s">
        <v>751</v>
      </c>
      <c r="M590" s="44" t="s">
        <v>29</v>
      </c>
      <c r="N590" s="44" t="str">
        <f>IF(ISERR(FIND("CONG",PRODUCTO_MI_AR68[[#This Row],[NOM PRODUCTO]])),"","CONGELADO")</f>
        <v>CONGELADO</v>
      </c>
      <c r="O590" s="46" t="s">
        <v>24</v>
      </c>
      <c r="P590"/>
      <c r="Q590" s="4"/>
      <c r="R590" s="4"/>
      <c r="S590" s="4"/>
      <c r="T590" s="4"/>
      <c r="U590" s="4"/>
    </row>
    <row r="591" spans="2:21" hidden="1" thickTop="1" thickBot="1" x14ac:dyDescent="0.3">
      <c r="B591" s="43">
        <v>100522288</v>
      </c>
      <c r="C591" s="44" t="s">
        <v>753</v>
      </c>
      <c r="D591" s="45"/>
      <c r="E591" s="45" t="s">
        <v>15</v>
      </c>
      <c r="F591" s="44" t="s">
        <v>16</v>
      </c>
      <c r="G591" s="44" t="s">
        <v>17</v>
      </c>
      <c r="H591" s="44" t="s">
        <v>18</v>
      </c>
      <c r="I591" s="44" t="s">
        <v>231</v>
      </c>
      <c r="J591" s="44" t="s">
        <v>28</v>
      </c>
      <c r="K591" s="44" t="s">
        <v>751</v>
      </c>
      <c r="L591" s="44" t="s">
        <v>754</v>
      </c>
      <c r="M591" s="44" t="s">
        <v>29</v>
      </c>
      <c r="N591" s="44" t="str">
        <f>IF(ISERR(FIND("CONG",PRODUCTO_MI_AR68[[#This Row],[NOM PRODUCTO]])),"","CONGELADO")</f>
        <v>CONGELADO</v>
      </c>
      <c r="O591" s="46" t="s">
        <v>24</v>
      </c>
      <c r="P591"/>
      <c r="Q591" s="4"/>
      <c r="R591" s="4"/>
      <c r="S591" s="4"/>
      <c r="T591" s="4"/>
      <c r="U591" s="4"/>
    </row>
    <row r="592" spans="2:21" hidden="1" thickTop="1" thickBot="1" x14ac:dyDescent="0.3">
      <c r="B592" s="43">
        <v>100522339</v>
      </c>
      <c r="C592" s="44" t="s">
        <v>755</v>
      </c>
      <c r="D592" s="45"/>
      <c r="E592" s="45" t="s">
        <v>15</v>
      </c>
      <c r="F592" s="44" t="s">
        <v>16</v>
      </c>
      <c r="G592" s="44" t="s">
        <v>17</v>
      </c>
      <c r="H592" s="44" t="s">
        <v>18</v>
      </c>
      <c r="I592" s="44" t="s">
        <v>231</v>
      </c>
      <c r="J592" s="44" t="s">
        <v>28</v>
      </c>
      <c r="K592" s="44" t="s">
        <v>751</v>
      </c>
      <c r="L592" s="44" t="s">
        <v>754</v>
      </c>
      <c r="M592" s="44" t="s">
        <v>29</v>
      </c>
      <c r="N592" s="44" t="s">
        <v>23</v>
      </c>
      <c r="O592" s="46" t="s">
        <v>24</v>
      </c>
      <c r="P592"/>
      <c r="Q592" s="4"/>
      <c r="R592" s="4"/>
      <c r="S592" s="4"/>
      <c r="T592" s="4"/>
      <c r="U592" s="4"/>
    </row>
    <row r="593" spans="2:21" hidden="1" thickTop="1" thickBot="1" x14ac:dyDescent="0.3">
      <c r="B593" s="43">
        <v>100520812</v>
      </c>
      <c r="C593" s="44" t="s">
        <v>756</v>
      </c>
      <c r="D593" s="45"/>
      <c r="E593" s="45" t="str">
        <f>IF(ISERR(FIND("PUL",PRODUCTO_MI_AR68[[#This Row],[NOM PRODUCTO]])),"","ME")</f>
        <v>ME</v>
      </c>
      <c r="F593" s="44" t="s">
        <v>16</v>
      </c>
      <c r="G593" s="44" t="s">
        <v>17</v>
      </c>
      <c r="H593" s="44" t="s">
        <v>18</v>
      </c>
      <c r="I593" s="44" t="s">
        <v>231</v>
      </c>
      <c r="J593" s="44" t="s">
        <v>28</v>
      </c>
      <c r="K593" s="44" t="s">
        <v>751</v>
      </c>
      <c r="L593" s="44" t="s">
        <v>751</v>
      </c>
      <c r="M593" s="44" t="s">
        <v>29</v>
      </c>
      <c r="N593" s="44" t="s">
        <v>23</v>
      </c>
      <c r="O593" s="46" t="s">
        <v>24</v>
      </c>
      <c r="P593"/>
      <c r="Q593" s="4"/>
      <c r="R593" s="4"/>
      <c r="S593" s="4"/>
      <c r="T593" s="4"/>
      <c r="U593" s="4"/>
    </row>
    <row r="594" spans="2:21" ht="18" hidden="1" customHeight="1" thickTop="1" thickBot="1" x14ac:dyDescent="0.3">
      <c r="B594" s="43">
        <v>100522321</v>
      </c>
      <c r="C594" s="44" t="s">
        <v>757</v>
      </c>
      <c r="D594" s="45"/>
      <c r="E594" s="45" t="str">
        <f>IF(ISERR(FIND("PUL",PRODUCTO_MI_AR68[[#This Row],[NOM PRODUCTO]])),"","ME")</f>
        <v>ME</v>
      </c>
      <c r="F594" s="44" t="s">
        <v>16</v>
      </c>
      <c r="G594" s="44" t="s">
        <v>17</v>
      </c>
      <c r="H594" s="44" t="s">
        <v>18</v>
      </c>
      <c r="I594" s="44" t="s">
        <v>231</v>
      </c>
      <c r="J594" s="44" t="s">
        <v>40</v>
      </c>
      <c r="K594" s="44" t="s">
        <v>751</v>
      </c>
      <c r="L594" s="44" t="s">
        <v>751</v>
      </c>
      <c r="M594" s="44" t="s">
        <v>113</v>
      </c>
      <c r="N594" s="44" t="s">
        <v>23</v>
      </c>
      <c r="O594" s="46" t="s">
        <v>24</v>
      </c>
      <c r="P594"/>
      <c r="Q594" s="4"/>
      <c r="R594" s="4"/>
      <c r="S594" s="4"/>
      <c r="T594" s="4"/>
      <c r="U594" s="4"/>
    </row>
    <row r="595" spans="2:21" hidden="1" thickTop="1" thickBot="1" x14ac:dyDescent="0.3">
      <c r="B595" s="43">
        <v>100519970</v>
      </c>
      <c r="C595" s="44" t="s">
        <v>758</v>
      </c>
      <c r="D595" s="45"/>
      <c r="E595" s="45" t="str">
        <f>IF(ISERR(FIND("PUL",PRODUCTO_MI_AR68[[#This Row],[NOM PRODUCTO]])),"","ME")</f>
        <v>ME</v>
      </c>
      <c r="F595" s="44" t="s">
        <v>16</v>
      </c>
      <c r="G595" s="44" t="s">
        <v>17</v>
      </c>
      <c r="H595" s="44" t="s">
        <v>18</v>
      </c>
      <c r="I595" s="44" t="s">
        <v>231</v>
      </c>
      <c r="J595" s="44" t="s">
        <v>28</v>
      </c>
      <c r="K595" s="44" t="s">
        <v>751</v>
      </c>
      <c r="L595" s="44" t="s">
        <v>751</v>
      </c>
      <c r="M595" s="44" t="s">
        <v>29</v>
      </c>
      <c r="N595" s="44" t="str">
        <f>IF(ISERR(FIND("CONG",PRODUCTO_MI_AR68[[#This Row],[NOM PRODUCTO]])),"","CONGELADO")</f>
        <v>CONGELADO</v>
      </c>
      <c r="O595" s="46" t="s">
        <v>24</v>
      </c>
      <c r="P595"/>
      <c r="Q595" s="4"/>
      <c r="R595" s="4"/>
      <c r="S595" s="4"/>
      <c r="T595" s="4"/>
      <c r="U595" s="4"/>
    </row>
    <row r="596" spans="2:21" ht="18" hidden="1" customHeight="1" thickTop="1" thickBot="1" x14ac:dyDescent="0.3">
      <c r="B596" s="43">
        <v>100519752</v>
      </c>
      <c r="C596" s="44" t="s">
        <v>759</v>
      </c>
      <c r="D596" s="45"/>
      <c r="E596" s="45" t="str">
        <f>IF(ISERR(FIND("PUL",PRODUCTO_MI_AR68[[#This Row],[NOM PRODUCTO]])),"","ME")</f>
        <v>ME</v>
      </c>
      <c r="F596" s="44" t="s">
        <v>16</v>
      </c>
      <c r="G596" s="44" t="s">
        <v>17</v>
      </c>
      <c r="H596" s="44" t="s">
        <v>18</v>
      </c>
      <c r="I596" s="44" t="s">
        <v>231</v>
      </c>
      <c r="J596" s="44" t="s">
        <v>28</v>
      </c>
      <c r="K596" s="44" t="s">
        <v>751</v>
      </c>
      <c r="L596" s="44" t="s">
        <v>751</v>
      </c>
      <c r="M596" s="44" t="s">
        <v>29</v>
      </c>
      <c r="N596" s="44" t="str">
        <f>IF(ISERR(FIND("CONG",PRODUCTO_MI_AR68[[#This Row],[NOM PRODUCTO]])),"","CONGELADO")</f>
        <v>CONGELADO</v>
      </c>
      <c r="O596" s="46" t="s">
        <v>24</v>
      </c>
      <c r="P596"/>
      <c r="Q596" s="4"/>
      <c r="R596" s="4"/>
      <c r="S596" s="4"/>
      <c r="T596" s="4"/>
      <c r="U596" s="4"/>
    </row>
    <row r="597" spans="2:21" ht="18" hidden="1" customHeight="1" thickTop="1" thickBot="1" x14ac:dyDescent="0.3">
      <c r="B597" s="43">
        <v>100519697</v>
      </c>
      <c r="C597" s="44" t="s">
        <v>760</v>
      </c>
      <c r="D597" s="45"/>
      <c r="E597" s="45" t="str">
        <f>IF(ISERR(FIND("PUL",PRODUCTO_MI_AR68[[#This Row],[NOM PRODUCTO]])),"","ME")</f>
        <v>ME</v>
      </c>
      <c r="F597" s="44" t="s">
        <v>16</v>
      </c>
      <c r="G597" s="44" t="s">
        <v>17</v>
      </c>
      <c r="H597" s="44" t="s">
        <v>18</v>
      </c>
      <c r="I597" s="44" t="s">
        <v>231</v>
      </c>
      <c r="J597" s="44" t="s">
        <v>40</v>
      </c>
      <c r="K597" s="44" t="s">
        <v>751</v>
      </c>
      <c r="L597" s="44" t="s">
        <v>761</v>
      </c>
      <c r="M597" s="44" t="s">
        <v>41</v>
      </c>
      <c r="N597" s="44" t="s">
        <v>23</v>
      </c>
      <c r="O597" s="46" t="s">
        <v>24</v>
      </c>
      <c r="P597"/>
      <c r="Q597" s="4"/>
      <c r="R597" s="4"/>
      <c r="S597" s="4"/>
      <c r="T597" s="4"/>
      <c r="U597" s="4"/>
    </row>
    <row r="598" spans="2:21" hidden="1" thickTop="1" thickBot="1" x14ac:dyDescent="0.3">
      <c r="B598" s="43">
        <v>100519699</v>
      </c>
      <c r="C598" s="44" t="s">
        <v>762</v>
      </c>
      <c r="D598" s="45"/>
      <c r="E598" s="45" t="str">
        <f>IF(ISERR(FIND("PUL",PRODUCTO_MI_AR68[[#This Row],[NOM PRODUCTO]])),"","ME")</f>
        <v>ME</v>
      </c>
      <c r="F598" s="44" t="s">
        <v>16</v>
      </c>
      <c r="G598" s="44" t="s">
        <v>17</v>
      </c>
      <c r="H598" s="44" t="s">
        <v>18</v>
      </c>
      <c r="I598" s="44" t="s">
        <v>231</v>
      </c>
      <c r="J598" s="44" t="s">
        <v>40</v>
      </c>
      <c r="K598" s="44" t="s">
        <v>751</v>
      </c>
      <c r="L598" s="44" t="s">
        <v>761</v>
      </c>
      <c r="M598" s="44" t="s">
        <v>41</v>
      </c>
      <c r="N598" s="44" t="s">
        <v>23</v>
      </c>
      <c r="O598" s="46" t="s">
        <v>24</v>
      </c>
      <c r="P598"/>
      <c r="Q598" s="4"/>
      <c r="R598" s="4"/>
      <c r="S598" s="4"/>
      <c r="T598" s="4"/>
      <c r="U598" s="4"/>
    </row>
    <row r="599" spans="2:21" hidden="1" thickTop="1" thickBot="1" x14ac:dyDescent="0.3">
      <c r="B599" s="43">
        <v>100519698</v>
      </c>
      <c r="C599" s="44" t="s">
        <v>763</v>
      </c>
      <c r="D599" s="45"/>
      <c r="E599" s="45" t="str">
        <f>IF(ISERR(FIND("PUL",PRODUCTO_MI_AR68[[#This Row],[NOM PRODUCTO]])),"","ME")</f>
        <v>ME</v>
      </c>
      <c r="F599" s="44" t="s">
        <v>16</v>
      </c>
      <c r="G599" s="44" t="s">
        <v>17</v>
      </c>
      <c r="H599" s="44" t="s">
        <v>18</v>
      </c>
      <c r="I599" s="44" t="s">
        <v>231</v>
      </c>
      <c r="J599" s="44" t="s">
        <v>40</v>
      </c>
      <c r="K599" s="44" t="s">
        <v>751</v>
      </c>
      <c r="L599" s="44" t="s">
        <v>761</v>
      </c>
      <c r="M599" s="44" t="s">
        <v>41</v>
      </c>
      <c r="N599" s="44" t="s">
        <v>23</v>
      </c>
      <c r="O599" s="46" t="s">
        <v>24</v>
      </c>
      <c r="P599"/>
      <c r="Q599" s="4"/>
      <c r="R599" s="4"/>
      <c r="S599" s="4"/>
      <c r="T599" s="4"/>
      <c r="U599" s="4"/>
    </row>
    <row r="600" spans="2:21" hidden="1" thickTop="1" thickBot="1" x14ac:dyDescent="0.3">
      <c r="B600" s="43">
        <v>100518330</v>
      </c>
      <c r="C600" s="44" t="s">
        <v>764</v>
      </c>
      <c r="D600" s="45"/>
      <c r="E600" s="45" t="s">
        <v>44</v>
      </c>
      <c r="F600" s="44" t="s">
        <v>16</v>
      </c>
      <c r="G600" s="44" t="s">
        <v>17</v>
      </c>
      <c r="H600" s="44" t="s">
        <v>18</v>
      </c>
      <c r="I600" s="44" t="s">
        <v>231</v>
      </c>
      <c r="J600" s="44" t="s">
        <v>20</v>
      </c>
      <c r="K600" s="44" t="s">
        <v>751</v>
      </c>
      <c r="L600" s="44" t="s">
        <v>761</v>
      </c>
      <c r="M600" s="44" t="s">
        <v>73</v>
      </c>
      <c r="N600" s="44" t="s">
        <v>23</v>
      </c>
      <c r="O600" s="46" t="s">
        <v>24</v>
      </c>
      <c r="P600"/>
      <c r="Q600" s="4"/>
      <c r="R600" s="4"/>
      <c r="S600" s="4"/>
      <c r="T600" s="4"/>
      <c r="U600" s="4"/>
    </row>
    <row r="601" spans="2:21" hidden="1" thickTop="1" thickBot="1" x14ac:dyDescent="0.3">
      <c r="B601" s="43">
        <v>100010008</v>
      </c>
      <c r="C601" s="44" t="s">
        <v>765</v>
      </c>
      <c r="D601" s="45"/>
      <c r="E601" s="45" t="s">
        <v>44</v>
      </c>
      <c r="F601" s="44" t="s">
        <v>16</v>
      </c>
      <c r="G601" s="44" t="s">
        <v>17</v>
      </c>
      <c r="H601" s="44" t="s">
        <v>18</v>
      </c>
      <c r="I601" s="44" t="s">
        <v>231</v>
      </c>
      <c r="J601" s="44" t="s">
        <v>28</v>
      </c>
      <c r="K601" s="44" t="s">
        <v>751</v>
      </c>
      <c r="L601" s="44" t="s">
        <v>751</v>
      </c>
      <c r="M601" s="44" t="s">
        <v>57</v>
      </c>
      <c r="N601" s="44" t="s">
        <v>23</v>
      </c>
      <c r="O601" s="46" t="s">
        <v>24</v>
      </c>
      <c r="P601"/>
      <c r="Q601" s="4"/>
      <c r="R601" s="4"/>
      <c r="S601" s="4"/>
      <c r="T601" s="4"/>
      <c r="U601" s="4"/>
    </row>
    <row r="602" spans="2:21" hidden="1" thickTop="1" thickBot="1" x14ac:dyDescent="0.3">
      <c r="B602" s="43">
        <v>100522281</v>
      </c>
      <c r="C602" s="44" t="s">
        <v>766</v>
      </c>
      <c r="D602" s="45"/>
      <c r="E602" s="45" t="str">
        <f>IF(ISERR(FIND("PUL",PRODUCTO_MI_AR68[[#This Row],[NOM PRODUCTO]])),"","ME")</f>
        <v>ME</v>
      </c>
      <c r="F602" s="44" t="s">
        <v>16</v>
      </c>
      <c r="G602" s="44" t="s">
        <v>17</v>
      </c>
      <c r="H602" s="44" t="s">
        <v>18</v>
      </c>
      <c r="I602" s="44" t="s">
        <v>231</v>
      </c>
      <c r="J602" s="44" t="s">
        <v>40</v>
      </c>
      <c r="K602" s="44" t="s">
        <v>751</v>
      </c>
      <c r="L602" s="44" t="s">
        <v>751</v>
      </c>
      <c r="M602" s="44" t="s">
        <v>41</v>
      </c>
      <c r="N602" s="44" t="s">
        <v>23</v>
      </c>
      <c r="O602" s="46" t="s">
        <v>24</v>
      </c>
      <c r="P602"/>
      <c r="Q602" s="4"/>
      <c r="R602" s="4"/>
      <c r="S602" s="4"/>
      <c r="T602" s="4"/>
      <c r="U602" s="4"/>
    </row>
    <row r="603" spans="2:21" hidden="1" thickTop="1" thickBot="1" x14ac:dyDescent="0.3">
      <c r="B603" s="43">
        <v>100522741</v>
      </c>
      <c r="C603" s="44" t="s">
        <v>767</v>
      </c>
      <c r="D603" s="45"/>
      <c r="E603" s="45" t="s">
        <v>44</v>
      </c>
      <c r="F603" s="44" t="s">
        <v>16</v>
      </c>
      <c r="G603" s="44" t="s">
        <v>27</v>
      </c>
      <c r="H603" s="44" t="s">
        <v>18</v>
      </c>
      <c r="I603" s="44" t="s">
        <v>231</v>
      </c>
      <c r="J603" s="44" t="s">
        <v>28</v>
      </c>
      <c r="K603" s="44" t="s">
        <v>751</v>
      </c>
      <c r="L603" s="44" t="s">
        <v>751</v>
      </c>
      <c r="M603" s="44" t="s">
        <v>29</v>
      </c>
      <c r="N603" s="44" t="s">
        <v>23</v>
      </c>
      <c r="O603" s="46" t="s">
        <v>24</v>
      </c>
      <c r="P603"/>
      <c r="Q603" s="4"/>
      <c r="R603" s="4"/>
      <c r="S603" s="4"/>
      <c r="T603" s="4"/>
      <c r="U603" s="4"/>
    </row>
    <row r="604" spans="2:21" hidden="1" thickTop="1" thickBot="1" x14ac:dyDescent="0.3">
      <c r="B604" s="43">
        <v>100519054</v>
      </c>
      <c r="C604" s="44" t="s">
        <v>768</v>
      </c>
      <c r="D604" s="45"/>
      <c r="E604" s="45" t="str">
        <f>IF(ISERR(FIND("PUL",PRODUCTO_MI_AR68[[#This Row],[NOM PRODUCTO]])),"","ME")</f>
        <v>ME</v>
      </c>
      <c r="F604" s="44" t="s">
        <v>16</v>
      </c>
      <c r="G604" s="44" t="s">
        <v>17</v>
      </c>
      <c r="H604" s="44" t="s">
        <v>18</v>
      </c>
      <c r="I604" s="44" t="s">
        <v>231</v>
      </c>
      <c r="J604" s="44" t="s">
        <v>28</v>
      </c>
      <c r="K604" s="44" t="s">
        <v>751</v>
      </c>
      <c r="L604" s="44" t="s">
        <v>751</v>
      </c>
      <c r="M604" s="44" t="s">
        <v>29</v>
      </c>
      <c r="N604" s="44" t="str">
        <f>IF(ISERR(FIND("CONG",PRODUCTO_MI_AR68[[#This Row],[NOM PRODUCTO]])),"","CONGELADO")</f>
        <v>CONGELADO</v>
      </c>
      <c r="O604" s="46" t="s">
        <v>24</v>
      </c>
      <c r="P604"/>
      <c r="Q604" s="4"/>
      <c r="R604" s="4"/>
      <c r="S604" s="4"/>
      <c r="T604" s="4"/>
      <c r="U604" s="4"/>
    </row>
    <row r="605" spans="2:21" hidden="1" thickTop="1" thickBot="1" x14ac:dyDescent="0.3">
      <c r="B605" s="43">
        <v>100518937</v>
      </c>
      <c r="C605" s="44" t="s">
        <v>769</v>
      </c>
      <c r="D605" s="45"/>
      <c r="E605" s="45" t="str">
        <f>IF(ISERR(FIND("PUL",PRODUCTO_MI_AR68[[#This Row],[NOM PRODUCTO]])),"","ME")</f>
        <v>ME</v>
      </c>
      <c r="F605" s="44" t="s">
        <v>16</v>
      </c>
      <c r="G605" s="44" t="s">
        <v>17</v>
      </c>
      <c r="H605" s="44" t="s">
        <v>18</v>
      </c>
      <c r="I605" s="44" t="s">
        <v>231</v>
      </c>
      <c r="J605" s="44" t="s">
        <v>28</v>
      </c>
      <c r="K605" s="44" t="s">
        <v>751</v>
      </c>
      <c r="L605" s="44" t="s">
        <v>751</v>
      </c>
      <c r="M605" s="44" t="s">
        <v>29</v>
      </c>
      <c r="N605" s="44" t="str">
        <f>IF(ISERR(FIND("CONG",PRODUCTO_MI_AR68[[#This Row],[NOM PRODUCTO]])),"","CONGELADO")</f>
        <v>CONGELADO</v>
      </c>
      <c r="O605" s="46" t="s">
        <v>24</v>
      </c>
      <c r="P605"/>
      <c r="Q605" s="4"/>
      <c r="R605" s="4"/>
      <c r="S605" s="4"/>
      <c r="T605" s="4"/>
      <c r="U605" s="4"/>
    </row>
    <row r="606" spans="2:21" hidden="1" thickTop="1" thickBot="1" x14ac:dyDescent="0.3">
      <c r="B606" s="43">
        <v>100522382</v>
      </c>
      <c r="C606" s="44" t="s">
        <v>770</v>
      </c>
      <c r="D606" s="45"/>
      <c r="E606" s="45" t="str">
        <f>IF(ISERR(FIND("PUL",PRODUCTO_MI_AR68[[#This Row],[NOM PRODUCTO]])),"","ME")</f>
        <v>ME</v>
      </c>
      <c r="F606" s="44" t="s">
        <v>16</v>
      </c>
      <c r="G606" s="44" t="s">
        <v>17</v>
      </c>
      <c r="H606" s="44" t="s">
        <v>18</v>
      </c>
      <c r="I606" s="44" t="s">
        <v>231</v>
      </c>
      <c r="J606" s="44" t="s">
        <v>28</v>
      </c>
      <c r="K606" s="44" t="s">
        <v>751</v>
      </c>
      <c r="L606" s="44" t="s">
        <v>751</v>
      </c>
      <c r="M606" s="44" t="s">
        <v>29</v>
      </c>
      <c r="N606" s="44" t="s">
        <v>23</v>
      </c>
      <c r="O606" s="46" t="s">
        <v>24</v>
      </c>
      <c r="P606"/>
      <c r="Q606" s="4"/>
      <c r="R606" s="4"/>
      <c r="S606" s="4"/>
      <c r="T606" s="4"/>
      <c r="U606" s="4"/>
    </row>
    <row r="607" spans="2:21" hidden="1" thickTop="1" thickBot="1" x14ac:dyDescent="0.3">
      <c r="B607" s="43">
        <v>100519700</v>
      </c>
      <c r="C607" s="44" t="s">
        <v>771</v>
      </c>
      <c r="D607" s="45"/>
      <c r="E607" s="45" t="s">
        <v>15</v>
      </c>
      <c r="F607" s="44" t="s">
        <v>16</v>
      </c>
      <c r="G607" s="44" t="s">
        <v>17</v>
      </c>
      <c r="H607" s="44" t="s">
        <v>18</v>
      </c>
      <c r="I607" s="44" t="s">
        <v>231</v>
      </c>
      <c r="J607" s="44" t="s">
        <v>40</v>
      </c>
      <c r="K607" s="44" t="s">
        <v>751</v>
      </c>
      <c r="L607" s="44" t="s">
        <v>754</v>
      </c>
      <c r="M607" s="44" t="s">
        <v>41</v>
      </c>
      <c r="N607" s="44" t="s">
        <v>23</v>
      </c>
      <c r="O607" s="46" t="s">
        <v>24</v>
      </c>
      <c r="P607"/>
      <c r="Q607" s="4"/>
      <c r="R607" s="4"/>
      <c r="S607" s="4"/>
      <c r="T607" s="4"/>
      <c r="U607" s="4"/>
    </row>
    <row r="608" spans="2:21" hidden="1" thickTop="1" thickBot="1" x14ac:dyDescent="0.3">
      <c r="B608" s="43">
        <v>100519055</v>
      </c>
      <c r="C608" s="44" t="s">
        <v>772</v>
      </c>
      <c r="D608" s="45"/>
      <c r="E608" s="45" t="str">
        <f>IF(ISERR(FIND("PUL",PRODUCTO_MI_AR68[[#This Row],[NOM PRODUCTO]])),"","ME")</f>
        <v>ME</v>
      </c>
      <c r="F608" s="44" t="s">
        <v>16</v>
      </c>
      <c r="G608" s="44" t="s">
        <v>17</v>
      </c>
      <c r="H608" s="44" t="s">
        <v>18</v>
      </c>
      <c r="I608" s="44" t="s">
        <v>231</v>
      </c>
      <c r="J608" s="44" t="s">
        <v>28</v>
      </c>
      <c r="K608" s="44" t="s">
        <v>751</v>
      </c>
      <c r="L608" s="44" t="s">
        <v>751</v>
      </c>
      <c r="M608" s="44" t="s">
        <v>29</v>
      </c>
      <c r="N608" s="44" t="s">
        <v>23</v>
      </c>
      <c r="O608" s="46" t="s">
        <v>24</v>
      </c>
      <c r="P608"/>
      <c r="Q608" s="4"/>
      <c r="R608" s="4"/>
      <c r="S608" s="4"/>
      <c r="T608" s="4"/>
      <c r="U608" s="4"/>
    </row>
    <row r="609" spans="2:21" hidden="1" thickTop="1" thickBot="1" x14ac:dyDescent="0.3">
      <c r="B609" s="43">
        <v>100519862</v>
      </c>
      <c r="C609" s="44" t="s">
        <v>773</v>
      </c>
      <c r="D609" s="45"/>
      <c r="E609" s="45" t="str">
        <f>IF(ISERR(FIND("CLL",PRODUCTO_MI_AR68[[#This Row],[NOM PRODUCTO]])),"","ME")</f>
        <v>ME</v>
      </c>
      <c r="F609" s="44" t="s">
        <v>16</v>
      </c>
      <c r="G609" s="44" t="s">
        <v>17</v>
      </c>
      <c r="H609" s="44" t="s">
        <v>18</v>
      </c>
      <c r="I609" s="44" t="s">
        <v>231</v>
      </c>
      <c r="J609" s="44" t="s">
        <v>20</v>
      </c>
      <c r="K609" s="44" t="s">
        <v>751</v>
      </c>
      <c r="L609" s="44" t="s">
        <v>751</v>
      </c>
      <c r="M609" s="44" t="s">
        <v>22</v>
      </c>
      <c r="N609" s="44" t="s">
        <v>23</v>
      </c>
      <c r="O609" s="46" t="s">
        <v>24</v>
      </c>
      <c r="P609"/>
      <c r="Q609" s="4"/>
      <c r="R609" s="4"/>
      <c r="S609" s="4"/>
      <c r="T609" s="4"/>
      <c r="U609" s="4"/>
    </row>
    <row r="610" spans="2:21" hidden="1" thickTop="1" thickBot="1" x14ac:dyDescent="0.3">
      <c r="B610" s="43">
        <v>100522452</v>
      </c>
      <c r="C610" s="44" t="s">
        <v>774</v>
      </c>
      <c r="D610" s="45"/>
      <c r="E610" s="45" t="s">
        <v>44</v>
      </c>
      <c r="F610" s="44" t="s">
        <v>16</v>
      </c>
      <c r="G610" s="44" t="s">
        <v>17</v>
      </c>
      <c r="H610" s="44" t="s">
        <v>18</v>
      </c>
      <c r="I610" s="44" t="s">
        <v>231</v>
      </c>
      <c r="J610" s="44" t="s">
        <v>20</v>
      </c>
      <c r="K610" s="44" t="s">
        <v>751</v>
      </c>
      <c r="L610" s="44" t="s">
        <v>754</v>
      </c>
      <c r="M610" s="44" t="s">
        <v>22</v>
      </c>
      <c r="N610" s="44" t="s">
        <v>23</v>
      </c>
      <c r="O610" s="46" t="s">
        <v>24</v>
      </c>
      <c r="P610"/>
      <c r="Q610" s="4"/>
      <c r="R610" s="4"/>
      <c r="S610" s="4"/>
      <c r="T610" s="4"/>
      <c r="U610" s="4"/>
    </row>
    <row r="611" spans="2:21" hidden="1" thickTop="1" thickBot="1" x14ac:dyDescent="0.3">
      <c r="B611" s="43">
        <v>100522497</v>
      </c>
      <c r="C611" s="44" t="s">
        <v>775</v>
      </c>
      <c r="D611" s="45"/>
      <c r="E611" s="45" t="s">
        <v>15</v>
      </c>
      <c r="F611" s="44" t="s">
        <v>16</v>
      </c>
      <c r="G611" s="44" t="s">
        <v>17</v>
      </c>
      <c r="H611" s="44" t="s">
        <v>18</v>
      </c>
      <c r="I611" s="44" t="s">
        <v>231</v>
      </c>
      <c r="J611" s="44" t="s">
        <v>28</v>
      </c>
      <c r="K611" s="44" t="s">
        <v>751</v>
      </c>
      <c r="L611" s="44" t="s">
        <v>754</v>
      </c>
      <c r="M611" s="44" t="s">
        <v>29</v>
      </c>
      <c r="N611" s="44" t="str">
        <f>IF(ISERR(FIND("CONG",PRODUCTO_MI_AR68[[#This Row],[NOM PRODUCTO]])),"","CONGELADO")</f>
        <v>CONGELADO</v>
      </c>
      <c r="O611" s="46" t="s">
        <v>24</v>
      </c>
      <c r="P611"/>
      <c r="Q611" s="4"/>
      <c r="R611" s="4"/>
      <c r="S611" s="4"/>
      <c r="T611" s="4"/>
      <c r="U611" s="4"/>
    </row>
    <row r="612" spans="2:21" hidden="1" thickTop="1" thickBot="1" x14ac:dyDescent="0.3">
      <c r="B612" s="43">
        <v>100522491</v>
      </c>
      <c r="C612" s="44" t="s">
        <v>776</v>
      </c>
      <c r="D612" s="45"/>
      <c r="E612" s="45" t="s">
        <v>15</v>
      </c>
      <c r="F612" s="44" t="s">
        <v>16</v>
      </c>
      <c r="G612" s="44" t="s">
        <v>17</v>
      </c>
      <c r="H612" s="44" t="s">
        <v>18</v>
      </c>
      <c r="I612" s="44" t="s">
        <v>231</v>
      </c>
      <c r="J612" s="44" t="s">
        <v>28</v>
      </c>
      <c r="K612" s="44" t="s">
        <v>751</v>
      </c>
      <c r="L612" s="44" t="s">
        <v>754</v>
      </c>
      <c r="M612" s="44" t="s">
        <v>29</v>
      </c>
      <c r="N612" s="44" t="str">
        <f>IF(ISERR(FIND("CONG",PRODUCTO_MI_AR68[[#This Row],[NOM PRODUCTO]])),"","CONGELADO")</f>
        <v>CONGELADO</v>
      </c>
      <c r="O612" s="46" t="s">
        <v>24</v>
      </c>
      <c r="P612"/>
      <c r="Q612" s="4"/>
      <c r="R612" s="4"/>
      <c r="S612" s="4"/>
      <c r="T612" s="4"/>
      <c r="U612" s="4"/>
    </row>
    <row r="613" spans="2:21" hidden="1" thickTop="1" thickBot="1" x14ac:dyDescent="0.3">
      <c r="B613" s="43">
        <v>100520231</v>
      </c>
      <c r="C613" s="44" t="s">
        <v>777</v>
      </c>
      <c r="D613" s="45"/>
      <c r="E613" s="45" t="str">
        <f>IF(ISERR(FIND("PUL",PRODUCTO_MI_AR68[[#This Row],[NOM PRODUCTO]])),"","ME")</f>
        <v>ME</v>
      </c>
      <c r="F613" s="44" t="s">
        <v>16</v>
      </c>
      <c r="G613" s="44" t="s">
        <v>17</v>
      </c>
      <c r="H613" s="44" t="s">
        <v>18</v>
      </c>
      <c r="I613" s="44" t="s">
        <v>231</v>
      </c>
      <c r="J613" s="44" t="s">
        <v>28</v>
      </c>
      <c r="K613" s="44" t="s">
        <v>751</v>
      </c>
      <c r="L613" s="44" t="s">
        <v>751</v>
      </c>
      <c r="M613" s="44" t="s">
        <v>29</v>
      </c>
      <c r="N613" s="44" t="str">
        <f>IF(ISERR(FIND("CONG",PRODUCTO_MI_AR68[[#This Row],[NOM PRODUCTO]])),"","CONGELADO")</f>
        <v>CONGELADO</v>
      </c>
      <c r="O613" s="46" t="s">
        <v>24</v>
      </c>
      <c r="P613"/>
      <c r="Q613" s="4"/>
      <c r="R613" s="4"/>
      <c r="S613" s="4"/>
      <c r="T613" s="4"/>
      <c r="U613" s="4"/>
    </row>
    <row r="614" spans="2:21" hidden="1" thickTop="1" thickBot="1" x14ac:dyDescent="0.3">
      <c r="B614" s="43">
        <v>100521348</v>
      </c>
      <c r="C614" s="44" t="s">
        <v>778</v>
      </c>
      <c r="D614" s="45"/>
      <c r="E614" s="45" t="str">
        <f>IF(ISERR(FIND("CLL",PRODUCTO_MI_AR68[[#This Row],[NOM PRODUCTO]])),"","ME")</f>
        <v>ME</v>
      </c>
      <c r="F614" s="44" t="s">
        <v>16</v>
      </c>
      <c r="G614" s="44" t="s">
        <v>17</v>
      </c>
      <c r="H614" s="44" t="s">
        <v>18</v>
      </c>
      <c r="I614" s="44" t="s">
        <v>231</v>
      </c>
      <c r="J614" s="44" t="s">
        <v>20</v>
      </c>
      <c r="K614" s="44" t="s">
        <v>751</v>
      </c>
      <c r="L614" s="44" t="s">
        <v>751</v>
      </c>
      <c r="M614" s="44" t="s">
        <v>22</v>
      </c>
      <c r="N614" s="44" t="s">
        <v>23</v>
      </c>
      <c r="O614" s="46" t="s">
        <v>24</v>
      </c>
      <c r="P614"/>
      <c r="Q614" s="4"/>
      <c r="R614" s="4"/>
      <c r="S614" s="4"/>
      <c r="T614" s="4"/>
      <c r="U614" s="4"/>
    </row>
    <row r="615" spans="2:21" hidden="1" thickTop="1" thickBot="1" x14ac:dyDescent="0.3">
      <c r="B615" s="43">
        <v>100013207</v>
      </c>
      <c r="C615" s="44" t="s">
        <v>779</v>
      </c>
      <c r="D615" s="45"/>
      <c r="E615" s="45" t="s">
        <v>44</v>
      </c>
      <c r="F615" s="44" t="s">
        <v>16</v>
      </c>
      <c r="G615" s="44" t="s">
        <v>17</v>
      </c>
      <c r="H615" s="44" t="s">
        <v>18</v>
      </c>
      <c r="I615" s="44" t="s">
        <v>231</v>
      </c>
      <c r="J615" s="44" t="s">
        <v>28</v>
      </c>
      <c r="K615" s="44" t="s">
        <v>751</v>
      </c>
      <c r="L615" s="44" t="s">
        <v>751</v>
      </c>
      <c r="M615" s="44" t="s">
        <v>57</v>
      </c>
      <c r="N615" s="44" t="str">
        <f>IF(ISERR(FIND("CONG",PRODUCTO_MI_AR68[[#This Row],[NOM PRODUCTO]])),"","CONGELADO")</f>
        <v>CONGELADO</v>
      </c>
      <c r="O615" s="46" t="s">
        <v>24</v>
      </c>
      <c r="P615"/>
      <c r="Q615" s="4"/>
      <c r="R615" s="4"/>
      <c r="S615" s="4"/>
      <c r="T615" s="4"/>
      <c r="U615" s="4"/>
    </row>
    <row r="616" spans="2:21" hidden="1" thickTop="1" thickBot="1" x14ac:dyDescent="0.3">
      <c r="B616" s="43">
        <v>100012202</v>
      </c>
      <c r="C616" s="44" t="s">
        <v>780</v>
      </c>
      <c r="D616" s="45"/>
      <c r="E616" s="45" t="s">
        <v>44</v>
      </c>
      <c r="F616" s="44" t="s">
        <v>16</v>
      </c>
      <c r="G616" s="44" t="s">
        <v>17</v>
      </c>
      <c r="H616" s="44" t="s">
        <v>18</v>
      </c>
      <c r="I616" s="44" t="s">
        <v>231</v>
      </c>
      <c r="J616" s="44" t="s">
        <v>28</v>
      </c>
      <c r="K616" s="44" t="s">
        <v>751</v>
      </c>
      <c r="L616" s="44" t="s">
        <v>751</v>
      </c>
      <c r="M616" s="44" t="s">
        <v>57</v>
      </c>
      <c r="N616" s="44" t="s">
        <v>23</v>
      </c>
      <c r="O616" s="46" t="s">
        <v>24</v>
      </c>
      <c r="P616"/>
      <c r="Q616" s="4"/>
      <c r="R616" s="4"/>
      <c r="S616" s="4"/>
      <c r="T616" s="4"/>
      <c r="U616" s="4"/>
    </row>
    <row r="617" spans="2:21" ht="18" hidden="1" customHeight="1" thickTop="1" thickBot="1" x14ac:dyDescent="0.3">
      <c r="B617" s="43">
        <v>100013151</v>
      </c>
      <c r="C617" s="44" t="s">
        <v>781</v>
      </c>
      <c r="D617" s="45"/>
      <c r="E617" s="45" t="str">
        <f>IF(ISERR(FIND("VENTA LOCAL",PRODUCTO_MI_AR68[[#This Row],[NOM PRODUCTO]])),"","MI")</f>
        <v>MI</v>
      </c>
      <c r="F617" s="44" t="s">
        <v>16</v>
      </c>
      <c r="G617" s="44" t="s">
        <v>17</v>
      </c>
      <c r="H617" s="44" t="s">
        <v>18</v>
      </c>
      <c r="I617" s="44" t="s">
        <v>231</v>
      </c>
      <c r="J617" s="44" t="s">
        <v>28</v>
      </c>
      <c r="K617" s="44" t="s">
        <v>751</v>
      </c>
      <c r="L617" s="44" t="s">
        <v>751</v>
      </c>
      <c r="M617" s="44" t="s">
        <v>57</v>
      </c>
      <c r="N617" s="44" t="s">
        <v>23</v>
      </c>
      <c r="O617" s="46" t="s">
        <v>24</v>
      </c>
      <c r="P617"/>
      <c r="Q617" s="4"/>
      <c r="R617" s="4"/>
      <c r="S617" s="4"/>
      <c r="T617" s="4"/>
      <c r="U617" s="4"/>
    </row>
    <row r="618" spans="2:21" ht="18" hidden="1" customHeight="1" thickTop="1" thickBot="1" x14ac:dyDescent="0.3">
      <c r="B618" s="43">
        <v>100516924</v>
      </c>
      <c r="C618" s="44" t="s">
        <v>782</v>
      </c>
      <c r="D618" s="45"/>
      <c r="E618" s="45" t="s">
        <v>44</v>
      </c>
      <c r="F618" s="44" t="s">
        <v>16</v>
      </c>
      <c r="G618" s="44" t="s">
        <v>17</v>
      </c>
      <c r="H618" s="44" t="s">
        <v>18</v>
      </c>
      <c r="I618" s="44" t="s">
        <v>231</v>
      </c>
      <c r="J618" s="44" t="s">
        <v>28</v>
      </c>
      <c r="K618" s="44" t="s">
        <v>751</v>
      </c>
      <c r="L618" s="44" t="s">
        <v>761</v>
      </c>
      <c r="M618" s="44" t="s">
        <v>57</v>
      </c>
      <c r="N618" s="44" t="s">
        <v>23</v>
      </c>
      <c r="O618" s="46" t="s">
        <v>24</v>
      </c>
      <c r="P618"/>
      <c r="Q618" s="4"/>
      <c r="R618" s="4"/>
      <c r="S618" s="4"/>
      <c r="T618" s="4"/>
      <c r="U618" s="4"/>
    </row>
    <row r="619" spans="2:21" ht="18" hidden="1" customHeight="1" thickTop="1" thickBot="1" x14ac:dyDescent="0.3">
      <c r="B619" s="43">
        <v>100523042</v>
      </c>
      <c r="C619" s="44" t="s">
        <v>783</v>
      </c>
      <c r="D619" s="45"/>
      <c r="E619" s="45" t="s">
        <v>44</v>
      </c>
      <c r="F619" s="44" t="s">
        <v>16</v>
      </c>
      <c r="G619" s="44" t="s">
        <v>27</v>
      </c>
      <c r="H619" s="44" t="s">
        <v>18</v>
      </c>
      <c r="I619" s="44" t="s">
        <v>231</v>
      </c>
      <c r="J619" s="44" t="s">
        <v>28</v>
      </c>
      <c r="K619" s="44" t="s">
        <v>751</v>
      </c>
      <c r="L619" s="44" t="s">
        <v>754</v>
      </c>
      <c r="M619" s="44" t="s">
        <v>29</v>
      </c>
      <c r="N619" s="44" t="s">
        <v>23</v>
      </c>
      <c r="O619" s="46" t="s">
        <v>24</v>
      </c>
      <c r="P619"/>
      <c r="Q619" s="4"/>
      <c r="R619" s="4"/>
      <c r="S619" s="4"/>
      <c r="T619" s="4"/>
      <c r="U619" s="4"/>
    </row>
    <row r="620" spans="2:21" ht="18" hidden="1" customHeight="1" thickTop="1" thickBot="1" x14ac:dyDescent="0.3">
      <c r="B620" s="43">
        <v>100516396</v>
      </c>
      <c r="C620" s="44" t="s">
        <v>784</v>
      </c>
      <c r="D620" s="45"/>
      <c r="E620" s="45" t="s">
        <v>44</v>
      </c>
      <c r="F620" s="44" t="s">
        <v>16</v>
      </c>
      <c r="G620" s="44" t="s">
        <v>17</v>
      </c>
      <c r="H620" s="44" t="s">
        <v>18</v>
      </c>
      <c r="I620" s="44" t="s">
        <v>231</v>
      </c>
      <c r="J620" s="44" t="s">
        <v>28</v>
      </c>
      <c r="K620" s="44" t="s">
        <v>751</v>
      </c>
      <c r="L620" s="44" t="s">
        <v>785</v>
      </c>
      <c r="M620" s="44" t="s">
        <v>57</v>
      </c>
      <c r="N620" s="44" t="str">
        <f>IF(ISERR(FIND("CONG",PRODUCTO_MI_AR68[[#This Row],[NOM PRODUCTO]])),"","CONGELADO")</f>
        <v>CONGELADO</v>
      </c>
      <c r="O620" s="46" t="s">
        <v>24</v>
      </c>
      <c r="P620"/>
      <c r="Q620" s="4"/>
      <c r="R620" s="4"/>
      <c r="S620" s="4"/>
      <c r="T620" s="4"/>
      <c r="U620" s="4"/>
    </row>
    <row r="621" spans="2:21" ht="18" hidden="1" customHeight="1" thickTop="1" thickBot="1" x14ac:dyDescent="0.3">
      <c r="B621" s="43">
        <v>100011564</v>
      </c>
      <c r="C621" s="44" t="s">
        <v>786</v>
      </c>
      <c r="D621" s="45"/>
      <c r="E621" s="45" t="s">
        <v>44</v>
      </c>
      <c r="F621" s="44" t="s">
        <v>16</v>
      </c>
      <c r="G621" s="44" t="s">
        <v>17</v>
      </c>
      <c r="H621" s="44" t="s">
        <v>18</v>
      </c>
      <c r="I621" s="44" t="s">
        <v>231</v>
      </c>
      <c r="J621" s="44" t="s">
        <v>28</v>
      </c>
      <c r="K621" s="44" t="s">
        <v>751</v>
      </c>
      <c r="L621" s="44" t="s">
        <v>785</v>
      </c>
      <c r="M621" s="44" t="s">
        <v>57</v>
      </c>
      <c r="N621" s="44" t="s">
        <v>23</v>
      </c>
      <c r="O621" s="46" t="s">
        <v>24</v>
      </c>
      <c r="P621"/>
      <c r="Q621" s="4"/>
      <c r="R621" s="4"/>
      <c r="S621" s="4"/>
      <c r="T621" s="4"/>
      <c r="U621" s="4"/>
    </row>
    <row r="622" spans="2:21" ht="18" hidden="1" customHeight="1" thickTop="1" thickBot="1" x14ac:dyDescent="0.3">
      <c r="B622" s="43">
        <v>100521469</v>
      </c>
      <c r="C622" s="44" t="s">
        <v>787</v>
      </c>
      <c r="D622" s="45"/>
      <c r="E622" s="45" t="str">
        <f>IF(ISERR(FIND("PUL",PRODUCTO_MI_AR68[[#This Row],[NOM PRODUCTO]])),"","ME")</f>
        <v>ME</v>
      </c>
      <c r="F622" s="44" t="s">
        <v>16</v>
      </c>
      <c r="G622" s="44" t="s">
        <v>17</v>
      </c>
      <c r="H622" s="44" t="s">
        <v>18</v>
      </c>
      <c r="I622" s="44" t="s">
        <v>231</v>
      </c>
      <c r="J622" s="44" t="s">
        <v>28</v>
      </c>
      <c r="K622" s="44" t="s">
        <v>751</v>
      </c>
      <c r="L622" s="44" t="s">
        <v>751</v>
      </c>
      <c r="M622" s="44" t="s">
        <v>29</v>
      </c>
      <c r="N622" s="44" t="str">
        <f>IF(ISERR(FIND("CONG",PRODUCTO_MI_AR68[[#This Row],[NOM PRODUCTO]])),"","CONGELADO")</f>
        <v>CONGELADO</v>
      </c>
      <c r="O622" s="46" t="s">
        <v>24</v>
      </c>
      <c r="P622"/>
      <c r="Q622" s="4"/>
      <c r="R622" s="4"/>
      <c r="S622" s="4"/>
      <c r="T622" s="4"/>
      <c r="U622" s="4"/>
    </row>
    <row r="623" spans="2:21" ht="18" hidden="1" customHeight="1" thickTop="1" thickBot="1" x14ac:dyDescent="0.3">
      <c r="B623" s="43">
        <v>100522198</v>
      </c>
      <c r="C623" s="44" t="s">
        <v>788</v>
      </c>
      <c r="D623" s="45"/>
      <c r="E623" s="45" t="str">
        <f>IF(ISERR(FIND("INTERCOMPANY",PRODUCTO_MI_AR68[[#This Row],[NOM PRODUCTO]])),"","MI")</f>
        <v>MI</v>
      </c>
      <c r="F623" s="44" t="s">
        <v>16</v>
      </c>
      <c r="G623" s="44" t="s">
        <v>17</v>
      </c>
      <c r="H623" s="44" t="s">
        <v>18</v>
      </c>
      <c r="I623" s="44" t="s">
        <v>231</v>
      </c>
      <c r="J623" s="44" t="s">
        <v>28</v>
      </c>
      <c r="K623" s="44" t="s">
        <v>751</v>
      </c>
      <c r="L623" s="44" t="s">
        <v>751</v>
      </c>
      <c r="M623" s="44" t="s">
        <v>29</v>
      </c>
      <c r="N623" s="44" t="str">
        <f>IF(ISERR(FIND("CONG",PRODUCTO_MI_AR68[[#This Row],[NOM PRODUCTO]])),"","CONGELADO")</f>
        <v>CONGELADO</v>
      </c>
      <c r="O623" s="46" t="s">
        <v>24</v>
      </c>
      <c r="P623"/>
      <c r="Q623" s="4"/>
      <c r="R623" s="4"/>
      <c r="S623" s="4"/>
      <c r="T623" s="4"/>
      <c r="U623" s="4"/>
    </row>
    <row r="624" spans="2:21" ht="18" hidden="1" customHeight="1" thickTop="1" thickBot="1" x14ac:dyDescent="0.3">
      <c r="B624" s="43">
        <v>100519364</v>
      </c>
      <c r="C624" s="44" t="s">
        <v>789</v>
      </c>
      <c r="D624" s="45"/>
      <c r="E624" s="45" t="str">
        <f>IF(ISERR(FIND("PUL",PRODUCTO_MI_AR68[[#This Row],[NOM PRODUCTO]])),"","ME")</f>
        <v>ME</v>
      </c>
      <c r="F624" s="44" t="s">
        <v>16</v>
      </c>
      <c r="G624" s="44" t="s">
        <v>17</v>
      </c>
      <c r="H624" s="44" t="s">
        <v>18</v>
      </c>
      <c r="I624" s="44" t="s">
        <v>231</v>
      </c>
      <c r="J624" s="44" t="s">
        <v>28</v>
      </c>
      <c r="K624" s="44" t="s">
        <v>751</v>
      </c>
      <c r="L624" s="44" t="s">
        <v>751</v>
      </c>
      <c r="M624" s="44" t="s">
        <v>29</v>
      </c>
      <c r="N624" s="44" t="str">
        <f>IF(ISERR(FIND("CONG",PRODUCTO_MI_AR68[[#This Row],[NOM PRODUCTO]])),"","CONGELADO")</f>
        <v>CONGELADO</v>
      </c>
      <c r="O624" s="46" t="s">
        <v>24</v>
      </c>
      <c r="P624"/>
      <c r="Q624" s="4"/>
      <c r="R624" s="4"/>
      <c r="S624" s="4"/>
      <c r="T624" s="4"/>
      <c r="U624" s="4"/>
    </row>
    <row r="625" spans="2:21" ht="18" hidden="1" customHeight="1" thickTop="1" thickBot="1" x14ac:dyDescent="0.3">
      <c r="B625" s="43">
        <v>100522171</v>
      </c>
      <c r="C625" s="44" t="s">
        <v>790</v>
      </c>
      <c r="D625" s="45"/>
      <c r="E625" s="45" t="s">
        <v>44</v>
      </c>
      <c r="F625" s="44" t="s">
        <v>16</v>
      </c>
      <c r="G625" s="44" t="s">
        <v>17</v>
      </c>
      <c r="H625" s="44" t="s">
        <v>18</v>
      </c>
      <c r="I625" s="44" t="s">
        <v>231</v>
      </c>
      <c r="J625" s="44" t="s">
        <v>28</v>
      </c>
      <c r="K625" s="44" t="s">
        <v>751</v>
      </c>
      <c r="L625" s="44" t="s">
        <v>751</v>
      </c>
      <c r="M625" s="44" t="s">
        <v>29</v>
      </c>
      <c r="N625" s="44" t="s">
        <v>23</v>
      </c>
      <c r="O625" s="46" t="s">
        <v>24</v>
      </c>
      <c r="P625"/>
      <c r="Q625" s="4"/>
      <c r="R625" s="4"/>
      <c r="S625" s="4"/>
      <c r="T625" s="4"/>
      <c r="U625" s="4"/>
    </row>
    <row r="626" spans="2:21" ht="18" hidden="1" customHeight="1" thickTop="1" thickBot="1" x14ac:dyDescent="0.3">
      <c r="B626" s="43">
        <v>100522264</v>
      </c>
      <c r="C626" s="44" t="s">
        <v>790</v>
      </c>
      <c r="D626" s="45"/>
      <c r="E626" s="45" t="str">
        <f>IF(ISERR(FIND("PUL",PRODUCTO_MI_AR68[[#This Row],[NOM PRODUCTO]])),"","ME")</f>
        <v>ME</v>
      </c>
      <c r="F626" s="44" t="s">
        <v>16</v>
      </c>
      <c r="G626" s="44" t="s">
        <v>27</v>
      </c>
      <c r="H626" s="44" t="s">
        <v>18</v>
      </c>
      <c r="I626" s="44" t="s">
        <v>231</v>
      </c>
      <c r="J626" s="44" t="s">
        <v>28</v>
      </c>
      <c r="K626" s="44" t="s">
        <v>751</v>
      </c>
      <c r="L626" s="44" t="s">
        <v>751</v>
      </c>
      <c r="M626" s="44" t="s">
        <v>29</v>
      </c>
      <c r="N626" s="44" t="s">
        <v>23</v>
      </c>
      <c r="O626" s="46" t="s">
        <v>24</v>
      </c>
      <c r="P626"/>
      <c r="Q626" s="4"/>
      <c r="R626" s="4"/>
      <c r="S626" s="4"/>
      <c r="T626" s="4"/>
      <c r="U626" s="4"/>
    </row>
    <row r="627" spans="2:21" ht="18" hidden="1" customHeight="1" thickTop="1" thickBot="1" x14ac:dyDescent="0.3">
      <c r="B627" s="43">
        <v>100521455</v>
      </c>
      <c r="C627" s="44" t="s">
        <v>791</v>
      </c>
      <c r="D627" s="45" t="s">
        <v>43</v>
      </c>
      <c r="E627" s="45" t="s">
        <v>44</v>
      </c>
      <c r="F627" s="44" t="s">
        <v>16</v>
      </c>
      <c r="G627" s="44" t="s">
        <v>17</v>
      </c>
      <c r="H627" s="44" t="s">
        <v>213</v>
      </c>
      <c r="I627" s="44" t="s">
        <v>46</v>
      </c>
      <c r="J627" s="44" t="s">
        <v>28</v>
      </c>
      <c r="K627" s="44" t="str">
        <f>PRODUCTO_MI_AR68[[#This Row],[NOM SUBFAMILIA COMERCIAL]]</f>
        <v>REBOZADO DE VEGETAL</v>
      </c>
      <c r="L627" s="44" t="s">
        <v>410</v>
      </c>
      <c r="M627" s="44" t="s">
        <v>57</v>
      </c>
      <c r="N627" s="44" t="s">
        <v>193</v>
      </c>
      <c r="O627" s="46" t="s">
        <v>49</v>
      </c>
      <c r="P627"/>
      <c r="Q627" s="4"/>
      <c r="R627" s="4"/>
      <c r="S627" s="4"/>
      <c r="T627" s="4"/>
      <c r="U627" s="4"/>
    </row>
    <row r="628" spans="2:21" ht="18" hidden="1" customHeight="1" thickTop="1" thickBot="1" x14ac:dyDescent="0.3">
      <c r="B628" s="43">
        <v>100521457</v>
      </c>
      <c r="C628" s="44" t="s">
        <v>792</v>
      </c>
      <c r="D628" s="45" t="s">
        <v>43</v>
      </c>
      <c r="E628" s="45" t="s">
        <v>44</v>
      </c>
      <c r="F628" s="44" t="s">
        <v>16</v>
      </c>
      <c r="G628" s="44" t="s">
        <v>17</v>
      </c>
      <c r="H628" s="44" t="s">
        <v>213</v>
      </c>
      <c r="I628" s="44" t="s">
        <v>46</v>
      </c>
      <c r="J628" s="44" t="s">
        <v>28</v>
      </c>
      <c r="K628" s="44" t="str">
        <f>PRODUCTO_MI_AR68[[#This Row],[NOM SUBFAMILIA COMERCIAL]]</f>
        <v>REBOZADO DE VEGETAL</v>
      </c>
      <c r="L628" s="44" t="s">
        <v>410</v>
      </c>
      <c r="M628" s="44" t="s">
        <v>57</v>
      </c>
      <c r="N628" s="44" t="s">
        <v>193</v>
      </c>
      <c r="O628" s="46" t="s">
        <v>49</v>
      </c>
      <c r="P628"/>
      <c r="Q628" s="4"/>
      <c r="R628" s="4"/>
      <c r="S628" s="4"/>
      <c r="T628" s="4"/>
      <c r="U628" s="4"/>
    </row>
    <row r="629" spans="2:21" ht="18" hidden="1" customHeight="1" thickTop="1" thickBot="1" x14ac:dyDescent="0.3">
      <c r="B629" s="43">
        <v>100016149</v>
      </c>
      <c r="C629" s="44" t="s">
        <v>793</v>
      </c>
      <c r="D629" s="45"/>
      <c r="E629" s="45" t="s">
        <v>44</v>
      </c>
      <c r="F629" s="44" t="s">
        <v>16</v>
      </c>
      <c r="G629" s="44" t="s">
        <v>17</v>
      </c>
      <c r="H629" s="44" t="s">
        <v>18</v>
      </c>
      <c r="I629" s="44" t="s">
        <v>97</v>
      </c>
      <c r="J629" s="44" t="s">
        <v>28</v>
      </c>
      <c r="K629" s="44" t="s">
        <v>98</v>
      </c>
      <c r="L629" s="44" t="s">
        <v>794</v>
      </c>
      <c r="M629" s="44" t="s">
        <v>62</v>
      </c>
      <c r="N629" s="44" t="str">
        <f>IF(ISERR(FIND("CONG",PRODUCTO_MI_AR68[[#This Row],[NOM PRODUCTO]])),"","CONGELADO")</f>
        <v>CONGELADO</v>
      </c>
      <c r="O629" s="46" t="s">
        <v>98</v>
      </c>
      <c r="P629"/>
      <c r="Q629" s="4"/>
      <c r="R629" s="4"/>
      <c r="S629" s="4"/>
      <c r="T629" s="4"/>
      <c r="U629" s="4"/>
    </row>
    <row r="630" spans="2:21" ht="18" hidden="1" customHeight="1" thickTop="1" thickBot="1" x14ac:dyDescent="0.3">
      <c r="B630" s="43">
        <v>100521519</v>
      </c>
      <c r="C630" s="44" t="s">
        <v>795</v>
      </c>
      <c r="D630" s="45"/>
      <c r="E630" s="45" t="str">
        <f>IF(ISERR(FIND("ISRAEL",PRODUCTO_MI_AR68[[#This Row],[NOM PRODUCTO]])),"","ME")</f>
        <v>ME</v>
      </c>
      <c r="F630" s="44" t="s">
        <v>16</v>
      </c>
      <c r="G630" s="44" t="s">
        <v>17</v>
      </c>
      <c r="H630" s="44" t="s">
        <v>18</v>
      </c>
      <c r="I630" s="44" t="s">
        <v>101</v>
      </c>
      <c r="J630" s="44" t="s">
        <v>28</v>
      </c>
      <c r="K630" s="44" t="s">
        <v>102</v>
      </c>
      <c r="L630" s="44" t="s">
        <v>796</v>
      </c>
      <c r="M630" s="44" t="s">
        <v>29</v>
      </c>
      <c r="N630" s="44" t="s">
        <v>23</v>
      </c>
      <c r="O630" s="46" t="s">
        <v>24</v>
      </c>
      <c r="P630"/>
      <c r="Q630" s="4"/>
      <c r="R630" s="4"/>
      <c r="S630" s="4"/>
      <c r="T630" s="4"/>
      <c r="U630" s="4"/>
    </row>
    <row r="631" spans="2:21" ht="18" hidden="1" customHeight="1" thickTop="1" thickBot="1" x14ac:dyDescent="0.3">
      <c r="B631" s="43">
        <v>100520489</v>
      </c>
      <c r="C631" s="44" t="s">
        <v>797</v>
      </c>
      <c r="D631" s="45"/>
      <c r="E631" s="45" t="str">
        <f>IF(ISERR(FIND("ISRAEL",PRODUCTO_MI_AR68[[#This Row],[NOM PRODUCTO]])),"","ME")</f>
        <v>ME</v>
      </c>
      <c r="F631" s="44" t="s">
        <v>16</v>
      </c>
      <c r="G631" s="44" t="s">
        <v>17</v>
      </c>
      <c r="H631" s="44" t="s">
        <v>18</v>
      </c>
      <c r="I631" s="44" t="s">
        <v>101</v>
      </c>
      <c r="J631" s="44" t="s">
        <v>28</v>
      </c>
      <c r="K631" s="44" t="s">
        <v>102</v>
      </c>
      <c r="L631" s="44" t="s">
        <v>796</v>
      </c>
      <c r="M631" s="44" t="s">
        <v>29</v>
      </c>
      <c r="N631" s="44" t="s">
        <v>23</v>
      </c>
      <c r="O631" s="46" t="s">
        <v>24</v>
      </c>
      <c r="P631"/>
      <c r="Q631" s="4"/>
      <c r="R631" s="4"/>
      <c r="S631" s="4"/>
      <c r="T631" s="4"/>
      <c r="U631" s="4"/>
    </row>
    <row r="632" spans="2:21" ht="18" hidden="1" customHeight="1" thickTop="1" thickBot="1" x14ac:dyDescent="0.3">
      <c r="B632" s="43">
        <v>100520517</v>
      </c>
      <c r="C632" s="44" t="s">
        <v>798</v>
      </c>
      <c r="D632" s="45"/>
      <c r="E632" s="45" t="str">
        <f>IF(ISERR(FIND("KOSHER",PRODUCTO_MI_AR68[[#This Row],[NOM PRODUCTO]])),"","ME")</f>
        <v>ME</v>
      </c>
      <c r="F632" s="44" t="s">
        <v>16</v>
      </c>
      <c r="G632" s="44" t="s">
        <v>17</v>
      </c>
      <c r="H632" s="44" t="s">
        <v>18</v>
      </c>
      <c r="I632" s="44" t="s">
        <v>101</v>
      </c>
      <c r="J632" s="44" t="s">
        <v>28</v>
      </c>
      <c r="K632" s="44" t="s">
        <v>102</v>
      </c>
      <c r="L632" s="44" t="s">
        <v>796</v>
      </c>
      <c r="M632" s="44" t="s">
        <v>29</v>
      </c>
      <c r="N632" s="44" t="s">
        <v>23</v>
      </c>
      <c r="O632" s="46" t="s">
        <v>24</v>
      </c>
      <c r="P632"/>
      <c r="Q632" s="4"/>
      <c r="R632" s="4"/>
      <c r="S632" s="4"/>
      <c r="T632" s="4"/>
      <c r="U632" s="4"/>
    </row>
    <row r="633" spans="2:21" ht="18" hidden="1" customHeight="1" thickTop="1" thickBot="1" x14ac:dyDescent="0.3">
      <c r="B633" s="43">
        <v>100010127</v>
      </c>
      <c r="C633" s="44" t="s">
        <v>799</v>
      </c>
      <c r="D633" s="45"/>
      <c r="E633" s="45" t="str">
        <f>IF(ISERR(FIND("CLL",PRODUCTO_MI_AR68[[#This Row],[NOM PRODUCTO]])),"","ME")</f>
        <v>ME</v>
      </c>
      <c r="F633" s="44" t="s">
        <v>16</v>
      </c>
      <c r="G633" s="44" t="s">
        <v>17</v>
      </c>
      <c r="H633" s="44" t="s">
        <v>18</v>
      </c>
      <c r="I633" s="44" t="s">
        <v>101</v>
      </c>
      <c r="J633" s="44" t="s">
        <v>20</v>
      </c>
      <c r="K633" s="44" t="s">
        <v>102</v>
      </c>
      <c r="L633" s="44" t="s">
        <v>796</v>
      </c>
      <c r="M633" s="44" t="s">
        <v>22</v>
      </c>
      <c r="N633" s="44" t="s">
        <v>23</v>
      </c>
      <c r="O633" s="46" t="s">
        <v>24</v>
      </c>
      <c r="P633"/>
      <c r="Q633" s="4"/>
      <c r="R633" s="4"/>
      <c r="S633" s="4"/>
      <c r="T633" s="4"/>
      <c r="U633" s="4"/>
    </row>
    <row r="634" spans="2:21" ht="18" hidden="1" customHeight="1" thickTop="1" thickBot="1" x14ac:dyDescent="0.3">
      <c r="B634" s="43">
        <v>100518047</v>
      </c>
      <c r="C634" s="44" t="s">
        <v>800</v>
      </c>
      <c r="D634" s="45"/>
      <c r="E634" s="45" t="s">
        <v>44</v>
      </c>
      <c r="F634" s="44" t="s">
        <v>16</v>
      </c>
      <c r="G634" s="44" t="s">
        <v>17</v>
      </c>
      <c r="H634" s="44" t="s">
        <v>18</v>
      </c>
      <c r="I634" s="44" t="s">
        <v>101</v>
      </c>
      <c r="J634" s="44" t="s">
        <v>28</v>
      </c>
      <c r="K634" s="44" t="s">
        <v>102</v>
      </c>
      <c r="L634" s="44" t="s">
        <v>796</v>
      </c>
      <c r="M634" s="44" t="s">
        <v>192</v>
      </c>
      <c r="N634" s="44" t="s">
        <v>193</v>
      </c>
      <c r="O634" s="46" t="s">
        <v>24</v>
      </c>
      <c r="P634"/>
      <c r="Q634" s="4"/>
      <c r="R634" s="4"/>
      <c r="S634" s="4"/>
      <c r="T634" s="4"/>
      <c r="U634" s="4"/>
    </row>
    <row r="635" spans="2:21" hidden="1" thickTop="1" thickBot="1" x14ac:dyDescent="0.3">
      <c r="B635" s="43">
        <v>100016150</v>
      </c>
      <c r="C635" s="44" t="s">
        <v>801</v>
      </c>
      <c r="D635" s="45"/>
      <c r="E635" s="45" t="s">
        <v>44</v>
      </c>
      <c r="F635" s="44" t="s">
        <v>16</v>
      </c>
      <c r="G635" s="44" t="s">
        <v>17</v>
      </c>
      <c r="H635" s="44" t="s">
        <v>18</v>
      </c>
      <c r="I635" s="44" t="s">
        <v>97</v>
      </c>
      <c r="J635" s="44" t="s">
        <v>28</v>
      </c>
      <c r="K635" s="44" t="s">
        <v>98</v>
      </c>
      <c r="L635" s="44" t="s">
        <v>802</v>
      </c>
      <c r="M635" s="44" t="s">
        <v>62</v>
      </c>
      <c r="N635" s="44" t="str">
        <f>IF(ISERR(FIND("CONG",PRODUCTO_MI_AR68[[#This Row],[NOM PRODUCTO]])),"","CONGELADO")</f>
        <v>CONGELADO</v>
      </c>
      <c r="O635" s="46" t="s">
        <v>98</v>
      </c>
      <c r="P635"/>
      <c r="Q635" s="4"/>
      <c r="R635" s="4"/>
      <c r="S635" s="4"/>
      <c r="T635" s="4"/>
      <c r="U635" s="4"/>
    </row>
    <row r="636" spans="2:21" ht="18" hidden="1" customHeight="1" thickTop="1" thickBot="1" x14ac:dyDescent="0.3">
      <c r="B636" s="43">
        <v>100521180</v>
      </c>
      <c r="C636" s="44" t="s">
        <v>803</v>
      </c>
      <c r="D636" s="45"/>
      <c r="E636" s="45" t="str">
        <f>IF(ISERR(FIND("PUL",PRODUCTO_MI_AR68[[#This Row],[NOM PRODUCTO]])),"","ME")</f>
        <v>ME</v>
      </c>
      <c r="F636" s="44" t="s">
        <v>16</v>
      </c>
      <c r="G636" s="44" t="s">
        <v>17</v>
      </c>
      <c r="H636" s="44" t="s">
        <v>18</v>
      </c>
      <c r="I636" s="44" t="s">
        <v>19</v>
      </c>
      <c r="J636" s="44" t="s">
        <v>28</v>
      </c>
      <c r="K636" s="44" t="s">
        <v>264</v>
      </c>
      <c r="L636" s="44" t="s">
        <v>264</v>
      </c>
      <c r="M636" s="44" t="s">
        <v>29</v>
      </c>
      <c r="N636" s="44" t="str">
        <f>IF(ISERR(FIND("CONG",PRODUCTO_MI_AR68[[#This Row],[NOM PRODUCTO]])),"","CONGELADO")</f>
        <v>CONGELADO</v>
      </c>
      <c r="O636" s="46" t="s">
        <v>24</v>
      </c>
      <c r="P636"/>
      <c r="Q636" s="4"/>
      <c r="R636" s="4"/>
      <c r="S636" s="4"/>
      <c r="T636" s="4"/>
      <c r="U636" s="4"/>
    </row>
    <row r="637" spans="2:21" ht="18" hidden="1" customHeight="1" thickTop="1" thickBot="1" x14ac:dyDescent="0.3">
      <c r="B637" s="43">
        <v>100519912</v>
      </c>
      <c r="C637" s="44" t="s">
        <v>804</v>
      </c>
      <c r="D637" s="45"/>
      <c r="E637" s="45" t="str">
        <f>IF(ISERR(FIND("PUL",PRODUCTO_MI_AR68[[#This Row],[NOM PRODUCTO]])),"","ME")</f>
        <v>ME</v>
      </c>
      <c r="F637" s="44" t="s">
        <v>16</v>
      </c>
      <c r="G637" s="44" t="s">
        <v>17</v>
      </c>
      <c r="H637" s="44" t="s">
        <v>18</v>
      </c>
      <c r="I637" s="44" t="s">
        <v>19</v>
      </c>
      <c r="J637" s="44" t="s">
        <v>28</v>
      </c>
      <c r="K637" s="44" t="s">
        <v>264</v>
      </c>
      <c r="L637" s="44" t="s">
        <v>264</v>
      </c>
      <c r="M637" s="44" t="s">
        <v>29</v>
      </c>
      <c r="N637" s="44" t="str">
        <f>IF(ISERR(FIND("CONG",PRODUCTO_MI_AR68[[#This Row],[NOM PRODUCTO]])),"","CONGELADO")</f>
        <v>CONGELADO</v>
      </c>
      <c r="O637" s="46" t="s">
        <v>24</v>
      </c>
      <c r="P637"/>
      <c r="Q637" s="4"/>
      <c r="R637" s="4"/>
      <c r="S637" s="4"/>
      <c r="T637" s="4"/>
      <c r="U637" s="4"/>
    </row>
    <row r="638" spans="2:21" ht="18" hidden="1" customHeight="1" thickTop="1" thickBot="1" x14ac:dyDescent="0.3">
      <c r="B638" s="43">
        <v>100518981</v>
      </c>
      <c r="C638" s="44" t="s">
        <v>805</v>
      </c>
      <c r="D638" s="45"/>
      <c r="E638" s="45" t="str">
        <f>IF(ISERR(FIND("PUL",PRODUCTO_MI_AR68[[#This Row],[NOM PRODUCTO]])),"","ME")</f>
        <v>ME</v>
      </c>
      <c r="F638" s="44" t="s">
        <v>16</v>
      </c>
      <c r="G638" s="44" t="s">
        <v>17</v>
      </c>
      <c r="H638" s="44" t="s">
        <v>18</v>
      </c>
      <c r="I638" s="44" t="s">
        <v>19</v>
      </c>
      <c r="J638" s="44" t="s">
        <v>28</v>
      </c>
      <c r="K638" s="44" t="s">
        <v>196</v>
      </c>
      <c r="L638" s="44" t="s">
        <v>325</v>
      </c>
      <c r="M638" s="44" t="s">
        <v>29</v>
      </c>
      <c r="N638" s="44" t="str">
        <f>IF(ISERR(FIND("CONG",PRODUCTO_MI_AR68[[#This Row],[NOM PRODUCTO]])),"","CONGELADO")</f>
        <v>CONGELADO</v>
      </c>
      <c r="O638" s="46" t="s">
        <v>24</v>
      </c>
      <c r="P638"/>
      <c r="Q638" s="4"/>
      <c r="R638" s="4"/>
      <c r="S638" s="4"/>
      <c r="T638" s="4"/>
      <c r="U638" s="4"/>
    </row>
    <row r="639" spans="2:21" ht="18" hidden="1" customHeight="1" thickTop="1" thickBot="1" x14ac:dyDescent="0.3">
      <c r="B639" s="43">
        <v>100011613</v>
      </c>
      <c r="C639" s="44" t="s">
        <v>806</v>
      </c>
      <c r="D639" s="45"/>
      <c r="E639" s="45" t="s">
        <v>44</v>
      </c>
      <c r="F639" s="44" t="s">
        <v>16</v>
      </c>
      <c r="G639" s="44" t="s">
        <v>17</v>
      </c>
      <c r="H639" s="44" t="s">
        <v>18</v>
      </c>
      <c r="I639" s="44" t="s">
        <v>19</v>
      </c>
      <c r="J639" s="44" t="s">
        <v>28</v>
      </c>
      <c r="K639" s="44" t="s">
        <v>264</v>
      </c>
      <c r="L639" s="44" t="s">
        <v>264</v>
      </c>
      <c r="M639" s="44" t="s">
        <v>57</v>
      </c>
      <c r="N639" s="44" t="s">
        <v>23</v>
      </c>
      <c r="O639" s="46" t="s">
        <v>24</v>
      </c>
      <c r="P639"/>
      <c r="Q639" s="4"/>
      <c r="R639" s="4"/>
      <c r="S639" s="4"/>
      <c r="T639" s="4"/>
      <c r="U639" s="4"/>
    </row>
    <row r="640" spans="2:21" ht="18" hidden="1" customHeight="1" thickTop="1" thickBot="1" x14ac:dyDescent="0.3">
      <c r="B640" s="43">
        <v>100517671</v>
      </c>
      <c r="C640" s="44" t="s">
        <v>807</v>
      </c>
      <c r="D640" s="45"/>
      <c r="E640" s="45" t="s">
        <v>44</v>
      </c>
      <c r="F640" s="44" t="s">
        <v>16</v>
      </c>
      <c r="G640" s="44" t="s">
        <v>17</v>
      </c>
      <c r="H640" s="44" t="s">
        <v>18</v>
      </c>
      <c r="I640" s="44" t="s">
        <v>19</v>
      </c>
      <c r="J640" s="44" t="s">
        <v>28</v>
      </c>
      <c r="K640" s="44" t="s">
        <v>264</v>
      </c>
      <c r="L640" s="44" t="s">
        <v>264</v>
      </c>
      <c r="M640" s="44" t="s">
        <v>57</v>
      </c>
      <c r="N640" s="44" t="s">
        <v>23</v>
      </c>
      <c r="O640" s="46" t="s">
        <v>24</v>
      </c>
      <c r="P640"/>
      <c r="Q640" s="4"/>
      <c r="R640" s="4"/>
      <c r="S640" s="4"/>
      <c r="T640" s="4"/>
      <c r="U640" s="4"/>
    </row>
    <row r="641" spans="2:21" ht="18" hidden="1" customHeight="1" thickTop="1" thickBot="1" x14ac:dyDescent="0.3">
      <c r="B641" s="43">
        <v>100517055</v>
      </c>
      <c r="C641" s="44" t="s">
        <v>808</v>
      </c>
      <c r="D641" s="45" t="s">
        <v>43</v>
      </c>
      <c r="E641" s="45" t="s">
        <v>44</v>
      </c>
      <c r="F641" s="44" t="s">
        <v>16</v>
      </c>
      <c r="G641" s="44" t="s">
        <v>17</v>
      </c>
      <c r="H641" s="44" t="s">
        <v>213</v>
      </c>
      <c r="I641" s="44" t="s">
        <v>46</v>
      </c>
      <c r="J641" s="44" t="s">
        <v>28</v>
      </c>
      <c r="K641" s="44" t="str">
        <f>PRODUCTO_MI_AR68[[#This Row],[NOM SUBFAMILIA COMERCIAL]]</f>
        <v>REBOZADO DE POLLO</v>
      </c>
      <c r="L641" s="44" t="s">
        <v>223</v>
      </c>
      <c r="M641" s="44" t="s">
        <v>57</v>
      </c>
      <c r="N641" s="44" t="s">
        <v>193</v>
      </c>
      <c r="O641" s="46" t="s">
        <v>49</v>
      </c>
      <c r="P641"/>
      <c r="Q641" s="4"/>
      <c r="R641" s="4"/>
      <c r="S641" s="4"/>
      <c r="T641" s="4"/>
      <c r="U641" s="4"/>
    </row>
    <row r="642" spans="2:21" ht="18" hidden="1" customHeight="1" thickTop="1" thickBot="1" x14ac:dyDescent="0.3">
      <c r="B642" s="43">
        <v>100517383</v>
      </c>
      <c r="C642" s="44" t="s">
        <v>808</v>
      </c>
      <c r="D642" s="45" t="s">
        <v>43</v>
      </c>
      <c r="E642" s="45" t="s">
        <v>44</v>
      </c>
      <c r="F642" s="44" t="s">
        <v>16</v>
      </c>
      <c r="G642" s="44" t="s">
        <v>17</v>
      </c>
      <c r="H642" s="44" t="s">
        <v>213</v>
      </c>
      <c r="I642" s="44" t="s">
        <v>46</v>
      </c>
      <c r="J642" s="44" t="s">
        <v>28</v>
      </c>
      <c r="K642" s="44" t="str">
        <f>PRODUCTO_MI_AR68[[#This Row],[NOM SUBFAMILIA COMERCIAL]]</f>
        <v>REBOZADO DE POLLO</v>
      </c>
      <c r="L642" s="44" t="s">
        <v>223</v>
      </c>
      <c r="M642" s="44" t="s">
        <v>57</v>
      </c>
      <c r="N642" s="44" t="s">
        <v>193</v>
      </c>
      <c r="O642" s="46" t="s">
        <v>49</v>
      </c>
      <c r="P642"/>
      <c r="Q642" s="4"/>
      <c r="R642" s="4"/>
      <c r="S642" s="4"/>
      <c r="T642" s="4"/>
      <c r="U642" s="4"/>
    </row>
    <row r="643" spans="2:21" ht="18" hidden="1" customHeight="1" thickTop="1" thickBot="1" x14ac:dyDescent="0.3">
      <c r="B643" s="43">
        <v>100517186</v>
      </c>
      <c r="C643" s="44" t="s">
        <v>809</v>
      </c>
      <c r="D643" s="45" t="s">
        <v>43</v>
      </c>
      <c r="E643" s="45" t="s">
        <v>44</v>
      </c>
      <c r="F643" s="44" t="s">
        <v>16</v>
      </c>
      <c r="G643" s="44" t="s">
        <v>17</v>
      </c>
      <c r="H643" s="44" t="s">
        <v>213</v>
      </c>
      <c r="I643" s="44" t="s">
        <v>46</v>
      </c>
      <c r="J643" s="44" t="s">
        <v>28</v>
      </c>
      <c r="K643" s="44" t="str">
        <f>PRODUCTO_MI_AR68[[#This Row],[NOM SUBFAMILIA COMERCIAL]]</f>
        <v>REBOZADO DE POLLO</v>
      </c>
      <c r="L643" s="44" t="s">
        <v>223</v>
      </c>
      <c r="M643" s="44" t="s">
        <v>57</v>
      </c>
      <c r="N643" s="44" t="s">
        <v>193</v>
      </c>
      <c r="O643" s="46" t="s">
        <v>49</v>
      </c>
      <c r="P643"/>
      <c r="Q643" s="4"/>
      <c r="R643" s="4"/>
      <c r="S643" s="4"/>
      <c r="T643" s="4"/>
      <c r="U643" s="4"/>
    </row>
    <row r="644" spans="2:21" ht="18" hidden="1" customHeight="1" thickTop="1" thickBot="1" x14ac:dyDescent="0.3">
      <c r="B644" s="43">
        <v>100016151</v>
      </c>
      <c r="C644" s="44" t="s">
        <v>810</v>
      </c>
      <c r="D644" s="45"/>
      <c r="E644" s="45" t="s">
        <v>44</v>
      </c>
      <c r="F644" s="44" t="s">
        <v>16</v>
      </c>
      <c r="G644" s="44" t="s">
        <v>17</v>
      </c>
      <c r="H644" s="44" t="s">
        <v>18</v>
      </c>
      <c r="I644" s="44" t="s">
        <v>97</v>
      </c>
      <c r="J644" s="44" t="s">
        <v>28</v>
      </c>
      <c r="K644" s="44" t="s">
        <v>98</v>
      </c>
      <c r="L644" s="44" t="s">
        <v>811</v>
      </c>
      <c r="M644" s="44" t="s">
        <v>62</v>
      </c>
      <c r="N644" s="44" t="str">
        <f>IF(ISERR(FIND("CONG",PRODUCTO_MI_AR68[[#This Row],[NOM PRODUCTO]])),"","CONGELADO")</f>
        <v>CONGELADO</v>
      </c>
      <c r="O644" s="46" t="s">
        <v>98</v>
      </c>
      <c r="P644"/>
      <c r="Q644" s="4"/>
      <c r="R644" s="4"/>
      <c r="S644" s="4"/>
      <c r="T644" s="4"/>
      <c r="U644" s="4"/>
    </row>
    <row r="645" spans="2:21" ht="18" hidden="1" customHeight="1" thickTop="1" thickBot="1" x14ac:dyDescent="0.3">
      <c r="B645" s="43">
        <v>100520962</v>
      </c>
      <c r="C645" s="44" t="s">
        <v>812</v>
      </c>
      <c r="D645" s="45"/>
      <c r="E645" s="45" t="s">
        <v>44</v>
      </c>
      <c r="F645" s="44" t="s">
        <v>16</v>
      </c>
      <c r="G645" s="44" t="s">
        <v>17</v>
      </c>
      <c r="H645" s="44" t="s">
        <v>813</v>
      </c>
      <c r="I645" s="44" t="s">
        <v>46</v>
      </c>
      <c r="J645" s="44" t="s">
        <v>28</v>
      </c>
      <c r="K645" s="44" t="s">
        <v>813</v>
      </c>
      <c r="L645" s="44" t="s">
        <v>813</v>
      </c>
      <c r="M645" s="44" t="s">
        <v>57</v>
      </c>
      <c r="N645" s="44" t="str">
        <f>IF(ISERR(FIND("CONG",PRODUCTO_MI_AR68[[#This Row],[NOM PRODUCTO]])),"","CONGELADO")</f>
        <v>CONGELADO</v>
      </c>
      <c r="O645" s="46" t="s">
        <v>49</v>
      </c>
      <c r="P645"/>
      <c r="Q645" s="4"/>
      <c r="R645" s="4"/>
      <c r="S645" s="4"/>
      <c r="T645" s="4"/>
      <c r="U645" s="4"/>
    </row>
    <row r="646" spans="2:21" hidden="1" thickTop="1" thickBot="1" x14ac:dyDescent="0.3">
      <c r="B646" s="43">
        <v>100520964</v>
      </c>
      <c r="C646" s="44" t="s">
        <v>812</v>
      </c>
      <c r="D646" s="45"/>
      <c r="E646" s="45" t="s">
        <v>44</v>
      </c>
      <c r="F646" s="44" t="s">
        <v>16</v>
      </c>
      <c r="G646" s="44" t="s">
        <v>17</v>
      </c>
      <c r="H646" s="44" t="s">
        <v>813</v>
      </c>
      <c r="I646" s="44" t="s">
        <v>46</v>
      </c>
      <c r="J646" s="44" t="s">
        <v>28</v>
      </c>
      <c r="K646" s="44" t="s">
        <v>813</v>
      </c>
      <c r="L646" s="44" t="s">
        <v>813</v>
      </c>
      <c r="M646" s="44" t="s">
        <v>57</v>
      </c>
      <c r="N646" s="44" t="str">
        <f>IF(ISERR(FIND("CONG",PRODUCTO_MI_AR68[[#This Row],[NOM PRODUCTO]])),"","CONGELADO")</f>
        <v>CONGELADO</v>
      </c>
      <c r="O646" s="46" t="s">
        <v>49</v>
      </c>
      <c r="P646"/>
      <c r="Q646" s="4"/>
      <c r="R646" s="4"/>
      <c r="S646" s="4"/>
      <c r="T646" s="4"/>
      <c r="U646" s="4"/>
    </row>
    <row r="647" spans="2:21" hidden="1" thickTop="1" thickBot="1" x14ac:dyDescent="0.3">
      <c r="B647" s="43">
        <v>100520985</v>
      </c>
      <c r="C647" s="44" t="s">
        <v>812</v>
      </c>
      <c r="D647" s="45"/>
      <c r="E647" s="45" t="s">
        <v>44</v>
      </c>
      <c r="F647" s="44" t="s">
        <v>16</v>
      </c>
      <c r="G647" s="44" t="s">
        <v>17</v>
      </c>
      <c r="H647" s="44" t="s">
        <v>813</v>
      </c>
      <c r="I647" s="44" t="s">
        <v>46</v>
      </c>
      <c r="J647" s="44" t="s">
        <v>28</v>
      </c>
      <c r="K647" s="44" t="s">
        <v>813</v>
      </c>
      <c r="L647" s="44" t="s">
        <v>813</v>
      </c>
      <c r="M647" s="44" t="s">
        <v>57</v>
      </c>
      <c r="N647" s="44" t="str">
        <f>IF(ISERR(FIND("CONG",PRODUCTO_MI_AR68[[#This Row],[NOM PRODUCTO]])),"","CONGELADO")</f>
        <v>CONGELADO</v>
      </c>
      <c r="O647" s="46" t="s">
        <v>49</v>
      </c>
      <c r="P647"/>
      <c r="Q647" s="4"/>
      <c r="R647" s="4"/>
      <c r="S647" s="4"/>
      <c r="T647" s="4"/>
      <c r="U647" s="4"/>
    </row>
    <row r="648" spans="2:21" hidden="1" thickTop="1" thickBot="1" x14ac:dyDescent="0.3">
      <c r="B648" s="43">
        <v>100521004</v>
      </c>
      <c r="C648" s="44" t="s">
        <v>812</v>
      </c>
      <c r="D648" s="45"/>
      <c r="E648" s="45" t="s">
        <v>44</v>
      </c>
      <c r="F648" s="44" t="s">
        <v>16</v>
      </c>
      <c r="G648" s="44" t="s">
        <v>17</v>
      </c>
      <c r="H648" s="44" t="s">
        <v>813</v>
      </c>
      <c r="I648" s="44" t="s">
        <v>46</v>
      </c>
      <c r="J648" s="44" t="s">
        <v>28</v>
      </c>
      <c r="K648" s="44" t="s">
        <v>813</v>
      </c>
      <c r="L648" s="44" t="s">
        <v>813</v>
      </c>
      <c r="M648" s="44" t="s">
        <v>57</v>
      </c>
      <c r="N648" s="44" t="str">
        <f>IF(ISERR(FIND("CONG",PRODUCTO_MI_AR68[[#This Row],[NOM PRODUCTO]])),"","CONGELADO")</f>
        <v>CONGELADO</v>
      </c>
      <c r="O648" s="46" t="s">
        <v>49</v>
      </c>
      <c r="P648"/>
      <c r="Q648" s="4"/>
      <c r="R648" s="4"/>
      <c r="S648" s="4"/>
      <c r="T648" s="4"/>
      <c r="U648" s="4"/>
    </row>
    <row r="649" spans="2:21" hidden="1" thickTop="1" thickBot="1" x14ac:dyDescent="0.3">
      <c r="B649" s="43">
        <v>100521014</v>
      </c>
      <c r="C649" s="44" t="s">
        <v>812</v>
      </c>
      <c r="D649" s="45"/>
      <c r="E649" s="45" t="s">
        <v>44</v>
      </c>
      <c r="F649" s="44" t="s">
        <v>16</v>
      </c>
      <c r="G649" s="44" t="s">
        <v>17</v>
      </c>
      <c r="H649" s="44" t="s">
        <v>813</v>
      </c>
      <c r="I649" s="44" t="s">
        <v>46</v>
      </c>
      <c r="J649" s="44" t="s">
        <v>28</v>
      </c>
      <c r="K649" s="44" t="s">
        <v>813</v>
      </c>
      <c r="L649" s="44" t="s">
        <v>813</v>
      </c>
      <c r="M649" s="44" t="s">
        <v>57</v>
      </c>
      <c r="N649" s="44" t="str">
        <f>IF(ISERR(FIND("CONG",PRODUCTO_MI_AR68[[#This Row],[NOM PRODUCTO]])),"","CONGELADO")</f>
        <v>CONGELADO</v>
      </c>
      <c r="O649" s="46" t="s">
        <v>49</v>
      </c>
      <c r="P649"/>
      <c r="Q649" s="4"/>
      <c r="R649" s="4"/>
      <c r="S649" s="4"/>
      <c r="T649" s="4"/>
      <c r="U649" s="4"/>
    </row>
    <row r="650" spans="2:21" ht="18" hidden="1" customHeight="1" thickTop="1" thickBot="1" x14ac:dyDescent="0.3">
      <c r="B650" s="43">
        <v>100521169</v>
      </c>
      <c r="C650" s="44" t="s">
        <v>812</v>
      </c>
      <c r="D650" s="45"/>
      <c r="E650" s="45" t="s">
        <v>44</v>
      </c>
      <c r="F650" s="44" t="s">
        <v>16</v>
      </c>
      <c r="G650" s="44" t="s">
        <v>17</v>
      </c>
      <c r="H650" s="44" t="s">
        <v>813</v>
      </c>
      <c r="I650" s="44" t="s">
        <v>46</v>
      </c>
      <c r="J650" s="44" t="s">
        <v>28</v>
      </c>
      <c r="K650" s="44" t="s">
        <v>813</v>
      </c>
      <c r="L650" s="44" t="s">
        <v>813</v>
      </c>
      <c r="M650" s="44" t="s">
        <v>57</v>
      </c>
      <c r="N650" s="44" t="str">
        <f>IF(ISERR(FIND("CONG",PRODUCTO_MI_AR68[[#This Row],[NOM PRODUCTO]])),"","CONGELADO")</f>
        <v>CONGELADO</v>
      </c>
      <c r="O650" s="46" t="s">
        <v>49</v>
      </c>
      <c r="P650"/>
      <c r="Q650" s="4"/>
      <c r="R650" s="4"/>
      <c r="S650" s="4"/>
      <c r="T650" s="4"/>
      <c r="U650" s="4"/>
    </row>
    <row r="651" spans="2:21" hidden="1" thickTop="1" thickBot="1" x14ac:dyDescent="0.3">
      <c r="B651" s="43">
        <v>100521208</v>
      </c>
      <c r="C651" s="44" t="s">
        <v>812</v>
      </c>
      <c r="D651" s="45"/>
      <c r="E651" s="45" t="s">
        <v>44</v>
      </c>
      <c r="F651" s="44" t="s">
        <v>16</v>
      </c>
      <c r="G651" s="44" t="s">
        <v>17</v>
      </c>
      <c r="H651" s="44" t="s">
        <v>813</v>
      </c>
      <c r="I651" s="44" t="s">
        <v>46</v>
      </c>
      <c r="J651" s="44" t="s">
        <v>28</v>
      </c>
      <c r="K651" s="44" t="s">
        <v>813</v>
      </c>
      <c r="L651" s="44" t="s">
        <v>813</v>
      </c>
      <c r="M651" s="44" t="s">
        <v>57</v>
      </c>
      <c r="N651" s="44" t="str">
        <f>IF(ISERR(FIND("CONG",PRODUCTO_MI_AR68[[#This Row],[NOM PRODUCTO]])),"","CONGELADO")</f>
        <v>CONGELADO</v>
      </c>
      <c r="O651" s="46" t="s">
        <v>49</v>
      </c>
      <c r="P651"/>
      <c r="Q651" s="4"/>
      <c r="R651" s="4"/>
      <c r="S651" s="4"/>
      <c r="T651" s="4"/>
      <c r="U651" s="4"/>
    </row>
    <row r="652" spans="2:21" hidden="1" thickTop="1" thickBot="1" x14ac:dyDescent="0.3">
      <c r="B652" s="43">
        <v>100521276</v>
      </c>
      <c r="C652" s="44" t="s">
        <v>812</v>
      </c>
      <c r="D652" s="45"/>
      <c r="E652" s="45" t="s">
        <v>44</v>
      </c>
      <c r="F652" s="44" t="s">
        <v>16</v>
      </c>
      <c r="G652" s="44" t="s">
        <v>17</v>
      </c>
      <c r="H652" s="44" t="s">
        <v>813</v>
      </c>
      <c r="I652" s="44" t="s">
        <v>46</v>
      </c>
      <c r="J652" s="44" t="s">
        <v>28</v>
      </c>
      <c r="K652" s="44" t="s">
        <v>813</v>
      </c>
      <c r="L652" s="44" t="s">
        <v>813</v>
      </c>
      <c r="M652" s="44" t="s">
        <v>57</v>
      </c>
      <c r="N652" s="44" t="str">
        <f>IF(ISERR(FIND("CONG",PRODUCTO_MI_AR68[[#This Row],[NOM PRODUCTO]])),"","CONGELADO")</f>
        <v>CONGELADO</v>
      </c>
      <c r="O652" s="46" t="s">
        <v>49</v>
      </c>
      <c r="P652"/>
      <c r="Q652" s="4"/>
      <c r="R652" s="4"/>
      <c r="S652" s="4"/>
      <c r="T652" s="4"/>
      <c r="U652" s="4"/>
    </row>
    <row r="653" spans="2:21" hidden="1" thickTop="1" thickBot="1" x14ac:dyDescent="0.3">
      <c r="B653" s="43">
        <v>100521277</v>
      </c>
      <c r="C653" s="44" t="s">
        <v>812</v>
      </c>
      <c r="D653" s="45"/>
      <c r="E653" s="45" t="s">
        <v>44</v>
      </c>
      <c r="F653" s="44" t="s">
        <v>16</v>
      </c>
      <c r="G653" s="44" t="s">
        <v>17</v>
      </c>
      <c r="H653" s="44" t="s">
        <v>813</v>
      </c>
      <c r="I653" s="44" t="s">
        <v>46</v>
      </c>
      <c r="J653" s="44" t="s">
        <v>28</v>
      </c>
      <c r="K653" s="44" t="s">
        <v>813</v>
      </c>
      <c r="L653" s="44" t="s">
        <v>813</v>
      </c>
      <c r="M653" s="44" t="s">
        <v>57</v>
      </c>
      <c r="N653" s="44" t="str">
        <f>IF(ISERR(FIND("CONG",PRODUCTO_MI_AR68[[#This Row],[NOM PRODUCTO]])),"","CONGELADO")</f>
        <v>CONGELADO</v>
      </c>
      <c r="O653" s="46" t="s">
        <v>49</v>
      </c>
      <c r="P653"/>
      <c r="Q653" s="4"/>
      <c r="R653" s="4"/>
      <c r="S653" s="4"/>
      <c r="T653" s="4"/>
      <c r="U653" s="4"/>
    </row>
    <row r="654" spans="2:21" hidden="1" thickTop="1" thickBot="1" x14ac:dyDescent="0.3">
      <c r="B654" s="43">
        <v>100521279</v>
      </c>
      <c r="C654" s="44" t="s">
        <v>812</v>
      </c>
      <c r="D654" s="45"/>
      <c r="E654" s="45" t="s">
        <v>44</v>
      </c>
      <c r="F654" s="44" t="s">
        <v>16</v>
      </c>
      <c r="G654" s="44" t="s">
        <v>17</v>
      </c>
      <c r="H654" s="44" t="s">
        <v>813</v>
      </c>
      <c r="I654" s="44" t="s">
        <v>46</v>
      </c>
      <c r="J654" s="44" t="s">
        <v>28</v>
      </c>
      <c r="K654" s="44" t="s">
        <v>813</v>
      </c>
      <c r="L654" s="44" t="s">
        <v>813</v>
      </c>
      <c r="M654" s="44" t="s">
        <v>57</v>
      </c>
      <c r="N654" s="44" t="str">
        <f>IF(ISERR(FIND("CONG",PRODUCTO_MI_AR68[[#This Row],[NOM PRODUCTO]])),"","CONGELADO")</f>
        <v>CONGELADO</v>
      </c>
      <c r="O654" s="46" t="s">
        <v>49</v>
      </c>
      <c r="P654"/>
      <c r="Q654" s="4"/>
      <c r="R654" s="4"/>
      <c r="S654" s="4"/>
      <c r="T654" s="4"/>
      <c r="U654" s="4"/>
    </row>
    <row r="655" spans="2:21" ht="18" hidden="1" customHeight="1" thickTop="1" thickBot="1" x14ac:dyDescent="0.3">
      <c r="B655" s="43">
        <v>100521280</v>
      </c>
      <c r="C655" s="44" t="s">
        <v>812</v>
      </c>
      <c r="D655" s="45"/>
      <c r="E655" s="45" t="s">
        <v>44</v>
      </c>
      <c r="F655" s="44" t="s">
        <v>16</v>
      </c>
      <c r="G655" s="44" t="s">
        <v>17</v>
      </c>
      <c r="H655" s="44" t="s">
        <v>813</v>
      </c>
      <c r="I655" s="44" t="s">
        <v>46</v>
      </c>
      <c r="J655" s="44" t="s">
        <v>28</v>
      </c>
      <c r="K655" s="44" t="s">
        <v>813</v>
      </c>
      <c r="L655" s="44" t="s">
        <v>813</v>
      </c>
      <c r="M655" s="44" t="s">
        <v>57</v>
      </c>
      <c r="N655" s="44" t="str">
        <f>IF(ISERR(FIND("CONG",PRODUCTO_MI_AR68[[#This Row],[NOM PRODUCTO]])),"","CONGELADO")</f>
        <v>CONGELADO</v>
      </c>
      <c r="O655" s="46" t="s">
        <v>49</v>
      </c>
      <c r="P655"/>
      <c r="Q655" s="4"/>
      <c r="R655" s="4"/>
      <c r="S655" s="4"/>
      <c r="T655" s="4"/>
      <c r="U655" s="4"/>
    </row>
    <row r="656" spans="2:21" ht="18" hidden="1" customHeight="1" thickTop="1" thickBot="1" x14ac:dyDescent="0.3">
      <c r="B656" s="43">
        <v>100521353</v>
      </c>
      <c r="C656" s="44" t="s">
        <v>812</v>
      </c>
      <c r="D656" s="45"/>
      <c r="E656" s="45" t="s">
        <v>44</v>
      </c>
      <c r="F656" s="44" t="s">
        <v>16</v>
      </c>
      <c r="G656" s="44" t="s">
        <v>17</v>
      </c>
      <c r="H656" s="44" t="s">
        <v>813</v>
      </c>
      <c r="I656" s="44" t="s">
        <v>46</v>
      </c>
      <c r="J656" s="44" t="s">
        <v>28</v>
      </c>
      <c r="K656" s="44" t="s">
        <v>813</v>
      </c>
      <c r="L656" s="44" t="s">
        <v>813</v>
      </c>
      <c r="M656" s="44" t="s">
        <v>57</v>
      </c>
      <c r="N656" s="44" t="str">
        <f>IF(ISERR(FIND("CONG",PRODUCTO_MI_AR68[[#This Row],[NOM PRODUCTO]])),"","CONGELADO")</f>
        <v>CONGELADO</v>
      </c>
      <c r="O656" s="46" t="s">
        <v>49</v>
      </c>
      <c r="P656"/>
      <c r="Q656" s="4"/>
      <c r="R656" s="4"/>
      <c r="S656" s="4"/>
      <c r="T656" s="4"/>
      <c r="U656" s="4"/>
    </row>
    <row r="657" spans="2:21" hidden="1" thickTop="1" thickBot="1" x14ac:dyDescent="0.3">
      <c r="B657" s="43">
        <v>100521463</v>
      </c>
      <c r="C657" s="44" t="s">
        <v>812</v>
      </c>
      <c r="D657" s="45"/>
      <c r="E657" s="45" t="s">
        <v>44</v>
      </c>
      <c r="F657" s="44" t="s">
        <v>16</v>
      </c>
      <c r="G657" s="44" t="s">
        <v>17</v>
      </c>
      <c r="H657" s="44" t="s">
        <v>813</v>
      </c>
      <c r="I657" s="44" t="s">
        <v>46</v>
      </c>
      <c r="J657" s="44" t="s">
        <v>28</v>
      </c>
      <c r="K657" s="44" t="s">
        <v>813</v>
      </c>
      <c r="L657" s="44" t="s">
        <v>813</v>
      </c>
      <c r="M657" s="44" t="s">
        <v>57</v>
      </c>
      <c r="N657" s="44" t="str">
        <f>IF(ISERR(FIND("CONG",PRODUCTO_MI_AR68[[#This Row],[NOM PRODUCTO]])),"","CONGELADO")</f>
        <v>CONGELADO</v>
      </c>
      <c r="O657" s="46" t="s">
        <v>49</v>
      </c>
      <c r="P657"/>
      <c r="Q657" s="4"/>
      <c r="R657" s="4"/>
      <c r="S657" s="4"/>
      <c r="T657" s="4"/>
      <c r="U657" s="4"/>
    </row>
    <row r="658" spans="2:21" hidden="1" thickTop="1" thickBot="1" x14ac:dyDescent="0.3">
      <c r="B658" s="43">
        <v>100521489</v>
      </c>
      <c r="C658" s="44" t="s">
        <v>812</v>
      </c>
      <c r="D658" s="45"/>
      <c r="E658" s="45" t="s">
        <v>44</v>
      </c>
      <c r="F658" s="44" t="s">
        <v>16</v>
      </c>
      <c r="G658" s="44" t="s">
        <v>17</v>
      </c>
      <c r="H658" s="44" t="s">
        <v>813</v>
      </c>
      <c r="I658" s="44" t="s">
        <v>46</v>
      </c>
      <c r="J658" s="44" t="s">
        <v>28</v>
      </c>
      <c r="K658" s="44" t="s">
        <v>813</v>
      </c>
      <c r="L658" s="44" t="s">
        <v>813</v>
      </c>
      <c r="M658" s="44" t="s">
        <v>57</v>
      </c>
      <c r="N658" s="44" t="str">
        <f>IF(ISERR(FIND("CONG",PRODUCTO_MI_AR68[[#This Row],[NOM PRODUCTO]])),"","CONGELADO")</f>
        <v>CONGELADO</v>
      </c>
      <c r="O658" s="46" t="s">
        <v>49</v>
      </c>
      <c r="P658"/>
      <c r="Q658" s="4"/>
      <c r="R658" s="4"/>
      <c r="S658" s="4"/>
      <c r="T658" s="4"/>
      <c r="U658" s="4"/>
    </row>
    <row r="659" spans="2:21" hidden="1" thickTop="1" thickBot="1" x14ac:dyDescent="0.3">
      <c r="B659" s="43">
        <v>100521494</v>
      </c>
      <c r="C659" s="44" t="s">
        <v>812</v>
      </c>
      <c r="D659" s="45"/>
      <c r="E659" s="45" t="s">
        <v>44</v>
      </c>
      <c r="F659" s="44" t="s">
        <v>16</v>
      </c>
      <c r="G659" s="44" t="s">
        <v>17</v>
      </c>
      <c r="H659" s="44" t="s">
        <v>813</v>
      </c>
      <c r="I659" s="44" t="s">
        <v>46</v>
      </c>
      <c r="J659" s="44" t="s">
        <v>28</v>
      </c>
      <c r="K659" s="44" t="s">
        <v>813</v>
      </c>
      <c r="L659" s="44" t="s">
        <v>813</v>
      </c>
      <c r="M659" s="44" t="s">
        <v>57</v>
      </c>
      <c r="N659" s="44" t="str">
        <f>IF(ISERR(FIND("CONG",PRODUCTO_MI_AR68[[#This Row],[NOM PRODUCTO]])),"","CONGELADO")</f>
        <v>CONGELADO</v>
      </c>
      <c r="O659" s="46" t="s">
        <v>49</v>
      </c>
      <c r="P659"/>
      <c r="Q659" s="4"/>
      <c r="R659" s="4"/>
      <c r="S659" s="4"/>
      <c r="T659" s="4"/>
      <c r="U659" s="4"/>
    </row>
    <row r="660" spans="2:21" hidden="1" thickTop="1" thickBot="1" x14ac:dyDescent="0.3">
      <c r="B660" s="43">
        <v>100521548</v>
      </c>
      <c r="C660" s="44" t="s">
        <v>812</v>
      </c>
      <c r="D660" s="45"/>
      <c r="E660" s="45" t="s">
        <v>44</v>
      </c>
      <c r="F660" s="44" t="s">
        <v>16</v>
      </c>
      <c r="G660" s="44" t="s">
        <v>17</v>
      </c>
      <c r="H660" s="44" t="s">
        <v>813</v>
      </c>
      <c r="I660" s="44" t="s">
        <v>46</v>
      </c>
      <c r="J660" s="44" t="s">
        <v>28</v>
      </c>
      <c r="K660" s="44" t="s">
        <v>813</v>
      </c>
      <c r="L660" s="44" t="s">
        <v>813</v>
      </c>
      <c r="M660" s="44" t="s">
        <v>57</v>
      </c>
      <c r="N660" s="44" t="str">
        <f>IF(ISERR(FIND("CONG",PRODUCTO_MI_AR68[[#This Row],[NOM PRODUCTO]])),"","CONGELADO")</f>
        <v>CONGELADO</v>
      </c>
      <c r="O660" s="46" t="s">
        <v>49</v>
      </c>
      <c r="P660"/>
      <c r="Q660" s="4"/>
      <c r="R660" s="4"/>
      <c r="S660" s="4"/>
      <c r="T660" s="4"/>
      <c r="U660" s="4"/>
    </row>
    <row r="661" spans="2:21" hidden="1" thickTop="1" thickBot="1" x14ac:dyDescent="0.3">
      <c r="B661" s="43">
        <v>100521661</v>
      </c>
      <c r="C661" s="44" t="s">
        <v>812</v>
      </c>
      <c r="D661" s="45"/>
      <c r="E661" s="45" t="s">
        <v>44</v>
      </c>
      <c r="F661" s="44" t="s">
        <v>16</v>
      </c>
      <c r="G661" s="44" t="s">
        <v>17</v>
      </c>
      <c r="H661" s="44" t="s">
        <v>813</v>
      </c>
      <c r="I661" s="44" t="s">
        <v>46</v>
      </c>
      <c r="J661" s="44" t="s">
        <v>28</v>
      </c>
      <c r="K661" s="44" t="s">
        <v>813</v>
      </c>
      <c r="L661" s="44" t="s">
        <v>813</v>
      </c>
      <c r="M661" s="44" t="s">
        <v>57</v>
      </c>
      <c r="N661" s="44" t="str">
        <f>IF(ISERR(FIND("CONG",PRODUCTO_MI_AR68[[#This Row],[NOM PRODUCTO]])),"","CONGELADO")</f>
        <v>CONGELADO</v>
      </c>
      <c r="O661" s="46" t="s">
        <v>49</v>
      </c>
      <c r="P661"/>
      <c r="Q661" s="4"/>
      <c r="R661" s="4"/>
      <c r="S661" s="4"/>
      <c r="T661" s="4"/>
      <c r="U661" s="4"/>
    </row>
    <row r="662" spans="2:21" hidden="1" thickTop="1" thickBot="1" x14ac:dyDescent="0.3">
      <c r="B662" s="43">
        <v>100516219</v>
      </c>
      <c r="C662" s="44" t="s">
        <v>814</v>
      </c>
      <c r="D662" s="45" t="s">
        <v>43</v>
      </c>
      <c r="E662" s="45" t="s">
        <v>44</v>
      </c>
      <c r="F662" s="44" t="s">
        <v>16</v>
      </c>
      <c r="G662" s="44" t="s">
        <v>17</v>
      </c>
      <c r="H662" s="44" t="s">
        <v>813</v>
      </c>
      <c r="I662" s="44" t="s">
        <v>46</v>
      </c>
      <c r="J662" s="44" t="s">
        <v>28</v>
      </c>
      <c r="K662" s="44" t="s">
        <v>813</v>
      </c>
      <c r="L662" s="44" t="s">
        <v>813</v>
      </c>
      <c r="M662" s="44" t="s">
        <v>57</v>
      </c>
      <c r="N662" s="44" t="str">
        <f>IF(ISERR(FIND("CONG",PRODUCTO_MI_AR68[[#This Row],[NOM PRODUCTO]])),"","CONGELADO")</f>
        <v>CONGELADO</v>
      </c>
      <c r="O662" s="46" t="s">
        <v>49</v>
      </c>
      <c r="P662"/>
      <c r="Q662" s="4"/>
      <c r="R662" s="4"/>
      <c r="S662" s="4"/>
      <c r="T662" s="4"/>
      <c r="U662" s="4"/>
    </row>
    <row r="663" spans="2:21" hidden="1" thickTop="1" thickBot="1" x14ac:dyDescent="0.3">
      <c r="B663" s="43">
        <v>100516220</v>
      </c>
      <c r="C663" s="44" t="s">
        <v>815</v>
      </c>
      <c r="D663" s="45" t="s">
        <v>43</v>
      </c>
      <c r="E663" s="45" t="s">
        <v>44</v>
      </c>
      <c r="F663" s="44" t="s">
        <v>16</v>
      </c>
      <c r="G663" s="44" t="s">
        <v>17</v>
      </c>
      <c r="H663" s="44" t="s">
        <v>813</v>
      </c>
      <c r="I663" s="44" t="s">
        <v>46</v>
      </c>
      <c r="J663" s="44" t="s">
        <v>28</v>
      </c>
      <c r="K663" s="44" t="s">
        <v>813</v>
      </c>
      <c r="L663" s="44" t="s">
        <v>813</v>
      </c>
      <c r="M663" s="44" t="s">
        <v>57</v>
      </c>
      <c r="N663" s="44" t="str">
        <f>IF(ISERR(FIND("CONG",PRODUCTO_MI_AR68[[#This Row],[NOM PRODUCTO]])),"","CONGELADO")</f>
        <v>CONGELADO</v>
      </c>
      <c r="O663" s="46" t="s">
        <v>49</v>
      </c>
      <c r="P663"/>
      <c r="Q663" s="4"/>
      <c r="R663" s="4"/>
      <c r="S663" s="4"/>
      <c r="T663" s="4"/>
      <c r="U663" s="4"/>
    </row>
    <row r="664" spans="2:21" ht="18" hidden="1" customHeight="1" thickTop="1" thickBot="1" x14ac:dyDescent="0.3">
      <c r="B664" s="43">
        <v>100516980</v>
      </c>
      <c r="C664" s="44" t="s">
        <v>816</v>
      </c>
      <c r="D664" s="45" t="s">
        <v>212</v>
      </c>
      <c r="E664" s="45" t="s">
        <v>44</v>
      </c>
      <c r="F664" s="44" t="s">
        <v>16</v>
      </c>
      <c r="G664" s="44" t="s">
        <v>17</v>
      </c>
      <c r="H664" s="44" t="s">
        <v>813</v>
      </c>
      <c r="I664" s="44" t="s">
        <v>46</v>
      </c>
      <c r="J664" s="44" t="s">
        <v>28</v>
      </c>
      <c r="K664" s="44" t="s">
        <v>813</v>
      </c>
      <c r="L664" s="44" t="s">
        <v>813</v>
      </c>
      <c r="M664" s="44" t="s">
        <v>57</v>
      </c>
      <c r="N664" s="44" t="str">
        <f>IF(ISERR(FIND("CONG",PRODUCTO_MI_AR68[[#This Row],[NOM PRODUCTO]])),"","CONGELADO")</f>
        <v>CONGELADO</v>
      </c>
      <c r="O664" s="46" t="s">
        <v>49</v>
      </c>
      <c r="P664"/>
      <c r="Q664" s="4"/>
      <c r="R664" s="4"/>
      <c r="S664" s="4"/>
      <c r="T664" s="4"/>
      <c r="U664" s="4"/>
    </row>
    <row r="665" spans="2:21" hidden="1" thickTop="1" thickBot="1" x14ac:dyDescent="0.3">
      <c r="B665" s="43">
        <v>100021134</v>
      </c>
      <c r="C665" s="44" t="s">
        <v>817</v>
      </c>
      <c r="D665" s="45" t="s">
        <v>43</v>
      </c>
      <c r="E665" s="45" t="s">
        <v>44</v>
      </c>
      <c r="F665" s="44" t="s">
        <v>228</v>
      </c>
      <c r="G665" s="44" t="s">
        <v>17</v>
      </c>
      <c r="H665" s="44" t="s">
        <v>551</v>
      </c>
      <c r="I665" s="44" t="s">
        <v>46</v>
      </c>
      <c r="J665" s="44" t="s">
        <v>28</v>
      </c>
      <c r="K665" s="44" t="s">
        <v>552</v>
      </c>
      <c r="L665" s="44" t="str">
        <f>_xlfn.XLOOKUP(PRODUCTO_MI_AR68[[#This Row],[COD PRODUCTO]],'[1]IND AR'!$A:$A,'[1]IND AR'!$T:$T,"")</f>
        <v>PATE</v>
      </c>
      <c r="M665" s="44" t="s">
        <v>490</v>
      </c>
      <c r="N665" s="44" t="s">
        <v>554</v>
      </c>
      <c r="O665" s="46" t="s">
        <v>49</v>
      </c>
      <c r="P665"/>
      <c r="Q665" s="4"/>
      <c r="R665" s="4"/>
      <c r="S665" s="4"/>
      <c r="T665" s="4"/>
      <c r="U665" s="4"/>
    </row>
    <row r="666" spans="2:21" hidden="1" thickTop="1" thickBot="1" x14ac:dyDescent="0.3">
      <c r="B666" s="43">
        <v>100516947</v>
      </c>
      <c r="C666" s="44" t="s">
        <v>818</v>
      </c>
      <c r="D666" s="45" t="s">
        <v>43</v>
      </c>
      <c r="E666" s="45" t="s">
        <v>15</v>
      </c>
      <c r="F666" s="44" t="s">
        <v>228</v>
      </c>
      <c r="G666" s="44" t="s">
        <v>17</v>
      </c>
      <c r="H666" s="44" t="s">
        <v>551</v>
      </c>
      <c r="I666" s="44" t="s">
        <v>46</v>
      </c>
      <c r="J666" s="44" t="s">
        <v>40</v>
      </c>
      <c r="K666" s="44" t="str">
        <f>PRODUCTO_MI_AR68[[#This Row],[NOM SUBFAMILIA COMERCIAL]]</f>
        <v>PATE</v>
      </c>
      <c r="L666" s="44" t="str">
        <f>_xlfn.XLOOKUP(PRODUCTO_MI_AR68[[#This Row],[COD PRODUCTO]],'[1]IND AR'!$A:$A,'[1]IND AR'!$T:$T,"")</f>
        <v>PATE</v>
      </c>
      <c r="M666" s="44" t="s">
        <v>819</v>
      </c>
      <c r="N666" s="44" t="s">
        <v>554</v>
      </c>
      <c r="O666" s="46" t="s">
        <v>49</v>
      </c>
      <c r="P666"/>
      <c r="Q666" s="4"/>
      <c r="R666" s="4"/>
      <c r="S666" s="4"/>
      <c r="T666" s="4"/>
      <c r="U666" s="4"/>
    </row>
    <row r="667" spans="2:21" hidden="1" thickTop="1" thickBot="1" x14ac:dyDescent="0.3">
      <c r="B667" s="43">
        <v>100021027</v>
      </c>
      <c r="C667" s="44" t="s">
        <v>820</v>
      </c>
      <c r="D667" s="45" t="s">
        <v>212</v>
      </c>
      <c r="E667" s="45" t="s">
        <v>44</v>
      </c>
      <c r="F667" s="44" t="s">
        <v>228</v>
      </c>
      <c r="G667" s="44" t="s">
        <v>17</v>
      </c>
      <c r="H667" s="44" t="s">
        <v>551</v>
      </c>
      <c r="I667" s="44" t="s">
        <v>46</v>
      </c>
      <c r="J667" s="44" t="s">
        <v>28</v>
      </c>
      <c r="K667" s="44" t="s">
        <v>552</v>
      </c>
      <c r="L667" s="44" t="str">
        <f>_xlfn.XLOOKUP(PRODUCTO_MI_AR68[[#This Row],[COD PRODUCTO]],'[1]IND AR'!$A:$A,'[1]IND AR'!$T:$T,"")</f>
        <v>PATE</v>
      </c>
      <c r="M667" s="44" t="s">
        <v>821</v>
      </c>
      <c r="N667" s="44" t="s">
        <v>554</v>
      </c>
      <c r="O667" s="46" t="s">
        <v>49</v>
      </c>
      <c r="P667"/>
      <c r="Q667" s="4"/>
      <c r="R667" s="4"/>
      <c r="S667" s="4"/>
      <c r="T667" s="4"/>
      <c r="U667" s="4"/>
    </row>
    <row r="668" spans="2:21" hidden="1" thickTop="1" thickBot="1" x14ac:dyDescent="0.3">
      <c r="B668" s="43">
        <v>100522428</v>
      </c>
      <c r="C668" s="44" t="s">
        <v>822</v>
      </c>
      <c r="D668" s="45" t="s">
        <v>43</v>
      </c>
      <c r="E668" s="45" t="s">
        <v>44</v>
      </c>
      <c r="F668" s="44" t="s">
        <v>228</v>
      </c>
      <c r="G668" s="44" t="s">
        <v>17</v>
      </c>
      <c r="H668" s="44" t="s">
        <v>551</v>
      </c>
      <c r="I668" s="44" t="s">
        <v>46</v>
      </c>
      <c r="J668" s="44" t="s">
        <v>28</v>
      </c>
      <c r="K668" s="44" t="s">
        <v>552</v>
      </c>
      <c r="L668" s="44" t="str">
        <f>_xlfn.XLOOKUP(PRODUCTO_MI_AR68[[#This Row],[COD PRODUCTO]],'[1]IND AR'!$A:$A,'[1]IND AR'!$T:$T,"")</f>
        <v>PATE</v>
      </c>
      <c r="M668" s="44" t="s">
        <v>823</v>
      </c>
      <c r="N668" s="44" t="s">
        <v>554</v>
      </c>
      <c r="O668" s="46" t="s">
        <v>49</v>
      </c>
      <c r="P668"/>
      <c r="Q668" s="4"/>
      <c r="R668" s="4"/>
      <c r="S668" s="4"/>
      <c r="T668" s="4"/>
      <c r="U668" s="4"/>
    </row>
    <row r="669" spans="2:21" hidden="1" thickTop="1" thickBot="1" x14ac:dyDescent="0.3">
      <c r="B669" s="43">
        <v>100021009</v>
      </c>
      <c r="C669" s="44" t="s">
        <v>824</v>
      </c>
      <c r="D669" s="45" t="s">
        <v>43</v>
      </c>
      <c r="E669" s="45" t="s">
        <v>44</v>
      </c>
      <c r="F669" s="44" t="s">
        <v>228</v>
      </c>
      <c r="G669" s="44" t="s">
        <v>17</v>
      </c>
      <c r="H669" s="44" t="s">
        <v>551</v>
      </c>
      <c r="I669" s="44" t="s">
        <v>46</v>
      </c>
      <c r="J669" s="44" t="s">
        <v>28</v>
      </c>
      <c r="K669" s="44" t="str">
        <f>PRODUCTO_MI_AR68[[#This Row],[NOM SUBFAMILIA COMERCIAL]]</f>
        <v>PATE</v>
      </c>
      <c r="L669" s="44" t="str">
        <f>_xlfn.XLOOKUP(PRODUCTO_MI_AR68[[#This Row],[COD PRODUCTO]],'[1]IND AR'!$A:$A,'[1]IND AR'!$T:$T,"")</f>
        <v>PATE</v>
      </c>
      <c r="M669" s="44" t="s">
        <v>229</v>
      </c>
      <c r="N669" s="44" t="s">
        <v>193</v>
      </c>
      <c r="O669" s="46" t="s">
        <v>49</v>
      </c>
      <c r="P669"/>
      <c r="Q669" s="4"/>
      <c r="R669" s="4"/>
      <c r="S669" s="4"/>
      <c r="T669" s="4"/>
      <c r="U669" s="4"/>
    </row>
    <row r="670" spans="2:21" hidden="1" thickTop="1" thickBot="1" x14ac:dyDescent="0.3">
      <c r="B670" s="43">
        <v>100021011</v>
      </c>
      <c r="C670" s="44" t="s">
        <v>825</v>
      </c>
      <c r="D670" s="45" t="s">
        <v>212</v>
      </c>
      <c r="E670" s="45" t="s">
        <v>44</v>
      </c>
      <c r="F670" s="44" t="s">
        <v>228</v>
      </c>
      <c r="G670" s="44" t="s">
        <v>17</v>
      </c>
      <c r="H670" s="44" t="s">
        <v>551</v>
      </c>
      <c r="I670" s="44" t="s">
        <v>46</v>
      </c>
      <c r="J670" s="44" t="s">
        <v>28</v>
      </c>
      <c r="K670" s="44" t="str">
        <f>PRODUCTO_MI_AR68[[#This Row],[NOM SUBFAMILIA COMERCIAL]]</f>
        <v>PATE</v>
      </c>
      <c r="L670" s="44" t="str">
        <f>_xlfn.XLOOKUP(PRODUCTO_MI_AR68[[#This Row],[COD PRODUCTO]],'[1]IND AR'!$A:$A,'[1]IND AR'!$T:$T,"")</f>
        <v>PATE</v>
      </c>
      <c r="M670" s="44" t="s">
        <v>819</v>
      </c>
      <c r="N670" s="44" t="s">
        <v>554</v>
      </c>
      <c r="O670" s="46" t="s">
        <v>49</v>
      </c>
      <c r="P670"/>
      <c r="Q670" s="4"/>
      <c r="R670" s="4"/>
      <c r="S670" s="4"/>
      <c r="T670" s="4"/>
      <c r="U670" s="4"/>
    </row>
    <row r="671" spans="2:21" hidden="1" thickTop="1" thickBot="1" x14ac:dyDescent="0.3">
      <c r="B671" s="43">
        <v>100021000</v>
      </c>
      <c r="C671" s="44" t="s">
        <v>826</v>
      </c>
      <c r="D671" s="45" t="s">
        <v>43</v>
      </c>
      <c r="E671" s="45" t="s">
        <v>44</v>
      </c>
      <c r="F671" s="44" t="s">
        <v>16</v>
      </c>
      <c r="G671" s="44" t="s">
        <v>17</v>
      </c>
      <c r="H671" s="44" t="s">
        <v>551</v>
      </c>
      <c r="I671" s="44" t="s">
        <v>46</v>
      </c>
      <c r="J671" s="44" t="s">
        <v>28</v>
      </c>
      <c r="K671" s="44" t="str">
        <f>PRODUCTO_MI_AR68[[#This Row],[NOM SUBFAMILIA COMERCIAL]]</f>
        <v>PATE</v>
      </c>
      <c r="L671" s="44" t="str">
        <f>_xlfn.XLOOKUP(PRODUCTO_MI_AR68[[#This Row],[COD PRODUCTO]],'[1]IND AR'!$A:$A,'[1]IND AR'!$T:$T,"")</f>
        <v>PATE</v>
      </c>
      <c r="M671" s="44" t="s">
        <v>57</v>
      </c>
      <c r="N671" s="44" t="s">
        <v>193</v>
      </c>
      <c r="O671" s="46" t="s">
        <v>49</v>
      </c>
      <c r="P671"/>
      <c r="Q671" s="4"/>
      <c r="R671" s="4"/>
      <c r="S671" s="4"/>
      <c r="T671" s="4"/>
      <c r="U671" s="4"/>
    </row>
    <row r="672" spans="2:21" hidden="1" thickTop="1" thickBot="1" x14ac:dyDescent="0.3">
      <c r="B672" s="43">
        <v>100517539</v>
      </c>
      <c r="C672" s="44" t="s">
        <v>826</v>
      </c>
      <c r="D672" s="45" t="s">
        <v>212</v>
      </c>
      <c r="E672" s="45" t="s">
        <v>44</v>
      </c>
      <c r="F672" s="44" t="s">
        <v>16</v>
      </c>
      <c r="G672" s="44" t="s">
        <v>17</v>
      </c>
      <c r="H672" s="44" t="s">
        <v>551</v>
      </c>
      <c r="I672" s="44" t="s">
        <v>46</v>
      </c>
      <c r="J672" s="44" t="s">
        <v>28</v>
      </c>
      <c r="K672" s="44" t="str">
        <f>PRODUCTO_MI_AR68[[#This Row],[NOM SUBFAMILIA COMERCIAL]]</f>
        <v>PATE</v>
      </c>
      <c r="L672" s="44" t="str">
        <f>_xlfn.XLOOKUP(PRODUCTO_MI_AR68[[#This Row],[COD PRODUCTO]],'[1]IND AR'!$A:$A,'[1]IND AR'!$T:$T,"")</f>
        <v>PATE</v>
      </c>
      <c r="M672" s="44" t="s">
        <v>57</v>
      </c>
      <c r="N672" s="44" t="s">
        <v>554</v>
      </c>
      <c r="O672" s="46" t="s">
        <v>49</v>
      </c>
      <c r="P672"/>
      <c r="Q672" s="4"/>
      <c r="R672" s="4"/>
      <c r="S672" s="4"/>
      <c r="T672" s="4"/>
      <c r="U672" s="4"/>
    </row>
    <row r="673" spans="2:21" hidden="1" thickTop="1" thickBot="1" x14ac:dyDescent="0.3">
      <c r="B673" s="43">
        <v>100021004</v>
      </c>
      <c r="C673" s="44" t="s">
        <v>827</v>
      </c>
      <c r="D673" s="45" t="s">
        <v>43</v>
      </c>
      <c r="E673" s="45" t="s">
        <v>44</v>
      </c>
      <c r="F673" s="44" t="s">
        <v>16</v>
      </c>
      <c r="G673" s="44" t="s">
        <v>17</v>
      </c>
      <c r="H673" s="44" t="s">
        <v>551</v>
      </c>
      <c r="I673" s="44" t="s">
        <v>46</v>
      </c>
      <c r="J673" s="44" t="s">
        <v>28</v>
      </c>
      <c r="K673" s="44" t="str">
        <f>PRODUCTO_MI_AR68[[#This Row],[NOM SUBFAMILIA COMERCIAL]]</f>
        <v>PATE</v>
      </c>
      <c r="L673" s="44" t="s">
        <v>552</v>
      </c>
      <c r="M673" s="44" t="s">
        <v>57</v>
      </c>
      <c r="N673" s="44" t="s">
        <v>193</v>
      </c>
      <c r="O673" s="46" t="s">
        <v>49</v>
      </c>
      <c r="P673"/>
      <c r="Q673" s="4"/>
      <c r="R673" s="4"/>
      <c r="S673" s="4"/>
      <c r="T673" s="4"/>
      <c r="U673" s="4"/>
    </row>
    <row r="674" spans="2:21" hidden="1" thickTop="1" thickBot="1" x14ac:dyDescent="0.3">
      <c r="B674" s="43">
        <v>100517541</v>
      </c>
      <c r="C674" s="44" t="s">
        <v>827</v>
      </c>
      <c r="D674" s="45" t="s">
        <v>212</v>
      </c>
      <c r="E674" s="45" t="s">
        <v>44</v>
      </c>
      <c r="F674" s="44" t="s">
        <v>16</v>
      </c>
      <c r="G674" s="44" t="s">
        <v>17</v>
      </c>
      <c r="H674" s="44" t="s">
        <v>551</v>
      </c>
      <c r="I674" s="44" t="s">
        <v>46</v>
      </c>
      <c r="J674" s="44" t="s">
        <v>28</v>
      </c>
      <c r="K674" s="44" t="str">
        <f>PRODUCTO_MI_AR68[[#This Row],[NOM SUBFAMILIA COMERCIAL]]</f>
        <v>PATE</v>
      </c>
      <c r="L674" s="44" t="s">
        <v>552</v>
      </c>
      <c r="M674" s="44" t="s">
        <v>57</v>
      </c>
      <c r="N674" s="44" t="s">
        <v>554</v>
      </c>
      <c r="O674" s="46" t="s">
        <v>49</v>
      </c>
      <c r="P674"/>
      <c r="Q674" s="4"/>
      <c r="R674" s="4"/>
      <c r="S674" s="4"/>
      <c r="T674" s="4"/>
      <c r="U674" s="4"/>
    </row>
    <row r="675" spans="2:21" thickTop="1" thickBot="1" x14ac:dyDescent="0.3">
      <c r="B675" s="43">
        <v>100021012</v>
      </c>
      <c r="C675" s="44" t="s">
        <v>828</v>
      </c>
      <c r="D675" s="45" t="s">
        <v>212</v>
      </c>
      <c r="E675" s="45" t="s">
        <v>44</v>
      </c>
      <c r="F675" s="44" t="s">
        <v>16</v>
      </c>
      <c r="G675" s="44" t="s">
        <v>17</v>
      </c>
      <c r="H675" s="44" t="s">
        <v>551</v>
      </c>
      <c r="I675" s="44" t="s">
        <v>46</v>
      </c>
      <c r="J675" s="44" t="s">
        <v>20</v>
      </c>
      <c r="K675" s="44" t="str">
        <f>PRODUCTO_MI_AR68[[#This Row],[NOM SUBFAMILIA COMERCIAL]]</f>
        <v>PATE</v>
      </c>
      <c r="L675" s="44" t="s">
        <v>552</v>
      </c>
      <c r="M675" s="44" t="s">
        <v>829</v>
      </c>
      <c r="N675" s="44" t="s">
        <v>554</v>
      </c>
      <c r="O675" s="46" t="s">
        <v>49</v>
      </c>
      <c r="P675"/>
      <c r="Q675" s="4"/>
      <c r="R675" s="4"/>
      <c r="S675" s="4"/>
      <c r="T675" s="4"/>
      <c r="U675" s="4"/>
    </row>
    <row r="676" spans="2:21" thickTop="1" thickBot="1" x14ac:dyDescent="0.3">
      <c r="B676" s="43">
        <v>100021014</v>
      </c>
      <c r="C676" s="44" t="s">
        <v>830</v>
      </c>
      <c r="D676" s="45" t="s">
        <v>43</v>
      </c>
      <c r="E676" s="45" t="s">
        <v>44</v>
      </c>
      <c r="F676" s="44" t="s">
        <v>16</v>
      </c>
      <c r="G676" s="44" t="s">
        <v>17</v>
      </c>
      <c r="H676" s="44" t="s">
        <v>551</v>
      </c>
      <c r="I676" s="44" t="s">
        <v>46</v>
      </c>
      <c r="J676" s="44" t="s">
        <v>20</v>
      </c>
      <c r="K676" s="44" t="str">
        <f>PRODUCTO_MI_AR68[[#This Row],[NOM SUBFAMILIA COMERCIAL]]</f>
        <v>PATE</v>
      </c>
      <c r="L676" s="44" t="s">
        <v>552</v>
      </c>
      <c r="M676" s="44" t="s">
        <v>829</v>
      </c>
      <c r="N676" s="44" t="s">
        <v>554</v>
      </c>
      <c r="O676" s="46" t="s">
        <v>49</v>
      </c>
      <c r="P676"/>
      <c r="Q676" s="4"/>
      <c r="R676" s="4"/>
      <c r="S676" s="4"/>
      <c r="T676" s="4"/>
      <c r="U676" s="4"/>
    </row>
    <row r="677" spans="2:21" thickTop="1" thickBot="1" x14ac:dyDescent="0.3">
      <c r="B677" s="43">
        <v>100517545</v>
      </c>
      <c r="C677" s="44" t="s">
        <v>830</v>
      </c>
      <c r="D677" s="45" t="s">
        <v>212</v>
      </c>
      <c r="E677" s="45" t="s">
        <v>44</v>
      </c>
      <c r="F677" s="44" t="s">
        <v>16</v>
      </c>
      <c r="G677" s="44" t="s">
        <v>17</v>
      </c>
      <c r="H677" s="44" t="s">
        <v>551</v>
      </c>
      <c r="I677" s="44" t="s">
        <v>46</v>
      </c>
      <c r="J677" s="44" t="s">
        <v>20</v>
      </c>
      <c r="K677" s="44" t="str">
        <f>PRODUCTO_MI_AR68[[#This Row],[NOM SUBFAMILIA COMERCIAL]]</f>
        <v>PATE</v>
      </c>
      <c r="L677" s="44" t="s">
        <v>552</v>
      </c>
      <c r="M677" s="44" t="s">
        <v>829</v>
      </c>
      <c r="N677" s="44" t="s">
        <v>554</v>
      </c>
      <c r="O677" s="46" t="s">
        <v>49</v>
      </c>
      <c r="P677"/>
      <c r="Q677" s="4"/>
      <c r="R677" s="4"/>
      <c r="S677" s="4"/>
      <c r="T677" s="4"/>
      <c r="U677" s="4"/>
    </row>
    <row r="678" spans="2:21" hidden="1" thickTop="1" thickBot="1" x14ac:dyDescent="0.3">
      <c r="B678" s="43">
        <v>100021007</v>
      </c>
      <c r="C678" s="44" t="s">
        <v>831</v>
      </c>
      <c r="D678" s="45" t="s">
        <v>43</v>
      </c>
      <c r="E678" s="45" t="s">
        <v>44</v>
      </c>
      <c r="F678" s="44" t="s">
        <v>16</v>
      </c>
      <c r="G678" s="44" t="s">
        <v>17</v>
      </c>
      <c r="H678" s="44" t="s">
        <v>551</v>
      </c>
      <c r="I678" s="44" t="s">
        <v>46</v>
      </c>
      <c r="J678" s="44" t="s">
        <v>28</v>
      </c>
      <c r="K678" s="44" t="str">
        <f>PRODUCTO_MI_AR68[[#This Row],[NOM SUBFAMILIA COMERCIAL]]</f>
        <v>PATE</v>
      </c>
      <c r="L678" s="44" t="s">
        <v>552</v>
      </c>
      <c r="M678" s="44" t="s">
        <v>57</v>
      </c>
      <c r="N678" s="44" t="s">
        <v>193</v>
      </c>
      <c r="O678" s="46" t="s">
        <v>49</v>
      </c>
      <c r="P678"/>
      <c r="Q678" s="4"/>
      <c r="R678" s="4"/>
      <c r="S678" s="4"/>
      <c r="T678" s="4"/>
      <c r="U678" s="4"/>
    </row>
    <row r="679" spans="2:21" hidden="1" thickTop="1" thickBot="1" x14ac:dyDescent="0.3">
      <c r="B679" s="43">
        <v>100517543</v>
      </c>
      <c r="C679" s="44" t="s">
        <v>831</v>
      </c>
      <c r="D679" s="45" t="s">
        <v>212</v>
      </c>
      <c r="E679" s="45" t="s">
        <v>44</v>
      </c>
      <c r="F679" s="44" t="s">
        <v>16</v>
      </c>
      <c r="G679" s="44" t="s">
        <v>17</v>
      </c>
      <c r="H679" s="44" t="s">
        <v>551</v>
      </c>
      <c r="I679" s="44" t="s">
        <v>46</v>
      </c>
      <c r="J679" s="44" t="s">
        <v>28</v>
      </c>
      <c r="K679" s="44" t="str">
        <f>PRODUCTO_MI_AR68[[#This Row],[NOM SUBFAMILIA COMERCIAL]]</f>
        <v>PATE</v>
      </c>
      <c r="L679" s="44" t="s">
        <v>552</v>
      </c>
      <c r="M679" s="44" t="s">
        <v>57</v>
      </c>
      <c r="N679" s="44" t="s">
        <v>554</v>
      </c>
      <c r="O679" s="46" t="s">
        <v>49</v>
      </c>
      <c r="P679"/>
      <c r="Q679" s="4"/>
      <c r="R679" s="4"/>
      <c r="S679" s="4"/>
      <c r="T679" s="4"/>
      <c r="U679" s="4"/>
    </row>
    <row r="680" spans="2:21" ht="18" hidden="1" customHeight="1" thickTop="1" thickBot="1" x14ac:dyDescent="0.3">
      <c r="B680" s="43">
        <v>100522333</v>
      </c>
      <c r="C680" s="44" t="s">
        <v>832</v>
      </c>
      <c r="D680" s="45"/>
      <c r="E680" s="45" t="s">
        <v>44</v>
      </c>
      <c r="F680" s="44" t="s">
        <v>16</v>
      </c>
      <c r="G680" s="44" t="s">
        <v>17</v>
      </c>
      <c r="H680" s="44" t="s">
        <v>551</v>
      </c>
      <c r="I680" s="44" t="s">
        <v>46</v>
      </c>
      <c r="J680" s="44" t="s">
        <v>28</v>
      </c>
      <c r="K680" s="44" t="str">
        <f>PRODUCTO_MI_AR68[[#This Row],[NOM SUBFAMILIA COMERCIAL]]</f>
        <v>PATE</v>
      </c>
      <c r="L680" s="44" t="s">
        <v>552</v>
      </c>
      <c r="M680" s="44" t="s">
        <v>57</v>
      </c>
      <c r="N680" s="44" t="s">
        <v>554</v>
      </c>
      <c r="O680" s="46" t="s">
        <v>49</v>
      </c>
      <c r="P680"/>
      <c r="Q680" s="4"/>
      <c r="R680" s="4"/>
      <c r="S680" s="4"/>
      <c r="T680" s="4"/>
      <c r="U680" s="4"/>
    </row>
    <row r="681" spans="2:21" hidden="1" thickTop="1" thickBot="1" x14ac:dyDescent="0.3">
      <c r="B681" s="43">
        <v>100518545</v>
      </c>
      <c r="C681" s="44" t="s">
        <v>833</v>
      </c>
      <c r="D681" s="45" t="s">
        <v>43</v>
      </c>
      <c r="E681" s="45" t="s">
        <v>44</v>
      </c>
      <c r="F681" s="44" t="s">
        <v>16</v>
      </c>
      <c r="G681" s="44" t="s">
        <v>17</v>
      </c>
      <c r="H681" s="44" t="s">
        <v>551</v>
      </c>
      <c r="I681" s="44" t="s">
        <v>46</v>
      </c>
      <c r="J681" s="44" t="s">
        <v>28</v>
      </c>
      <c r="K681" s="44" t="s">
        <v>552</v>
      </c>
      <c r="L681" s="44" t="str">
        <f>_xlfn.XLOOKUP(PRODUCTO_MI_AR68[[#This Row],[COD PRODUCTO]],'[1]IND AR'!$A:$A,'[1]IND AR'!$T:$T,"")</f>
        <v>PATE</v>
      </c>
      <c r="M681" s="44" t="s">
        <v>57</v>
      </c>
      <c r="N681" s="44" t="s">
        <v>554</v>
      </c>
      <c r="O681" s="46" t="s">
        <v>49</v>
      </c>
      <c r="P681"/>
      <c r="Q681" s="4"/>
      <c r="R681" s="4"/>
      <c r="S681" s="4"/>
      <c r="T681" s="4"/>
      <c r="U681" s="4"/>
    </row>
    <row r="682" spans="2:21" ht="18" customHeight="1" thickTop="1" thickBot="1" x14ac:dyDescent="0.3">
      <c r="B682" s="43">
        <v>100021013</v>
      </c>
      <c r="C682" s="44" t="s">
        <v>834</v>
      </c>
      <c r="D682" s="45" t="s">
        <v>43</v>
      </c>
      <c r="E682" s="45" t="s">
        <v>44</v>
      </c>
      <c r="F682" s="44" t="s">
        <v>16</v>
      </c>
      <c r="G682" s="44" t="s">
        <v>17</v>
      </c>
      <c r="H682" s="44" t="s">
        <v>551</v>
      </c>
      <c r="I682" s="44" t="s">
        <v>46</v>
      </c>
      <c r="J682" s="44" t="s">
        <v>20</v>
      </c>
      <c r="K682" s="44" t="str">
        <f>PRODUCTO_MI_AR68[[#This Row],[NOM SUBFAMILIA COMERCIAL]]</f>
        <v>PATE</v>
      </c>
      <c r="L682" s="44" t="s">
        <v>552</v>
      </c>
      <c r="M682" s="44" t="s">
        <v>829</v>
      </c>
      <c r="N682" s="44" t="s">
        <v>554</v>
      </c>
      <c r="O682" s="46" t="s">
        <v>49</v>
      </c>
      <c r="P682"/>
      <c r="Q682" s="4"/>
      <c r="R682" s="4"/>
      <c r="S682" s="4"/>
      <c r="T682" s="4"/>
      <c r="U682" s="4"/>
    </row>
    <row r="683" spans="2:21" ht="18" customHeight="1" thickTop="1" thickBot="1" x14ac:dyDescent="0.3">
      <c r="B683" s="43">
        <v>100517544</v>
      </c>
      <c r="C683" s="44" t="s">
        <v>834</v>
      </c>
      <c r="D683" s="45" t="s">
        <v>212</v>
      </c>
      <c r="E683" s="45" t="s">
        <v>44</v>
      </c>
      <c r="F683" s="44" t="s">
        <v>16</v>
      </c>
      <c r="G683" s="44" t="s">
        <v>17</v>
      </c>
      <c r="H683" s="44" t="s">
        <v>551</v>
      </c>
      <c r="I683" s="44" t="s">
        <v>46</v>
      </c>
      <c r="J683" s="44" t="s">
        <v>20</v>
      </c>
      <c r="K683" s="44" t="str">
        <f>PRODUCTO_MI_AR68[[#This Row],[NOM SUBFAMILIA COMERCIAL]]</f>
        <v>PATE</v>
      </c>
      <c r="L683" s="44" t="s">
        <v>552</v>
      </c>
      <c r="M683" s="44" t="s">
        <v>829</v>
      </c>
      <c r="N683" s="44" t="s">
        <v>554</v>
      </c>
      <c r="O683" s="46" t="s">
        <v>49</v>
      </c>
      <c r="P683"/>
      <c r="Q683" s="4"/>
      <c r="R683" s="4"/>
      <c r="S683" s="4"/>
      <c r="T683" s="4"/>
      <c r="U683" s="4"/>
    </row>
    <row r="684" spans="2:21" ht="18" customHeight="1" thickTop="1" thickBot="1" x14ac:dyDescent="0.3">
      <c r="B684" s="43">
        <v>100021015</v>
      </c>
      <c r="C684" s="44" t="s">
        <v>835</v>
      </c>
      <c r="D684" s="45" t="s">
        <v>43</v>
      </c>
      <c r="E684" s="45" t="s">
        <v>44</v>
      </c>
      <c r="F684" s="44" t="s">
        <v>16</v>
      </c>
      <c r="G684" s="44" t="s">
        <v>17</v>
      </c>
      <c r="H684" s="44" t="s">
        <v>551</v>
      </c>
      <c r="I684" s="44" t="s">
        <v>46</v>
      </c>
      <c r="J684" s="44" t="s">
        <v>20</v>
      </c>
      <c r="K684" s="44" t="str">
        <f>PRODUCTO_MI_AR68[[#This Row],[NOM SUBFAMILIA COMERCIAL]]</f>
        <v>PATE</v>
      </c>
      <c r="L684" s="44" t="s">
        <v>552</v>
      </c>
      <c r="M684" s="44" t="s">
        <v>829</v>
      </c>
      <c r="N684" s="44" t="s">
        <v>554</v>
      </c>
      <c r="O684" s="46" t="s">
        <v>49</v>
      </c>
      <c r="P684"/>
      <c r="Q684" s="4"/>
      <c r="R684" s="4"/>
      <c r="S684" s="4"/>
      <c r="T684" s="4"/>
      <c r="U684" s="4"/>
    </row>
    <row r="685" spans="2:21" ht="18" customHeight="1" thickTop="1" thickBot="1" x14ac:dyDescent="0.3">
      <c r="B685" s="43">
        <v>100517546</v>
      </c>
      <c r="C685" s="44" t="s">
        <v>835</v>
      </c>
      <c r="D685" s="45" t="s">
        <v>212</v>
      </c>
      <c r="E685" s="45" t="s">
        <v>44</v>
      </c>
      <c r="F685" s="44" t="s">
        <v>16</v>
      </c>
      <c r="G685" s="44" t="s">
        <v>17</v>
      </c>
      <c r="H685" s="44" t="s">
        <v>551</v>
      </c>
      <c r="I685" s="44" t="s">
        <v>46</v>
      </c>
      <c r="J685" s="44" t="s">
        <v>20</v>
      </c>
      <c r="K685" s="44" t="str">
        <f>PRODUCTO_MI_AR68[[#This Row],[NOM SUBFAMILIA COMERCIAL]]</f>
        <v>PATE</v>
      </c>
      <c r="L685" s="44" t="s">
        <v>552</v>
      </c>
      <c r="M685" s="44" t="s">
        <v>829</v>
      </c>
      <c r="N685" s="44" t="s">
        <v>554</v>
      </c>
      <c r="O685" s="46" t="s">
        <v>49</v>
      </c>
      <c r="P685"/>
      <c r="Q685" s="4"/>
      <c r="R685" s="4"/>
      <c r="S685" s="4"/>
      <c r="T685" s="4"/>
      <c r="U685" s="4"/>
    </row>
    <row r="686" spans="2:21" ht="18" customHeight="1" thickTop="1" thickBot="1" x14ac:dyDescent="0.3">
      <c r="B686" s="43">
        <v>100517549</v>
      </c>
      <c r="C686" s="44" t="s">
        <v>836</v>
      </c>
      <c r="D686" s="45" t="s">
        <v>212</v>
      </c>
      <c r="E686" s="45" t="s">
        <v>44</v>
      </c>
      <c r="F686" s="44" t="s">
        <v>16</v>
      </c>
      <c r="G686" s="44" t="s">
        <v>17</v>
      </c>
      <c r="H686" s="44" t="s">
        <v>551</v>
      </c>
      <c r="I686" s="44" t="s">
        <v>46</v>
      </c>
      <c r="J686" s="44" t="s">
        <v>20</v>
      </c>
      <c r="K686" s="44" t="str">
        <f>PRODUCTO_MI_AR68[[#This Row],[NOM SUBFAMILIA COMERCIAL]]</f>
        <v>PATE</v>
      </c>
      <c r="L686" s="44" t="s">
        <v>552</v>
      </c>
      <c r="M686" s="44" t="s">
        <v>829</v>
      </c>
      <c r="N686" s="44" t="s">
        <v>554</v>
      </c>
      <c r="O686" s="46" t="s">
        <v>49</v>
      </c>
      <c r="P686"/>
      <c r="Q686" s="4"/>
      <c r="R686" s="4"/>
      <c r="S686" s="4"/>
      <c r="T686" s="4"/>
      <c r="U686" s="4"/>
    </row>
    <row r="687" spans="2:21" ht="18" customHeight="1" thickTop="1" thickBot="1" x14ac:dyDescent="0.3">
      <c r="B687" s="43">
        <v>100021055</v>
      </c>
      <c r="C687" s="44" t="s">
        <v>837</v>
      </c>
      <c r="D687" s="45" t="s">
        <v>43</v>
      </c>
      <c r="E687" s="45" t="s">
        <v>44</v>
      </c>
      <c r="F687" s="44" t="s">
        <v>16</v>
      </c>
      <c r="G687" s="44" t="s">
        <v>17</v>
      </c>
      <c r="H687" s="44" t="s">
        <v>551</v>
      </c>
      <c r="I687" s="44" t="s">
        <v>46</v>
      </c>
      <c r="J687" s="44" t="s">
        <v>20</v>
      </c>
      <c r="K687" s="44" t="str">
        <f>PRODUCTO_MI_AR68[[#This Row],[NOM SUBFAMILIA COMERCIAL]]</f>
        <v>PATE</v>
      </c>
      <c r="L687" s="44" t="s">
        <v>552</v>
      </c>
      <c r="M687" s="44" t="s">
        <v>829</v>
      </c>
      <c r="N687" s="44" t="s">
        <v>554</v>
      </c>
      <c r="O687" s="46" t="s">
        <v>49</v>
      </c>
      <c r="P687"/>
      <c r="Q687" s="4"/>
      <c r="R687" s="4"/>
      <c r="S687" s="4"/>
      <c r="T687" s="4"/>
      <c r="U687" s="4"/>
    </row>
    <row r="688" spans="2:21" ht="18" hidden="1" customHeight="1" thickTop="1" thickBot="1" x14ac:dyDescent="0.3">
      <c r="B688" s="43">
        <v>100517548</v>
      </c>
      <c r="C688" s="44" t="s">
        <v>838</v>
      </c>
      <c r="D688" s="45" t="s">
        <v>212</v>
      </c>
      <c r="E688" s="45" t="s">
        <v>44</v>
      </c>
      <c r="F688" s="44" t="s">
        <v>16</v>
      </c>
      <c r="G688" s="44" t="s">
        <v>17</v>
      </c>
      <c r="H688" s="44" t="s">
        <v>551</v>
      </c>
      <c r="I688" s="44" t="s">
        <v>46</v>
      </c>
      <c r="J688" s="44" t="s">
        <v>28</v>
      </c>
      <c r="K688" s="44" t="str">
        <f>PRODUCTO_MI_AR68[[#This Row],[NOM SUBFAMILIA COMERCIAL]]</f>
        <v>PATE</v>
      </c>
      <c r="L688" s="44" t="s">
        <v>552</v>
      </c>
      <c r="M688" s="44" t="s">
        <v>57</v>
      </c>
      <c r="N688" s="44" t="s">
        <v>554</v>
      </c>
      <c r="O688" s="46" t="s">
        <v>49</v>
      </c>
      <c r="P688"/>
      <c r="Q688" s="4"/>
      <c r="R688" s="4"/>
      <c r="S688" s="4"/>
      <c r="T688" s="4"/>
      <c r="U688" s="4"/>
    </row>
    <row r="689" spans="2:21" ht="18" customHeight="1" thickTop="1" thickBot="1" x14ac:dyDescent="0.3">
      <c r="B689" s="43">
        <v>100021054</v>
      </c>
      <c r="C689" s="44" t="s">
        <v>839</v>
      </c>
      <c r="D689" s="45"/>
      <c r="E689" s="45" t="s">
        <v>44</v>
      </c>
      <c r="F689" s="44" t="s">
        <v>16</v>
      </c>
      <c r="G689" s="44" t="s">
        <v>17</v>
      </c>
      <c r="H689" s="44" t="s">
        <v>551</v>
      </c>
      <c r="I689" s="44" t="s">
        <v>46</v>
      </c>
      <c r="J689" s="44" t="s">
        <v>20</v>
      </c>
      <c r="K689" s="44" t="s">
        <v>552</v>
      </c>
      <c r="L689" s="44" t="s">
        <v>552</v>
      </c>
      <c r="M689" s="44" t="s">
        <v>829</v>
      </c>
      <c r="N689" s="44" t="s">
        <v>554</v>
      </c>
      <c r="O689" s="46" t="s">
        <v>49</v>
      </c>
      <c r="P689"/>
      <c r="Q689" s="4"/>
      <c r="R689" s="4"/>
      <c r="S689" s="4"/>
      <c r="T689" s="4"/>
      <c r="U689" s="4"/>
    </row>
    <row r="690" spans="2:21" ht="18" hidden="1" customHeight="1" thickTop="1" thickBot="1" x14ac:dyDescent="0.3">
      <c r="B690" s="43">
        <v>100519234</v>
      </c>
      <c r="C690" s="44" t="s">
        <v>840</v>
      </c>
      <c r="D690" s="45" t="s">
        <v>43</v>
      </c>
      <c r="E690" s="45" t="s">
        <v>44</v>
      </c>
      <c r="F690" s="44" t="s">
        <v>16</v>
      </c>
      <c r="G690" s="44" t="s">
        <v>17</v>
      </c>
      <c r="H690" s="44" t="s">
        <v>551</v>
      </c>
      <c r="I690" s="44" t="s">
        <v>46</v>
      </c>
      <c r="J690" s="44" t="s">
        <v>28</v>
      </c>
      <c r="K690" s="44" t="s">
        <v>552</v>
      </c>
      <c r="L690" s="44" t="str">
        <f>_xlfn.XLOOKUP(PRODUCTO_MI_AR68[[#This Row],[COD PRODUCTO]],'[1]IND AR'!$A:$A,'[1]IND AR'!$T:$T,"")</f>
        <v>PATE</v>
      </c>
      <c r="M690" s="44" t="s">
        <v>503</v>
      </c>
      <c r="N690" s="44" t="s">
        <v>554</v>
      </c>
      <c r="O690" s="46" t="s">
        <v>49</v>
      </c>
      <c r="P690"/>
      <c r="Q690" s="4"/>
      <c r="R690" s="4"/>
      <c r="S690" s="4"/>
      <c r="T690" s="4"/>
      <c r="U690" s="4"/>
    </row>
    <row r="691" spans="2:21" ht="18" hidden="1" customHeight="1" thickTop="1" thickBot="1" x14ac:dyDescent="0.3">
      <c r="B691" s="43">
        <v>100520325</v>
      </c>
      <c r="C691" s="44" t="s">
        <v>841</v>
      </c>
      <c r="D691" s="45" t="s">
        <v>43</v>
      </c>
      <c r="E691" s="45" t="s">
        <v>44</v>
      </c>
      <c r="F691" s="44" t="s">
        <v>228</v>
      </c>
      <c r="G691" s="44" t="s">
        <v>17</v>
      </c>
      <c r="H691" s="44" t="s">
        <v>551</v>
      </c>
      <c r="I691" s="44" t="s">
        <v>46</v>
      </c>
      <c r="J691" s="44" t="s">
        <v>28</v>
      </c>
      <c r="K691" s="44" t="s">
        <v>552</v>
      </c>
      <c r="L691" s="44" t="str">
        <f>_xlfn.XLOOKUP(PRODUCTO_MI_AR68[[#This Row],[COD PRODUCTO]],'[1]IND AR'!$A:$A,'[1]IND AR'!$T:$T,"")</f>
        <v>PATE</v>
      </c>
      <c r="M691" s="44" t="s">
        <v>842</v>
      </c>
      <c r="N691" s="44" t="s">
        <v>554</v>
      </c>
      <c r="O691" s="46" t="s">
        <v>49</v>
      </c>
      <c r="P691"/>
      <c r="Q691" s="4"/>
      <c r="R691" s="4"/>
      <c r="S691" s="4"/>
      <c r="T691" s="4"/>
      <c r="U691" s="4"/>
    </row>
    <row r="692" spans="2:21" ht="18" hidden="1" customHeight="1" thickTop="1" thickBot="1" x14ac:dyDescent="0.3">
      <c r="B692" s="43">
        <v>100520347</v>
      </c>
      <c r="C692" s="44" t="s">
        <v>843</v>
      </c>
      <c r="D692" s="45"/>
      <c r="E692" s="45" t="str">
        <f>IF(ISERR(FIND("PUL",PRODUCTO_MI_AR68[[#This Row],[NOM PRODUCTO]])),"","ME")</f>
        <v>ME</v>
      </c>
      <c r="F692" s="44" t="s">
        <v>16</v>
      </c>
      <c r="G692" s="44" t="s">
        <v>17</v>
      </c>
      <c r="H692" s="44" t="s">
        <v>18</v>
      </c>
      <c r="I692" s="44" t="s">
        <v>231</v>
      </c>
      <c r="J692" s="44" t="s">
        <v>28</v>
      </c>
      <c r="K692" s="44" t="s">
        <v>844</v>
      </c>
      <c r="L692" s="44" t="s">
        <v>845</v>
      </c>
      <c r="M692" s="44" t="s">
        <v>29</v>
      </c>
      <c r="N692" s="44" t="str">
        <f>IF(ISERR(FIND("CONG",PRODUCTO_MI_AR68[[#This Row],[NOM PRODUCTO]])),"","CONGELADO")</f>
        <v>CONGELADO</v>
      </c>
      <c r="O692" s="46" t="s">
        <v>24</v>
      </c>
      <c r="P692"/>
      <c r="Q692" s="4"/>
      <c r="R692" s="4"/>
      <c r="S692" s="4"/>
      <c r="T692" s="4"/>
      <c r="U692" s="4"/>
    </row>
    <row r="693" spans="2:21" ht="18" hidden="1" customHeight="1" thickTop="1" thickBot="1" x14ac:dyDescent="0.3">
      <c r="B693" s="43">
        <v>100522265</v>
      </c>
      <c r="C693" s="44" t="s">
        <v>846</v>
      </c>
      <c r="D693" s="45"/>
      <c r="E693" s="45" t="str">
        <f>IF(ISERR(FIND("PUL",PRODUCTO_MI_AR68[[#This Row],[NOM PRODUCTO]])),"","ME")</f>
        <v>ME</v>
      </c>
      <c r="F693" s="44" t="s">
        <v>16</v>
      </c>
      <c r="G693" s="44" t="s">
        <v>27</v>
      </c>
      <c r="H693" s="44" t="s">
        <v>18</v>
      </c>
      <c r="I693" s="44" t="s">
        <v>231</v>
      </c>
      <c r="J693" s="44" t="s">
        <v>28</v>
      </c>
      <c r="K693" s="44" t="s">
        <v>844</v>
      </c>
      <c r="L693" s="44" t="s">
        <v>845</v>
      </c>
      <c r="M693" s="44" t="s">
        <v>29</v>
      </c>
      <c r="N693" s="44" t="s">
        <v>23</v>
      </c>
      <c r="O693" s="46" t="s">
        <v>24</v>
      </c>
      <c r="P693"/>
      <c r="Q693" s="4"/>
      <c r="R693" s="4"/>
      <c r="S693" s="4"/>
      <c r="T693" s="4"/>
      <c r="U693" s="4"/>
    </row>
    <row r="694" spans="2:21" ht="18" hidden="1" customHeight="1" thickTop="1" thickBot="1" x14ac:dyDescent="0.3">
      <c r="B694" s="43">
        <v>100522492</v>
      </c>
      <c r="C694" s="44" t="s">
        <v>847</v>
      </c>
      <c r="D694" s="45"/>
      <c r="E694" s="45" t="s">
        <v>44</v>
      </c>
      <c r="F694" s="44" t="s">
        <v>16</v>
      </c>
      <c r="G694" s="44" t="s">
        <v>17</v>
      </c>
      <c r="H694" s="44" t="s">
        <v>18</v>
      </c>
      <c r="I694" s="44" t="s">
        <v>231</v>
      </c>
      <c r="J694" s="44" t="s">
        <v>28</v>
      </c>
      <c r="K694" s="44" t="s">
        <v>844</v>
      </c>
      <c r="L694" s="44" t="s">
        <v>845</v>
      </c>
      <c r="M694" s="44" t="s">
        <v>29</v>
      </c>
      <c r="N694" s="44" t="str">
        <f>IF(ISERR(FIND("CONG",PRODUCTO_MI_AR68[[#This Row],[NOM PRODUCTO]])),"","CONGELADO")</f>
        <v>CONGELADO</v>
      </c>
      <c r="O694" s="46" t="s">
        <v>24</v>
      </c>
      <c r="P694"/>
      <c r="Q694" s="4"/>
      <c r="R694" s="4"/>
      <c r="S694" s="4"/>
      <c r="T694" s="4"/>
      <c r="U694" s="4"/>
    </row>
    <row r="695" spans="2:21" ht="18" hidden="1" customHeight="1" thickTop="1" thickBot="1" x14ac:dyDescent="0.3">
      <c r="B695" s="43">
        <v>100518946</v>
      </c>
      <c r="C695" s="44" t="s">
        <v>848</v>
      </c>
      <c r="D695" s="45"/>
      <c r="E695" s="45" t="str">
        <f>IF(ISERR(FIND("PUL",PRODUCTO_MI_AR68[[#This Row],[NOM PRODUCTO]])),"","ME")</f>
        <v>ME</v>
      </c>
      <c r="F695" s="44" t="s">
        <v>16</v>
      </c>
      <c r="G695" s="44" t="s">
        <v>17</v>
      </c>
      <c r="H695" s="44" t="s">
        <v>18</v>
      </c>
      <c r="I695" s="44" t="s">
        <v>231</v>
      </c>
      <c r="J695" s="44" t="s">
        <v>28</v>
      </c>
      <c r="K695" s="44" t="s">
        <v>844</v>
      </c>
      <c r="L695" s="44" t="s">
        <v>845</v>
      </c>
      <c r="M695" s="44" t="s">
        <v>29</v>
      </c>
      <c r="N695" s="44" t="str">
        <f>IF(ISERR(FIND("CONG",PRODUCTO_MI_AR68[[#This Row],[NOM PRODUCTO]])),"","CONGELADO")</f>
        <v>CONGELADO</v>
      </c>
      <c r="O695" s="46" t="s">
        <v>24</v>
      </c>
      <c r="P695"/>
      <c r="Q695" s="4"/>
      <c r="R695" s="4"/>
      <c r="S695" s="4"/>
      <c r="T695" s="4"/>
      <c r="U695" s="4"/>
    </row>
    <row r="696" spans="2:21" ht="18" hidden="1" customHeight="1" thickTop="1" thickBot="1" x14ac:dyDescent="0.3">
      <c r="B696" s="43">
        <v>100520802</v>
      </c>
      <c r="C696" s="44" t="s">
        <v>849</v>
      </c>
      <c r="D696" s="45"/>
      <c r="E696" s="45" t="str">
        <f>IF(ISERR(FIND("CLL",PRODUCTO_MI_AR68[[#This Row],[NOM PRODUCTO]])),"","ME")</f>
        <v>ME</v>
      </c>
      <c r="F696" s="44" t="s">
        <v>16</v>
      </c>
      <c r="G696" s="44" t="s">
        <v>17</v>
      </c>
      <c r="H696" s="44" t="s">
        <v>18</v>
      </c>
      <c r="I696" s="44" t="s">
        <v>231</v>
      </c>
      <c r="J696" s="44" t="s">
        <v>20</v>
      </c>
      <c r="K696" s="44" t="s">
        <v>844</v>
      </c>
      <c r="L696" s="44" t="s">
        <v>845</v>
      </c>
      <c r="M696" s="44" t="s">
        <v>22</v>
      </c>
      <c r="N696" s="44" t="s">
        <v>23</v>
      </c>
      <c r="O696" s="46" t="s">
        <v>24</v>
      </c>
      <c r="P696"/>
      <c r="Q696" s="4"/>
      <c r="R696" s="4"/>
      <c r="S696" s="4"/>
      <c r="T696" s="4"/>
      <c r="U696" s="4"/>
    </row>
    <row r="697" spans="2:21" ht="18" hidden="1" customHeight="1" thickTop="1" thickBot="1" x14ac:dyDescent="0.3">
      <c r="B697" s="43">
        <v>100522460</v>
      </c>
      <c r="C697" s="44" t="s">
        <v>850</v>
      </c>
      <c r="D697" s="45"/>
      <c r="E697" s="45" t="s">
        <v>44</v>
      </c>
      <c r="F697" s="44" t="s">
        <v>16</v>
      </c>
      <c r="G697" s="44" t="s">
        <v>17</v>
      </c>
      <c r="H697" s="44" t="s">
        <v>18</v>
      </c>
      <c r="I697" s="44" t="s">
        <v>231</v>
      </c>
      <c r="J697" s="44" t="s">
        <v>20</v>
      </c>
      <c r="K697" s="44" t="s">
        <v>844</v>
      </c>
      <c r="L697" s="44" t="s">
        <v>845</v>
      </c>
      <c r="M697" s="44" t="s">
        <v>22</v>
      </c>
      <c r="N697" s="44" t="s">
        <v>23</v>
      </c>
      <c r="O697" s="46" t="s">
        <v>24</v>
      </c>
      <c r="P697"/>
      <c r="Q697" s="4"/>
      <c r="R697" s="4"/>
      <c r="S697" s="4"/>
      <c r="T697" s="4"/>
      <c r="U697" s="4"/>
    </row>
    <row r="698" spans="2:21" ht="18" hidden="1" customHeight="1" thickTop="1" thickBot="1" x14ac:dyDescent="0.3">
      <c r="B698" s="43">
        <v>100010012</v>
      </c>
      <c r="C698" s="44" t="s">
        <v>851</v>
      </c>
      <c r="D698" s="45"/>
      <c r="E698" s="45" t="s">
        <v>44</v>
      </c>
      <c r="F698" s="44" t="s">
        <v>16</v>
      </c>
      <c r="G698" s="44" t="s">
        <v>17</v>
      </c>
      <c r="H698" s="44" t="s">
        <v>18</v>
      </c>
      <c r="I698" s="44" t="s">
        <v>231</v>
      </c>
      <c r="J698" s="44" t="s">
        <v>28</v>
      </c>
      <c r="K698" s="44" t="s">
        <v>844</v>
      </c>
      <c r="L698" s="44" t="s">
        <v>845</v>
      </c>
      <c r="M698" s="44" t="s">
        <v>57</v>
      </c>
      <c r="N698" s="44" t="str">
        <f>IF(ISERR(FIND("CONG",PRODUCTO_MI_AR68[[#This Row],[NOM PRODUCTO]])),"","CONGELADO")</f>
        <v>CONGELADO</v>
      </c>
      <c r="O698" s="46" t="s">
        <v>24</v>
      </c>
      <c r="P698"/>
      <c r="Q698" s="4"/>
      <c r="R698" s="4"/>
      <c r="S698" s="4"/>
      <c r="T698" s="4"/>
      <c r="U698" s="4"/>
    </row>
    <row r="699" spans="2:21" ht="18" hidden="1" customHeight="1" thickTop="1" thickBot="1" x14ac:dyDescent="0.3">
      <c r="B699" s="43">
        <v>100013158</v>
      </c>
      <c r="C699" s="44" t="s">
        <v>852</v>
      </c>
      <c r="D699" s="45"/>
      <c r="E699" s="45" t="str">
        <f>IF(ISERR(FIND("VENTA LOCAL",PRODUCTO_MI_AR68[[#This Row],[NOM PRODUCTO]])),"","MI")</f>
        <v>MI</v>
      </c>
      <c r="F699" s="44" t="s">
        <v>16</v>
      </c>
      <c r="G699" s="44" t="s">
        <v>17</v>
      </c>
      <c r="H699" s="44" t="s">
        <v>18</v>
      </c>
      <c r="I699" s="44" t="s">
        <v>231</v>
      </c>
      <c r="J699" s="44" t="s">
        <v>28</v>
      </c>
      <c r="K699" s="44" t="s">
        <v>844</v>
      </c>
      <c r="L699" s="44" t="s">
        <v>845</v>
      </c>
      <c r="M699" s="44" t="s">
        <v>57</v>
      </c>
      <c r="N699" s="44" t="str">
        <f>IF(ISERR(FIND("CONG",PRODUCTO_MI_AR68[[#This Row],[NOM PRODUCTO]])),"","CONGELADO")</f>
        <v>CONGELADO</v>
      </c>
      <c r="O699" s="46" t="s">
        <v>24</v>
      </c>
      <c r="P699"/>
      <c r="Q699" s="4"/>
      <c r="R699" s="4"/>
      <c r="S699" s="4"/>
      <c r="T699" s="4"/>
      <c r="U699" s="4"/>
    </row>
    <row r="700" spans="2:21" ht="18" hidden="1" customHeight="1" thickTop="1" thickBot="1" x14ac:dyDescent="0.3">
      <c r="B700" s="43">
        <v>100516925</v>
      </c>
      <c r="C700" s="44" t="s">
        <v>853</v>
      </c>
      <c r="D700" s="45"/>
      <c r="E700" s="45" t="s">
        <v>44</v>
      </c>
      <c r="F700" s="44" t="s">
        <v>16</v>
      </c>
      <c r="G700" s="44" t="s">
        <v>17</v>
      </c>
      <c r="H700" s="44" t="s">
        <v>18</v>
      </c>
      <c r="I700" s="44" t="s">
        <v>231</v>
      </c>
      <c r="J700" s="44" t="s">
        <v>28</v>
      </c>
      <c r="K700" s="44" t="s">
        <v>844</v>
      </c>
      <c r="L700" s="44" t="s">
        <v>845</v>
      </c>
      <c r="M700" s="44" t="s">
        <v>57</v>
      </c>
      <c r="N700" s="44" t="s">
        <v>23</v>
      </c>
      <c r="O700" s="46" t="s">
        <v>24</v>
      </c>
      <c r="P700"/>
      <c r="Q700" s="4"/>
      <c r="R700" s="4"/>
      <c r="S700" s="4"/>
      <c r="T700" s="4"/>
      <c r="U700" s="4"/>
    </row>
    <row r="701" spans="2:21" ht="18" hidden="1" customHeight="1" thickTop="1" thickBot="1" x14ac:dyDescent="0.3">
      <c r="B701" s="43">
        <v>100517137</v>
      </c>
      <c r="C701" s="44" t="s">
        <v>854</v>
      </c>
      <c r="D701" s="45"/>
      <c r="E701" s="45" t="s">
        <v>44</v>
      </c>
      <c r="F701" s="44" t="s">
        <v>16</v>
      </c>
      <c r="G701" s="44" t="s">
        <v>17</v>
      </c>
      <c r="H701" s="44" t="s">
        <v>18</v>
      </c>
      <c r="I701" s="44" t="s">
        <v>231</v>
      </c>
      <c r="J701" s="44" t="s">
        <v>20</v>
      </c>
      <c r="K701" s="44" t="s">
        <v>844</v>
      </c>
      <c r="L701" s="44" t="s">
        <v>845</v>
      </c>
      <c r="M701" s="44" t="s">
        <v>73</v>
      </c>
      <c r="N701" s="44" t="s">
        <v>23</v>
      </c>
      <c r="O701" s="46" t="s">
        <v>24</v>
      </c>
      <c r="P701"/>
      <c r="Q701" s="4"/>
      <c r="R701" s="4"/>
      <c r="S701" s="4"/>
      <c r="T701" s="4"/>
      <c r="U701" s="4"/>
    </row>
    <row r="702" spans="2:21" ht="18" hidden="1" customHeight="1" thickTop="1" thickBot="1" x14ac:dyDescent="0.3">
      <c r="B702" s="43">
        <v>100518358</v>
      </c>
      <c r="C702" s="44" t="s">
        <v>855</v>
      </c>
      <c r="D702" s="45"/>
      <c r="E702" s="45" t="str">
        <f>IF(ISERR(FIND("CHILE",PRODUCTO_MI_AR68[[#This Row],[NOM PRODUCTO]])),"","ME")</f>
        <v>ME</v>
      </c>
      <c r="F702" s="44" t="s">
        <v>16</v>
      </c>
      <c r="G702" s="44" t="s">
        <v>17</v>
      </c>
      <c r="H702" s="44" t="s">
        <v>18</v>
      </c>
      <c r="I702" s="44" t="s">
        <v>231</v>
      </c>
      <c r="J702" s="44" t="s">
        <v>28</v>
      </c>
      <c r="K702" s="44" t="s">
        <v>844</v>
      </c>
      <c r="L702" s="44" t="s">
        <v>845</v>
      </c>
      <c r="M702" s="44" t="s">
        <v>29</v>
      </c>
      <c r="N702" s="44" t="s">
        <v>23</v>
      </c>
      <c r="O702" s="46" t="s">
        <v>24</v>
      </c>
      <c r="P702"/>
      <c r="Q702" s="4"/>
      <c r="R702" s="4"/>
      <c r="S702" s="4"/>
      <c r="T702" s="4"/>
      <c r="U702" s="4"/>
    </row>
    <row r="703" spans="2:21" hidden="1" thickTop="1" thickBot="1" x14ac:dyDescent="0.3">
      <c r="B703" s="43">
        <v>100519863</v>
      </c>
      <c r="C703" s="44" t="s">
        <v>856</v>
      </c>
      <c r="D703" s="45"/>
      <c r="E703" s="45" t="str">
        <f>IF(ISERR(FIND("CLL",PRODUCTO_MI_AR68[[#This Row],[NOM PRODUCTO]])),"","ME")</f>
        <v>ME</v>
      </c>
      <c r="F703" s="44" t="s">
        <v>16</v>
      </c>
      <c r="G703" s="44" t="s">
        <v>17</v>
      </c>
      <c r="H703" s="44" t="s">
        <v>18</v>
      </c>
      <c r="I703" s="44" t="s">
        <v>231</v>
      </c>
      <c r="J703" s="44" t="s">
        <v>20</v>
      </c>
      <c r="K703" s="44" t="s">
        <v>844</v>
      </c>
      <c r="L703" s="44" t="s">
        <v>845</v>
      </c>
      <c r="M703" s="44" t="s">
        <v>22</v>
      </c>
      <c r="N703" s="44" t="s">
        <v>23</v>
      </c>
      <c r="O703" s="46" t="s">
        <v>24</v>
      </c>
      <c r="P703"/>
      <c r="Q703" s="4"/>
      <c r="R703" s="4"/>
      <c r="S703" s="4"/>
      <c r="T703" s="4"/>
      <c r="U703" s="4"/>
    </row>
    <row r="704" spans="2:21" hidden="1" thickTop="1" thickBot="1" x14ac:dyDescent="0.3">
      <c r="B704" s="43">
        <v>100010000</v>
      </c>
      <c r="C704" s="44" t="s">
        <v>857</v>
      </c>
      <c r="D704" s="45"/>
      <c r="E704" s="45" t="s">
        <v>44</v>
      </c>
      <c r="F704" s="44" t="s">
        <v>16</v>
      </c>
      <c r="G704" s="44" t="s">
        <v>17</v>
      </c>
      <c r="H704" s="44" t="s">
        <v>18</v>
      </c>
      <c r="I704" s="44" t="s">
        <v>231</v>
      </c>
      <c r="J704" s="44" t="s">
        <v>28</v>
      </c>
      <c r="K704" s="44" t="s">
        <v>844</v>
      </c>
      <c r="L704" s="44" t="s">
        <v>845</v>
      </c>
      <c r="M704" s="44" t="s">
        <v>57</v>
      </c>
      <c r="N704" s="44" t="s">
        <v>23</v>
      </c>
      <c r="O704" s="46" t="s">
        <v>24</v>
      </c>
      <c r="P704"/>
      <c r="Q704" s="4"/>
      <c r="R704" s="4"/>
      <c r="S704" s="4"/>
      <c r="T704" s="4"/>
      <c r="U704" s="4"/>
    </row>
    <row r="705" spans="2:21" hidden="1" thickTop="1" thickBot="1" x14ac:dyDescent="0.3">
      <c r="B705" s="43">
        <v>100518333</v>
      </c>
      <c r="C705" s="44" t="s">
        <v>858</v>
      </c>
      <c r="D705" s="45"/>
      <c r="E705" s="45" t="s">
        <v>44</v>
      </c>
      <c r="F705" s="44" t="s">
        <v>16</v>
      </c>
      <c r="G705" s="44" t="s">
        <v>17</v>
      </c>
      <c r="H705" s="44" t="s">
        <v>18</v>
      </c>
      <c r="I705" s="44" t="s">
        <v>231</v>
      </c>
      <c r="J705" s="44" t="s">
        <v>28</v>
      </c>
      <c r="K705" s="44" t="s">
        <v>844</v>
      </c>
      <c r="L705" s="44" t="s">
        <v>859</v>
      </c>
      <c r="M705" s="44" t="s">
        <v>57</v>
      </c>
      <c r="N705" s="44" t="s">
        <v>23</v>
      </c>
      <c r="O705" s="46" t="s">
        <v>24</v>
      </c>
      <c r="P705"/>
      <c r="Q705" s="4"/>
      <c r="R705" s="4"/>
      <c r="S705" s="4"/>
      <c r="T705" s="4"/>
      <c r="U705" s="4"/>
    </row>
    <row r="706" spans="2:21" hidden="1" thickTop="1" thickBot="1" x14ac:dyDescent="0.3">
      <c r="B706" s="43">
        <v>100522383</v>
      </c>
      <c r="C706" s="44" t="s">
        <v>860</v>
      </c>
      <c r="D706" s="45"/>
      <c r="E706" s="45" t="str">
        <f>IF(ISERR(FIND("PUL",PRODUCTO_MI_AR68[[#This Row],[NOM PRODUCTO]])),"","ME")</f>
        <v>ME</v>
      </c>
      <c r="F706" s="44" t="s">
        <v>16</v>
      </c>
      <c r="G706" s="44" t="s">
        <v>17</v>
      </c>
      <c r="H706" s="44" t="s">
        <v>18</v>
      </c>
      <c r="I706" s="44" t="s">
        <v>231</v>
      </c>
      <c r="J706" s="44" t="s">
        <v>28</v>
      </c>
      <c r="K706" s="44" t="s">
        <v>844</v>
      </c>
      <c r="L706" s="44" t="s">
        <v>845</v>
      </c>
      <c r="M706" s="44" t="s">
        <v>29</v>
      </c>
      <c r="N706" s="44" t="s">
        <v>23</v>
      </c>
      <c r="O706" s="46" t="s">
        <v>24</v>
      </c>
      <c r="P706"/>
      <c r="Q706" s="4"/>
      <c r="R706" s="4"/>
      <c r="S706" s="4"/>
      <c r="T706" s="4"/>
      <c r="U706" s="4"/>
    </row>
    <row r="707" spans="2:21" hidden="1" thickTop="1" thickBot="1" x14ac:dyDescent="0.3">
      <c r="B707" s="43">
        <v>100519474</v>
      </c>
      <c r="C707" s="44" t="s">
        <v>861</v>
      </c>
      <c r="D707" s="45"/>
      <c r="E707" s="45" t="str">
        <f>IF(ISERR(FIND("PUL",PRODUCTO_MI_AR68[[#This Row],[NOM PRODUCTO]])),"","ME")</f>
        <v>ME</v>
      </c>
      <c r="F707" s="44" t="s">
        <v>16</v>
      </c>
      <c r="G707" s="44" t="s">
        <v>17</v>
      </c>
      <c r="H707" s="44" t="s">
        <v>18</v>
      </c>
      <c r="I707" s="44" t="s">
        <v>231</v>
      </c>
      <c r="J707" s="44" t="s">
        <v>40</v>
      </c>
      <c r="K707" s="44" t="s">
        <v>844</v>
      </c>
      <c r="L707" s="44" t="s">
        <v>845</v>
      </c>
      <c r="M707" s="44" t="s">
        <v>41</v>
      </c>
      <c r="N707" s="44" t="s">
        <v>23</v>
      </c>
      <c r="O707" s="46" t="s">
        <v>24</v>
      </c>
      <c r="P707"/>
      <c r="Q707" s="4"/>
      <c r="R707" s="4"/>
      <c r="S707" s="4"/>
      <c r="T707" s="4"/>
      <c r="U707" s="4"/>
    </row>
    <row r="708" spans="2:21" ht="18" hidden="1" customHeight="1" thickTop="1" thickBot="1" x14ac:dyDescent="0.3">
      <c r="B708" s="43">
        <v>100519475</v>
      </c>
      <c r="C708" s="44" t="s">
        <v>862</v>
      </c>
      <c r="D708" s="45"/>
      <c r="E708" s="45" t="str">
        <f>IF(ISERR(FIND("PUL",PRODUCTO_MI_AR68[[#This Row],[NOM PRODUCTO]])),"","ME")</f>
        <v>ME</v>
      </c>
      <c r="F708" s="44" t="s">
        <v>16</v>
      </c>
      <c r="G708" s="44" t="s">
        <v>17</v>
      </c>
      <c r="H708" s="44" t="s">
        <v>18</v>
      </c>
      <c r="I708" s="44" t="s">
        <v>231</v>
      </c>
      <c r="J708" s="44" t="s">
        <v>40</v>
      </c>
      <c r="K708" s="44" t="s">
        <v>844</v>
      </c>
      <c r="L708" s="44" t="s">
        <v>845</v>
      </c>
      <c r="M708" s="44" t="s">
        <v>41</v>
      </c>
      <c r="N708" s="44" t="s">
        <v>23</v>
      </c>
      <c r="O708" s="46" t="s">
        <v>24</v>
      </c>
      <c r="P708"/>
      <c r="Q708" s="4"/>
      <c r="R708" s="4"/>
      <c r="S708" s="4"/>
      <c r="T708" s="4"/>
      <c r="U708" s="4"/>
    </row>
    <row r="709" spans="2:21" ht="18" hidden="1" customHeight="1" thickTop="1" thickBot="1" x14ac:dyDescent="0.3">
      <c r="B709" s="43">
        <v>100522282</v>
      </c>
      <c r="C709" s="44" t="s">
        <v>863</v>
      </c>
      <c r="D709" s="45"/>
      <c r="E709" s="45" t="str">
        <f>IF(ISERR(FIND("PUL",PRODUCTO_MI_AR68[[#This Row],[NOM PRODUCTO]])),"","ME")</f>
        <v>ME</v>
      </c>
      <c r="F709" s="44" t="s">
        <v>16</v>
      </c>
      <c r="G709" s="44" t="s">
        <v>17</v>
      </c>
      <c r="H709" s="44" t="s">
        <v>18</v>
      </c>
      <c r="I709" s="44" t="s">
        <v>231</v>
      </c>
      <c r="J709" s="44" t="s">
        <v>40</v>
      </c>
      <c r="K709" s="44" t="s">
        <v>844</v>
      </c>
      <c r="L709" s="44" t="s">
        <v>845</v>
      </c>
      <c r="M709" s="44" t="s">
        <v>41</v>
      </c>
      <c r="N709" s="44" t="s">
        <v>23</v>
      </c>
      <c r="O709" s="46" t="s">
        <v>24</v>
      </c>
      <c r="P709"/>
      <c r="Q709" s="4"/>
      <c r="R709" s="4"/>
      <c r="S709" s="4"/>
      <c r="T709" s="4"/>
      <c r="U709" s="4"/>
    </row>
    <row r="710" spans="2:21" hidden="1" thickTop="1" thickBot="1" x14ac:dyDescent="0.3">
      <c r="B710" s="43">
        <v>100518984</v>
      </c>
      <c r="C710" s="44" t="s">
        <v>864</v>
      </c>
      <c r="D710" s="45"/>
      <c r="E710" s="45" t="str">
        <f>IF(ISERR(FIND("PUL",PRODUCTO_MI_AR68[[#This Row],[NOM PRODUCTO]])),"","ME")</f>
        <v>ME</v>
      </c>
      <c r="F710" s="44" t="s">
        <v>16</v>
      </c>
      <c r="G710" s="44" t="s">
        <v>17</v>
      </c>
      <c r="H710" s="44" t="s">
        <v>18</v>
      </c>
      <c r="I710" s="44" t="s">
        <v>231</v>
      </c>
      <c r="J710" s="44" t="s">
        <v>28</v>
      </c>
      <c r="K710" s="44" t="s">
        <v>844</v>
      </c>
      <c r="L710" s="44" t="s">
        <v>845</v>
      </c>
      <c r="M710" s="44" t="s">
        <v>29</v>
      </c>
      <c r="N710" s="44" t="s">
        <v>23</v>
      </c>
      <c r="O710" s="46" t="s">
        <v>24</v>
      </c>
      <c r="P710"/>
      <c r="Q710" s="4"/>
      <c r="R710" s="4"/>
      <c r="S710" s="4"/>
      <c r="T710" s="4"/>
      <c r="U710" s="4"/>
    </row>
    <row r="711" spans="2:21" hidden="1" thickTop="1" thickBot="1" x14ac:dyDescent="0.3">
      <c r="B711" s="43">
        <v>100013152</v>
      </c>
      <c r="C711" s="44" t="s">
        <v>865</v>
      </c>
      <c r="D711" s="45"/>
      <c r="E711" s="45" t="str">
        <f>IF(ISERR(FIND("(L)",PRODUCTO_MI_AR68[[#This Row],[NOM PRODUCTO]])),"","MI")</f>
        <v>MI</v>
      </c>
      <c r="F711" s="44" t="s">
        <v>16</v>
      </c>
      <c r="G711" s="44" t="s">
        <v>17</v>
      </c>
      <c r="H711" s="44" t="s">
        <v>18</v>
      </c>
      <c r="I711" s="44" t="s">
        <v>231</v>
      </c>
      <c r="J711" s="44" t="s">
        <v>28</v>
      </c>
      <c r="K711" s="44" t="s">
        <v>844</v>
      </c>
      <c r="L711" s="44" t="s">
        <v>845</v>
      </c>
      <c r="M711" s="44" t="s">
        <v>57</v>
      </c>
      <c r="N711" s="44" t="s">
        <v>23</v>
      </c>
      <c r="O711" s="46" t="s">
        <v>24</v>
      </c>
      <c r="P711"/>
      <c r="Q711" s="4"/>
      <c r="R711" s="4"/>
      <c r="S711" s="4"/>
      <c r="T711" s="4"/>
      <c r="U711" s="4"/>
    </row>
    <row r="712" spans="2:21" hidden="1" thickTop="1" thickBot="1" x14ac:dyDescent="0.3">
      <c r="B712" s="43">
        <v>100012319</v>
      </c>
      <c r="C712" s="44" t="s">
        <v>866</v>
      </c>
      <c r="D712" s="45"/>
      <c r="E712" s="45" t="str">
        <f>IF(ISERR(FIND("VENTA LOCAL",PRODUCTO_MI_AR68[[#This Row],[NOM PRODUCTO]])),"","MI")</f>
        <v>MI</v>
      </c>
      <c r="F712" s="44" t="s">
        <v>16</v>
      </c>
      <c r="G712" s="44" t="s">
        <v>17</v>
      </c>
      <c r="H712" s="44" t="s">
        <v>18</v>
      </c>
      <c r="I712" s="44" t="s">
        <v>231</v>
      </c>
      <c r="J712" s="44" t="s">
        <v>28</v>
      </c>
      <c r="K712" s="44" t="s">
        <v>844</v>
      </c>
      <c r="L712" s="44" t="s">
        <v>867</v>
      </c>
      <c r="M712" s="44" t="s">
        <v>57</v>
      </c>
      <c r="N712" s="44" t="s">
        <v>23</v>
      </c>
      <c r="O712" s="46" t="s">
        <v>24</v>
      </c>
      <c r="P712"/>
      <c r="Q712" s="4"/>
      <c r="R712" s="4"/>
      <c r="S712" s="4"/>
      <c r="T712" s="4"/>
      <c r="U712" s="4"/>
    </row>
    <row r="713" spans="2:21" ht="18" hidden="1" customHeight="1" thickTop="1" thickBot="1" x14ac:dyDescent="0.3">
      <c r="B713" s="43">
        <v>100517138</v>
      </c>
      <c r="C713" s="44" t="s">
        <v>868</v>
      </c>
      <c r="D713" s="45"/>
      <c r="E713" s="45" t="s">
        <v>44</v>
      </c>
      <c r="F713" s="44" t="s">
        <v>16</v>
      </c>
      <c r="G713" s="44" t="s">
        <v>17</v>
      </c>
      <c r="H713" s="44" t="s">
        <v>18</v>
      </c>
      <c r="I713" s="44" t="s">
        <v>231</v>
      </c>
      <c r="J713" s="44" t="s">
        <v>20</v>
      </c>
      <c r="K713" s="44" t="s">
        <v>844</v>
      </c>
      <c r="L713" s="44" t="s">
        <v>867</v>
      </c>
      <c r="M713" s="44" t="s">
        <v>73</v>
      </c>
      <c r="N713" s="44" t="s">
        <v>23</v>
      </c>
      <c r="O713" s="46" t="s">
        <v>24</v>
      </c>
      <c r="P713"/>
      <c r="Q713" s="4"/>
      <c r="R713" s="4"/>
      <c r="S713" s="4"/>
      <c r="T713" s="4"/>
      <c r="U713" s="4"/>
    </row>
    <row r="714" spans="2:21" ht="18" hidden="1" customHeight="1" thickTop="1" thickBot="1" x14ac:dyDescent="0.3">
      <c r="B714" s="43">
        <v>100518048</v>
      </c>
      <c r="C714" s="44" t="s">
        <v>869</v>
      </c>
      <c r="D714" s="45"/>
      <c r="E714" s="45" t="s">
        <v>44</v>
      </c>
      <c r="F714" s="44" t="s">
        <v>16</v>
      </c>
      <c r="G714" s="44" t="s">
        <v>17</v>
      </c>
      <c r="H714" s="44" t="s">
        <v>18</v>
      </c>
      <c r="I714" s="44" t="s">
        <v>19</v>
      </c>
      <c r="J714" s="44" t="s">
        <v>28</v>
      </c>
      <c r="K714" s="44" t="s">
        <v>844</v>
      </c>
      <c r="L714" s="44" t="s">
        <v>845</v>
      </c>
      <c r="M714" s="44" t="s">
        <v>192</v>
      </c>
      <c r="N714" s="44" t="s">
        <v>193</v>
      </c>
      <c r="O714" s="46" t="s">
        <v>24</v>
      </c>
      <c r="P714"/>
      <c r="Q714" s="4"/>
      <c r="R714" s="4"/>
      <c r="S714" s="4"/>
      <c r="T714" s="4"/>
      <c r="U714" s="4"/>
    </row>
    <row r="715" spans="2:21" hidden="1" thickTop="1" thickBot="1" x14ac:dyDescent="0.3">
      <c r="B715" s="43">
        <v>100519540</v>
      </c>
      <c r="C715" s="44" t="s">
        <v>870</v>
      </c>
      <c r="D715" s="45"/>
      <c r="E715" s="45" t="str">
        <f>IF(ISERR(FIND("PUL",PRODUCTO_MI_AR68[[#This Row],[NOM PRODUCTO]])),"","ME")</f>
        <v>ME</v>
      </c>
      <c r="F715" s="44" t="s">
        <v>16</v>
      </c>
      <c r="G715" s="44" t="s">
        <v>17</v>
      </c>
      <c r="H715" s="44" t="s">
        <v>18</v>
      </c>
      <c r="I715" s="44" t="s">
        <v>231</v>
      </c>
      <c r="J715" s="44" t="s">
        <v>40</v>
      </c>
      <c r="K715" s="44" t="s">
        <v>844</v>
      </c>
      <c r="L715" s="44" t="s">
        <v>845</v>
      </c>
      <c r="M715" s="44" t="s">
        <v>41</v>
      </c>
      <c r="N715" s="44" t="str">
        <f>IF(ISERR(FIND("CONG",PRODUCTO_MI_AR68[[#This Row],[NOM PRODUCTO]])),"","CONGELADO")</f>
        <v>CONGELADO</v>
      </c>
      <c r="O715" s="46" t="s">
        <v>24</v>
      </c>
      <c r="P715"/>
      <c r="Q715" s="4"/>
      <c r="R715" s="4"/>
      <c r="S715" s="4"/>
      <c r="T715" s="4"/>
      <c r="U715" s="4"/>
    </row>
    <row r="716" spans="2:21" hidden="1" thickTop="1" thickBot="1" x14ac:dyDescent="0.3">
      <c r="B716" s="43">
        <v>100518985</v>
      </c>
      <c r="C716" s="44" t="s">
        <v>871</v>
      </c>
      <c r="D716" s="45"/>
      <c r="E716" s="45" t="str">
        <f>IF(ISERR(FIND("PUL",PRODUCTO_MI_AR68[[#This Row],[NOM PRODUCTO]])),"","ME")</f>
        <v>ME</v>
      </c>
      <c r="F716" s="44" t="s">
        <v>16</v>
      </c>
      <c r="G716" s="44" t="s">
        <v>17</v>
      </c>
      <c r="H716" s="44" t="s">
        <v>18</v>
      </c>
      <c r="I716" s="44" t="s">
        <v>231</v>
      </c>
      <c r="J716" s="44" t="s">
        <v>28</v>
      </c>
      <c r="K716" s="44" t="s">
        <v>844</v>
      </c>
      <c r="L716" s="44" t="s">
        <v>845</v>
      </c>
      <c r="M716" s="44" t="s">
        <v>29</v>
      </c>
      <c r="N716" s="44" t="str">
        <f>IF(ISERR(FIND("CONG",PRODUCTO_MI_AR68[[#This Row],[NOM PRODUCTO]])),"","CONGELADO")</f>
        <v>CONGELADO</v>
      </c>
      <c r="O716" s="46" t="s">
        <v>24</v>
      </c>
      <c r="P716"/>
      <c r="Q716" s="4"/>
      <c r="R716" s="4"/>
      <c r="S716" s="4"/>
      <c r="T716" s="4"/>
      <c r="U716" s="4"/>
    </row>
    <row r="717" spans="2:21" ht="18" hidden="1" customHeight="1" thickTop="1" thickBot="1" x14ac:dyDescent="0.3">
      <c r="B717" s="43">
        <v>100522527</v>
      </c>
      <c r="C717" s="44" t="s">
        <v>872</v>
      </c>
      <c r="D717" s="45"/>
      <c r="E717" s="45" t="s">
        <v>15</v>
      </c>
      <c r="F717" s="44" t="s">
        <v>16</v>
      </c>
      <c r="G717" s="44" t="s">
        <v>17</v>
      </c>
      <c r="H717" s="44" t="s">
        <v>18</v>
      </c>
      <c r="I717" s="44" t="s">
        <v>19</v>
      </c>
      <c r="J717" s="44" t="s">
        <v>20</v>
      </c>
      <c r="K717" s="44" t="s">
        <v>346</v>
      </c>
      <c r="L717" s="44" t="s">
        <v>347</v>
      </c>
      <c r="M717" s="44" t="s">
        <v>22</v>
      </c>
      <c r="N717" s="44" t="s">
        <v>23</v>
      </c>
      <c r="O717" s="46" t="s">
        <v>24</v>
      </c>
      <c r="P717"/>
      <c r="Q717" s="4"/>
      <c r="R717" s="4"/>
      <c r="S717" s="4"/>
      <c r="T717" s="4"/>
      <c r="U717" s="4"/>
    </row>
    <row r="718" spans="2:21" hidden="1" thickTop="1" thickBot="1" x14ac:dyDescent="0.3">
      <c r="B718" s="43">
        <v>100520282</v>
      </c>
      <c r="C718" s="44" t="s">
        <v>873</v>
      </c>
      <c r="D718" s="45"/>
      <c r="E718" s="45" t="str">
        <f>IF(ISERR(FIND("PUL",PRODUCTO_MI_AR68[[#This Row],[NOM PRODUCTO]])),"","ME")</f>
        <v>ME</v>
      </c>
      <c r="F718" s="44" t="s">
        <v>16</v>
      </c>
      <c r="G718" s="44" t="s">
        <v>17</v>
      </c>
      <c r="H718" s="44" t="s">
        <v>18</v>
      </c>
      <c r="I718" s="44" t="s">
        <v>19</v>
      </c>
      <c r="J718" s="44" t="s">
        <v>28</v>
      </c>
      <c r="K718" s="44" t="s">
        <v>346</v>
      </c>
      <c r="L718" s="44" t="s">
        <v>347</v>
      </c>
      <c r="M718" s="44" t="s">
        <v>29</v>
      </c>
      <c r="N718" s="44" t="str">
        <f>IF(ISERR(FIND("CONG",PRODUCTO_MI_AR68[[#This Row],[NOM PRODUCTO]])),"","CONGELADO")</f>
        <v>CONGELADO</v>
      </c>
      <c r="O718" s="46" t="s">
        <v>24</v>
      </c>
      <c r="P718"/>
      <c r="Q718" s="4"/>
      <c r="R718" s="4"/>
      <c r="S718" s="4"/>
      <c r="T718" s="4"/>
      <c r="U718" s="4"/>
    </row>
    <row r="719" spans="2:21" ht="18" hidden="1" customHeight="1" thickTop="1" thickBot="1" x14ac:dyDescent="0.3">
      <c r="B719" s="43">
        <v>100522523</v>
      </c>
      <c r="C719" s="44" t="s">
        <v>874</v>
      </c>
      <c r="D719" s="45"/>
      <c r="E719" s="45" t="str">
        <f>IF(ISERR(FIND("PUL",PRODUCTO_MI_AR68[[#This Row],[NOM PRODUCTO]])),"","ME")</f>
        <v>ME</v>
      </c>
      <c r="F719" s="44" t="s">
        <v>16</v>
      </c>
      <c r="G719" s="44" t="s">
        <v>27</v>
      </c>
      <c r="H719" s="44" t="s">
        <v>18</v>
      </c>
      <c r="I719" s="44" t="s">
        <v>19</v>
      </c>
      <c r="J719" s="44" t="s">
        <v>28</v>
      </c>
      <c r="K719" s="44" t="s">
        <v>346</v>
      </c>
      <c r="L719" s="44" t="s">
        <v>347</v>
      </c>
      <c r="M719" s="44" t="s">
        <v>29</v>
      </c>
      <c r="N719" s="44" t="s">
        <v>23</v>
      </c>
      <c r="O719" s="46" t="s">
        <v>24</v>
      </c>
      <c r="P719"/>
      <c r="Q719" s="4"/>
      <c r="R719" s="4"/>
      <c r="S719" s="4"/>
      <c r="T719" s="4"/>
      <c r="U719" s="4"/>
    </row>
    <row r="720" spans="2:21" ht="18" hidden="1" customHeight="1" thickTop="1" thickBot="1" x14ac:dyDescent="0.3">
      <c r="B720" s="43">
        <v>100522847</v>
      </c>
      <c r="C720" s="44" t="s">
        <v>875</v>
      </c>
      <c r="D720" s="45"/>
      <c r="E720" s="45" t="s">
        <v>15</v>
      </c>
      <c r="F720" s="44" t="s">
        <v>16</v>
      </c>
      <c r="G720" s="44" t="s">
        <v>17</v>
      </c>
      <c r="H720" s="44" t="s">
        <v>18</v>
      </c>
      <c r="I720" s="44" t="s">
        <v>19</v>
      </c>
      <c r="J720" s="44" t="s">
        <v>40</v>
      </c>
      <c r="K720" s="44" t="s">
        <v>346</v>
      </c>
      <c r="L720" s="44" t="s">
        <v>347</v>
      </c>
      <c r="M720" s="44" t="s">
        <v>113</v>
      </c>
      <c r="N720" s="44" t="s">
        <v>23</v>
      </c>
      <c r="O720" s="46" t="s">
        <v>24</v>
      </c>
      <c r="P720"/>
      <c r="Q720" s="4"/>
      <c r="R720" s="4"/>
      <c r="S720" s="4"/>
      <c r="T720" s="4"/>
      <c r="U720" s="4"/>
    </row>
    <row r="721" spans="2:21" hidden="1" thickTop="1" thickBot="1" x14ac:dyDescent="0.3">
      <c r="B721" s="43">
        <v>100519058</v>
      </c>
      <c r="C721" s="44" t="s">
        <v>876</v>
      </c>
      <c r="D721" s="45"/>
      <c r="E721" s="45" t="str">
        <f>IF(ISERR(FIND("PUL",PRODUCTO_MI_AR68[[#This Row],[NOM PRODUCTO]])),"","ME")</f>
        <v>ME</v>
      </c>
      <c r="F721" s="44" t="s">
        <v>16</v>
      </c>
      <c r="G721" s="44" t="s">
        <v>17</v>
      </c>
      <c r="H721" s="44" t="s">
        <v>18</v>
      </c>
      <c r="I721" s="44" t="s">
        <v>19</v>
      </c>
      <c r="J721" s="44" t="s">
        <v>28</v>
      </c>
      <c r="K721" s="44" t="s">
        <v>346</v>
      </c>
      <c r="L721" s="44" t="s">
        <v>347</v>
      </c>
      <c r="M721" s="44" t="s">
        <v>29</v>
      </c>
      <c r="N721" s="44" t="str">
        <f>IF(ISERR(FIND("CONG",PRODUCTO_MI_AR68[[#This Row],[NOM PRODUCTO]])),"","CONGELADO")</f>
        <v>CONGELADO</v>
      </c>
      <c r="O721" s="46" t="s">
        <v>24</v>
      </c>
      <c r="P721"/>
      <c r="Q721" s="4"/>
      <c r="R721" s="4"/>
      <c r="S721" s="4"/>
      <c r="T721" s="4"/>
      <c r="U721" s="4"/>
    </row>
    <row r="722" spans="2:21" hidden="1" thickTop="1" thickBot="1" x14ac:dyDescent="0.3">
      <c r="B722" s="43">
        <v>100522627</v>
      </c>
      <c r="C722" s="44" t="s">
        <v>877</v>
      </c>
      <c r="D722" s="45"/>
      <c r="E722" s="45" t="s">
        <v>44</v>
      </c>
      <c r="F722" s="44" t="s">
        <v>16</v>
      </c>
      <c r="G722" s="44" t="s">
        <v>27</v>
      </c>
      <c r="H722" s="44" t="s">
        <v>18</v>
      </c>
      <c r="I722" s="44" t="s">
        <v>19</v>
      </c>
      <c r="J722" s="44" t="s">
        <v>28</v>
      </c>
      <c r="K722" s="44" t="s">
        <v>346</v>
      </c>
      <c r="L722" s="44" t="s">
        <v>347</v>
      </c>
      <c r="M722" s="44" t="s">
        <v>29</v>
      </c>
      <c r="N722" s="44" t="str">
        <f>IF(ISERR(FIND("CONG",PRODUCTO_MI_AR68[[#This Row],[NOM PRODUCTO]])),"","CONGELADO")</f>
        <v>CONGELADO</v>
      </c>
      <c r="O722" s="46" t="s">
        <v>24</v>
      </c>
      <c r="P722"/>
      <c r="Q722" s="4"/>
      <c r="R722" s="4"/>
      <c r="S722" s="4"/>
      <c r="T722" s="4"/>
      <c r="U722" s="4"/>
    </row>
    <row r="723" spans="2:21" hidden="1" thickTop="1" thickBot="1" x14ac:dyDescent="0.3">
      <c r="B723" s="43">
        <v>100519561</v>
      </c>
      <c r="C723" s="44" t="s">
        <v>878</v>
      </c>
      <c r="D723" s="45"/>
      <c r="E723" s="45" t="str">
        <f>IF(ISERR(FIND("PUL",PRODUCTO_MI_AR68[[#This Row],[NOM PRODUCTO]])),"","ME")</f>
        <v>ME</v>
      </c>
      <c r="F723" s="44" t="s">
        <v>16</v>
      </c>
      <c r="G723" s="44" t="s">
        <v>17</v>
      </c>
      <c r="H723" s="44" t="s">
        <v>18</v>
      </c>
      <c r="I723" s="44" t="s">
        <v>19</v>
      </c>
      <c r="J723" s="44" t="s">
        <v>40</v>
      </c>
      <c r="K723" s="44" t="s">
        <v>346</v>
      </c>
      <c r="L723" s="44" t="s">
        <v>347</v>
      </c>
      <c r="M723" s="44" t="s">
        <v>41</v>
      </c>
      <c r="N723" s="44" t="s">
        <v>23</v>
      </c>
      <c r="O723" s="46" t="s">
        <v>24</v>
      </c>
      <c r="P723"/>
      <c r="Q723" s="4"/>
      <c r="R723" s="4"/>
      <c r="S723" s="4"/>
      <c r="T723" s="4"/>
      <c r="U723" s="4"/>
    </row>
    <row r="724" spans="2:21" ht="18" hidden="1" customHeight="1" thickTop="1" thickBot="1" x14ac:dyDescent="0.3">
      <c r="B724" s="43">
        <v>100520348</v>
      </c>
      <c r="C724" s="44" t="s">
        <v>879</v>
      </c>
      <c r="D724" s="45"/>
      <c r="E724" s="45" t="str">
        <f>IF(ISERR(FIND("PUL",PRODUCTO_MI_AR68[[#This Row],[NOM PRODUCTO]])),"","ME")</f>
        <v>ME</v>
      </c>
      <c r="F724" s="44" t="s">
        <v>16</v>
      </c>
      <c r="G724" s="44" t="s">
        <v>17</v>
      </c>
      <c r="H724" s="44" t="s">
        <v>18</v>
      </c>
      <c r="I724" s="44" t="s">
        <v>19</v>
      </c>
      <c r="J724" s="44" t="s">
        <v>40</v>
      </c>
      <c r="K724" s="44" t="s">
        <v>346</v>
      </c>
      <c r="L724" s="44" t="s">
        <v>347</v>
      </c>
      <c r="M724" s="44" t="s">
        <v>41</v>
      </c>
      <c r="N724" s="44" t="s">
        <v>23</v>
      </c>
      <c r="O724" s="46" t="s">
        <v>24</v>
      </c>
      <c r="P724"/>
      <c r="Q724" s="4"/>
      <c r="R724" s="4"/>
      <c r="S724" s="4"/>
      <c r="T724" s="4"/>
      <c r="U724" s="4"/>
    </row>
    <row r="725" spans="2:21" hidden="1" thickTop="1" thickBot="1" x14ac:dyDescent="0.3">
      <c r="B725" s="43">
        <v>100520395</v>
      </c>
      <c r="C725" s="44" t="s">
        <v>880</v>
      </c>
      <c r="D725" s="45"/>
      <c r="E725" s="45" t="str">
        <f>IF(ISERR(FIND("CLL",PRODUCTO_MI_AR68[[#This Row],[NOM PRODUCTO]])),"","ME")</f>
        <v>ME</v>
      </c>
      <c r="F725" s="44" t="s">
        <v>16</v>
      </c>
      <c r="G725" s="44" t="s">
        <v>17</v>
      </c>
      <c r="H725" s="44" t="s">
        <v>18</v>
      </c>
      <c r="I725" s="44" t="s">
        <v>19</v>
      </c>
      <c r="J725" s="44" t="s">
        <v>20</v>
      </c>
      <c r="K725" s="44" t="s">
        <v>346</v>
      </c>
      <c r="L725" s="44" t="s">
        <v>347</v>
      </c>
      <c r="M725" s="44" t="s">
        <v>22</v>
      </c>
      <c r="N725" s="44" t="s">
        <v>23</v>
      </c>
      <c r="O725" s="46" t="s">
        <v>24</v>
      </c>
      <c r="P725"/>
      <c r="Q725" s="4"/>
      <c r="R725" s="4"/>
      <c r="S725" s="4"/>
      <c r="T725" s="4"/>
      <c r="U725" s="4"/>
    </row>
    <row r="726" spans="2:21" ht="18" hidden="1" customHeight="1" thickTop="1" thickBot="1" x14ac:dyDescent="0.3">
      <c r="B726" s="43">
        <v>100520496</v>
      </c>
      <c r="C726" s="44" t="s">
        <v>881</v>
      </c>
      <c r="D726" s="45"/>
      <c r="E726" s="45" t="str">
        <f>IF(ISERR(FIND("ISRAEL",PRODUCTO_MI_AR68[[#This Row],[NOM PRODUCTO]])),"","ME")</f>
        <v>ME</v>
      </c>
      <c r="F726" s="44" t="s">
        <v>16</v>
      </c>
      <c r="G726" s="44" t="s">
        <v>17</v>
      </c>
      <c r="H726" s="44" t="s">
        <v>18</v>
      </c>
      <c r="I726" s="44" t="s">
        <v>19</v>
      </c>
      <c r="J726" s="44" t="s">
        <v>28</v>
      </c>
      <c r="K726" s="44" t="s">
        <v>346</v>
      </c>
      <c r="L726" s="44" t="s">
        <v>347</v>
      </c>
      <c r="M726" s="44" t="s">
        <v>29</v>
      </c>
      <c r="N726" s="44" t="s">
        <v>23</v>
      </c>
      <c r="O726" s="46" t="s">
        <v>24</v>
      </c>
      <c r="P726"/>
      <c r="Q726" s="4"/>
      <c r="R726" s="4"/>
      <c r="S726" s="4"/>
      <c r="T726" s="4"/>
      <c r="U726" s="4"/>
    </row>
    <row r="727" spans="2:21" ht="18" hidden="1" customHeight="1" thickTop="1" thickBot="1" x14ac:dyDescent="0.3">
      <c r="B727" s="43">
        <v>100520524</v>
      </c>
      <c r="C727" s="44" t="s">
        <v>882</v>
      </c>
      <c r="D727" s="45"/>
      <c r="E727" s="45" t="str">
        <f>IF(ISERR(FIND("KOSHER",PRODUCTO_MI_AR68[[#This Row],[NOM PRODUCTO]])),"","ME")</f>
        <v>ME</v>
      </c>
      <c r="F727" s="44" t="s">
        <v>16</v>
      </c>
      <c r="G727" s="44" t="s">
        <v>17</v>
      </c>
      <c r="H727" s="44" t="s">
        <v>18</v>
      </c>
      <c r="I727" s="44" t="s">
        <v>19</v>
      </c>
      <c r="J727" s="44" t="s">
        <v>28</v>
      </c>
      <c r="K727" s="44" t="s">
        <v>346</v>
      </c>
      <c r="L727" s="44" t="s">
        <v>347</v>
      </c>
      <c r="M727" s="44" t="s">
        <v>29</v>
      </c>
      <c r="N727" s="44" t="s">
        <v>23</v>
      </c>
      <c r="O727" s="46" t="s">
        <v>24</v>
      </c>
      <c r="P727"/>
      <c r="Q727" s="4"/>
      <c r="R727" s="4"/>
      <c r="S727" s="4"/>
      <c r="T727" s="4"/>
      <c r="U727" s="4"/>
    </row>
    <row r="728" spans="2:21" hidden="1" thickTop="1" thickBot="1" x14ac:dyDescent="0.3">
      <c r="B728" s="43">
        <v>100519483</v>
      </c>
      <c r="C728" s="44" t="s">
        <v>883</v>
      </c>
      <c r="D728" s="45"/>
      <c r="E728" s="45" t="str">
        <f>IF(ISERR(FIND("PUL",PRODUCTO_MI_AR68[[#This Row],[NOM PRODUCTO]])),"","ME")</f>
        <v>ME</v>
      </c>
      <c r="F728" s="44" t="s">
        <v>16</v>
      </c>
      <c r="G728" s="44" t="s">
        <v>17</v>
      </c>
      <c r="H728" s="44" t="s">
        <v>18</v>
      </c>
      <c r="I728" s="44" t="s">
        <v>19</v>
      </c>
      <c r="J728" s="44" t="s">
        <v>40</v>
      </c>
      <c r="K728" s="44" t="s">
        <v>346</v>
      </c>
      <c r="L728" s="44" t="s">
        <v>347</v>
      </c>
      <c r="M728" s="44" t="s">
        <v>41</v>
      </c>
      <c r="N728" s="44" t="s">
        <v>23</v>
      </c>
      <c r="O728" s="46" t="s">
        <v>24</v>
      </c>
      <c r="P728"/>
      <c r="Q728" s="4"/>
      <c r="R728" s="4"/>
      <c r="S728" s="4"/>
      <c r="T728" s="4"/>
      <c r="U728" s="4"/>
    </row>
    <row r="729" spans="2:21" hidden="1" thickTop="1" thickBot="1" x14ac:dyDescent="0.3">
      <c r="B729" s="43">
        <v>100522279</v>
      </c>
      <c r="C729" s="44" t="s">
        <v>884</v>
      </c>
      <c r="D729" s="45"/>
      <c r="E729" s="45" t="str">
        <f>IF(ISERR(FIND("PUL",PRODUCTO_MI_AR68[[#This Row],[NOM PRODUCTO]])),"","ME")</f>
        <v>ME</v>
      </c>
      <c r="F729" s="44" t="s">
        <v>16</v>
      </c>
      <c r="G729" s="44" t="s">
        <v>17</v>
      </c>
      <c r="H729" s="44" t="s">
        <v>18</v>
      </c>
      <c r="I729" s="44" t="s">
        <v>19</v>
      </c>
      <c r="J729" s="44" t="s">
        <v>40</v>
      </c>
      <c r="K729" s="44" t="s">
        <v>346</v>
      </c>
      <c r="L729" s="44" t="s">
        <v>347</v>
      </c>
      <c r="M729" s="44" t="s">
        <v>41</v>
      </c>
      <c r="N729" s="44" t="s">
        <v>23</v>
      </c>
      <c r="O729" s="46" t="s">
        <v>24</v>
      </c>
      <c r="P729"/>
      <c r="Q729" s="4"/>
      <c r="R729" s="4"/>
      <c r="S729" s="4"/>
      <c r="T729" s="4"/>
      <c r="U729" s="4"/>
    </row>
    <row r="730" spans="2:21" hidden="1" thickTop="1" thickBot="1" x14ac:dyDescent="0.3">
      <c r="B730" s="43">
        <v>100522178</v>
      </c>
      <c r="C730" s="44" t="s">
        <v>885</v>
      </c>
      <c r="D730" s="45"/>
      <c r="E730" s="45" t="str">
        <f>IF(ISERR(FIND("PUL",PRODUCTO_MI_AR68[[#This Row],[NOM PRODUCTO]])),"","ME")</f>
        <v>ME</v>
      </c>
      <c r="F730" s="44" t="s">
        <v>16</v>
      </c>
      <c r="G730" s="44" t="s">
        <v>17</v>
      </c>
      <c r="H730" s="44" t="s">
        <v>18</v>
      </c>
      <c r="I730" s="44" t="s">
        <v>19</v>
      </c>
      <c r="J730" s="44" t="s">
        <v>40</v>
      </c>
      <c r="K730" s="44" t="s">
        <v>346</v>
      </c>
      <c r="L730" s="44" t="s">
        <v>347</v>
      </c>
      <c r="M730" s="44" t="s">
        <v>41</v>
      </c>
      <c r="N730" s="44" t="str">
        <f>IF(ISERR(FIND("CONG",PRODUCTO_MI_AR68[[#This Row],[NOM PRODUCTO]])),"","CONGELADO")</f>
        <v>CONGELADO</v>
      </c>
      <c r="O730" s="46" t="s">
        <v>24</v>
      </c>
      <c r="P730"/>
      <c r="Q730" s="4"/>
      <c r="R730" s="4"/>
      <c r="S730" s="4"/>
      <c r="T730" s="4"/>
      <c r="U730" s="4"/>
    </row>
    <row r="731" spans="2:21" ht="18" hidden="1" customHeight="1" thickTop="1" thickBot="1" x14ac:dyDescent="0.3">
      <c r="B731" s="43">
        <v>100027800</v>
      </c>
      <c r="C731" s="44" t="s">
        <v>886</v>
      </c>
      <c r="D731" s="45" t="s">
        <v>43</v>
      </c>
      <c r="E731" s="45" t="s">
        <v>44</v>
      </c>
      <c r="F731" s="44" t="s">
        <v>16</v>
      </c>
      <c r="G731" s="44" t="s">
        <v>27</v>
      </c>
      <c r="H731" s="44" t="s">
        <v>887</v>
      </c>
      <c r="I731" s="44" t="s">
        <v>431</v>
      </c>
      <c r="J731" s="44" t="s">
        <v>28</v>
      </c>
      <c r="K731" s="44" t="s">
        <v>346</v>
      </c>
      <c r="L731" s="44" t="s">
        <v>888</v>
      </c>
      <c r="M731" s="44" t="s">
        <v>57</v>
      </c>
      <c r="N731" s="44" t="str">
        <f>IF(ISERR(FIND("CONG",PRODUCTO_MI_AR68[[#This Row],[NOM PRODUCTO]])),"","CONGELADO")</f>
        <v>CONGELADO</v>
      </c>
      <c r="O731" s="46" t="s">
        <v>24</v>
      </c>
      <c r="P731"/>
      <c r="Q731" s="4"/>
      <c r="R731" s="4"/>
      <c r="S731" s="4"/>
      <c r="T731" s="4"/>
      <c r="U731" s="4"/>
    </row>
    <row r="732" spans="2:21" ht="18" hidden="1" customHeight="1" thickTop="1" thickBot="1" x14ac:dyDescent="0.3">
      <c r="B732" s="43">
        <v>100522147</v>
      </c>
      <c r="C732" s="44" t="s">
        <v>889</v>
      </c>
      <c r="D732" s="45"/>
      <c r="E732" s="45" t="s">
        <v>15</v>
      </c>
      <c r="F732" s="44" t="s">
        <v>16</v>
      </c>
      <c r="G732" s="44" t="s">
        <v>17</v>
      </c>
      <c r="H732" s="44" t="s">
        <v>18</v>
      </c>
      <c r="I732" s="44" t="s">
        <v>319</v>
      </c>
      <c r="J732" s="44" t="s">
        <v>28</v>
      </c>
      <c r="K732" s="44" t="s">
        <v>320</v>
      </c>
      <c r="L732" s="44" t="s">
        <v>890</v>
      </c>
      <c r="M732" s="44" t="s">
        <v>62</v>
      </c>
      <c r="N732" s="44" t="str">
        <f>IF(ISERR(FIND("CONG",PRODUCTO_MI_AR68[[#This Row],[NOM PRODUCTO]])),"","CONGELADO")</f>
        <v>CONGELADO</v>
      </c>
      <c r="O732" s="46" t="s">
        <v>24</v>
      </c>
      <c r="P732"/>
      <c r="Q732" s="4"/>
      <c r="R732" s="4"/>
      <c r="S732" s="4"/>
      <c r="T732" s="4"/>
      <c r="U732" s="4"/>
    </row>
    <row r="733" spans="2:21" ht="18" hidden="1" customHeight="1" thickTop="1" thickBot="1" x14ac:dyDescent="0.3">
      <c r="B733" s="43">
        <v>100520794</v>
      </c>
      <c r="C733" s="44" t="s">
        <v>891</v>
      </c>
      <c r="D733" s="45" t="s">
        <v>43</v>
      </c>
      <c r="E733" s="45" t="s">
        <v>15</v>
      </c>
      <c r="F733" s="44" t="s">
        <v>228</v>
      </c>
      <c r="G733" s="44" t="s">
        <v>17</v>
      </c>
      <c r="H733" s="44" t="s">
        <v>551</v>
      </c>
      <c r="I733" s="44" t="s">
        <v>46</v>
      </c>
      <c r="J733" s="44" t="s">
        <v>40</v>
      </c>
      <c r="K733" s="44" t="str">
        <f>PRODUCTO_MI_AR68[[#This Row],[NOM SUBFAMILIA COMERCIAL]]</f>
        <v>PICADILLO</v>
      </c>
      <c r="L733" s="44" t="str">
        <f>_xlfn.XLOOKUP(PRODUCTO_MI_AR68[[#This Row],[COD PRODUCTO]],'[1]IND AR'!$A:$A,'[1]IND AR'!$T:$T,"")</f>
        <v>PICADILLO</v>
      </c>
      <c r="M733" s="44" t="s">
        <v>892</v>
      </c>
      <c r="N733" s="44" t="s">
        <v>554</v>
      </c>
      <c r="O733" s="46" t="s">
        <v>49</v>
      </c>
      <c r="P733"/>
      <c r="Q733" s="4"/>
      <c r="R733" s="4"/>
      <c r="S733" s="4"/>
      <c r="T733" s="4"/>
      <c r="U733" s="4"/>
    </row>
    <row r="734" spans="2:21" ht="18" hidden="1" customHeight="1" thickTop="1" thickBot="1" x14ac:dyDescent="0.3">
      <c r="B734" s="43">
        <v>100021028</v>
      </c>
      <c r="C734" s="44" t="s">
        <v>893</v>
      </c>
      <c r="D734" s="45" t="s">
        <v>212</v>
      </c>
      <c r="E734" s="45" t="s">
        <v>44</v>
      </c>
      <c r="F734" s="44" t="s">
        <v>228</v>
      </c>
      <c r="G734" s="44" t="s">
        <v>17</v>
      </c>
      <c r="H734" s="44" t="s">
        <v>551</v>
      </c>
      <c r="I734" s="44" t="s">
        <v>46</v>
      </c>
      <c r="J734" s="44" t="s">
        <v>28</v>
      </c>
      <c r="K734" s="44" t="str">
        <f>PRODUCTO_MI_AR68[[#This Row],[NOM SUBFAMILIA COMERCIAL]]</f>
        <v>PICADILLO</v>
      </c>
      <c r="L734" s="44" t="str">
        <f>_xlfn.XLOOKUP(PRODUCTO_MI_AR68[[#This Row],[COD PRODUCTO]],'[1]IND AR'!$A:$A,'[1]IND AR'!$T:$T,"")</f>
        <v>PICADILLO</v>
      </c>
      <c r="M734" s="44" t="s">
        <v>821</v>
      </c>
      <c r="N734" s="44" t="s">
        <v>554</v>
      </c>
      <c r="O734" s="46" t="s">
        <v>49</v>
      </c>
      <c r="P734"/>
      <c r="Q734" s="4"/>
      <c r="R734" s="4"/>
      <c r="S734" s="4"/>
      <c r="T734" s="4"/>
      <c r="U734" s="4"/>
    </row>
    <row r="735" spans="2:21" hidden="1" thickTop="1" thickBot="1" x14ac:dyDescent="0.3">
      <c r="B735" s="43">
        <v>100522425</v>
      </c>
      <c r="C735" s="44" t="s">
        <v>894</v>
      </c>
      <c r="D735" s="45" t="s">
        <v>43</v>
      </c>
      <c r="E735" s="45" t="s">
        <v>44</v>
      </c>
      <c r="F735" s="44" t="s">
        <v>228</v>
      </c>
      <c r="G735" s="44" t="s">
        <v>17</v>
      </c>
      <c r="H735" s="44" t="s">
        <v>551</v>
      </c>
      <c r="I735" s="44" t="s">
        <v>46</v>
      </c>
      <c r="J735" s="44" t="s">
        <v>28</v>
      </c>
      <c r="K735" s="44" t="str">
        <f>PRODUCTO_MI_AR68[[#This Row],[NOM SUBFAMILIA COMERCIAL]]</f>
        <v>PICADILLO</v>
      </c>
      <c r="L735" s="44" t="str">
        <f>_xlfn.XLOOKUP(PRODUCTO_MI_AR68[[#This Row],[COD PRODUCTO]],'[1]IND AR'!$A:$A,'[1]IND AR'!$T:$T,"")</f>
        <v>PICADILLO</v>
      </c>
      <c r="M735" s="44" t="s">
        <v>823</v>
      </c>
      <c r="N735" s="44" t="s">
        <v>554</v>
      </c>
      <c r="O735" s="46" t="s">
        <v>49</v>
      </c>
      <c r="P735"/>
      <c r="Q735" s="4"/>
      <c r="R735" s="4"/>
      <c r="S735" s="4"/>
      <c r="T735" s="4"/>
      <c r="U735" s="4"/>
    </row>
    <row r="736" spans="2:21" hidden="1" thickTop="1" thickBot="1" x14ac:dyDescent="0.3">
      <c r="B736" s="43">
        <v>100021029</v>
      </c>
      <c r="C736" s="44" t="s">
        <v>895</v>
      </c>
      <c r="D736" s="45" t="s">
        <v>43</v>
      </c>
      <c r="E736" s="45" t="s">
        <v>15</v>
      </c>
      <c r="F736" s="44" t="s">
        <v>228</v>
      </c>
      <c r="G736" s="44" t="s">
        <v>17</v>
      </c>
      <c r="H736" s="44" t="s">
        <v>551</v>
      </c>
      <c r="I736" s="44" t="s">
        <v>46</v>
      </c>
      <c r="J736" s="44" t="s">
        <v>28</v>
      </c>
      <c r="K736" s="44" t="str">
        <f>PRODUCTO_MI_AR68[[#This Row],[NOM SUBFAMILIA COMERCIAL]]</f>
        <v>PICADILLO</v>
      </c>
      <c r="L736" s="44" t="str">
        <f>_xlfn.XLOOKUP(PRODUCTO_MI_AR68[[#This Row],[COD PRODUCTO]],'[1]IND AR'!$A:$A,'[1]IND AR'!$T:$T,"")</f>
        <v>PICADILLO</v>
      </c>
      <c r="M736" s="44" t="s">
        <v>896</v>
      </c>
      <c r="N736" s="44" t="s">
        <v>554</v>
      </c>
      <c r="O736" s="46" t="s">
        <v>49</v>
      </c>
      <c r="P736"/>
      <c r="Q736" s="4"/>
      <c r="R736" s="4"/>
      <c r="S736" s="4"/>
      <c r="T736" s="4"/>
      <c r="U736" s="4"/>
    </row>
    <row r="737" spans="2:21" hidden="1" thickTop="1" thickBot="1" x14ac:dyDescent="0.3">
      <c r="B737" s="43">
        <v>100021008</v>
      </c>
      <c r="C737" s="44" t="s">
        <v>897</v>
      </c>
      <c r="D737" s="45" t="s">
        <v>43</v>
      </c>
      <c r="E737" s="45" t="s">
        <v>44</v>
      </c>
      <c r="F737" s="44" t="s">
        <v>228</v>
      </c>
      <c r="G737" s="44" t="s">
        <v>17</v>
      </c>
      <c r="H737" s="44" t="s">
        <v>551</v>
      </c>
      <c r="I737" s="44" t="s">
        <v>46</v>
      </c>
      <c r="J737" s="44" t="s">
        <v>28</v>
      </c>
      <c r="K737" s="44" t="str">
        <f>PRODUCTO_MI_AR68[[#This Row],[NOM SUBFAMILIA COMERCIAL]]</f>
        <v>PICADILLO</v>
      </c>
      <c r="L737" s="44" t="str">
        <f>_xlfn.XLOOKUP(PRODUCTO_MI_AR68[[#This Row],[COD PRODUCTO]],'[1]IND AR'!$A:$A,'[1]IND AR'!$T:$T,"")</f>
        <v>PICADILLO</v>
      </c>
      <c r="M737" s="44" t="s">
        <v>229</v>
      </c>
      <c r="N737" s="44" t="s">
        <v>554</v>
      </c>
      <c r="O737" s="46" t="s">
        <v>49</v>
      </c>
      <c r="P737"/>
      <c r="Q737" s="4"/>
      <c r="R737" s="4"/>
      <c r="S737" s="4"/>
      <c r="T737" s="4"/>
      <c r="U737" s="4"/>
    </row>
    <row r="738" spans="2:21" ht="18" hidden="1" customHeight="1" thickTop="1" thickBot="1" x14ac:dyDescent="0.3">
      <c r="B738" s="43">
        <v>100021010</v>
      </c>
      <c r="C738" s="44" t="s">
        <v>898</v>
      </c>
      <c r="D738" s="45" t="s">
        <v>43</v>
      </c>
      <c r="E738" s="45" t="s">
        <v>44</v>
      </c>
      <c r="F738" s="44" t="s">
        <v>228</v>
      </c>
      <c r="G738" s="44" t="s">
        <v>17</v>
      </c>
      <c r="H738" s="44" t="s">
        <v>551</v>
      </c>
      <c r="I738" s="44" t="s">
        <v>46</v>
      </c>
      <c r="J738" s="44" t="s">
        <v>28</v>
      </c>
      <c r="K738" s="44" t="str">
        <f>PRODUCTO_MI_AR68[[#This Row],[NOM SUBFAMILIA COMERCIAL]]</f>
        <v>PICADILLO</v>
      </c>
      <c r="L738" s="44" t="str">
        <f>_xlfn.XLOOKUP(PRODUCTO_MI_AR68[[#This Row],[COD PRODUCTO]],'[1]IND AR'!$A:$A,'[1]IND AR'!$T:$T,"")</f>
        <v>PICADILLO</v>
      </c>
      <c r="M738" s="44" t="s">
        <v>819</v>
      </c>
      <c r="N738" s="44" t="s">
        <v>554</v>
      </c>
      <c r="O738" s="46" t="s">
        <v>49</v>
      </c>
      <c r="P738"/>
      <c r="Q738" s="4"/>
      <c r="R738" s="4"/>
      <c r="S738" s="4"/>
      <c r="T738" s="4"/>
      <c r="U738" s="4"/>
    </row>
    <row r="739" spans="2:21" ht="18" hidden="1" customHeight="1" thickTop="1" thickBot="1" x14ac:dyDescent="0.3">
      <c r="B739" s="43">
        <v>100021044</v>
      </c>
      <c r="C739" s="44" t="s">
        <v>899</v>
      </c>
      <c r="D739" s="45" t="s">
        <v>212</v>
      </c>
      <c r="E739" s="45" t="s">
        <v>44</v>
      </c>
      <c r="F739" s="44" t="s">
        <v>228</v>
      </c>
      <c r="G739" s="44" t="s">
        <v>17</v>
      </c>
      <c r="H739" s="44" t="s">
        <v>551</v>
      </c>
      <c r="I739" s="44" t="s">
        <v>46</v>
      </c>
      <c r="J739" s="44" t="s">
        <v>28</v>
      </c>
      <c r="K739" s="44" t="str">
        <f>PRODUCTO_MI_AR68[[#This Row],[NOM SUBFAMILIA COMERCIAL]]</f>
        <v>PICADILLO</v>
      </c>
      <c r="L739" s="44" t="str">
        <f>_xlfn.XLOOKUP(PRODUCTO_MI_AR68[[#This Row],[COD PRODUCTO]],'[1]IND AR'!$A:$A,'[1]IND AR'!$T:$T,"")</f>
        <v>PICADILLO</v>
      </c>
      <c r="M739" s="44" t="s">
        <v>819</v>
      </c>
      <c r="N739" s="44" t="s">
        <v>554</v>
      </c>
      <c r="O739" s="46" t="s">
        <v>49</v>
      </c>
      <c r="P739"/>
      <c r="Q739" s="4"/>
      <c r="R739" s="4"/>
      <c r="S739" s="4"/>
      <c r="T739" s="4"/>
      <c r="U739" s="4"/>
    </row>
    <row r="740" spans="2:21" hidden="1" thickTop="1" thickBot="1" x14ac:dyDescent="0.3">
      <c r="B740" s="43">
        <v>100021135</v>
      </c>
      <c r="C740" s="44" t="s">
        <v>900</v>
      </c>
      <c r="D740" s="45" t="s">
        <v>43</v>
      </c>
      <c r="E740" s="45" t="s">
        <v>15</v>
      </c>
      <c r="F740" s="44" t="s">
        <v>228</v>
      </c>
      <c r="G740" s="44" t="s">
        <v>27</v>
      </c>
      <c r="H740" s="44" t="s">
        <v>551</v>
      </c>
      <c r="I740" s="44" t="s">
        <v>46</v>
      </c>
      <c r="J740" s="44" t="s">
        <v>28</v>
      </c>
      <c r="K740" s="44" t="str">
        <f>PRODUCTO_MI_AR68[[#This Row],[NOM SUBFAMILIA COMERCIAL]]</f>
        <v>PICADILLO</v>
      </c>
      <c r="L740" s="44" t="str">
        <f>_xlfn.XLOOKUP(PRODUCTO_MI_AR68[[#This Row],[COD PRODUCTO]],'[1]IND AR'!$A:$A,'[1]IND AR'!$T:$T,"")</f>
        <v>PICADILLO</v>
      </c>
      <c r="M740" s="44" t="s">
        <v>819</v>
      </c>
      <c r="N740" s="44" t="s">
        <v>554</v>
      </c>
      <c r="O740" s="46" t="s">
        <v>49</v>
      </c>
      <c r="P740"/>
      <c r="Q740" s="4"/>
      <c r="R740" s="4"/>
      <c r="S740" s="4"/>
      <c r="T740" s="4"/>
      <c r="U740" s="4"/>
    </row>
    <row r="741" spans="2:21" ht="18" hidden="1" customHeight="1" thickTop="1" thickBot="1" x14ac:dyDescent="0.3">
      <c r="B741" s="43">
        <v>100520893</v>
      </c>
      <c r="C741" s="44" t="s">
        <v>901</v>
      </c>
      <c r="D741" s="45" t="s">
        <v>43</v>
      </c>
      <c r="E741" s="45" t="s">
        <v>15</v>
      </c>
      <c r="F741" s="44" t="s">
        <v>228</v>
      </c>
      <c r="G741" s="44" t="s">
        <v>17</v>
      </c>
      <c r="H741" s="44" t="s">
        <v>551</v>
      </c>
      <c r="I741" s="44" t="s">
        <v>46</v>
      </c>
      <c r="J741" s="44" t="s">
        <v>28</v>
      </c>
      <c r="K741" s="44" t="str">
        <f>PRODUCTO_MI_AR68[[#This Row],[NOM SUBFAMILIA COMERCIAL]]</f>
        <v>PICADILLO</v>
      </c>
      <c r="L741" s="44" t="str">
        <f>_xlfn.XLOOKUP(PRODUCTO_MI_AR68[[#This Row],[COD PRODUCTO]],'[1]IND AR'!$A:$A,'[1]IND AR'!$T:$T,"")</f>
        <v>PICADILLO</v>
      </c>
      <c r="M741" s="44" t="s">
        <v>819</v>
      </c>
      <c r="N741" s="44" t="s">
        <v>554</v>
      </c>
      <c r="O741" s="46" t="s">
        <v>49</v>
      </c>
      <c r="P741"/>
      <c r="Q741" s="4"/>
      <c r="R741" s="4"/>
      <c r="S741" s="4"/>
      <c r="T741" s="4"/>
      <c r="U741" s="4"/>
    </row>
    <row r="742" spans="2:21" ht="18" hidden="1" customHeight="1" thickTop="1" thickBot="1" x14ac:dyDescent="0.3">
      <c r="B742" s="43">
        <v>100021138</v>
      </c>
      <c r="C742" s="44" t="s">
        <v>902</v>
      </c>
      <c r="D742" s="45" t="s">
        <v>43</v>
      </c>
      <c r="E742" s="45" t="s">
        <v>15</v>
      </c>
      <c r="F742" s="44" t="s">
        <v>228</v>
      </c>
      <c r="G742" s="44" t="s">
        <v>17</v>
      </c>
      <c r="H742" s="44" t="s">
        <v>551</v>
      </c>
      <c r="I742" s="44" t="s">
        <v>46</v>
      </c>
      <c r="J742" s="44" t="s">
        <v>28</v>
      </c>
      <c r="K742" s="44" t="str">
        <f>PRODUCTO_MI_AR68[[#This Row],[NOM SUBFAMILIA COMERCIAL]]</f>
        <v>PICADILLO</v>
      </c>
      <c r="L742" s="44" t="str">
        <f>_xlfn.XLOOKUP(PRODUCTO_MI_AR68[[#This Row],[COD PRODUCTO]],'[1]IND AR'!$A:$A,'[1]IND AR'!$T:$T,"")</f>
        <v>PICADILLO</v>
      </c>
      <c r="M742" s="44" t="s">
        <v>819</v>
      </c>
      <c r="N742" s="44" t="s">
        <v>554</v>
      </c>
      <c r="O742" s="46" t="s">
        <v>49</v>
      </c>
      <c r="P742"/>
      <c r="Q742" s="4"/>
      <c r="R742" s="4"/>
      <c r="S742" s="4"/>
      <c r="T742" s="4"/>
      <c r="U742" s="4"/>
    </row>
    <row r="743" spans="2:21" ht="18" hidden="1" customHeight="1" thickTop="1" thickBot="1" x14ac:dyDescent="0.3">
      <c r="B743" s="43">
        <v>100516797</v>
      </c>
      <c r="C743" s="44" t="s">
        <v>903</v>
      </c>
      <c r="D743" s="45" t="s">
        <v>43</v>
      </c>
      <c r="E743" s="45" t="s">
        <v>15</v>
      </c>
      <c r="F743" s="44" t="s">
        <v>228</v>
      </c>
      <c r="G743" s="44" t="s">
        <v>17</v>
      </c>
      <c r="H743" s="44" t="s">
        <v>551</v>
      </c>
      <c r="I743" s="44" t="s">
        <v>46</v>
      </c>
      <c r="J743" s="44" t="s">
        <v>28</v>
      </c>
      <c r="K743" s="44" t="str">
        <f>PRODUCTO_MI_AR68[[#This Row],[NOM SUBFAMILIA COMERCIAL]]</f>
        <v>PICADILLO</v>
      </c>
      <c r="L743" s="44" t="str">
        <f>_xlfn.XLOOKUP(PRODUCTO_MI_AR68[[#This Row],[COD PRODUCTO]],'[1]IND AR'!$A:$A,'[1]IND AR'!$T:$T,"")</f>
        <v>PICADILLO</v>
      </c>
      <c r="M743" s="44" t="s">
        <v>904</v>
      </c>
      <c r="N743" s="44" t="s">
        <v>554</v>
      </c>
      <c r="O743" s="46" t="s">
        <v>49</v>
      </c>
      <c r="P743"/>
      <c r="Q743" s="4"/>
      <c r="R743" s="4"/>
      <c r="S743" s="4"/>
      <c r="T743" s="4"/>
      <c r="U743" s="4"/>
    </row>
    <row r="744" spans="2:21" ht="18" hidden="1" customHeight="1" thickTop="1" thickBot="1" x14ac:dyDescent="0.3">
      <c r="B744" s="43">
        <v>100021001</v>
      </c>
      <c r="C744" s="44" t="s">
        <v>905</v>
      </c>
      <c r="D744" s="45" t="s">
        <v>43</v>
      </c>
      <c r="E744" s="45" t="s">
        <v>44</v>
      </c>
      <c r="F744" s="44" t="s">
        <v>16</v>
      </c>
      <c r="G744" s="44" t="s">
        <v>17</v>
      </c>
      <c r="H744" s="44" t="s">
        <v>551</v>
      </c>
      <c r="I744" s="44" t="s">
        <v>46</v>
      </c>
      <c r="J744" s="44" t="s">
        <v>28</v>
      </c>
      <c r="K744" s="44" t="str">
        <f>PRODUCTO_MI_AR68[[#This Row],[NOM SUBFAMILIA COMERCIAL]]</f>
        <v>PICADILLO</v>
      </c>
      <c r="L744" s="44" t="str">
        <f>_xlfn.XLOOKUP(PRODUCTO_MI_AR68[[#This Row],[COD PRODUCTO]],'[1]IND AR'!$A:$A,'[1]IND AR'!$T:$T,"")</f>
        <v>PICADILLO</v>
      </c>
      <c r="M744" s="44" t="s">
        <v>57</v>
      </c>
      <c r="N744" s="44" t="s">
        <v>193</v>
      </c>
      <c r="O744" s="46" t="s">
        <v>49</v>
      </c>
      <c r="P744"/>
      <c r="Q744" s="4"/>
      <c r="R744" s="4"/>
      <c r="S744" s="4"/>
      <c r="T744" s="4"/>
      <c r="U744" s="4"/>
    </row>
    <row r="745" spans="2:21" ht="18" hidden="1" customHeight="1" thickTop="1" thickBot="1" x14ac:dyDescent="0.3">
      <c r="B745" s="43">
        <v>100517540</v>
      </c>
      <c r="C745" s="44" t="s">
        <v>905</v>
      </c>
      <c r="D745" s="45" t="s">
        <v>212</v>
      </c>
      <c r="E745" s="45" t="s">
        <v>44</v>
      </c>
      <c r="F745" s="44" t="s">
        <v>16</v>
      </c>
      <c r="G745" s="44" t="s">
        <v>17</v>
      </c>
      <c r="H745" s="44" t="s">
        <v>551</v>
      </c>
      <c r="I745" s="44" t="s">
        <v>46</v>
      </c>
      <c r="J745" s="44" t="s">
        <v>28</v>
      </c>
      <c r="K745" s="44" t="str">
        <f>PRODUCTO_MI_AR68[[#This Row],[NOM SUBFAMILIA COMERCIAL]]</f>
        <v>PICADILLO</v>
      </c>
      <c r="L745" s="44" t="str">
        <f>_xlfn.XLOOKUP(PRODUCTO_MI_AR68[[#This Row],[COD PRODUCTO]],'[1]IND AR'!$A:$A,'[1]IND AR'!$T:$T,"")</f>
        <v>PICADILLO</v>
      </c>
      <c r="M745" s="44" t="s">
        <v>57</v>
      </c>
      <c r="N745" s="44" t="s">
        <v>554</v>
      </c>
      <c r="O745" s="46" t="s">
        <v>49</v>
      </c>
      <c r="P745"/>
      <c r="Q745" s="4"/>
      <c r="R745" s="4"/>
      <c r="S745" s="4"/>
      <c r="T745" s="4"/>
      <c r="U745" s="4"/>
    </row>
    <row r="746" spans="2:21" ht="18" hidden="1" customHeight="1" thickTop="1" thickBot="1" x14ac:dyDescent="0.3">
      <c r="B746" s="43">
        <v>100021133</v>
      </c>
      <c r="C746" s="44" t="s">
        <v>906</v>
      </c>
      <c r="D746" s="45" t="s">
        <v>43</v>
      </c>
      <c r="E746" s="45" t="s">
        <v>44</v>
      </c>
      <c r="F746" s="44" t="s">
        <v>228</v>
      </c>
      <c r="G746" s="44" t="s">
        <v>17</v>
      </c>
      <c r="H746" s="44" t="s">
        <v>551</v>
      </c>
      <c r="I746" s="44" t="s">
        <v>46</v>
      </c>
      <c r="J746" s="44" t="s">
        <v>28</v>
      </c>
      <c r="K746" s="44" t="str">
        <f>PRODUCTO_MI_AR68[[#This Row],[NOM SUBFAMILIA COMERCIAL]]</f>
        <v>PICADILLO</v>
      </c>
      <c r="L746" s="44" t="str">
        <f>_xlfn.XLOOKUP(PRODUCTO_MI_AR68[[#This Row],[COD PRODUCTO]],'[1]IND AR'!$A:$A,'[1]IND AR'!$T:$T,"")</f>
        <v>PICADILLO</v>
      </c>
      <c r="M746" s="44" t="s">
        <v>490</v>
      </c>
      <c r="N746" s="44" t="s">
        <v>554</v>
      </c>
      <c r="O746" s="46" t="s">
        <v>49</v>
      </c>
      <c r="P746"/>
      <c r="Q746" s="4"/>
      <c r="R746" s="4"/>
      <c r="S746" s="4"/>
      <c r="T746" s="4"/>
      <c r="U746" s="4"/>
    </row>
    <row r="747" spans="2:21" ht="18" hidden="1" customHeight="1" thickTop="1" thickBot="1" x14ac:dyDescent="0.3">
      <c r="B747" s="43">
        <v>100021045</v>
      </c>
      <c r="C747" s="44" t="s">
        <v>907</v>
      </c>
      <c r="D747" s="45" t="s">
        <v>43</v>
      </c>
      <c r="E747" s="45" t="s">
        <v>44</v>
      </c>
      <c r="F747" s="44" t="s">
        <v>16</v>
      </c>
      <c r="G747" s="44" t="s">
        <v>17</v>
      </c>
      <c r="H747" s="44" t="s">
        <v>551</v>
      </c>
      <c r="I747" s="44" t="s">
        <v>46</v>
      </c>
      <c r="J747" s="44" t="s">
        <v>28</v>
      </c>
      <c r="K747" s="44" t="str">
        <f>PRODUCTO_MI_AR68[[#This Row],[NOM SUBFAMILIA COMERCIAL]]</f>
        <v>PICADILLO</v>
      </c>
      <c r="L747" s="44" t="s">
        <v>908</v>
      </c>
      <c r="M747" s="44" t="s">
        <v>57</v>
      </c>
      <c r="N747" s="44" t="s">
        <v>193</v>
      </c>
      <c r="O747" s="46" t="s">
        <v>49</v>
      </c>
      <c r="P747"/>
      <c r="Q747" s="4"/>
      <c r="R747" s="4"/>
      <c r="S747" s="4"/>
      <c r="T747" s="4"/>
      <c r="U747" s="4"/>
    </row>
    <row r="748" spans="2:21" ht="18" hidden="1" customHeight="1" thickTop="1" thickBot="1" x14ac:dyDescent="0.3">
      <c r="B748" s="43">
        <v>100517547</v>
      </c>
      <c r="C748" s="44" t="s">
        <v>907</v>
      </c>
      <c r="D748" s="45" t="s">
        <v>212</v>
      </c>
      <c r="E748" s="45" t="s">
        <v>44</v>
      </c>
      <c r="F748" s="44" t="s">
        <v>16</v>
      </c>
      <c r="G748" s="44" t="s">
        <v>17</v>
      </c>
      <c r="H748" s="44" t="s">
        <v>551</v>
      </c>
      <c r="I748" s="44" t="s">
        <v>46</v>
      </c>
      <c r="J748" s="44" t="s">
        <v>28</v>
      </c>
      <c r="K748" s="44" t="str">
        <f>PRODUCTO_MI_AR68[[#This Row],[NOM SUBFAMILIA COMERCIAL]]</f>
        <v>PICADILLO</v>
      </c>
      <c r="L748" s="44" t="s">
        <v>908</v>
      </c>
      <c r="M748" s="44" t="s">
        <v>57</v>
      </c>
      <c r="N748" s="44" t="s">
        <v>554</v>
      </c>
      <c r="O748" s="46" t="s">
        <v>49</v>
      </c>
      <c r="P748"/>
      <c r="Q748" s="4"/>
      <c r="R748" s="4"/>
      <c r="S748" s="4"/>
      <c r="T748" s="4"/>
      <c r="U748" s="4"/>
    </row>
    <row r="749" spans="2:21" hidden="1" thickTop="1" thickBot="1" x14ac:dyDescent="0.3">
      <c r="B749" s="43">
        <v>100522277</v>
      </c>
      <c r="C749" s="44" t="s">
        <v>909</v>
      </c>
      <c r="D749" s="45" t="s">
        <v>43</v>
      </c>
      <c r="E749" s="45" t="s">
        <v>44</v>
      </c>
      <c r="F749" s="44" t="s">
        <v>16</v>
      </c>
      <c r="G749" s="44" t="s">
        <v>17</v>
      </c>
      <c r="H749" s="44" t="s">
        <v>551</v>
      </c>
      <c r="I749" s="44" t="s">
        <v>46</v>
      </c>
      <c r="J749" s="44" t="s">
        <v>28</v>
      </c>
      <c r="K749" s="44" t="str">
        <f>PRODUCTO_MI_AR68[[#This Row],[NOM SUBFAMILIA COMERCIAL]]</f>
        <v>PICADILLO</v>
      </c>
      <c r="L749" s="44" t="s">
        <v>908</v>
      </c>
      <c r="M749" s="44" t="s">
        <v>57</v>
      </c>
      <c r="N749" s="44" t="s">
        <v>193</v>
      </c>
      <c r="O749" s="46" t="s">
        <v>49</v>
      </c>
      <c r="P749"/>
      <c r="Q749" s="4"/>
      <c r="R749" s="4"/>
      <c r="S749" s="4"/>
      <c r="T749" s="4"/>
      <c r="U749" s="4"/>
    </row>
    <row r="750" spans="2:21" ht="18" hidden="1" customHeight="1" thickTop="1" thickBot="1" x14ac:dyDescent="0.3">
      <c r="B750" s="43">
        <v>100518544</v>
      </c>
      <c r="C750" s="44" t="s">
        <v>910</v>
      </c>
      <c r="D750" s="45" t="s">
        <v>43</v>
      </c>
      <c r="E750" s="45" t="s">
        <v>44</v>
      </c>
      <c r="F750" s="44" t="s">
        <v>228</v>
      </c>
      <c r="G750" s="44" t="s">
        <v>17</v>
      </c>
      <c r="H750" s="44" t="s">
        <v>551</v>
      </c>
      <c r="I750" s="44" t="s">
        <v>46</v>
      </c>
      <c r="J750" s="44" t="s">
        <v>28</v>
      </c>
      <c r="K750" s="44" t="str">
        <f>PRODUCTO_MI_AR68[[#This Row],[NOM SUBFAMILIA COMERCIAL]]</f>
        <v>PICADILLO</v>
      </c>
      <c r="L750" s="44" t="s">
        <v>908</v>
      </c>
      <c r="M750" s="44" t="s">
        <v>911</v>
      </c>
      <c r="N750" s="44" t="s">
        <v>554</v>
      </c>
      <c r="O750" s="46" t="s">
        <v>49</v>
      </c>
      <c r="P750"/>
      <c r="Q750" s="4"/>
      <c r="R750" s="4"/>
      <c r="S750" s="4"/>
      <c r="T750" s="4"/>
      <c r="U750" s="4"/>
    </row>
    <row r="751" spans="2:21" ht="18" hidden="1" customHeight="1" thickTop="1" thickBot="1" x14ac:dyDescent="0.3">
      <c r="B751" s="43">
        <v>100519233</v>
      </c>
      <c r="C751" s="44" t="s">
        <v>912</v>
      </c>
      <c r="D751" s="45" t="s">
        <v>43</v>
      </c>
      <c r="E751" s="45" t="s">
        <v>44</v>
      </c>
      <c r="F751" s="44" t="s">
        <v>16</v>
      </c>
      <c r="G751" s="44" t="s">
        <v>17</v>
      </c>
      <c r="H751" s="44" t="s">
        <v>551</v>
      </c>
      <c r="I751" s="44" t="s">
        <v>46</v>
      </c>
      <c r="J751" s="44" t="s">
        <v>28</v>
      </c>
      <c r="K751" s="44" t="str">
        <f>PRODUCTO_MI_AR68[[#This Row],[NOM SUBFAMILIA COMERCIAL]]</f>
        <v>PICADILLO</v>
      </c>
      <c r="L751" s="44" t="s">
        <v>908</v>
      </c>
      <c r="M751" s="44" t="s">
        <v>503</v>
      </c>
      <c r="N751" s="44" t="s">
        <v>554</v>
      </c>
      <c r="O751" s="46" t="s">
        <v>49</v>
      </c>
      <c r="P751"/>
      <c r="Q751" s="4"/>
      <c r="R751" s="4"/>
      <c r="S751" s="4"/>
      <c r="T751" s="4"/>
      <c r="U751" s="4"/>
    </row>
    <row r="752" spans="2:21" ht="18" hidden="1" customHeight="1" thickTop="1" thickBot="1" x14ac:dyDescent="0.3">
      <c r="B752" s="43">
        <v>100516932</v>
      </c>
      <c r="C752" s="44" t="s">
        <v>913</v>
      </c>
      <c r="D752" s="45" t="s">
        <v>212</v>
      </c>
      <c r="E752" s="45" t="s">
        <v>15</v>
      </c>
      <c r="F752" s="44" t="s">
        <v>16</v>
      </c>
      <c r="G752" s="44" t="s">
        <v>27</v>
      </c>
      <c r="H752" s="44" t="s">
        <v>551</v>
      </c>
      <c r="I752" s="44" t="s">
        <v>46</v>
      </c>
      <c r="J752" s="44" t="s">
        <v>28</v>
      </c>
      <c r="K752" s="44" t="str">
        <f>PRODUCTO_MI_AR68[[#This Row],[NOM SUBFAMILIA COMERCIAL]]</f>
        <v>PICADILLO</v>
      </c>
      <c r="L752" s="44" t="s">
        <v>908</v>
      </c>
      <c r="M752" s="44" t="s">
        <v>62</v>
      </c>
      <c r="N752" s="44" t="s">
        <v>554</v>
      </c>
      <c r="O752" s="46" t="s">
        <v>49</v>
      </c>
      <c r="P752"/>
      <c r="Q752" s="4"/>
      <c r="R752" s="4"/>
      <c r="S752" s="4"/>
      <c r="T752" s="4"/>
      <c r="U752" s="4"/>
    </row>
    <row r="753" spans="2:21" ht="18" hidden="1" customHeight="1" thickTop="1" thickBot="1" x14ac:dyDescent="0.3">
      <c r="B753" s="43">
        <v>100520326</v>
      </c>
      <c r="C753" s="44" t="s">
        <v>914</v>
      </c>
      <c r="D753" s="45" t="s">
        <v>43</v>
      </c>
      <c r="E753" s="45" t="s">
        <v>44</v>
      </c>
      <c r="F753" s="44" t="s">
        <v>228</v>
      </c>
      <c r="G753" s="44" t="s">
        <v>17</v>
      </c>
      <c r="H753" s="44" t="s">
        <v>551</v>
      </c>
      <c r="I753" s="44" t="s">
        <v>46</v>
      </c>
      <c r="J753" s="44" t="s">
        <v>28</v>
      </c>
      <c r="K753" s="44" t="str">
        <f>PRODUCTO_MI_AR68[[#This Row],[NOM SUBFAMILIA COMERCIAL]]</f>
        <v>PICADILLO</v>
      </c>
      <c r="L753" s="44" t="s">
        <v>908</v>
      </c>
      <c r="M753" s="44" t="s">
        <v>842</v>
      </c>
      <c r="N753" s="44" t="s">
        <v>554</v>
      </c>
      <c r="O753" s="46" t="s">
        <v>49</v>
      </c>
      <c r="P753"/>
      <c r="Q753" s="4"/>
      <c r="R753" s="4"/>
      <c r="S753" s="4"/>
      <c r="T753" s="4"/>
      <c r="U753" s="4"/>
    </row>
    <row r="754" spans="2:21" ht="18" hidden="1" customHeight="1" thickTop="1" thickBot="1" x14ac:dyDescent="0.3">
      <c r="B754" s="43">
        <v>100016152</v>
      </c>
      <c r="C754" s="44" t="s">
        <v>915</v>
      </c>
      <c r="D754" s="45"/>
      <c r="E754" s="45" t="s">
        <v>44</v>
      </c>
      <c r="F754" s="44" t="s">
        <v>16</v>
      </c>
      <c r="G754" s="44" t="s">
        <v>17</v>
      </c>
      <c r="H754" s="44" t="s">
        <v>18</v>
      </c>
      <c r="I754" s="44" t="s">
        <v>97</v>
      </c>
      <c r="J754" s="44" t="s">
        <v>28</v>
      </c>
      <c r="K754" s="44" t="s">
        <v>98</v>
      </c>
      <c r="L754" s="44" t="s">
        <v>916</v>
      </c>
      <c r="M754" s="44" t="s">
        <v>62</v>
      </c>
      <c r="N754" s="44" t="str">
        <f>IF(ISERR(FIND("CONG",PRODUCTO_MI_AR68[[#This Row],[NOM PRODUCTO]])),"","CONGELADO")</f>
        <v>CONGELADO</v>
      </c>
      <c r="O754" s="46" t="s">
        <v>98</v>
      </c>
      <c r="P754"/>
      <c r="Q754" s="4"/>
      <c r="R754" s="4"/>
      <c r="S754" s="4"/>
      <c r="T754" s="4"/>
      <c r="U754" s="4"/>
    </row>
    <row r="755" spans="2:21" hidden="1" thickTop="1" thickBot="1" x14ac:dyDescent="0.3">
      <c r="B755" s="43">
        <v>100522186</v>
      </c>
      <c r="C755" s="44" t="s">
        <v>917</v>
      </c>
      <c r="D755" s="45" t="s">
        <v>43</v>
      </c>
      <c r="E755" s="45" t="s">
        <v>15</v>
      </c>
      <c r="F755" s="44" t="s">
        <v>16</v>
      </c>
      <c r="G755" s="44" t="s">
        <v>17</v>
      </c>
      <c r="H755" s="44" t="s">
        <v>45</v>
      </c>
      <c r="I755" s="44" t="s">
        <v>46</v>
      </c>
      <c r="J755" s="44" t="s">
        <v>28</v>
      </c>
      <c r="K755" s="44" t="s">
        <v>45</v>
      </c>
      <c r="L755" s="44" t="s">
        <v>47</v>
      </c>
      <c r="M755" s="44" t="s">
        <v>62</v>
      </c>
      <c r="N755" s="44" t="s">
        <v>193</v>
      </c>
      <c r="O755" s="46" t="s">
        <v>49</v>
      </c>
      <c r="P755"/>
      <c r="Q755" s="4"/>
      <c r="R755" s="4"/>
      <c r="S755" s="4"/>
      <c r="T755" s="4"/>
      <c r="U755" s="4"/>
    </row>
    <row r="756" spans="2:21" hidden="1" thickTop="1" thickBot="1" x14ac:dyDescent="0.3">
      <c r="B756" s="43">
        <v>100522183</v>
      </c>
      <c r="C756" s="44" t="s">
        <v>918</v>
      </c>
      <c r="D756" s="45" t="s">
        <v>43</v>
      </c>
      <c r="E756" s="45" t="s">
        <v>15</v>
      </c>
      <c r="F756" s="44" t="s">
        <v>16</v>
      </c>
      <c r="G756" s="44" t="s">
        <v>17</v>
      </c>
      <c r="H756" s="44" t="s">
        <v>45</v>
      </c>
      <c r="I756" s="44" t="s">
        <v>46</v>
      </c>
      <c r="J756" s="44" t="s">
        <v>28</v>
      </c>
      <c r="K756" s="44" t="s">
        <v>45</v>
      </c>
      <c r="L756" s="44" t="s">
        <v>47</v>
      </c>
      <c r="M756" s="44" t="s">
        <v>29</v>
      </c>
      <c r="N756" s="44" t="s">
        <v>193</v>
      </c>
      <c r="O756" s="46" t="s">
        <v>49</v>
      </c>
      <c r="P756"/>
      <c r="Q756" s="4"/>
      <c r="R756" s="4"/>
      <c r="S756" s="4"/>
      <c r="T756" s="4"/>
      <c r="U756" s="4"/>
    </row>
    <row r="757" spans="2:21" hidden="1" thickTop="1" thickBot="1" x14ac:dyDescent="0.3">
      <c r="B757" s="43">
        <v>100016125</v>
      </c>
      <c r="C757" s="44" t="s">
        <v>919</v>
      </c>
      <c r="D757" s="45"/>
      <c r="E757" s="45" t="s">
        <v>44</v>
      </c>
      <c r="F757" s="44" t="s">
        <v>16</v>
      </c>
      <c r="G757" s="44" t="s">
        <v>17</v>
      </c>
      <c r="H757" s="44" t="s">
        <v>18</v>
      </c>
      <c r="I757" s="44" t="s">
        <v>319</v>
      </c>
      <c r="J757" s="44" t="s">
        <v>28</v>
      </c>
      <c r="K757" s="44" t="s">
        <v>320</v>
      </c>
      <c r="L757" s="44" t="s">
        <v>920</v>
      </c>
      <c r="M757" s="44" t="s">
        <v>62</v>
      </c>
      <c r="N757" s="44" t="str">
        <f>IF(ISERR(FIND("CONG",PRODUCTO_MI_AR68[[#This Row],[NOM PRODUCTO]])),"","CONGELADO")</f>
        <v>CONGELADO</v>
      </c>
      <c r="O757" s="46" t="s">
        <v>24</v>
      </c>
      <c r="P757"/>
      <c r="Q757" s="4"/>
      <c r="R757" s="4"/>
      <c r="S757" s="4"/>
      <c r="T757" s="4"/>
      <c r="U757" s="4"/>
    </row>
    <row r="758" spans="2:21" hidden="1" thickTop="1" thickBot="1" x14ac:dyDescent="0.3">
      <c r="B758" s="43">
        <v>100519864</v>
      </c>
      <c r="C758" s="44" t="s">
        <v>921</v>
      </c>
      <c r="D758" s="45"/>
      <c r="E758" s="45" t="str">
        <f>IF(ISERR(FIND("CLL",PRODUCTO_MI_AR68[[#This Row],[NOM PRODUCTO]])),"","ME")</f>
        <v>ME</v>
      </c>
      <c r="F758" s="44" t="s">
        <v>16</v>
      </c>
      <c r="G758" s="44" t="s">
        <v>17</v>
      </c>
      <c r="H758" s="44" t="s">
        <v>18</v>
      </c>
      <c r="I758" s="44" t="s">
        <v>101</v>
      </c>
      <c r="J758" s="44" t="s">
        <v>20</v>
      </c>
      <c r="K758" s="44" t="s">
        <v>201</v>
      </c>
      <c r="L758" s="44" t="s">
        <v>922</v>
      </c>
      <c r="M758" s="44" t="s">
        <v>22</v>
      </c>
      <c r="N758" s="44" t="s">
        <v>23</v>
      </c>
      <c r="O758" s="46" t="s">
        <v>24</v>
      </c>
      <c r="P758"/>
      <c r="Q758" s="4"/>
      <c r="R758" s="4"/>
      <c r="S758" s="4"/>
      <c r="T758" s="4"/>
      <c r="U758" s="4"/>
    </row>
    <row r="759" spans="2:21" hidden="1" thickTop="1" thickBot="1" x14ac:dyDescent="0.3">
      <c r="B759" s="43">
        <v>100522459</v>
      </c>
      <c r="C759" s="44" t="s">
        <v>923</v>
      </c>
      <c r="D759" s="45"/>
      <c r="E759" s="45" t="s">
        <v>15</v>
      </c>
      <c r="F759" s="44" t="s">
        <v>16</v>
      </c>
      <c r="G759" s="44" t="s">
        <v>17</v>
      </c>
      <c r="H759" s="44" t="s">
        <v>18</v>
      </c>
      <c r="I759" s="44" t="s">
        <v>101</v>
      </c>
      <c r="J759" s="44" t="s">
        <v>20</v>
      </c>
      <c r="K759" s="44" t="s">
        <v>201</v>
      </c>
      <c r="L759" s="44" t="s">
        <v>922</v>
      </c>
      <c r="M759" s="44" t="s">
        <v>22</v>
      </c>
      <c r="N759" s="44" t="s">
        <v>23</v>
      </c>
      <c r="O759" s="46" t="s">
        <v>24</v>
      </c>
      <c r="P759"/>
      <c r="Q759" s="4"/>
      <c r="R759" s="4"/>
      <c r="S759" s="4"/>
      <c r="T759" s="4"/>
      <c r="U759" s="4"/>
    </row>
    <row r="760" spans="2:21" hidden="1" thickTop="1" thickBot="1" x14ac:dyDescent="0.3">
      <c r="B760" s="43">
        <v>100522390</v>
      </c>
      <c r="C760" s="44" t="s">
        <v>924</v>
      </c>
      <c r="D760" s="45"/>
      <c r="E760" s="45" t="str">
        <f>IF(ISERR(FIND("PUL",PRODUCTO_MI_AR68[[#This Row],[NOM PRODUCTO]])),"","ME")</f>
        <v>ME</v>
      </c>
      <c r="F760" s="44" t="s">
        <v>16</v>
      </c>
      <c r="G760" s="44" t="s">
        <v>17</v>
      </c>
      <c r="H760" s="44" t="s">
        <v>18</v>
      </c>
      <c r="I760" s="44" t="s">
        <v>101</v>
      </c>
      <c r="J760" s="44" t="s">
        <v>28</v>
      </c>
      <c r="K760" s="44" t="s">
        <v>201</v>
      </c>
      <c r="L760" s="44" t="s">
        <v>922</v>
      </c>
      <c r="M760" s="44" t="s">
        <v>29</v>
      </c>
      <c r="N760" s="44" t="s">
        <v>23</v>
      </c>
      <c r="O760" s="46" t="s">
        <v>24</v>
      </c>
      <c r="P760"/>
      <c r="Q760" s="4"/>
      <c r="R760" s="4"/>
      <c r="S760" s="4"/>
      <c r="T760" s="4"/>
      <c r="U760" s="4"/>
    </row>
    <row r="761" spans="2:21" hidden="1" thickTop="1" thickBot="1" x14ac:dyDescent="0.3">
      <c r="B761" s="43">
        <v>100518344</v>
      </c>
      <c r="C761" s="44" t="s">
        <v>925</v>
      </c>
      <c r="D761" s="45"/>
      <c r="E761" s="45" t="s">
        <v>44</v>
      </c>
      <c r="F761" s="44" t="s">
        <v>16</v>
      </c>
      <c r="G761" s="44" t="s">
        <v>17</v>
      </c>
      <c r="H761" s="44" t="s">
        <v>18</v>
      </c>
      <c r="I761" s="44" t="s">
        <v>101</v>
      </c>
      <c r="J761" s="44" t="s">
        <v>28</v>
      </c>
      <c r="K761" s="44" t="s">
        <v>102</v>
      </c>
      <c r="L761" s="44" t="s">
        <v>926</v>
      </c>
      <c r="M761" s="44" t="s">
        <v>57</v>
      </c>
      <c r="N761" s="44" t="str">
        <f>IF(ISERR(FIND("CONG",PRODUCTO_MI_AR68[[#This Row],[NOM PRODUCTO]])),"","CONGELADO")</f>
        <v>CONGELADO</v>
      </c>
      <c r="O761" s="46" t="s">
        <v>24</v>
      </c>
      <c r="P761"/>
      <c r="Q761" s="4"/>
      <c r="R761" s="4"/>
      <c r="S761" s="4"/>
      <c r="T761" s="4"/>
      <c r="U761" s="4"/>
    </row>
    <row r="762" spans="2:21" ht="18" hidden="1" customHeight="1" thickTop="1" thickBot="1" x14ac:dyDescent="0.3">
      <c r="B762" s="43">
        <v>100013371</v>
      </c>
      <c r="C762" s="44" t="s">
        <v>927</v>
      </c>
      <c r="D762" s="45"/>
      <c r="E762" s="45" t="s">
        <v>44</v>
      </c>
      <c r="F762" s="44" t="s">
        <v>16</v>
      </c>
      <c r="G762" s="44" t="s">
        <v>17</v>
      </c>
      <c r="H762" s="44" t="s">
        <v>18</v>
      </c>
      <c r="I762" s="44" t="s">
        <v>101</v>
      </c>
      <c r="J762" s="44" t="s">
        <v>28</v>
      </c>
      <c r="K762" s="44" t="s">
        <v>102</v>
      </c>
      <c r="L762" s="44" t="s">
        <v>926</v>
      </c>
      <c r="M762" s="44" t="s">
        <v>57</v>
      </c>
      <c r="N762" s="44" t="s">
        <v>23</v>
      </c>
      <c r="O762" s="46" t="s">
        <v>24</v>
      </c>
      <c r="P762"/>
      <c r="Q762" s="4"/>
      <c r="R762" s="4"/>
      <c r="S762" s="4"/>
      <c r="T762" s="4"/>
      <c r="U762" s="4"/>
    </row>
    <row r="763" spans="2:21" hidden="1" thickTop="1" thickBot="1" x14ac:dyDescent="0.3">
      <c r="B763" s="43">
        <v>100522136</v>
      </c>
      <c r="C763" s="44" t="s">
        <v>928</v>
      </c>
      <c r="D763" s="45"/>
      <c r="E763" s="45" t="s">
        <v>44</v>
      </c>
      <c r="F763" s="44" t="s">
        <v>16</v>
      </c>
      <c r="G763" s="44" t="s">
        <v>17</v>
      </c>
      <c r="H763" s="44" t="s">
        <v>18</v>
      </c>
      <c r="I763" s="44" t="s">
        <v>319</v>
      </c>
      <c r="J763" s="44" t="s">
        <v>28</v>
      </c>
      <c r="K763" s="44" t="s">
        <v>320</v>
      </c>
      <c r="L763" s="44" t="s">
        <v>354</v>
      </c>
      <c r="M763" s="44" t="s">
        <v>62</v>
      </c>
      <c r="N763" s="44" t="str">
        <f>IF(ISERR(FIND("CONG",PRODUCTO_MI_AR68[[#This Row],[NOM PRODUCTO]])),"","CONGELADO")</f>
        <v>CONGELADO</v>
      </c>
      <c r="O763" s="46" t="s">
        <v>24</v>
      </c>
      <c r="P763"/>
      <c r="Q763" s="4"/>
      <c r="R763" s="4"/>
      <c r="S763" s="4"/>
      <c r="T763" s="4"/>
      <c r="U763" s="4"/>
    </row>
    <row r="764" spans="2:21" hidden="1" thickTop="1" thickBot="1" x14ac:dyDescent="0.3">
      <c r="B764" s="43">
        <v>100518073</v>
      </c>
      <c r="C764" s="44" t="s">
        <v>929</v>
      </c>
      <c r="D764" s="45"/>
      <c r="E764" s="45" t="str">
        <f>IF(ISERR(FIND("HK",PRODUCTO_MI_AR68[[#This Row],[NOM PRODUCTO]])),"","ME")</f>
        <v>ME</v>
      </c>
      <c r="F764" s="44" t="s">
        <v>16</v>
      </c>
      <c r="G764" s="44" t="s">
        <v>17</v>
      </c>
      <c r="H764" s="44" t="s">
        <v>18</v>
      </c>
      <c r="I764" s="44" t="s">
        <v>319</v>
      </c>
      <c r="J764" s="44" t="s">
        <v>28</v>
      </c>
      <c r="K764" s="44" t="s">
        <v>320</v>
      </c>
      <c r="L764" s="44" t="s">
        <v>354</v>
      </c>
      <c r="M764" s="44" t="s">
        <v>29</v>
      </c>
      <c r="N764" s="44" t="str">
        <f>IF(ISERR(FIND("CONG",PRODUCTO_MI_AR68[[#This Row],[NOM PRODUCTO]])),"","CONGELADO")</f>
        <v>CONGELADO</v>
      </c>
      <c r="O764" s="46" t="s">
        <v>24</v>
      </c>
      <c r="P764"/>
      <c r="Q764" s="4"/>
      <c r="R764" s="4"/>
      <c r="S764" s="4"/>
      <c r="T764" s="4"/>
      <c r="U764" s="4"/>
    </row>
    <row r="765" spans="2:21" ht="18" hidden="1" customHeight="1" thickTop="1" thickBot="1" x14ac:dyDescent="0.3">
      <c r="B765" s="43">
        <v>100016339</v>
      </c>
      <c r="C765" s="44" t="s">
        <v>930</v>
      </c>
      <c r="D765" s="45"/>
      <c r="E765" s="45" t="s">
        <v>44</v>
      </c>
      <c r="F765" s="44" t="s">
        <v>16</v>
      </c>
      <c r="G765" s="44" t="s">
        <v>17</v>
      </c>
      <c r="H765" s="44" t="s">
        <v>18</v>
      </c>
      <c r="I765" s="44" t="s">
        <v>319</v>
      </c>
      <c r="J765" s="44" t="s">
        <v>28</v>
      </c>
      <c r="K765" s="44" t="s">
        <v>320</v>
      </c>
      <c r="L765" s="44" t="s">
        <v>931</v>
      </c>
      <c r="M765" s="44" t="s">
        <v>57</v>
      </c>
      <c r="N765" s="44" t="str">
        <f>IF(ISERR(FIND("CONG",PRODUCTO_MI_AR68[[#This Row],[NOM PRODUCTO]])),"","CONGELADO")</f>
        <v>CONGELADO</v>
      </c>
      <c r="O765" s="46" t="s">
        <v>24</v>
      </c>
      <c r="P765"/>
      <c r="Q765" s="4"/>
      <c r="R765" s="4"/>
      <c r="S765" s="4"/>
      <c r="T765" s="4"/>
      <c r="U765" s="4"/>
    </row>
    <row r="766" spans="2:21" ht="18" hidden="1" customHeight="1" thickTop="1" thickBot="1" x14ac:dyDescent="0.3">
      <c r="B766" s="43">
        <v>100519343</v>
      </c>
      <c r="C766" s="44" t="s">
        <v>932</v>
      </c>
      <c r="D766" s="45"/>
      <c r="E766" s="45" t="str">
        <f>IF(ISERR(FIND("CLL",PRODUCTO_MI_AR68[[#This Row],[NOM PRODUCTO]])),"","ME")</f>
        <v>ME</v>
      </c>
      <c r="F766" s="44" t="s">
        <v>16</v>
      </c>
      <c r="G766" s="44" t="s">
        <v>17</v>
      </c>
      <c r="H766" s="44" t="s">
        <v>18</v>
      </c>
      <c r="I766" s="44" t="s">
        <v>19</v>
      </c>
      <c r="J766" s="44" t="s">
        <v>20</v>
      </c>
      <c r="K766" s="44" t="s">
        <v>102</v>
      </c>
      <c r="L766" s="44" t="s">
        <v>933</v>
      </c>
      <c r="M766" s="44" t="s">
        <v>22</v>
      </c>
      <c r="N766" s="44" t="str">
        <f>IF(ISERR(FIND("CONG",PRODUCTO_MI_AR68[[#This Row],[NOM PRODUCTO]])),"","CONGELADO")</f>
        <v>CONGELADO</v>
      </c>
      <c r="O766" s="46" t="s">
        <v>58</v>
      </c>
      <c r="P766"/>
      <c r="Q766" s="4"/>
      <c r="R766" s="4"/>
      <c r="S766" s="4"/>
      <c r="T766" s="4"/>
      <c r="U766" s="4"/>
    </row>
    <row r="767" spans="2:21" ht="18" hidden="1" customHeight="1" thickTop="1" thickBot="1" x14ac:dyDescent="0.3">
      <c r="B767" s="43">
        <v>100517597</v>
      </c>
      <c r="C767" s="44" t="s">
        <v>934</v>
      </c>
      <c r="D767" s="45"/>
      <c r="E767" s="45" t="s">
        <v>44</v>
      </c>
      <c r="F767" s="44" t="s">
        <v>16</v>
      </c>
      <c r="G767" s="44" t="s">
        <v>17</v>
      </c>
      <c r="H767" s="44" t="s">
        <v>18</v>
      </c>
      <c r="I767" s="44" t="s">
        <v>19</v>
      </c>
      <c r="J767" s="44" t="s">
        <v>20</v>
      </c>
      <c r="K767" s="44" t="s">
        <v>102</v>
      </c>
      <c r="L767" s="44" t="s">
        <v>933</v>
      </c>
      <c r="M767" s="44" t="s">
        <v>73</v>
      </c>
      <c r="N767" s="44" t="s">
        <v>193</v>
      </c>
      <c r="O767" s="46" t="s">
        <v>58</v>
      </c>
      <c r="P767"/>
      <c r="Q767" s="4"/>
      <c r="R767" s="4"/>
      <c r="S767" s="4"/>
      <c r="T767" s="4"/>
      <c r="U767" s="4"/>
    </row>
    <row r="768" spans="2:21" hidden="1" thickTop="1" thickBot="1" x14ac:dyDescent="0.3">
      <c r="B768" s="43">
        <v>333333</v>
      </c>
      <c r="C768" s="44" t="s">
        <v>935</v>
      </c>
      <c r="D768" s="45" t="s">
        <v>212</v>
      </c>
      <c r="E768" s="45" t="s">
        <v>15</v>
      </c>
      <c r="F768" s="44" t="s">
        <v>228</v>
      </c>
      <c r="G768" s="44" t="s">
        <v>17</v>
      </c>
      <c r="H768" s="44" t="s">
        <v>213</v>
      </c>
      <c r="I768" s="44" t="s">
        <v>46</v>
      </c>
      <c r="J768" s="44" t="s">
        <v>28</v>
      </c>
      <c r="K768" s="44" t="s">
        <v>214</v>
      </c>
      <c r="L768" s="44" t="s">
        <v>223</v>
      </c>
      <c r="M768" s="44" t="s">
        <v>228</v>
      </c>
      <c r="N768" s="44" t="s">
        <v>193</v>
      </c>
      <c r="O768" s="46" t="s">
        <v>49</v>
      </c>
      <c r="P768"/>
      <c r="Q768" s="4"/>
      <c r="R768" s="4"/>
      <c r="S768" s="4"/>
      <c r="T768" s="4"/>
      <c r="U768" s="4"/>
    </row>
    <row r="769" spans="2:21" hidden="1" thickTop="1" thickBot="1" x14ac:dyDescent="0.3">
      <c r="B769" s="43">
        <v>100013166</v>
      </c>
      <c r="C769" s="44" t="s">
        <v>936</v>
      </c>
      <c r="D769" s="45"/>
      <c r="E769" s="45" t="s">
        <v>44</v>
      </c>
      <c r="F769" s="44" t="s">
        <v>16</v>
      </c>
      <c r="G769" s="44" t="s">
        <v>17</v>
      </c>
      <c r="H769" s="44" t="s">
        <v>18</v>
      </c>
      <c r="I769" s="44" t="s">
        <v>431</v>
      </c>
      <c r="J769" s="44" t="s">
        <v>28</v>
      </c>
      <c r="K769" s="44" t="s">
        <v>432</v>
      </c>
      <c r="L769" s="44" t="s">
        <v>937</v>
      </c>
      <c r="M769" s="44" t="s">
        <v>62</v>
      </c>
      <c r="N769" s="44" t="str">
        <f>IF(ISERR(FIND("CONG",PRODUCTO_MI_AR68[[#This Row],[NOM PRODUCTO]])),"","CONGELADO")</f>
        <v>CONGELADO</v>
      </c>
      <c r="O769" s="46" t="s">
        <v>98</v>
      </c>
      <c r="P769"/>
      <c r="Q769" s="4"/>
      <c r="R769" s="4"/>
      <c r="S769" s="4"/>
      <c r="T769" s="4"/>
      <c r="U769" s="4"/>
    </row>
    <row r="770" spans="2:21" ht="18" hidden="1" customHeight="1" thickTop="1" thickBot="1" x14ac:dyDescent="0.3">
      <c r="B770" s="43">
        <v>100013323</v>
      </c>
      <c r="C770" s="44" t="s">
        <v>938</v>
      </c>
      <c r="D770" s="45"/>
      <c r="E770" s="45" t="s">
        <v>44</v>
      </c>
      <c r="F770" s="44" t="s">
        <v>16</v>
      </c>
      <c r="G770" s="44" t="s">
        <v>17</v>
      </c>
      <c r="H770" s="44" t="s">
        <v>18</v>
      </c>
      <c r="I770" s="44" t="s">
        <v>431</v>
      </c>
      <c r="J770" s="44" t="s">
        <v>28</v>
      </c>
      <c r="K770" s="44" t="s">
        <v>432</v>
      </c>
      <c r="L770" s="44" t="s">
        <v>939</v>
      </c>
      <c r="M770" s="44" t="s">
        <v>62</v>
      </c>
      <c r="N770" s="44" t="str">
        <f>IF(ISERR(FIND("CONG",PRODUCTO_MI_AR68[[#This Row],[NOM PRODUCTO]])),"","CONGELADO")</f>
        <v>CONGELADO</v>
      </c>
      <c r="O770" s="46" t="s">
        <v>49</v>
      </c>
      <c r="P770"/>
      <c r="Q770" s="4"/>
      <c r="R770" s="4"/>
      <c r="S770" s="4"/>
      <c r="T770" s="4"/>
      <c r="U770" s="4"/>
    </row>
    <row r="771" spans="2:21" hidden="1" thickTop="1" thickBot="1" x14ac:dyDescent="0.3">
      <c r="B771" s="43">
        <v>100027565</v>
      </c>
      <c r="C771" s="44" t="s">
        <v>940</v>
      </c>
      <c r="D771" s="45"/>
      <c r="E771" s="45" t="s">
        <v>44</v>
      </c>
      <c r="F771" s="44" t="s">
        <v>16</v>
      </c>
      <c r="G771" s="44" t="s">
        <v>17</v>
      </c>
      <c r="H771" s="44" t="s">
        <v>18</v>
      </c>
      <c r="I771" s="44" t="s">
        <v>431</v>
      </c>
      <c r="J771" s="44" t="s">
        <v>28</v>
      </c>
      <c r="K771" s="44" t="s">
        <v>432</v>
      </c>
      <c r="L771" s="44" t="s">
        <v>435</v>
      </c>
      <c r="M771" s="44" t="s">
        <v>62</v>
      </c>
      <c r="N771" s="44" t="str">
        <f>IF(ISERR(FIND("CONG",PRODUCTO_MI_AR68[[#This Row],[NOM PRODUCTO]])),"","CONGELADO")</f>
        <v>CONGELADO</v>
      </c>
      <c r="O771" s="46" t="s">
        <v>49</v>
      </c>
      <c r="P771"/>
      <c r="Q771" s="4"/>
      <c r="R771" s="4"/>
      <c r="S771" s="4"/>
      <c r="T771" s="4"/>
      <c r="U771" s="4"/>
    </row>
    <row r="772" spans="2:21" hidden="1" thickTop="1" thickBot="1" x14ac:dyDescent="0.3">
      <c r="B772" s="43">
        <v>100013352</v>
      </c>
      <c r="C772" s="44" t="s">
        <v>941</v>
      </c>
      <c r="D772" s="45"/>
      <c r="E772" s="45" t="s">
        <v>44</v>
      </c>
      <c r="F772" s="44" t="s">
        <v>16</v>
      </c>
      <c r="G772" s="44" t="s">
        <v>17</v>
      </c>
      <c r="H772" s="44" t="s">
        <v>18</v>
      </c>
      <c r="I772" s="44" t="s">
        <v>431</v>
      </c>
      <c r="J772" s="44" t="s">
        <v>28</v>
      </c>
      <c r="K772" s="44" t="s">
        <v>432</v>
      </c>
      <c r="L772" s="44" t="s">
        <v>939</v>
      </c>
      <c r="M772" s="44" t="s">
        <v>62</v>
      </c>
      <c r="N772" s="44" t="str">
        <f>IF(ISERR(FIND("CONG",PRODUCTO_MI_AR68[[#This Row],[NOM PRODUCTO]])),"","CONGELADO")</f>
        <v>CONGELADO</v>
      </c>
      <c r="O772" s="46" t="s">
        <v>24</v>
      </c>
      <c r="P772"/>
      <c r="Q772" s="4"/>
      <c r="R772" s="4"/>
      <c r="S772" s="4"/>
      <c r="T772" s="4"/>
      <c r="U772" s="4"/>
    </row>
    <row r="773" spans="2:21" ht="18" hidden="1" customHeight="1" thickTop="1" thickBot="1" x14ac:dyDescent="0.3">
      <c r="B773" s="43">
        <v>100013053</v>
      </c>
      <c r="C773" s="44" t="s">
        <v>942</v>
      </c>
      <c r="D773" s="45" t="s">
        <v>43</v>
      </c>
      <c r="E773" s="45" t="s">
        <v>44</v>
      </c>
      <c r="F773" s="44" t="s">
        <v>16</v>
      </c>
      <c r="G773" s="44" t="s">
        <v>17</v>
      </c>
      <c r="H773" s="44" t="s">
        <v>18</v>
      </c>
      <c r="I773" s="44" t="s">
        <v>431</v>
      </c>
      <c r="J773" s="44" t="s">
        <v>28</v>
      </c>
      <c r="K773" s="44" t="s">
        <v>432</v>
      </c>
      <c r="L773" s="44" t="s">
        <v>939</v>
      </c>
      <c r="M773" s="44" t="s">
        <v>62</v>
      </c>
      <c r="N773" s="44" t="str">
        <f>IF(ISERR(FIND("CONG",PRODUCTO_MI_AR68[[#This Row],[NOM PRODUCTO]])),"","CONGELADO")</f>
        <v>CONGELADO</v>
      </c>
      <c r="O773" s="46" t="s">
        <v>24</v>
      </c>
      <c r="P773"/>
      <c r="Q773" s="4"/>
      <c r="R773" s="4"/>
      <c r="S773" s="4"/>
      <c r="T773" s="4"/>
      <c r="U773" s="4"/>
    </row>
    <row r="774" spans="2:21" hidden="1" thickTop="1" thickBot="1" x14ac:dyDescent="0.3">
      <c r="B774" s="43">
        <v>100518058</v>
      </c>
      <c r="C774" s="44" t="s">
        <v>943</v>
      </c>
      <c r="D774" s="45"/>
      <c r="E774" s="45" t="s">
        <v>44</v>
      </c>
      <c r="F774" s="44" t="s">
        <v>16</v>
      </c>
      <c r="G774" s="44" t="s">
        <v>17</v>
      </c>
      <c r="H774" s="44" t="s">
        <v>18</v>
      </c>
      <c r="I774" s="44" t="s">
        <v>431</v>
      </c>
      <c r="J774" s="44" t="s">
        <v>28</v>
      </c>
      <c r="K774" s="44" t="s">
        <v>432</v>
      </c>
      <c r="L774" s="44" t="s">
        <v>435</v>
      </c>
      <c r="M774" s="44" t="s">
        <v>62</v>
      </c>
      <c r="N774" s="44" t="str">
        <f>IF(ISERR(FIND("CONG",PRODUCTO_MI_AR68[[#This Row],[NOM PRODUCTO]])),"","CONGELADO")</f>
        <v>CONGELADO</v>
      </c>
      <c r="O774" s="46" t="s">
        <v>24</v>
      </c>
      <c r="P774"/>
      <c r="Q774" s="4"/>
      <c r="R774" s="4"/>
      <c r="S774" s="4"/>
      <c r="T774" s="4"/>
      <c r="U774" s="4"/>
    </row>
    <row r="775" spans="2:21" hidden="1" thickTop="1" thickBot="1" x14ac:dyDescent="0.3">
      <c r="B775" s="43">
        <v>100517742</v>
      </c>
      <c r="C775" s="44" t="s">
        <v>944</v>
      </c>
      <c r="D775" s="45"/>
      <c r="E775" s="45" t="s">
        <v>44</v>
      </c>
      <c r="F775" s="44" t="s">
        <v>16</v>
      </c>
      <c r="G775" s="44" t="s">
        <v>17</v>
      </c>
      <c r="H775" s="44" t="s">
        <v>18</v>
      </c>
      <c r="I775" s="44" t="s">
        <v>19</v>
      </c>
      <c r="J775" s="44" t="s">
        <v>20</v>
      </c>
      <c r="K775" s="44" t="s">
        <v>407</v>
      </c>
      <c r="L775" s="44" t="s">
        <v>945</v>
      </c>
      <c r="M775" s="44" t="s">
        <v>73</v>
      </c>
      <c r="N775" s="44" t="str">
        <f>IF(ISERR(FIND("CONG",PRODUCTO_MI_AR68[[#This Row],[NOM PRODUCTO]])),"","CONGELADO")</f>
        <v>CONGELADO</v>
      </c>
      <c r="O775" s="46" t="s">
        <v>58</v>
      </c>
      <c r="P775"/>
      <c r="Q775" s="4"/>
      <c r="R775" s="4"/>
      <c r="S775" s="4"/>
      <c r="T775" s="4"/>
      <c r="U775" s="4"/>
    </row>
    <row r="776" spans="2:21" hidden="1" thickTop="1" thickBot="1" x14ac:dyDescent="0.3">
      <c r="B776" s="43">
        <v>100518872</v>
      </c>
      <c r="C776" s="44" t="s">
        <v>946</v>
      </c>
      <c r="D776" s="45"/>
      <c r="E776" s="45" t="s">
        <v>15</v>
      </c>
      <c r="F776" s="44" t="s">
        <v>16</v>
      </c>
      <c r="G776" s="44" t="s">
        <v>17</v>
      </c>
      <c r="H776" s="44" t="s">
        <v>18</v>
      </c>
      <c r="I776" s="44" t="s">
        <v>319</v>
      </c>
      <c r="J776" s="44" t="s">
        <v>28</v>
      </c>
      <c r="K776" s="44" t="s">
        <v>320</v>
      </c>
      <c r="L776" s="44" t="s">
        <v>947</v>
      </c>
      <c r="M776" s="44" t="s">
        <v>62</v>
      </c>
      <c r="N776" s="44" t="str">
        <f>IF(ISERR(FIND("CONG",PRODUCTO_MI_AR68[[#This Row],[NOM PRODUCTO]])),"","CONGELADO")</f>
        <v>CONGELADO</v>
      </c>
      <c r="O776" s="46" t="s">
        <v>24</v>
      </c>
      <c r="P776"/>
      <c r="Q776" s="4"/>
      <c r="R776" s="4"/>
      <c r="S776" s="4"/>
      <c r="T776" s="4"/>
      <c r="U776" s="4"/>
    </row>
    <row r="777" spans="2:21" hidden="1" thickTop="1" thickBot="1" x14ac:dyDescent="0.3">
      <c r="B777" s="43">
        <v>100517594</v>
      </c>
      <c r="C777" s="44" t="s">
        <v>948</v>
      </c>
      <c r="D777" s="45"/>
      <c r="E777" s="45" t="s">
        <v>44</v>
      </c>
      <c r="F777" s="44" t="s">
        <v>16</v>
      </c>
      <c r="G777" s="44" t="s">
        <v>17</v>
      </c>
      <c r="H777" s="44" t="s">
        <v>18</v>
      </c>
      <c r="I777" s="44" t="s">
        <v>319</v>
      </c>
      <c r="J777" s="44" t="s">
        <v>20</v>
      </c>
      <c r="K777" s="44" t="s">
        <v>320</v>
      </c>
      <c r="L777" s="44" t="s">
        <v>947</v>
      </c>
      <c r="M777" s="44" t="s">
        <v>73</v>
      </c>
      <c r="N777" s="44" t="str">
        <f>IF(ISERR(FIND("CONG",PRODUCTO_MI_AR68[[#This Row],[NOM PRODUCTO]])),"","CONGELADO")</f>
        <v>CONGELADO</v>
      </c>
      <c r="O777" s="46" t="s">
        <v>24</v>
      </c>
      <c r="P777"/>
      <c r="Q777" s="4"/>
      <c r="R777" s="4"/>
      <c r="S777" s="4"/>
      <c r="T777" s="4"/>
      <c r="U777" s="4"/>
    </row>
    <row r="778" spans="2:21" hidden="1" thickTop="1" thickBot="1" x14ac:dyDescent="0.3">
      <c r="B778" s="43">
        <v>100016167</v>
      </c>
      <c r="C778" s="44" t="s">
        <v>949</v>
      </c>
      <c r="D778" s="45"/>
      <c r="E778" s="45" t="s">
        <v>44</v>
      </c>
      <c r="F778" s="44" t="s">
        <v>16</v>
      </c>
      <c r="G778" s="44" t="s">
        <v>17</v>
      </c>
      <c r="H778" s="44" t="s">
        <v>18</v>
      </c>
      <c r="I778" s="44" t="s">
        <v>319</v>
      </c>
      <c r="J778" s="44" t="s">
        <v>28</v>
      </c>
      <c r="K778" s="44" t="s">
        <v>320</v>
      </c>
      <c r="L778" s="44" t="s">
        <v>947</v>
      </c>
      <c r="M778" s="44" t="s">
        <v>62</v>
      </c>
      <c r="N778" s="44" t="str">
        <f>IF(ISERR(FIND("CONG",PRODUCTO_MI_AR68[[#This Row],[NOM PRODUCTO]])),"","CONGELADO")</f>
        <v>CONGELADO</v>
      </c>
      <c r="O778" s="46" t="s">
        <v>98</v>
      </c>
      <c r="P778"/>
      <c r="Q778" s="4"/>
      <c r="R778" s="4"/>
      <c r="S778" s="4"/>
      <c r="T778" s="4"/>
      <c r="U778" s="4"/>
    </row>
    <row r="779" spans="2:21" hidden="1" thickTop="1" thickBot="1" x14ac:dyDescent="0.3">
      <c r="B779" s="43">
        <v>100519316</v>
      </c>
      <c r="C779" s="44" t="s">
        <v>950</v>
      </c>
      <c r="D779" s="45"/>
      <c r="E779" s="45" t="str">
        <f>IF(ISERR(FIND("AFRICA",PRODUCTO_MI_AR68[[#This Row],[NOM PRODUCTO]])),"","ME")</f>
        <v>ME</v>
      </c>
      <c r="F779" s="44" t="s">
        <v>16</v>
      </c>
      <c r="G779" s="44" t="s">
        <v>17</v>
      </c>
      <c r="H779" s="44" t="s">
        <v>18</v>
      </c>
      <c r="I779" s="44" t="s">
        <v>319</v>
      </c>
      <c r="J779" s="44" t="s">
        <v>28</v>
      </c>
      <c r="K779" s="44" t="s">
        <v>320</v>
      </c>
      <c r="L779" s="44" t="s">
        <v>947</v>
      </c>
      <c r="M779" s="44" t="s">
        <v>29</v>
      </c>
      <c r="N779" s="44" t="str">
        <f>IF(ISERR(FIND("CONG",PRODUCTO_MI_AR68[[#This Row],[NOM PRODUCTO]])),"","CONGELADO")</f>
        <v>CONGELADO</v>
      </c>
      <c r="O779" s="46" t="s">
        <v>24</v>
      </c>
      <c r="P779"/>
      <c r="Q779" s="4"/>
      <c r="R779" s="4"/>
      <c r="S779" s="4"/>
      <c r="T779" s="4"/>
      <c r="U779" s="4"/>
    </row>
    <row r="780" spans="2:21" hidden="1" thickTop="1" thickBot="1" x14ac:dyDescent="0.3">
      <c r="B780" s="43">
        <v>100016024</v>
      </c>
      <c r="C780" s="44" t="s">
        <v>951</v>
      </c>
      <c r="D780" s="45"/>
      <c r="E780" s="45" t="str">
        <f>IF(ISERR(FIND("CLL",PRODUCTO_MI_AR68[[#This Row],[NOM PRODUCTO]])),"","ME")</f>
        <v>ME</v>
      </c>
      <c r="F780" s="44" t="s">
        <v>16</v>
      </c>
      <c r="G780" s="44" t="s">
        <v>17</v>
      </c>
      <c r="H780" s="44" t="s">
        <v>18</v>
      </c>
      <c r="I780" s="44" t="s">
        <v>319</v>
      </c>
      <c r="J780" s="44" t="s">
        <v>20</v>
      </c>
      <c r="K780" s="44" t="s">
        <v>320</v>
      </c>
      <c r="L780" s="44" t="s">
        <v>947</v>
      </c>
      <c r="M780" s="44" t="s">
        <v>22</v>
      </c>
      <c r="N780" s="44" t="str">
        <f>IF(ISERR(FIND("CONG",PRODUCTO_MI_AR68[[#This Row],[NOM PRODUCTO]])),"","CONGELADO")</f>
        <v>CONGELADO</v>
      </c>
      <c r="O780" s="46" t="s">
        <v>24</v>
      </c>
      <c r="P780"/>
      <c r="Q780" s="4"/>
      <c r="R780" s="4"/>
      <c r="S780" s="4"/>
      <c r="T780" s="4"/>
      <c r="U780" s="4"/>
    </row>
    <row r="781" spans="2:21" hidden="1" thickTop="1" thickBot="1" x14ac:dyDescent="0.3">
      <c r="B781" s="43">
        <v>100016335</v>
      </c>
      <c r="C781" s="44" t="s">
        <v>952</v>
      </c>
      <c r="D781" s="45"/>
      <c r="E781" s="45" t="s">
        <v>44</v>
      </c>
      <c r="F781" s="44" t="s">
        <v>16</v>
      </c>
      <c r="G781" s="44" t="s">
        <v>17</v>
      </c>
      <c r="H781" s="44" t="s">
        <v>18</v>
      </c>
      <c r="I781" s="44" t="s">
        <v>319</v>
      </c>
      <c r="J781" s="44" t="s">
        <v>28</v>
      </c>
      <c r="K781" s="44" t="s">
        <v>320</v>
      </c>
      <c r="L781" s="44" t="s">
        <v>947</v>
      </c>
      <c r="M781" s="44" t="s">
        <v>57</v>
      </c>
      <c r="N781" s="44" t="str">
        <f>IF(ISERR(FIND("CONG",PRODUCTO_MI_AR68[[#This Row],[NOM PRODUCTO]])),"","CONGELADO")</f>
        <v>CONGELADO</v>
      </c>
      <c r="O781" s="46" t="s">
        <v>24</v>
      </c>
      <c r="P781"/>
      <c r="Q781" s="4"/>
      <c r="R781" s="4"/>
      <c r="S781" s="4"/>
      <c r="T781" s="4"/>
      <c r="U781" s="4"/>
    </row>
    <row r="782" spans="2:21" hidden="1" thickTop="1" thickBot="1" x14ac:dyDescent="0.3">
      <c r="B782" s="43">
        <v>100012904</v>
      </c>
      <c r="C782" s="44" t="s">
        <v>953</v>
      </c>
      <c r="D782" s="45"/>
      <c r="E782" s="45" t="s">
        <v>44</v>
      </c>
      <c r="F782" s="44" t="s">
        <v>16</v>
      </c>
      <c r="G782" s="44" t="s">
        <v>17</v>
      </c>
      <c r="H782" s="44" t="s">
        <v>18</v>
      </c>
      <c r="I782" s="44" t="s">
        <v>46</v>
      </c>
      <c r="J782" s="44" t="s">
        <v>28</v>
      </c>
      <c r="K782" s="44" t="s">
        <v>954</v>
      </c>
      <c r="L782" s="44" t="s">
        <v>954</v>
      </c>
      <c r="M782" s="44" t="s">
        <v>57</v>
      </c>
      <c r="N782" s="44" t="str">
        <f>IF(ISERR(FIND("CONG",PRODUCTO_MI_AR68[[#This Row],[NOM PRODUCTO]])),"","CONGELADO")</f>
        <v>CONGELADO</v>
      </c>
      <c r="O782" s="46" t="s">
        <v>49</v>
      </c>
      <c r="P782"/>
      <c r="Q782" s="4"/>
      <c r="R782" s="4"/>
      <c r="S782" s="4"/>
      <c r="T782" s="4"/>
      <c r="U782" s="4"/>
    </row>
    <row r="783" spans="2:21" hidden="1" thickTop="1" thickBot="1" x14ac:dyDescent="0.3">
      <c r="B783" s="43">
        <v>100518335</v>
      </c>
      <c r="C783" s="44" t="s">
        <v>955</v>
      </c>
      <c r="D783" s="45" t="s">
        <v>43</v>
      </c>
      <c r="E783" s="45" t="s">
        <v>44</v>
      </c>
      <c r="F783" s="44" t="s">
        <v>16</v>
      </c>
      <c r="G783" s="44" t="s">
        <v>17</v>
      </c>
      <c r="H783" s="44" t="s">
        <v>18</v>
      </c>
      <c r="I783" s="44" t="s">
        <v>46</v>
      </c>
      <c r="J783" s="44" t="s">
        <v>28</v>
      </c>
      <c r="K783" s="44" t="s">
        <v>954</v>
      </c>
      <c r="L783" s="44" t="s">
        <v>954</v>
      </c>
      <c r="M783" s="44" t="s">
        <v>57</v>
      </c>
      <c r="N783" s="44" t="s">
        <v>23</v>
      </c>
      <c r="O783" s="46" t="s">
        <v>49</v>
      </c>
      <c r="P783"/>
      <c r="Q783" s="4"/>
      <c r="R783" s="4"/>
      <c r="S783" s="4"/>
      <c r="T783" s="4"/>
      <c r="U783" s="4"/>
    </row>
    <row r="784" spans="2:21" hidden="1" thickTop="1" thickBot="1" x14ac:dyDescent="0.3">
      <c r="B784" s="43">
        <v>100010818</v>
      </c>
      <c r="C784" s="44" t="s">
        <v>956</v>
      </c>
      <c r="D784" s="45"/>
      <c r="E784" s="45" t="s">
        <v>44</v>
      </c>
      <c r="F784" s="44" t="s">
        <v>16</v>
      </c>
      <c r="G784" s="44" t="s">
        <v>17</v>
      </c>
      <c r="H784" s="44" t="s">
        <v>18</v>
      </c>
      <c r="I784" s="44" t="s">
        <v>46</v>
      </c>
      <c r="J784" s="44" t="s">
        <v>28</v>
      </c>
      <c r="K784" s="44" t="s">
        <v>954</v>
      </c>
      <c r="L784" s="44" t="s">
        <v>954</v>
      </c>
      <c r="M784" s="44" t="s">
        <v>57</v>
      </c>
      <c r="N784" s="44" t="s">
        <v>23</v>
      </c>
      <c r="O784" s="46" t="s">
        <v>49</v>
      </c>
      <c r="P784"/>
      <c r="Q784" s="4"/>
      <c r="R784" s="4"/>
      <c r="S784" s="4"/>
      <c r="T784" s="4"/>
      <c r="U784" s="4"/>
    </row>
    <row r="785" spans="2:21" hidden="1" thickTop="1" thickBot="1" x14ac:dyDescent="0.3">
      <c r="B785" s="43">
        <v>100013141</v>
      </c>
      <c r="C785" s="44" t="s">
        <v>957</v>
      </c>
      <c r="D785" s="45"/>
      <c r="E785" s="45" t="str">
        <f>IF(ISERR(FIND("(L)",PRODUCTO_MI_AR68[[#This Row],[NOM PRODUCTO]])),"","MI")</f>
        <v>MI</v>
      </c>
      <c r="F785" s="44" t="s">
        <v>16</v>
      </c>
      <c r="G785" s="44" t="s">
        <v>17</v>
      </c>
      <c r="H785" s="44" t="s">
        <v>18</v>
      </c>
      <c r="I785" s="44" t="s">
        <v>46</v>
      </c>
      <c r="J785" s="44" t="s">
        <v>28</v>
      </c>
      <c r="K785" s="44" t="s">
        <v>954</v>
      </c>
      <c r="L785" s="44" t="s">
        <v>954</v>
      </c>
      <c r="M785" s="44" t="s">
        <v>57</v>
      </c>
      <c r="N785" s="44" t="s">
        <v>23</v>
      </c>
      <c r="O785" s="46" t="s">
        <v>49</v>
      </c>
      <c r="P785"/>
      <c r="Q785" s="4"/>
      <c r="R785" s="4"/>
      <c r="S785" s="4"/>
      <c r="T785" s="4"/>
      <c r="U785" s="4"/>
    </row>
    <row r="786" spans="2:21" hidden="1" thickTop="1" thickBot="1" x14ac:dyDescent="0.3">
      <c r="B786" s="43">
        <v>100519498</v>
      </c>
      <c r="C786" s="44" t="s">
        <v>958</v>
      </c>
      <c r="D786" s="45"/>
      <c r="E786" s="45" t="s">
        <v>44</v>
      </c>
      <c r="F786" s="44" t="s">
        <v>16</v>
      </c>
      <c r="G786" s="44" t="s">
        <v>17</v>
      </c>
      <c r="H786" s="44" t="s">
        <v>18</v>
      </c>
      <c r="I786" s="44" t="s">
        <v>431</v>
      </c>
      <c r="J786" s="44" t="s">
        <v>28</v>
      </c>
      <c r="K786" s="44" t="s">
        <v>432</v>
      </c>
      <c r="L786" s="44" t="s">
        <v>959</v>
      </c>
      <c r="M786" s="44" t="s">
        <v>62</v>
      </c>
      <c r="N786" s="44" t="str">
        <f>IF(ISERR(FIND("CONG",PRODUCTO_MI_AR68[[#This Row],[NOM PRODUCTO]])),"","CONGELADO")</f>
        <v>CONGELADO</v>
      </c>
      <c r="O786" s="46" t="s">
        <v>98</v>
      </c>
      <c r="P786"/>
      <c r="Q786" s="4"/>
      <c r="R786" s="4"/>
      <c r="S786" s="4"/>
      <c r="T786" s="4"/>
      <c r="U786" s="4"/>
    </row>
    <row r="787" spans="2:21" hidden="1" thickTop="1" thickBot="1" x14ac:dyDescent="0.3">
      <c r="B787" s="43">
        <v>100026223</v>
      </c>
      <c r="C787" s="44" t="s">
        <v>960</v>
      </c>
      <c r="D787" s="45"/>
      <c r="E787" s="45" t="s">
        <v>44</v>
      </c>
      <c r="F787" s="44" t="s">
        <v>16</v>
      </c>
      <c r="G787" s="44" t="s">
        <v>17</v>
      </c>
      <c r="H787" s="44" t="s">
        <v>18</v>
      </c>
      <c r="I787" s="44" t="s">
        <v>101</v>
      </c>
      <c r="J787" s="44" t="s">
        <v>28</v>
      </c>
      <c r="K787" s="44" t="s">
        <v>356</v>
      </c>
      <c r="L787" s="44" t="s">
        <v>961</v>
      </c>
      <c r="M787" s="44" t="s">
        <v>57</v>
      </c>
      <c r="N787" s="44" t="s">
        <v>193</v>
      </c>
      <c r="O787" s="46" t="s">
        <v>24</v>
      </c>
      <c r="P787"/>
      <c r="Q787" s="4"/>
      <c r="R787" s="4"/>
      <c r="S787" s="4"/>
      <c r="T787" s="4"/>
      <c r="U787" s="4"/>
    </row>
    <row r="788" spans="2:21" hidden="1" thickTop="1" thickBot="1" x14ac:dyDescent="0.3">
      <c r="B788" s="43">
        <v>100022087</v>
      </c>
      <c r="C788" s="44" t="s">
        <v>962</v>
      </c>
      <c r="D788" s="45" t="s">
        <v>212</v>
      </c>
      <c r="E788" s="45" t="s">
        <v>44</v>
      </c>
      <c r="F788" s="44" t="s">
        <v>228</v>
      </c>
      <c r="G788" s="44" t="s">
        <v>17</v>
      </c>
      <c r="H788" s="44" t="s">
        <v>338</v>
      </c>
      <c r="I788" s="44" t="s">
        <v>46</v>
      </c>
      <c r="J788" s="44" t="s">
        <v>28</v>
      </c>
      <c r="K788" s="44" t="s">
        <v>559</v>
      </c>
      <c r="L788" s="44" t="s">
        <v>560</v>
      </c>
      <c r="M788" s="44" t="s">
        <v>490</v>
      </c>
      <c r="N788" s="44" t="s">
        <v>23</v>
      </c>
      <c r="O788" s="46" t="s">
        <v>49</v>
      </c>
      <c r="P788"/>
      <c r="Q788" s="4"/>
      <c r="R788" s="4"/>
      <c r="S788" s="4"/>
      <c r="T788" s="4"/>
      <c r="U788" s="4"/>
    </row>
    <row r="789" spans="2:21" hidden="1" thickTop="1" thickBot="1" x14ac:dyDescent="0.3">
      <c r="B789" s="43">
        <v>100022085</v>
      </c>
      <c r="C789" s="44" t="s">
        <v>963</v>
      </c>
      <c r="D789" s="45" t="s">
        <v>43</v>
      </c>
      <c r="E789" s="45" t="s">
        <v>44</v>
      </c>
      <c r="F789" s="44" t="s">
        <v>16</v>
      </c>
      <c r="G789" s="44" t="s">
        <v>17</v>
      </c>
      <c r="H789" s="44" t="s">
        <v>338</v>
      </c>
      <c r="I789" s="44" t="s">
        <v>46</v>
      </c>
      <c r="J789" s="44" t="s">
        <v>28</v>
      </c>
      <c r="K789" s="44" t="s">
        <v>559</v>
      </c>
      <c r="L789" s="44" t="s">
        <v>560</v>
      </c>
      <c r="M789" s="44" t="s">
        <v>57</v>
      </c>
      <c r="N789" s="44" t="s">
        <v>23</v>
      </c>
      <c r="O789" s="46" t="s">
        <v>49</v>
      </c>
      <c r="P789"/>
      <c r="Q789" s="4"/>
      <c r="R789" s="4"/>
      <c r="S789" s="4"/>
      <c r="T789" s="4"/>
      <c r="U789" s="4"/>
    </row>
    <row r="790" spans="2:21" hidden="1" thickTop="1" thickBot="1" x14ac:dyDescent="0.3">
      <c r="B790" s="43">
        <v>100522204</v>
      </c>
      <c r="C790" s="44" t="s">
        <v>963</v>
      </c>
      <c r="D790" s="45"/>
      <c r="E790" s="45" t="s">
        <v>44</v>
      </c>
      <c r="F790" s="44" t="s">
        <v>16</v>
      </c>
      <c r="G790" s="44" t="s">
        <v>17</v>
      </c>
      <c r="H790" s="44" t="s">
        <v>338</v>
      </c>
      <c r="I790" s="44" t="s">
        <v>46</v>
      </c>
      <c r="J790" s="44" t="s">
        <v>28</v>
      </c>
      <c r="K790" s="44" t="s">
        <v>559</v>
      </c>
      <c r="L790" s="44" t="s">
        <v>560</v>
      </c>
      <c r="M790" s="44" t="s">
        <v>57</v>
      </c>
      <c r="N790" s="44" t="s">
        <v>23</v>
      </c>
      <c r="O790" s="46" t="s">
        <v>49</v>
      </c>
      <c r="P790"/>
      <c r="Q790" s="4"/>
      <c r="R790" s="4"/>
      <c r="S790" s="4"/>
      <c r="T790" s="4"/>
      <c r="U790" s="4"/>
    </row>
    <row r="791" spans="2:21" hidden="1" thickTop="1" thickBot="1" x14ac:dyDescent="0.3">
      <c r="B791" s="43">
        <v>100517532</v>
      </c>
      <c r="C791" s="44" t="s">
        <v>964</v>
      </c>
      <c r="D791" s="45" t="s">
        <v>212</v>
      </c>
      <c r="E791" s="45" t="s">
        <v>44</v>
      </c>
      <c r="F791" s="44" t="s">
        <v>16</v>
      </c>
      <c r="G791" s="44" t="s">
        <v>17</v>
      </c>
      <c r="H791" s="44" t="s">
        <v>338</v>
      </c>
      <c r="I791" s="44" t="s">
        <v>46</v>
      </c>
      <c r="J791" s="44" t="s">
        <v>28</v>
      </c>
      <c r="K791" s="44" t="s">
        <v>559</v>
      </c>
      <c r="L791" s="44" t="s">
        <v>560</v>
      </c>
      <c r="M791" s="44" t="s">
        <v>57</v>
      </c>
      <c r="N791" s="44" t="s">
        <v>23</v>
      </c>
      <c r="O791" s="46" t="s">
        <v>49</v>
      </c>
      <c r="P791"/>
      <c r="Q791" s="4"/>
      <c r="R791" s="4"/>
      <c r="S791" s="4"/>
      <c r="T791" s="4"/>
      <c r="U791" s="4"/>
    </row>
    <row r="792" spans="2:21" hidden="1" thickTop="1" thickBot="1" x14ac:dyDescent="0.3">
      <c r="B792" s="43">
        <v>100022014</v>
      </c>
      <c r="C792" s="44" t="s">
        <v>965</v>
      </c>
      <c r="D792" s="45" t="s">
        <v>212</v>
      </c>
      <c r="E792" s="45" t="s">
        <v>44</v>
      </c>
      <c r="F792" s="44" t="s">
        <v>228</v>
      </c>
      <c r="G792" s="44" t="s">
        <v>17</v>
      </c>
      <c r="H792" s="44" t="s">
        <v>338</v>
      </c>
      <c r="I792" s="44" t="s">
        <v>46</v>
      </c>
      <c r="J792" s="44" t="s">
        <v>28</v>
      </c>
      <c r="K792" s="44" t="s">
        <v>559</v>
      </c>
      <c r="L792" s="44" t="s">
        <v>560</v>
      </c>
      <c r="M792" s="44" t="s">
        <v>490</v>
      </c>
      <c r="N792" s="44" t="s">
        <v>23</v>
      </c>
      <c r="O792" s="46" t="s">
        <v>49</v>
      </c>
      <c r="P792"/>
      <c r="Q792" s="4"/>
      <c r="R792" s="4"/>
      <c r="S792" s="4"/>
      <c r="T792" s="4"/>
      <c r="U792" s="4"/>
    </row>
    <row r="793" spans="2:21" hidden="1" thickTop="1" thickBot="1" x14ac:dyDescent="0.3">
      <c r="B793" s="43">
        <v>100516731</v>
      </c>
      <c r="C793" s="44" t="s">
        <v>966</v>
      </c>
      <c r="D793" s="45" t="s">
        <v>43</v>
      </c>
      <c r="E793" s="45" t="s">
        <v>44</v>
      </c>
      <c r="F793" s="44" t="s">
        <v>16</v>
      </c>
      <c r="G793" s="44" t="s">
        <v>17</v>
      </c>
      <c r="H793" s="44" t="s">
        <v>338</v>
      </c>
      <c r="I793" s="44" t="s">
        <v>46</v>
      </c>
      <c r="J793" s="44" t="s">
        <v>28</v>
      </c>
      <c r="K793" s="44" t="s">
        <v>559</v>
      </c>
      <c r="L793" s="44" t="s">
        <v>560</v>
      </c>
      <c r="M793" s="44" t="s">
        <v>57</v>
      </c>
      <c r="N793" s="44" t="str">
        <f>IF(ISERR(FIND("CONG",PRODUCTO_MI_AR68[[#This Row],[NOM PRODUCTO]])),"","CONGELADO")</f>
        <v>CONGELADO</v>
      </c>
      <c r="O793" s="46" t="s">
        <v>49</v>
      </c>
      <c r="P793"/>
      <c r="Q793" s="4"/>
      <c r="R793" s="4"/>
      <c r="S793" s="4"/>
      <c r="T793" s="4"/>
      <c r="U793" s="4"/>
    </row>
    <row r="794" spans="2:21" ht="18" hidden="1" customHeight="1" thickTop="1" thickBot="1" x14ac:dyDescent="0.3">
      <c r="B794" s="43">
        <v>100022086</v>
      </c>
      <c r="C794" s="44" t="s">
        <v>967</v>
      </c>
      <c r="D794" s="45" t="s">
        <v>212</v>
      </c>
      <c r="E794" s="45" t="s">
        <v>44</v>
      </c>
      <c r="F794" s="44" t="s">
        <v>228</v>
      </c>
      <c r="G794" s="44" t="s">
        <v>17</v>
      </c>
      <c r="H794" s="44" t="s">
        <v>338</v>
      </c>
      <c r="I794" s="44" t="s">
        <v>46</v>
      </c>
      <c r="J794" s="44" t="s">
        <v>28</v>
      </c>
      <c r="K794" s="44" t="s">
        <v>559</v>
      </c>
      <c r="L794" s="44" t="s">
        <v>560</v>
      </c>
      <c r="M794" s="44" t="s">
        <v>490</v>
      </c>
      <c r="N794" s="44" t="s">
        <v>23</v>
      </c>
      <c r="O794" s="46" t="s">
        <v>49</v>
      </c>
      <c r="P794"/>
      <c r="Q794" s="4"/>
      <c r="R794" s="4"/>
      <c r="S794" s="4"/>
      <c r="T794" s="4"/>
      <c r="U794" s="4"/>
    </row>
    <row r="795" spans="2:21" ht="18" hidden="1" customHeight="1" thickTop="1" thickBot="1" x14ac:dyDescent="0.3">
      <c r="B795" s="43">
        <v>100022039</v>
      </c>
      <c r="C795" s="44" t="s">
        <v>968</v>
      </c>
      <c r="D795" s="45" t="s">
        <v>43</v>
      </c>
      <c r="E795" s="45" t="s">
        <v>44</v>
      </c>
      <c r="F795" s="44" t="s">
        <v>16</v>
      </c>
      <c r="G795" s="44" t="s">
        <v>17</v>
      </c>
      <c r="H795" s="44" t="s">
        <v>338</v>
      </c>
      <c r="I795" s="44" t="s">
        <v>46</v>
      </c>
      <c r="J795" s="44" t="s">
        <v>28</v>
      </c>
      <c r="K795" s="44" t="s">
        <v>559</v>
      </c>
      <c r="L795" s="44" t="s">
        <v>560</v>
      </c>
      <c r="M795" s="44" t="s">
        <v>57</v>
      </c>
      <c r="N795" s="44" t="s">
        <v>23</v>
      </c>
      <c r="O795" s="46" t="s">
        <v>49</v>
      </c>
      <c r="P795"/>
      <c r="Q795" s="4"/>
      <c r="R795" s="4"/>
      <c r="S795" s="4"/>
      <c r="T795" s="4"/>
      <c r="U795" s="4"/>
    </row>
    <row r="796" spans="2:21" hidden="1" thickTop="1" thickBot="1" x14ac:dyDescent="0.3">
      <c r="B796" s="43">
        <v>100022080</v>
      </c>
      <c r="C796" s="44" t="s">
        <v>969</v>
      </c>
      <c r="D796" s="45" t="s">
        <v>43</v>
      </c>
      <c r="E796" s="45" t="s">
        <v>44</v>
      </c>
      <c r="F796" s="44" t="s">
        <v>228</v>
      </c>
      <c r="G796" s="44" t="s">
        <v>17</v>
      </c>
      <c r="H796" s="44" t="s">
        <v>338</v>
      </c>
      <c r="I796" s="44" t="s">
        <v>46</v>
      </c>
      <c r="J796" s="44" t="s">
        <v>28</v>
      </c>
      <c r="K796" s="44" t="s">
        <v>559</v>
      </c>
      <c r="L796" s="44" t="s">
        <v>560</v>
      </c>
      <c r="M796" s="44" t="s">
        <v>487</v>
      </c>
      <c r="N796" s="44" t="s">
        <v>23</v>
      </c>
      <c r="O796" s="46" t="s">
        <v>49</v>
      </c>
      <c r="P796"/>
      <c r="Q796" s="4"/>
      <c r="R796" s="4"/>
      <c r="S796" s="4"/>
      <c r="T796" s="4"/>
      <c r="U796" s="4"/>
    </row>
    <row r="797" spans="2:21" hidden="1" thickTop="1" thickBot="1" x14ac:dyDescent="0.3">
      <c r="B797" s="43">
        <v>100022089</v>
      </c>
      <c r="C797" s="44" t="s">
        <v>970</v>
      </c>
      <c r="D797" s="45" t="s">
        <v>43</v>
      </c>
      <c r="E797" s="45" t="s">
        <v>44</v>
      </c>
      <c r="F797" s="44" t="s">
        <v>228</v>
      </c>
      <c r="G797" s="44" t="s">
        <v>17</v>
      </c>
      <c r="H797" s="44" t="s">
        <v>338</v>
      </c>
      <c r="I797" s="44" t="s">
        <v>46</v>
      </c>
      <c r="J797" s="44" t="s">
        <v>28</v>
      </c>
      <c r="K797" s="44" t="s">
        <v>559</v>
      </c>
      <c r="L797" s="44" t="s">
        <v>560</v>
      </c>
      <c r="M797" s="44" t="s">
        <v>487</v>
      </c>
      <c r="N797" s="44" t="s">
        <v>23</v>
      </c>
      <c r="O797" s="46" t="s">
        <v>49</v>
      </c>
      <c r="P797"/>
      <c r="Q797" s="4"/>
      <c r="R797" s="4"/>
      <c r="S797" s="4"/>
      <c r="T797" s="4"/>
      <c r="U797" s="4"/>
    </row>
    <row r="798" spans="2:21" ht="18" hidden="1" customHeight="1" thickTop="1" thickBot="1" x14ac:dyDescent="0.3">
      <c r="B798" s="43">
        <v>100022081</v>
      </c>
      <c r="C798" s="44" t="s">
        <v>971</v>
      </c>
      <c r="D798" s="45" t="s">
        <v>43</v>
      </c>
      <c r="E798" s="45" t="s">
        <v>44</v>
      </c>
      <c r="F798" s="44" t="s">
        <v>228</v>
      </c>
      <c r="G798" s="44" t="s">
        <v>17</v>
      </c>
      <c r="H798" s="44" t="s">
        <v>338</v>
      </c>
      <c r="I798" s="44" t="s">
        <v>46</v>
      </c>
      <c r="J798" s="44" t="s">
        <v>28</v>
      </c>
      <c r="K798" s="44" t="s">
        <v>559</v>
      </c>
      <c r="L798" s="44" t="s">
        <v>560</v>
      </c>
      <c r="M798" s="44" t="s">
        <v>487</v>
      </c>
      <c r="N798" s="44" t="s">
        <v>23</v>
      </c>
      <c r="O798" s="46" t="s">
        <v>49</v>
      </c>
      <c r="P798"/>
      <c r="Q798" s="4"/>
      <c r="R798" s="4"/>
      <c r="S798" s="4"/>
      <c r="T798" s="4"/>
      <c r="U798" s="4"/>
    </row>
    <row r="799" spans="2:21" hidden="1" thickTop="1" thickBot="1" x14ac:dyDescent="0.3">
      <c r="B799" s="43">
        <v>100522206</v>
      </c>
      <c r="C799" s="44" t="s">
        <v>972</v>
      </c>
      <c r="D799" s="45"/>
      <c r="E799" s="45" t="s">
        <v>44</v>
      </c>
      <c r="F799" s="44" t="s">
        <v>16</v>
      </c>
      <c r="G799" s="44" t="s">
        <v>17</v>
      </c>
      <c r="H799" s="44" t="s">
        <v>338</v>
      </c>
      <c r="I799" s="44" t="s">
        <v>46</v>
      </c>
      <c r="J799" s="44" t="s">
        <v>28</v>
      </c>
      <c r="K799" s="44" t="s">
        <v>559</v>
      </c>
      <c r="L799" s="44" t="s">
        <v>560</v>
      </c>
      <c r="M799" s="44" t="s">
        <v>57</v>
      </c>
      <c r="N799" s="44" t="s">
        <v>23</v>
      </c>
      <c r="O799" s="46" t="s">
        <v>49</v>
      </c>
      <c r="P799"/>
      <c r="Q799" s="4"/>
      <c r="R799" s="4"/>
      <c r="S799" s="4"/>
      <c r="T799" s="4"/>
      <c r="U799" s="4"/>
    </row>
    <row r="800" spans="2:21" hidden="1" thickTop="1" thickBot="1" x14ac:dyDescent="0.3">
      <c r="B800" s="43">
        <v>100022058</v>
      </c>
      <c r="C800" s="44" t="s">
        <v>973</v>
      </c>
      <c r="D800" s="45" t="s">
        <v>43</v>
      </c>
      <c r="E800" s="45" t="s">
        <v>44</v>
      </c>
      <c r="F800" s="44" t="s">
        <v>228</v>
      </c>
      <c r="G800" s="44" t="s">
        <v>17</v>
      </c>
      <c r="H800" s="44" t="s">
        <v>338</v>
      </c>
      <c r="I800" s="44" t="s">
        <v>46</v>
      </c>
      <c r="J800" s="44" t="s">
        <v>28</v>
      </c>
      <c r="K800" s="44" t="s">
        <v>559</v>
      </c>
      <c r="L800" s="44" t="s">
        <v>560</v>
      </c>
      <c r="M800" s="44" t="s">
        <v>229</v>
      </c>
      <c r="N800" s="44" t="s">
        <v>23</v>
      </c>
      <c r="O800" s="46" t="s">
        <v>49</v>
      </c>
      <c r="P800"/>
      <c r="Q800" s="4"/>
      <c r="R800" s="4"/>
      <c r="S800" s="4"/>
      <c r="T800" s="4"/>
      <c r="U800" s="4"/>
    </row>
    <row r="801" spans="2:21" hidden="1" thickTop="1" thickBot="1" x14ac:dyDescent="0.3">
      <c r="B801" s="43">
        <v>100516363</v>
      </c>
      <c r="C801" s="44" t="s">
        <v>974</v>
      </c>
      <c r="D801" s="45" t="s">
        <v>212</v>
      </c>
      <c r="E801" s="45" t="s">
        <v>44</v>
      </c>
      <c r="F801" s="44" t="s">
        <v>228</v>
      </c>
      <c r="G801" s="44" t="s">
        <v>17</v>
      </c>
      <c r="H801" s="44" t="s">
        <v>338</v>
      </c>
      <c r="I801" s="44" t="s">
        <v>46</v>
      </c>
      <c r="J801" s="44" t="s">
        <v>28</v>
      </c>
      <c r="K801" s="44" t="s">
        <v>559</v>
      </c>
      <c r="L801" s="44" t="s">
        <v>560</v>
      </c>
      <c r="M801" s="44" t="s">
        <v>975</v>
      </c>
      <c r="N801" s="44" t="s">
        <v>23</v>
      </c>
      <c r="O801" s="46" t="s">
        <v>49</v>
      </c>
      <c r="P801"/>
      <c r="Q801" s="4"/>
      <c r="R801" s="4"/>
      <c r="S801" s="4"/>
      <c r="T801" s="4"/>
      <c r="U801" s="4"/>
    </row>
    <row r="802" spans="2:21" hidden="1" thickTop="1" thickBot="1" x14ac:dyDescent="0.3">
      <c r="B802" s="43">
        <v>100516849</v>
      </c>
      <c r="C802" s="44" t="s">
        <v>976</v>
      </c>
      <c r="D802" s="45" t="s">
        <v>43</v>
      </c>
      <c r="E802" s="45" t="s">
        <v>44</v>
      </c>
      <c r="F802" s="44" t="s">
        <v>16</v>
      </c>
      <c r="G802" s="44" t="s">
        <v>17</v>
      </c>
      <c r="H802" s="44" t="s">
        <v>338</v>
      </c>
      <c r="I802" s="44" t="s">
        <v>46</v>
      </c>
      <c r="J802" s="44" t="s">
        <v>28</v>
      </c>
      <c r="K802" s="44" t="s">
        <v>559</v>
      </c>
      <c r="L802" s="44" t="s">
        <v>560</v>
      </c>
      <c r="M802" s="44" t="s">
        <v>57</v>
      </c>
      <c r="N802" s="44" t="s">
        <v>23</v>
      </c>
      <c r="O802" s="46" t="s">
        <v>49</v>
      </c>
      <c r="P802"/>
      <c r="Q802" s="4"/>
      <c r="R802" s="4"/>
      <c r="S802" s="4"/>
      <c r="T802" s="4"/>
      <c r="U802" s="4"/>
    </row>
    <row r="803" spans="2:21" hidden="1" thickTop="1" thickBot="1" x14ac:dyDescent="0.3">
      <c r="B803" s="43">
        <v>100522981</v>
      </c>
      <c r="C803" s="44" t="s">
        <v>977</v>
      </c>
      <c r="D803" s="45"/>
      <c r="E803" s="45" t="s">
        <v>44</v>
      </c>
      <c r="F803" s="44" t="s">
        <v>228</v>
      </c>
      <c r="G803" s="44" t="s">
        <v>17</v>
      </c>
      <c r="H803" s="44" t="s">
        <v>338</v>
      </c>
      <c r="I803" s="44" t="s">
        <v>46</v>
      </c>
      <c r="J803" s="44" t="s">
        <v>28</v>
      </c>
      <c r="K803" s="44" t="s">
        <v>559</v>
      </c>
      <c r="L803" s="44" t="s">
        <v>559</v>
      </c>
      <c r="M803" s="44" t="s">
        <v>229</v>
      </c>
      <c r="N803" s="44" t="s">
        <v>23</v>
      </c>
      <c r="O803" s="46" t="s">
        <v>49</v>
      </c>
      <c r="P803"/>
      <c r="Q803" s="4"/>
      <c r="R803" s="4"/>
      <c r="S803" s="4"/>
      <c r="T803" s="4"/>
      <c r="U803" s="4"/>
    </row>
    <row r="804" spans="2:21" hidden="1" thickTop="1" thickBot="1" x14ac:dyDescent="0.3">
      <c r="B804" s="43">
        <v>100516981</v>
      </c>
      <c r="C804" s="44" t="s">
        <v>978</v>
      </c>
      <c r="D804" s="45" t="s">
        <v>212</v>
      </c>
      <c r="E804" s="45" t="s">
        <v>44</v>
      </c>
      <c r="F804" s="44" t="s">
        <v>16</v>
      </c>
      <c r="G804" s="44" t="s">
        <v>17</v>
      </c>
      <c r="H804" s="44" t="s">
        <v>338</v>
      </c>
      <c r="I804" s="44" t="s">
        <v>46</v>
      </c>
      <c r="J804" s="44" t="s">
        <v>28</v>
      </c>
      <c r="K804" s="44" t="s">
        <v>559</v>
      </c>
      <c r="L804" s="44" t="s">
        <v>560</v>
      </c>
      <c r="M804" s="44" t="s">
        <v>57</v>
      </c>
      <c r="N804" s="44" t="s">
        <v>23</v>
      </c>
      <c r="O804" s="46" t="s">
        <v>49</v>
      </c>
      <c r="P804"/>
      <c r="Q804" s="4"/>
      <c r="R804" s="4"/>
      <c r="S804" s="4"/>
      <c r="T804" s="4"/>
      <c r="U804" s="4"/>
    </row>
    <row r="805" spans="2:21" hidden="1" thickTop="1" thickBot="1" x14ac:dyDescent="0.3">
      <c r="B805" s="43">
        <v>100022072</v>
      </c>
      <c r="C805" s="44" t="s">
        <v>979</v>
      </c>
      <c r="D805" s="45" t="s">
        <v>43</v>
      </c>
      <c r="E805" s="45" t="s">
        <v>44</v>
      </c>
      <c r="F805" s="44" t="s">
        <v>16</v>
      </c>
      <c r="G805" s="44" t="s">
        <v>17</v>
      </c>
      <c r="H805" s="44" t="s">
        <v>338</v>
      </c>
      <c r="I805" s="44" t="s">
        <v>46</v>
      </c>
      <c r="J805" s="44" t="s">
        <v>28</v>
      </c>
      <c r="K805" s="44" t="s">
        <v>559</v>
      </c>
      <c r="L805" s="44" t="s">
        <v>560</v>
      </c>
      <c r="M805" s="44" t="s">
        <v>57</v>
      </c>
      <c r="N805" s="44" t="s">
        <v>23</v>
      </c>
      <c r="O805" s="46" t="s">
        <v>49</v>
      </c>
      <c r="P805"/>
      <c r="Q805" s="4"/>
      <c r="R805" s="4"/>
      <c r="S805" s="4"/>
      <c r="T805" s="4"/>
      <c r="U805" s="4"/>
    </row>
    <row r="806" spans="2:21" ht="18" hidden="1" customHeight="1" thickTop="1" thickBot="1" x14ac:dyDescent="0.3">
      <c r="B806" s="43">
        <v>100522205</v>
      </c>
      <c r="C806" s="44" t="s">
        <v>979</v>
      </c>
      <c r="D806" s="45"/>
      <c r="E806" s="45" t="s">
        <v>44</v>
      </c>
      <c r="F806" s="44" t="s">
        <v>16</v>
      </c>
      <c r="G806" s="44" t="s">
        <v>17</v>
      </c>
      <c r="H806" s="44" t="s">
        <v>338</v>
      </c>
      <c r="I806" s="44" t="s">
        <v>46</v>
      </c>
      <c r="J806" s="44" t="s">
        <v>28</v>
      </c>
      <c r="K806" s="44" t="s">
        <v>559</v>
      </c>
      <c r="L806" s="44" t="s">
        <v>560</v>
      </c>
      <c r="M806" s="44" t="s">
        <v>57</v>
      </c>
      <c r="N806" s="44" t="s">
        <v>23</v>
      </c>
      <c r="O806" s="46" t="s">
        <v>49</v>
      </c>
      <c r="P806"/>
      <c r="Q806" s="4"/>
      <c r="R806" s="4"/>
      <c r="S806" s="4"/>
      <c r="T806" s="4"/>
      <c r="U806" s="4"/>
    </row>
    <row r="807" spans="2:21" ht="18" hidden="1" customHeight="1" thickTop="1" thickBot="1" x14ac:dyDescent="0.3">
      <c r="B807" s="43">
        <v>100517127</v>
      </c>
      <c r="C807" s="44" t="s">
        <v>980</v>
      </c>
      <c r="D807" s="45" t="s">
        <v>212</v>
      </c>
      <c r="E807" s="45" t="s">
        <v>44</v>
      </c>
      <c r="F807" s="44" t="s">
        <v>16</v>
      </c>
      <c r="G807" s="44" t="s">
        <v>17</v>
      </c>
      <c r="H807" s="44" t="s">
        <v>338</v>
      </c>
      <c r="I807" s="44" t="s">
        <v>46</v>
      </c>
      <c r="J807" s="44" t="s">
        <v>28</v>
      </c>
      <c r="K807" s="44" t="s">
        <v>559</v>
      </c>
      <c r="L807" s="44" t="s">
        <v>560</v>
      </c>
      <c r="M807" s="44" t="s">
        <v>57</v>
      </c>
      <c r="N807" s="44" t="s">
        <v>23</v>
      </c>
      <c r="O807" s="46" t="s">
        <v>49</v>
      </c>
      <c r="P807"/>
      <c r="Q807" s="4"/>
      <c r="R807" s="4"/>
      <c r="S807" s="4"/>
      <c r="T807" s="4"/>
      <c r="U807" s="4"/>
    </row>
    <row r="808" spans="2:21" hidden="1" thickTop="1" thickBot="1" x14ac:dyDescent="0.3">
      <c r="B808" s="43">
        <v>100016166</v>
      </c>
      <c r="C808" s="44" t="s">
        <v>981</v>
      </c>
      <c r="D808" s="45"/>
      <c r="E808" s="45" t="s">
        <v>44</v>
      </c>
      <c r="F808" s="44" t="s">
        <v>16</v>
      </c>
      <c r="G808" s="44" t="s">
        <v>17</v>
      </c>
      <c r="H808" s="44" t="s">
        <v>18</v>
      </c>
      <c r="I808" s="44" t="s">
        <v>97</v>
      </c>
      <c r="J808" s="44" t="s">
        <v>28</v>
      </c>
      <c r="K808" s="44" t="s">
        <v>98</v>
      </c>
      <c r="L808" s="44" t="s">
        <v>982</v>
      </c>
      <c r="M808" s="44" t="s">
        <v>62</v>
      </c>
      <c r="N808" s="44" t="str">
        <f>IF(ISERR(FIND("CONG",PRODUCTO_MI_AR68[[#This Row],[NOM PRODUCTO]])),"","CONGELADO")</f>
        <v>CONGELADO</v>
      </c>
      <c r="O808" s="46" t="s">
        <v>98</v>
      </c>
      <c r="P808"/>
      <c r="Q808" s="4"/>
      <c r="R808" s="4"/>
      <c r="S808" s="4"/>
      <c r="T808" s="4"/>
      <c r="U808" s="4"/>
    </row>
    <row r="809" spans="2:21" hidden="1" thickTop="1" thickBot="1" x14ac:dyDescent="0.3">
      <c r="B809" s="43">
        <v>100016163</v>
      </c>
      <c r="C809" s="44" t="s">
        <v>983</v>
      </c>
      <c r="D809" s="45"/>
      <c r="E809" s="45" t="s">
        <v>44</v>
      </c>
      <c r="F809" s="44" t="s">
        <v>16</v>
      </c>
      <c r="G809" s="44" t="s">
        <v>17</v>
      </c>
      <c r="H809" s="44" t="s">
        <v>18</v>
      </c>
      <c r="I809" s="44" t="s">
        <v>97</v>
      </c>
      <c r="J809" s="44" t="s">
        <v>28</v>
      </c>
      <c r="K809" s="44" t="s">
        <v>98</v>
      </c>
      <c r="L809" s="44" t="s">
        <v>984</v>
      </c>
      <c r="M809" s="44" t="s">
        <v>62</v>
      </c>
      <c r="N809" s="44" t="str">
        <f>IF(ISERR(FIND("CONG",PRODUCTO_MI_AR68[[#This Row],[NOM PRODUCTO]])),"","CONGELADO")</f>
        <v>CONGELADO</v>
      </c>
      <c r="O809" s="46" t="s">
        <v>98</v>
      </c>
      <c r="P809"/>
      <c r="Q809" s="4"/>
      <c r="R809" s="4"/>
      <c r="S809" s="4"/>
      <c r="T809" s="4"/>
      <c r="U809" s="4"/>
    </row>
    <row r="810" spans="2:21" ht="18" hidden="1" customHeight="1" thickTop="1" thickBot="1" x14ac:dyDescent="0.3">
      <c r="B810" s="43">
        <v>100519558</v>
      </c>
      <c r="C810" s="44" t="s">
        <v>985</v>
      </c>
      <c r="D810" s="45"/>
      <c r="E810" s="45" t="str">
        <f>IF(ISERR(FIND("PUL",PRODUCTO_MI_AR68[[#This Row],[NOM PRODUCTO]])),"","ME")</f>
        <v>ME</v>
      </c>
      <c r="F810" s="44" t="s">
        <v>16</v>
      </c>
      <c r="G810" s="44" t="s">
        <v>17</v>
      </c>
      <c r="H810" s="44" t="s">
        <v>18</v>
      </c>
      <c r="I810" s="44" t="s">
        <v>19</v>
      </c>
      <c r="J810" s="44" t="s">
        <v>40</v>
      </c>
      <c r="K810" s="44" t="s">
        <v>21</v>
      </c>
      <c r="L810" s="44" t="s">
        <v>986</v>
      </c>
      <c r="M810" s="44" t="s">
        <v>41</v>
      </c>
      <c r="N810" s="44" t="s">
        <v>23</v>
      </c>
      <c r="O810" s="46" t="s">
        <v>24</v>
      </c>
      <c r="P810"/>
      <c r="Q810" s="4"/>
      <c r="R810" s="4"/>
      <c r="S810" s="4"/>
      <c r="T810" s="4"/>
      <c r="U810" s="4"/>
    </row>
    <row r="811" spans="2:21" ht="18" hidden="1" customHeight="1" thickTop="1" thickBot="1" x14ac:dyDescent="0.3">
      <c r="B811" s="43">
        <v>100519559</v>
      </c>
      <c r="C811" s="44" t="s">
        <v>987</v>
      </c>
      <c r="D811" s="45"/>
      <c r="E811" s="45" t="str">
        <f>IF(ISERR(FIND("PUL",PRODUCTO_MI_AR68[[#This Row],[NOM PRODUCTO]])),"","ME")</f>
        <v>ME</v>
      </c>
      <c r="F811" s="44" t="s">
        <v>16</v>
      </c>
      <c r="G811" s="44" t="s">
        <v>17</v>
      </c>
      <c r="H811" s="44" t="s">
        <v>18</v>
      </c>
      <c r="I811" s="44" t="s">
        <v>19</v>
      </c>
      <c r="J811" s="44" t="s">
        <v>40</v>
      </c>
      <c r="K811" s="44" t="s">
        <v>21</v>
      </c>
      <c r="L811" s="44" t="s">
        <v>986</v>
      </c>
      <c r="M811" s="44" t="s">
        <v>41</v>
      </c>
      <c r="N811" s="44" t="s">
        <v>23</v>
      </c>
      <c r="O811" s="46" t="s">
        <v>24</v>
      </c>
      <c r="P811"/>
      <c r="Q811" s="4"/>
      <c r="R811" s="4"/>
      <c r="S811" s="4"/>
      <c r="T811" s="4"/>
      <c r="U811" s="4"/>
    </row>
    <row r="812" spans="2:21" hidden="1" thickTop="1" thickBot="1" x14ac:dyDescent="0.3">
      <c r="B812" s="43">
        <v>100519560</v>
      </c>
      <c r="C812" s="44" t="s">
        <v>988</v>
      </c>
      <c r="D812" s="45"/>
      <c r="E812" s="45" t="str">
        <f>IF(ISERR(FIND("PUL",PRODUCTO_MI_AR68[[#This Row],[NOM PRODUCTO]])),"","ME")</f>
        <v>ME</v>
      </c>
      <c r="F812" s="44" t="s">
        <v>16</v>
      </c>
      <c r="G812" s="44" t="s">
        <v>17</v>
      </c>
      <c r="H812" s="44" t="s">
        <v>18</v>
      </c>
      <c r="I812" s="44" t="s">
        <v>19</v>
      </c>
      <c r="J812" s="44" t="s">
        <v>40</v>
      </c>
      <c r="K812" s="44" t="s">
        <v>21</v>
      </c>
      <c r="L812" s="44" t="s">
        <v>986</v>
      </c>
      <c r="M812" s="44" t="s">
        <v>41</v>
      </c>
      <c r="N812" s="44" t="s">
        <v>23</v>
      </c>
      <c r="O812" s="46" t="s">
        <v>24</v>
      </c>
      <c r="P812"/>
      <c r="Q812" s="4"/>
      <c r="R812" s="4"/>
      <c r="S812" s="4"/>
      <c r="T812" s="4"/>
      <c r="U812" s="4"/>
    </row>
    <row r="813" spans="2:21" hidden="1" thickTop="1" thickBot="1" x14ac:dyDescent="0.3">
      <c r="B813" s="43">
        <v>100516529</v>
      </c>
      <c r="C813" s="44" t="s">
        <v>989</v>
      </c>
      <c r="D813" s="45"/>
      <c r="E813" s="45" t="str">
        <f>IF(ISERR(FIND("CHILE",PRODUCTO_MI_AR68[[#This Row],[NOM PRODUCTO]])),"","ME")</f>
        <v>ME</v>
      </c>
      <c r="F813" s="44" t="s">
        <v>16</v>
      </c>
      <c r="G813" s="44" t="s">
        <v>17</v>
      </c>
      <c r="H813" s="44" t="s">
        <v>18</v>
      </c>
      <c r="I813" s="44" t="s">
        <v>19</v>
      </c>
      <c r="J813" s="44" t="s">
        <v>28</v>
      </c>
      <c r="K813" s="44" t="s">
        <v>21</v>
      </c>
      <c r="L813" s="44" t="s">
        <v>986</v>
      </c>
      <c r="M813" s="44" t="s">
        <v>29</v>
      </c>
      <c r="N813" s="44" t="s">
        <v>23</v>
      </c>
      <c r="O813" s="46" t="s">
        <v>24</v>
      </c>
      <c r="P813"/>
      <c r="Q813" s="4"/>
      <c r="R813" s="4"/>
      <c r="S813" s="4"/>
      <c r="T813" s="4"/>
      <c r="U813" s="4"/>
    </row>
    <row r="814" spans="2:21" hidden="1" thickTop="1" thickBot="1" x14ac:dyDescent="0.3">
      <c r="B814" s="43">
        <v>100519487</v>
      </c>
      <c r="C814" s="44" t="s">
        <v>990</v>
      </c>
      <c r="D814" s="45"/>
      <c r="E814" s="45" t="str">
        <f>IF(ISERR(FIND("PUL",PRODUCTO_MI_AR68[[#This Row],[NOM PRODUCTO]])),"","ME")</f>
        <v>ME</v>
      </c>
      <c r="F814" s="44" t="s">
        <v>16</v>
      </c>
      <c r="G814" s="44" t="s">
        <v>17</v>
      </c>
      <c r="H814" s="44" t="s">
        <v>18</v>
      </c>
      <c r="I814" s="44" t="s">
        <v>19</v>
      </c>
      <c r="J814" s="44" t="s">
        <v>40</v>
      </c>
      <c r="K814" s="44" t="s">
        <v>21</v>
      </c>
      <c r="L814" s="44" t="s">
        <v>986</v>
      </c>
      <c r="M814" s="44" t="s">
        <v>41</v>
      </c>
      <c r="N814" s="44" t="s">
        <v>23</v>
      </c>
      <c r="O814" s="46" t="s">
        <v>24</v>
      </c>
      <c r="P814"/>
      <c r="Q814" s="4"/>
      <c r="R814" s="4"/>
      <c r="S814" s="4"/>
      <c r="T814" s="4"/>
      <c r="U814" s="4"/>
    </row>
    <row r="815" spans="2:21" ht="18" hidden="1" customHeight="1" thickTop="1" thickBot="1" x14ac:dyDescent="0.3">
      <c r="B815" s="43">
        <v>100016154</v>
      </c>
      <c r="C815" s="44" t="s">
        <v>991</v>
      </c>
      <c r="D815" s="45"/>
      <c r="E815" s="45" t="s">
        <v>44</v>
      </c>
      <c r="F815" s="44" t="s">
        <v>16</v>
      </c>
      <c r="G815" s="44" t="s">
        <v>17</v>
      </c>
      <c r="H815" s="44" t="s">
        <v>18</v>
      </c>
      <c r="I815" s="44" t="s">
        <v>97</v>
      </c>
      <c r="J815" s="44" t="s">
        <v>28</v>
      </c>
      <c r="K815" s="44" t="s">
        <v>98</v>
      </c>
      <c r="L815" s="44" t="s">
        <v>992</v>
      </c>
      <c r="M815" s="44" t="s">
        <v>62</v>
      </c>
      <c r="N815" s="44" t="str">
        <f>IF(ISERR(FIND("CONG",PRODUCTO_MI_AR68[[#This Row],[NOM PRODUCTO]])),"","CONGELADO")</f>
        <v>CONGELADO</v>
      </c>
      <c r="O815" s="46" t="s">
        <v>98</v>
      </c>
      <c r="P815"/>
      <c r="Q815" s="4"/>
      <c r="R815" s="4"/>
      <c r="S815" s="4"/>
      <c r="T815" s="4"/>
      <c r="U815" s="4"/>
    </row>
    <row r="816" spans="2:21" ht="18" customHeight="1" thickTop="1" thickBot="1" x14ac:dyDescent="0.3">
      <c r="B816" s="43">
        <v>100517846</v>
      </c>
      <c r="C816" s="44" t="s">
        <v>993</v>
      </c>
      <c r="D816" s="45" t="s">
        <v>212</v>
      </c>
      <c r="E816" s="45" t="s">
        <v>44</v>
      </c>
      <c r="F816" s="44" t="s">
        <v>16</v>
      </c>
      <c r="G816" s="44" t="s">
        <v>17</v>
      </c>
      <c r="H816" s="44" t="s">
        <v>551</v>
      </c>
      <c r="I816" s="44" t="s">
        <v>46</v>
      </c>
      <c r="J816" s="44" t="s">
        <v>20</v>
      </c>
      <c r="K816" s="44" t="str">
        <f>PRODUCTO_MI_AR68[[#This Row],[NOM SUBFAMILIA COMERCIAL]]</f>
        <v>PATE</v>
      </c>
      <c r="L816" s="44" t="s">
        <v>552</v>
      </c>
      <c r="M816" s="44" t="s">
        <v>829</v>
      </c>
      <c r="N816" s="44" t="s">
        <v>554</v>
      </c>
      <c r="O816" s="46" t="s">
        <v>49</v>
      </c>
      <c r="P816"/>
      <c r="Q816" s="4"/>
      <c r="R816" s="4"/>
      <c r="S816" s="4"/>
      <c r="T816" s="4"/>
      <c r="U816" s="4"/>
    </row>
    <row r="817" spans="2:21" hidden="1" thickTop="1" thickBot="1" x14ac:dyDescent="0.3">
      <c r="B817" s="43">
        <v>100520497</v>
      </c>
      <c r="C817" s="44" t="s">
        <v>994</v>
      </c>
      <c r="D817" s="45"/>
      <c r="E817" s="45" t="str">
        <f>IF(ISERR(FIND("ISRAEL",PRODUCTO_MI_AR68[[#This Row],[NOM PRODUCTO]])),"","ME")</f>
        <v>ME</v>
      </c>
      <c r="F817" s="44" t="s">
        <v>16</v>
      </c>
      <c r="G817" s="44" t="s">
        <v>17</v>
      </c>
      <c r="H817" s="44" t="s">
        <v>18</v>
      </c>
      <c r="I817" s="44" t="s">
        <v>19</v>
      </c>
      <c r="J817" s="44" t="s">
        <v>28</v>
      </c>
      <c r="K817" s="44" t="s">
        <v>21</v>
      </c>
      <c r="L817" s="44" t="s">
        <v>995</v>
      </c>
      <c r="M817" s="44" t="s">
        <v>29</v>
      </c>
      <c r="N817" s="44" t="s">
        <v>23</v>
      </c>
      <c r="O817" s="46" t="s">
        <v>24</v>
      </c>
      <c r="P817"/>
      <c r="Q817" s="4"/>
      <c r="R817" s="4"/>
      <c r="S817" s="4"/>
      <c r="T817" s="4"/>
      <c r="U817" s="4"/>
    </row>
    <row r="818" spans="2:21" ht="18" hidden="1" customHeight="1" thickTop="1" thickBot="1" x14ac:dyDescent="0.3">
      <c r="B818" s="43">
        <v>100520525</v>
      </c>
      <c r="C818" s="44" t="s">
        <v>996</v>
      </c>
      <c r="D818" s="45"/>
      <c r="E818" s="45" t="str">
        <f>IF(ISERR(FIND("KOSHER",PRODUCTO_MI_AR68[[#This Row],[NOM PRODUCTO]])),"","ME")</f>
        <v>ME</v>
      </c>
      <c r="F818" s="44" t="s">
        <v>16</v>
      </c>
      <c r="G818" s="44" t="s">
        <v>17</v>
      </c>
      <c r="H818" s="44" t="s">
        <v>18</v>
      </c>
      <c r="I818" s="44" t="s">
        <v>19</v>
      </c>
      <c r="J818" s="44" t="s">
        <v>28</v>
      </c>
      <c r="K818" s="44" t="s">
        <v>21</v>
      </c>
      <c r="L818" s="44" t="s">
        <v>995</v>
      </c>
      <c r="M818" s="44" t="s">
        <v>29</v>
      </c>
      <c r="N818" s="44" t="s">
        <v>23</v>
      </c>
      <c r="O818" s="46" t="s">
        <v>24</v>
      </c>
      <c r="P818"/>
      <c r="Q818" s="4"/>
      <c r="R818" s="4"/>
      <c r="S818" s="4"/>
      <c r="T818" s="4"/>
      <c r="U818" s="4"/>
    </row>
    <row r="819" spans="2:21" hidden="1" thickTop="1" thickBot="1" x14ac:dyDescent="0.3">
      <c r="B819" s="43">
        <v>100010654</v>
      </c>
      <c r="C819" s="44" t="s">
        <v>997</v>
      </c>
      <c r="D819" s="45"/>
      <c r="E819" s="45" t="s">
        <v>44</v>
      </c>
      <c r="F819" s="44" t="s">
        <v>16</v>
      </c>
      <c r="G819" s="44" t="s">
        <v>17</v>
      </c>
      <c r="H819" s="44" t="s">
        <v>18</v>
      </c>
      <c r="I819" s="44" t="s">
        <v>19</v>
      </c>
      <c r="J819" s="44" t="s">
        <v>28</v>
      </c>
      <c r="K819" s="44" t="s">
        <v>21</v>
      </c>
      <c r="L819" s="44" t="s">
        <v>995</v>
      </c>
      <c r="M819" s="44" t="s">
        <v>57</v>
      </c>
      <c r="N819" s="44" t="s">
        <v>23</v>
      </c>
      <c r="O819" s="46" t="s">
        <v>24</v>
      </c>
      <c r="P819"/>
      <c r="Q819" s="4"/>
      <c r="R819" s="4"/>
      <c r="S819" s="4"/>
      <c r="T819" s="4"/>
      <c r="U819" s="4"/>
    </row>
    <row r="820" spans="2:21" ht="18" hidden="1" customHeight="1" thickTop="1" thickBot="1" x14ac:dyDescent="0.3">
      <c r="B820" s="43">
        <v>100012905</v>
      </c>
      <c r="C820" s="44" t="s">
        <v>998</v>
      </c>
      <c r="D820" s="45"/>
      <c r="E820" s="45" t="s">
        <v>44</v>
      </c>
      <c r="F820" s="44" t="s">
        <v>16</v>
      </c>
      <c r="G820" s="44" t="s">
        <v>17</v>
      </c>
      <c r="H820" s="44" t="s">
        <v>18</v>
      </c>
      <c r="I820" s="44" t="s">
        <v>19</v>
      </c>
      <c r="J820" s="44" t="s">
        <v>28</v>
      </c>
      <c r="K820" s="44" t="s">
        <v>347</v>
      </c>
      <c r="L820" s="44" t="s">
        <v>999</v>
      </c>
      <c r="M820" s="44" t="s">
        <v>57</v>
      </c>
      <c r="N820" s="44" t="str">
        <f>IF(ISERR(FIND("CONG",PRODUCTO_MI_AR68[[#This Row],[NOM PRODUCTO]])),"","CONGELADO")</f>
        <v>CONGELADO</v>
      </c>
      <c r="O820" s="46" t="s">
        <v>24</v>
      </c>
      <c r="P820"/>
      <c r="Q820" s="4"/>
      <c r="R820" s="4"/>
      <c r="S820" s="4"/>
      <c r="T820" s="4"/>
      <c r="U820" s="4"/>
    </row>
    <row r="821" spans="2:21" hidden="1" thickTop="1" thickBot="1" x14ac:dyDescent="0.3">
      <c r="B821" s="43">
        <v>100518334</v>
      </c>
      <c r="C821" s="44" t="s">
        <v>1000</v>
      </c>
      <c r="D821" s="45" t="s">
        <v>43</v>
      </c>
      <c r="E821" s="45" t="s">
        <v>44</v>
      </c>
      <c r="F821" s="44" t="s">
        <v>16</v>
      </c>
      <c r="G821" s="44" t="s">
        <v>17</v>
      </c>
      <c r="H821" s="44" t="s">
        <v>18</v>
      </c>
      <c r="I821" s="44" t="s">
        <v>19</v>
      </c>
      <c r="J821" s="44" t="s">
        <v>28</v>
      </c>
      <c r="K821" s="44" t="s">
        <v>347</v>
      </c>
      <c r="L821" s="44" t="s">
        <v>1001</v>
      </c>
      <c r="M821" s="44" t="s">
        <v>57</v>
      </c>
      <c r="N821" s="44" t="s">
        <v>23</v>
      </c>
      <c r="O821" s="46" t="s">
        <v>24</v>
      </c>
      <c r="P821"/>
      <c r="Q821" s="4"/>
      <c r="R821" s="4"/>
      <c r="S821" s="4"/>
      <c r="T821" s="4"/>
      <c r="U821" s="4"/>
    </row>
    <row r="822" spans="2:21" hidden="1" thickTop="1" thickBot="1" x14ac:dyDescent="0.3">
      <c r="B822" s="43">
        <v>100517142</v>
      </c>
      <c r="C822" s="44" t="s">
        <v>1002</v>
      </c>
      <c r="D822" s="45"/>
      <c r="E822" s="45" t="s">
        <v>44</v>
      </c>
      <c r="F822" s="44" t="s">
        <v>16</v>
      </c>
      <c r="G822" s="44" t="s">
        <v>17</v>
      </c>
      <c r="H822" s="44" t="s">
        <v>18</v>
      </c>
      <c r="I822" s="44" t="s">
        <v>19</v>
      </c>
      <c r="J822" s="44" t="s">
        <v>20</v>
      </c>
      <c r="K822" s="44" t="s">
        <v>347</v>
      </c>
      <c r="L822" s="44" t="s">
        <v>1001</v>
      </c>
      <c r="M822" s="44" t="s">
        <v>73</v>
      </c>
      <c r="N822" s="44" t="s">
        <v>23</v>
      </c>
      <c r="O822" s="46" t="s">
        <v>24</v>
      </c>
      <c r="P822"/>
      <c r="Q822" s="4"/>
      <c r="R822" s="4"/>
      <c r="S822" s="4"/>
      <c r="T822" s="4"/>
      <c r="U822" s="4"/>
    </row>
    <row r="823" spans="2:21" hidden="1" thickTop="1" thickBot="1" x14ac:dyDescent="0.3">
      <c r="B823" s="43">
        <v>100517790</v>
      </c>
      <c r="C823" s="44" t="s">
        <v>1003</v>
      </c>
      <c r="D823" s="45"/>
      <c r="E823" s="45" t="s">
        <v>44</v>
      </c>
      <c r="F823" s="44" t="s">
        <v>16</v>
      </c>
      <c r="G823" s="44" t="s">
        <v>17</v>
      </c>
      <c r="H823" s="44" t="s">
        <v>18</v>
      </c>
      <c r="I823" s="44" t="s">
        <v>19</v>
      </c>
      <c r="J823" s="44" t="s">
        <v>20</v>
      </c>
      <c r="K823" s="44" t="s">
        <v>347</v>
      </c>
      <c r="L823" s="44" t="s">
        <v>1004</v>
      </c>
      <c r="M823" s="44" t="s">
        <v>73</v>
      </c>
      <c r="N823" s="44" t="s">
        <v>23</v>
      </c>
      <c r="O823" s="46" t="s">
        <v>24</v>
      </c>
      <c r="P823"/>
      <c r="Q823" s="4"/>
      <c r="R823" s="4"/>
      <c r="S823" s="4"/>
      <c r="T823" s="4"/>
      <c r="U823" s="4"/>
    </row>
    <row r="824" spans="2:21" hidden="1" thickTop="1" thickBot="1" x14ac:dyDescent="0.3">
      <c r="B824" s="43">
        <v>100010839</v>
      </c>
      <c r="C824" s="44" t="s">
        <v>1005</v>
      </c>
      <c r="D824" s="45"/>
      <c r="E824" s="45" t="s">
        <v>44</v>
      </c>
      <c r="F824" s="44" t="s">
        <v>16</v>
      </c>
      <c r="G824" s="44" t="s">
        <v>17</v>
      </c>
      <c r="H824" s="44" t="s">
        <v>18</v>
      </c>
      <c r="I824" s="44" t="s">
        <v>19</v>
      </c>
      <c r="J824" s="44" t="s">
        <v>28</v>
      </c>
      <c r="K824" s="44" t="s">
        <v>347</v>
      </c>
      <c r="L824" s="44" t="s">
        <v>999</v>
      </c>
      <c r="M824" s="44" t="s">
        <v>57</v>
      </c>
      <c r="N824" s="44" t="s">
        <v>23</v>
      </c>
      <c r="O824" s="46" t="s">
        <v>24</v>
      </c>
      <c r="P824"/>
      <c r="Q824" s="4"/>
      <c r="R824" s="4"/>
      <c r="S824" s="4"/>
      <c r="T824" s="4"/>
      <c r="U824" s="4"/>
    </row>
    <row r="825" spans="2:21" hidden="1" thickTop="1" thickBot="1" x14ac:dyDescent="0.3">
      <c r="B825" s="43">
        <v>100013146</v>
      </c>
      <c r="C825" s="44" t="s">
        <v>1006</v>
      </c>
      <c r="D825" s="45"/>
      <c r="E825" s="45" t="str">
        <f>IF(ISERR(FIND("(L)",PRODUCTO_MI_AR68[[#This Row],[NOM PRODUCTO]])),"","MI")</f>
        <v>MI</v>
      </c>
      <c r="F825" s="44" t="s">
        <v>16</v>
      </c>
      <c r="G825" s="44" t="s">
        <v>17</v>
      </c>
      <c r="H825" s="44" t="s">
        <v>18</v>
      </c>
      <c r="I825" s="44" t="s">
        <v>101</v>
      </c>
      <c r="J825" s="44" t="s">
        <v>28</v>
      </c>
      <c r="K825" s="44" t="s">
        <v>102</v>
      </c>
      <c r="L825" s="44" t="s">
        <v>926</v>
      </c>
      <c r="M825" s="44" t="s">
        <v>57</v>
      </c>
      <c r="N825" s="44" t="s">
        <v>23</v>
      </c>
      <c r="O825" s="46" t="s">
        <v>24</v>
      </c>
      <c r="P825"/>
      <c r="Q825" s="4"/>
      <c r="R825" s="4"/>
      <c r="S825" s="4"/>
      <c r="T825" s="4"/>
      <c r="U825" s="4"/>
    </row>
    <row r="826" spans="2:21" hidden="1" thickTop="1" thickBot="1" x14ac:dyDescent="0.3">
      <c r="B826" s="43">
        <v>100521673</v>
      </c>
      <c r="C826" s="44" t="s">
        <v>1007</v>
      </c>
      <c r="D826" s="45"/>
      <c r="E826" s="45" t="s">
        <v>15</v>
      </c>
      <c r="F826" s="44" t="s">
        <v>16</v>
      </c>
      <c r="G826" s="44" t="s">
        <v>17</v>
      </c>
      <c r="H826" s="44" t="s">
        <v>18</v>
      </c>
      <c r="I826" s="44" t="s">
        <v>101</v>
      </c>
      <c r="J826" s="44" t="s">
        <v>28</v>
      </c>
      <c r="K826" s="44" t="s">
        <v>102</v>
      </c>
      <c r="L826" s="44" t="s">
        <v>926</v>
      </c>
      <c r="M826" s="44" t="s">
        <v>29</v>
      </c>
      <c r="N826" s="44" t="str">
        <f>IF(ISERR(FIND("CONG",PRODUCTO_MI_AR68[[#This Row],[NOM PRODUCTO]])),"","CONGELADO")</f>
        <v>CONGELADO</v>
      </c>
      <c r="O826" s="46" t="s">
        <v>24</v>
      </c>
      <c r="P826"/>
      <c r="Q826" s="4"/>
      <c r="R826" s="4"/>
      <c r="S826" s="4"/>
      <c r="T826" s="4"/>
      <c r="U826" s="4"/>
    </row>
    <row r="827" spans="2:21" hidden="1" thickTop="1" thickBot="1" x14ac:dyDescent="0.3">
      <c r="B827" s="43">
        <v>100522446</v>
      </c>
      <c r="C827" s="44" t="s">
        <v>1008</v>
      </c>
      <c r="D827" s="45"/>
      <c r="E827" s="45" t="s">
        <v>15</v>
      </c>
      <c r="F827" s="44" t="s">
        <v>16</v>
      </c>
      <c r="G827" s="44" t="s">
        <v>17</v>
      </c>
      <c r="H827" s="44" t="s">
        <v>18</v>
      </c>
      <c r="I827" s="44" t="s">
        <v>101</v>
      </c>
      <c r="J827" s="44" t="s">
        <v>40</v>
      </c>
      <c r="K827" s="44" t="s">
        <v>102</v>
      </c>
      <c r="L827" s="44" t="s">
        <v>926</v>
      </c>
      <c r="M827" s="44" t="s">
        <v>41</v>
      </c>
      <c r="N827" s="44" t="s">
        <v>23</v>
      </c>
      <c r="O827" s="46" t="s">
        <v>24</v>
      </c>
      <c r="P827"/>
      <c r="Q827" s="4"/>
      <c r="R827" s="4"/>
      <c r="S827" s="4"/>
      <c r="T827" s="4"/>
      <c r="U827" s="4"/>
    </row>
    <row r="828" spans="2:21" ht="18" hidden="1" customHeight="1" thickTop="1" thickBot="1" x14ac:dyDescent="0.3">
      <c r="B828" s="43">
        <v>100013036</v>
      </c>
      <c r="C828" s="44" t="s">
        <v>1009</v>
      </c>
      <c r="D828" s="45"/>
      <c r="E828" s="45" t="s">
        <v>44</v>
      </c>
      <c r="F828" s="44" t="s">
        <v>16</v>
      </c>
      <c r="G828" s="44" t="s">
        <v>17</v>
      </c>
      <c r="H828" s="44" t="s">
        <v>18</v>
      </c>
      <c r="I828" s="44" t="s">
        <v>101</v>
      </c>
      <c r="J828" s="44" t="s">
        <v>28</v>
      </c>
      <c r="K828" s="44" t="s">
        <v>102</v>
      </c>
      <c r="L828" s="44" t="s">
        <v>926</v>
      </c>
      <c r="M828" s="44" t="s">
        <v>57</v>
      </c>
      <c r="N828" s="44" t="s">
        <v>23</v>
      </c>
      <c r="O828" s="46" t="s">
        <v>24</v>
      </c>
      <c r="P828"/>
      <c r="Q828" s="4"/>
      <c r="R828" s="4"/>
      <c r="S828" s="4"/>
      <c r="T828" s="4"/>
      <c r="U828" s="4"/>
    </row>
    <row r="829" spans="2:21" hidden="1" thickTop="1" thickBot="1" x14ac:dyDescent="0.3">
      <c r="B829" s="43">
        <v>100519488</v>
      </c>
      <c r="C829" s="44" t="s">
        <v>1010</v>
      </c>
      <c r="D829" s="45"/>
      <c r="E829" s="45" t="str">
        <f>IF(ISERR(FIND("PUL",PRODUCTO_MI_AR68[[#This Row],[NOM PRODUCTO]])),"","ME")</f>
        <v>ME</v>
      </c>
      <c r="F829" s="44" t="s">
        <v>16</v>
      </c>
      <c r="G829" s="44" t="s">
        <v>17</v>
      </c>
      <c r="H829" s="44" t="s">
        <v>18</v>
      </c>
      <c r="I829" s="44" t="s">
        <v>101</v>
      </c>
      <c r="J829" s="44" t="s">
        <v>40</v>
      </c>
      <c r="K829" s="44" t="s">
        <v>102</v>
      </c>
      <c r="L829" s="44" t="s">
        <v>926</v>
      </c>
      <c r="M829" s="44" t="s">
        <v>41</v>
      </c>
      <c r="N829" s="44" t="s">
        <v>23</v>
      </c>
      <c r="O829" s="46" t="s">
        <v>24</v>
      </c>
      <c r="P829"/>
      <c r="Q829" s="4"/>
      <c r="R829" s="4"/>
      <c r="S829" s="4"/>
      <c r="T829" s="4"/>
      <c r="U829" s="4"/>
    </row>
    <row r="830" spans="2:21" ht="18" hidden="1" customHeight="1" thickTop="1" thickBot="1" x14ac:dyDescent="0.3">
      <c r="B830" s="43">
        <v>100519489</v>
      </c>
      <c r="C830" s="44" t="s">
        <v>1011</v>
      </c>
      <c r="D830" s="45"/>
      <c r="E830" s="45" t="str">
        <f>IF(ISERR(FIND("PUL",PRODUCTO_MI_AR68[[#This Row],[NOM PRODUCTO]])),"","ME")</f>
        <v>ME</v>
      </c>
      <c r="F830" s="44" t="s">
        <v>16</v>
      </c>
      <c r="G830" s="44" t="s">
        <v>17</v>
      </c>
      <c r="H830" s="44" t="s">
        <v>18</v>
      </c>
      <c r="I830" s="44" t="s">
        <v>101</v>
      </c>
      <c r="J830" s="44" t="s">
        <v>40</v>
      </c>
      <c r="K830" s="44" t="s">
        <v>102</v>
      </c>
      <c r="L830" s="44" t="s">
        <v>926</v>
      </c>
      <c r="M830" s="44" t="s">
        <v>41</v>
      </c>
      <c r="N830" s="44" t="s">
        <v>23</v>
      </c>
      <c r="O830" s="46" t="s">
        <v>24</v>
      </c>
      <c r="P830"/>
      <c r="Q830" s="4"/>
      <c r="R830" s="4"/>
      <c r="S830" s="4"/>
      <c r="T830" s="4"/>
      <c r="U830" s="4"/>
    </row>
    <row r="831" spans="2:21" hidden="1" thickTop="1" thickBot="1" x14ac:dyDescent="0.3">
      <c r="B831" s="43">
        <v>100519490</v>
      </c>
      <c r="C831" s="44" t="s">
        <v>1012</v>
      </c>
      <c r="D831" s="45"/>
      <c r="E831" s="45" t="str">
        <f>IF(ISERR(FIND("PUL",PRODUCTO_MI_AR68[[#This Row],[NOM PRODUCTO]])),"","ME")</f>
        <v>ME</v>
      </c>
      <c r="F831" s="44" t="s">
        <v>16</v>
      </c>
      <c r="G831" s="44" t="s">
        <v>17</v>
      </c>
      <c r="H831" s="44" t="s">
        <v>18</v>
      </c>
      <c r="I831" s="44" t="s">
        <v>101</v>
      </c>
      <c r="J831" s="44" t="s">
        <v>40</v>
      </c>
      <c r="K831" s="44" t="s">
        <v>102</v>
      </c>
      <c r="L831" s="44" t="s">
        <v>926</v>
      </c>
      <c r="M831" s="44" t="s">
        <v>41</v>
      </c>
      <c r="N831" s="44" t="s">
        <v>23</v>
      </c>
      <c r="O831" s="46" t="s">
        <v>24</v>
      </c>
      <c r="P831"/>
      <c r="Q831" s="4"/>
      <c r="R831" s="4"/>
      <c r="S831" s="4"/>
      <c r="T831" s="4"/>
      <c r="U831" s="4"/>
    </row>
    <row r="832" spans="2:21" hidden="1" thickTop="1" thickBot="1" x14ac:dyDescent="0.3">
      <c r="B832" s="43">
        <v>100516526</v>
      </c>
      <c r="C832" s="44" t="s">
        <v>1013</v>
      </c>
      <c r="D832" s="45"/>
      <c r="E832" s="45" t="str">
        <f>IF(ISERR(FIND("CHILE",PRODUCTO_MI_AR68[[#This Row],[NOM PRODUCTO]])),"","ME")</f>
        <v>ME</v>
      </c>
      <c r="F832" s="44" t="s">
        <v>16</v>
      </c>
      <c r="G832" s="44" t="s">
        <v>17</v>
      </c>
      <c r="H832" s="44" t="s">
        <v>18</v>
      </c>
      <c r="I832" s="44" t="s">
        <v>101</v>
      </c>
      <c r="J832" s="44" t="s">
        <v>28</v>
      </c>
      <c r="K832" s="44" t="s">
        <v>102</v>
      </c>
      <c r="L832" s="44" t="s">
        <v>926</v>
      </c>
      <c r="M832" s="44" t="s">
        <v>29</v>
      </c>
      <c r="N832" s="44" t="s">
        <v>23</v>
      </c>
      <c r="O832" s="46" t="s">
        <v>24</v>
      </c>
      <c r="P832"/>
      <c r="Q832" s="4"/>
      <c r="R832" s="4"/>
      <c r="S832" s="4"/>
      <c r="T832" s="4"/>
      <c r="U832" s="4"/>
    </row>
    <row r="833" spans="2:21" ht="18" hidden="1" customHeight="1" thickTop="1" thickBot="1" x14ac:dyDescent="0.3">
      <c r="B833" s="43">
        <v>100522175</v>
      </c>
      <c r="C833" s="44" t="s">
        <v>1014</v>
      </c>
      <c r="D833" s="45"/>
      <c r="E833" s="45" t="s">
        <v>15</v>
      </c>
      <c r="F833" s="44" t="s">
        <v>16</v>
      </c>
      <c r="G833" s="44" t="s">
        <v>17</v>
      </c>
      <c r="H833" s="44" t="s">
        <v>18</v>
      </c>
      <c r="I833" s="44" t="s">
        <v>101</v>
      </c>
      <c r="J833" s="44" t="s">
        <v>40</v>
      </c>
      <c r="K833" s="44" t="s">
        <v>102</v>
      </c>
      <c r="L833" s="44" t="s">
        <v>926</v>
      </c>
      <c r="M833" s="44" t="s">
        <v>41</v>
      </c>
      <c r="N833" s="44" t="str">
        <f>IF(ISERR(FIND("CONG",PRODUCTO_MI_AR68[[#This Row],[NOM PRODUCTO]])),"","CONGELADO")</f>
        <v>CONGELADO</v>
      </c>
      <c r="O833" s="46" t="s">
        <v>24</v>
      </c>
      <c r="P833"/>
      <c r="Q833" s="4"/>
      <c r="R833" s="4"/>
      <c r="S833" s="4"/>
      <c r="T833" s="4"/>
      <c r="U833" s="4"/>
    </row>
    <row r="834" spans="2:21" hidden="1" thickTop="1" thickBot="1" x14ac:dyDescent="0.3">
      <c r="B834" s="43">
        <v>100520597</v>
      </c>
      <c r="C834" s="44" t="s">
        <v>1015</v>
      </c>
      <c r="D834" s="45"/>
      <c r="E834" s="45" t="str">
        <f>IF(ISERR(FIND("ISRAEL",PRODUCTO_MI_AR68[[#This Row],[NOM PRODUCTO]])),"","ME")</f>
        <v>ME</v>
      </c>
      <c r="F834" s="44" t="s">
        <v>16</v>
      </c>
      <c r="G834" s="44" t="s">
        <v>17</v>
      </c>
      <c r="H834" s="44" t="s">
        <v>18</v>
      </c>
      <c r="I834" s="44" t="s">
        <v>101</v>
      </c>
      <c r="J834" s="44" t="s">
        <v>28</v>
      </c>
      <c r="K834" s="44" t="s">
        <v>102</v>
      </c>
      <c r="L834" s="44" t="s">
        <v>926</v>
      </c>
      <c r="M834" s="44" t="s">
        <v>29</v>
      </c>
      <c r="N834" s="44" t="str">
        <f>IF(ISERR(FIND("CONG",PRODUCTO_MI_AR68[[#This Row],[NOM PRODUCTO]])),"","CONGELADO")</f>
        <v>CONGELADO</v>
      </c>
      <c r="O834" s="46" t="s">
        <v>24</v>
      </c>
      <c r="P834"/>
      <c r="Q834" s="4"/>
      <c r="R834" s="4"/>
      <c r="S834" s="4"/>
      <c r="T834" s="4"/>
      <c r="U834" s="4"/>
    </row>
    <row r="835" spans="2:21" hidden="1" thickTop="1" thickBot="1" x14ac:dyDescent="0.3">
      <c r="B835" s="43">
        <v>100521371</v>
      </c>
      <c r="C835" s="44" t="s">
        <v>1016</v>
      </c>
      <c r="D835" s="45"/>
      <c r="E835" s="45" t="s">
        <v>15</v>
      </c>
      <c r="F835" s="44" t="s">
        <v>16</v>
      </c>
      <c r="G835" s="44" t="s">
        <v>17</v>
      </c>
      <c r="H835" s="44" t="s">
        <v>18</v>
      </c>
      <c r="I835" s="44" t="s">
        <v>101</v>
      </c>
      <c r="J835" s="44" t="s">
        <v>28</v>
      </c>
      <c r="K835" s="44" t="s">
        <v>102</v>
      </c>
      <c r="L835" s="44" t="s">
        <v>926</v>
      </c>
      <c r="M835" s="44" t="s">
        <v>29</v>
      </c>
      <c r="N835" s="44" t="str">
        <f>IF(ISERR(FIND("CONG",PRODUCTO_MI_AR68[[#This Row],[NOM PRODUCTO]])),"","CONGELADO")</f>
        <v>CONGELADO</v>
      </c>
      <c r="O835" s="46" t="s">
        <v>24</v>
      </c>
      <c r="P835"/>
      <c r="Q835" s="4"/>
      <c r="R835" s="4"/>
      <c r="S835" s="4"/>
      <c r="T835" s="4"/>
      <c r="U835" s="4"/>
    </row>
    <row r="836" spans="2:21" ht="18" hidden="1" customHeight="1" thickTop="1" thickBot="1" x14ac:dyDescent="0.3">
      <c r="B836" s="43">
        <v>100520501</v>
      </c>
      <c r="C836" s="44" t="s">
        <v>1017</v>
      </c>
      <c r="D836" s="45"/>
      <c r="E836" s="45" t="str">
        <f>IF(ISERR(FIND("ISRAEL",PRODUCTO_MI_AR68[[#This Row],[NOM PRODUCTO]])),"","ME")</f>
        <v>ME</v>
      </c>
      <c r="F836" s="44" t="s">
        <v>16</v>
      </c>
      <c r="G836" s="44" t="s">
        <v>17</v>
      </c>
      <c r="H836" s="44" t="s">
        <v>18</v>
      </c>
      <c r="I836" s="44" t="s">
        <v>101</v>
      </c>
      <c r="J836" s="44" t="s">
        <v>28</v>
      </c>
      <c r="K836" s="44" t="s">
        <v>102</v>
      </c>
      <c r="L836" s="44" t="s">
        <v>926</v>
      </c>
      <c r="M836" s="44" t="s">
        <v>29</v>
      </c>
      <c r="N836" s="44" t="s">
        <v>23</v>
      </c>
      <c r="O836" s="46" t="s">
        <v>24</v>
      </c>
      <c r="P836"/>
      <c r="Q836" s="4"/>
      <c r="R836" s="4"/>
      <c r="S836" s="4"/>
      <c r="T836" s="4"/>
      <c r="U836" s="4"/>
    </row>
    <row r="837" spans="2:21" hidden="1" thickTop="1" thickBot="1" x14ac:dyDescent="0.3">
      <c r="B837" s="43">
        <v>100520542</v>
      </c>
      <c r="C837" s="44" t="s">
        <v>1018</v>
      </c>
      <c r="D837" s="45"/>
      <c r="E837" s="45" t="str">
        <f>IF(ISERR(FIND("KOSHER",PRODUCTO_MI_AR68[[#This Row],[NOM PRODUCTO]])),"","ME")</f>
        <v>ME</v>
      </c>
      <c r="F837" s="44" t="s">
        <v>16</v>
      </c>
      <c r="G837" s="44" t="s">
        <v>17</v>
      </c>
      <c r="H837" s="44" t="s">
        <v>18</v>
      </c>
      <c r="I837" s="44" t="s">
        <v>101</v>
      </c>
      <c r="J837" s="44" t="s">
        <v>28</v>
      </c>
      <c r="K837" s="44" t="s">
        <v>102</v>
      </c>
      <c r="L837" s="44" t="s">
        <v>926</v>
      </c>
      <c r="M837" s="44" t="s">
        <v>29</v>
      </c>
      <c r="N837" s="44" t="s">
        <v>23</v>
      </c>
      <c r="O837" s="46" t="s">
        <v>24</v>
      </c>
      <c r="P837"/>
      <c r="Q837" s="4"/>
      <c r="R837" s="4"/>
      <c r="S837" s="4"/>
      <c r="T837" s="4"/>
      <c r="U837" s="4"/>
    </row>
    <row r="838" spans="2:21" ht="18" hidden="1" customHeight="1" thickTop="1" thickBot="1" x14ac:dyDescent="0.3">
      <c r="B838" s="43">
        <v>100518238</v>
      </c>
      <c r="C838" s="44" t="s">
        <v>1019</v>
      </c>
      <c r="D838" s="45"/>
      <c r="E838" s="45" t="str">
        <f>IF(ISERR(FIND("BRASIL",PRODUCTO_MI_AR68[[#This Row],[NOM PRODUCTO]])),"","ME")</f>
        <v>ME</v>
      </c>
      <c r="F838" s="44" t="s">
        <v>16</v>
      </c>
      <c r="G838" s="44" t="s">
        <v>17</v>
      </c>
      <c r="H838" s="44" t="s">
        <v>18</v>
      </c>
      <c r="I838" s="44" t="s">
        <v>101</v>
      </c>
      <c r="J838" s="44" t="s">
        <v>28</v>
      </c>
      <c r="K838" s="44" t="s">
        <v>356</v>
      </c>
      <c r="L838" s="44" t="s">
        <v>1020</v>
      </c>
      <c r="M838" s="44" t="s">
        <v>29</v>
      </c>
      <c r="N838" s="44" t="str">
        <f>IF(ISERR(FIND("CONG",PRODUCTO_MI_AR68[[#This Row],[NOM PRODUCTO]])),"","CONGELADO")</f>
        <v>CONGELADO</v>
      </c>
      <c r="O838" s="46" t="s">
        <v>24</v>
      </c>
      <c r="P838"/>
      <c r="Q838" s="4"/>
      <c r="R838" s="4"/>
      <c r="S838" s="4"/>
      <c r="T838" s="4"/>
      <c r="U838" s="4"/>
    </row>
    <row r="839" spans="2:21" ht="18" hidden="1" customHeight="1" thickTop="1" thickBot="1" x14ac:dyDescent="0.3">
      <c r="B839" s="43">
        <v>100519648</v>
      </c>
      <c r="C839" s="44" t="s">
        <v>1021</v>
      </c>
      <c r="D839" s="45"/>
      <c r="E839" s="45" t="str">
        <f>IF(ISERR(FIND("PUL",PRODUCTO_MI_AR68[[#This Row],[NOM PRODUCTO]])),"","ME")</f>
        <v>ME</v>
      </c>
      <c r="F839" s="44" t="s">
        <v>16</v>
      </c>
      <c r="G839" s="44" t="s">
        <v>17</v>
      </c>
      <c r="H839" s="44" t="s">
        <v>18</v>
      </c>
      <c r="I839" s="44" t="s">
        <v>101</v>
      </c>
      <c r="J839" s="44" t="s">
        <v>28</v>
      </c>
      <c r="K839" s="44" t="s">
        <v>356</v>
      </c>
      <c r="L839" s="44" t="s">
        <v>1020</v>
      </c>
      <c r="M839" s="44" t="s">
        <v>29</v>
      </c>
      <c r="N839" s="44" t="s">
        <v>23</v>
      </c>
      <c r="O839" s="46" t="s">
        <v>24</v>
      </c>
      <c r="P839"/>
      <c r="Q839" s="4"/>
      <c r="R839" s="4"/>
      <c r="S839" s="4"/>
      <c r="T839" s="4"/>
      <c r="U839" s="4"/>
    </row>
    <row r="840" spans="2:21" hidden="1" thickTop="1" thickBot="1" x14ac:dyDescent="0.3">
      <c r="B840" s="43">
        <v>100519771</v>
      </c>
      <c r="C840" s="44" t="s">
        <v>1022</v>
      </c>
      <c r="D840" s="45"/>
      <c r="E840" s="45" t="s">
        <v>15</v>
      </c>
      <c r="F840" s="44" t="s">
        <v>16</v>
      </c>
      <c r="G840" s="44" t="s">
        <v>17</v>
      </c>
      <c r="H840" s="44" t="s">
        <v>18</v>
      </c>
      <c r="I840" s="44" t="s">
        <v>101</v>
      </c>
      <c r="J840" s="44" t="s">
        <v>40</v>
      </c>
      <c r="K840" s="44" t="s">
        <v>356</v>
      </c>
      <c r="L840" s="44" t="s">
        <v>1020</v>
      </c>
      <c r="M840" s="44" t="s">
        <v>217</v>
      </c>
      <c r="N840" s="44" t="str">
        <f>IF(ISERR(FIND("CONG",PRODUCTO_MI_AR68[[#This Row],[NOM PRODUCTO]])),"","CONGELADO")</f>
        <v>CONGELADO</v>
      </c>
      <c r="O840" s="46" t="s">
        <v>24</v>
      </c>
      <c r="P840"/>
      <c r="Q840" s="4"/>
      <c r="R840" s="4"/>
      <c r="S840" s="4"/>
      <c r="T840" s="4"/>
      <c r="U840" s="4"/>
    </row>
    <row r="841" spans="2:21" ht="18" hidden="1" customHeight="1" thickTop="1" thickBot="1" x14ac:dyDescent="0.3">
      <c r="B841" s="43">
        <v>100518245</v>
      </c>
      <c r="C841" s="44" t="s">
        <v>1023</v>
      </c>
      <c r="D841" s="45"/>
      <c r="E841" s="45" t="str">
        <f>IF(ISERR(FIND("BRASIL",PRODUCTO_MI_AR68[[#This Row],[NOM PRODUCTO]])),"","ME")</f>
        <v>ME</v>
      </c>
      <c r="F841" s="44" t="s">
        <v>16</v>
      </c>
      <c r="G841" s="44" t="s">
        <v>17</v>
      </c>
      <c r="H841" s="44" t="s">
        <v>18</v>
      </c>
      <c r="I841" s="44" t="s">
        <v>101</v>
      </c>
      <c r="J841" s="44" t="s">
        <v>28</v>
      </c>
      <c r="K841" s="44" t="s">
        <v>356</v>
      </c>
      <c r="L841" s="44" t="s">
        <v>1020</v>
      </c>
      <c r="M841" s="44" t="s">
        <v>29</v>
      </c>
      <c r="N841" s="44" t="str">
        <f>IF(ISERR(FIND("CONG",PRODUCTO_MI_AR68[[#This Row],[NOM PRODUCTO]])),"","CONGELADO")</f>
        <v>CONGELADO</v>
      </c>
      <c r="O841" s="46" t="s">
        <v>24</v>
      </c>
      <c r="P841"/>
      <c r="Q841" s="4"/>
      <c r="R841" s="4"/>
      <c r="S841" s="4"/>
      <c r="T841" s="4"/>
      <c r="U841" s="4"/>
    </row>
    <row r="842" spans="2:21" hidden="1" thickTop="1" thickBot="1" x14ac:dyDescent="0.3">
      <c r="B842" s="43">
        <v>100519951</v>
      </c>
      <c r="C842" s="44" t="s">
        <v>1024</v>
      </c>
      <c r="D842" s="45"/>
      <c r="E842" s="45" t="s">
        <v>15</v>
      </c>
      <c r="F842" s="44" t="s">
        <v>16</v>
      </c>
      <c r="G842" s="44" t="s">
        <v>17</v>
      </c>
      <c r="H842" s="44" t="s">
        <v>18</v>
      </c>
      <c r="I842" s="44" t="s">
        <v>101</v>
      </c>
      <c r="J842" s="44" t="s">
        <v>20</v>
      </c>
      <c r="K842" s="44" t="s">
        <v>356</v>
      </c>
      <c r="L842" s="44" t="s">
        <v>1020</v>
      </c>
      <c r="M842" s="44" t="s">
        <v>22</v>
      </c>
      <c r="N842" s="44" t="str">
        <f>IF(ISERR(FIND("CONG",PRODUCTO_MI_AR68[[#This Row],[NOM PRODUCTO]])),"","CONGELADO")</f>
        <v>CONGELADO</v>
      </c>
      <c r="O842" s="46" t="s">
        <v>24</v>
      </c>
      <c r="P842"/>
      <c r="Q842" s="4"/>
      <c r="R842" s="4"/>
      <c r="S842" s="4"/>
      <c r="T842" s="4"/>
      <c r="U842" s="4"/>
    </row>
    <row r="843" spans="2:21" hidden="1" thickTop="1" thickBot="1" x14ac:dyDescent="0.3">
      <c r="B843" s="43">
        <v>100519772</v>
      </c>
      <c r="C843" s="44" t="s">
        <v>1025</v>
      </c>
      <c r="D843" s="45"/>
      <c r="E843" s="45" t="s">
        <v>15</v>
      </c>
      <c r="F843" s="44" t="s">
        <v>16</v>
      </c>
      <c r="G843" s="44" t="s">
        <v>17</v>
      </c>
      <c r="H843" s="44" t="s">
        <v>18</v>
      </c>
      <c r="I843" s="44" t="s">
        <v>101</v>
      </c>
      <c r="J843" s="44" t="s">
        <v>40</v>
      </c>
      <c r="K843" s="44" t="s">
        <v>356</v>
      </c>
      <c r="L843" s="44" t="s">
        <v>1020</v>
      </c>
      <c r="M843" s="44" t="s">
        <v>217</v>
      </c>
      <c r="N843" s="44" t="str">
        <f>IF(ISERR(FIND("CONG",PRODUCTO_MI_AR68[[#This Row],[NOM PRODUCTO]])),"","CONGELADO")</f>
        <v>CONGELADO</v>
      </c>
      <c r="O843" s="46" t="s">
        <v>24</v>
      </c>
      <c r="P843"/>
      <c r="Q843" s="4"/>
      <c r="R843" s="4"/>
      <c r="S843" s="4"/>
      <c r="T843" s="4"/>
      <c r="U843" s="4"/>
    </row>
    <row r="844" spans="2:21" ht="18" hidden="1" customHeight="1" thickTop="1" thickBot="1" x14ac:dyDescent="0.3">
      <c r="B844" s="43">
        <v>100521478</v>
      </c>
      <c r="C844" s="44" t="s">
        <v>1026</v>
      </c>
      <c r="D844" s="45"/>
      <c r="E844" s="45" t="s">
        <v>15</v>
      </c>
      <c r="F844" s="44" t="s">
        <v>16</v>
      </c>
      <c r="G844" s="44" t="s">
        <v>17</v>
      </c>
      <c r="H844" s="44" t="s">
        <v>18</v>
      </c>
      <c r="I844" s="44" t="s">
        <v>101</v>
      </c>
      <c r="J844" s="44" t="s">
        <v>20</v>
      </c>
      <c r="K844" s="44" t="s">
        <v>356</v>
      </c>
      <c r="L844" s="44" t="s">
        <v>1020</v>
      </c>
      <c r="M844" s="44" t="s">
        <v>1027</v>
      </c>
      <c r="N844" s="44" t="str">
        <f>IF(ISERR(FIND("CONG",PRODUCTO_MI_AR68[[#This Row],[NOM PRODUCTO]])),"","CONGELADO")</f>
        <v>CONGELADO</v>
      </c>
      <c r="O844" s="46" t="s">
        <v>24</v>
      </c>
      <c r="P844"/>
      <c r="Q844" s="4"/>
      <c r="R844" s="4"/>
      <c r="S844" s="4"/>
      <c r="T844" s="4"/>
      <c r="U844" s="4"/>
    </row>
    <row r="845" spans="2:21" hidden="1" thickTop="1" thickBot="1" x14ac:dyDescent="0.3">
      <c r="B845" s="43">
        <v>100517185</v>
      </c>
      <c r="C845" s="44" t="s">
        <v>1028</v>
      </c>
      <c r="D845" s="45"/>
      <c r="E845" s="45" t="str">
        <f>IF(ISERR(FIND("VENTA LOCAL",PRODUCTO_MI_AR68[[#This Row],[NOM PRODUCTO]])),"","MI")</f>
        <v>MI</v>
      </c>
      <c r="F845" s="44" t="s">
        <v>16</v>
      </c>
      <c r="G845" s="44" t="s">
        <v>17</v>
      </c>
      <c r="H845" s="44" t="s">
        <v>18</v>
      </c>
      <c r="I845" s="44" t="s">
        <v>101</v>
      </c>
      <c r="J845" s="44" t="s">
        <v>28</v>
      </c>
      <c r="K845" s="44" t="s">
        <v>356</v>
      </c>
      <c r="L845" s="44" t="s">
        <v>1020</v>
      </c>
      <c r="M845" s="44" t="s">
        <v>57</v>
      </c>
      <c r="N845" s="44" t="str">
        <f>IF(ISERR(FIND("CONG",PRODUCTO_MI_AR68[[#This Row],[NOM PRODUCTO]])),"","CONGELADO")</f>
        <v>CONGELADO</v>
      </c>
      <c r="O845" s="46" t="s">
        <v>24</v>
      </c>
      <c r="P845"/>
      <c r="Q845" s="4"/>
      <c r="R845" s="4"/>
      <c r="S845" s="4"/>
      <c r="T845" s="4"/>
      <c r="U845" s="4"/>
    </row>
    <row r="846" spans="2:21" hidden="1" thickTop="1" thickBot="1" x14ac:dyDescent="0.3">
      <c r="B846" s="43">
        <v>100520006</v>
      </c>
      <c r="C846" s="44" t="s">
        <v>1029</v>
      </c>
      <c r="D846" s="45"/>
      <c r="E846" s="45" t="str">
        <f>IF(ISERR(FIND("PUL",PRODUCTO_MI_AR68[[#This Row],[NOM PRODUCTO]])),"","ME")</f>
        <v>ME</v>
      </c>
      <c r="F846" s="44" t="s">
        <v>16</v>
      </c>
      <c r="G846" s="44" t="s">
        <v>17</v>
      </c>
      <c r="H846" s="44" t="s">
        <v>18</v>
      </c>
      <c r="I846" s="44" t="s">
        <v>101</v>
      </c>
      <c r="J846" s="44" t="s">
        <v>40</v>
      </c>
      <c r="K846" s="44" t="s">
        <v>356</v>
      </c>
      <c r="L846" s="44" t="s">
        <v>1020</v>
      </c>
      <c r="M846" s="44" t="s">
        <v>41</v>
      </c>
      <c r="N846" s="44" t="str">
        <f>IF(ISERR(FIND("CONG",PRODUCTO_MI_AR68[[#This Row],[NOM PRODUCTO]])),"","CONGELADO")</f>
        <v>CONGELADO</v>
      </c>
      <c r="O846" s="46" t="s">
        <v>24</v>
      </c>
      <c r="P846"/>
      <c r="Q846" s="4"/>
      <c r="R846" s="4"/>
      <c r="S846" s="4"/>
      <c r="T846" s="4"/>
      <c r="U846" s="4"/>
    </row>
    <row r="847" spans="2:21" hidden="1" thickTop="1" thickBot="1" x14ac:dyDescent="0.3">
      <c r="B847" s="43">
        <v>100520680</v>
      </c>
      <c r="C847" s="44" t="s">
        <v>1030</v>
      </c>
      <c r="D847" s="45"/>
      <c r="E847" s="45" t="s">
        <v>15</v>
      </c>
      <c r="F847" s="44" t="s">
        <v>16</v>
      </c>
      <c r="G847" s="44" t="s">
        <v>17</v>
      </c>
      <c r="H847" s="44" t="s">
        <v>18</v>
      </c>
      <c r="I847" s="44" t="s">
        <v>101</v>
      </c>
      <c r="J847" s="44" t="s">
        <v>20</v>
      </c>
      <c r="K847" s="44" t="s">
        <v>356</v>
      </c>
      <c r="L847" s="44" t="s">
        <v>1020</v>
      </c>
      <c r="M847" s="44" t="s">
        <v>22</v>
      </c>
      <c r="N847" s="44" t="str">
        <f>IF(ISERR(FIND("CONG",PRODUCTO_MI_AR68[[#This Row],[NOM PRODUCTO]])),"","CONGELADO")</f>
        <v>CONGELADO</v>
      </c>
      <c r="O847" s="46" t="s">
        <v>24</v>
      </c>
      <c r="P847"/>
      <c r="Q847" s="4"/>
      <c r="R847" s="4"/>
      <c r="S847" s="4"/>
      <c r="T847" s="4"/>
      <c r="U847" s="4"/>
    </row>
    <row r="848" spans="2:21" ht="18" hidden="1" customHeight="1" thickTop="1" thickBot="1" x14ac:dyDescent="0.3">
      <c r="B848" s="43">
        <v>100520673</v>
      </c>
      <c r="C848" s="44" t="s">
        <v>1031</v>
      </c>
      <c r="D848" s="45"/>
      <c r="E848" s="45" t="str">
        <f>IF(ISERR(FIND("PUL",PRODUCTO_MI_AR68[[#This Row],[NOM PRODUCTO]])),"","ME")</f>
        <v>ME</v>
      </c>
      <c r="F848" s="44" t="s">
        <v>16</v>
      </c>
      <c r="G848" s="44" t="s">
        <v>17</v>
      </c>
      <c r="H848" s="44" t="s">
        <v>18</v>
      </c>
      <c r="I848" s="44" t="s">
        <v>101</v>
      </c>
      <c r="J848" s="44" t="s">
        <v>28</v>
      </c>
      <c r="K848" s="44" t="s">
        <v>356</v>
      </c>
      <c r="L848" s="44" t="s">
        <v>1020</v>
      </c>
      <c r="M848" s="44" t="s">
        <v>29</v>
      </c>
      <c r="N848" s="44" t="str">
        <f>IF(ISERR(FIND("CONG",PRODUCTO_MI_AR68[[#This Row],[NOM PRODUCTO]])),"","CONGELADO")</f>
        <v>CONGELADO</v>
      </c>
      <c r="O848" s="46" t="s">
        <v>24</v>
      </c>
      <c r="P848"/>
      <c r="Q848" s="4"/>
      <c r="R848" s="4"/>
      <c r="S848" s="4"/>
      <c r="T848" s="4"/>
      <c r="U848" s="4"/>
    </row>
    <row r="849" spans="2:21" ht="18" hidden="1" customHeight="1" thickTop="1" thickBot="1" x14ac:dyDescent="0.3">
      <c r="B849" s="43">
        <v>100520557</v>
      </c>
      <c r="C849" s="44" t="s">
        <v>1032</v>
      </c>
      <c r="D849" s="45"/>
      <c r="E849" s="45" t="str">
        <f>IF(ISERR(FIND("ISRAEL",PRODUCTO_MI_AR68[[#This Row],[NOM PRODUCTO]])),"","ME")</f>
        <v>ME</v>
      </c>
      <c r="F849" s="44" t="s">
        <v>16</v>
      </c>
      <c r="G849" s="44" t="s">
        <v>17</v>
      </c>
      <c r="H849" s="44" t="s">
        <v>18</v>
      </c>
      <c r="I849" s="44" t="s">
        <v>101</v>
      </c>
      <c r="J849" s="44" t="s">
        <v>28</v>
      </c>
      <c r="K849" s="44" t="s">
        <v>356</v>
      </c>
      <c r="L849" s="44" t="s">
        <v>1020</v>
      </c>
      <c r="M849" s="44" t="s">
        <v>29</v>
      </c>
      <c r="N849" s="44" t="s">
        <v>23</v>
      </c>
      <c r="O849" s="46" t="s">
        <v>24</v>
      </c>
      <c r="P849"/>
      <c r="Q849" s="4"/>
      <c r="R849" s="4"/>
      <c r="S849" s="4"/>
      <c r="T849" s="4"/>
      <c r="U849" s="4"/>
    </row>
    <row r="850" spans="2:21" ht="18" hidden="1" customHeight="1" thickTop="1" thickBot="1" x14ac:dyDescent="0.3">
      <c r="B850" s="43">
        <v>100519865</v>
      </c>
      <c r="C850" s="44" t="s">
        <v>1033</v>
      </c>
      <c r="D850" s="45"/>
      <c r="E850" s="45" t="str">
        <f>IF(ISERR(FIND("CLL",PRODUCTO_MI_AR68[[#This Row],[NOM PRODUCTO]])),"","ME")</f>
        <v>ME</v>
      </c>
      <c r="F850" s="44" t="s">
        <v>16</v>
      </c>
      <c r="G850" s="44" t="s">
        <v>17</v>
      </c>
      <c r="H850" s="44" t="s">
        <v>18</v>
      </c>
      <c r="I850" s="44" t="s">
        <v>101</v>
      </c>
      <c r="J850" s="44" t="s">
        <v>20</v>
      </c>
      <c r="K850" s="44" t="s">
        <v>356</v>
      </c>
      <c r="L850" s="44" t="s">
        <v>1020</v>
      </c>
      <c r="M850" s="44" t="s">
        <v>22</v>
      </c>
      <c r="N850" s="44" t="s">
        <v>23</v>
      </c>
      <c r="O850" s="46" t="s">
        <v>24</v>
      </c>
      <c r="P850"/>
      <c r="Q850" s="4"/>
      <c r="R850" s="4"/>
      <c r="S850" s="4"/>
      <c r="T850" s="4"/>
      <c r="U850" s="4"/>
    </row>
    <row r="851" spans="2:21" hidden="1" thickTop="1" thickBot="1" x14ac:dyDescent="0.3">
      <c r="B851" s="43">
        <v>100520457</v>
      </c>
      <c r="C851" s="44" t="s">
        <v>1034</v>
      </c>
      <c r="D851" s="45"/>
      <c r="E851" s="45" t="str">
        <f>IF(ISERR(FIND("CLL",PRODUCTO_MI_AR68[[#This Row],[NOM PRODUCTO]])),"","ME")</f>
        <v>ME</v>
      </c>
      <c r="F851" s="44" t="s">
        <v>16</v>
      </c>
      <c r="G851" s="44" t="s">
        <v>17</v>
      </c>
      <c r="H851" s="44" t="s">
        <v>18</v>
      </c>
      <c r="I851" s="44" t="s">
        <v>101</v>
      </c>
      <c r="J851" s="44" t="s">
        <v>20</v>
      </c>
      <c r="K851" s="44" t="s">
        <v>356</v>
      </c>
      <c r="L851" s="44" t="s">
        <v>1020</v>
      </c>
      <c r="M851" s="44" t="s">
        <v>22</v>
      </c>
      <c r="N851" s="44" t="s">
        <v>23</v>
      </c>
      <c r="O851" s="46" t="s">
        <v>24</v>
      </c>
      <c r="P851"/>
      <c r="Q851" s="4"/>
      <c r="R851" s="4"/>
      <c r="S851" s="4"/>
      <c r="T851" s="4"/>
      <c r="U851" s="4"/>
    </row>
    <row r="852" spans="2:21" hidden="1" thickTop="1" thickBot="1" x14ac:dyDescent="0.3">
      <c r="B852" s="43">
        <v>100013176</v>
      </c>
      <c r="C852" s="44" t="s">
        <v>1035</v>
      </c>
      <c r="D852" s="45"/>
      <c r="E852" s="45" t="str">
        <f>IF(ISERR(FIND("CLL",PRODUCTO_MI_AR68[[#This Row],[NOM PRODUCTO]])),"","ME")</f>
        <v>ME</v>
      </c>
      <c r="F852" s="44" t="s">
        <v>16</v>
      </c>
      <c r="G852" s="44" t="s">
        <v>17</v>
      </c>
      <c r="H852" s="44" t="s">
        <v>18</v>
      </c>
      <c r="I852" s="44" t="s">
        <v>101</v>
      </c>
      <c r="J852" s="44" t="s">
        <v>20</v>
      </c>
      <c r="K852" s="44" t="s">
        <v>356</v>
      </c>
      <c r="L852" s="44" t="s">
        <v>1020</v>
      </c>
      <c r="M852" s="44" t="s">
        <v>22</v>
      </c>
      <c r="N852" s="44" t="s">
        <v>23</v>
      </c>
      <c r="O852" s="46" t="s">
        <v>24</v>
      </c>
      <c r="P852"/>
      <c r="Q852" s="4"/>
      <c r="R852" s="4"/>
      <c r="S852" s="4"/>
      <c r="T852" s="4"/>
      <c r="U852" s="4"/>
    </row>
    <row r="853" spans="2:21" hidden="1" thickTop="1" thickBot="1" x14ac:dyDescent="0.3">
      <c r="B853" s="43">
        <v>100010479</v>
      </c>
      <c r="C853" s="44" t="s">
        <v>1036</v>
      </c>
      <c r="D853" s="45"/>
      <c r="E853" s="45" t="str">
        <f>IF(ISERR(FIND("CLL",PRODUCTO_MI_AR68[[#This Row],[NOM PRODUCTO]])),"","ME")</f>
        <v>ME</v>
      </c>
      <c r="F853" s="44" t="s">
        <v>16</v>
      </c>
      <c r="G853" s="44" t="s">
        <v>17</v>
      </c>
      <c r="H853" s="44" t="s">
        <v>18</v>
      </c>
      <c r="I853" s="44" t="s">
        <v>101</v>
      </c>
      <c r="J853" s="44" t="s">
        <v>20</v>
      </c>
      <c r="K853" s="44" t="s">
        <v>356</v>
      </c>
      <c r="L853" s="44" t="s">
        <v>1020</v>
      </c>
      <c r="M853" s="44" t="s">
        <v>22</v>
      </c>
      <c r="N853" s="44" t="s">
        <v>23</v>
      </c>
      <c r="O853" s="46" t="s">
        <v>24</v>
      </c>
      <c r="P853"/>
      <c r="Q853" s="4"/>
      <c r="R853" s="4"/>
      <c r="S853" s="4"/>
      <c r="T853" s="4"/>
      <c r="U853" s="4"/>
    </row>
    <row r="854" spans="2:21" hidden="1" thickTop="1" thickBot="1" x14ac:dyDescent="0.3">
      <c r="B854" s="43">
        <v>100010128</v>
      </c>
      <c r="C854" s="44" t="s">
        <v>1037</v>
      </c>
      <c r="D854" s="45"/>
      <c r="E854" s="45" t="str">
        <f>IF(ISERR(FIND("CLL",PRODUCTO_MI_AR68[[#This Row],[NOM PRODUCTO]])),"","ME")</f>
        <v>ME</v>
      </c>
      <c r="F854" s="44" t="s">
        <v>16</v>
      </c>
      <c r="G854" s="44" t="s">
        <v>17</v>
      </c>
      <c r="H854" s="44" t="s">
        <v>18</v>
      </c>
      <c r="I854" s="44" t="s">
        <v>101</v>
      </c>
      <c r="J854" s="44" t="s">
        <v>20</v>
      </c>
      <c r="K854" s="44" t="s">
        <v>356</v>
      </c>
      <c r="L854" s="44" t="s">
        <v>1020</v>
      </c>
      <c r="M854" s="44" t="s">
        <v>22</v>
      </c>
      <c r="N854" s="44" t="s">
        <v>23</v>
      </c>
      <c r="O854" s="46" t="s">
        <v>24</v>
      </c>
      <c r="P854"/>
      <c r="Q854" s="4"/>
      <c r="R854" s="4"/>
      <c r="S854" s="4"/>
      <c r="T854" s="4"/>
      <c r="U854" s="4"/>
    </row>
    <row r="855" spans="2:21" hidden="1" thickTop="1" thickBot="1" x14ac:dyDescent="0.3">
      <c r="B855" s="43">
        <v>100517426</v>
      </c>
      <c r="C855" s="44" t="s">
        <v>1038</v>
      </c>
      <c r="D855" s="45"/>
      <c r="E855" s="45" t="str">
        <f>IF(ISERR(FIND("CLL",PRODUCTO_MI_AR68[[#This Row],[NOM PRODUCTO]])),"","ME")</f>
        <v>ME</v>
      </c>
      <c r="F855" s="44" t="s">
        <v>16</v>
      </c>
      <c r="G855" s="44" t="s">
        <v>17</v>
      </c>
      <c r="H855" s="44" t="s">
        <v>18</v>
      </c>
      <c r="I855" s="44" t="s">
        <v>101</v>
      </c>
      <c r="J855" s="44" t="s">
        <v>20</v>
      </c>
      <c r="K855" s="44" t="s">
        <v>356</v>
      </c>
      <c r="L855" s="44" t="s">
        <v>1020</v>
      </c>
      <c r="M855" s="44" t="s">
        <v>22</v>
      </c>
      <c r="N855" s="44" t="s">
        <v>23</v>
      </c>
      <c r="O855" s="46" t="s">
        <v>24</v>
      </c>
      <c r="P855"/>
      <c r="Q855" s="4"/>
      <c r="R855" s="4"/>
      <c r="S855" s="4"/>
      <c r="T855" s="4"/>
      <c r="U855" s="4"/>
    </row>
    <row r="856" spans="2:21" hidden="1" thickTop="1" thickBot="1" x14ac:dyDescent="0.3">
      <c r="B856" s="43">
        <v>100518380</v>
      </c>
      <c r="C856" s="44" t="s">
        <v>1039</v>
      </c>
      <c r="D856" s="45"/>
      <c r="E856" s="45" t="s">
        <v>44</v>
      </c>
      <c r="F856" s="44" t="s">
        <v>16</v>
      </c>
      <c r="G856" s="44" t="s">
        <v>17</v>
      </c>
      <c r="H856" s="44" t="s">
        <v>18</v>
      </c>
      <c r="I856" s="44" t="s">
        <v>101</v>
      </c>
      <c r="J856" s="44" t="s">
        <v>28</v>
      </c>
      <c r="K856" s="44" t="s">
        <v>356</v>
      </c>
      <c r="L856" s="44" t="s">
        <v>1020</v>
      </c>
      <c r="M856" s="44" t="s">
        <v>57</v>
      </c>
      <c r="N856" s="44" t="s">
        <v>23</v>
      </c>
      <c r="O856" s="46" t="s">
        <v>24</v>
      </c>
      <c r="P856"/>
      <c r="Q856" s="4"/>
      <c r="R856" s="4"/>
      <c r="S856" s="4"/>
      <c r="T856" s="4"/>
      <c r="U856" s="4"/>
    </row>
    <row r="857" spans="2:21" hidden="1" thickTop="1" thickBot="1" x14ac:dyDescent="0.3">
      <c r="B857" s="43">
        <v>100011520</v>
      </c>
      <c r="C857" s="44" t="s">
        <v>1040</v>
      </c>
      <c r="D857" s="45"/>
      <c r="E857" s="45" t="s">
        <v>44</v>
      </c>
      <c r="F857" s="44" t="s">
        <v>16</v>
      </c>
      <c r="G857" s="44" t="s">
        <v>17</v>
      </c>
      <c r="H857" s="44" t="s">
        <v>18</v>
      </c>
      <c r="I857" s="44" t="s">
        <v>101</v>
      </c>
      <c r="J857" s="44" t="s">
        <v>28</v>
      </c>
      <c r="K857" s="44" t="s">
        <v>356</v>
      </c>
      <c r="L857" s="44" t="s">
        <v>1020</v>
      </c>
      <c r="M857" s="44" t="s">
        <v>57</v>
      </c>
      <c r="N857" s="44" t="s">
        <v>23</v>
      </c>
      <c r="O857" s="46" t="s">
        <v>24</v>
      </c>
      <c r="P857"/>
      <c r="Q857" s="4"/>
      <c r="R857" s="4"/>
      <c r="S857" s="4"/>
      <c r="T857" s="4"/>
      <c r="U857" s="4"/>
    </row>
    <row r="858" spans="2:21" hidden="1" thickTop="1" thickBot="1" x14ac:dyDescent="0.3">
      <c r="B858" s="43">
        <v>100519502</v>
      </c>
      <c r="C858" s="44" t="s">
        <v>1041</v>
      </c>
      <c r="D858" s="45"/>
      <c r="E858" s="45" t="str">
        <f>IF(ISERR(FIND("PUL",PRODUCTO_MI_AR68[[#This Row],[NOM PRODUCTO]])),"","ME")</f>
        <v>ME</v>
      </c>
      <c r="F858" s="44" t="s">
        <v>16</v>
      </c>
      <c r="G858" s="44" t="s">
        <v>17</v>
      </c>
      <c r="H858" s="44" t="s">
        <v>18</v>
      </c>
      <c r="I858" s="44" t="s">
        <v>101</v>
      </c>
      <c r="J858" s="44" t="s">
        <v>40</v>
      </c>
      <c r="K858" s="44" t="s">
        <v>356</v>
      </c>
      <c r="L858" s="44" t="s">
        <v>1020</v>
      </c>
      <c r="M858" s="44" t="s">
        <v>41</v>
      </c>
      <c r="N858" s="44" t="s">
        <v>23</v>
      </c>
      <c r="O858" s="46" t="s">
        <v>24</v>
      </c>
      <c r="P858"/>
      <c r="Q858" s="4"/>
      <c r="R858" s="4"/>
      <c r="S858" s="4"/>
      <c r="T858" s="4"/>
      <c r="U858" s="4"/>
    </row>
    <row r="859" spans="2:21" hidden="1" thickTop="1" thickBot="1" x14ac:dyDescent="0.3">
      <c r="B859" s="43">
        <v>100519503</v>
      </c>
      <c r="C859" s="44" t="s">
        <v>1042</v>
      </c>
      <c r="D859" s="45"/>
      <c r="E859" s="45" t="str">
        <f>IF(ISERR(FIND("PUL",PRODUCTO_MI_AR68[[#This Row],[NOM PRODUCTO]])),"","ME")</f>
        <v>ME</v>
      </c>
      <c r="F859" s="44" t="s">
        <v>16</v>
      </c>
      <c r="G859" s="44" t="s">
        <v>17</v>
      </c>
      <c r="H859" s="44" t="s">
        <v>18</v>
      </c>
      <c r="I859" s="44" t="s">
        <v>101</v>
      </c>
      <c r="J859" s="44" t="s">
        <v>40</v>
      </c>
      <c r="K859" s="44" t="s">
        <v>356</v>
      </c>
      <c r="L859" s="44" t="s">
        <v>1020</v>
      </c>
      <c r="M859" s="44" t="s">
        <v>41</v>
      </c>
      <c r="N859" s="44" t="s">
        <v>23</v>
      </c>
      <c r="O859" s="46" t="s">
        <v>24</v>
      </c>
      <c r="P859"/>
      <c r="Q859" s="4"/>
      <c r="R859" s="4"/>
      <c r="S859" s="4"/>
      <c r="T859" s="4"/>
      <c r="U859" s="4"/>
    </row>
    <row r="860" spans="2:21" hidden="1" thickTop="1" thickBot="1" x14ac:dyDescent="0.3">
      <c r="B860" s="43">
        <v>100517140</v>
      </c>
      <c r="C860" s="44" t="s">
        <v>1043</v>
      </c>
      <c r="D860" s="45"/>
      <c r="E860" s="45" t="s">
        <v>44</v>
      </c>
      <c r="F860" s="44" t="s">
        <v>16</v>
      </c>
      <c r="G860" s="44" t="s">
        <v>17</v>
      </c>
      <c r="H860" s="44" t="s">
        <v>18</v>
      </c>
      <c r="I860" s="44" t="s">
        <v>101</v>
      </c>
      <c r="J860" s="44" t="s">
        <v>20</v>
      </c>
      <c r="K860" s="44" t="s">
        <v>356</v>
      </c>
      <c r="L860" s="44" t="s">
        <v>1020</v>
      </c>
      <c r="M860" s="44" t="s">
        <v>73</v>
      </c>
      <c r="N860" s="44" t="s">
        <v>23</v>
      </c>
      <c r="O860" s="46" t="s">
        <v>24</v>
      </c>
      <c r="P860"/>
      <c r="Q860" s="4"/>
      <c r="R860" s="4"/>
      <c r="S860" s="4"/>
      <c r="T860" s="4"/>
      <c r="U860" s="4"/>
    </row>
    <row r="861" spans="2:21" hidden="1" thickTop="1" thickBot="1" x14ac:dyDescent="0.3">
      <c r="B861" s="43">
        <v>100518242</v>
      </c>
      <c r="C861" s="44" t="s">
        <v>1044</v>
      </c>
      <c r="D861" s="45"/>
      <c r="E861" s="45" t="str">
        <f>IF(ISERR(FIND("CHILE",PRODUCTO_MI_AR68[[#This Row],[NOM PRODUCTO]])),"","ME")</f>
        <v>ME</v>
      </c>
      <c r="F861" s="44" t="s">
        <v>16</v>
      </c>
      <c r="G861" s="44" t="s">
        <v>17</v>
      </c>
      <c r="H861" s="44" t="s">
        <v>18</v>
      </c>
      <c r="I861" s="44" t="s">
        <v>101</v>
      </c>
      <c r="J861" s="44" t="s">
        <v>28</v>
      </c>
      <c r="K861" s="44" t="s">
        <v>356</v>
      </c>
      <c r="L861" s="44" t="s">
        <v>1020</v>
      </c>
      <c r="M861" s="44" t="s">
        <v>29</v>
      </c>
      <c r="N861" s="44" t="s">
        <v>23</v>
      </c>
      <c r="O861" s="46" t="s">
        <v>24</v>
      </c>
      <c r="P861"/>
      <c r="Q861" s="4"/>
      <c r="R861" s="4"/>
      <c r="S861" s="4"/>
      <c r="T861" s="4"/>
      <c r="U861" s="4"/>
    </row>
    <row r="862" spans="2:21" hidden="1" thickTop="1" thickBot="1" x14ac:dyDescent="0.3">
      <c r="B862" s="43">
        <v>100517651</v>
      </c>
      <c r="C862" s="44" t="s">
        <v>1045</v>
      </c>
      <c r="D862" s="45"/>
      <c r="E862" s="45" t="str">
        <f>IF(ISERR(FIND("CHILE",PRODUCTO_MI_AR68[[#This Row],[NOM PRODUCTO]])),"","ME")</f>
        <v>ME</v>
      </c>
      <c r="F862" s="44" t="s">
        <v>16</v>
      </c>
      <c r="G862" s="44" t="s">
        <v>17</v>
      </c>
      <c r="H862" s="44" t="s">
        <v>18</v>
      </c>
      <c r="I862" s="44" t="s">
        <v>101</v>
      </c>
      <c r="J862" s="44" t="s">
        <v>28</v>
      </c>
      <c r="K862" s="44" t="s">
        <v>356</v>
      </c>
      <c r="L862" s="44" t="s">
        <v>1020</v>
      </c>
      <c r="M862" s="44" t="s">
        <v>29</v>
      </c>
      <c r="N862" s="44" t="s">
        <v>23</v>
      </c>
      <c r="O862" s="46" t="s">
        <v>24</v>
      </c>
      <c r="P862"/>
      <c r="Q862" s="4"/>
      <c r="R862" s="4"/>
      <c r="S862" s="4"/>
      <c r="T862" s="4"/>
      <c r="U862" s="4"/>
    </row>
    <row r="863" spans="2:21" hidden="1" thickTop="1" thickBot="1" x14ac:dyDescent="0.3">
      <c r="B863" s="43">
        <v>100520114</v>
      </c>
      <c r="C863" s="44" t="s">
        <v>1046</v>
      </c>
      <c r="D863" s="45"/>
      <c r="E863" s="45" t="str">
        <f>IF(ISERR(FIND("PUL",PRODUCTO_MI_AR68[[#This Row],[NOM PRODUCTO]])),"","ME")</f>
        <v>ME</v>
      </c>
      <c r="F863" s="44" t="s">
        <v>16</v>
      </c>
      <c r="G863" s="44" t="s">
        <v>17</v>
      </c>
      <c r="H863" s="44" t="s">
        <v>18</v>
      </c>
      <c r="I863" s="44" t="s">
        <v>101</v>
      </c>
      <c r="J863" s="44" t="s">
        <v>40</v>
      </c>
      <c r="K863" s="44" t="s">
        <v>356</v>
      </c>
      <c r="L863" s="44" t="s">
        <v>1020</v>
      </c>
      <c r="M863" s="44" t="s">
        <v>113</v>
      </c>
      <c r="N863" s="44" t="str">
        <f>IF(ISERR(FIND("CONG",PRODUCTO_MI_AR68[[#This Row],[NOM PRODUCTO]])),"","CONGELADO")</f>
        <v>CONGELADO</v>
      </c>
      <c r="O863" s="46" t="s">
        <v>24</v>
      </c>
      <c r="P863"/>
      <c r="Q863" s="4"/>
      <c r="R863" s="4"/>
      <c r="S863" s="4"/>
      <c r="T863" s="4"/>
      <c r="U863" s="4"/>
    </row>
    <row r="864" spans="2:21" hidden="1" thickTop="1" thickBot="1" x14ac:dyDescent="0.3">
      <c r="B864" s="43">
        <v>100520211</v>
      </c>
      <c r="C864" s="44" t="s">
        <v>1047</v>
      </c>
      <c r="D864" s="45"/>
      <c r="E864" s="45" t="str">
        <f>IF(ISERR(FIND("CLL",PRODUCTO_MI_AR68[[#This Row],[NOM PRODUCTO]])),"","ME")</f>
        <v>ME</v>
      </c>
      <c r="F864" s="44" t="s">
        <v>16</v>
      </c>
      <c r="G864" s="44" t="s">
        <v>17</v>
      </c>
      <c r="H864" s="44" t="s">
        <v>18</v>
      </c>
      <c r="I864" s="44" t="s">
        <v>101</v>
      </c>
      <c r="J864" s="44" t="s">
        <v>20</v>
      </c>
      <c r="K864" s="44" t="s">
        <v>356</v>
      </c>
      <c r="L864" s="44" t="s">
        <v>1020</v>
      </c>
      <c r="M864" s="44" t="s">
        <v>22</v>
      </c>
      <c r="N864" s="44" t="str">
        <f>IF(ISERR(FIND("CONG",PRODUCTO_MI_AR68[[#This Row],[NOM PRODUCTO]])),"","CONGELADO")</f>
        <v>CONGELADO</v>
      </c>
      <c r="O864" s="46" t="s">
        <v>24</v>
      </c>
      <c r="P864"/>
      <c r="Q864" s="4"/>
      <c r="R864" s="4"/>
      <c r="S864" s="4"/>
      <c r="T864" s="4"/>
      <c r="U864" s="4"/>
    </row>
    <row r="865" spans="2:21" hidden="1" thickTop="1" thickBot="1" x14ac:dyDescent="0.3">
      <c r="B865" s="43">
        <v>100520672</v>
      </c>
      <c r="C865" s="44" t="s">
        <v>1048</v>
      </c>
      <c r="D865" s="45"/>
      <c r="E865" s="45" t="str">
        <f>IF(ISERR(FIND("PUL",PRODUCTO_MI_AR68[[#This Row],[NOM PRODUCTO]])),"","ME")</f>
        <v>ME</v>
      </c>
      <c r="F865" s="44" t="s">
        <v>16</v>
      </c>
      <c r="G865" s="44" t="s">
        <v>17</v>
      </c>
      <c r="H865" s="44" t="s">
        <v>18</v>
      </c>
      <c r="I865" s="44" t="s">
        <v>101</v>
      </c>
      <c r="J865" s="44" t="s">
        <v>28</v>
      </c>
      <c r="K865" s="44" t="s">
        <v>356</v>
      </c>
      <c r="L865" s="44" t="s">
        <v>1020</v>
      </c>
      <c r="M865" s="44" t="s">
        <v>29</v>
      </c>
      <c r="N865" s="44" t="str">
        <f>IF(ISERR(FIND("CONG",PRODUCTO_MI_AR68[[#This Row],[NOM PRODUCTO]])),"","CONGELADO")</f>
        <v>CONGELADO</v>
      </c>
      <c r="O865" s="46" t="s">
        <v>24</v>
      </c>
      <c r="P865"/>
      <c r="Q865" s="4"/>
      <c r="R865" s="4"/>
      <c r="S865" s="4"/>
      <c r="T865" s="4"/>
      <c r="U865" s="4"/>
    </row>
    <row r="866" spans="2:21" hidden="1" thickTop="1" thickBot="1" x14ac:dyDescent="0.3">
      <c r="B866" s="43">
        <v>100521481</v>
      </c>
      <c r="C866" s="44" t="s">
        <v>1049</v>
      </c>
      <c r="D866" s="45"/>
      <c r="E866" s="45" t="s">
        <v>15</v>
      </c>
      <c r="F866" s="44" t="s">
        <v>16</v>
      </c>
      <c r="G866" s="44" t="s">
        <v>17</v>
      </c>
      <c r="H866" s="44" t="s">
        <v>18</v>
      </c>
      <c r="I866" s="44" t="s">
        <v>101</v>
      </c>
      <c r="J866" s="44" t="s">
        <v>20</v>
      </c>
      <c r="K866" s="44" t="s">
        <v>356</v>
      </c>
      <c r="L866" s="44" t="s">
        <v>1020</v>
      </c>
      <c r="M866" s="44" t="s">
        <v>1027</v>
      </c>
      <c r="N866" s="44" t="str">
        <f>IF(ISERR(FIND("CONG",PRODUCTO_MI_AR68[[#This Row],[NOM PRODUCTO]])),"","CONGELADO")</f>
        <v>CONGELADO</v>
      </c>
      <c r="O866" s="46" t="s">
        <v>24</v>
      </c>
      <c r="P866"/>
      <c r="Q866" s="4"/>
      <c r="R866" s="4"/>
      <c r="S866" s="4"/>
      <c r="T866" s="4"/>
      <c r="U866" s="4"/>
    </row>
    <row r="867" spans="2:21" hidden="1" thickTop="1" thickBot="1" x14ac:dyDescent="0.3">
      <c r="B867" s="43">
        <v>100520749</v>
      </c>
      <c r="C867" s="44" t="s">
        <v>1050</v>
      </c>
      <c r="D867" s="45"/>
      <c r="E867" s="45" t="str">
        <f>IF(ISERR(FIND("CHILE",PRODUCTO_MI_AR68[[#This Row],[NOM PRODUCTO]])),"","ME")</f>
        <v>ME</v>
      </c>
      <c r="F867" s="44" t="s">
        <v>16</v>
      </c>
      <c r="G867" s="44" t="s">
        <v>17</v>
      </c>
      <c r="H867" s="44" t="s">
        <v>18</v>
      </c>
      <c r="I867" s="44" t="s">
        <v>101</v>
      </c>
      <c r="J867" s="44" t="s">
        <v>28</v>
      </c>
      <c r="K867" s="44" t="s">
        <v>356</v>
      </c>
      <c r="L867" s="44" t="s">
        <v>1020</v>
      </c>
      <c r="M867" s="44" t="s">
        <v>29</v>
      </c>
      <c r="N867" s="44" t="str">
        <f>IF(ISERR(FIND("CONG",PRODUCTO_MI_AR68[[#This Row],[NOM PRODUCTO]])),"","CONGELADO")</f>
        <v>CONGELADO</v>
      </c>
      <c r="O867" s="46" t="s">
        <v>24</v>
      </c>
      <c r="P867"/>
      <c r="Q867" s="4"/>
      <c r="R867" s="4"/>
      <c r="S867" s="4"/>
      <c r="T867" s="4"/>
      <c r="U867" s="4"/>
    </row>
    <row r="868" spans="2:21" hidden="1" thickTop="1" thickBot="1" x14ac:dyDescent="0.3">
      <c r="B868" s="43">
        <v>100520277</v>
      </c>
      <c r="C868" s="44" t="s">
        <v>1051</v>
      </c>
      <c r="D868" s="45"/>
      <c r="E868" s="45" t="s">
        <v>44</v>
      </c>
      <c r="F868" s="44" t="s">
        <v>16</v>
      </c>
      <c r="G868" s="44" t="s">
        <v>17</v>
      </c>
      <c r="H868" s="44" t="s">
        <v>18</v>
      </c>
      <c r="I868" s="44" t="s">
        <v>101</v>
      </c>
      <c r="J868" s="44" t="s">
        <v>20</v>
      </c>
      <c r="K868" s="44" t="s">
        <v>356</v>
      </c>
      <c r="L868" s="44" t="s">
        <v>1020</v>
      </c>
      <c r="M868" s="44" t="s">
        <v>73</v>
      </c>
      <c r="N868" s="44" t="str">
        <f>IF(ISERR(FIND("CONG",PRODUCTO_MI_AR68[[#This Row],[NOM PRODUCTO]])),"","CONGELADO")</f>
        <v>CONGELADO</v>
      </c>
      <c r="O868" s="46" t="s">
        <v>24</v>
      </c>
      <c r="P868"/>
      <c r="Q868" s="4"/>
      <c r="R868" s="4"/>
      <c r="S868" s="4"/>
      <c r="T868" s="4"/>
      <c r="U868" s="4"/>
    </row>
    <row r="869" spans="2:21" hidden="1" thickTop="1" thickBot="1" x14ac:dyDescent="0.3">
      <c r="B869" s="43">
        <v>100012986</v>
      </c>
      <c r="C869" s="44" t="s">
        <v>1052</v>
      </c>
      <c r="D869" s="45"/>
      <c r="E869" s="45" t="s">
        <v>44</v>
      </c>
      <c r="F869" s="44" t="s">
        <v>16</v>
      </c>
      <c r="G869" s="44" t="s">
        <v>17</v>
      </c>
      <c r="H869" s="44" t="s">
        <v>18</v>
      </c>
      <c r="I869" s="44" t="s">
        <v>231</v>
      </c>
      <c r="J869" s="44" t="s">
        <v>28</v>
      </c>
      <c r="K869" s="44" t="s">
        <v>751</v>
      </c>
      <c r="L869" s="44" t="s">
        <v>1053</v>
      </c>
      <c r="M869" s="44" t="s">
        <v>57</v>
      </c>
      <c r="N869" s="44" t="str">
        <f>IF(ISERR(FIND("CONG",PRODUCTO_MI_AR68[[#This Row],[NOM PRODUCTO]])),"","CONGELADO")</f>
        <v>CONGELADO</v>
      </c>
      <c r="O869" s="46" t="s">
        <v>24</v>
      </c>
      <c r="P869" s="4"/>
      <c r="Q869" s="4"/>
      <c r="R869" s="4"/>
      <c r="S869" s="4"/>
      <c r="T869" s="4"/>
      <c r="U869" s="4"/>
    </row>
    <row r="870" spans="2:21" hidden="1" thickTop="1" thickBot="1" x14ac:dyDescent="0.3">
      <c r="B870" s="43">
        <v>100010688</v>
      </c>
      <c r="C870" s="44" t="s">
        <v>1054</v>
      </c>
      <c r="D870" s="45"/>
      <c r="E870" s="45" t="s">
        <v>44</v>
      </c>
      <c r="F870" s="44" t="s">
        <v>16</v>
      </c>
      <c r="G870" s="44" t="s">
        <v>17</v>
      </c>
      <c r="H870" s="44" t="s">
        <v>18</v>
      </c>
      <c r="I870" s="44" t="s">
        <v>231</v>
      </c>
      <c r="J870" s="44" t="s">
        <v>28</v>
      </c>
      <c r="K870" s="44" t="s">
        <v>751</v>
      </c>
      <c r="L870" s="44" t="s">
        <v>1053</v>
      </c>
      <c r="M870" s="44" t="s">
        <v>57</v>
      </c>
      <c r="N870" s="44" t="s">
        <v>23</v>
      </c>
      <c r="O870" s="46" t="s">
        <v>24</v>
      </c>
      <c r="P870" s="4"/>
      <c r="Q870" s="4"/>
      <c r="R870" s="4"/>
      <c r="S870" s="4"/>
      <c r="T870" s="4"/>
      <c r="U870" s="4"/>
    </row>
    <row r="871" spans="2:21" hidden="1" thickTop="1" thickBot="1" x14ac:dyDescent="0.3">
      <c r="B871" s="43">
        <v>100013153</v>
      </c>
      <c r="C871" s="44" t="s">
        <v>1055</v>
      </c>
      <c r="D871" s="45"/>
      <c r="E871" s="45" t="str">
        <f>IF(ISERR(FIND("(L)",PRODUCTO_MI_AR68[[#This Row],[NOM PRODUCTO]])),"","MI")</f>
        <v>MI</v>
      </c>
      <c r="F871" s="44" t="s">
        <v>16</v>
      </c>
      <c r="G871" s="44" t="s">
        <v>17</v>
      </c>
      <c r="H871" s="44" t="s">
        <v>18</v>
      </c>
      <c r="I871" s="44" t="s">
        <v>231</v>
      </c>
      <c r="J871" s="44" t="s">
        <v>28</v>
      </c>
      <c r="K871" s="44" t="s">
        <v>751</v>
      </c>
      <c r="L871" s="44" t="s">
        <v>1053</v>
      </c>
      <c r="M871" s="44" t="s">
        <v>57</v>
      </c>
      <c r="N871" s="44" t="s">
        <v>23</v>
      </c>
      <c r="O871" s="46" t="s">
        <v>24</v>
      </c>
      <c r="P871" s="4"/>
      <c r="Q871" s="4"/>
      <c r="R871" s="4"/>
      <c r="S871" s="4"/>
      <c r="T871" s="4"/>
      <c r="U871" s="4"/>
    </row>
    <row r="872" spans="2:21" hidden="1" thickTop="1" thickBot="1" x14ac:dyDescent="0.3">
      <c r="B872" s="43">
        <v>100010049</v>
      </c>
      <c r="C872" s="44" t="s">
        <v>1056</v>
      </c>
      <c r="D872" s="45"/>
      <c r="E872" s="45" t="str">
        <f>IF(ISERR(FIND("CLL",PRODUCTO_MI_AR68[[#This Row],[NOM PRODUCTO]])),"","ME")</f>
        <v>ME</v>
      </c>
      <c r="F872" s="44" t="s">
        <v>16</v>
      </c>
      <c r="G872" s="44" t="s">
        <v>17</v>
      </c>
      <c r="H872" s="44" t="s">
        <v>18</v>
      </c>
      <c r="I872" s="44" t="s">
        <v>19</v>
      </c>
      <c r="J872" s="44" t="s">
        <v>20</v>
      </c>
      <c r="K872" s="44" t="s">
        <v>407</v>
      </c>
      <c r="L872" s="44" t="s">
        <v>1057</v>
      </c>
      <c r="M872" s="44" t="s">
        <v>22</v>
      </c>
      <c r="N872" s="44" t="str">
        <f>IF(ISERR(FIND("CONG",PRODUCTO_MI_AR68[[#This Row],[NOM PRODUCTO]])),"","CONGELADO")</f>
        <v>CONGELADO</v>
      </c>
      <c r="O872" s="46" t="s">
        <v>58</v>
      </c>
      <c r="P872" s="4"/>
      <c r="Q872" s="4"/>
      <c r="R872" s="4"/>
      <c r="S872" s="4"/>
      <c r="T872" s="4"/>
      <c r="U872" s="4"/>
    </row>
    <row r="873" spans="2:21" hidden="1" thickTop="1" thickBot="1" x14ac:dyDescent="0.3">
      <c r="B873" s="43">
        <v>100517695</v>
      </c>
      <c r="C873" s="44" t="s">
        <v>1058</v>
      </c>
      <c r="D873" s="45"/>
      <c r="E873" s="45" t="s">
        <v>44</v>
      </c>
      <c r="F873" s="44" t="s">
        <v>16</v>
      </c>
      <c r="G873" s="44" t="s">
        <v>17</v>
      </c>
      <c r="H873" s="44" t="s">
        <v>18</v>
      </c>
      <c r="I873" s="44" t="s">
        <v>19</v>
      </c>
      <c r="J873" s="44" t="s">
        <v>20</v>
      </c>
      <c r="K873" s="44" t="s">
        <v>407</v>
      </c>
      <c r="L873" s="44" t="s">
        <v>1057</v>
      </c>
      <c r="M873" s="44" t="s">
        <v>73</v>
      </c>
      <c r="N873" s="44" t="str">
        <f>IF(ISERR(FIND("CONG",PRODUCTO_MI_AR68[[#This Row],[NOM PRODUCTO]])),"","CONGELADO")</f>
        <v>CONGELADO</v>
      </c>
      <c r="O873" s="46" t="s">
        <v>58</v>
      </c>
      <c r="P873" s="4"/>
      <c r="Q873" s="4"/>
      <c r="R873" s="4"/>
      <c r="S873" s="4"/>
      <c r="T873" s="4"/>
      <c r="U873" s="4"/>
    </row>
    <row r="874" spans="2:21" hidden="1" thickTop="1" thickBot="1" x14ac:dyDescent="0.3">
      <c r="B874" s="43">
        <v>100517838</v>
      </c>
      <c r="C874" s="44" t="s">
        <v>1059</v>
      </c>
      <c r="D874" s="45"/>
      <c r="E874" s="45" t="s">
        <v>44</v>
      </c>
      <c r="F874" s="44" t="s">
        <v>16</v>
      </c>
      <c r="G874" s="44" t="s">
        <v>17</v>
      </c>
      <c r="H874" s="44" t="s">
        <v>18</v>
      </c>
      <c r="I874" s="44" t="s">
        <v>19</v>
      </c>
      <c r="J874" s="44" t="s">
        <v>20</v>
      </c>
      <c r="K874" s="44" t="s">
        <v>407</v>
      </c>
      <c r="L874" s="44" t="s">
        <v>1057</v>
      </c>
      <c r="M874" s="44" t="s">
        <v>73</v>
      </c>
      <c r="N874" s="44" t="str">
        <f>IF(ISERR(FIND("CONG",PRODUCTO_MI_AR68[[#This Row],[NOM PRODUCTO]])),"","CONGELADO")</f>
        <v>CONGELADO</v>
      </c>
      <c r="O874" s="46" t="s">
        <v>58</v>
      </c>
      <c r="P874" s="4"/>
      <c r="Q874" s="4"/>
      <c r="R874" s="4"/>
      <c r="S874" s="4"/>
      <c r="T874" s="4"/>
      <c r="U874" s="4"/>
    </row>
    <row r="875" spans="2:21" hidden="1" thickTop="1" thickBot="1" x14ac:dyDescent="0.3">
      <c r="B875" s="43">
        <v>100518051</v>
      </c>
      <c r="C875" s="44" t="s">
        <v>1060</v>
      </c>
      <c r="D875" s="45"/>
      <c r="E875" s="45" t="s">
        <v>44</v>
      </c>
      <c r="F875" s="44" t="s">
        <v>16</v>
      </c>
      <c r="G875" s="44" t="s">
        <v>17</v>
      </c>
      <c r="H875" s="44" t="s">
        <v>18</v>
      </c>
      <c r="I875" s="44" t="s">
        <v>101</v>
      </c>
      <c r="J875" s="44" t="s">
        <v>28</v>
      </c>
      <c r="K875" s="44" t="s">
        <v>407</v>
      </c>
      <c r="L875" s="44" t="s">
        <v>1057</v>
      </c>
      <c r="M875" s="44" t="s">
        <v>192</v>
      </c>
      <c r="N875" s="44" t="s">
        <v>193</v>
      </c>
      <c r="O875" s="46" t="s">
        <v>58</v>
      </c>
      <c r="P875" s="4"/>
      <c r="Q875" s="4"/>
      <c r="R875" s="4"/>
      <c r="S875" s="4"/>
      <c r="T875" s="4"/>
      <c r="U875" s="4"/>
    </row>
    <row r="876" spans="2:21" hidden="1" thickTop="1" thickBot="1" x14ac:dyDescent="0.3">
      <c r="B876" s="43">
        <v>100518879</v>
      </c>
      <c r="C876" s="44" t="s">
        <v>1061</v>
      </c>
      <c r="D876" s="45"/>
      <c r="E876" s="45" t="str">
        <f>IF(ISERR(FIND("HK",PRODUCTO_MI_AR68[[#This Row],[NOM PRODUCTO]])),"","ME")</f>
        <v>ME</v>
      </c>
      <c r="F876" s="44" t="s">
        <v>16</v>
      </c>
      <c r="G876" s="44" t="s">
        <v>17</v>
      </c>
      <c r="H876" s="44" t="s">
        <v>18</v>
      </c>
      <c r="I876" s="44" t="s">
        <v>319</v>
      </c>
      <c r="J876" s="44" t="s">
        <v>28</v>
      </c>
      <c r="K876" s="44" t="s">
        <v>320</v>
      </c>
      <c r="L876" s="44" t="s">
        <v>1062</v>
      </c>
      <c r="M876" s="44" t="s">
        <v>29</v>
      </c>
      <c r="N876" s="44" t="str">
        <f>IF(ISERR(FIND("CONG",PRODUCTO_MI_AR68[[#This Row],[NOM PRODUCTO]])),"","CONGELADO")</f>
        <v>CONGELADO</v>
      </c>
      <c r="O876" s="46" t="s">
        <v>24</v>
      </c>
      <c r="P876" s="4"/>
      <c r="Q876" s="4"/>
      <c r="R876" s="4"/>
      <c r="S876" s="4"/>
      <c r="T876" s="4"/>
      <c r="U876" s="4"/>
    </row>
    <row r="877" spans="2:21" hidden="1" thickTop="1" thickBot="1" x14ac:dyDescent="0.3">
      <c r="B877" s="43">
        <v>100016155</v>
      </c>
      <c r="C877" s="44" t="s">
        <v>1063</v>
      </c>
      <c r="D877" s="45"/>
      <c r="E877" s="45" t="s">
        <v>44</v>
      </c>
      <c r="F877" s="44" t="s">
        <v>16</v>
      </c>
      <c r="G877" s="44" t="s">
        <v>17</v>
      </c>
      <c r="H877" s="44" t="s">
        <v>18</v>
      </c>
      <c r="I877" s="44" t="s">
        <v>97</v>
      </c>
      <c r="J877" s="44" t="s">
        <v>28</v>
      </c>
      <c r="K877" s="44" t="s">
        <v>98</v>
      </c>
      <c r="L877" s="44" t="s">
        <v>1064</v>
      </c>
      <c r="M877" s="44" t="s">
        <v>62</v>
      </c>
      <c r="N877" s="44" t="str">
        <f>IF(ISERR(FIND("CONG",PRODUCTO_MI_AR68[[#This Row],[NOM PRODUCTO]])),"","CONGELADO")</f>
        <v>CONGELADO</v>
      </c>
      <c r="O877" s="46" t="s">
        <v>98</v>
      </c>
      <c r="P877" s="4"/>
      <c r="Q877" s="4"/>
      <c r="R877" s="4"/>
      <c r="S877" s="4"/>
      <c r="T877" s="4"/>
      <c r="U877" s="4"/>
    </row>
    <row r="878" spans="2:21" hidden="1" thickTop="1" thickBot="1" x14ac:dyDescent="0.3">
      <c r="B878" s="43">
        <v>100517493</v>
      </c>
      <c r="C878" s="44" t="s">
        <v>1065</v>
      </c>
      <c r="D878" s="45" t="s">
        <v>212</v>
      </c>
      <c r="E878" s="45" t="s">
        <v>15</v>
      </c>
      <c r="F878" s="44" t="s">
        <v>228</v>
      </c>
      <c r="G878" s="44" t="s">
        <v>17</v>
      </c>
      <c r="H878" s="44" t="s">
        <v>213</v>
      </c>
      <c r="I878" s="44" t="s">
        <v>46</v>
      </c>
      <c r="J878" s="44" t="s">
        <v>28</v>
      </c>
      <c r="K878" s="44" t="str">
        <f>PRODUCTO_MI_AR68[[#This Row],[NOM SUBFAMILIA COMERCIAL]]</f>
        <v>REBOZADO DE POLLO</v>
      </c>
      <c r="L878" s="44" t="s">
        <v>223</v>
      </c>
      <c r="M878" s="44" t="s">
        <v>228</v>
      </c>
      <c r="N878" s="44" t="s">
        <v>193</v>
      </c>
      <c r="O878" s="46" t="s">
        <v>49</v>
      </c>
      <c r="P878" s="4"/>
      <c r="Q878" s="4"/>
      <c r="R878" s="4"/>
      <c r="S878" s="4"/>
      <c r="T878" s="4"/>
      <c r="U878" s="4"/>
    </row>
    <row r="879" spans="2:21" hidden="1" thickTop="1" thickBot="1" x14ac:dyDescent="0.3">
      <c r="B879" s="43">
        <v>100517494</v>
      </c>
      <c r="C879" s="44" t="s">
        <v>1066</v>
      </c>
      <c r="D879" s="45" t="s">
        <v>212</v>
      </c>
      <c r="E879" s="45" t="s">
        <v>15</v>
      </c>
      <c r="F879" s="44" t="s">
        <v>228</v>
      </c>
      <c r="G879" s="44" t="s">
        <v>17</v>
      </c>
      <c r="H879" s="44" t="s">
        <v>213</v>
      </c>
      <c r="I879" s="44" t="s">
        <v>46</v>
      </c>
      <c r="J879" s="44" t="s">
        <v>28</v>
      </c>
      <c r="K879" s="44" t="str">
        <f>PRODUCTO_MI_AR68[[#This Row],[NOM SUBFAMILIA COMERCIAL]]</f>
        <v>REBOZADO DE POLLO</v>
      </c>
      <c r="L879" s="44" t="s">
        <v>223</v>
      </c>
      <c r="M879" s="44" t="s">
        <v>228</v>
      </c>
      <c r="N879" s="44" t="s">
        <v>193</v>
      </c>
      <c r="O879" s="46" t="s">
        <v>49</v>
      </c>
      <c r="P879" s="4"/>
      <c r="Q879" s="4"/>
      <c r="R879" s="4"/>
      <c r="S879" s="4"/>
      <c r="T879" s="4"/>
      <c r="U879" s="4"/>
    </row>
    <row r="880" spans="2:21" hidden="1" thickTop="1" thickBot="1" x14ac:dyDescent="0.3">
      <c r="B880" s="43">
        <v>100016156</v>
      </c>
      <c r="C880" s="44" t="s">
        <v>1067</v>
      </c>
      <c r="D880" s="45"/>
      <c r="E880" s="45" t="s">
        <v>44</v>
      </c>
      <c r="F880" s="44" t="s">
        <v>16</v>
      </c>
      <c r="G880" s="44" t="s">
        <v>17</v>
      </c>
      <c r="H880" s="44" t="s">
        <v>18</v>
      </c>
      <c r="I880" s="44" t="s">
        <v>97</v>
      </c>
      <c r="J880" s="44" t="s">
        <v>28</v>
      </c>
      <c r="K880" s="44" t="s">
        <v>98</v>
      </c>
      <c r="L880" s="44" t="s">
        <v>1068</v>
      </c>
      <c r="M880" s="44" t="s">
        <v>62</v>
      </c>
      <c r="N880" s="44" t="str">
        <f>IF(ISERR(FIND("CONG",PRODUCTO_MI_AR68[[#This Row],[NOM PRODUCTO]])),"","CONGELADO")</f>
        <v>CONGELADO</v>
      </c>
      <c r="O880" s="46" t="s">
        <v>98</v>
      </c>
      <c r="P880" s="4"/>
      <c r="Q880" s="4"/>
      <c r="R880" s="4"/>
      <c r="S880" s="4"/>
      <c r="T880" s="4"/>
      <c r="U880" s="4"/>
    </row>
    <row r="881" spans="2:21" hidden="1" thickTop="1" thickBot="1" x14ac:dyDescent="0.3">
      <c r="B881" s="43">
        <v>100517839</v>
      </c>
      <c r="C881" s="44" t="s">
        <v>1069</v>
      </c>
      <c r="D881" s="45"/>
      <c r="E881" s="45" t="s">
        <v>44</v>
      </c>
      <c r="F881" s="44" t="s">
        <v>16</v>
      </c>
      <c r="G881" s="44" t="s">
        <v>17</v>
      </c>
      <c r="H881" s="44" t="s">
        <v>18</v>
      </c>
      <c r="I881" s="44" t="s">
        <v>19</v>
      </c>
      <c r="J881" s="44" t="s">
        <v>20</v>
      </c>
      <c r="K881" s="44" t="s">
        <v>407</v>
      </c>
      <c r="L881" s="44" t="s">
        <v>1070</v>
      </c>
      <c r="M881" s="44" t="s">
        <v>73</v>
      </c>
      <c r="N881" s="44" t="str">
        <f>IF(ISERR(FIND("CONG",PRODUCTO_MI_AR68[[#This Row],[NOM PRODUCTO]])),"","CONGELADO")</f>
        <v>CONGELADO</v>
      </c>
      <c r="O881" s="46" t="s">
        <v>58</v>
      </c>
      <c r="P881" s="4"/>
      <c r="Q881" s="4"/>
      <c r="R881" s="4"/>
      <c r="S881" s="4"/>
      <c r="T881" s="4"/>
      <c r="U881" s="4"/>
    </row>
    <row r="882" spans="2:21" hidden="1" thickTop="1" thickBot="1" x14ac:dyDescent="0.3">
      <c r="B882" s="43">
        <v>100518045</v>
      </c>
      <c r="C882" s="44" t="s">
        <v>1071</v>
      </c>
      <c r="D882" s="45"/>
      <c r="E882" s="45" t="s">
        <v>44</v>
      </c>
      <c r="F882" s="44" t="s">
        <v>16</v>
      </c>
      <c r="G882" s="44" t="s">
        <v>17</v>
      </c>
      <c r="H882" s="44" t="s">
        <v>18</v>
      </c>
      <c r="I882" s="44" t="s">
        <v>101</v>
      </c>
      <c r="J882" s="44" t="s">
        <v>28</v>
      </c>
      <c r="K882" s="44" t="s">
        <v>407</v>
      </c>
      <c r="L882" s="44" t="s">
        <v>1070</v>
      </c>
      <c r="M882" s="44" t="s">
        <v>192</v>
      </c>
      <c r="N882" s="44" t="s">
        <v>193</v>
      </c>
      <c r="O882" s="46" t="s">
        <v>58</v>
      </c>
      <c r="P882" s="4"/>
      <c r="Q882" s="4"/>
      <c r="R882" s="4"/>
      <c r="S882" s="4"/>
      <c r="T882" s="4"/>
      <c r="U882" s="4"/>
    </row>
    <row r="883" spans="2:21" hidden="1" thickTop="1" thickBot="1" x14ac:dyDescent="0.3">
      <c r="B883" s="43">
        <v>100011672</v>
      </c>
      <c r="C883" s="44" t="s">
        <v>1072</v>
      </c>
      <c r="D883" s="45"/>
      <c r="E883" s="45" t="s">
        <v>44</v>
      </c>
      <c r="F883" s="44" t="s">
        <v>16</v>
      </c>
      <c r="G883" s="44" t="s">
        <v>17</v>
      </c>
      <c r="H883" s="44" t="s">
        <v>18</v>
      </c>
      <c r="I883" s="44" t="s">
        <v>231</v>
      </c>
      <c r="J883" s="44" t="s">
        <v>28</v>
      </c>
      <c r="K883" s="44" t="s">
        <v>469</v>
      </c>
      <c r="L883" s="44" t="s">
        <v>1073</v>
      </c>
      <c r="M883" s="44" t="s">
        <v>57</v>
      </c>
      <c r="N883" s="44" t="s">
        <v>23</v>
      </c>
      <c r="O883" s="46" t="s">
        <v>24</v>
      </c>
      <c r="P883" s="4"/>
      <c r="Q883" s="4"/>
      <c r="R883" s="4"/>
      <c r="S883" s="4"/>
      <c r="T883" s="4"/>
      <c r="U883" s="4"/>
    </row>
    <row r="884" spans="2:21" hidden="1" thickTop="1" thickBot="1" x14ac:dyDescent="0.3">
      <c r="B884" s="43">
        <v>100519774</v>
      </c>
      <c r="C884" s="44" t="s">
        <v>1074</v>
      </c>
      <c r="D884" s="45"/>
      <c r="E884" s="45" t="str">
        <f>IF(ISERR(FIND("CHILE",PRODUCTO_MI_AR68[[#This Row],[NOM PRODUCTO]])),"","ME")</f>
        <v>ME</v>
      </c>
      <c r="F884" s="44" t="s">
        <v>16</v>
      </c>
      <c r="G884" s="44" t="s">
        <v>17</v>
      </c>
      <c r="H884" s="44" t="s">
        <v>18</v>
      </c>
      <c r="I884" s="44" t="s">
        <v>231</v>
      </c>
      <c r="J884" s="44" t="s">
        <v>28</v>
      </c>
      <c r="K884" s="44" t="s">
        <v>469</v>
      </c>
      <c r="L884" s="44" t="s">
        <v>1073</v>
      </c>
      <c r="M884" s="44" t="s">
        <v>29</v>
      </c>
      <c r="N884" s="44" t="s">
        <v>23</v>
      </c>
      <c r="O884" s="46" t="s">
        <v>24</v>
      </c>
      <c r="P884" s="4"/>
      <c r="Q884" s="4"/>
      <c r="R884" s="4"/>
      <c r="S884" s="4"/>
      <c r="T884" s="4"/>
      <c r="U884" s="4"/>
    </row>
    <row r="885" spans="2:21" hidden="1" thickTop="1" thickBot="1" x14ac:dyDescent="0.3">
      <c r="B885" s="43">
        <v>100519476</v>
      </c>
      <c r="C885" s="44" t="s">
        <v>1075</v>
      </c>
      <c r="D885" s="45"/>
      <c r="E885" s="45" t="str">
        <f>IF(ISERR(FIND("PUL",PRODUCTO_MI_AR68[[#This Row],[NOM PRODUCTO]])),"","ME")</f>
        <v>ME</v>
      </c>
      <c r="F885" s="44" t="s">
        <v>16</v>
      </c>
      <c r="G885" s="44" t="s">
        <v>17</v>
      </c>
      <c r="H885" s="44" t="s">
        <v>18</v>
      </c>
      <c r="I885" s="44" t="s">
        <v>231</v>
      </c>
      <c r="J885" s="44" t="s">
        <v>40</v>
      </c>
      <c r="K885" s="44" t="s">
        <v>469</v>
      </c>
      <c r="L885" s="44" t="s">
        <v>1073</v>
      </c>
      <c r="M885" s="44" t="s">
        <v>41</v>
      </c>
      <c r="N885" s="44" t="s">
        <v>23</v>
      </c>
      <c r="O885" s="46" t="s">
        <v>24</v>
      </c>
      <c r="P885" s="4"/>
      <c r="Q885" s="4"/>
      <c r="R885" s="4"/>
      <c r="S885" s="4"/>
      <c r="T885" s="4"/>
      <c r="U885" s="4"/>
    </row>
    <row r="886" spans="2:21" hidden="1" thickTop="1" thickBot="1" x14ac:dyDescent="0.3">
      <c r="B886" s="43">
        <v>100519477</v>
      </c>
      <c r="C886" s="44" t="s">
        <v>1076</v>
      </c>
      <c r="D886" s="45"/>
      <c r="E886" s="45" t="str">
        <f>IF(ISERR(FIND("PUL",PRODUCTO_MI_AR68[[#This Row],[NOM PRODUCTO]])),"","ME")</f>
        <v>ME</v>
      </c>
      <c r="F886" s="44" t="s">
        <v>16</v>
      </c>
      <c r="G886" s="44" t="s">
        <v>17</v>
      </c>
      <c r="H886" s="44" t="s">
        <v>18</v>
      </c>
      <c r="I886" s="44" t="s">
        <v>231</v>
      </c>
      <c r="J886" s="44" t="s">
        <v>40</v>
      </c>
      <c r="K886" s="44" t="s">
        <v>469</v>
      </c>
      <c r="L886" s="44" t="s">
        <v>1073</v>
      </c>
      <c r="M886" s="44" t="s">
        <v>41</v>
      </c>
      <c r="N886" s="44" t="s">
        <v>23</v>
      </c>
      <c r="O886" s="46" t="s">
        <v>24</v>
      </c>
      <c r="P886" s="4"/>
      <c r="Q886" s="4"/>
      <c r="R886" s="4"/>
      <c r="S886" s="4"/>
      <c r="T886" s="4"/>
      <c r="U886" s="4"/>
    </row>
    <row r="887" spans="2:21" hidden="1" thickTop="1" thickBot="1" x14ac:dyDescent="0.3">
      <c r="B887" s="43">
        <v>100519479</v>
      </c>
      <c r="C887" s="44" t="s">
        <v>1077</v>
      </c>
      <c r="D887" s="45"/>
      <c r="E887" s="45" t="str">
        <f>IF(ISERR(FIND("PUL",PRODUCTO_MI_AR68[[#This Row],[NOM PRODUCTO]])),"","ME")</f>
        <v>ME</v>
      </c>
      <c r="F887" s="44" t="s">
        <v>16</v>
      </c>
      <c r="G887" s="44" t="s">
        <v>17</v>
      </c>
      <c r="H887" s="44" t="s">
        <v>18</v>
      </c>
      <c r="I887" s="44" t="s">
        <v>231</v>
      </c>
      <c r="J887" s="44" t="s">
        <v>40</v>
      </c>
      <c r="K887" s="44" t="s">
        <v>469</v>
      </c>
      <c r="L887" s="44" t="s">
        <v>1073</v>
      </c>
      <c r="M887" s="44" t="s">
        <v>41</v>
      </c>
      <c r="N887" s="44" t="s">
        <v>23</v>
      </c>
      <c r="O887" s="46" t="s">
        <v>24</v>
      </c>
      <c r="P887" s="4"/>
      <c r="Q887" s="4"/>
      <c r="R887" s="4"/>
      <c r="S887" s="4"/>
      <c r="T887" s="4"/>
      <c r="U887" s="4"/>
    </row>
    <row r="888" spans="2:21" hidden="1" thickTop="1" thickBot="1" x14ac:dyDescent="0.3">
      <c r="B888" s="43">
        <v>100016009</v>
      </c>
      <c r="C888" s="44" t="s">
        <v>1078</v>
      </c>
      <c r="D888" s="45"/>
      <c r="E888" s="45" t="str">
        <f>IF(ISERR(FIND("VENTA LOCAL",PRODUCTO_MI_AR68[[#This Row],[NOM PRODUCTO]])),"","MI")</f>
        <v>MI</v>
      </c>
      <c r="F888" s="44" t="s">
        <v>16</v>
      </c>
      <c r="G888" s="44" t="s">
        <v>17</v>
      </c>
      <c r="H888" s="44" t="s">
        <v>18</v>
      </c>
      <c r="I888" s="44" t="s">
        <v>319</v>
      </c>
      <c r="J888" s="44" t="s">
        <v>28</v>
      </c>
      <c r="K888" s="44" t="s">
        <v>320</v>
      </c>
      <c r="L888" s="44" t="s">
        <v>1079</v>
      </c>
      <c r="M888" s="44" t="s">
        <v>57</v>
      </c>
      <c r="N888" s="44" t="str">
        <f>IF(ISERR(FIND("CONG",PRODUCTO_MI_AR68[[#This Row],[NOM PRODUCTO]])),"","CONGELADO")</f>
        <v>CONGELADO</v>
      </c>
      <c r="O888" s="46" t="s">
        <v>24</v>
      </c>
      <c r="P888" s="4"/>
      <c r="Q888" s="4"/>
      <c r="R888" s="4"/>
      <c r="S888" s="4"/>
      <c r="T888" s="4"/>
      <c r="U888" s="4"/>
    </row>
    <row r="889" spans="2:21" hidden="1" thickTop="1" thickBot="1" x14ac:dyDescent="0.3">
      <c r="B889" s="43">
        <v>100520865</v>
      </c>
      <c r="C889" s="44" t="s">
        <v>1080</v>
      </c>
      <c r="D889" s="45"/>
      <c r="E889" s="45" t="str">
        <f>IF(ISERR(FIND("VENTA LOCAL",PRODUCTO_MI_AR68[[#This Row],[NOM PRODUCTO]])),"","MI")</f>
        <v>MI</v>
      </c>
      <c r="F889" s="44" t="s">
        <v>16</v>
      </c>
      <c r="G889" s="44" t="s">
        <v>17</v>
      </c>
      <c r="H889" s="44" t="s">
        <v>18</v>
      </c>
      <c r="I889" s="44" t="s">
        <v>319</v>
      </c>
      <c r="J889" s="44" t="s">
        <v>28</v>
      </c>
      <c r="K889" s="44" t="s">
        <v>320</v>
      </c>
      <c r="L889" s="44" t="s">
        <v>1079</v>
      </c>
      <c r="M889" s="44" t="s">
        <v>57</v>
      </c>
      <c r="N889" s="44" t="str">
        <f>IF(ISERR(FIND("CONG",PRODUCTO_MI_AR68[[#This Row],[NOM PRODUCTO]])),"","CONGELADO")</f>
        <v>CONGELADO</v>
      </c>
      <c r="O889" s="46" t="s">
        <v>24</v>
      </c>
      <c r="P889" s="4"/>
      <c r="Q889" s="4"/>
      <c r="R889" s="4"/>
      <c r="S889" s="4"/>
      <c r="T889" s="4"/>
      <c r="U889" s="4"/>
    </row>
    <row r="890" spans="2:21" hidden="1" thickTop="1" thickBot="1" x14ac:dyDescent="0.3">
      <c r="B890" s="43">
        <v>100517054</v>
      </c>
      <c r="C890" s="44" t="s">
        <v>1081</v>
      </c>
      <c r="D890" s="45"/>
      <c r="E890" s="45" t="s">
        <v>44</v>
      </c>
      <c r="F890" s="44" t="s">
        <v>16</v>
      </c>
      <c r="G890" s="44" t="s">
        <v>17</v>
      </c>
      <c r="H890" s="44" t="s">
        <v>18</v>
      </c>
      <c r="I890" s="44" t="s">
        <v>431</v>
      </c>
      <c r="J890" s="44" t="s">
        <v>28</v>
      </c>
      <c r="K890" s="44" t="s">
        <v>432</v>
      </c>
      <c r="L890" s="44" t="s">
        <v>937</v>
      </c>
      <c r="M890" s="44" t="s">
        <v>62</v>
      </c>
      <c r="N890" s="44" t="str">
        <f>IF(ISERR(FIND("CONG",PRODUCTO_MI_AR68[[#This Row],[NOM PRODUCTO]])),"","CONGELADO")</f>
        <v>CONGELADO</v>
      </c>
      <c r="O890" s="46" t="s">
        <v>49</v>
      </c>
      <c r="P890" s="4"/>
      <c r="Q890" s="4"/>
      <c r="R890" s="4"/>
      <c r="S890" s="4"/>
      <c r="T890" s="4"/>
      <c r="U890" s="4"/>
    </row>
    <row r="891" spans="2:21" hidden="1" thickTop="1" thickBot="1" x14ac:dyDescent="0.3">
      <c r="B891" s="43">
        <v>100016222</v>
      </c>
      <c r="C891" s="44" t="s">
        <v>1082</v>
      </c>
      <c r="D891" s="45"/>
      <c r="E891" s="45" t="s">
        <v>44</v>
      </c>
      <c r="F891" s="44" t="s">
        <v>16</v>
      </c>
      <c r="G891" s="44" t="s">
        <v>17</v>
      </c>
      <c r="H891" s="44" t="s">
        <v>18</v>
      </c>
      <c r="I891" s="44" t="s">
        <v>319</v>
      </c>
      <c r="J891" s="44" t="s">
        <v>28</v>
      </c>
      <c r="K891" s="44" t="s">
        <v>320</v>
      </c>
      <c r="L891" s="44" t="s">
        <v>1083</v>
      </c>
      <c r="M891" s="44" t="s">
        <v>57</v>
      </c>
      <c r="N891" s="44" t="str">
        <f>IF(ISERR(FIND("CONG",PRODUCTO_MI_AR68[[#This Row],[NOM PRODUCTO]])),"","CONGELADO")</f>
        <v>CONGELADO</v>
      </c>
      <c r="O891" s="46" t="s">
        <v>24</v>
      </c>
      <c r="P891" s="4"/>
      <c r="Q891" s="4"/>
      <c r="R891" s="4"/>
      <c r="S891" s="4"/>
      <c r="T891" s="4"/>
      <c r="U891" s="4"/>
    </row>
    <row r="892" spans="2:21" hidden="1" thickTop="1" thickBot="1" x14ac:dyDescent="0.3">
      <c r="B892" s="43">
        <v>100520207</v>
      </c>
      <c r="C892" s="44" t="s">
        <v>1084</v>
      </c>
      <c r="D892" s="45"/>
      <c r="E892" s="45" t="str">
        <f>IF(ISERR(FIND("CLL",PRODUCTO_MI_AR68[[#This Row],[NOM PRODUCTO]])),"","ME")</f>
        <v>ME</v>
      </c>
      <c r="F892" s="44" t="s">
        <v>16</v>
      </c>
      <c r="G892" s="44" t="s">
        <v>17</v>
      </c>
      <c r="H892" s="44" t="s">
        <v>18</v>
      </c>
      <c r="I892" s="44" t="s">
        <v>101</v>
      </c>
      <c r="J892" s="44" t="s">
        <v>20</v>
      </c>
      <c r="K892" s="44" t="s">
        <v>201</v>
      </c>
      <c r="L892" s="44" t="s">
        <v>463</v>
      </c>
      <c r="M892" s="44" t="s">
        <v>22</v>
      </c>
      <c r="N892" s="44" t="str">
        <f>IF(ISERR(FIND("CONG",PRODUCTO_MI_AR68[[#This Row],[NOM PRODUCTO]])),"","CONGELADO")</f>
        <v>CONGELADO</v>
      </c>
      <c r="O892" s="46" t="s">
        <v>24</v>
      </c>
      <c r="P892" s="4"/>
      <c r="Q892" s="4"/>
      <c r="R892" s="4"/>
      <c r="S892" s="4"/>
      <c r="T892" s="4"/>
      <c r="U892" s="4"/>
    </row>
    <row r="893" spans="2:21" hidden="1" thickTop="1" thickBot="1" x14ac:dyDescent="0.3">
      <c r="B893" s="43">
        <v>100010432</v>
      </c>
      <c r="C893" s="44" t="s">
        <v>1085</v>
      </c>
      <c r="D893" s="45"/>
      <c r="E893" s="45" t="s">
        <v>44</v>
      </c>
      <c r="F893" s="44" t="s">
        <v>16</v>
      </c>
      <c r="G893" s="44" t="s">
        <v>17</v>
      </c>
      <c r="H893" s="44" t="s">
        <v>18</v>
      </c>
      <c r="I893" s="44" t="s">
        <v>101</v>
      </c>
      <c r="J893" s="44" t="s">
        <v>28</v>
      </c>
      <c r="K893" s="44" t="s">
        <v>201</v>
      </c>
      <c r="L893" s="44" t="s">
        <v>463</v>
      </c>
      <c r="M893" s="44" t="s">
        <v>57</v>
      </c>
      <c r="N893" s="44" t="str">
        <f>IF(ISERR(FIND("CONG",PRODUCTO_MI_AR68[[#This Row],[NOM PRODUCTO]])),"","CONGELADO")</f>
        <v>CONGELADO</v>
      </c>
      <c r="O893" s="46" t="s">
        <v>24</v>
      </c>
      <c r="P893" s="4"/>
      <c r="Q893" s="4"/>
      <c r="R893" s="4"/>
      <c r="S893" s="4"/>
      <c r="T893" s="4"/>
      <c r="U893" s="4"/>
    </row>
    <row r="894" spans="2:21" hidden="1" thickTop="1" thickBot="1" x14ac:dyDescent="0.3">
      <c r="B894" s="43">
        <v>100013157</v>
      </c>
      <c r="C894" s="44" t="s">
        <v>1086</v>
      </c>
      <c r="D894" s="45"/>
      <c r="E894" s="45" t="str">
        <f>IF(ISERR(FIND("VENTA LOCAL",PRODUCTO_MI_AR68[[#This Row],[NOM PRODUCTO]])),"","MI")</f>
        <v>MI</v>
      </c>
      <c r="F894" s="44" t="s">
        <v>16</v>
      </c>
      <c r="G894" s="44" t="s">
        <v>17</v>
      </c>
      <c r="H894" s="44" t="s">
        <v>18</v>
      </c>
      <c r="I894" s="44" t="s">
        <v>101</v>
      </c>
      <c r="J894" s="44" t="s">
        <v>28</v>
      </c>
      <c r="K894" s="44" t="s">
        <v>201</v>
      </c>
      <c r="L894" s="44" t="s">
        <v>463</v>
      </c>
      <c r="M894" s="44" t="s">
        <v>57</v>
      </c>
      <c r="N894" s="44" t="str">
        <f>IF(ISERR(FIND("CONG",PRODUCTO_MI_AR68[[#This Row],[NOM PRODUCTO]])),"","CONGELADO")</f>
        <v>CONGELADO</v>
      </c>
      <c r="O894" s="46" t="s">
        <v>24</v>
      </c>
      <c r="P894" s="4"/>
      <c r="Q894" s="4"/>
      <c r="R894" s="4"/>
      <c r="S894" s="4"/>
      <c r="T894" s="4"/>
      <c r="U894" s="4"/>
    </row>
    <row r="895" spans="2:21" hidden="1" thickTop="1" thickBot="1" x14ac:dyDescent="0.3">
      <c r="B895" s="43">
        <v>100517146</v>
      </c>
      <c r="C895" s="44" t="s">
        <v>1087</v>
      </c>
      <c r="D895" s="45"/>
      <c r="E895" s="45" t="s">
        <v>44</v>
      </c>
      <c r="F895" s="44" t="s">
        <v>16</v>
      </c>
      <c r="G895" s="44" t="s">
        <v>17</v>
      </c>
      <c r="H895" s="44" t="s">
        <v>18</v>
      </c>
      <c r="I895" s="44" t="s">
        <v>101</v>
      </c>
      <c r="J895" s="44" t="s">
        <v>20</v>
      </c>
      <c r="K895" s="44" t="s">
        <v>201</v>
      </c>
      <c r="L895" s="44" t="s">
        <v>1088</v>
      </c>
      <c r="M895" s="44" t="s">
        <v>73</v>
      </c>
      <c r="N895" s="44" t="s">
        <v>23</v>
      </c>
      <c r="O895" s="46" t="s">
        <v>24</v>
      </c>
      <c r="P895" s="4"/>
      <c r="Q895" s="4"/>
      <c r="R895" s="4"/>
      <c r="S895" s="4"/>
      <c r="T895" s="4"/>
      <c r="U895" s="4"/>
    </row>
    <row r="896" spans="2:21" hidden="1" thickTop="1" thickBot="1" x14ac:dyDescent="0.3">
      <c r="B896" s="43">
        <v>100518227</v>
      </c>
      <c r="C896" s="44" t="s">
        <v>1089</v>
      </c>
      <c r="D896" s="45" t="s">
        <v>43</v>
      </c>
      <c r="E896" s="45" t="s">
        <v>44</v>
      </c>
      <c r="F896" s="44" t="s">
        <v>16</v>
      </c>
      <c r="G896" s="44" t="s">
        <v>17</v>
      </c>
      <c r="H896" s="44" t="s">
        <v>18</v>
      </c>
      <c r="I896" s="44" t="s">
        <v>101</v>
      </c>
      <c r="J896" s="44" t="s">
        <v>28</v>
      </c>
      <c r="K896" s="44" t="s">
        <v>201</v>
      </c>
      <c r="L896" s="44" t="s">
        <v>1088</v>
      </c>
      <c r="M896" s="44" t="s">
        <v>57</v>
      </c>
      <c r="N896" s="44" t="s">
        <v>23</v>
      </c>
      <c r="O896" s="46" t="s">
        <v>24</v>
      </c>
      <c r="P896" s="4"/>
      <c r="Q896" s="4"/>
      <c r="R896" s="4"/>
      <c r="S896" s="4"/>
      <c r="T896" s="4"/>
      <c r="U896" s="4"/>
    </row>
    <row r="897" spans="2:21" hidden="1" thickTop="1" thickBot="1" x14ac:dyDescent="0.3">
      <c r="B897" s="43">
        <v>100517831</v>
      </c>
      <c r="C897" s="44" t="s">
        <v>1090</v>
      </c>
      <c r="D897" s="45"/>
      <c r="E897" s="45" t="s">
        <v>44</v>
      </c>
      <c r="F897" s="44" t="s">
        <v>16</v>
      </c>
      <c r="G897" s="44" t="s">
        <v>17</v>
      </c>
      <c r="H897" s="44" t="s">
        <v>18</v>
      </c>
      <c r="I897" s="44" t="s">
        <v>101</v>
      </c>
      <c r="J897" s="44" t="s">
        <v>28</v>
      </c>
      <c r="K897" s="44" t="s">
        <v>201</v>
      </c>
      <c r="L897" s="44" t="s">
        <v>1088</v>
      </c>
      <c r="M897" s="44" t="s">
        <v>57</v>
      </c>
      <c r="N897" s="44" t="s">
        <v>193</v>
      </c>
      <c r="O897" s="46" t="s">
        <v>24</v>
      </c>
      <c r="P897" s="4"/>
      <c r="Q897" s="4"/>
      <c r="R897" s="4"/>
      <c r="S897" s="4"/>
      <c r="T897" s="4"/>
      <c r="U897" s="4"/>
    </row>
    <row r="898" spans="2:21" hidden="1" thickTop="1" thickBot="1" x14ac:dyDescent="0.3">
      <c r="B898" s="43">
        <v>100010141</v>
      </c>
      <c r="C898" s="44" t="s">
        <v>1091</v>
      </c>
      <c r="D898" s="45"/>
      <c r="E898" s="45" t="str">
        <f>IF(ISERR(FIND("CLL",PRODUCTO_MI_AR68[[#This Row],[NOM PRODUCTO]])),"","ME")</f>
        <v>ME</v>
      </c>
      <c r="F898" s="44" t="s">
        <v>16</v>
      </c>
      <c r="G898" s="44" t="s">
        <v>17</v>
      </c>
      <c r="H898" s="44" t="s">
        <v>18</v>
      </c>
      <c r="I898" s="44" t="s">
        <v>101</v>
      </c>
      <c r="J898" s="44" t="s">
        <v>20</v>
      </c>
      <c r="K898" s="44" t="s">
        <v>201</v>
      </c>
      <c r="L898" s="44" t="s">
        <v>463</v>
      </c>
      <c r="M898" s="44" t="s">
        <v>22</v>
      </c>
      <c r="N898" s="44" t="s">
        <v>23</v>
      </c>
      <c r="O898" s="46" t="s">
        <v>24</v>
      </c>
      <c r="P898" s="4"/>
      <c r="Q898" s="4"/>
      <c r="R898" s="4"/>
      <c r="S898" s="4"/>
      <c r="T898" s="4"/>
      <c r="U898" s="4"/>
    </row>
    <row r="899" spans="2:21" hidden="1" thickTop="1" thickBot="1" x14ac:dyDescent="0.3">
      <c r="B899" s="43">
        <v>100010001</v>
      </c>
      <c r="C899" s="44" t="s">
        <v>1092</v>
      </c>
      <c r="D899" s="45"/>
      <c r="E899" s="45" t="s">
        <v>44</v>
      </c>
      <c r="F899" s="44" t="s">
        <v>16</v>
      </c>
      <c r="G899" s="44" t="s">
        <v>17</v>
      </c>
      <c r="H899" s="44" t="s">
        <v>18</v>
      </c>
      <c r="I899" s="44" t="s">
        <v>101</v>
      </c>
      <c r="J899" s="44" t="s">
        <v>28</v>
      </c>
      <c r="K899" s="44" t="s">
        <v>201</v>
      </c>
      <c r="L899" s="44" t="s">
        <v>463</v>
      </c>
      <c r="M899" s="44" t="s">
        <v>57</v>
      </c>
      <c r="N899" s="44" t="s">
        <v>23</v>
      </c>
      <c r="O899" s="46" t="s">
        <v>24</v>
      </c>
      <c r="P899" s="4"/>
      <c r="Q899" s="4"/>
      <c r="R899" s="4"/>
      <c r="S899" s="4"/>
      <c r="T899" s="4"/>
      <c r="U899" s="4"/>
    </row>
    <row r="900" spans="2:21" hidden="1" thickTop="1" thickBot="1" x14ac:dyDescent="0.3">
      <c r="B900" s="43">
        <v>100013155</v>
      </c>
      <c r="C900" s="44" t="s">
        <v>1093</v>
      </c>
      <c r="D900" s="45"/>
      <c r="E900" s="45" t="str">
        <f>IF(ISERR(FIND("(L)",PRODUCTO_MI_AR68[[#This Row],[NOM PRODUCTO]])),"","MI")</f>
        <v>MI</v>
      </c>
      <c r="F900" s="44" t="s">
        <v>16</v>
      </c>
      <c r="G900" s="44" t="s">
        <v>17</v>
      </c>
      <c r="H900" s="44" t="s">
        <v>18</v>
      </c>
      <c r="I900" s="44" t="s">
        <v>101</v>
      </c>
      <c r="J900" s="44" t="s">
        <v>28</v>
      </c>
      <c r="K900" s="44" t="s">
        <v>201</v>
      </c>
      <c r="L900" s="44" t="s">
        <v>463</v>
      </c>
      <c r="M900" s="44" t="s">
        <v>57</v>
      </c>
      <c r="N900" s="44" t="s">
        <v>23</v>
      </c>
      <c r="O900" s="46" t="s">
        <v>24</v>
      </c>
      <c r="P900" s="4"/>
      <c r="Q900" s="4"/>
      <c r="R900" s="4"/>
      <c r="S900" s="4"/>
      <c r="T900" s="4"/>
      <c r="U900" s="4"/>
    </row>
    <row r="901" spans="2:21" hidden="1" thickTop="1" thickBot="1" x14ac:dyDescent="0.3">
      <c r="B901" s="43">
        <v>100519131</v>
      </c>
      <c r="C901" s="44" t="s">
        <v>1094</v>
      </c>
      <c r="D901" s="45"/>
      <c r="E901" s="45" t="s">
        <v>44</v>
      </c>
      <c r="F901" s="44" t="s">
        <v>16</v>
      </c>
      <c r="G901" s="44" t="s">
        <v>17</v>
      </c>
      <c r="H901" s="44" t="s">
        <v>18</v>
      </c>
      <c r="I901" s="44" t="s">
        <v>101</v>
      </c>
      <c r="J901" s="44" t="s">
        <v>20</v>
      </c>
      <c r="K901" s="44" t="s">
        <v>201</v>
      </c>
      <c r="L901" s="44" t="s">
        <v>1095</v>
      </c>
      <c r="M901" s="44" t="s">
        <v>73</v>
      </c>
      <c r="N901" s="44" t="str">
        <f>IF(ISERR(FIND("CONG",PRODUCTO_MI_AR68[[#This Row],[NOM PRODUCTO]])),"","CONGELADO")</f>
        <v>CONGELADO</v>
      </c>
      <c r="O901" s="46" t="s">
        <v>24</v>
      </c>
      <c r="P901" s="4"/>
      <c r="Q901" s="4"/>
      <c r="R901" s="4"/>
      <c r="S901" s="4"/>
      <c r="T901" s="4"/>
      <c r="U901" s="4"/>
    </row>
    <row r="902" spans="2:21" hidden="1" thickTop="1" thickBot="1" x14ac:dyDescent="0.3">
      <c r="B902" s="43">
        <v>100517692</v>
      </c>
      <c r="C902" s="44" t="s">
        <v>1096</v>
      </c>
      <c r="D902" s="45"/>
      <c r="E902" s="45" t="s">
        <v>44</v>
      </c>
      <c r="F902" s="44" t="s">
        <v>16</v>
      </c>
      <c r="G902" s="44" t="s">
        <v>17</v>
      </c>
      <c r="H902" s="44" t="s">
        <v>18</v>
      </c>
      <c r="I902" s="44" t="s">
        <v>101</v>
      </c>
      <c r="J902" s="44" t="s">
        <v>20</v>
      </c>
      <c r="K902" s="44" t="s">
        <v>201</v>
      </c>
      <c r="L902" s="44" t="s">
        <v>1095</v>
      </c>
      <c r="M902" s="44" t="s">
        <v>73</v>
      </c>
      <c r="N902" s="44" t="s">
        <v>23</v>
      </c>
      <c r="O902" s="46" t="s">
        <v>24</v>
      </c>
      <c r="P902" s="4"/>
      <c r="Q902" s="4"/>
      <c r="R902" s="4"/>
      <c r="S902" s="4"/>
      <c r="T902" s="4"/>
      <c r="U902" s="4"/>
    </row>
    <row r="903" spans="2:21" hidden="1" thickTop="1" thickBot="1" x14ac:dyDescent="0.3">
      <c r="B903" s="43">
        <v>100518043</v>
      </c>
      <c r="C903" s="44" t="s">
        <v>1097</v>
      </c>
      <c r="D903" s="45"/>
      <c r="E903" s="45" t="s">
        <v>44</v>
      </c>
      <c r="F903" s="44" t="s">
        <v>16</v>
      </c>
      <c r="G903" s="44" t="s">
        <v>17</v>
      </c>
      <c r="H903" s="44" t="s">
        <v>18</v>
      </c>
      <c r="I903" s="44" t="s">
        <v>101</v>
      </c>
      <c r="J903" s="44" t="s">
        <v>28</v>
      </c>
      <c r="K903" s="44" t="s">
        <v>201</v>
      </c>
      <c r="L903" s="44" t="s">
        <v>1095</v>
      </c>
      <c r="M903" s="44" t="s">
        <v>192</v>
      </c>
      <c r="N903" s="44" t="s">
        <v>193</v>
      </c>
      <c r="O903" s="46" t="s">
        <v>24</v>
      </c>
      <c r="P903" s="4"/>
      <c r="Q903" s="4"/>
      <c r="R903" s="4"/>
      <c r="S903" s="4"/>
      <c r="T903" s="4"/>
      <c r="U903" s="4"/>
    </row>
    <row r="904" spans="2:21" hidden="1" thickTop="1" thickBot="1" x14ac:dyDescent="0.3">
      <c r="B904" s="43">
        <v>100519132</v>
      </c>
      <c r="C904" s="44" t="s">
        <v>1098</v>
      </c>
      <c r="D904" s="45"/>
      <c r="E904" s="45" t="s">
        <v>44</v>
      </c>
      <c r="F904" s="44" t="s">
        <v>16</v>
      </c>
      <c r="G904" s="44" t="s">
        <v>17</v>
      </c>
      <c r="H904" s="44" t="s">
        <v>18</v>
      </c>
      <c r="I904" s="44" t="s">
        <v>101</v>
      </c>
      <c r="J904" s="44" t="s">
        <v>20</v>
      </c>
      <c r="K904" s="44" t="s">
        <v>201</v>
      </c>
      <c r="L904" s="44" t="s">
        <v>1099</v>
      </c>
      <c r="M904" s="44" t="s">
        <v>73</v>
      </c>
      <c r="N904" s="44" t="str">
        <f>IF(ISERR(FIND("CONG",PRODUCTO_MI_AR68[[#This Row],[NOM PRODUCTO]])),"","CONGELADO")</f>
        <v>CONGELADO</v>
      </c>
      <c r="O904" s="46" t="s">
        <v>24</v>
      </c>
      <c r="P904" s="4"/>
      <c r="Q904" s="4"/>
      <c r="R904" s="4"/>
      <c r="S904" s="4"/>
      <c r="T904" s="4"/>
      <c r="U904" s="4"/>
    </row>
    <row r="905" spans="2:21" hidden="1" thickTop="1" thickBot="1" x14ac:dyDescent="0.3">
      <c r="B905" s="43">
        <v>100517750</v>
      </c>
      <c r="C905" s="44" t="s">
        <v>1100</v>
      </c>
      <c r="D905" s="45"/>
      <c r="E905" s="45" t="s">
        <v>44</v>
      </c>
      <c r="F905" s="44" t="s">
        <v>16</v>
      </c>
      <c r="G905" s="44" t="s">
        <v>17</v>
      </c>
      <c r="H905" s="44" t="s">
        <v>18</v>
      </c>
      <c r="I905" s="44" t="s">
        <v>101</v>
      </c>
      <c r="J905" s="44" t="s">
        <v>28</v>
      </c>
      <c r="K905" s="44" t="s">
        <v>201</v>
      </c>
      <c r="L905" s="44" t="s">
        <v>1099</v>
      </c>
      <c r="M905" s="44" t="s">
        <v>192</v>
      </c>
      <c r="N905" s="44" t="s">
        <v>193</v>
      </c>
      <c r="O905" s="46" t="s">
        <v>24</v>
      </c>
      <c r="P905" s="4"/>
      <c r="Q905" s="4"/>
      <c r="R905" s="4"/>
      <c r="S905" s="4"/>
      <c r="T905" s="4"/>
      <c r="U905" s="4"/>
    </row>
    <row r="906" spans="2:21" hidden="1" thickTop="1" thickBot="1" x14ac:dyDescent="0.3">
      <c r="B906" s="43">
        <v>100522280</v>
      </c>
      <c r="C906" s="44" t="s">
        <v>1101</v>
      </c>
      <c r="D906" s="45"/>
      <c r="E906" s="45" t="str">
        <f>IF(ISERR(FIND("PUL",PRODUCTO_MI_AR68[[#This Row],[NOM PRODUCTO]])),"","ME")</f>
        <v>ME</v>
      </c>
      <c r="F906" s="44" t="s">
        <v>16</v>
      </c>
      <c r="G906" s="44" t="s">
        <v>17</v>
      </c>
      <c r="H906" s="44" t="s">
        <v>18</v>
      </c>
      <c r="I906" s="44" t="s">
        <v>101</v>
      </c>
      <c r="J906" s="44" t="s">
        <v>40</v>
      </c>
      <c r="K906" s="44" t="s">
        <v>201</v>
      </c>
      <c r="L906" s="44" t="s">
        <v>1099</v>
      </c>
      <c r="M906" s="44" t="s">
        <v>41</v>
      </c>
      <c r="N906" s="44" t="s">
        <v>23</v>
      </c>
      <c r="O906" s="46" t="s">
        <v>24</v>
      </c>
      <c r="P906" s="4"/>
      <c r="Q906" s="4"/>
      <c r="R906" s="4"/>
      <c r="S906" s="4"/>
      <c r="T906" s="4"/>
      <c r="U906" s="4"/>
    </row>
    <row r="907" spans="2:21" hidden="1" thickTop="1" thickBot="1" x14ac:dyDescent="0.3">
      <c r="B907" s="43">
        <v>100517691</v>
      </c>
      <c r="C907" s="44" t="s">
        <v>1102</v>
      </c>
      <c r="D907" s="45"/>
      <c r="E907" s="45" t="s">
        <v>44</v>
      </c>
      <c r="F907" s="44" t="s">
        <v>16</v>
      </c>
      <c r="G907" s="44" t="s">
        <v>17</v>
      </c>
      <c r="H907" s="44" t="s">
        <v>18</v>
      </c>
      <c r="I907" s="44" t="s">
        <v>101</v>
      </c>
      <c r="J907" s="44" t="s">
        <v>20</v>
      </c>
      <c r="K907" s="44" t="s">
        <v>201</v>
      </c>
      <c r="L907" s="44" t="s">
        <v>1099</v>
      </c>
      <c r="M907" s="44" t="s">
        <v>73</v>
      </c>
      <c r="N907" s="44" t="s">
        <v>23</v>
      </c>
      <c r="O907" s="46" t="s">
        <v>24</v>
      </c>
      <c r="P907" s="4"/>
      <c r="Q907" s="4"/>
      <c r="R907" s="4"/>
      <c r="S907" s="4"/>
      <c r="T907" s="4"/>
      <c r="U907" s="4"/>
    </row>
    <row r="908" spans="2:21" hidden="1" thickTop="1" thickBot="1" x14ac:dyDescent="0.3">
      <c r="B908" s="43">
        <v>100518042</v>
      </c>
      <c r="C908" s="44" t="s">
        <v>1103</v>
      </c>
      <c r="D908" s="45"/>
      <c r="E908" s="45" t="s">
        <v>44</v>
      </c>
      <c r="F908" s="44" t="s">
        <v>16</v>
      </c>
      <c r="G908" s="44" t="s">
        <v>17</v>
      </c>
      <c r="H908" s="44" t="s">
        <v>18</v>
      </c>
      <c r="I908" s="44" t="s">
        <v>101</v>
      </c>
      <c r="J908" s="44" t="s">
        <v>28</v>
      </c>
      <c r="K908" s="44" t="s">
        <v>201</v>
      </c>
      <c r="L908" s="44" t="s">
        <v>1099</v>
      </c>
      <c r="M908" s="44" t="s">
        <v>192</v>
      </c>
      <c r="N908" s="44" t="s">
        <v>193</v>
      </c>
      <c r="O908" s="46" t="s">
        <v>24</v>
      </c>
      <c r="P908" s="4"/>
      <c r="Q908" s="4"/>
      <c r="R908" s="4"/>
      <c r="S908" s="4"/>
      <c r="T908" s="4"/>
      <c r="U908" s="4"/>
    </row>
    <row r="909" spans="2:21" hidden="1" thickTop="1" thickBot="1" x14ac:dyDescent="0.3">
      <c r="B909" s="43">
        <v>100016160</v>
      </c>
      <c r="C909" s="44" t="s">
        <v>1104</v>
      </c>
      <c r="D909" s="45"/>
      <c r="E909" s="45" t="s">
        <v>44</v>
      </c>
      <c r="F909" s="44" t="s">
        <v>16</v>
      </c>
      <c r="G909" s="44" t="s">
        <v>17</v>
      </c>
      <c r="H909" s="44" t="s">
        <v>18</v>
      </c>
      <c r="I909" s="44" t="s">
        <v>97</v>
      </c>
      <c r="J909" s="44" t="s">
        <v>28</v>
      </c>
      <c r="K909" s="44" t="s">
        <v>98</v>
      </c>
      <c r="L909" s="44" t="s">
        <v>1105</v>
      </c>
      <c r="M909" s="44" t="s">
        <v>62</v>
      </c>
      <c r="N909" s="44" t="str">
        <f>IF(ISERR(FIND("CONG",PRODUCTO_MI_AR68[[#This Row],[NOM PRODUCTO]])),"","CONGELADO")</f>
        <v>CONGELADO</v>
      </c>
      <c r="O909" s="46" t="s">
        <v>98</v>
      </c>
      <c r="P909" s="4"/>
      <c r="Q909" s="4"/>
      <c r="R909" s="4"/>
      <c r="S909" s="4"/>
      <c r="T909" s="4"/>
      <c r="U909" s="4"/>
    </row>
    <row r="910" spans="2:21" hidden="1" thickTop="1" thickBot="1" x14ac:dyDescent="0.3">
      <c r="B910" s="43">
        <v>100519957</v>
      </c>
      <c r="C910" s="44" t="s">
        <v>1106</v>
      </c>
      <c r="D910" s="45"/>
      <c r="E910" s="45" t="str">
        <f>IF(ISERR(FIND("BRASIL",PRODUCTO_MI_AR68[[#This Row],[NOM PRODUCTO]])),"","ME")</f>
        <v>ME</v>
      </c>
      <c r="F910" s="44" t="s">
        <v>16</v>
      </c>
      <c r="G910" s="44" t="s">
        <v>17</v>
      </c>
      <c r="H910" s="44" t="s">
        <v>18</v>
      </c>
      <c r="I910" s="44" t="s">
        <v>319</v>
      </c>
      <c r="J910" s="44" t="s">
        <v>28</v>
      </c>
      <c r="K910" s="44" t="s">
        <v>320</v>
      </c>
      <c r="L910" s="44" t="s">
        <v>890</v>
      </c>
      <c r="M910" s="44" t="s">
        <v>62</v>
      </c>
      <c r="N910" s="44" t="str">
        <f>IF(ISERR(FIND("CONG",PRODUCTO_MI_AR68[[#This Row],[NOM PRODUCTO]])),"","CONGELADO")</f>
        <v>CONGELADO</v>
      </c>
      <c r="O910" s="46" t="s">
        <v>24</v>
      </c>
      <c r="P910" s="4"/>
      <c r="Q910" s="4"/>
      <c r="R910" s="4"/>
      <c r="S910" s="4"/>
      <c r="T910" s="4"/>
      <c r="U910" s="4"/>
    </row>
    <row r="911" spans="2:21" hidden="1" thickTop="1" thickBot="1" x14ac:dyDescent="0.3">
      <c r="B911" s="43">
        <v>100518462</v>
      </c>
      <c r="C911" s="44" t="s">
        <v>1107</v>
      </c>
      <c r="D911" s="45" t="s">
        <v>212</v>
      </c>
      <c r="E911" s="45" t="s">
        <v>44</v>
      </c>
      <c r="F911" s="44" t="s">
        <v>16</v>
      </c>
      <c r="G911" s="44" t="s">
        <v>17</v>
      </c>
      <c r="H911" s="44" t="s">
        <v>213</v>
      </c>
      <c r="I911" s="44" t="s">
        <v>46</v>
      </c>
      <c r="J911" s="44" t="s">
        <v>28</v>
      </c>
      <c r="K911" s="44" t="s">
        <v>717</v>
      </c>
      <c r="L911" s="44" t="s">
        <v>718</v>
      </c>
      <c r="M911" s="44" t="s">
        <v>57</v>
      </c>
      <c r="N911" s="44" t="s">
        <v>193</v>
      </c>
      <c r="O911" s="46" t="s">
        <v>49</v>
      </c>
      <c r="P911" s="4"/>
      <c r="Q911" s="4"/>
      <c r="R911" s="4"/>
      <c r="S911" s="4"/>
      <c r="T911" s="4"/>
      <c r="U911" s="4"/>
    </row>
    <row r="912" spans="2:21" hidden="1" thickTop="1" thickBot="1" x14ac:dyDescent="0.3">
      <c r="B912" s="43">
        <v>100518463</v>
      </c>
      <c r="C912" s="44" t="s">
        <v>1108</v>
      </c>
      <c r="D912" s="45" t="s">
        <v>212</v>
      </c>
      <c r="E912" s="45" t="s">
        <v>44</v>
      </c>
      <c r="F912" s="44" t="s">
        <v>16</v>
      </c>
      <c r="G912" s="44" t="s">
        <v>17</v>
      </c>
      <c r="H912" s="44" t="s">
        <v>213</v>
      </c>
      <c r="I912" s="44" t="s">
        <v>46</v>
      </c>
      <c r="J912" s="44" t="s">
        <v>28</v>
      </c>
      <c r="K912" s="44" t="s">
        <v>717</v>
      </c>
      <c r="L912" s="44" t="s">
        <v>718</v>
      </c>
      <c r="M912" s="44" t="s">
        <v>57</v>
      </c>
      <c r="N912" s="44" t="s">
        <v>193</v>
      </c>
      <c r="O912" s="46" t="s">
        <v>49</v>
      </c>
      <c r="P912" s="4"/>
      <c r="Q912" s="4"/>
      <c r="R912" s="4"/>
      <c r="S912" s="4"/>
      <c r="T912" s="4"/>
      <c r="U912" s="4"/>
    </row>
    <row r="913" spans="2:21" hidden="1" thickTop="1" thickBot="1" x14ac:dyDescent="0.3">
      <c r="B913" s="43">
        <v>100520902</v>
      </c>
      <c r="C913" s="44" t="s">
        <v>1109</v>
      </c>
      <c r="D913" s="45" t="s">
        <v>212</v>
      </c>
      <c r="E913" s="45" t="s">
        <v>44</v>
      </c>
      <c r="F913" s="44" t="s">
        <v>16</v>
      </c>
      <c r="G913" s="44" t="s">
        <v>17</v>
      </c>
      <c r="H913" s="44" t="s">
        <v>813</v>
      </c>
      <c r="I913" s="44" t="s">
        <v>46</v>
      </c>
      <c r="J913" s="44" t="s">
        <v>28</v>
      </c>
      <c r="K913" s="44" t="s">
        <v>813</v>
      </c>
      <c r="L913" s="44" t="s">
        <v>813</v>
      </c>
      <c r="M913" s="44" t="s">
        <v>57</v>
      </c>
      <c r="N913" s="44" t="s">
        <v>193</v>
      </c>
      <c r="O913" s="46" t="s">
        <v>49</v>
      </c>
      <c r="P913" s="4"/>
      <c r="Q913" s="4"/>
      <c r="R913" s="4"/>
      <c r="S913" s="4"/>
      <c r="T913" s="4"/>
      <c r="U913" s="4"/>
    </row>
  </sheetData>
  <conditionalFormatting sqref="B8:B913">
    <cfRule type="duplicateValues" dxfId="2" priority="28"/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6E7C-CF58-491B-AD31-C1E7115929B4}">
  <dimension ref="B6:AE2531"/>
  <sheetViews>
    <sheetView showGridLines="0" topLeftCell="I4" zoomScale="115" zoomScaleNormal="115" workbookViewId="0">
      <selection activeCell="N8" sqref="N8:O10"/>
    </sheetView>
  </sheetViews>
  <sheetFormatPr baseColWidth="10" defaultColWidth="21.85546875" defaultRowHeight="18" x14ac:dyDescent="0.35"/>
  <cols>
    <col min="1" max="1" width="6.42578125" style="1" customWidth="1"/>
    <col min="2" max="2" width="28.7109375" style="2" bestFit="1" customWidth="1"/>
    <col min="3" max="3" width="29.140625" style="1" bestFit="1" customWidth="1"/>
    <col min="4" max="4" width="16.7109375" style="1" hidden="1" customWidth="1"/>
    <col min="5" max="5" width="29.7109375" style="3" bestFit="1" customWidth="1"/>
    <col min="6" max="6" width="39" style="1" bestFit="1" customWidth="1"/>
    <col min="7" max="7" width="39" style="1" hidden="1" customWidth="1"/>
    <col min="8" max="8" width="20" style="3" bestFit="1" customWidth="1"/>
    <col min="9" max="9" width="34.85546875" style="1" bestFit="1" customWidth="1"/>
    <col min="10" max="10" width="39" style="1" hidden="1" customWidth="1"/>
    <col min="11" max="11" width="39.7109375" style="3" customWidth="1"/>
    <col min="12" max="12" width="40.140625" style="1" customWidth="1"/>
    <col min="13" max="13" width="21.85546875" style="1" hidden="1" customWidth="1"/>
    <col min="14" max="14" width="27.85546875" style="3" bestFit="1" customWidth="1"/>
    <col min="15" max="15" width="28.5703125" style="1" bestFit="1" customWidth="1"/>
    <col min="16" max="16" width="0" style="1" hidden="1" customWidth="1"/>
    <col min="17" max="17" width="20" style="3" bestFit="1" customWidth="1"/>
    <col min="18" max="18" width="22.7109375" style="1" bestFit="1" customWidth="1"/>
    <col min="19" max="19" width="3.85546875" style="1" hidden="1" customWidth="1"/>
    <col min="20" max="20" width="30.28515625" style="3" bestFit="1" customWidth="1"/>
    <col min="21" max="21" width="30.7109375" style="1" bestFit="1" customWidth="1"/>
    <col min="22" max="22" width="0" style="1" hidden="1" customWidth="1"/>
    <col min="23" max="23" width="39.85546875" style="3" bestFit="1" customWidth="1"/>
    <col min="24" max="24" width="40.85546875" style="1" bestFit="1" customWidth="1"/>
    <col min="25" max="25" width="8.85546875" style="1" hidden="1" customWidth="1"/>
    <col min="26" max="26" width="0" style="1" hidden="1" customWidth="1"/>
    <col min="27" max="27" width="15.140625" style="3" bestFit="1" customWidth="1"/>
    <col min="28" max="28" width="41" style="1" bestFit="1" customWidth="1"/>
    <col min="29" max="29" width="15.140625" style="1" hidden="1" customWidth="1"/>
    <col min="30" max="30" width="19.28515625" style="3" bestFit="1" customWidth="1"/>
    <col min="31" max="31" width="19.85546875" style="1" bestFit="1" customWidth="1"/>
    <col min="32" max="16384" width="21.85546875" style="1"/>
  </cols>
  <sheetData>
    <row r="6" spans="2:31" ht="18.75" thickBot="1" x14ac:dyDescent="0.4"/>
    <row r="7" spans="2:31" ht="19.899999999999999" customHeight="1" thickTop="1" thickBot="1" x14ac:dyDescent="0.4">
      <c r="B7" s="38" t="s">
        <v>1110</v>
      </c>
      <c r="C7" s="38" t="s">
        <v>3</v>
      </c>
      <c r="D7" s="38"/>
      <c r="E7" s="38" t="s">
        <v>1111</v>
      </c>
      <c r="F7" s="38" t="s">
        <v>4</v>
      </c>
      <c r="G7" s="38"/>
      <c r="H7" s="38" t="s">
        <v>1112</v>
      </c>
      <c r="I7" s="38" t="s">
        <v>5</v>
      </c>
      <c r="J7" s="38"/>
      <c r="K7" s="38" t="s">
        <v>1113</v>
      </c>
      <c r="L7" s="38" t="s">
        <v>7</v>
      </c>
      <c r="M7" s="38"/>
      <c r="N7" s="38" t="s">
        <v>1114</v>
      </c>
      <c r="O7" s="38" t="s">
        <v>8</v>
      </c>
      <c r="P7" s="38"/>
      <c r="Q7" s="38" t="s">
        <v>1115</v>
      </c>
      <c r="R7" s="38" t="s">
        <v>6</v>
      </c>
      <c r="S7" s="38"/>
      <c r="T7" s="38" t="s">
        <v>1116</v>
      </c>
      <c r="U7" s="38" t="s">
        <v>9</v>
      </c>
      <c r="V7" s="38"/>
      <c r="W7" s="38" t="s">
        <v>1117</v>
      </c>
      <c r="X7" s="38" t="s">
        <v>10</v>
      </c>
      <c r="Y7" s="38"/>
      <c r="Z7" s="38"/>
      <c r="AA7" s="38" t="s">
        <v>1118</v>
      </c>
      <c r="AB7" s="38" t="s">
        <v>11</v>
      </c>
      <c r="AC7" s="38"/>
      <c r="AD7" s="38" t="s">
        <v>1119</v>
      </c>
      <c r="AE7" s="38" t="s">
        <v>12</v>
      </c>
    </row>
    <row r="8" spans="2:31" ht="19.5" thickTop="1" thickBot="1" x14ac:dyDescent="0.4">
      <c r="C8" s="1" t="s">
        <v>44</v>
      </c>
      <c r="F8" s="31" t="s">
        <v>16</v>
      </c>
      <c r="I8" s="1" t="s">
        <v>17</v>
      </c>
      <c r="L8" s="1" t="s">
        <v>97</v>
      </c>
      <c r="N8" s="35"/>
      <c r="O8" s="33" t="s">
        <v>28</v>
      </c>
      <c r="R8" s="1" t="s">
        <v>18</v>
      </c>
      <c r="T8" s="35"/>
      <c r="U8" s="34" t="s">
        <v>21</v>
      </c>
      <c r="X8" s="34" t="s">
        <v>21</v>
      </c>
      <c r="AB8" s="34" t="s">
        <v>892</v>
      </c>
      <c r="AE8" s="1" t="s">
        <v>554</v>
      </c>
    </row>
    <row r="9" spans="2:31" ht="18.75" thickTop="1" x14ac:dyDescent="0.35">
      <c r="C9" s="1" t="s">
        <v>15</v>
      </c>
      <c r="F9" s="1" t="s">
        <v>228</v>
      </c>
      <c r="I9" s="1" t="s">
        <v>27</v>
      </c>
      <c r="L9" s="33" t="s">
        <v>54</v>
      </c>
      <c r="N9" s="35"/>
      <c r="O9" s="33" t="s">
        <v>40</v>
      </c>
      <c r="Q9"/>
      <c r="R9" s="1" t="s">
        <v>261</v>
      </c>
      <c r="T9" s="47"/>
      <c r="U9" s="33" t="s">
        <v>102</v>
      </c>
      <c r="W9"/>
      <c r="X9" s="33" t="s">
        <v>47</v>
      </c>
      <c r="AB9" s="33" t="s">
        <v>823</v>
      </c>
      <c r="AE9" s="1" t="s">
        <v>193</v>
      </c>
    </row>
    <row r="10" spans="2:31" x14ac:dyDescent="0.35">
      <c r="B10" s="3"/>
      <c r="C10" s="37"/>
      <c r="H10"/>
      <c r="I10"/>
      <c r="L10" s="33" t="s">
        <v>19</v>
      </c>
      <c r="N10" s="35"/>
      <c r="O10" s="33" t="s">
        <v>20</v>
      </c>
      <c r="Q10"/>
      <c r="R10" s="1" t="s">
        <v>338</v>
      </c>
      <c r="T10" s="47"/>
      <c r="U10" s="33" t="s">
        <v>55</v>
      </c>
      <c r="W10"/>
      <c r="X10" s="33" t="s">
        <v>56</v>
      </c>
      <c r="AB10" s="33" t="s">
        <v>22</v>
      </c>
      <c r="AE10" s="1" t="s">
        <v>23</v>
      </c>
    </row>
    <row r="11" spans="2:31" x14ac:dyDescent="0.35">
      <c r="H11"/>
      <c r="I11"/>
      <c r="L11" s="33" t="s">
        <v>431</v>
      </c>
      <c r="N11" s="1"/>
      <c r="Q11"/>
      <c r="R11" s="1" t="s">
        <v>45</v>
      </c>
      <c r="T11" s="47"/>
      <c r="U11" s="33" t="s">
        <v>60</v>
      </c>
      <c r="W11" s="1"/>
      <c r="X11" s="33" t="s">
        <v>61</v>
      </c>
      <c r="AB11" s="33" t="s">
        <v>490</v>
      </c>
    </row>
    <row r="12" spans="2:31" x14ac:dyDescent="0.35">
      <c r="H12"/>
      <c r="I12"/>
      <c r="L12" s="33" t="s">
        <v>599</v>
      </c>
      <c r="N12" s="1"/>
      <c r="Q12"/>
      <c r="R12" s="1" t="s">
        <v>813</v>
      </c>
      <c r="T12" s="47"/>
      <c r="U12" s="33" t="s">
        <v>600</v>
      </c>
      <c r="W12"/>
      <c r="X12" s="33" t="s">
        <v>66</v>
      </c>
      <c r="AB12" s="33" t="s">
        <v>693</v>
      </c>
    </row>
    <row r="13" spans="2:31" x14ac:dyDescent="0.35">
      <c r="B13" s="1"/>
      <c r="H13"/>
      <c r="I13"/>
      <c r="L13" s="33" t="s">
        <v>319</v>
      </c>
      <c r="N13" s="1"/>
      <c r="Q13"/>
      <c r="R13" s="1" t="s">
        <v>598</v>
      </c>
      <c r="T13" s="47"/>
      <c r="U13" s="33" t="s">
        <v>232</v>
      </c>
      <c r="W13"/>
      <c r="X13" s="33" t="s">
        <v>68</v>
      </c>
      <c r="AB13" s="33" t="s">
        <v>483</v>
      </c>
    </row>
    <row r="14" spans="2:31" x14ac:dyDescent="0.35">
      <c r="B14" s="1"/>
      <c r="H14"/>
      <c r="I14"/>
      <c r="L14" s="33" t="s">
        <v>1120</v>
      </c>
      <c r="N14" s="1"/>
      <c r="Q14"/>
      <c r="R14" s="1" t="s">
        <v>887</v>
      </c>
      <c r="T14" s="47"/>
      <c r="U14" s="33" t="s">
        <v>262</v>
      </c>
      <c r="W14"/>
      <c r="X14" s="33" t="s">
        <v>72</v>
      </c>
      <c r="AB14" s="33" t="s">
        <v>896</v>
      </c>
    </row>
    <row r="15" spans="2:31" x14ac:dyDescent="0.35">
      <c r="B15" s="1"/>
      <c r="H15"/>
      <c r="I15"/>
      <c r="L15" s="1" t="s">
        <v>231</v>
      </c>
      <c r="N15" s="1"/>
      <c r="Q15"/>
      <c r="R15" s="1" t="s">
        <v>213</v>
      </c>
      <c r="T15" s="47"/>
      <c r="U15" s="33" t="s">
        <v>300</v>
      </c>
      <c r="W15"/>
      <c r="X15" s="33" t="s">
        <v>76</v>
      </c>
      <c r="AB15" s="33" t="s">
        <v>487</v>
      </c>
    </row>
    <row r="16" spans="2:31" x14ac:dyDescent="0.35">
      <c r="B16" s="1"/>
      <c r="H16"/>
      <c r="I16"/>
      <c r="L16" s="1" t="s">
        <v>101</v>
      </c>
      <c r="N16" s="1"/>
      <c r="Q16"/>
      <c r="R16" s="1" t="s">
        <v>551</v>
      </c>
      <c r="T16" s="47"/>
      <c r="U16" s="33" t="s">
        <v>339</v>
      </c>
      <c r="W16"/>
      <c r="X16" s="33" t="s">
        <v>78</v>
      </c>
      <c r="AB16" s="33" t="s">
        <v>229</v>
      </c>
    </row>
    <row r="17" spans="2:28" x14ac:dyDescent="0.35">
      <c r="B17" s="1"/>
      <c r="H17"/>
      <c r="I17"/>
      <c r="K17"/>
      <c r="L17"/>
      <c r="N17" s="1"/>
      <c r="Q17"/>
      <c r="T17" s="47"/>
      <c r="U17" s="33" t="s">
        <v>268</v>
      </c>
      <c r="W17"/>
      <c r="X17" s="33" t="s">
        <v>83</v>
      </c>
      <c r="AB17" s="33" t="s">
        <v>975</v>
      </c>
    </row>
    <row r="18" spans="2:28" x14ac:dyDescent="0.35">
      <c r="B18" s="1"/>
      <c r="H18"/>
      <c r="I18"/>
      <c r="K18"/>
      <c r="L18"/>
      <c r="N18" s="1"/>
      <c r="Q18"/>
      <c r="T18" s="47"/>
      <c r="U18" s="33" t="s">
        <v>356</v>
      </c>
      <c r="W18"/>
      <c r="X18" s="33" t="s">
        <v>85</v>
      </c>
      <c r="AB18" s="33" t="s">
        <v>62</v>
      </c>
    </row>
    <row r="19" spans="2:28" x14ac:dyDescent="0.35">
      <c r="B19" s="1"/>
      <c r="H19"/>
      <c r="I19"/>
      <c r="K19"/>
      <c r="L19"/>
      <c r="N19" s="1"/>
      <c r="Q19"/>
      <c r="T19" s="47"/>
      <c r="U19" s="33" t="s">
        <v>748</v>
      </c>
      <c r="W19"/>
      <c r="X19" s="33" t="s">
        <v>99</v>
      </c>
      <c r="AB19" s="33" t="s">
        <v>516</v>
      </c>
    </row>
    <row r="20" spans="2:28" x14ac:dyDescent="0.35">
      <c r="B20" s="1"/>
      <c r="H20"/>
      <c r="I20"/>
      <c r="K20"/>
      <c r="L20"/>
      <c r="N20" s="1"/>
      <c r="Q20"/>
      <c r="T20" s="47"/>
      <c r="U20" s="33" t="s">
        <v>477</v>
      </c>
      <c r="W20"/>
      <c r="X20" s="33" t="s">
        <v>103</v>
      </c>
      <c r="AB20" s="33" t="s">
        <v>503</v>
      </c>
    </row>
    <row r="21" spans="2:28" x14ac:dyDescent="0.35">
      <c r="B21" s="1"/>
      <c r="H21"/>
      <c r="I21"/>
      <c r="K21"/>
      <c r="L21"/>
      <c r="N21" s="1"/>
      <c r="Q21"/>
      <c r="T21" s="47"/>
      <c r="U21" s="33" t="s">
        <v>45</v>
      </c>
      <c r="W21"/>
      <c r="X21" s="33" t="s">
        <v>105</v>
      </c>
      <c r="AB21" s="33" t="s">
        <v>511</v>
      </c>
    </row>
    <row r="22" spans="2:28" x14ac:dyDescent="0.35">
      <c r="B22" s="1"/>
      <c r="H22"/>
      <c r="I22"/>
      <c r="K22"/>
      <c r="L22"/>
      <c r="N22" s="1"/>
      <c r="Q22"/>
      <c r="T22" s="47"/>
      <c r="U22" s="33" t="s">
        <v>567</v>
      </c>
      <c r="W22"/>
      <c r="X22" s="33" t="s">
        <v>143</v>
      </c>
      <c r="AB22" s="33" t="s">
        <v>217</v>
      </c>
    </row>
    <row r="23" spans="2:28" x14ac:dyDescent="0.35">
      <c r="B23" s="1"/>
      <c r="H23"/>
      <c r="I23"/>
      <c r="K23"/>
      <c r="L23"/>
      <c r="N23" s="1"/>
      <c r="Q23"/>
      <c r="T23" s="47"/>
      <c r="U23" s="33" t="s">
        <v>1121</v>
      </c>
      <c r="W23"/>
      <c r="X23" s="33" t="s">
        <v>146</v>
      </c>
      <c r="AB23" s="33" t="s">
        <v>821</v>
      </c>
    </row>
    <row r="24" spans="2:28" x14ac:dyDescent="0.35">
      <c r="B24" s="1"/>
      <c r="H24"/>
      <c r="I24"/>
      <c r="K24"/>
      <c r="L24"/>
      <c r="N24" s="1"/>
      <c r="Q24"/>
      <c r="T24" s="47"/>
      <c r="U24" s="33" t="s">
        <v>1122</v>
      </c>
      <c r="W24"/>
      <c r="X24" s="33" t="s">
        <v>191</v>
      </c>
      <c r="AB24" s="33" t="s">
        <v>29</v>
      </c>
    </row>
    <row r="25" spans="2:28" x14ac:dyDescent="0.35">
      <c r="B25" s="1"/>
      <c r="H25"/>
      <c r="I25"/>
      <c r="K25"/>
      <c r="L25"/>
      <c r="N25" s="1"/>
      <c r="Q25"/>
      <c r="T25" s="47"/>
      <c r="U25" s="33" t="s">
        <v>320</v>
      </c>
      <c r="W25"/>
      <c r="X25" s="33" t="s">
        <v>197</v>
      </c>
      <c r="AB25" s="33" t="s">
        <v>41</v>
      </c>
    </row>
    <row r="26" spans="2:28" x14ac:dyDescent="0.35">
      <c r="B26" s="1"/>
      <c r="H26"/>
      <c r="I26"/>
      <c r="K26"/>
      <c r="L26"/>
      <c r="N26" s="1"/>
      <c r="Q26"/>
      <c r="T26" s="47"/>
      <c r="U26" s="33" t="s">
        <v>717</v>
      </c>
      <c r="W26"/>
      <c r="X26" s="33" t="s">
        <v>202</v>
      </c>
      <c r="AB26" s="33" t="s">
        <v>113</v>
      </c>
    </row>
    <row r="27" spans="2:28" x14ac:dyDescent="0.35">
      <c r="B27" s="1"/>
      <c r="H27"/>
      <c r="I27"/>
      <c r="K27"/>
      <c r="L27"/>
      <c r="N27" s="1"/>
      <c r="Q27"/>
      <c r="T27" s="47"/>
      <c r="U27" s="33" t="s">
        <v>469</v>
      </c>
      <c r="W27"/>
      <c r="X27" s="33" t="s">
        <v>210</v>
      </c>
      <c r="AB27" s="33" t="s">
        <v>911</v>
      </c>
    </row>
    <row r="28" spans="2:28" x14ac:dyDescent="0.35">
      <c r="B28" s="1"/>
      <c r="H28"/>
      <c r="I28"/>
      <c r="K28"/>
      <c r="L28"/>
      <c r="N28" s="1"/>
      <c r="Q28"/>
      <c r="T28" s="47"/>
      <c r="U28" s="33" t="s">
        <v>751</v>
      </c>
      <c r="W28"/>
      <c r="X28" s="33" t="s">
        <v>214</v>
      </c>
      <c r="AB28" s="33" t="s">
        <v>819</v>
      </c>
    </row>
    <row r="29" spans="2:28" x14ac:dyDescent="0.35">
      <c r="B29" s="1"/>
      <c r="H29"/>
      <c r="I29"/>
      <c r="K29"/>
      <c r="L29"/>
      <c r="N29" s="1"/>
      <c r="Q29"/>
      <c r="T29" s="47"/>
      <c r="U29" s="33" t="s">
        <v>264</v>
      </c>
      <c r="W29"/>
      <c r="X29" s="33" t="s">
        <v>223</v>
      </c>
      <c r="AB29" s="33" t="s">
        <v>842</v>
      </c>
    </row>
    <row r="30" spans="2:28" x14ac:dyDescent="0.35">
      <c r="B30" s="1"/>
      <c r="H30"/>
      <c r="I30"/>
      <c r="K30"/>
      <c r="L30"/>
      <c r="N30" s="1"/>
      <c r="Q30"/>
      <c r="T30" s="47"/>
      <c r="U30" s="33" t="s">
        <v>196</v>
      </c>
      <c r="W30"/>
      <c r="X30" s="33" t="s">
        <v>233</v>
      </c>
      <c r="AB30" s="33" t="s">
        <v>904</v>
      </c>
    </row>
    <row r="31" spans="2:28" x14ac:dyDescent="0.35">
      <c r="B31" s="1"/>
      <c r="H31"/>
      <c r="I31"/>
      <c r="K31"/>
      <c r="L31"/>
      <c r="N31" s="1"/>
      <c r="Q31"/>
      <c r="T31" s="47"/>
      <c r="U31" s="33" t="s">
        <v>813</v>
      </c>
      <c r="W31"/>
      <c r="X31" s="33" t="s">
        <v>242</v>
      </c>
      <c r="AB31" s="33" t="s">
        <v>57</v>
      </c>
    </row>
    <row r="32" spans="2:28" x14ac:dyDescent="0.35">
      <c r="B32" s="1"/>
      <c r="H32"/>
      <c r="I32"/>
      <c r="K32"/>
      <c r="L32"/>
      <c r="N32" s="1"/>
      <c r="Q32"/>
      <c r="T32" s="47"/>
      <c r="U32" s="33" t="s">
        <v>552</v>
      </c>
      <c r="W32"/>
      <c r="X32" s="33" t="s">
        <v>232</v>
      </c>
      <c r="AB32" s="33" t="s">
        <v>73</v>
      </c>
    </row>
    <row r="33" spans="2:28" x14ac:dyDescent="0.35">
      <c r="B33" s="1"/>
      <c r="H33"/>
      <c r="I33"/>
      <c r="K33"/>
      <c r="L33"/>
      <c r="N33" s="1"/>
      <c r="Q33"/>
      <c r="T33" s="47"/>
      <c r="U33" s="33" t="s">
        <v>407</v>
      </c>
      <c r="W33"/>
      <c r="X33" s="33" t="s">
        <v>258</v>
      </c>
      <c r="AB33" s="33" t="s">
        <v>553</v>
      </c>
    </row>
    <row r="34" spans="2:28" x14ac:dyDescent="0.35">
      <c r="B34" s="1"/>
      <c r="H34"/>
      <c r="I34"/>
      <c r="K34"/>
      <c r="L34"/>
      <c r="N34" s="1"/>
      <c r="Q34"/>
      <c r="T34" s="47"/>
      <c r="U34" s="33" t="s">
        <v>844</v>
      </c>
      <c r="W34"/>
      <c r="X34" s="33" t="s">
        <v>262</v>
      </c>
      <c r="AB34" s="33" t="s">
        <v>829</v>
      </c>
    </row>
    <row r="35" spans="2:28" x14ac:dyDescent="0.35">
      <c r="B35" s="1"/>
      <c r="H35"/>
      <c r="I35"/>
      <c r="K35"/>
      <c r="L35"/>
      <c r="Q35"/>
      <c r="T35" s="47"/>
      <c r="U35" s="33" t="s">
        <v>347</v>
      </c>
      <c r="W35"/>
      <c r="X35" s="33" t="s">
        <v>265</v>
      </c>
      <c r="AB35" s="33" t="s">
        <v>700</v>
      </c>
    </row>
    <row r="36" spans="2:28" x14ac:dyDescent="0.35">
      <c r="B36" s="1"/>
      <c r="H36"/>
      <c r="I36"/>
      <c r="K36"/>
      <c r="L36"/>
      <c r="N36" s="1"/>
      <c r="Q36"/>
      <c r="T36" s="47"/>
      <c r="U36" s="33" t="s">
        <v>346</v>
      </c>
      <c r="W36"/>
      <c r="X36" s="33" t="s">
        <v>269</v>
      </c>
      <c r="AA36"/>
      <c r="AB36"/>
    </row>
    <row r="37" spans="2:28" x14ac:dyDescent="0.35">
      <c r="B37" s="1"/>
      <c r="H37"/>
      <c r="I37"/>
      <c r="K37"/>
      <c r="L37"/>
      <c r="N37" s="1"/>
      <c r="Q37"/>
      <c r="T37" s="47"/>
      <c r="U37" s="33" t="s">
        <v>908</v>
      </c>
      <c r="W37"/>
      <c r="X37" s="33" t="s">
        <v>277</v>
      </c>
      <c r="AA37"/>
      <c r="AB37"/>
    </row>
    <row r="38" spans="2:28" x14ac:dyDescent="0.35">
      <c r="B38" s="1"/>
      <c r="H38"/>
      <c r="I38"/>
      <c r="K38"/>
      <c r="L38"/>
      <c r="N38" s="1"/>
      <c r="Q38"/>
      <c r="T38" s="47"/>
      <c r="U38" s="33" t="s">
        <v>214</v>
      </c>
      <c r="W38"/>
      <c r="X38" s="33" t="s">
        <v>264</v>
      </c>
      <c r="AA38"/>
      <c r="AB38"/>
    </row>
    <row r="39" spans="2:28" x14ac:dyDescent="0.35">
      <c r="B39" s="1"/>
      <c r="H39"/>
      <c r="I39"/>
      <c r="K39"/>
      <c r="L39"/>
      <c r="N39" s="1"/>
      <c r="Q39"/>
      <c r="T39" s="47"/>
      <c r="U39" s="33" t="s">
        <v>223</v>
      </c>
      <c r="W39"/>
      <c r="X39" s="33" t="s">
        <v>295</v>
      </c>
      <c r="AA39"/>
      <c r="AB39"/>
    </row>
    <row r="40" spans="2:28" x14ac:dyDescent="0.35">
      <c r="B40" s="1"/>
      <c r="H40"/>
      <c r="I40"/>
      <c r="K40"/>
      <c r="L40"/>
      <c r="N40" s="1"/>
      <c r="Q40"/>
      <c r="T40" s="47"/>
      <c r="U40" s="33" t="s">
        <v>410</v>
      </c>
      <c r="W40"/>
      <c r="X40" s="33" t="s">
        <v>301</v>
      </c>
      <c r="AA40"/>
      <c r="AB40"/>
    </row>
    <row r="41" spans="2:28" x14ac:dyDescent="0.35">
      <c r="B41" s="1"/>
      <c r="H41"/>
      <c r="I41"/>
      <c r="K41"/>
      <c r="L41"/>
      <c r="N41" s="1"/>
      <c r="Q41"/>
      <c r="T41" s="47"/>
      <c r="U41" s="33" t="s">
        <v>432</v>
      </c>
      <c r="W41"/>
      <c r="X41" s="33" t="s">
        <v>303</v>
      </c>
      <c r="AA41"/>
      <c r="AB41"/>
    </row>
    <row r="42" spans="2:28" x14ac:dyDescent="0.35">
      <c r="B42" s="1"/>
      <c r="H42"/>
      <c r="I42"/>
      <c r="K42"/>
      <c r="L42"/>
      <c r="N42" s="1"/>
      <c r="Q42"/>
      <c r="T42" s="47"/>
      <c r="U42" s="33" t="s">
        <v>954</v>
      </c>
      <c r="W42"/>
      <c r="X42" s="33" t="s">
        <v>306</v>
      </c>
      <c r="AA42"/>
      <c r="AB42"/>
    </row>
    <row r="43" spans="2:28" x14ac:dyDescent="0.35">
      <c r="B43" s="1"/>
      <c r="H43"/>
      <c r="I43"/>
      <c r="K43"/>
      <c r="L43"/>
      <c r="N43" s="1"/>
      <c r="Q43"/>
      <c r="T43" s="47"/>
      <c r="U43" s="33" t="s">
        <v>559</v>
      </c>
      <c r="W43"/>
      <c r="X43" s="33" t="s">
        <v>308</v>
      </c>
      <c r="AA43"/>
      <c r="AB43"/>
    </row>
    <row r="44" spans="2:28" x14ac:dyDescent="0.35">
      <c r="B44" s="1"/>
      <c r="H44"/>
      <c r="I44"/>
      <c r="K44"/>
      <c r="L44"/>
      <c r="N44" s="1"/>
      <c r="Q44"/>
      <c r="T44" s="47"/>
      <c r="U44" s="33" t="s">
        <v>98</v>
      </c>
      <c r="W44"/>
      <c r="X44" s="33" t="s">
        <v>313</v>
      </c>
      <c r="AA44"/>
      <c r="AB44"/>
    </row>
    <row r="45" spans="2:28" x14ac:dyDescent="0.35">
      <c r="B45" s="1"/>
      <c r="H45"/>
      <c r="I45"/>
      <c r="K45"/>
      <c r="L45"/>
      <c r="N45" s="1"/>
      <c r="Q45"/>
      <c r="T45" s="47"/>
      <c r="U45" s="33" t="s">
        <v>209</v>
      </c>
      <c r="W45"/>
      <c r="X45" s="33" t="s">
        <v>321</v>
      </c>
      <c r="AA45"/>
      <c r="AB45"/>
    </row>
    <row r="46" spans="2:28" x14ac:dyDescent="0.35">
      <c r="B46" s="1"/>
      <c r="H46"/>
      <c r="I46"/>
      <c r="K46"/>
      <c r="L46"/>
      <c r="N46" s="1"/>
      <c r="Q46"/>
      <c r="T46" s="47"/>
      <c r="U46" s="33" t="s">
        <v>201</v>
      </c>
      <c r="W46"/>
      <c r="X46" s="33" t="s">
        <v>325</v>
      </c>
      <c r="AA46"/>
      <c r="AB46"/>
    </row>
    <row r="47" spans="2:28" x14ac:dyDescent="0.35">
      <c r="B47" s="1"/>
      <c r="H47"/>
      <c r="I47"/>
      <c r="K47"/>
      <c r="L47"/>
      <c r="N47" s="1"/>
      <c r="Q47"/>
      <c r="T47"/>
      <c r="W47"/>
      <c r="X47" s="33" t="s">
        <v>340</v>
      </c>
      <c r="AA47"/>
      <c r="AB47"/>
    </row>
    <row r="48" spans="2:28" x14ac:dyDescent="0.35">
      <c r="B48" s="1"/>
      <c r="H48"/>
      <c r="I48"/>
      <c r="K48"/>
      <c r="L48"/>
      <c r="N48" s="1"/>
      <c r="Q48"/>
      <c r="T48"/>
      <c r="W48"/>
      <c r="X48" s="33" t="s">
        <v>347</v>
      </c>
      <c r="AA48"/>
      <c r="AB48"/>
    </row>
    <row r="49" spans="2:28" x14ac:dyDescent="0.35">
      <c r="B49" s="1"/>
      <c r="H49"/>
      <c r="I49"/>
      <c r="K49"/>
      <c r="L49"/>
      <c r="N49" s="1"/>
      <c r="Q49"/>
      <c r="T49"/>
      <c r="W49"/>
      <c r="X49" s="33" t="s">
        <v>351</v>
      </c>
      <c r="AA49"/>
      <c r="AB49"/>
    </row>
    <row r="50" spans="2:28" x14ac:dyDescent="0.35">
      <c r="B50" s="1"/>
      <c r="H50"/>
      <c r="I50"/>
      <c r="K50"/>
      <c r="L50"/>
      <c r="N50" s="1"/>
      <c r="Q50"/>
      <c r="T50"/>
      <c r="W50"/>
      <c r="X50" s="33" t="s">
        <v>354</v>
      </c>
      <c r="AA50"/>
      <c r="AB50"/>
    </row>
    <row r="51" spans="2:28" x14ac:dyDescent="0.35">
      <c r="B51" s="1"/>
      <c r="H51"/>
      <c r="I51"/>
      <c r="K51"/>
      <c r="L51"/>
      <c r="N51" s="1"/>
      <c r="Q51"/>
      <c r="T51"/>
      <c r="W51"/>
      <c r="X51" s="33" t="s">
        <v>357</v>
      </c>
      <c r="AA51"/>
      <c r="AB51"/>
    </row>
    <row r="52" spans="2:28" x14ac:dyDescent="0.35">
      <c r="B52" s="1"/>
      <c r="H52"/>
      <c r="I52"/>
      <c r="K52"/>
      <c r="L52"/>
      <c r="N52" s="1"/>
      <c r="Q52"/>
      <c r="T52"/>
      <c r="W52"/>
      <c r="X52" s="33" t="s">
        <v>378</v>
      </c>
      <c r="AA52"/>
      <c r="AB52"/>
    </row>
    <row r="53" spans="2:28" x14ac:dyDescent="0.35">
      <c r="B53" s="1"/>
      <c r="F53"/>
      <c r="H53"/>
      <c r="I53"/>
      <c r="K53"/>
      <c r="L53"/>
      <c r="N53" s="1"/>
      <c r="Q53"/>
      <c r="T53"/>
      <c r="W53"/>
      <c r="X53" s="33" t="s">
        <v>382</v>
      </c>
      <c r="AA53"/>
      <c r="AB53"/>
    </row>
    <row r="54" spans="2:28" x14ac:dyDescent="0.35">
      <c r="B54" s="1"/>
      <c r="F54"/>
      <c r="H54"/>
      <c r="I54"/>
      <c r="K54"/>
      <c r="L54"/>
      <c r="N54" s="1"/>
      <c r="Q54"/>
      <c r="T54"/>
      <c r="W54"/>
      <c r="X54" s="33" t="s">
        <v>408</v>
      </c>
      <c r="AA54"/>
      <c r="AB54"/>
    </row>
    <row r="55" spans="2:28" x14ac:dyDescent="0.35">
      <c r="B55" s="1"/>
      <c r="F55"/>
      <c r="H55"/>
      <c r="I55"/>
      <c r="K55"/>
      <c r="L55"/>
      <c r="N55" s="1"/>
      <c r="Q55"/>
      <c r="T55"/>
      <c r="W55"/>
      <c r="X55" s="33" t="s">
        <v>410</v>
      </c>
      <c r="AA55"/>
      <c r="AB55"/>
    </row>
    <row r="56" spans="2:28" x14ac:dyDescent="0.35">
      <c r="B56" s="1"/>
      <c r="F56"/>
      <c r="H56"/>
      <c r="I56"/>
      <c r="K56"/>
      <c r="L56"/>
      <c r="N56" s="1"/>
      <c r="Q56"/>
      <c r="T56"/>
      <c r="W56"/>
      <c r="X56" s="33" t="s">
        <v>268</v>
      </c>
      <c r="AA56"/>
      <c r="AB56"/>
    </row>
    <row r="57" spans="2:28" x14ac:dyDescent="0.35">
      <c r="B57" s="1"/>
      <c r="F57"/>
      <c r="H57"/>
      <c r="I57"/>
      <c r="K57"/>
      <c r="L57"/>
      <c r="N57" s="1"/>
      <c r="Q57"/>
      <c r="T57"/>
      <c r="W57"/>
      <c r="X57" s="33" t="s">
        <v>423</v>
      </c>
      <c r="AA57"/>
      <c r="AB57"/>
    </row>
    <row r="58" spans="2:28" x14ac:dyDescent="0.35">
      <c r="B58" s="1"/>
      <c r="F58"/>
      <c r="H58"/>
      <c r="I58"/>
      <c r="K58"/>
      <c r="L58"/>
      <c r="N58" s="1"/>
      <c r="Q58"/>
      <c r="T58"/>
      <c r="W58"/>
      <c r="X58" s="33" t="s">
        <v>433</v>
      </c>
      <c r="AA58"/>
      <c r="AB58"/>
    </row>
    <row r="59" spans="2:28" x14ac:dyDescent="0.35">
      <c r="B59" s="1"/>
      <c r="H59"/>
      <c r="I59"/>
      <c r="K59"/>
      <c r="L59"/>
      <c r="N59" s="1"/>
      <c r="Q59"/>
      <c r="T59"/>
      <c r="W59"/>
      <c r="X59" s="33" t="s">
        <v>435</v>
      </c>
      <c r="AA59"/>
      <c r="AB59"/>
    </row>
    <row r="60" spans="2:28" x14ac:dyDescent="0.35">
      <c r="B60" s="1"/>
      <c r="H60"/>
      <c r="I60"/>
      <c r="K60"/>
      <c r="L60"/>
      <c r="N60" s="1"/>
      <c r="Q60"/>
      <c r="T60"/>
      <c r="W60"/>
      <c r="X60" s="33" t="s">
        <v>439</v>
      </c>
      <c r="AA60"/>
      <c r="AB60"/>
    </row>
    <row r="61" spans="2:28" x14ac:dyDescent="0.35">
      <c r="B61" s="1"/>
      <c r="H61"/>
      <c r="I61"/>
      <c r="K61"/>
      <c r="L61"/>
      <c r="N61" s="1"/>
      <c r="Q61"/>
      <c r="T61"/>
      <c r="W61"/>
      <c r="X61" s="33" t="s">
        <v>463</v>
      </c>
      <c r="AA61"/>
      <c r="AB61"/>
    </row>
    <row r="62" spans="2:28" x14ac:dyDescent="0.35">
      <c r="B62" s="1"/>
      <c r="H62"/>
      <c r="I62"/>
      <c r="K62"/>
      <c r="L62"/>
      <c r="N62" s="1"/>
      <c r="Q62"/>
      <c r="T62"/>
      <c r="W62"/>
      <c r="X62" s="33" t="s">
        <v>467</v>
      </c>
      <c r="AA62"/>
      <c r="AB62"/>
    </row>
    <row r="63" spans="2:28" x14ac:dyDescent="0.35">
      <c r="B63" s="1"/>
      <c r="H63"/>
      <c r="I63"/>
      <c r="K63"/>
      <c r="L63"/>
      <c r="N63" s="1"/>
      <c r="Q63"/>
      <c r="T63"/>
      <c r="W63"/>
      <c r="X63" s="33" t="s">
        <v>470</v>
      </c>
      <c r="AA63"/>
      <c r="AB63"/>
    </row>
    <row r="64" spans="2:28" x14ac:dyDescent="0.35">
      <c r="B64" s="1"/>
      <c r="H64"/>
      <c r="I64"/>
      <c r="K64"/>
      <c r="L64"/>
      <c r="N64" s="1"/>
      <c r="Q64"/>
      <c r="T64"/>
      <c r="W64"/>
      <c r="X64" s="33" t="s">
        <v>472</v>
      </c>
      <c r="AA64"/>
      <c r="AB64"/>
    </row>
    <row r="65" spans="2:28" x14ac:dyDescent="0.35">
      <c r="B65" s="1"/>
      <c r="H65"/>
      <c r="I65"/>
      <c r="K65"/>
      <c r="L65"/>
      <c r="N65" s="1"/>
      <c r="Q65"/>
      <c r="T65"/>
      <c r="W65"/>
      <c r="X65" s="33" t="s">
        <v>475</v>
      </c>
      <c r="AA65"/>
      <c r="AB65"/>
    </row>
    <row r="66" spans="2:28" x14ac:dyDescent="0.35">
      <c r="B66" s="1"/>
      <c r="H66"/>
      <c r="I66"/>
      <c r="K66"/>
      <c r="L66"/>
      <c r="N66" s="1"/>
      <c r="Q66"/>
      <c r="T66"/>
      <c r="W66"/>
      <c r="X66" s="33" t="s">
        <v>477</v>
      </c>
      <c r="AA66"/>
      <c r="AB66"/>
    </row>
    <row r="67" spans="2:28" x14ac:dyDescent="0.35">
      <c r="B67" s="1"/>
      <c r="H67"/>
      <c r="I67"/>
      <c r="K67"/>
      <c r="L67"/>
      <c r="N67" s="1"/>
      <c r="Q67"/>
      <c r="T67"/>
      <c r="W67"/>
      <c r="X67" s="33" t="s">
        <v>537</v>
      </c>
      <c r="AA67"/>
      <c r="AB67"/>
    </row>
    <row r="68" spans="2:28" x14ac:dyDescent="0.35">
      <c r="B68" s="1"/>
      <c r="H68"/>
      <c r="I68"/>
      <c r="K68"/>
      <c r="L68"/>
      <c r="N68" s="1"/>
      <c r="Q68"/>
      <c r="T68"/>
      <c r="W68"/>
      <c r="X68" s="33" t="s">
        <v>541</v>
      </c>
      <c r="AA68"/>
      <c r="AB68"/>
    </row>
    <row r="69" spans="2:28" x14ac:dyDescent="0.35">
      <c r="B69" s="1"/>
      <c r="H69"/>
      <c r="I69"/>
      <c r="K69"/>
      <c r="L69"/>
      <c r="N69" s="1"/>
      <c r="Q69"/>
      <c r="T69"/>
      <c r="W69"/>
      <c r="X69" s="33" t="s">
        <v>546</v>
      </c>
      <c r="AA69"/>
      <c r="AB69"/>
    </row>
    <row r="70" spans="2:28" x14ac:dyDescent="0.35">
      <c r="B70" s="1"/>
      <c r="H70"/>
      <c r="I70"/>
      <c r="K70"/>
      <c r="L70"/>
      <c r="N70" s="1"/>
      <c r="Q70"/>
      <c r="T70"/>
      <c r="W70"/>
      <c r="X70" s="33" t="s">
        <v>548</v>
      </c>
      <c r="AA70"/>
      <c r="AB70"/>
    </row>
    <row r="71" spans="2:28" x14ac:dyDescent="0.35">
      <c r="B71" s="1"/>
      <c r="H71"/>
      <c r="I71"/>
      <c r="K71"/>
      <c r="L71"/>
      <c r="N71" s="1"/>
      <c r="Q71"/>
      <c r="T71"/>
      <c r="W71"/>
      <c r="X71" s="33" t="s">
        <v>552</v>
      </c>
      <c r="AA71"/>
      <c r="AB71"/>
    </row>
    <row r="72" spans="2:28" x14ac:dyDescent="0.35">
      <c r="B72" s="1"/>
      <c r="H72"/>
      <c r="I72"/>
      <c r="K72"/>
      <c r="L72"/>
      <c r="N72" s="1"/>
      <c r="Q72"/>
      <c r="T72"/>
      <c r="W72"/>
      <c r="X72" s="33" t="s">
        <v>556</v>
      </c>
      <c r="AA72"/>
      <c r="AB72"/>
    </row>
    <row r="73" spans="2:28" x14ac:dyDescent="0.35">
      <c r="B73" s="1"/>
      <c r="H73"/>
      <c r="I73"/>
      <c r="K73"/>
      <c r="L73"/>
      <c r="N73" s="1"/>
      <c r="Q73"/>
      <c r="T73"/>
      <c r="W73"/>
      <c r="X73" s="33" t="s">
        <v>560</v>
      </c>
      <c r="AA73"/>
      <c r="AB73"/>
    </row>
    <row r="74" spans="2:28" x14ac:dyDescent="0.35">
      <c r="B74" s="1"/>
      <c r="H74"/>
      <c r="I74"/>
      <c r="K74"/>
      <c r="L74"/>
      <c r="N74" s="1"/>
      <c r="Q74"/>
      <c r="T74"/>
      <c r="W74"/>
      <c r="X74" s="33" t="s">
        <v>562</v>
      </c>
      <c r="AA74"/>
      <c r="AB74"/>
    </row>
    <row r="75" spans="2:28" x14ac:dyDescent="0.35">
      <c r="B75" s="1"/>
      <c r="H75"/>
      <c r="I75"/>
      <c r="K75"/>
      <c r="L75"/>
      <c r="N75" s="1"/>
      <c r="Q75"/>
      <c r="T75"/>
      <c r="W75"/>
      <c r="X75" s="33" t="s">
        <v>565</v>
      </c>
      <c r="AA75"/>
      <c r="AB75"/>
    </row>
    <row r="76" spans="2:28" x14ac:dyDescent="0.35">
      <c r="B76" s="1"/>
      <c r="H76"/>
      <c r="I76"/>
      <c r="K76"/>
      <c r="L76"/>
      <c r="N76" s="1"/>
      <c r="Q76"/>
      <c r="T76"/>
      <c r="W76"/>
      <c r="X76" s="33" t="s">
        <v>568</v>
      </c>
      <c r="AA76"/>
      <c r="AB76"/>
    </row>
    <row r="77" spans="2:28" x14ac:dyDescent="0.35">
      <c r="B77" s="1"/>
      <c r="H77"/>
      <c r="I77"/>
      <c r="K77"/>
      <c r="L77"/>
      <c r="N77" s="1"/>
      <c r="Q77"/>
      <c r="T77"/>
      <c r="W77"/>
      <c r="X77" s="33" t="s">
        <v>578</v>
      </c>
      <c r="AA77"/>
      <c r="AB77"/>
    </row>
    <row r="78" spans="2:28" x14ac:dyDescent="0.35">
      <c r="B78" s="1"/>
      <c r="H78"/>
      <c r="I78"/>
      <c r="K78"/>
      <c r="L78"/>
      <c r="N78" s="1"/>
      <c r="Q78"/>
      <c r="T78"/>
      <c r="W78"/>
      <c r="X78" s="33" t="s">
        <v>601</v>
      </c>
      <c r="AA78"/>
      <c r="AB78"/>
    </row>
    <row r="79" spans="2:28" x14ac:dyDescent="0.35">
      <c r="B79" s="1"/>
      <c r="H79"/>
      <c r="I79"/>
      <c r="K79"/>
      <c r="L79"/>
      <c r="N79" s="1"/>
      <c r="Q79"/>
      <c r="T79"/>
      <c r="W79"/>
      <c r="X79" s="33" t="s">
        <v>567</v>
      </c>
      <c r="AA79"/>
      <c r="AB79"/>
    </row>
    <row r="80" spans="2:28" x14ac:dyDescent="0.35">
      <c r="B80" s="1"/>
      <c r="H80"/>
      <c r="I80"/>
      <c r="K80"/>
      <c r="L80"/>
      <c r="N80" s="1"/>
      <c r="Q80"/>
      <c r="T80"/>
      <c r="W80"/>
      <c r="X80" s="33" t="s">
        <v>639</v>
      </c>
      <c r="AA80"/>
      <c r="AB80"/>
    </row>
    <row r="81" spans="2:28" x14ac:dyDescent="0.35">
      <c r="B81" s="1"/>
      <c r="H81"/>
      <c r="I81"/>
      <c r="K81"/>
      <c r="L81"/>
      <c r="N81" s="1"/>
      <c r="Q81"/>
      <c r="T81"/>
      <c r="W81"/>
      <c r="X81" s="33" t="s">
        <v>659</v>
      </c>
      <c r="AA81"/>
      <c r="AB81"/>
    </row>
    <row r="82" spans="2:28" x14ac:dyDescent="0.35">
      <c r="B82" s="1"/>
      <c r="H82"/>
      <c r="I82"/>
      <c r="K82"/>
      <c r="L82"/>
      <c r="N82" s="1"/>
      <c r="Q82"/>
      <c r="T82"/>
      <c r="W82"/>
      <c r="X82" s="33" t="s">
        <v>662</v>
      </c>
      <c r="AA82"/>
      <c r="AB82"/>
    </row>
    <row r="83" spans="2:28" x14ac:dyDescent="0.35">
      <c r="B83" s="1"/>
      <c r="H83"/>
      <c r="I83"/>
      <c r="K83"/>
      <c r="L83"/>
      <c r="N83" s="1"/>
      <c r="Q83"/>
      <c r="T83"/>
      <c r="W83"/>
      <c r="X83" s="33" t="s">
        <v>668</v>
      </c>
      <c r="AA83"/>
      <c r="AB83"/>
    </row>
    <row r="84" spans="2:28" x14ac:dyDescent="0.35">
      <c r="B84" s="1"/>
      <c r="H84"/>
      <c r="I84"/>
      <c r="K84"/>
      <c r="L84"/>
      <c r="N84" s="1"/>
      <c r="Q84"/>
      <c r="T84"/>
      <c r="W84"/>
      <c r="X84" s="33" t="s">
        <v>670</v>
      </c>
      <c r="AA84"/>
      <c r="AB84"/>
    </row>
    <row r="85" spans="2:28" x14ac:dyDescent="0.35">
      <c r="B85" s="1"/>
      <c r="H85"/>
      <c r="I85"/>
      <c r="K85"/>
      <c r="L85"/>
      <c r="N85" s="1"/>
      <c r="Q85"/>
      <c r="T85"/>
      <c r="W85"/>
      <c r="X85" s="33" t="s">
        <v>687</v>
      </c>
      <c r="AA85"/>
      <c r="AB85"/>
    </row>
    <row r="86" spans="2:28" x14ac:dyDescent="0.35">
      <c r="B86" s="1"/>
      <c r="H86"/>
      <c r="I86"/>
      <c r="K86"/>
      <c r="L86"/>
      <c r="N86" s="1"/>
      <c r="Q86"/>
      <c r="T86"/>
      <c r="W86"/>
      <c r="X86" s="33" t="s">
        <v>691</v>
      </c>
      <c r="AA86"/>
      <c r="AB86"/>
    </row>
    <row r="87" spans="2:28" x14ac:dyDescent="0.35">
      <c r="B87" s="1"/>
      <c r="H87"/>
      <c r="I87"/>
      <c r="K87"/>
      <c r="L87"/>
      <c r="N87" s="1"/>
      <c r="Q87"/>
      <c r="T87"/>
      <c r="W87"/>
      <c r="X87" s="33" t="s">
        <v>695</v>
      </c>
      <c r="AA87"/>
      <c r="AB87"/>
    </row>
    <row r="88" spans="2:28" x14ac:dyDescent="0.35">
      <c r="B88" s="1"/>
      <c r="H88"/>
      <c r="I88"/>
      <c r="K88"/>
      <c r="L88"/>
      <c r="N88" s="1"/>
      <c r="Q88"/>
      <c r="T88"/>
      <c r="W88"/>
      <c r="X88" s="33" t="s">
        <v>710</v>
      </c>
      <c r="AA88"/>
      <c r="AB88"/>
    </row>
    <row r="89" spans="2:28" x14ac:dyDescent="0.35">
      <c r="B89" s="1"/>
      <c r="H89"/>
      <c r="I89"/>
      <c r="K89"/>
      <c r="L89"/>
      <c r="N89" s="1"/>
      <c r="Q89"/>
      <c r="T89"/>
      <c r="W89"/>
      <c r="X89" s="33" t="s">
        <v>713</v>
      </c>
      <c r="AA89"/>
      <c r="AB89"/>
    </row>
    <row r="90" spans="2:28" x14ac:dyDescent="0.35">
      <c r="B90" s="1"/>
      <c r="H90"/>
      <c r="I90"/>
      <c r="K90"/>
      <c r="L90"/>
      <c r="N90" s="1"/>
      <c r="Q90"/>
      <c r="T90"/>
      <c r="W90"/>
      <c r="X90" s="33" t="s">
        <v>715</v>
      </c>
      <c r="AA90"/>
      <c r="AB90"/>
    </row>
    <row r="91" spans="2:28" x14ac:dyDescent="0.35">
      <c r="B91" s="1"/>
      <c r="H91"/>
      <c r="I91"/>
      <c r="K91"/>
      <c r="L91"/>
      <c r="N91" s="1"/>
      <c r="Q91"/>
      <c r="T91"/>
      <c r="W91"/>
      <c r="X91" s="33" t="s">
        <v>718</v>
      </c>
      <c r="AA91"/>
      <c r="AB91"/>
    </row>
    <row r="92" spans="2:28" x14ac:dyDescent="0.35">
      <c r="B92" s="1"/>
      <c r="H92"/>
      <c r="I92"/>
      <c r="K92"/>
      <c r="L92"/>
      <c r="N92" s="1"/>
      <c r="Q92"/>
      <c r="T92"/>
      <c r="W92"/>
      <c r="X92" s="33" t="s">
        <v>721</v>
      </c>
      <c r="AA92"/>
      <c r="AB92"/>
    </row>
    <row r="93" spans="2:28" x14ac:dyDescent="0.35">
      <c r="B93" s="1"/>
      <c r="H93"/>
      <c r="I93"/>
      <c r="K93"/>
      <c r="L93"/>
      <c r="N93" s="1"/>
      <c r="Q93"/>
      <c r="T93"/>
      <c r="W93"/>
      <c r="X93" s="33" t="s">
        <v>734</v>
      </c>
      <c r="AA93"/>
      <c r="AB93"/>
    </row>
    <row r="94" spans="2:28" x14ac:dyDescent="0.35">
      <c r="B94" s="1"/>
      <c r="H94"/>
      <c r="I94"/>
      <c r="K94"/>
      <c r="L94"/>
      <c r="N94" s="1"/>
      <c r="Q94"/>
      <c r="T94"/>
      <c r="W94"/>
      <c r="X94" s="33" t="s">
        <v>738</v>
      </c>
      <c r="AA94"/>
      <c r="AB94"/>
    </row>
    <row r="95" spans="2:28" x14ac:dyDescent="0.35">
      <c r="B95" s="1"/>
      <c r="H95"/>
      <c r="I95"/>
      <c r="K95"/>
      <c r="L95"/>
      <c r="N95" s="1"/>
      <c r="Q95"/>
      <c r="T95"/>
      <c r="W95"/>
      <c r="X95" s="33" t="s">
        <v>744</v>
      </c>
      <c r="AA95"/>
      <c r="AB95"/>
    </row>
    <row r="96" spans="2:28" x14ac:dyDescent="0.35">
      <c r="B96" s="1"/>
      <c r="H96"/>
      <c r="I96"/>
      <c r="K96"/>
      <c r="L96"/>
      <c r="N96" s="1"/>
      <c r="Q96"/>
      <c r="T96"/>
      <c r="W96"/>
      <c r="X96" s="33" t="s">
        <v>749</v>
      </c>
      <c r="AA96"/>
      <c r="AB96"/>
    </row>
    <row r="97" spans="2:28" x14ac:dyDescent="0.35">
      <c r="B97" s="1"/>
      <c r="H97"/>
      <c r="I97"/>
      <c r="K97"/>
      <c r="L97"/>
      <c r="N97" s="1"/>
      <c r="Q97"/>
      <c r="T97"/>
      <c r="W97"/>
      <c r="X97" s="33" t="s">
        <v>751</v>
      </c>
      <c r="AA97"/>
      <c r="AB97"/>
    </row>
    <row r="98" spans="2:28" x14ac:dyDescent="0.35">
      <c r="B98" s="1"/>
      <c r="H98"/>
      <c r="I98"/>
      <c r="K98"/>
      <c r="L98"/>
      <c r="N98" s="1"/>
      <c r="Q98"/>
      <c r="T98"/>
      <c r="W98"/>
      <c r="X98" s="33" t="s">
        <v>754</v>
      </c>
      <c r="AA98"/>
      <c r="AB98"/>
    </row>
    <row r="99" spans="2:28" x14ac:dyDescent="0.35">
      <c r="B99" s="1"/>
      <c r="H99"/>
      <c r="I99"/>
      <c r="K99"/>
      <c r="L99"/>
      <c r="N99" s="1"/>
      <c r="Q99"/>
      <c r="T99"/>
      <c r="W99"/>
      <c r="X99" s="33" t="s">
        <v>761</v>
      </c>
      <c r="AA99"/>
      <c r="AB99"/>
    </row>
    <row r="100" spans="2:28" x14ac:dyDescent="0.35">
      <c r="B100" s="1"/>
      <c r="H100"/>
      <c r="I100"/>
      <c r="K100"/>
      <c r="L100"/>
      <c r="N100" s="1"/>
      <c r="Q100"/>
      <c r="T100"/>
      <c r="W100"/>
      <c r="X100" s="33" t="s">
        <v>785</v>
      </c>
      <c r="AA100"/>
      <c r="AB100"/>
    </row>
    <row r="101" spans="2:28" x14ac:dyDescent="0.35">
      <c r="B101" s="1"/>
      <c r="H101"/>
      <c r="I101"/>
      <c r="K101"/>
      <c r="L101"/>
      <c r="N101" s="1"/>
      <c r="Q101"/>
      <c r="T101"/>
      <c r="W101"/>
      <c r="X101" s="33" t="s">
        <v>794</v>
      </c>
      <c r="AA101"/>
      <c r="AB101"/>
    </row>
    <row r="102" spans="2:28" x14ac:dyDescent="0.35">
      <c r="B102" s="1"/>
      <c r="H102"/>
      <c r="I102"/>
      <c r="K102"/>
      <c r="L102"/>
      <c r="N102" s="1"/>
      <c r="Q102"/>
      <c r="T102"/>
      <c r="W102"/>
      <c r="X102" s="33" t="s">
        <v>796</v>
      </c>
      <c r="AA102"/>
      <c r="AB102"/>
    </row>
    <row r="103" spans="2:28" x14ac:dyDescent="0.35">
      <c r="B103" s="1"/>
      <c r="H103"/>
      <c r="I103"/>
      <c r="K103"/>
      <c r="L103"/>
      <c r="N103" s="1"/>
      <c r="Q103"/>
      <c r="T103"/>
      <c r="W103"/>
      <c r="X103" s="33" t="s">
        <v>802</v>
      </c>
      <c r="AA103"/>
      <c r="AB103"/>
    </row>
    <row r="104" spans="2:28" x14ac:dyDescent="0.35">
      <c r="B104" s="1"/>
      <c r="H104"/>
      <c r="I104"/>
      <c r="K104"/>
      <c r="L104"/>
      <c r="N104" s="1"/>
      <c r="Q104"/>
      <c r="T104"/>
      <c r="W104"/>
      <c r="X104" s="33" t="s">
        <v>811</v>
      </c>
      <c r="AA104"/>
      <c r="AB104"/>
    </row>
    <row r="105" spans="2:28" x14ac:dyDescent="0.35">
      <c r="B105" s="1"/>
      <c r="H105"/>
      <c r="I105"/>
      <c r="K105"/>
      <c r="L105"/>
      <c r="N105" s="1"/>
      <c r="Q105"/>
      <c r="T105"/>
      <c r="W105"/>
      <c r="X105" s="33" t="s">
        <v>813</v>
      </c>
      <c r="AA105"/>
      <c r="AB105"/>
    </row>
    <row r="106" spans="2:28" x14ac:dyDescent="0.35">
      <c r="B106" s="1"/>
      <c r="H106"/>
      <c r="I106"/>
      <c r="K106"/>
      <c r="L106"/>
      <c r="N106" s="1"/>
      <c r="Q106"/>
      <c r="T106"/>
      <c r="W106"/>
      <c r="X106" s="33" t="s">
        <v>845</v>
      </c>
      <c r="AA106"/>
      <c r="AB106"/>
    </row>
    <row r="107" spans="2:28" x14ac:dyDescent="0.35">
      <c r="B107" s="1"/>
      <c r="H107"/>
      <c r="I107"/>
      <c r="K107"/>
      <c r="L107"/>
      <c r="N107" s="1"/>
      <c r="Q107"/>
      <c r="T107"/>
      <c r="W107"/>
      <c r="X107" s="33" t="s">
        <v>859</v>
      </c>
      <c r="AA107"/>
      <c r="AB107"/>
    </row>
    <row r="108" spans="2:28" x14ac:dyDescent="0.35">
      <c r="B108" s="1"/>
      <c r="H108"/>
      <c r="I108"/>
      <c r="K108"/>
      <c r="L108"/>
      <c r="N108" s="1"/>
      <c r="Q108"/>
      <c r="T108"/>
      <c r="W108"/>
      <c r="X108" s="33" t="s">
        <v>867</v>
      </c>
      <c r="AA108"/>
      <c r="AB108"/>
    </row>
    <row r="109" spans="2:28" x14ac:dyDescent="0.35">
      <c r="B109" s="1"/>
      <c r="H109"/>
      <c r="I109"/>
      <c r="K109"/>
      <c r="L109"/>
      <c r="N109" s="1"/>
      <c r="Q109"/>
      <c r="T109"/>
      <c r="W109"/>
      <c r="X109" s="33" t="s">
        <v>888</v>
      </c>
      <c r="AA109"/>
      <c r="AB109"/>
    </row>
    <row r="110" spans="2:28" x14ac:dyDescent="0.35">
      <c r="B110" s="1"/>
      <c r="H110"/>
      <c r="I110"/>
      <c r="K110"/>
      <c r="L110"/>
      <c r="N110" s="1"/>
      <c r="Q110"/>
      <c r="T110"/>
      <c r="W110"/>
      <c r="X110" s="33" t="s">
        <v>890</v>
      </c>
      <c r="AA110"/>
      <c r="AB110"/>
    </row>
    <row r="111" spans="2:28" x14ac:dyDescent="0.35">
      <c r="B111" s="1"/>
      <c r="H111"/>
      <c r="I111"/>
      <c r="K111"/>
      <c r="L111"/>
      <c r="N111" s="1"/>
      <c r="Q111"/>
      <c r="T111"/>
      <c r="W111"/>
      <c r="X111" s="33" t="s">
        <v>908</v>
      </c>
      <c r="AA111"/>
      <c r="AB111"/>
    </row>
    <row r="112" spans="2:28" x14ac:dyDescent="0.35">
      <c r="B112" s="1"/>
      <c r="H112"/>
      <c r="I112"/>
      <c r="K112"/>
      <c r="L112"/>
      <c r="N112" s="1"/>
      <c r="Q112"/>
      <c r="T112"/>
      <c r="W112"/>
      <c r="X112" s="33" t="s">
        <v>916</v>
      </c>
      <c r="AA112"/>
      <c r="AB112"/>
    </row>
    <row r="113" spans="2:28" x14ac:dyDescent="0.35">
      <c r="B113" s="1"/>
      <c r="H113"/>
      <c r="I113"/>
      <c r="K113"/>
      <c r="L113"/>
      <c r="N113" s="1"/>
      <c r="Q113"/>
      <c r="T113"/>
      <c r="W113"/>
      <c r="X113" s="33" t="s">
        <v>920</v>
      </c>
      <c r="AA113"/>
      <c r="AB113"/>
    </row>
    <row r="114" spans="2:28" x14ac:dyDescent="0.35">
      <c r="B114" s="1"/>
      <c r="H114"/>
      <c r="I114"/>
      <c r="K114"/>
      <c r="L114"/>
      <c r="N114" s="1"/>
      <c r="Q114"/>
      <c r="T114"/>
      <c r="W114"/>
      <c r="X114" s="33" t="s">
        <v>922</v>
      </c>
      <c r="AA114"/>
      <c r="AB114"/>
    </row>
    <row r="115" spans="2:28" x14ac:dyDescent="0.35">
      <c r="B115" s="1"/>
      <c r="H115"/>
      <c r="I115"/>
      <c r="K115"/>
      <c r="L115"/>
      <c r="N115" s="1"/>
      <c r="Q115"/>
      <c r="T115"/>
      <c r="W115"/>
      <c r="X115" s="33" t="s">
        <v>926</v>
      </c>
      <c r="AA115"/>
      <c r="AB115"/>
    </row>
    <row r="116" spans="2:28" x14ac:dyDescent="0.35">
      <c r="B116" s="1"/>
      <c r="H116"/>
      <c r="I116"/>
      <c r="K116"/>
      <c r="L116"/>
      <c r="N116" s="1"/>
      <c r="Q116"/>
      <c r="T116"/>
      <c r="W116"/>
      <c r="X116" s="33" t="s">
        <v>931</v>
      </c>
      <c r="AA116"/>
      <c r="AB116"/>
    </row>
    <row r="117" spans="2:28" x14ac:dyDescent="0.35">
      <c r="B117" s="1"/>
      <c r="H117"/>
      <c r="I117"/>
      <c r="K117"/>
      <c r="L117"/>
      <c r="N117" s="1"/>
      <c r="Q117"/>
      <c r="T117"/>
      <c r="W117"/>
      <c r="X117" s="33" t="s">
        <v>933</v>
      </c>
      <c r="AA117"/>
      <c r="AB117"/>
    </row>
    <row r="118" spans="2:28" x14ac:dyDescent="0.35">
      <c r="B118" s="1"/>
      <c r="H118"/>
      <c r="I118"/>
      <c r="K118"/>
      <c r="L118"/>
      <c r="N118" s="1"/>
      <c r="Q118"/>
      <c r="T118"/>
      <c r="W118"/>
      <c r="X118" s="33" t="s">
        <v>937</v>
      </c>
      <c r="AA118"/>
      <c r="AB118"/>
    </row>
    <row r="119" spans="2:28" x14ac:dyDescent="0.35">
      <c r="B119" s="1"/>
      <c r="H119"/>
      <c r="I119"/>
      <c r="K119"/>
      <c r="L119"/>
      <c r="N119" s="1"/>
      <c r="Q119"/>
      <c r="T119"/>
      <c r="W119"/>
      <c r="X119" s="33" t="s">
        <v>939</v>
      </c>
      <c r="AA119"/>
      <c r="AB119"/>
    </row>
    <row r="120" spans="2:28" x14ac:dyDescent="0.35">
      <c r="B120" s="1"/>
      <c r="H120"/>
      <c r="I120"/>
      <c r="K120"/>
      <c r="L120"/>
      <c r="N120" s="1"/>
      <c r="Q120"/>
      <c r="T120"/>
      <c r="W120"/>
      <c r="X120" s="33" t="s">
        <v>945</v>
      </c>
      <c r="AA120"/>
      <c r="AB120"/>
    </row>
    <row r="121" spans="2:28" x14ac:dyDescent="0.35">
      <c r="B121" s="1"/>
      <c r="H121"/>
      <c r="I121"/>
      <c r="K121"/>
      <c r="L121"/>
      <c r="N121" s="1"/>
      <c r="Q121"/>
      <c r="T121"/>
      <c r="W121"/>
      <c r="X121" s="33" t="s">
        <v>947</v>
      </c>
      <c r="AA121"/>
      <c r="AB121"/>
    </row>
    <row r="122" spans="2:28" x14ac:dyDescent="0.35">
      <c r="B122" s="1"/>
      <c r="H122"/>
      <c r="I122"/>
      <c r="K122"/>
      <c r="L122"/>
      <c r="N122" s="1"/>
      <c r="Q122"/>
      <c r="T122"/>
      <c r="W122"/>
      <c r="X122" s="33" t="s">
        <v>954</v>
      </c>
      <c r="AA122"/>
      <c r="AB122"/>
    </row>
    <row r="123" spans="2:28" x14ac:dyDescent="0.35">
      <c r="B123" s="1"/>
      <c r="H123"/>
      <c r="I123"/>
      <c r="K123"/>
      <c r="L123"/>
      <c r="N123" s="1"/>
      <c r="Q123"/>
      <c r="T123"/>
      <c r="W123"/>
      <c r="X123" s="33" t="s">
        <v>959</v>
      </c>
      <c r="AA123"/>
      <c r="AB123"/>
    </row>
    <row r="124" spans="2:28" x14ac:dyDescent="0.35">
      <c r="B124" s="1"/>
      <c r="H124"/>
      <c r="I124"/>
      <c r="K124"/>
      <c r="L124"/>
      <c r="N124" s="1"/>
      <c r="Q124"/>
      <c r="T124"/>
      <c r="W124"/>
      <c r="X124" s="33" t="s">
        <v>961</v>
      </c>
      <c r="AA124"/>
      <c r="AB124"/>
    </row>
    <row r="125" spans="2:28" x14ac:dyDescent="0.35">
      <c r="B125" s="1"/>
      <c r="H125"/>
      <c r="I125"/>
      <c r="K125"/>
      <c r="L125"/>
      <c r="N125" s="1"/>
      <c r="Q125"/>
      <c r="T125"/>
      <c r="W125"/>
      <c r="X125" s="33" t="s">
        <v>559</v>
      </c>
      <c r="AA125"/>
      <c r="AB125"/>
    </row>
    <row r="126" spans="2:28" x14ac:dyDescent="0.35">
      <c r="B126" s="1"/>
      <c r="H126"/>
      <c r="I126"/>
      <c r="K126"/>
      <c r="L126"/>
      <c r="N126" s="1"/>
      <c r="Q126"/>
      <c r="T126"/>
      <c r="W126"/>
      <c r="X126" s="33" t="s">
        <v>982</v>
      </c>
      <c r="AA126"/>
      <c r="AB126"/>
    </row>
    <row r="127" spans="2:28" x14ac:dyDescent="0.35">
      <c r="B127" s="1"/>
      <c r="H127"/>
      <c r="I127"/>
      <c r="K127"/>
      <c r="L127"/>
      <c r="N127" s="1"/>
      <c r="Q127"/>
      <c r="T127"/>
      <c r="W127"/>
      <c r="X127" s="33" t="s">
        <v>984</v>
      </c>
      <c r="AA127"/>
      <c r="AB127"/>
    </row>
    <row r="128" spans="2:28" x14ac:dyDescent="0.35">
      <c r="B128" s="1"/>
      <c r="H128"/>
      <c r="I128"/>
      <c r="K128"/>
      <c r="L128"/>
      <c r="N128" s="1"/>
      <c r="Q128"/>
      <c r="T128"/>
      <c r="W128"/>
      <c r="X128" s="33" t="s">
        <v>986</v>
      </c>
      <c r="AA128"/>
      <c r="AB128"/>
    </row>
    <row r="129" spans="2:28" x14ac:dyDescent="0.35">
      <c r="B129" s="1"/>
      <c r="H129"/>
      <c r="I129"/>
      <c r="K129"/>
      <c r="L129"/>
      <c r="N129" s="1"/>
      <c r="Q129"/>
      <c r="T129"/>
      <c r="W129"/>
      <c r="X129" s="33" t="s">
        <v>992</v>
      </c>
      <c r="AA129"/>
      <c r="AB129"/>
    </row>
    <row r="130" spans="2:28" x14ac:dyDescent="0.35">
      <c r="B130" s="1"/>
      <c r="H130"/>
      <c r="I130"/>
      <c r="K130"/>
      <c r="L130"/>
      <c r="N130" s="1"/>
      <c r="Q130"/>
      <c r="T130"/>
      <c r="W130"/>
      <c r="X130" s="33" t="s">
        <v>995</v>
      </c>
      <c r="AA130"/>
      <c r="AB130"/>
    </row>
    <row r="131" spans="2:28" x14ac:dyDescent="0.35">
      <c r="B131" s="1"/>
      <c r="H131"/>
      <c r="I131"/>
      <c r="K131"/>
      <c r="L131"/>
      <c r="N131" s="1"/>
      <c r="Q131"/>
      <c r="T131"/>
      <c r="W131"/>
      <c r="X131" s="33" t="s">
        <v>999</v>
      </c>
      <c r="AA131"/>
      <c r="AB131"/>
    </row>
    <row r="132" spans="2:28" x14ac:dyDescent="0.35">
      <c r="B132" s="1"/>
      <c r="H132"/>
      <c r="I132"/>
      <c r="K132"/>
      <c r="L132"/>
      <c r="N132" s="1"/>
      <c r="Q132"/>
      <c r="T132"/>
      <c r="W132"/>
      <c r="X132" s="33" t="s">
        <v>1001</v>
      </c>
      <c r="AA132"/>
      <c r="AB132"/>
    </row>
    <row r="133" spans="2:28" x14ac:dyDescent="0.35">
      <c r="B133" s="1"/>
      <c r="H133"/>
      <c r="I133"/>
      <c r="K133"/>
      <c r="L133"/>
      <c r="N133" s="1"/>
      <c r="Q133"/>
      <c r="T133"/>
      <c r="W133"/>
      <c r="X133" s="33" t="s">
        <v>1004</v>
      </c>
      <c r="AA133"/>
      <c r="AB133"/>
    </row>
    <row r="134" spans="2:28" x14ac:dyDescent="0.35">
      <c r="B134" s="1"/>
      <c r="H134"/>
      <c r="I134"/>
      <c r="K134"/>
      <c r="L134"/>
      <c r="N134" s="1"/>
      <c r="Q134"/>
      <c r="T134"/>
      <c r="W134"/>
      <c r="X134" s="33" t="s">
        <v>1020</v>
      </c>
      <c r="AA134"/>
      <c r="AB134"/>
    </row>
    <row r="135" spans="2:28" x14ac:dyDescent="0.35">
      <c r="B135" s="1"/>
      <c r="H135"/>
      <c r="I135"/>
      <c r="K135"/>
      <c r="L135"/>
      <c r="N135" s="1"/>
      <c r="Q135"/>
      <c r="T135"/>
      <c r="W135"/>
      <c r="X135" s="33" t="s">
        <v>1053</v>
      </c>
      <c r="AA135"/>
      <c r="AB135"/>
    </row>
    <row r="136" spans="2:28" x14ac:dyDescent="0.35">
      <c r="B136" s="1"/>
      <c r="H136"/>
      <c r="I136"/>
      <c r="K136"/>
      <c r="L136"/>
      <c r="N136" s="1"/>
      <c r="Q136"/>
      <c r="T136"/>
      <c r="W136"/>
      <c r="X136" s="33" t="s">
        <v>1057</v>
      </c>
      <c r="AA136"/>
      <c r="AB136"/>
    </row>
    <row r="137" spans="2:28" x14ac:dyDescent="0.35">
      <c r="B137" s="1"/>
      <c r="H137"/>
      <c r="I137"/>
      <c r="K137"/>
      <c r="L137"/>
      <c r="N137" s="1"/>
      <c r="Q137"/>
      <c r="T137"/>
      <c r="W137"/>
      <c r="X137" s="33" t="s">
        <v>1062</v>
      </c>
      <c r="AA137"/>
      <c r="AB137"/>
    </row>
    <row r="138" spans="2:28" x14ac:dyDescent="0.35">
      <c r="B138" s="1"/>
      <c r="H138"/>
      <c r="I138"/>
      <c r="K138"/>
      <c r="L138"/>
      <c r="N138" s="1"/>
      <c r="Q138"/>
      <c r="T138"/>
      <c r="W138"/>
      <c r="X138" s="1" t="s">
        <v>1064</v>
      </c>
      <c r="AA138"/>
      <c r="AB138"/>
    </row>
    <row r="139" spans="2:28" x14ac:dyDescent="0.35">
      <c r="B139" s="1"/>
      <c r="H139"/>
      <c r="I139"/>
      <c r="K139"/>
      <c r="L139"/>
      <c r="N139" s="1"/>
      <c r="Q139"/>
      <c r="T139"/>
      <c r="W139"/>
      <c r="X139" s="1" t="s">
        <v>1068</v>
      </c>
      <c r="AA139"/>
      <c r="AB139"/>
    </row>
    <row r="140" spans="2:28" x14ac:dyDescent="0.35">
      <c r="B140" s="1"/>
      <c r="H140"/>
      <c r="I140"/>
      <c r="K140"/>
      <c r="L140"/>
      <c r="N140" s="1"/>
      <c r="Q140"/>
      <c r="T140"/>
      <c r="W140"/>
      <c r="X140" s="1" t="s">
        <v>1070</v>
      </c>
      <c r="AA140"/>
      <c r="AB140"/>
    </row>
    <row r="141" spans="2:28" x14ac:dyDescent="0.35">
      <c r="B141" s="1"/>
      <c r="H141"/>
      <c r="I141"/>
      <c r="K141"/>
      <c r="L141"/>
      <c r="N141" s="1"/>
      <c r="Q141"/>
      <c r="T141"/>
      <c r="W141"/>
      <c r="X141" s="1" t="s">
        <v>1073</v>
      </c>
      <c r="AA141"/>
      <c r="AB141"/>
    </row>
    <row r="142" spans="2:28" x14ac:dyDescent="0.35">
      <c r="B142" s="1"/>
      <c r="H142"/>
      <c r="I142"/>
      <c r="K142"/>
      <c r="L142"/>
      <c r="N142" s="1"/>
      <c r="Q142"/>
      <c r="T142"/>
      <c r="W142"/>
      <c r="X142" s="1" t="s">
        <v>1079</v>
      </c>
      <c r="AA142"/>
      <c r="AB142"/>
    </row>
    <row r="143" spans="2:28" x14ac:dyDescent="0.35">
      <c r="B143" s="1"/>
      <c r="H143"/>
      <c r="I143"/>
      <c r="K143"/>
      <c r="L143"/>
      <c r="N143" s="1"/>
      <c r="Q143"/>
      <c r="T143"/>
      <c r="W143"/>
      <c r="X143" s="1" t="s">
        <v>1083</v>
      </c>
      <c r="AA143"/>
      <c r="AB143"/>
    </row>
    <row r="144" spans="2:28" x14ac:dyDescent="0.35">
      <c r="B144" s="1"/>
      <c r="H144"/>
      <c r="I144"/>
      <c r="K144"/>
      <c r="L144"/>
      <c r="N144" s="1"/>
      <c r="Q144"/>
      <c r="T144"/>
      <c r="W144"/>
      <c r="X144" s="1" t="s">
        <v>1088</v>
      </c>
      <c r="AA144"/>
      <c r="AB144"/>
    </row>
    <row r="145" spans="2:28" x14ac:dyDescent="0.35">
      <c r="B145" s="1"/>
      <c r="H145"/>
      <c r="I145"/>
      <c r="K145"/>
      <c r="L145"/>
      <c r="N145" s="1"/>
      <c r="Q145"/>
      <c r="T145"/>
      <c r="W145"/>
      <c r="X145" s="1" t="s">
        <v>1095</v>
      </c>
      <c r="AA145"/>
      <c r="AB145"/>
    </row>
    <row r="146" spans="2:28" x14ac:dyDescent="0.35">
      <c r="B146" s="1"/>
      <c r="H146"/>
      <c r="I146"/>
      <c r="K146"/>
      <c r="L146"/>
      <c r="N146" s="1"/>
      <c r="Q146"/>
      <c r="T146"/>
      <c r="W146"/>
      <c r="X146" s="1" t="s">
        <v>1099</v>
      </c>
      <c r="AA146"/>
      <c r="AB146"/>
    </row>
    <row r="147" spans="2:28" x14ac:dyDescent="0.35">
      <c r="B147" s="1"/>
      <c r="H147"/>
      <c r="I147"/>
      <c r="K147"/>
      <c r="L147"/>
      <c r="N147" s="1"/>
      <c r="Q147"/>
      <c r="T147"/>
      <c r="W147"/>
      <c r="X147" s="1" t="s">
        <v>1105</v>
      </c>
      <c r="AA147"/>
      <c r="AB147"/>
    </row>
    <row r="148" spans="2:28" x14ac:dyDescent="0.35">
      <c r="B148" s="1"/>
      <c r="H148"/>
      <c r="I148"/>
      <c r="K148"/>
      <c r="L148"/>
      <c r="N148" s="1"/>
      <c r="Q148"/>
      <c r="T148"/>
      <c r="W148"/>
      <c r="AA148"/>
      <c r="AB148"/>
    </row>
    <row r="149" spans="2:28" x14ac:dyDescent="0.35">
      <c r="B149" s="1"/>
      <c r="H149"/>
      <c r="I149"/>
      <c r="K149"/>
      <c r="L149"/>
      <c r="N149" s="1"/>
      <c r="Q149"/>
      <c r="T149"/>
      <c r="W149"/>
      <c r="AA149"/>
      <c r="AB149"/>
    </row>
    <row r="150" spans="2:28" x14ac:dyDescent="0.35">
      <c r="B150" s="1"/>
      <c r="H150"/>
      <c r="I150"/>
      <c r="K150"/>
      <c r="L150"/>
      <c r="N150" s="1"/>
      <c r="Q150"/>
      <c r="T150"/>
      <c r="W150"/>
      <c r="AA150"/>
      <c r="AB150"/>
    </row>
    <row r="151" spans="2:28" x14ac:dyDescent="0.35">
      <c r="B151" s="1"/>
      <c r="H151"/>
      <c r="I151"/>
      <c r="K151"/>
      <c r="L151"/>
      <c r="N151" s="1"/>
      <c r="Q151"/>
      <c r="T151"/>
      <c r="W151"/>
      <c r="AA151"/>
      <c r="AB151"/>
    </row>
    <row r="152" spans="2:28" x14ac:dyDescent="0.35">
      <c r="B152" s="1"/>
      <c r="H152"/>
      <c r="I152"/>
      <c r="K152"/>
      <c r="L152"/>
      <c r="N152" s="1"/>
      <c r="Q152"/>
      <c r="T152"/>
      <c r="W152"/>
      <c r="AA152"/>
      <c r="AB152"/>
    </row>
    <row r="153" spans="2:28" x14ac:dyDescent="0.35">
      <c r="B153" s="1"/>
      <c r="H153"/>
      <c r="I153"/>
      <c r="K153"/>
      <c r="L153"/>
      <c r="N153" s="1"/>
      <c r="Q153"/>
      <c r="T153"/>
      <c r="W153"/>
      <c r="AA153"/>
      <c r="AB153"/>
    </row>
    <row r="154" spans="2:28" x14ac:dyDescent="0.35">
      <c r="B154" s="1"/>
      <c r="H154"/>
      <c r="I154"/>
      <c r="K154"/>
      <c r="L154"/>
      <c r="N154" s="1"/>
      <c r="Q154"/>
      <c r="T154"/>
      <c r="W154"/>
      <c r="AA154"/>
      <c r="AB154"/>
    </row>
    <row r="155" spans="2:28" x14ac:dyDescent="0.35">
      <c r="B155" s="1"/>
      <c r="H155"/>
      <c r="I155"/>
      <c r="K155"/>
      <c r="L155"/>
      <c r="N155" s="1"/>
      <c r="Q155"/>
      <c r="T155"/>
      <c r="W155"/>
      <c r="AA155"/>
      <c r="AB155"/>
    </row>
    <row r="156" spans="2:28" x14ac:dyDescent="0.35">
      <c r="B156" s="1"/>
      <c r="H156"/>
      <c r="I156"/>
      <c r="K156"/>
      <c r="L156"/>
      <c r="N156" s="1"/>
      <c r="Q156"/>
      <c r="T156"/>
      <c r="W156"/>
      <c r="AA156"/>
      <c r="AB156"/>
    </row>
    <row r="157" spans="2:28" x14ac:dyDescent="0.35">
      <c r="B157" s="1"/>
      <c r="H157"/>
      <c r="I157"/>
      <c r="K157"/>
      <c r="L157"/>
      <c r="N157" s="1"/>
      <c r="Q157"/>
      <c r="T157"/>
      <c r="W157"/>
      <c r="AA157"/>
      <c r="AB157"/>
    </row>
    <row r="158" spans="2:28" x14ac:dyDescent="0.35">
      <c r="B158" s="1"/>
      <c r="H158"/>
      <c r="I158"/>
      <c r="K158"/>
      <c r="L158"/>
      <c r="N158" s="1"/>
      <c r="Q158"/>
      <c r="T158"/>
      <c r="W158"/>
      <c r="AA158"/>
      <c r="AB158"/>
    </row>
    <row r="159" spans="2:28" x14ac:dyDescent="0.35">
      <c r="B159" s="1"/>
      <c r="H159"/>
      <c r="I159"/>
      <c r="K159"/>
      <c r="L159"/>
      <c r="N159" s="1"/>
      <c r="Q159"/>
      <c r="T159"/>
      <c r="W159"/>
      <c r="AA159"/>
      <c r="AB159"/>
    </row>
    <row r="160" spans="2:28" x14ac:dyDescent="0.35">
      <c r="B160" s="1"/>
      <c r="H160"/>
      <c r="I160"/>
      <c r="K160"/>
      <c r="L160"/>
      <c r="N160" s="1"/>
      <c r="Q160"/>
      <c r="T160"/>
      <c r="W160"/>
      <c r="AA160"/>
      <c r="AB160"/>
    </row>
    <row r="161" spans="2:28" x14ac:dyDescent="0.35">
      <c r="B161" s="1"/>
      <c r="H161"/>
      <c r="I161"/>
      <c r="K161"/>
      <c r="L161"/>
      <c r="N161" s="1"/>
      <c r="Q161"/>
      <c r="T161"/>
      <c r="W161"/>
      <c r="AA161"/>
      <c r="AB161"/>
    </row>
    <row r="162" spans="2:28" x14ac:dyDescent="0.35">
      <c r="B162" s="1"/>
      <c r="H162"/>
      <c r="I162"/>
      <c r="K162"/>
      <c r="L162"/>
      <c r="N162" s="1"/>
      <c r="Q162"/>
      <c r="T162"/>
      <c r="W162"/>
      <c r="AA162"/>
      <c r="AB162"/>
    </row>
    <row r="163" spans="2:28" x14ac:dyDescent="0.35">
      <c r="B163" s="1"/>
      <c r="H163"/>
      <c r="I163"/>
      <c r="K163"/>
      <c r="L163"/>
      <c r="N163" s="1"/>
      <c r="Q163"/>
      <c r="T163"/>
      <c r="W163"/>
      <c r="AA163"/>
      <c r="AB163"/>
    </row>
    <row r="164" spans="2:28" x14ac:dyDescent="0.35">
      <c r="B164" s="1"/>
      <c r="H164"/>
      <c r="I164"/>
      <c r="K164"/>
      <c r="L164"/>
      <c r="N164" s="1"/>
      <c r="Q164"/>
      <c r="T164"/>
      <c r="W164"/>
      <c r="AA164"/>
      <c r="AB164"/>
    </row>
    <row r="165" spans="2:28" x14ac:dyDescent="0.35">
      <c r="B165" s="1"/>
      <c r="H165"/>
      <c r="I165"/>
      <c r="K165"/>
      <c r="L165"/>
      <c r="N165" s="1"/>
      <c r="Q165"/>
      <c r="T165"/>
      <c r="W165"/>
      <c r="AA165"/>
      <c r="AB165"/>
    </row>
    <row r="166" spans="2:28" x14ac:dyDescent="0.35">
      <c r="B166" s="1"/>
      <c r="H166"/>
      <c r="I166"/>
      <c r="K166"/>
      <c r="L166"/>
      <c r="N166" s="1"/>
      <c r="Q166"/>
      <c r="T166"/>
      <c r="W166"/>
      <c r="AA166"/>
      <c r="AB166"/>
    </row>
    <row r="167" spans="2:28" x14ac:dyDescent="0.35">
      <c r="B167" s="1"/>
      <c r="H167"/>
      <c r="I167"/>
      <c r="K167"/>
      <c r="L167"/>
      <c r="N167" s="1"/>
      <c r="Q167"/>
      <c r="T167"/>
      <c r="W167"/>
      <c r="AA167"/>
      <c r="AB167"/>
    </row>
    <row r="168" spans="2:28" x14ac:dyDescent="0.35">
      <c r="B168" s="1"/>
      <c r="H168"/>
      <c r="I168"/>
      <c r="K168"/>
      <c r="L168"/>
      <c r="N168" s="1"/>
      <c r="Q168"/>
      <c r="T168"/>
      <c r="W168"/>
      <c r="AA168"/>
      <c r="AB168"/>
    </row>
    <row r="169" spans="2:28" x14ac:dyDescent="0.35">
      <c r="B169" s="1"/>
      <c r="H169"/>
      <c r="I169"/>
      <c r="K169"/>
      <c r="L169"/>
      <c r="N169" s="1"/>
      <c r="Q169"/>
      <c r="T169"/>
      <c r="W169"/>
      <c r="AA169"/>
      <c r="AB169"/>
    </row>
    <row r="170" spans="2:28" x14ac:dyDescent="0.35">
      <c r="B170" s="1"/>
      <c r="H170"/>
      <c r="I170"/>
      <c r="K170"/>
      <c r="L170"/>
      <c r="N170" s="1"/>
      <c r="Q170"/>
      <c r="T170"/>
      <c r="W170"/>
      <c r="AA170"/>
      <c r="AB170"/>
    </row>
    <row r="171" spans="2:28" x14ac:dyDescent="0.35">
      <c r="B171" s="1"/>
      <c r="H171"/>
      <c r="I171"/>
      <c r="K171"/>
      <c r="L171"/>
      <c r="N171" s="1"/>
      <c r="Q171"/>
      <c r="T171"/>
      <c r="W171"/>
      <c r="AA171"/>
      <c r="AB171"/>
    </row>
    <row r="172" spans="2:28" x14ac:dyDescent="0.35">
      <c r="B172" s="1"/>
      <c r="H172"/>
      <c r="I172"/>
      <c r="K172"/>
      <c r="L172"/>
      <c r="N172" s="1"/>
      <c r="Q172"/>
      <c r="T172"/>
      <c r="W172"/>
      <c r="AA172"/>
      <c r="AB172"/>
    </row>
    <row r="173" spans="2:28" x14ac:dyDescent="0.35">
      <c r="B173" s="1"/>
      <c r="H173"/>
      <c r="I173"/>
      <c r="K173"/>
      <c r="L173"/>
      <c r="N173" s="1"/>
      <c r="Q173"/>
      <c r="T173"/>
      <c r="W173"/>
      <c r="AA173"/>
      <c r="AB173"/>
    </row>
    <row r="174" spans="2:28" x14ac:dyDescent="0.35">
      <c r="B174" s="1"/>
      <c r="H174"/>
      <c r="I174"/>
      <c r="K174"/>
      <c r="L174"/>
      <c r="N174" s="1"/>
      <c r="Q174"/>
      <c r="T174"/>
      <c r="W174"/>
      <c r="AA174"/>
      <c r="AB174"/>
    </row>
    <row r="175" spans="2:28" x14ac:dyDescent="0.35">
      <c r="B175" s="1"/>
      <c r="H175"/>
      <c r="I175"/>
      <c r="K175"/>
      <c r="L175"/>
      <c r="N175" s="1"/>
      <c r="Q175"/>
      <c r="T175"/>
      <c r="W175"/>
      <c r="AA175"/>
      <c r="AB175"/>
    </row>
    <row r="176" spans="2:28" x14ac:dyDescent="0.35">
      <c r="B176" s="1"/>
      <c r="H176"/>
      <c r="I176"/>
      <c r="K176"/>
      <c r="L176"/>
      <c r="N176" s="1"/>
      <c r="Q176"/>
      <c r="T176"/>
      <c r="W176"/>
      <c r="AA176"/>
      <c r="AB176"/>
    </row>
    <row r="177" spans="2:28" x14ac:dyDescent="0.35">
      <c r="B177" s="1"/>
      <c r="H177"/>
      <c r="I177"/>
      <c r="K177"/>
      <c r="L177"/>
      <c r="N177" s="1"/>
      <c r="Q177"/>
      <c r="T177"/>
      <c r="W177"/>
      <c r="AA177"/>
      <c r="AB177"/>
    </row>
    <row r="178" spans="2:28" x14ac:dyDescent="0.35">
      <c r="B178" s="1"/>
      <c r="H178"/>
      <c r="I178"/>
      <c r="K178"/>
      <c r="L178"/>
      <c r="N178" s="1"/>
      <c r="Q178"/>
      <c r="T178"/>
      <c r="W178"/>
      <c r="AA178"/>
      <c r="AB178"/>
    </row>
    <row r="179" spans="2:28" x14ac:dyDescent="0.35">
      <c r="B179" s="1"/>
      <c r="H179"/>
      <c r="I179"/>
      <c r="K179"/>
      <c r="L179"/>
      <c r="N179" s="1"/>
      <c r="Q179"/>
      <c r="T179"/>
      <c r="W179"/>
      <c r="AA179"/>
      <c r="AB179"/>
    </row>
    <row r="180" spans="2:28" x14ac:dyDescent="0.35">
      <c r="B180" s="1"/>
      <c r="H180"/>
      <c r="I180"/>
      <c r="K180"/>
      <c r="L180"/>
      <c r="N180" s="1"/>
      <c r="Q180"/>
      <c r="T180"/>
      <c r="W180"/>
      <c r="AA180"/>
      <c r="AB180"/>
    </row>
    <row r="181" spans="2:28" x14ac:dyDescent="0.35">
      <c r="B181" s="1"/>
      <c r="H181"/>
      <c r="I181"/>
      <c r="K181"/>
      <c r="L181"/>
      <c r="N181" s="1"/>
      <c r="Q181"/>
      <c r="T181"/>
      <c r="W181"/>
      <c r="AA181"/>
      <c r="AB181"/>
    </row>
    <row r="182" spans="2:28" x14ac:dyDescent="0.35">
      <c r="B182" s="1"/>
      <c r="H182"/>
      <c r="I182"/>
      <c r="K182"/>
      <c r="L182"/>
      <c r="N182" s="1"/>
      <c r="Q182"/>
      <c r="T182"/>
      <c r="W182"/>
      <c r="AA182"/>
      <c r="AB182"/>
    </row>
    <row r="183" spans="2:28" x14ac:dyDescent="0.35">
      <c r="B183" s="1"/>
      <c r="H183"/>
      <c r="I183"/>
      <c r="K183"/>
      <c r="L183"/>
      <c r="N183" s="1"/>
      <c r="Q183"/>
      <c r="T183"/>
      <c r="W183"/>
      <c r="AA183"/>
      <c r="AB183"/>
    </row>
    <row r="184" spans="2:28" x14ac:dyDescent="0.35">
      <c r="B184" s="1"/>
      <c r="H184"/>
      <c r="I184"/>
      <c r="K184"/>
      <c r="L184"/>
      <c r="N184" s="1"/>
      <c r="Q184"/>
      <c r="T184"/>
      <c r="W184"/>
      <c r="AA184"/>
      <c r="AB184"/>
    </row>
    <row r="185" spans="2:28" x14ac:dyDescent="0.35">
      <c r="B185" s="1"/>
      <c r="H185"/>
      <c r="I185"/>
      <c r="K185"/>
      <c r="L185"/>
      <c r="N185" s="1"/>
      <c r="Q185"/>
      <c r="T185"/>
      <c r="W185"/>
      <c r="AA185"/>
      <c r="AB185"/>
    </row>
    <row r="186" spans="2:28" x14ac:dyDescent="0.35">
      <c r="B186" s="1"/>
      <c r="H186"/>
      <c r="I186"/>
      <c r="K186"/>
      <c r="L186"/>
      <c r="N186" s="1"/>
      <c r="Q186"/>
      <c r="T186"/>
      <c r="W186"/>
      <c r="AA186"/>
      <c r="AB186"/>
    </row>
    <row r="187" spans="2:28" x14ac:dyDescent="0.35">
      <c r="B187" s="1"/>
      <c r="H187"/>
      <c r="I187"/>
      <c r="K187"/>
      <c r="L187"/>
      <c r="N187" s="1"/>
      <c r="Q187"/>
      <c r="T187"/>
      <c r="W187"/>
      <c r="AA187"/>
      <c r="AB187"/>
    </row>
    <row r="188" spans="2:28" x14ac:dyDescent="0.35">
      <c r="B188" s="1"/>
      <c r="H188"/>
      <c r="I188"/>
      <c r="K188"/>
      <c r="L188"/>
      <c r="N188" s="1"/>
      <c r="Q188"/>
      <c r="T188"/>
      <c r="W188"/>
      <c r="AA188"/>
      <c r="AB188"/>
    </row>
    <row r="189" spans="2:28" x14ac:dyDescent="0.35">
      <c r="B189" s="1"/>
      <c r="H189"/>
      <c r="I189"/>
      <c r="K189"/>
      <c r="L189"/>
      <c r="N189" s="1"/>
      <c r="Q189"/>
      <c r="T189"/>
      <c r="W189"/>
      <c r="AA189"/>
      <c r="AB189"/>
    </row>
    <row r="190" spans="2:28" x14ac:dyDescent="0.35">
      <c r="B190" s="1"/>
      <c r="H190"/>
      <c r="I190"/>
      <c r="K190"/>
      <c r="L190"/>
      <c r="N190" s="1"/>
      <c r="Q190"/>
      <c r="T190"/>
      <c r="W190"/>
      <c r="AA190"/>
      <c r="AB190"/>
    </row>
    <row r="191" spans="2:28" x14ac:dyDescent="0.35">
      <c r="B191" s="1"/>
      <c r="H191"/>
      <c r="I191"/>
      <c r="K191"/>
      <c r="L191"/>
      <c r="N191" s="1"/>
      <c r="Q191"/>
      <c r="T191"/>
      <c r="W191"/>
      <c r="AA191"/>
      <c r="AB191"/>
    </row>
    <row r="192" spans="2:28" x14ac:dyDescent="0.35">
      <c r="B192" s="1"/>
      <c r="H192"/>
      <c r="I192"/>
      <c r="K192"/>
      <c r="L192"/>
      <c r="N192" s="1"/>
      <c r="Q192"/>
      <c r="T192"/>
      <c r="W192"/>
      <c r="AA192"/>
      <c r="AB192"/>
    </row>
    <row r="193" spans="2:28" x14ac:dyDescent="0.35">
      <c r="B193" s="1"/>
      <c r="H193"/>
      <c r="I193"/>
      <c r="K193"/>
      <c r="L193"/>
      <c r="N193" s="1"/>
      <c r="Q193"/>
      <c r="T193"/>
      <c r="W193"/>
      <c r="AA193"/>
      <c r="AB193"/>
    </row>
    <row r="194" spans="2:28" x14ac:dyDescent="0.35">
      <c r="B194" s="1"/>
      <c r="H194"/>
      <c r="I194"/>
      <c r="K194"/>
      <c r="L194"/>
      <c r="N194" s="1"/>
      <c r="Q194"/>
      <c r="T194"/>
      <c r="W194"/>
      <c r="AA194"/>
      <c r="AB194"/>
    </row>
    <row r="195" spans="2:28" x14ac:dyDescent="0.35">
      <c r="B195" s="1"/>
      <c r="H195"/>
      <c r="I195"/>
      <c r="K195"/>
      <c r="L195"/>
      <c r="N195" s="1"/>
      <c r="Q195"/>
      <c r="T195"/>
      <c r="W195"/>
      <c r="AA195"/>
      <c r="AB195"/>
    </row>
    <row r="196" spans="2:28" x14ac:dyDescent="0.35">
      <c r="B196" s="1"/>
      <c r="H196"/>
      <c r="I196"/>
      <c r="K196"/>
      <c r="L196"/>
      <c r="N196" s="1"/>
      <c r="Q196"/>
      <c r="T196"/>
      <c r="W196"/>
      <c r="AA196"/>
      <c r="AB196"/>
    </row>
    <row r="197" spans="2:28" x14ac:dyDescent="0.35">
      <c r="B197" s="1"/>
      <c r="H197"/>
      <c r="I197"/>
      <c r="K197"/>
      <c r="L197"/>
      <c r="N197" s="1"/>
      <c r="Q197"/>
      <c r="T197"/>
      <c r="W197"/>
      <c r="AA197"/>
      <c r="AB197"/>
    </row>
    <row r="198" spans="2:28" x14ac:dyDescent="0.35">
      <c r="B198" s="1"/>
      <c r="H198"/>
      <c r="I198"/>
      <c r="K198"/>
      <c r="L198"/>
      <c r="N198" s="1"/>
      <c r="Q198"/>
      <c r="T198"/>
      <c r="W198"/>
      <c r="AA198"/>
      <c r="AB198"/>
    </row>
    <row r="199" spans="2:28" x14ac:dyDescent="0.35">
      <c r="B199" s="1"/>
      <c r="H199"/>
      <c r="I199"/>
      <c r="K199"/>
      <c r="L199"/>
      <c r="N199" s="1"/>
      <c r="Q199"/>
      <c r="T199"/>
      <c r="W199"/>
      <c r="AA199"/>
      <c r="AB199"/>
    </row>
    <row r="200" spans="2:28" x14ac:dyDescent="0.35">
      <c r="B200" s="1"/>
      <c r="H200"/>
      <c r="I200"/>
      <c r="K200"/>
      <c r="L200"/>
      <c r="N200" s="1"/>
      <c r="Q200"/>
      <c r="T200"/>
      <c r="W200"/>
      <c r="AA200"/>
      <c r="AB200"/>
    </row>
    <row r="201" spans="2:28" x14ac:dyDescent="0.35">
      <c r="B201" s="1"/>
      <c r="H201"/>
      <c r="I201"/>
      <c r="K201"/>
      <c r="L201"/>
      <c r="N201" s="1"/>
      <c r="Q201"/>
      <c r="T201"/>
      <c r="W201"/>
      <c r="AA201"/>
      <c r="AB201"/>
    </row>
    <row r="202" spans="2:28" x14ac:dyDescent="0.35">
      <c r="B202" s="1"/>
      <c r="H202"/>
      <c r="I202"/>
      <c r="K202"/>
      <c r="L202"/>
      <c r="N202" s="1"/>
      <c r="Q202"/>
      <c r="T202"/>
      <c r="W202"/>
      <c r="AA202"/>
      <c r="AB202"/>
    </row>
    <row r="203" spans="2:28" x14ac:dyDescent="0.35">
      <c r="B203" s="1"/>
      <c r="H203"/>
      <c r="I203"/>
      <c r="K203"/>
      <c r="L203"/>
      <c r="N203" s="1"/>
      <c r="Q203"/>
      <c r="T203"/>
      <c r="W203"/>
      <c r="AA203"/>
      <c r="AB203"/>
    </row>
    <row r="204" spans="2:28" x14ac:dyDescent="0.35">
      <c r="B204" s="1"/>
      <c r="H204"/>
      <c r="I204"/>
      <c r="K204"/>
      <c r="L204"/>
      <c r="N204" s="1"/>
      <c r="Q204"/>
      <c r="T204"/>
      <c r="W204"/>
      <c r="AA204"/>
      <c r="AB204"/>
    </row>
    <row r="205" spans="2:28" x14ac:dyDescent="0.35">
      <c r="B205" s="1"/>
      <c r="H205"/>
      <c r="I205"/>
      <c r="K205"/>
      <c r="L205"/>
      <c r="N205" s="1"/>
      <c r="Q205"/>
      <c r="T205"/>
      <c r="W205"/>
      <c r="AA205"/>
      <c r="AB205"/>
    </row>
    <row r="206" spans="2:28" x14ac:dyDescent="0.35">
      <c r="B206" s="1"/>
      <c r="H206"/>
      <c r="I206"/>
      <c r="K206"/>
      <c r="L206"/>
      <c r="N206" s="1"/>
      <c r="Q206"/>
      <c r="T206"/>
      <c r="W206"/>
      <c r="AA206"/>
      <c r="AB206"/>
    </row>
    <row r="207" spans="2:28" x14ac:dyDescent="0.35">
      <c r="B207" s="1"/>
      <c r="H207"/>
      <c r="I207"/>
      <c r="K207"/>
      <c r="L207"/>
      <c r="N207" s="1"/>
      <c r="Q207"/>
      <c r="T207"/>
      <c r="W207"/>
      <c r="AA207"/>
      <c r="AB207"/>
    </row>
    <row r="208" spans="2:28" x14ac:dyDescent="0.35">
      <c r="B208" s="1"/>
      <c r="H208"/>
      <c r="I208"/>
      <c r="K208"/>
      <c r="L208"/>
      <c r="N208" s="1"/>
      <c r="Q208"/>
      <c r="T208"/>
      <c r="W208"/>
      <c r="AA208"/>
      <c r="AB208"/>
    </row>
    <row r="209" spans="2:28" x14ac:dyDescent="0.35">
      <c r="B209" s="1"/>
      <c r="H209"/>
      <c r="I209"/>
      <c r="K209"/>
      <c r="L209"/>
      <c r="N209" s="1"/>
      <c r="Q209"/>
      <c r="T209"/>
      <c r="W209"/>
      <c r="AA209"/>
      <c r="AB209"/>
    </row>
    <row r="210" spans="2:28" x14ac:dyDescent="0.35">
      <c r="B210" s="1"/>
      <c r="H210"/>
      <c r="I210"/>
      <c r="K210"/>
      <c r="L210"/>
      <c r="N210" s="1"/>
      <c r="Q210"/>
      <c r="T210"/>
      <c r="W210"/>
      <c r="AA210"/>
      <c r="AB210"/>
    </row>
    <row r="211" spans="2:28" x14ac:dyDescent="0.35">
      <c r="B211" s="1"/>
      <c r="H211"/>
      <c r="I211"/>
      <c r="K211"/>
      <c r="L211"/>
      <c r="N211" s="1"/>
      <c r="Q211"/>
      <c r="T211"/>
      <c r="W211"/>
      <c r="AA211"/>
      <c r="AB211"/>
    </row>
    <row r="212" spans="2:28" x14ac:dyDescent="0.35">
      <c r="B212" s="1"/>
      <c r="H212"/>
      <c r="I212"/>
      <c r="K212"/>
      <c r="L212"/>
      <c r="N212" s="1"/>
      <c r="Q212"/>
      <c r="T212"/>
      <c r="W212"/>
      <c r="AA212"/>
      <c r="AB212"/>
    </row>
    <row r="213" spans="2:28" x14ac:dyDescent="0.35">
      <c r="B213" s="1"/>
      <c r="H213"/>
      <c r="I213"/>
      <c r="K213"/>
      <c r="L213"/>
      <c r="N213" s="1"/>
      <c r="Q213"/>
      <c r="T213"/>
      <c r="W213"/>
      <c r="AA213"/>
      <c r="AB213"/>
    </row>
    <row r="214" spans="2:28" x14ac:dyDescent="0.35">
      <c r="B214" s="1"/>
      <c r="H214"/>
      <c r="I214"/>
      <c r="K214"/>
      <c r="L214"/>
      <c r="N214" s="1"/>
      <c r="Q214"/>
      <c r="T214"/>
      <c r="W214"/>
      <c r="AA214"/>
      <c r="AB214"/>
    </row>
    <row r="215" spans="2:28" x14ac:dyDescent="0.35">
      <c r="B215" s="1"/>
      <c r="H215"/>
      <c r="I215"/>
      <c r="K215"/>
      <c r="L215"/>
      <c r="N215" s="1"/>
      <c r="Q215"/>
      <c r="T215"/>
      <c r="W215"/>
      <c r="AA215"/>
      <c r="AB215"/>
    </row>
    <row r="216" spans="2:28" x14ac:dyDescent="0.35">
      <c r="B216" s="1"/>
      <c r="H216"/>
      <c r="I216"/>
      <c r="K216"/>
      <c r="L216"/>
      <c r="N216" s="1"/>
      <c r="Q216"/>
      <c r="T216"/>
      <c r="W216"/>
      <c r="AA216"/>
      <c r="AB216"/>
    </row>
    <row r="217" spans="2:28" x14ac:dyDescent="0.35">
      <c r="B217" s="1"/>
      <c r="H217"/>
      <c r="I217"/>
      <c r="K217"/>
      <c r="L217"/>
      <c r="N217" s="1"/>
      <c r="Q217"/>
      <c r="T217"/>
      <c r="W217"/>
      <c r="AA217"/>
      <c r="AB217"/>
    </row>
    <row r="218" spans="2:28" x14ac:dyDescent="0.35">
      <c r="B218" s="1"/>
      <c r="H218"/>
      <c r="I218"/>
      <c r="K218"/>
      <c r="L218"/>
      <c r="N218" s="1"/>
      <c r="Q218"/>
      <c r="T218"/>
      <c r="W218"/>
      <c r="AA218"/>
      <c r="AB218"/>
    </row>
    <row r="219" spans="2:28" x14ac:dyDescent="0.35">
      <c r="B219" s="1"/>
      <c r="H219"/>
      <c r="I219"/>
      <c r="K219"/>
      <c r="L219"/>
      <c r="N219" s="1"/>
      <c r="Q219"/>
      <c r="T219"/>
      <c r="W219"/>
      <c r="AA219"/>
      <c r="AB219"/>
    </row>
    <row r="220" spans="2:28" x14ac:dyDescent="0.35">
      <c r="B220" s="1"/>
      <c r="H220"/>
      <c r="I220"/>
      <c r="K220"/>
      <c r="L220"/>
      <c r="N220" s="1"/>
      <c r="Q220"/>
      <c r="T220"/>
      <c r="W220"/>
      <c r="AA220"/>
      <c r="AB220"/>
    </row>
    <row r="221" spans="2:28" x14ac:dyDescent="0.35">
      <c r="B221" s="1"/>
      <c r="H221"/>
      <c r="I221"/>
      <c r="K221"/>
      <c r="L221"/>
      <c r="N221" s="1"/>
      <c r="Q221"/>
      <c r="T221"/>
      <c r="W221"/>
      <c r="AA221"/>
      <c r="AB221"/>
    </row>
    <row r="222" spans="2:28" x14ac:dyDescent="0.35">
      <c r="B222" s="1"/>
      <c r="H222"/>
      <c r="I222"/>
      <c r="K222"/>
      <c r="L222"/>
      <c r="N222" s="1"/>
      <c r="Q222"/>
      <c r="T222"/>
      <c r="W222"/>
      <c r="AA222"/>
      <c r="AB222"/>
    </row>
    <row r="223" spans="2:28" x14ac:dyDescent="0.35">
      <c r="B223" s="1"/>
      <c r="H223"/>
      <c r="I223"/>
      <c r="K223"/>
      <c r="L223"/>
      <c r="N223" s="1"/>
      <c r="Q223"/>
      <c r="T223"/>
      <c r="W223"/>
      <c r="AA223"/>
      <c r="AB223"/>
    </row>
    <row r="224" spans="2:28" x14ac:dyDescent="0.35">
      <c r="B224" s="1"/>
      <c r="H224"/>
      <c r="I224"/>
      <c r="K224"/>
      <c r="L224"/>
      <c r="N224" s="1"/>
      <c r="Q224"/>
      <c r="T224"/>
      <c r="W224"/>
      <c r="AA224"/>
      <c r="AB224"/>
    </row>
    <row r="225" spans="2:28" x14ac:dyDescent="0.35">
      <c r="B225" s="1"/>
      <c r="H225"/>
      <c r="I225"/>
      <c r="K225"/>
      <c r="L225"/>
      <c r="N225" s="1"/>
      <c r="Q225"/>
      <c r="T225"/>
      <c r="W225"/>
      <c r="AA225"/>
      <c r="AB225"/>
    </row>
    <row r="226" spans="2:28" x14ac:dyDescent="0.35">
      <c r="B226" s="1"/>
      <c r="H226"/>
      <c r="I226"/>
      <c r="K226"/>
      <c r="L226"/>
      <c r="N226" s="1"/>
      <c r="Q226"/>
      <c r="T226"/>
      <c r="W226"/>
      <c r="AA226"/>
      <c r="AB226"/>
    </row>
    <row r="227" spans="2:28" x14ac:dyDescent="0.35">
      <c r="B227" s="1"/>
      <c r="H227"/>
      <c r="I227"/>
      <c r="K227"/>
      <c r="L227"/>
      <c r="N227" s="1"/>
      <c r="Q227"/>
      <c r="T227"/>
      <c r="W227"/>
      <c r="AA227"/>
      <c r="AB227"/>
    </row>
    <row r="228" spans="2:28" x14ac:dyDescent="0.35">
      <c r="B228" s="1"/>
      <c r="H228"/>
      <c r="I228"/>
      <c r="K228"/>
      <c r="L228"/>
      <c r="N228" s="1"/>
      <c r="Q228"/>
      <c r="T228"/>
      <c r="W228"/>
      <c r="AA228"/>
      <c r="AB228"/>
    </row>
    <row r="229" spans="2:28" x14ac:dyDescent="0.35">
      <c r="B229" s="1"/>
      <c r="H229"/>
      <c r="I229"/>
      <c r="K229"/>
      <c r="L229"/>
      <c r="N229" s="1"/>
      <c r="Q229"/>
      <c r="T229"/>
      <c r="W229"/>
      <c r="AA229"/>
      <c r="AB229"/>
    </row>
    <row r="230" spans="2:28" x14ac:dyDescent="0.35">
      <c r="B230" s="1"/>
      <c r="H230"/>
      <c r="I230"/>
      <c r="K230"/>
      <c r="L230"/>
      <c r="N230" s="1"/>
      <c r="Q230"/>
      <c r="T230"/>
      <c r="W230"/>
      <c r="AA230"/>
      <c r="AB230"/>
    </row>
    <row r="231" spans="2:28" x14ac:dyDescent="0.35">
      <c r="B231" s="1"/>
      <c r="H231"/>
      <c r="I231"/>
      <c r="K231"/>
      <c r="L231"/>
      <c r="N231" s="1"/>
      <c r="Q231"/>
      <c r="T231"/>
      <c r="W231"/>
      <c r="AA231"/>
      <c r="AB231"/>
    </row>
    <row r="232" spans="2:28" x14ac:dyDescent="0.35">
      <c r="B232" s="1"/>
      <c r="H232"/>
      <c r="I232"/>
      <c r="K232"/>
      <c r="L232"/>
      <c r="N232" s="1"/>
      <c r="Q232"/>
      <c r="T232"/>
      <c r="W232"/>
      <c r="AA232"/>
      <c r="AB232"/>
    </row>
    <row r="233" spans="2:28" x14ac:dyDescent="0.35">
      <c r="B233" s="1"/>
      <c r="H233"/>
      <c r="I233"/>
      <c r="K233"/>
      <c r="L233"/>
      <c r="N233" s="1"/>
      <c r="Q233"/>
      <c r="T233"/>
      <c r="W233"/>
      <c r="AA233"/>
      <c r="AB233"/>
    </row>
    <row r="234" spans="2:28" x14ac:dyDescent="0.35">
      <c r="B234" s="1"/>
      <c r="H234"/>
      <c r="I234"/>
      <c r="K234"/>
      <c r="L234"/>
      <c r="N234" s="1"/>
      <c r="Q234"/>
      <c r="T234"/>
      <c r="W234"/>
      <c r="AA234"/>
      <c r="AB234"/>
    </row>
    <row r="235" spans="2:28" x14ac:dyDescent="0.35">
      <c r="B235" s="1"/>
      <c r="H235"/>
      <c r="I235"/>
      <c r="K235"/>
      <c r="L235"/>
      <c r="N235" s="1"/>
      <c r="Q235"/>
      <c r="T235"/>
      <c r="W235"/>
      <c r="AA235"/>
      <c r="AB235"/>
    </row>
    <row r="236" spans="2:28" x14ac:dyDescent="0.35">
      <c r="B236" s="1"/>
      <c r="H236"/>
      <c r="I236"/>
      <c r="K236"/>
      <c r="L236"/>
      <c r="N236" s="1"/>
      <c r="Q236"/>
      <c r="T236"/>
      <c r="W236"/>
      <c r="AA236"/>
      <c r="AB236"/>
    </row>
    <row r="237" spans="2:28" x14ac:dyDescent="0.35">
      <c r="B237" s="1"/>
      <c r="H237"/>
      <c r="I237"/>
      <c r="K237"/>
      <c r="L237"/>
      <c r="N237" s="1"/>
      <c r="Q237"/>
      <c r="T237"/>
      <c r="W237"/>
      <c r="AA237"/>
      <c r="AB237"/>
    </row>
    <row r="238" spans="2:28" x14ac:dyDescent="0.35">
      <c r="B238" s="1"/>
      <c r="H238"/>
      <c r="I238"/>
      <c r="K238"/>
      <c r="L238"/>
      <c r="N238" s="1"/>
      <c r="Q238"/>
      <c r="T238"/>
      <c r="W238"/>
      <c r="AA238"/>
      <c r="AB238"/>
    </row>
    <row r="239" spans="2:28" x14ac:dyDescent="0.35">
      <c r="B239" s="1"/>
      <c r="H239"/>
      <c r="I239"/>
      <c r="K239"/>
      <c r="L239"/>
      <c r="N239" s="1"/>
      <c r="Q239"/>
      <c r="T239"/>
      <c r="W239"/>
      <c r="AA239"/>
      <c r="AB239"/>
    </row>
    <row r="240" spans="2:28" x14ac:dyDescent="0.35">
      <c r="B240" s="1"/>
      <c r="H240"/>
      <c r="I240"/>
      <c r="K240"/>
      <c r="L240"/>
      <c r="N240" s="1"/>
      <c r="Q240"/>
      <c r="T240"/>
      <c r="W240"/>
      <c r="AA240"/>
      <c r="AB240"/>
    </row>
    <row r="241" spans="2:28" x14ac:dyDescent="0.35">
      <c r="B241" s="1"/>
      <c r="H241"/>
      <c r="I241"/>
      <c r="K241"/>
      <c r="L241"/>
      <c r="N241" s="1"/>
      <c r="Q241"/>
      <c r="T241"/>
      <c r="W241"/>
      <c r="AA241"/>
      <c r="AB241"/>
    </row>
    <row r="242" spans="2:28" x14ac:dyDescent="0.35">
      <c r="B242" s="1"/>
      <c r="H242"/>
      <c r="I242"/>
      <c r="K242"/>
      <c r="L242"/>
      <c r="N242" s="1"/>
      <c r="Q242"/>
      <c r="T242"/>
      <c r="W242"/>
      <c r="AA242"/>
      <c r="AB242"/>
    </row>
    <row r="243" spans="2:28" x14ac:dyDescent="0.35">
      <c r="B243" s="1"/>
      <c r="H243"/>
      <c r="I243"/>
      <c r="K243"/>
      <c r="L243"/>
      <c r="N243" s="1"/>
      <c r="Q243"/>
      <c r="T243"/>
      <c r="W243"/>
      <c r="AA243"/>
      <c r="AB243"/>
    </row>
    <row r="244" spans="2:28" x14ac:dyDescent="0.35">
      <c r="B244" s="1"/>
      <c r="H244"/>
      <c r="I244"/>
      <c r="K244"/>
      <c r="L244"/>
      <c r="N244" s="1"/>
      <c r="Q244"/>
      <c r="T244"/>
      <c r="W244"/>
      <c r="AA244"/>
      <c r="AB244"/>
    </row>
    <row r="245" spans="2:28" x14ac:dyDescent="0.35">
      <c r="B245" s="1"/>
      <c r="H245"/>
      <c r="I245"/>
      <c r="K245"/>
      <c r="L245"/>
      <c r="N245" s="1"/>
      <c r="Q245"/>
      <c r="T245"/>
      <c r="W245"/>
      <c r="AA245"/>
      <c r="AB245"/>
    </row>
    <row r="246" spans="2:28" x14ac:dyDescent="0.35">
      <c r="B246" s="1"/>
      <c r="H246"/>
      <c r="I246"/>
      <c r="K246"/>
      <c r="L246"/>
      <c r="N246" s="1"/>
      <c r="Q246"/>
      <c r="T246"/>
      <c r="W246"/>
      <c r="AA246"/>
      <c r="AB246"/>
    </row>
    <row r="247" spans="2:28" x14ac:dyDescent="0.35">
      <c r="B247" s="1"/>
      <c r="H247"/>
      <c r="I247"/>
      <c r="K247"/>
      <c r="L247"/>
      <c r="N247" s="1"/>
      <c r="Q247"/>
      <c r="T247"/>
      <c r="W247"/>
      <c r="AA247"/>
      <c r="AB247"/>
    </row>
    <row r="248" spans="2:28" x14ac:dyDescent="0.35">
      <c r="B248" s="1"/>
      <c r="H248"/>
      <c r="I248"/>
      <c r="K248"/>
      <c r="L248"/>
      <c r="N248" s="1"/>
      <c r="Q248"/>
      <c r="T248"/>
      <c r="W248"/>
      <c r="AA248"/>
      <c r="AB248"/>
    </row>
    <row r="249" spans="2:28" x14ac:dyDescent="0.35">
      <c r="B249" s="1"/>
      <c r="H249"/>
      <c r="I249"/>
      <c r="K249"/>
      <c r="L249"/>
      <c r="N249" s="1"/>
      <c r="Q249"/>
      <c r="T249"/>
      <c r="W249"/>
      <c r="AA249"/>
      <c r="AB249"/>
    </row>
    <row r="250" spans="2:28" x14ac:dyDescent="0.35">
      <c r="B250" s="1"/>
      <c r="H250"/>
      <c r="I250"/>
      <c r="K250"/>
      <c r="L250"/>
      <c r="N250" s="1"/>
      <c r="Q250"/>
      <c r="T250"/>
      <c r="W250"/>
      <c r="AA250"/>
      <c r="AB250"/>
    </row>
    <row r="251" spans="2:28" x14ac:dyDescent="0.35">
      <c r="B251" s="1"/>
      <c r="H251"/>
      <c r="I251"/>
      <c r="K251"/>
      <c r="L251"/>
      <c r="N251" s="1"/>
      <c r="Q251"/>
      <c r="T251"/>
      <c r="W251"/>
      <c r="AA251"/>
      <c r="AB251"/>
    </row>
    <row r="252" spans="2:28" x14ac:dyDescent="0.35">
      <c r="B252" s="1"/>
      <c r="H252"/>
      <c r="I252"/>
      <c r="K252"/>
      <c r="L252"/>
      <c r="N252" s="1"/>
      <c r="Q252"/>
      <c r="T252"/>
      <c r="W252"/>
      <c r="AA252"/>
      <c r="AB252"/>
    </row>
    <row r="253" spans="2:28" x14ac:dyDescent="0.35">
      <c r="B253" s="1"/>
      <c r="H253"/>
      <c r="I253"/>
      <c r="K253"/>
      <c r="L253"/>
      <c r="N253" s="1"/>
      <c r="Q253"/>
      <c r="T253"/>
      <c r="W253"/>
      <c r="AA253"/>
      <c r="AB253"/>
    </row>
    <row r="254" spans="2:28" x14ac:dyDescent="0.35">
      <c r="B254" s="1"/>
      <c r="H254"/>
      <c r="I254"/>
      <c r="K254"/>
      <c r="L254"/>
      <c r="N254" s="1"/>
      <c r="Q254"/>
      <c r="T254"/>
      <c r="W254"/>
      <c r="AA254"/>
      <c r="AB254"/>
    </row>
    <row r="255" spans="2:28" x14ac:dyDescent="0.35">
      <c r="B255" s="1"/>
      <c r="H255"/>
      <c r="I255"/>
      <c r="K255"/>
      <c r="L255"/>
      <c r="N255" s="1"/>
      <c r="Q255"/>
      <c r="T255"/>
      <c r="W255"/>
      <c r="AA255"/>
      <c r="AB255"/>
    </row>
    <row r="256" spans="2:28" x14ac:dyDescent="0.35">
      <c r="B256" s="1"/>
      <c r="H256"/>
      <c r="I256"/>
      <c r="K256"/>
      <c r="L256"/>
      <c r="N256" s="1"/>
      <c r="Q256"/>
      <c r="T256"/>
      <c r="W256"/>
      <c r="AA256"/>
      <c r="AB256"/>
    </row>
    <row r="257" spans="2:28" x14ac:dyDescent="0.35">
      <c r="B257" s="1"/>
      <c r="H257"/>
      <c r="I257"/>
      <c r="K257"/>
      <c r="L257"/>
      <c r="N257" s="1"/>
      <c r="Q257"/>
      <c r="T257"/>
      <c r="W257"/>
      <c r="AA257"/>
      <c r="AB257"/>
    </row>
    <row r="258" spans="2:28" x14ac:dyDescent="0.35">
      <c r="B258" s="1"/>
      <c r="H258"/>
      <c r="I258"/>
      <c r="K258"/>
      <c r="L258"/>
      <c r="N258" s="1"/>
      <c r="Q258"/>
      <c r="T258"/>
      <c r="W258"/>
      <c r="AA258"/>
      <c r="AB258"/>
    </row>
    <row r="259" spans="2:28" x14ac:dyDescent="0.35">
      <c r="B259" s="1"/>
      <c r="H259"/>
      <c r="I259"/>
      <c r="K259"/>
      <c r="L259"/>
      <c r="N259" s="1"/>
      <c r="Q259"/>
      <c r="T259"/>
      <c r="W259"/>
      <c r="AA259"/>
      <c r="AB259"/>
    </row>
    <row r="260" spans="2:28" x14ac:dyDescent="0.35">
      <c r="B260" s="1"/>
      <c r="H260"/>
      <c r="I260"/>
      <c r="K260"/>
      <c r="L260"/>
      <c r="N260" s="1"/>
      <c r="Q260"/>
      <c r="T260"/>
      <c r="W260"/>
      <c r="AA260"/>
      <c r="AB260"/>
    </row>
    <row r="261" spans="2:28" x14ac:dyDescent="0.35">
      <c r="B261" s="1"/>
      <c r="H261"/>
      <c r="I261"/>
      <c r="K261"/>
      <c r="L261"/>
      <c r="N261" s="1"/>
      <c r="Q261"/>
      <c r="T261"/>
      <c r="W261"/>
      <c r="AA261"/>
      <c r="AB261"/>
    </row>
    <row r="262" spans="2:28" x14ac:dyDescent="0.35">
      <c r="B262" s="1"/>
      <c r="H262"/>
      <c r="I262"/>
      <c r="K262"/>
      <c r="L262"/>
      <c r="N262" s="1"/>
      <c r="Q262"/>
      <c r="T262"/>
      <c r="W262"/>
      <c r="AA262"/>
      <c r="AB262"/>
    </row>
    <row r="263" spans="2:28" x14ac:dyDescent="0.35">
      <c r="B263" s="1"/>
      <c r="H263"/>
      <c r="I263"/>
      <c r="K263"/>
      <c r="L263"/>
      <c r="N263" s="1"/>
      <c r="Q263"/>
      <c r="T263"/>
      <c r="W263"/>
      <c r="AA263"/>
      <c r="AB263"/>
    </row>
    <row r="264" spans="2:28" x14ac:dyDescent="0.35">
      <c r="B264" s="1"/>
      <c r="H264"/>
      <c r="I264"/>
      <c r="K264"/>
      <c r="L264"/>
      <c r="N264" s="1"/>
      <c r="Q264"/>
      <c r="T264"/>
      <c r="W264"/>
      <c r="AA264"/>
      <c r="AB264"/>
    </row>
    <row r="265" spans="2:28" x14ac:dyDescent="0.35">
      <c r="B265" s="1"/>
      <c r="H265"/>
      <c r="I265"/>
      <c r="K265"/>
      <c r="L265"/>
      <c r="N265" s="1"/>
      <c r="Q265"/>
      <c r="T265"/>
      <c r="W265"/>
      <c r="AA265"/>
      <c r="AB265"/>
    </row>
    <row r="266" spans="2:28" x14ac:dyDescent="0.35">
      <c r="B266" s="1"/>
      <c r="H266"/>
      <c r="I266"/>
      <c r="K266"/>
      <c r="L266"/>
      <c r="N266" s="1"/>
      <c r="Q266"/>
      <c r="T266"/>
      <c r="W266"/>
      <c r="AA266"/>
      <c r="AB266"/>
    </row>
    <row r="267" spans="2:28" x14ac:dyDescent="0.35">
      <c r="B267" s="1"/>
      <c r="H267"/>
      <c r="I267"/>
      <c r="K267"/>
      <c r="L267"/>
      <c r="N267" s="1"/>
      <c r="Q267"/>
      <c r="T267"/>
      <c r="W267"/>
      <c r="AA267"/>
      <c r="AB267"/>
    </row>
    <row r="268" spans="2:28" x14ac:dyDescent="0.35">
      <c r="B268" s="1"/>
      <c r="H268"/>
      <c r="I268"/>
      <c r="K268"/>
      <c r="L268"/>
      <c r="N268" s="1"/>
      <c r="Q268"/>
      <c r="T268"/>
      <c r="W268"/>
      <c r="AA268"/>
      <c r="AB268"/>
    </row>
    <row r="269" spans="2:28" x14ac:dyDescent="0.35">
      <c r="B269" s="1"/>
      <c r="H269"/>
      <c r="I269"/>
      <c r="K269"/>
      <c r="L269"/>
      <c r="N269" s="1"/>
      <c r="Q269"/>
      <c r="T269"/>
      <c r="W269"/>
      <c r="AA269"/>
      <c r="AB269"/>
    </row>
    <row r="270" spans="2:28" x14ac:dyDescent="0.35">
      <c r="B270" s="1"/>
      <c r="H270"/>
      <c r="I270"/>
      <c r="K270"/>
      <c r="L270"/>
      <c r="N270" s="1"/>
      <c r="Q270"/>
      <c r="T270"/>
      <c r="W270"/>
      <c r="AA270"/>
      <c r="AB270"/>
    </row>
    <row r="271" spans="2:28" x14ac:dyDescent="0.35">
      <c r="B271" s="1"/>
      <c r="H271"/>
      <c r="I271"/>
      <c r="K271"/>
      <c r="L271"/>
      <c r="N271" s="1"/>
      <c r="Q271"/>
      <c r="T271"/>
      <c r="W271"/>
      <c r="AA271"/>
      <c r="AB271"/>
    </row>
    <row r="272" spans="2:28" x14ac:dyDescent="0.35">
      <c r="B272" s="1"/>
      <c r="H272"/>
      <c r="I272"/>
      <c r="K272"/>
      <c r="L272"/>
      <c r="N272" s="1"/>
      <c r="Q272"/>
      <c r="T272"/>
      <c r="W272"/>
      <c r="AA272"/>
      <c r="AB272"/>
    </row>
    <row r="273" spans="2:28" x14ac:dyDescent="0.35">
      <c r="B273" s="1"/>
      <c r="H273"/>
      <c r="I273"/>
      <c r="K273"/>
      <c r="L273"/>
      <c r="N273" s="1"/>
      <c r="Q273"/>
      <c r="T273"/>
      <c r="W273"/>
      <c r="AA273"/>
      <c r="AB273"/>
    </row>
    <row r="274" spans="2:28" x14ac:dyDescent="0.35">
      <c r="B274" s="1"/>
      <c r="H274"/>
      <c r="I274"/>
      <c r="K274"/>
      <c r="L274"/>
      <c r="N274" s="1"/>
      <c r="Q274"/>
      <c r="T274"/>
      <c r="W274"/>
      <c r="AA274"/>
      <c r="AB274"/>
    </row>
    <row r="275" spans="2:28" x14ac:dyDescent="0.35">
      <c r="B275" s="1"/>
      <c r="H275"/>
      <c r="I275"/>
      <c r="K275"/>
      <c r="L275"/>
      <c r="N275" s="1"/>
      <c r="Q275"/>
      <c r="T275"/>
      <c r="W275"/>
      <c r="AA275"/>
      <c r="AB275"/>
    </row>
    <row r="276" spans="2:28" x14ac:dyDescent="0.35">
      <c r="B276" s="1"/>
      <c r="H276"/>
      <c r="I276"/>
      <c r="K276"/>
      <c r="L276"/>
      <c r="N276" s="1"/>
      <c r="Q276"/>
      <c r="T276"/>
      <c r="W276"/>
      <c r="AA276"/>
      <c r="AB276"/>
    </row>
    <row r="277" spans="2:28" x14ac:dyDescent="0.35">
      <c r="B277" s="1"/>
      <c r="H277"/>
      <c r="I277"/>
      <c r="K277"/>
      <c r="L277"/>
      <c r="N277" s="1"/>
      <c r="Q277"/>
      <c r="T277"/>
      <c r="W277"/>
      <c r="AA277"/>
      <c r="AB277"/>
    </row>
    <row r="278" spans="2:28" x14ac:dyDescent="0.35">
      <c r="B278" s="1"/>
      <c r="H278"/>
      <c r="I278"/>
      <c r="K278"/>
      <c r="L278"/>
      <c r="N278" s="1"/>
      <c r="Q278"/>
      <c r="T278"/>
      <c r="W278"/>
      <c r="AA278"/>
      <c r="AB278"/>
    </row>
    <row r="279" spans="2:28" x14ac:dyDescent="0.35">
      <c r="B279" s="1"/>
      <c r="H279"/>
      <c r="I279"/>
      <c r="K279"/>
      <c r="L279"/>
      <c r="N279" s="1"/>
      <c r="Q279"/>
      <c r="T279"/>
      <c r="W279"/>
      <c r="AA279"/>
      <c r="AB279"/>
    </row>
    <row r="280" spans="2:28" x14ac:dyDescent="0.35">
      <c r="B280" s="1"/>
      <c r="H280"/>
      <c r="I280"/>
      <c r="K280"/>
      <c r="L280"/>
      <c r="N280" s="1"/>
      <c r="Q280"/>
      <c r="T280"/>
      <c r="W280"/>
      <c r="AA280"/>
      <c r="AB280"/>
    </row>
    <row r="281" spans="2:28" x14ac:dyDescent="0.35">
      <c r="B281" s="1"/>
      <c r="H281"/>
      <c r="I281"/>
      <c r="K281"/>
      <c r="L281"/>
      <c r="N281" s="1"/>
      <c r="Q281"/>
      <c r="T281"/>
      <c r="W281"/>
      <c r="AA281"/>
      <c r="AB281"/>
    </row>
    <row r="282" spans="2:28" x14ac:dyDescent="0.35">
      <c r="B282" s="1"/>
      <c r="H282"/>
      <c r="I282"/>
      <c r="K282"/>
      <c r="L282"/>
      <c r="N282" s="1"/>
      <c r="Q282"/>
      <c r="T282"/>
      <c r="W282"/>
      <c r="AA282"/>
      <c r="AB282"/>
    </row>
    <row r="283" spans="2:28" x14ac:dyDescent="0.35">
      <c r="B283" s="1"/>
      <c r="H283"/>
      <c r="I283"/>
      <c r="K283"/>
      <c r="L283"/>
      <c r="N283" s="1"/>
      <c r="Q283"/>
      <c r="T283"/>
      <c r="W283"/>
      <c r="AA283"/>
      <c r="AB283"/>
    </row>
    <row r="284" spans="2:28" x14ac:dyDescent="0.35">
      <c r="B284" s="1"/>
      <c r="H284"/>
      <c r="I284"/>
      <c r="K284"/>
      <c r="L284"/>
      <c r="N284" s="1"/>
      <c r="Q284"/>
      <c r="T284"/>
      <c r="W284"/>
      <c r="AA284"/>
      <c r="AB284"/>
    </row>
    <row r="285" spans="2:28" x14ac:dyDescent="0.35">
      <c r="B285" s="1"/>
      <c r="H285"/>
      <c r="I285"/>
      <c r="K285"/>
      <c r="L285"/>
      <c r="N285" s="1"/>
      <c r="Q285"/>
      <c r="T285"/>
      <c r="W285"/>
      <c r="AA285"/>
      <c r="AB285"/>
    </row>
    <row r="286" spans="2:28" x14ac:dyDescent="0.35">
      <c r="B286" s="1"/>
      <c r="H286"/>
      <c r="I286"/>
      <c r="K286"/>
      <c r="L286"/>
      <c r="N286" s="1"/>
      <c r="Q286"/>
      <c r="T286"/>
      <c r="W286"/>
      <c r="AA286"/>
      <c r="AB286"/>
    </row>
    <row r="287" spans="2:28" x14ac:dyDescent="0.35">
      <c r="B287" s="1"/>
      <c r="H287"/>
      <c r="I287"/>
      <c r="K287"/>
      <c r="L287"/>
      <c r="N287" s="1"/>
      <c r="Q287"/>
      <c r="T287"/>
      <c r="W287"/>
      <c r="AA287"/>
      <c r="AB287"/>
    </row>
    <row r="288" spans="2:28" x14ac:dyDescent="0.35">
      <c r="B288" s="1"/>
      <c r="H288"/>
      <c r="I288"/>
      <c r="K288"/>
      <c r="L288"/>
      <c r="N288" s="1"/>
      <c r="Q288"/>
      <c r="T288"/>
      <c r="W288"/>
      <c r="AA288"/>
      <c r="AB288"/>
    </row>
    <row r="289" spans="2:28" x14ac:dyDescent="0.35">
      <c r="B289" s="1"/>
      <c r="H289"/>
      <c r="I289"/>
      <c r="K289"/>
      <c r="L289"/>
      <c r="N289" s="1"/>
      <c r="Q289"/>
      <c r="T289"/>
      <c r="W289"/>
      <c r="AA289"/>
      <c r="AB289"/>
    </row>
    <row r="290" spans="2:28" x14ac:dyDescent="0.35">
      <c r="B290" s="1"/>
      <c r="H290"/>
      <c r="I290"/>
      <c r="K290"/>
      <c r="L290"/>
      <c r="N290" s="1"/>
      <c r="Q290"/>
      <c r="T290"/>
      <c r="W290"/>
      <c r="AA290"/>
      <c r="AB290"/>
    </row>
    <row r="291" spans="2:28" x14ac:dyDescent="0.35">
      <c r="B291" s="1"/>
      <c r="H291"/>
      <c r="I291"/>
      <c r="K291"/>
      <c r="L291"/>
      <c r="N291" s="1"/>
      <c r="Q291"/>
      <c r="T291"/>
      <c r="W291"/>
      <c r="AA291"/>
      <c r="AB291"/>
    </row>
    <row r="292" spans="2:28" x14ac:dyDescent="0.35">
      <c r="B292" s="1"/>
      <c r="H292"/>
      <c r="I292"/>
      <c r="K292"/>
      <c r="L292"/>
      <c r="N292" s="1"/>
      <c r="Q292"/>
      <c r="T292"/>
      <c r="W292"/>
      <c r="AA292"/>
      <c r="AB292"/>
    </row>
    <row r="293" spans="2:28" x14ac:dyDescent="0.35">
      <c r="B293" s="1"/>
      <c r="H293"/>
      <c r="I293"/>
      <c r="K293"/>
      <c r="L293"/>
      <c r="N293" s="1"/>
      <c r="Q293"/>
      <c r="T293"/>
      <c r="W293"/>
      <c r="AA293"/>
      <c r="AB293"/>
    </row>
    <row r="294" spans="2:28" x14ac:dyDescent="0.35">
      <c r="B294" s="1"/>
      <c r="H294"/>
      <c r="I294"/>
      <c r="K294"/>
      <c r="L294"/>
      <c r="N294" s="1"/>
      <c r="Q294"/>
      <c r="T294"/>
      <c r="W294"/>
      <c r="AA294"/>
      <c r="AB294"/>
    </row>
    <row r="295" spans="2:28" x14ac:dyDescent="0.35">
      <c r="B295" s="1"/>
      <c r="H295"/>
      <c r="I295"/>
      <c r="K295"/>
      <c r="L295"/>
      <c r="N295" s="1"/>
      <c r="Q295"/>
      <c r="T295"/>
      <c r="W295"/>
      <c r="AA295"/>
      <c r="AB295"/>
    </row>
    <row r="296" spans="2:28" x14ac:dyDescent="0.35">
      <c r="B296" s="1"/>
      <c r="H296"/>
      <c r="I296"/>
      <c r="K296"/>
      <c r="L296"/>
      <c r="N296" s="1"/>
      <c r="Q296"/>
      <c r="T296"/>
      <c r="W296"/>
      <c r="AA296"/>
      <c r="AB296"/>
    </row>
    <row r="297" spans="2:28" x14ac:dyDescent="0.35">
      <c r="B297" s="1"/>
      <c r="H297"/>
      <c r="I297"/>
      <c r="K297"/>
      <c r="L297"/>
      <c r="N297" s="1"/>
      <c r="Q297"/>
      <c r="T297"/>
      <c r="W297"/>
      <c r="AA297"/>
      <c r="AB297"/>
    </row>
    <row r="298" spans="2:28" x14ac:dyDescent="0.35">
      <c r="B298" s="1"/>
      <c r="H298"/>
      <c r="I298"/>
      <c r="K298"/>
      <c r="L298"/>
      <c r="N298" s="1"/>
      <c r="Q298"/>
      <c r="T298"/>
      <c r="W298"/>
      <c r="AA298"/>
      <c r="AB298"/>
    </row>
    <row r="299" spans="2:28" x14ac:dyDescent="0.35">
      <c r="B299" s="1"/>
      <c r="H299"/>
      <c r="I299"/>
      <c r="K299"/>
      <c r="L299"/>
      <c r="N299" s="1"/>
      <c r="Q299"/>
      <c r="T299"/>
      <c r="W299"/>
      <c r="AA299"/>
      <c r="AB299"/>
    </row>
    <row r="300" spans="2:28" x14ac:dyDescent="0.35">
      <c r="B300" s="1"/>
      <c r="H300"/>
      <c r="I300"/>
      <c r="K300"/>
      <c r="L300"/>
      <c r="N300" s="1"/>
      <c r="Q300"/>
      <c r="T300"/>
      <c r="W300"/>
      <c r="AA300"/>
      <c r="AB300"/>
    </row>
    <row r="301" spans="2:28" x14ac:dyDescent="0.35">
      <c r="B301" s="1"/>
      <c r="H301"/>
      <c r="I301"/>
      <c r="K301"/>
      <c r="L301"/>
      <c r="N301" s="1"/>
      <c r="Q301"/>
      <c r="T301"/>
      <c r="W301"/>
      <c r="AA301"/>
      <c r="AB301"/>
    </row>
    <row r="302" spans="2:28" x14ac:dyDescent="0.35">
      <c r="B302" s="1"/>
      <c r="H302"/>
      <c r="I302"/>
      <c r="K302"/>
      <c r="L302"/>
      <c r="N302" s="1"/>
      <c r="Q302"/>
      <c r="T302"/>
      <c r="W302"/>
      <c r="AA302"/>
      <c r="AB302"/>
    </row>
    <row r="303" spans="2:28" x14ac:dyDescent="0.35">
      <c r="B303" s="1"/>
      <c r="H303"/>
      <c r="I303"/>
      <c r="K303"/>
      <c r="L303"/>
      <c r="N303" s="1"/>
      <c r="Q303"/>
      <c r="T303"/>
      <c r="W303"/>
      <c r="AA303"/>
      <c r="AB303"/>
    </row>
    <row r="304" spans="2:28" x14ac:dyDescent="0.35">
      <c r="B304" s="1"/>
      <c r="H304"/>
      <c r="I304"/>
      <c r="K304"/>
      <c r="L304"/>
      <c r="N304" s="1"/>
      <c r="Q304"/>
      <c r="T304"/>
      <c r="W304"/>
      <c r="AA304"/>
      <c r="AB304"/>
    </row>
    <row r="305" spans="2:28" x14ac:dyDescent="0.35">
      <c r="B305" s="1"/>
      <c r="H305"/>
      <c r="I305"/>
      <c r="K305"/>
      <c r="L305"/>
      <c r="N305" s="1"/>
      <c r="Q305"/>
      <c r="T305"/>
      <c r="W305"/>
      <c r="AA305"/>
      <c r="AB305"/>
    </row>
    <row r="306" spans="2:28" x14ac:dyDescent="0.35">
      <c r="B306" s="1"/>
      <c r="H306"/>
      <c r="I306"/>
      <c r="K306"/>
      <c r="L306"/>
      <c r="N306" s="1"/>
      <c r="Q306"/>
      <c r="T306"/>
      <c r="W306"/>
      <c r="AA306"/>
      <c r="AB306"/>
    </row>
    <row r="307" spans="2:28" x14ac:dyDescent="0.35">
      <c r="B307" s="1"/>
      <c r="H307"/>
      <c r="I307"/>
      <c r="K307"/>
      <c r="L307"/>
      <c r="N307" s="1"/>
      <c r="Q307"/>
      <c r="T307"/>
      <c r="W307"/>
      <c r="AA307"/>
      <c r="AB307"/>
    </row>
    <row r="308" spans="2:28" x14ac:dyDescent="0.35">
      <c r="B308" s="1"/>
      <c r="H308"/>
      <c r="I308"/>
      <c r="K308"/>
      <c r="L308"/>
      <c r="N308" s="1"/>
      <c r="Q308"/>
      <c r="T308"/>
      <c r="W308"/>
      <c r="AA308"/>
      <c r="AB308"/>
    </row>
    <row r="309" spans="2:28" x14ac:dyDescent="0.35">
      <c r="B309" s="1"/>
      <c r="H309"/>
      <c r="I309"/>
      <c r="K309"/>
      <c r="L309"/>
      <c r="N309" s="1"/>
      <c r="Q309"/>
      <c r="T309"/>
      <c r="W309"/>
      <c r="AA309"/>
      <c r="AB309"/>
    </row>
    <row r="310" spans="2:28" x14ac:dyDescent="0.35">
      <c r="B310" s="1"/>
      <c r="H310"/>
      <c r="I310"/>
      <c r="K310"/>
      <c r="L310"/>
      <c r="N310" s="1"/>
      <c r="Q310"/>
      <c r="T310"/>
      <c r="W310"/>
      <c r="AA310"/>
      <c r="AB310"/>
    </row>
    <row r="311" spans="2:28" x14ac:dyDescent="0.35">
      <c r="B311" s="1"/>
      <c r="H311"/>
      <c r="I311"/>
      <c r="K311"/>
      <c r="L311"/>
      <c r="N311" s="1"/>
      <c r="Q311"/>
      <c r="T311"/>
      <c r="W311"/>
      <c r="AA311"/>
      <c r="AB311"/>
    </row>
    <row r="312" spans="2:28" x14ac:dyDescent="0.35">
      <c r="B312" s="1"/>
      <c r="H312"/>
      <c r="I312"/>
      <c r="K312"/>
      <c r="L312"/>
      <c r="N312" s="1"/>
      <c r="Q312"/>
      <c r="T312"/>
      <c r="W312"/>
      <c r="AA312"/>
      <c r="AB312"/>
    </row>
    <row r="313" spans="2:28" x14ac:dyDescent="0.35">
      <c r="B313" s="1"/>
      <c r="H313"/>
      <c r="I313"/>
      <c r="K313"/>
      <c r="L313"/>
      <c r="N313" s="1"/>
      <c r="Q313"/>
      <c r="T313"/>
      <c r="W313"/>
      <c r="AA313"/>
      <c r="AB313"/>
    </row>
    <row r="314" spans="2:28" x14ac:dyDescent="0.35">
      <c r="B314" s="1"/>
      <c r="H314"/>
      <c r="I314"/>
      <c r="K314"/>
      <c r="L314"/>
      <c r="N314" s="1"/>
      <c r="Q314"/>
      <c r="T314"/>
      <c r="W314"/>
      <c r="AA314"/>
      <c r="AB314"/>
    </row>
    <row r="315" spans="2:28" x14ac:dyDescent="0.35">
      <c r="B315" s="1"/>
      <c r="H315"/>
      <c r="I315"/>
      <c r="K315"/>
      <c r="L315"/>
      <c r="N315" s="1"/>
      <c r="Q315"/>
      <c r="T315"/>
      <c r="W315"/>
      <c r="AA315"/>
      <c r="AB315"/>
    </row>
    <row r="316" spans="2:28" x14ac:dyDescent="0.35">
      <c r="B316" s="1"/>
      <c r="H316"/>
      <c r="I316"/>
      <c r="K316"/>
      <c r="L316"/>
      <c r="N316" s="1"/>
      <c r="Q316"/>
      <c r="T316"/>
      <c r="W316"/>
      <c r="AA316"/>
      <c r="AB316"/>
    </row>
    <row r="317" spans="2:28" x14ac:dyDescent="0.35">
      <c r="B317" s="1"/>
      <c r="H317"/>
      <c r="I317"/>
      <c r="K317"/>
      <c r="L317"/>
      <c r="N317" s="1"/>
      <c r="Q317"/>
      <c r="T317"/>
      <c r="W317"/>
      <c r="AA317"/>
      <c r="AB317"/>
    </row>
    <row r="318" spans="2:28" x14ac:dyDescent="0.35">
      <c r="B318" s="1"/>
      <c r="H318"/>
      <c r="I318"/>
      <c r="K318"/>
      <c r="L318"/>
      <c r="N318" s="1"/>
      <c r="Q318"/>
      <c r="T318"/>
      <c r="W318"/>
      <c r="AA318"/>
      <c r="AB318"/>
    </row>
    <row r="319" spans="2:28" x14ac:dyDescent="0.35">
      <c r="B319" s="1"/>
      <c r="H319"/>
      <c r="I319"/>
      <c r="K319"/>
      <c r="L319"/>
      <c r="N319" s="1"/>
      <c r="Q319"/>
      <c r="T319"/>
      <c r="W319"/>
      <c r="AA319"/>
      <c r="AB319"/>
    </row>
    <row r="320" spans="2:28" x14ac:dyDescent="0.35">
      <c r="B320" s="1"/>
      <c r="H320"/>
      <c r="I320"/>
      <c r="K320"/>
      <c r="L320"/>
      <c r="N320" s="1"/>
      <c r="Q320"/>
      <c r="T320"/>
      <c r="W320"/>
      <c r="AA320"/>
      <c r="AB320"/>
    </row>
    <row r="321" spans="2:28" x14ac:dyDescent="0.35">
      <c r="B321" s="1"/>
      <c r="H321"/>
      <c r="I321"/>
      <c r="K321"/>
      <c r="L321"/>
      <c r="N321" s="1"/>
      <c r="Q321"/>
      <c r="T321"/>
      <c r="W321"/>
      <c r="AA321"/>
      <c r="AB321"/>
    </row>
    <row r="322" spans="2:28" x14ac:dyDescent="0.35">
      <c r="B322" s="1"/>
      <c r="H322"/>
      <c r="I322"/>
      <c r="K322"/>
      <c r="L322"/>
      <c r="N322" s="1"/>
      <c r="Q322"/>
      <c r="T322"/>
      <c r="W322"/>
      <c r="AA322"/>
      <c r="AB322"/>
    </row>
    <row r="323" spans="2:28" x14ac:dyDescent="0.35">
      <c r="B323" s="1"/>
      <c r="H323"/>
      <c r="I323"/>
      <c r="K323"/>
      <c r="L323"/>
      <c r="N323" s="1"/>
      <c r="Q323"/>
      <c r="T323"/>
      <c r="W323"/>
      <c r="AA323"/>
      <c r="AB323"/>
    </row>
    <row r="324" spans="2:28" x14ac:dyDescent="0.35">
      <c r="B324" s="1"/>
      <c r="H324"/>
      <c r="I324"/>
      <c r="K324"/>
      <c r="L324"/>
      <c r="N324" s="1"/>
      <c r="Q324"/>
      <c r="T324"/>
      <c r="W324"/>
      <c r="AA324"/>
      <c r="AB324"/>
    </row>
    <row r="325" spans="2:28" x14ac:dyDescent="0.35">
      <c r="B325" s="1"/>
      <c r="H325"/>
      <c r="I325"/>
      <c r="K325"/>
      <c r="L325"/>
      <c r="N325" s="1"/>
      <c r="Q325"/>
      <c r="T325"/>
      <c r="W325"/>
      <c r="AA325"/>
      <c r="AB325"/>
    </row>
    <row r="326" spans="2:28" x14ac:dyDescent="0.35">
      <c r="B326" s="1"/>
      <c r="H326"/>
      <c r="I326"/>
      <c r="K326"/>
      <c r="L326"/>
      <c r="N326" s="1"/>
      <c r="Q326"/>
      <c r="T326"/>
      <c r="W326"/>
      <c r="AA326"/>
      <c r="AB326"/>
    </row>
    <row r="327" spans="2:28" x14ac:dyDescent="0.35">
      <c r="B327" s="1"/>
      <c r="H327"/>
      <c r="I327"/>
      <c r="K327"/>
      <c r="L327"/>
      <c r="N327" s="1"/>
      <c r="Q327"/>
      <c r="T327"/>
      <c r="W327"/>
      <c r="AA327"/>
      <c r="AB327"/>
    </row>
    <row r="328" spans="2:28" x14ac:dyDescent="0.35">
      <c r="B328" s="1"/>
      <c r="H328"/>
      <c r="I328"/>
      <c r="K328"/>
      <c r="L328"/>
      <c r="N328" s="1"/>
      <c r="Q328"/>
      <c r="T328"/>
      <c r="W328"/>
      <c r="AA328"/>
      <c r="AB328"/>
    </row>
    <row r="329" spans="2:28" x14ac:dyDescent="0.35">
      <c r="B329" s="1"/>
      <c r="H329"/>
      <c r="I329"/>
      <c r="K329"/>
      <c r="L329"/>
      <c r="N329" s="1"/>
      <c r="Q329"/>
      <c r="T329"/>
      <c r="W329"/>
      <c r="AA329"/>
      <c r="AB329"/>
    </row>
    <row r="330" spans="2:28" x14ac:dyDescent="0.35">
      <c r="B330" s="1"/>
      <c r="H330"/>
      <c r="I330"/>
      <c r="K330"/>
      <c r="L330"/>
      <c r="N330" s="1"/>
      <c r="Q330"/>
      <c r="T330"/>
      <c r="W330"/>
      <c r="AA330"/>
      <c r="AB330"/>
    </row>
    <row r="331" spans="2:28" x14ac:dyDescent="0.35">
      <c r="B331" s="1"/>
      <c r="H331"/>
      <c r="I331"/>
      <c r="K331"/>
      <c r="L331"/>
      <c r="N331" s="1"/>
      <c r="Q331"/>
      <c r="T331"/>
      <c r="W331"/>
      <c r="AA331"/>
      <c r="AB331"/>
    </row>
    <row r="332" spans="2:28" x14ac:dyDescent="0.35">
      <c r="B332" s="1"/>
      <c r="H332"/>
      <c r="I332"/>
      <c r="K332"/>
      <c r="L332"/>
      <c r="N332" s="1"/>
      <c r="Q332"/>
      <c r="T332"/>
      <c r="W332"/>
      <c r="AA332"/>
      <c r="AB332"/>
    </row>
    <row r="333" spans="2:28" x14ac:dyDescent="0.35">
      <c r="B333" s="1"/>
      <c r="H333"/>
      <c r="I333"/>
      <c r="K333"/>
      <c r="L333"/>
      <c r="N333" s="1"/>
      <c r="Q333"/>
      <c r="T333"/>
      <c r="W333"/>
      <c r="AA333"/>
      <c r="AB333"/>
    </row>
    <row r="334" spans="2:28" x14ac:dyDescent="0.35">
      <c r="B334" s="1"/>
      <c r="H334"/>
      <c r="I334"/>
      <c r="K334"/>
      <c r="L334"/>
      <c r="N334" s="1"/>
      <c r="Q334"/>
      <c r="T334"/>
      <c r="W334"/>
      <c r="AA334"/>
      <c r="AB334"/>
    </row>
    <row r="335" spans="2:28" x14ac:dyDescent="0.35">
      <c r="B335" s="1"/>
      <c r="H335"/>
      <c r="I335"/>
      <c r="K335"/>
      <c r="L335"/>
      <c r="N335" s="1"/>
      <c r="Q335"/>
      <c r="T335"/>
      <c r="W335"/>
      <c r="AA335"/>
      <c r="AB335"/>
    </row>
    <row r="336" spans="2:28" x14ac:dyDescent="0.35">
      <c r="B336" s="1"/>
      <c r="H336"/>
      <c r="I336"/>
      <c r="K336"/>
      <c r="L336"/>
      <c r="N336" s="1"/>
      <c r="Q336"/>
      <c r="T336"/>
      <c r="W336"/>
      <c r="AA336"/>
      <c r="AB336"/>
    </row>
    <row r="337" spans="2:28" x14ac:dyDescent="0.35">
      <c r="B337" s="1"/>
      <c r="H337"/>
      <c r="I337"/>
      <c r="K337"/>
      <c r="L337"/>
      <c r="N337" s="1"/>
      <c r="Q337"/>
      <c r="T337"/>
      <c r="W337"/>
      <c r="AA337"/>
      <c r="AB337"/>
    </row>
    <row r="338" spans="2:28" x14ac:dyDescent="0.35">
      <c r="B338" s="1"/>
      <c r="H338"/>
      <c r="I338"/>
      <c r="K338"/>
      <c r="L338"/>
      <c r="N338" s="1"/>
      <c r="Q338"/>
      <c r="T338"/>
      <c r="W338"/>
      <c r="AA338"/>
      <c r="AB338"/>
    </row>
    <row r="339" spans="2:28" x14ac:dyDescent="0.35">
      <c r="B339" s="1"/>
      <c r="H339"/>
      <c r="I339"/>
      <c r="K339"/>
      <c r="L339"/>
      <c r="N339" s="1"/>
      <c r="Q339"/>
      <c r="T339"/>
      <c r="W339"/>
      <c r="AA339"/>
      <c r="AB339"/>
    </row>
    <row r="340" spans="2:28" x14ac:dyDescent="0.35">
      <c r="B340" s="1"/>
      <c r="H340"/>
      <c r="I340"/>
      <c r="K340"/>
      <c r="L340"/>
      <c r="N340" s="1"/>
      <c r="Q340"/>
      <c r="T340"/>
      <c r="W340"/>
      <c r="AA340"/>
      <c r="AB340"/>
    </row>
    <row r="341" spans="2:28" x14ac:dyDescent="0.35">
      <c r="B341" s="1"/>
      <c r="H341"/>
      <c r="I341"/>
      <c r="K341"/>
      <c r="L341"/>
      <c r="N341" s="1"/>
      <c r="Q341"/>
      <c r="T341"/>
      <c r="W341"/>
      <c r="AA341"/>
      <c r="AB341"/>
    </row>
    <row r="342" spans="2:28" x14ac:dyDescent="0.35">
      <c r="B342" s="1"/>
      <c r="H342"/>
      <c r="I342"/>
      <c r="K342"/>
      <c r="L342"/>
      <c r="N342" s="1"/>
      <c r="Q342"/>
      <c r="T342"/>
      <c r="W342"/>
      <c r="AA342"/>
      <c r="AB342"/>
    </row>
    <row r="343" spans="2:28" x14ac:dyDescent="0.35">
      <c r="B343" s="1"/>
      <c r="H343"/>
      <c r="I343"/>
      <c r="K343"/>
      <c r="L343"/>
      <c r="N343" s="1"/>
      <c r="Q343"/>
      <c r="T343"/>
      <c r="W343"/>
      <c r="AA343"/>
      <c r="AB343"/>
    </row>
    <row r="344" spans="2:28" x14ac:dyDescent="0.35">
      <c r="B344" s="1"/>
      <c r="H344"/>
      <c r="I344"/>
      <c r="K344"/>
      <c r="L344"/>
      <c r="N344" s="1"/>
      <c r="Q344"/>
      <c r="T344"/>
      <c r="W344"/>
      <c r="AA344"/>
      <c r="AB344"/>
    </row>
    <row r="345" spans="2:28" x14ac:dyDescent="0.35">
      <c r="B345" s="1"/>
      <c r="H345"/>
      <c r="I345"/>
      <c r="K345"/>
      <c r="L345"/>
      <c r="N345" s="1"/>
      <c r="Q345"/>
      <c r="T345"/>
      <c r="W345"/>
      <c r="AA345"/>
      <c r="AB345"/>
    </row>
    <row r="346" spans="2:28" x14ac:dyDescent="0.35">
      <c r="B346" s="1"/>
      <c r="H346"/>
      <c r="I346"/>
      <c r="K346"/>
      <c r="L346"/>
      <c r="N346" s="1"/>
      <c r="Q346"/>
      <c r="T346"/>
      <c r="W346"/>
      <c r="AA346"/>
      <c r="AB346"/>
    </row>
    <row r="347" spans="2:28" x14ac:dyDescent="0.35">
      <c r="B347" s="1"/>
      <c r="H347"/>
      <c r="I347"/>
      <c r="K347"/>
      <c r="L347"/>
      <c r="N347" s="1"/>
      <c r="Q347"/>
      <c r="T347"/>
      <c r="W347"/>
      <c r="AA347"/>
      <c r="AB347"/>
    </row>
    <row r="348" spans="2:28" x14ac:dyDescent="0.35">
      <c r="B348" s="1"/>
      <c r="H348"/>
      <c r="I348"/>
      <c r="K348"/>
      <c r="L348"/>
      <c r="N348" s="1"/>
      <c r="Q348"/>
      <c r="T348"/>
      <c r="W348"/>
      <c r="AA348"/>
      <c r="AB348"/>
    </row>
    <row r="349" spans="2:28" x14ac:dyDescent="0.35">
      <c r="B349" s="1"/>
      <c r="H349"/>
      <c r="I349"/>
      <c r="K349"/>
      <c r="L349"/>
      <c r="N349" s="1"/>
      <c r="Q349"/>
      <c r="T349"/>
      <c r="W349"/>
      <c r="AA349"/>
      <c r="AB349"/>
    </row>
    <row r="350" spans="2:28" x14ac:dyDescent="0.35">
      <c r="B350" s="1"/>
      <c r="H350"/>
      <c r="I350"/>
      <c r="K350"/>
      <c r="L350"/>
      <c r="N350" s="1"/>
      <c r="Q350"/>
      <c r="T350"/>
      <c r="W350"/>
      <c r="AA350"/>
      <c r="AB350"/>
    </row>
    <row r="351" spans="2:28" x14ac:dyDescent="0.35">
      <c r="B351" s="1"/>
      <c r="H351"/>
      <c r="I351"/>
      <c r="K351"/>
      <c r="L351"/>
      <c r="N351" s="1"/>
      <c r="Q351"/>
      <c r="T351"/>
      <c r="W351"/>
      <c r="AA351"/>
      <c r="AB351"/>
    </row>
    <row r="352" spans="2:28" x14ac:dyDescent="0.35">
      <c r="B352" s="1"/>
      <c r="H352"/>
      <c r="I352"/>
      <c r="K352"/>
      <c r="L352"/>
      <c r="N352" s="1"/>
      <c r="Q352"/>
      <c r="T352"/>
      <c r="W352"/>
      <c r="AA352"/>
      <c r="AB352"/>
    </row>
    <row r="353" spans="2:28" x14ac:dyDescent="0.35">
      <c r="B353" s="1"/>
      <c r="H353"/>
      <c r="I353"/>
      <c r="K353"/>
      <c r="L353"/>
      <c r="N353" s="1"/>
      <c r="Q353"/>
      <c r="T353"/>
      <c r="W353"/>
      <c r="AA353"/>
      <c r="AB353"/>
    </row>
    <row r="354" spans="2:28" x14ac:dyDescent="0.35">
      <c r="B354" s="1"/>
      <c r="H354"/>
      <c r="I354"/>
      <c r="K354"/>
      <c r="L354"/>
      <c r="N354" s="1"/>
      <c r="Q354"/>
      <c r="T354"/>
      <c r="W354"/>
      <c r="AA354"/>
      <c r="AB354"/>
    </row>
    <row r="355" spans="2:28" x14ac:dyDescent="0.35">
      <c r="B355" s="1"/>
      <c r="H355"/>
      <c r="I355"/>
      <c r="K355"/>
      <c r="L355"/>
      <c r="N355" s="1"/>
      <c r="Q355"/>
      <c r="T355"/>
      <c r="W355"/>
      <c r="AA355"/>
      <c r="AB355"/>
    </row>
    <row r="356" spans="2:28" x14ac:dyDescent="0.35">
      <c r="B356" s="1"/>
      <c r="H356"/>
      <c r="I356"/>
      <c r="K356"/>
      <c r="L356"/>
      <c r="N356" s="1"/>
      <c r="Q356"/>
      <c r="T356"/>
      <c r="W356"/>
      <c r="AA356"/>
      <c r="AB356"/>
    </row>
    <row r="357" spans="2:28" x14ac:dyDescent="0.35">
      <c r="B357" s="1"/>
      <c r="H357"/>
      <c r="I357"/>
      <c r="K357"/>
      <c r="L357"/>
      <c r="N357" s="1"/>
      <c r="Q357"/>
      <c r="T357"/>
      <c r="W357"/>
      <c r="AA357"/>
      <c r="AB357"/>
    </row>
    <row r="358" spans="2:28" x14ac:dyDescent="0.35">
      <c r="B358" s="1"/>
      <c r="H358"/>
      <c r="I358"/>
      <c r="K358"/>
      <c r="L358"/>
      <c r="N358" s="1"/>
      <c r="Q358"/>
      <c r="T358"/>
      <c r="W358"/>
      <c r="AA358"/>
      <c r="AB358"/>
    </row>
    <row r="359" spans="2:28" x14ac:dyDescent="0.35">
      <c r="B359" s="1"/>
      <c r="H359"/>
      <c r="I359"/>
      <c r="K359"/>
      <c r="L359"/>
      <c r="N359" s="1"/>
      <c r="Q359"/>
      <c r="T359"/>
      <c r="W359"/>
      <c r="AA359"/>
      <c r="AB359"/>
    </row>
    <row r="360" spans="2:28" x14ac:dyDescent="0.35">
      <c r="B360" s="1"/>
      <c r="H360"/>
      <c r="I360"/>
      <c r="K360"/>
      <c r="L360"/>
      <c r="N360" s="1"/>
      <c r="Q360"/>
      <c r="T360"/>
      <c r="W360"/>
      <c r="AA360"/>
      <c r="AB360"/>
    </row>
    <row r="361" spans="2:28" x14ac:dyDescent="0.35">
      <c r="B361" s="1"/>
      <c r="H361"/>
      <c r="I361"/>
      <c r="K361"/>
      <c r="L361"/>
      <c r="N361" s="1"/>
      <c r="Q361"/>
      <c r="T361"/>
      <c r="W361"/>
      <c r="AA361"/>
      <c r="AB361"/>
    </row>
    <row r="362" spans="2:28" x14ac:dyDescent="0.35">
      <c r="B362" s="1"/>
      <c r="H362"/>
      <c r="I362"/>
      <c r="K362"/>
      <c r="L362"/>
      <c r="N362" s="1"/>
      <c r="Q362"/>
      <c r="T362"/>
      <c r="W362"/>
      <c r="AA362"/>
      <c r="AB362"/>
    </row>
    <row r="363" spans="2:28" x14ac:dyDescent="0.35">
      <c r="B363" s="1"/>
      <c r="H363"/>
      <c r="I363"/>
      <c r="K363"/>
      <c r="L363"/>
      <c r="N363" s="1"/>
      <c r="Q363"/>
      <c r="T363"/>
      <c r="W363"/>
      <c r="AA363"/>
      <c r="AB363"/>
    </row>
    <row r="364" spans="2:28" x14ac:dyDescent="0.35">
      <c r="B364" s="1"/>
      <c r="H364"/>
      <c r="I364"/>
      <c r="K364"/>
      <c r="L364"/>
      <c r="N364" s="1"/>
      <c r="Q364"/>
      <c r="T364"/>
      <c r="W364"/>
      <c r="AA364"/>
      <c r="AB364"/>
    </row>
    <row r="365" spans="2:28" x14ac:dyDescent="0.35">
      <c r="B365" s="1"/>
      <c r="H365"/>
      <c r="I365"/>
      <c r="K365"/>
      <c r="L365"/>
      <c r="N365" s="1"/>
      <c r="Q365"/>
      <c r="T365"/>
      <c r="W365"/>
      <c r="AA365"/>
      <c r="AB365"/>
    </row>
    <row r="366" spans="2:28" x14ac:dyDescent="0.35">
      <c r="B366" s="1"/>
      <c r="H366"/>
      <c r="I366"/>
      <c r="K366"/>
      <c r="L366"/>
      <c r="N366" s="1"/>
      <c r="Q366"/>
      <c r="T366"/>
      <c r="W366"/>
      <c r="AA366"/>
      <c r="AB366"/>
    </row>
    <row r="367" spans="2:28" x14ac:dyDescent="0.35">
      <c r="B367" s="1"/>
      <c r="H367"/>
      <c r="I367"/>
      <c r="K367"/>
      <c r="L367"/>
      <c r="N367" s="1"/>
      <c r="Q367"/>
      <c r="T367"/>
      <c r="W367"/>
      <c r="AA367"/>
      <c r="AB367"/>
    </row>
    <row r="368" spans="2:28" x14ac:dyDescent="0.35">
      <c r="B368" s="1"/>
      <c r="H368"/>
      <c r="I368"/>
      <c r="K368"/>
      <c r="L368"/>
      <c r="N368" s="1"/>
      <c r="Q368"/>
      <c r="T368"/>
      <c r="W368"/>
      <c r="AA368"/>
      <c r="AB368"/>
    </row>
    <row r="369" spans="2:28" x14ac:dyDescent="0.35">
      <c r="B369" s="1"/>
      <c r="H369"/>
      <c r="I369"/>
      <c r="K369"/>
      <c r="L369"/>
      <c r="N369" s="1"/>
      <c r="Q369"/>
      <c r="T369"/>
      <c r="W369"/>
      <c r="AA369"/>
      <c r="AB369"/>
    </row>
    <row r="370" spans="2:28" x14ac:dyDescent="0.35">
      <c r="B370" s="1"/>
      <c r="H370"/>
      <c r="I370"/>
      <c r="K370"/>
      <c r="L370"/>
      <c r="N370" s="1"/>
      <c r="Q370"/>
      <c r="T370"/>
      <c r="W370"/>
      <c r="AA370"/>
      <c r="AB370"/>
    </row>
    <row r="371" spans="2:28" x14ac:dyDescent="0.35">
      <c r="B371" s="1"/>
      <c r="H371"/>
      <c r="I371"/>
      <c r="K371"/>
      <c r="L371"/>
      <c r="N371" s="1"/>
      <c r="Q371"/>
      <c r="T371"/>
      <c r="W371"/>
      <c r="AA371"/>
      <c r="AB371"/>
    </row>
    <row r="372" spans="2:28" x14ac:dyDescent="0.35">
      <c r="B372" s="1"/>
      <c r="H372"/>
      <c r="I372"/>
      <c r="K372"/>
      <c r="L372"/>
      <c r="N372" s="1"/>
      <c r="Q372"/>
      <c r="T372"/>
      <c r="W372"/>
      <c r="AA372"/>
      <c r="AB372"/>
    </row>
    <row r="373" spans="2:28" x14ac:dyDescent="0.35">
      <c r="B373" s="1"/>
      <c r="H373"/>
      <c r="I373"/>
      <c r="K373"/>
      <c r="L373"/>
      <c r="N373" s="1"/>
      <c r="Q373"/>
      <c r="T373"/>
      <c r="W373"/>
      <c r="AA373"/>
      <c r="AB373"/>
    </row>
    <row r="374" spans="2:28" x14ac:dyDescent="0.35">
      <c r="B374" s="1"/>
      <c r="H374"/>
      <c r="I374"/>
      <c r="K374"/>
      <c r="L374"/>
      <c r="N374" s="1"/>
      <c r="Q374"/>
      <c r="T374"/>
      <c r="W374"/>
      <c r="AA374"/>
      <c r="AB374"/>
    </row>
    <row r="375" spans="2:28" x14ac:dyDescent="0.35">
      <c r="B375" s="1"/>
      <c r="H375"/>
      <c r="I375"/>
      <c r="K375"/>
      <c r="L375"/>
      <c r="N375" s="1"/>
      <c r="Q375"/>
      <c r="T375"/>
      <c r="W375"/>
      <c r="AA375"/>
      <c r="AB375"/>
    </row>
    <row r="376" spans="2:28" x14ac:dyDescent="0.35">
      <c r="B376" s="1"/>
      <c r="H376"/>
      <c r="I376"/>
      <c r="K376"/>
      <c r="L376"/>
      <c r="N376" s="1"/>
      <c r="Q376"/>
      <c r="T376"/>
      <c r="W376"/>
      <c r="AA376"/>
      <c r="AB376"/>
    </row>
    <row r="377" spans="2:28" x14ac:dyDescent="0.35">
      <c r="B377" s="1"/>
      <c r="H377"/>
      <c r="I377"/>
      <c r="K377"/>
      <c r="L377"/>
      <c r="N377" s="1"/>
      <c r="Q377"/>
      <c r="T377"/>
      <c r="W377"/>
      <c r="AA377"/>
      <c r="AB377"/>
    </row>
    <row r="378" spans="2:28" x14ac:dyDescent="0.35">
      <c r="B378" s="1"/>
      <c r="H378"/>
      <c r="I378"/>
      <c r="K378"/>
      <c r="L378"/>
      <c r="N378" s="1"/>
      <c r="Q378"/>
      <c r="T378"/>
      <c r="W378"/>
      <c r="AA378"/>
      <c r="AB378"/>
    </row>
    <row r="379" spans="2:28" x14ac:dyDescent="0.35">
      <c r="B379" s="1"/>
      <c r="H379"/>
      <c r="I379"/>
      <c r="K379"/>
      <c r="L379"/>
      <c r="N379" s="1"/>
      <c r="Q379"/>
      <c r="T379"/>
      <c r="W379"/>
      <c r="AA379"/>
      <c r="AB379"/>
    </row>
    <row r="380" spans="2:28" x14ac:dyDescent="0.35">
      <c r="B380" s="1"/>
      <c r="H380"/>
      <c r="I380"/>
      <c r="K380"/>
      <c r="L380"/>
      <c r="N380" s="1"/>
      <c r="Q380"/>
      <c r="T380"/>
      <c r="W380"/>
      <c r="AA380"/>
      <c r="AB380"/>
    </row>
    <row r="381" spans="2:28" x14ac:dyDescent="0.35">
      <c r="B381" s="1"/>
      <c r="H381"/>
      <c r="I381"/>
      <c r="K381"/>
      <c r="L381"/>
      <c r="N381" s="1"/>
      <c r="Q381"/>
      <c r="T381"/>
      <c r="W381"/>
      <c r="AA381"/>
      <c r="AB381"/>
    </row>
    <row r="382" spans="2:28" x14ac:dyDescent="0.35">
      <c r="B382" s="1"/>
      <c r="H382"/>
      <c r="I382"/>
      <c r="K382"/>
      <c r="L382"/>
      <c r="N382" s="1"/>
      <c r="Q382"/>
      <c r="T382"/>
      <c r="W382"/>
      <c r="AA382"/>
      <c r="AB382"/>
    </row>
    <row r="383" spans="2:28" x14ac:dyDescent="0.35">
      <c r="B383" s="1"/>
      <c r="H383"/>
      <c r="I383"/>
      <c r="K383"/>
      <c r="L383"/>
      <c r="N383" s="1"/>
      <c r="Q383"/>
      <c r="T383"/>
      <c r="W383"/>
      <c r="AA383"/>
      <c r="AB383"/>
    </row>
    <row r="384" spans="2:28" x14ac:dyDescent="0.35">
      <c r="B384" s="1"/>
      <c r="H384"/>
      <c r="I384"/>
      <c r="K384"/>
      <c r="L384"/>
      <c r="N384" s="1"/>
      <c r="Q384"/>
      <c r="T384"/>
      <c r="W384"/>
      <c r="AA384"/>
      <c r="AB384"/>
    </row>
    <row r="385" spans="2:28" x14ac:dyDescent="0.35">
      <c r="B385" s="1"/>
      <c r="H385"/>
      <c r="I385"/>
      <c r="K385"/>
      <c r="L385"/>
      <c r="N385" s="1"/>
      <c r="Q385"/>
      <c r="T385"/>
      <c r="W385"/>
      <c r="AA385"/>
      <c r="AB385"/>
    </row>
    <row r="386" spans="2:28" x14ac:dyDescent="0.35">
      <c r="B386" s="1"/>
      <c r="H386"/>
      <c r="I386"/>
      <c r="K386"/>
      <c r="L386"/>
      <c r="N386" s="1"/>
      <c r="Q386"/>
      <c r="T386"/>
      <c r="W386"/>
      <c r="AA386"/>
      <c r="AB386"/>
    </row>
    <row r="387" spans="2:28" x14ac:dyDescent="0.35">
      <c r="B387" s="1"/>
      <c r="H387"/>
      <c r="I387"/>
      <c r="K387"/>
      <c r="L387"/>
      <c r="N387" s="1"/>
      <c r="Q387"/>
      <c r="T387"/>
      <c r="W387"/>
      <c r="AA387"/>
      <c r="AB387"/>
    </row>
    <row r="388" spans="2:28" x14ac:dyDescent="0.35">
      <c r="B388" s="1"/>
      <c r="H388"/>
      <c r="I388"/>
      <c r="K388"/>
      <c r="L388"/>
      <c r="N388" s="1"/>
      <c r="Q388"/>
      <c r="T388"/>
      <c r="W388"/>
      <c r="AA388"/>
      <c r="AB388"/>
    </row>
    <row r="389" spans="2:28" x14ac:dyDescent="0.35">
      <c r="B389" s="1"/>
      <c r="H389"/>
      <c r="I389"/>
      <c r="K389"/>
      <c r="L389"/>
      <c r="N389" s="1"/>
      <c r="Q389"/>
      <c r="T389"/>
      <c r="W389"/>
      <c r="AA389"/>
      <c r="AB389"/>
    </row>
    <row r="390" spans="2:28" x14ac:dyDescent="0.35">
      <c r="B390" s="1"/>
      <c r="H390"/>
      <c r="I390"/>
      <c r="K390"/>
      <c r="L390"/>
      <c r="N390" s="1"/>
      <c r="Q390"/>
      <c r="T390"/>
      <c r="W390"/>
      <c r="AA390"/>
      <c r="AB390"/>
    </row>
    <row r="391" spans="2:28" x14ac:dyDescent="0.35">
      <c r="B391" s="1"/>
      <c r="H391"/>
      <c r="I391"/>
      <c r="K391"/>
      <c r="L391"/>
      <c r="N391" s="1"/>
      <c r="Q391"/>
      <c r="T391"/>
      <c r="W391"/>
      <c r="AA391"/>
      <c r="AB391"/>
    </row>
    <row r="392" spans="2:28" x14ac:dyDescent="0.35">
      <c r="B392" s="1"/>
      <c r="H392"/>
      <c r="I392"/>
      <c r="K392"/>
      <c r="L392"/>
      <c r="N392" s="1"/>
      <c r="Q392"/>
      <c r="T392"/>
      <c r="W392"/>
      <c r="AA392"/>
      <c r="AB392"/>
    </row>
    <row r="393" spans="2:28" x14ac:dyDescent="0.35">
      <c r="B393" s="1"/>
      <c r="H393"/>
      <c r="I393"/>
      <c r="K393"/>
      <c r="L393"/>
      <c r="N393" s="1"/>
      <c r="Q393"/>
      <c r="T393"/>
      <c r="W393"/>
      <c r="AA393"/>
      <c r="AB393"/>
    </row>
    <row r="394" spans="2:28" x14ac:dyDescent="0.35">
      <c r="B394" s="1"/>
      <c r="H394"/>
      <c r="I394"/>
      <c r="K394"/>
      <c r="L394"/>
      <c r="N394" s="1"/>
      <c r="Q394"/>
      <c r="T394"/>
      <c r="W394"/>
      <c r="AA394"/>
      <c r="AB394"/>
    </row>
    <row r="395" spans="2:28" x14ac:dyDescent="0.35">
      <c r="B395" s="1"/>
      <c r="H395"/>
      <c r="I395"/>
      <c r="K395"/>
      <c r="L395"/>
      <c r="N395" s="1"/>
      <c r="Q395"/>
      <c r="T395"/>
      <c r="W395"/>
      <c r="AA395"/>
      <c r="AB395"/>
    </row>
    <row r="396" spans="2:28" x14ac:dyDescent="0.35">
      <c r="B396" s="1"/>
      <c r="H396"/>
      <c r="I396"/>
      <c r="K396"/>
      <c r="L396"/>
      <c r="N396" s="1"/>
      <c r="Q396"/>
      <c r="T396"/>
      <c r="W396"/>
      <c r="AA396"/>
      <c r="AB396"/>
    </row>
    <row r="397" spans="2:28" x14ac:dyDescent="0.35">
      <c r="B397" s="1"/>
      <c r="H397"/>
      <c r="I397"/>
      <c r="K397"/>
      <c r="L397"/>
      <c r="N397" s="1"/>
      <c r="Q397"/>
      <c r="T397"/>
      <c r="W397"/>
      <c r="AA397"/>
      <c r="AB397"/>
    </row>
    <row r="398" spans="2:28" x14ac:dyDescent="0.35">
      <c r="B398" s="1"/>
      <c r="H398"/>
      <c r="I398"/>
      <c r="K398"/>
      <c r="L398"/>
      <c r="N398" s="1"/>
      <c r="Q398"/>
      <c r="T398"/>
      <c r="W398"/>
      <c r="AA398"/>
      <c r="AB398"/>
    </row>
    <row r="399" spans="2:28" x14ac:dyDescent="0.35">
      <c r="B399" s="1"/>
      <c r="H399"/>
      <c r="I399"/>
      <c r="K399"/>
      <c r="L399"/>
      <c r="N399" s="1"/>
      <c r="Q399"/>
      <c r="T399"/>
      <c r="W399"/>
      <c r="AA399"/>
      <c r="AB399"/>
    </row>
    <row r="400" spans="2:28" x14ac:dyDescent="0.35">
      <c r="B400" s="1"/>
      <c r="H400"/>
      <c r="I400"/>
      <c r="K400"/>
      <c r="L400"/>
      <c r="N400" s="1"/>
      <c r="Q400"/>
      <c r="T400"/>
      <c r="W400"/>
      <c r="AA400"/>
      <c r="AB400"/>
    </row>
    <row r="401" spans="2:28" x14ac:dyDescent="0.35">
      <c r="B401" s="1"/>
      <c r="H401"/>
      <c r="I401"/>
      <c r="K401"/>
      <c r="L401"/>
      <c r="N401" s="1"/>
      <c r="Q401"/>
      <c r="T401"/>
      <c r="W401"/>
      <c r="AA401"/>
      <c r="AB401"/>
    </row>
    <row r="402" spans="2:28" x14ac:dyDescent="0.35">
      <c r="B402" s="1"/>
      <c r="H402"/>
      <c r="I402"/>
      <c r="K402"/>
      <c r="L402"/>
      <c r="N402" s="1"/>
      <c r="Q402"/>
      <c r="T402"/>
      <c r="W402"/>
      <c r="AA402"/>
      <c r="AB402"/>
    </row>
    <row r="403" spans="2:28" x14ac:dyDescent="0.35">
      <c r="B403" s="1"/>
      <c r="H403"/>
      <c r="I403"/>
      <c r="K403"/>
      <c r="L403"/>
      <c r="N403" s="1"/>
      <c r="Q403"/>
      <c r="T403"/>
      <c r="W403"/>
      <c r="AA403"/>
      <c r="AB403"/>
    </row>
    <row r="404" spans="2:28" x14ac:dyDescent="0.35">
      <c r="B404" s="1"/>
      <c r="H404"/>
      <c r="I404"/>
      <c r="K404"/>
      <c r="L404"/>
      <c r="N404" s="1"/>
      <c r="Q404"/>
      <c r="T404"/>
      <c r="W404"/>
      <c r="AA404"/>
      <c r="AB404"/>
    </row>
    <row r="405" spans="2:28" x14ac:dyDescent="0.35">
      <c r="B405" s="1"/>
      <c r="H405"/>
      <c r="I405"/>
      <c r="K405"/>
      <c r="L405"/>
      <c r="N405" s="1"/>
      <c r="Q405"/>
      <c r="T405"/>
      <c r="W405"/>
      <c r="AA405"/>
      <c r="AB405"/>
    </row>
    <row r="406" spans="2:28" x14ac:dyDescent="0.35">
      <c r="B406" s="1"/>
      <c r="H406"/>
      <c r="I406"/>
      <c r="K406"/>
      <c r="L406"/>
      <c r="N406" s="1"/>
      <c r="Q406"/>
      <c r="T406"/>
      <c r="W406"/>
      <c r="AA406"/>
      <c r="AB406"/>
    </row>
    <row r="407" spans="2:28" x14ac:dyDescent="0.35">
      <c r="B407" s="1"/>
      <c r="H407"/>
      <c r="I407"/>
      <c r="K407"/>
      <c r="L407"/>
      <c r="N407" s="1"/>
      <c r="Q407"/>
      <c r="T407"/>
      <c r="W407"/>
      <c r="AA407"/>
      <c r="AB407"/>
    </row>
    <row r="408" spans="2:28" x14ac:dyDescent="0.35">
      <c r="B408" s="1"/>
      <c r="H408"/>
      <c r="I408"/>
      <c r="K408"/>
      <c r="L408"/>
      <c r="N408" s="1"/>
      <c r="Q408"/>
      <c r="T408"/>
      <c r="W408"/>
      <c r="AA408"/>
      <c r="AB408"/>
    </row>
    <row r="409" spans="2:28" x14ac:dyDescent="0.35">
      <c r="B409" s="1"/>
      <c r="H409"/>
      <c r="I409"/>
      <c r="K409"/>
      <c r="L409"/>
      <c r="N409" s="1"/>
      <c r="Q409"/>
      <c r="T409"/>
      <c r="W409"/>
      <c r="AA409"/>
      <c r="AB409"/>
    </row>
    <row r="410" spans="2:28" x14ac:dyDescent="0.35">
      <c r="B410" s="1"/>
      <c r="H410"/>
      <c r="I410"/>
      <c r="K410"/>
      <c r="L410"/>
      <c r="N410" s="1"/>
      <c r="Q410"/>
      <c r="T410"/>
      <c r="W410"/>
      <c r="AA410"/>
      <c r="AB410"/>
    </row>
    <row r="411" spans="2:28" x14ac:dyDescent="0.35">
      <c r="B411" s="1"/>
      <c r="H411"/>
      <c r="I411"/>
      <c r="K411"/>
      <c r="L411"/>
      <c r="N411" s="1"/>
      <c r="Q411"/>
      <c r="T411"/>
      <c r="W411"/>
      <c r="AA411"/>
      <c r="AB411"/>
    </row>
    <row r="412" spans="2:28" x14ac:dyDescent="0.35">
      <c r="B412" s="1"/>
      <c r="H412"/>
      <c r="I412"/>
      <c r="K412"/>
      <c r="L412"/>
      <c r="N412" s="1"/>
      <c r="Q412"/>
      <c r="T412"/>
      <c r="W412"/>
      <c r="AA412"/>
      <c r="AB412"/>
    </row>
    <row r="413" spans="2:28" x14ac:dyDescent="0.35">
      <c r="B413" s="1"/>
      <c r="H413"/>
      <c r="I413"/>
      <c r="K413"/>
      <c r="L413"/>
      <c r="N413" s="1"/>
      <c r="Q413"/>
      <c r="T413"/>
      <c r="W413"/>
      <c r="AA413"/>
      <c r="AB413"/>
    </row>
    <row r="414" spans="2:28" x14ac:dyDescent="0.35">
      <c r="B414" s="1"/>
      <c r="H414"/>
      <c r="I414"/>
      <c r="K414"/>
      <c r="L414"/>
      <c r="N414" s="1"/>
      <c r="Q414"/>
      <c r="T414"/>
      <c r="W414"/>
      <c r="AA414"/>
      <c r="AB414"/>
    </row>
    <row r="415" spans="2:28" x14ac:dyDescent="0.35">
      <c r="B415" s="1"/>
      <c r="H415"/>
      <c r="I415"/>
      <c r="K415"/>
      <c r="L415"/>
      <c r="N415" s="1"/>
      <c r="Q415"/>
      <c r="T415"/>
      <c r="W415"/>
      <c r="AA415"/>
      <c r="AB415"/>
    </row>
    <row r="416" spans="2:28" x14ac:dyDescent="0.35">
      <c r="B416" s="1"/>
      <c r="H416"/>
      <c r="I416"/>
      <c r="K416"/>
      <c r="L416"/>
      <c r="N416" s="1"/>
      <c r="Q416"/>
      <c r="T416"/>
      <c r="W416"/>
      <c r="AA416"/>
      <c r="AB416"/>
    </row>
    <row r="417" spans="2:28" x14ac:dyDescent="0.35">
      <c r="B417" s="1"/>
      <c r="H417"/>
      <c r="I417"/>
      <c r="K417"/>
      <c r="L417"/>
      <c r="N417" s="1"/>
      <c r="Q417"/>
      <c r="T417"/>
      <c r="W417"/>
      <c r="AA417"/>
      <c r="AB417"/>
    </row>
    <row r="418" spans="2:28" x14ac:dyDescent="0.35">
      <c r="B418" s="1"/>
      <c r="H418"/>
      <c r="I418"/>
      <c r="K418"/>
      <c r="L418"/>
      <c r="N418" s="1"/>
      <c r="Q418"/>
      <c r="T418"/>
      <c r="W418"/>
      <c r="AA418"/>
      <c r="AB418"/>
    </row>
    <row r="419" spans="2:28" x14ac:dyDescent="0.35">
      <c r="B419" s="1"/>
      <c r="H419"/>
      <c r="I419"/>
      <c r="K419"/>
      <c r="L419"/>
      <c r="N419" s="1"/>
      <c r="Q419"/>
      <c r="T419"/>
      <c r="W419"/>
      <c r="AA419"/>
      <c r="AB419"/>
    </row>
    <row r="420" spans="2:28" x14ac:dyDescent="0.35">
      <c r="B420" s="1"/>
      <c r="H420"/>
      <c r="I420"/>
      <c r="K420"/>
      <c r="L420"/>
      <c r="N420" s="1"/>
      <c r="Q420"/>
      <c r="T420"/>
      <c r="W420"/>
      <c r="AA420"/>
      <c r="AB420"/>
    </row>
    <row r="421" spans="2:28" x14ac:dyDescent="0.35">
      <c r="B421" s="1"/>
      <c r="H421"/>
      <c r="I421"/>
      <c r="K421"/>
      <c r="L421"/>
      <c r="N421" s="1"/>
      <c r="Q421"/>
      <c r="T421"/>
      <c r="W421"/>
      <c r="AA421"/>
      <c r="AB421"/>
    </row>
    <row r="422" spans="2:28" x14ac:dyDescent="0.35">
      <c r="B422" s="1"/>
      <c r="H422"/>
      <c r="I422"/>
      <c r="K422"/>
      <c r="L422"/>
      <c r="N422" s="1"/>
      <c r="Q422"/>
      <c r="T422"/>
      <c r="W422"/>
      <c r="AA422"/>
      <c r="AB422"/>
    </row>
    <row r="423" spans="2:28" x14ac:dyDescent="0.35">
      <c r="B423" s="1"/>
      <c r="H423"/>
      <c r="I423"/>
      <c r="K423"/>
      <c r="L423"/>
      <c r="N423" s="1"/>
      <c r="Q423"/>
      <c r="T423"/>
      <c r="W423"/>
      <c r="AA423"/>
      <c r="AB423"/>
    </row>
    <row r="424" spans="2:28" x14ac:dyDescent="0.35">
      <c r="B424" s="1"/>
      <c r="H424"/>
      <c r="I424"/>
      <c r="K424"/>
      <c r="L424"/>
      <c r="N424" s="1"/>
      <c r="Q424"/>
      <c r="T424"/>
      <c r="W424"/>
      <c r="AA424"/>
      <c r="AB424"/>
    </row>
    <row r="425" spans="2:28" x14ac:dyDescent="0.35">
      <c r="B425" s="1"/>
      <c r="H425"/>
      <c r="I425"/>
      <c r="K425"/>
      <c r="L425"/>
      <c r="N425" s="1"/>
      <c r="Q425"/>
      <c r="T425"/>
      <c r="W425"/>
      <c r="AA425"/>
      <c r="AB425"/>
    </row>
    <row r="426" spans="2:28" x14ac:dyDescent="0.35">
      <c r="B426" s="1"/>
      <c r="H426"/>
      <c r="I426"/>
      <c r="K426"/>
      <c r="L426"/>
      <c r="N426" s="1"/>
      <c r="Q426"/>
      <c r="T426"/>
      <c r="W426"/>
      <c r="AA426"/>
      <c r="AB426"/>
    </row>
    <row r="427" spans="2:28" x14ac:dyDescent="0.35">
      <c r="B427" s="1"/>
      <c r="H427"/>
      <c r="I427"/>
      <c r="K427"/>
      <c r="L427"/>
      <c r="N427" s="1"/>
      <c r="Q427"/>
      <c r="T427"/>
      <c r="W427"/>
      <c r="AA427"/>
      <c r="AB427"/>
    </row>
    <row r="428" spans="2:28" x14ac:dyDescent="0.35">
      <c r="B428" s="1"/>
      <c r="H428"/>
      <c r="I428"/>
      <c r="K428"/>
      <c r="L428"/>
      <c r="N428" s="1"/>
      <c r="Q428"/>
      <c r="T428"/>
      <c r="W428"/>
      <c r="AA428"/>
      <c r="AB428"/>
    </row>
    <row r="429" spans="2:28" x14ac:dyDescent="0.35">
      <c r="B429" s="1"/>
      <c r="H429"/>
      <c r="I429"/>
      <c r="K429"/>
      <c r="L429"/>
      <c r="N429" s="1"/>
      <c r="Q429"/>
      <c r="T429"/>
      <c r="W429"/>
      <c r="AA429"/>
      <c r="AB429"/>
    </row>
    <row r="430" spans="2:28" x14ac:dyDescent="0.35">
      <c r="B430" s="1"/>
      <c r="H430"/>
      <c r="I430"/>
      <c r="K430"/>
      <c r="L430"/>
      <c r="N430" s="1"/>
      <c r="Q430"/>
      <c r="T430"/>
      <c r="W430"/>
      <c r="AA430"/>
      <c r="AB430"/>
    </row>
    <row r="431" spans="2:28" x14ac:dyDescent="0.35">
      <c r="B431" s="1"/>
      <c r="H431"/>
      <c r="I431"/>
      <c r="K431"/>
      <c r="L431"/>
      <c r="N431" s="1"/>
      <c r="Q431"/>
      <c r="T431"/>
      <c r="W431"/>
      <c r="AA431"/>
      <c r="AB431"/>
    </row>
    <row r="432" spans="2:28" x14ac:dyDescent="0.35">
      <c r="B432" s="1"/>
      <c r="H432"/>
      <c r="I432"/>
      <c r="K432"/>
      <c r="L432"/>
      <c r="N432" s="1"/>
      <c r="Q432"/>
      <c r="T432"/>
      <c r="W432"/>
      <c r="AA432"/>
      <c r="AB432"/>
    </row>
    <row r="433" spans="2:28" x14ac:dyDescent="0.35">
      <c r="B433" s="1"/>
      <c r="H433"/>
      <c r="I433"/>
      <c r="K433"/>
      <c r="L433"/>
      <c r="N433" s="1"/>
      <c r="Q433"/>
      <c r="T433"/>
      <c r="W433"/>
      <c r="AA433"/>
      <c r="AB433"/>
    </row>
    <row r="434" spans="2:28" x14ac:dyDescent="0.35">
      <c r="B434" s="1"/>
      <c r="H434"/>
      <c r="I434"/>
      <c r="K434"/>
      <c r="L434"/>
      <c r="N434" s="1"/>
      <c r="Q434"/>
      <c r="T434"/>
      <c r="W434"/>
      <c r="AA434"/>
      <c r="AB434"/>
    </row>
    <row r="435" spans="2:28" x14ac:dyDescent="0.35">
      <c r="B435" s="1"/>
      <c r="H435"/>
      <c r="I435"/>
      <c r="K435"/>
      <c r="L435"/>
      <c r="N435" s="1"/>
      <c r="Q435"/>
      <c r="T435"/>
      <c r="W435"/>
      <c r="AA435"/>
      <c r="AB435"/>
    </row>
    <row r="436" spans="2:28" x14ac:dyDescent="0.35">
      <c r="B436" s="1"/>
      <c r="H436"/>
      <c r="I436"/>
      <c r="K436"/>
      <c r="L436"/>
      <c r="N436" s="1"/>
      <c r="Q436"/>
      <c r="T436"/>
      <c r="W436"/>
      <c r="AA436"/>
      <c r="AB436"/>
    </row>
    <row r="437" spans="2:28" x14ac:dyDescent="0.35">
      <c r="B437" s="1"/>
      <c r="H437"/>
      <c r="I437"/>
      <c r="K437"/>
      <c r="L437"/>
      <c r="N437" s="1"/>
      <c r="Q437"/>
      <c r="T437"/>
      <c r="W437"/>
      <c r="AA437"/>
      <c r="AB437"/>
    </row>
    <row r="438" spans="2:28" x14ac:dyDescent="0.35">
      <c r="B438" s="1"/>
      <c r="H438"/>
      <c r="I438"/>
      <c r="K438"/>
      <c r="L438"/>
      <c r="N438" s="1"/>
      <c r="Q438"/>
      <c r="T438"/>
      <c r="W438"/>
      <c r="AA438"/>
      <c r="AB438"/>
    </row>
    <row r="439" spans="2:28" x14ac:dyDescent="0.35">
      <c r="B439" s="1"/>
      <c r="H439"/>
      <c r="I439"/>
      <c r="K439"/>
      <c r="L439"/>
      <c r="N439" s="1"/>
      <c r="Q439"/>
      <c r="T439"/>
      <c r="W439"/>
      <c r="AA439"/>
      <c r="AB439"/>
    </row>
    <row r="440" spans="2:28" x14ac:dyDescent="0.35">
      <c r="B440" s="1"/>
      <c r="H440"/>
      <c r="I440"/>
      <c r="K440"/>
      <c r="L440"/>
      <c r="N440" s="1"/>
      <c r="Q440"/>
      <c r="T440"/>
      <c r="W440"/>
      <c r="AA440"/>
      <c r="AB440"/>
    </row>
    <row r="441" spans="2:28" x14ac:dyDescent="0.35">
      <c r="B441" s="1"/>
      <c r="H441"/>
      <c r="I441"/>
      <c r="K441"/>
      <c r="L441"/>
      <c r="N441" s="1"/>
      <c r="Q441"/>
      <c r="T441"/>
      <c r="W441"/>
      <c r="AA441"/>
      <c r="AB441"/>
    </row>
    <row r="442" spans="2:28" x14ac:dyDescent="0.35">
      <c r="B442" s="1"/>
      <c r="H442"/>
      <c r="I442"/>
      <c r="K442"/>
      <c r="L442"/>
      <c r="N442" s="1"/>
      <c r="Q442"/>
      <c r="T442"/>
      <c r="W442"/>
      <c r="AA442"/>
      <c r="AB442"/>
    </row>
    <row r="443" spans="2:28" x14ac:dyDescent="0.35">
      <c r="B443" s="1"/>
      <c r="H443"/>
      <c r="I443"/>
      <c r="K443"/>
      <c r="L443"/>
      <c r="N443" s="1"/>
      <c r="Q443"/>
      <c r="T443"/>
      <c r="W443"/>
      <c r="AA443"/>
      <c r="AB443"/>
    </row>
    <row r="444" spans="2:28" x14ac:dyDescent="0.35">
      <c r="B444" s="1"/>
      <c r="H444"/>
      <c r="I444"/>
      <c r="K444"/>
      <c r="L444"/>
      <c r="N444" s="1"/>
      <c r="Q444"/>
      <c r="T444"/>
      <c r="W444"/>
      <c r="AA444"/>
      <c r="AB444"/>
    </row>
    <row r="445" spans="2:28" x14ac:dyDescent="0.35">
      <c r="B445" s="1"/>
      <c r="H445"/>
      <c r="I445"/>
      <c r="K445"/>
      <c r="L445"/>
      <c r="N445" s="1"/>
      <c r="Q445"/>
      <c r="T445"/>
      <c r="W445"/>
      <c r="AA445"/>
      <c r="AB445"/>
    </row>
    <row r="446" spans="2:28" x14ac:dyDescent="0.35">
      <c r="B446" s="1"/>
      <c r="H446"/>
      <c r="I446"/>
      <c r="K446"/>
      <c r="L446"/>
      <c r="N446" s="1"/>
      <c r="Q446"/>
      <c r="T446"/>
      <c r="W446"/>
      <c r="AA446"/>
      <c r="AB446"/>
    </row>
    <row r="447" spans="2:28" x14ac:dyDescent="0.35">
      <c r="B447" s="1"/>
      <c r="H447"/>
      <c r="I447"/>
      <c r="K447"/>
      <c r="L447"/>
      <c r="N447" s="1"/>
      <c r="Q447"/>
      <c r="T447"/>
      <c r="W447"/>
      <c r="AA447"/>
      <c r="AB447"/>
    </row>
    <row r="448" spans="2:28" x14ac:dyDescent="0.35">
      <c r="B448" s="1"/>
      <c r="H448"/>
      <c r="I448"/>
      <c r="K448"/>
      <c r="L448"/>
      <c r="N448" s="1"/>
      <c r="Q448"/>
      <c r="T448"/>
      <c r="W448"/>
      <c r="AA448"/>
      <c r="AB448"/>
    </row>
    <row r="449" spans="2:28" x14ac:dyDescent="0.35">
      <c r="B449" s="1"/>
      <c r="H449"/>
      <c r="I449"/>
      <c r="K449"/>
      <c r="L449"/>
      <c r="N449" s="1"/>
      <c r="Q449"/>
      <c r="T449"/>
      <c r="W449"/>
      <c r="AA449"/>
      <c r="AB449"/>
    </row>
    <row r="450" spans="2:28" x14ac:dyDescent="0.35">
      <c r="B450" s="1"/>
      <c r="H450"/>
      <c r="I450"/>
      <c r="K450"/>
      <c r="L450"/>
      <c r="N450" s="1"/>
      <c r="Q450"/>
      <c r="T450"/>
      <c r="W450"/>
      <c r="AA450"/>
      <c r="AB450"/>
    </row>
    <row r="451" spans="2:28" x14ac:dyDescent="0.35">
      <c r="B451" s="1"/>
      <c r="H451"/>
      <c r="I451"/>
      <c r="K451"/>
      <c r="L451"/>
      <c r="N451" s="1"/>
      <c r="Q451"/>
      <c r="T451"/>
      <c r="W451"/>
      <c r="AA451"/>
      <c r="AB451"/>
    </row>
    <row r="452" spans="2:28" x14ac:dyDescent="0.35">
      <c r="B452" s="1"/>
      <c r="H452"/>
      <c r="I452"/>
      <c r="K452"/>
      <c r="L452"/>
      <c r="N452" s="1"/>
      <c r="Q452"/>
      <c r="T452"/>
      <c r="W452"/>
      <c r="AA452"/>
      <c r="AB452"/>
    </row>
    <row r="453" spans="2:28" x14ac:dyDescent="0.35">
      <c r="B453" s="1"/>
      <c r="H453"/>
      <c r="I453"/>
      <c r="K453"/>
      <c r="L453"/>
      <c r="N453" s="1"/>
      <c r="Q453"/>
      <c r="T453"/>
      <c r="W453"/>
      <c r="AA453"/>
      <c r="AB453"/>
    </row>
    <row r="454" spans="2:28" x14ac:dyDescent="0.35">
      <c r="B454" s="1"/>
      <c r="H454"/>
      <c r="I454"/>
      <c r="K454"/>
      <c r="L454"/>
      <c r="N454" s="1"/>
      <c r="Q454"/>
      <c r="T454"/>
      <c r="W454"/>
      <c r="AA454"/>
      <c r="AB454"/>
    </row>
    <row r="455" spans="2:28" x14ac:dyDescent="0.35">
      <c r="B455" s="1"/>
      <c r="H455"/>
      <c r="I455"/>
      <c r="K455"/>
      <c r="L455"/>
      <c r="N455" s="1"/>
      <c r="Q455"/>
      <c r="T455"/>
      <c r="W455"/>
      <c r="AA455"/>
      <c r="AB455"/>
    </row>
    <row r="456" spans="2:28" x14ac:dyDescent="0.35">
      <c r="B456" s="1"/>
      <c r="H456"/>
      <c r="I456"/>
      <c r="K456"/>
      <c r="L456"/>
      <c r="N456" s="1"/>
      <c r="Q456"/>
      <c r="T456"/>
      <c r="W456"/>
      <c r="AA456"/>
      <c r="AB456"/>
    </row>
    <row r="457" spans="2:28" x14ac:dyDescent="0.35">
      <c r="B457" s="1"/>
      <c r="H457"/>
      <c r="I457"/>
      <c r="K457"/>
      <c r="L457"/>
      <c r="N457" s="1"/>
      <c r="Q457"/>
      <c r="T457"/>
      <c r="W457"/>
      <c r="AA457"/>
      <c r="AB457"/>
    </row>
    <row r="458" spans="2:28" x14ac:dyDescent="0.35">
      <c r="B458" s="1"/>
      <c r="H458"/>
      <c r="I458"/>
      <c r="K458"/>
      <c r="L458"/>
      <c r="N458" s="1"/>
      <c r="Q458"/>
      <c r="T458"/>
      <c r="W458"/>
      <c r="AA458"/>
      <c r="AB458"/>
    </row>
    <row r="459" spans="2:28" x14ac:dyDescent="0.35">
      <c r="B459" s="1"/>
      <c r="H459"/>
      <c r="I459"/>
      <c r="K459"/>
      <c r="L459"/>
      <c r="N459" s="1"/>
      <c r="Q459"/>
      <c r="T459"/>
      <c r="W459"/>
      <c r="AA459"/>
      <c r="AB459"/>
    </row>
    <row r="460" spans="2:28" x14ac:dyDescent="0.35">
      <c r="B460" s="1"/>
      <c r="H460"/>
      <c r="I460"/>
      <c r="K460"/>
      <c r="L460"/>
      <c r="N460" s="1"/>
      <c r="Q460"/>
      <c r="T460"/>
      <c r="W460"/>
      <c r="AA460"/>
      <c r="AB460"/>
    </row>
    <row r="461" spans="2:28" x14ac:dyDescent="0.35">
      <c r="B461" s="1"/>
      <c r="H461"/>
      <c r="I461"/>
      <c r="K461"/>
      <c r="L461"/>
      <c r="N461" s="1"/>
      <c r="Q461"/>
      <c r="T461"/>
      <c r="W461"/>
      <c r="AA461"/>
      <c r="AB461"/>
    </row>
    <row r="462" spans="2:28" x14ac:dyDescent="0.35">
      <c r="B462" s="1"/>
      <c r="H462"/>
      <c r="I462"/>
      <c r="K462"/>
      <c r="L462"/>
      <c r="N462" s="1"/>
      <c r="Q462"/>
      <c r="T462"/>
      <c r="W462"/>
      <c r="AA462"/>
      <c r="AB462"/>
    </row>
    <row r="463" spans="2:28" x14ac:dyDescent="0.35">
      <c r="B463" s="1"/>
      <c r="H463"/>
      <c r="I463"/>
      <c r="K463"/>
      <c r="L463"/>
      <c r="N463" s="1"/>
      <c r="Q463"/>
      <c r="T463"/>
      <c r="W463"/>
      <c r="AA463"/>
      <c r="AB463"/>
    </row>
    <row r="464" spans="2:28" x14ac:dyDescent="0.35">
      <c r="B464" s="1"/>
      <c r="H464"/>
      <c r="I464"/>
      <c r="K464"/>
      <c r="L464"/>
      <c r="N464" s="1"/>
      <c r="Q464"/>
      <c r="T464"/>
      <c r="W464"/>
      <c r="AA464"/>
      <c r="AB464"/>
    </row>
    <row r="465" spans="2:28" x14ac:dyDescent="0.35">
      <c r="B465" s="1"/>
      <c r="H465"/>
      <c r="I465"/>
      <c r="K465"/>
      <c r="L465"/>
      <c r="N465" s="1"/>
      <c r="Q465"/>
      <c r="T465"/>
      <c r="W465"/>
      <c r="AA465"/>
      <c r="AB465"/>
    </row>
    <row r="466" spans="2:28" x14ac:dyDescent="0.35">
      <c r="B466" s="1"/>
      <c r="H466"/>
      <c r="I466"/>
      <c r="K466"/>
      <c r="L466"/>
      <c r="N466" s="1"/>
      <c r="Q466"/>
      <c r="T466"/>
      <c r="W466"/>
      <c r="AA466"/>
      <c r="AB466"/>
    </row>
    <row r="467" spans="2:28" x14ac:dyDescent="0.35">
      <c r="B467" s="1"/>
      <c r="H467"/>
      <c r="I467"/>
      <c r="K467"/>
      <c r="L467"/>
      <c r="N467" s="1"/>
      <c r="Q467"/>
      <c r="T467"/>
      <c r="W467"/>
      <c r="AA467"/>
      <c r="AB467"/>
    </row>
    <row r="468" spans="2:28" x14ac:dyDescent="0.35">
      <c r="B468" s="1"/>
      <c r="H468"/>
      <c r="I468"/>
      <c r="K468"/>
      <c r="L468"/>
      <c r="N468" s="1"/>
      <c r="Q468"/>
      <c r="T468"/>
      <c r="W468"/>
      <c r="AA468"/>
      <c r="AB468"/>
    </row>
    <row r="469" spans="2:28" x14ac:dyDescent="0.35">
      <c r="B469" s="1"/>
      <c r="H469"/>
      <c r="I469"/>
      <c r="K469"/>
      <c r="L469"/>
      <c r="N469" s="1"/>
      <c r="Q469"/>
      <c r="T469"/>
      <c r="W469"/>
      <c r="AA469"/>
      <c r="AB469"/>
    </row>
    <row r="470" spans="2:28" x14ac:dyDescent="0.35">
      <c r="B470" s="1"/>
      <c r="H470"/>
      <c r="I470"/>
      <c r="K470"/>
      <c r="L470"/>
      <c r="N470" s="1"/>
      <c r="Q470"/>
      <c r="T470"/>
      <c r="W470"/>
      <c r="AA470"/>
      <c r="AB470"/>
    </row>
    <row r="471" spans="2:28" x14ac:dyDescent="0.35">
      <c r="B471" s="1"/>
      <c r="H471"/>
      <c r="I471"/>
      <c r="K471"/>
      <c r="L471"/>
      <c r="N471" s="1"/>
      <c r="Q471"/>
      <c r="T471"/>
      <c r="W471"/>
      <c r="AA471"/>
      <c r="AB471"/>
    </row>
    <row r="472" spans="2:28" x14ac:dyDescent="0.35">
      <c r="B472" s="1"/>
      <c r="H472"/>
      <c r="I472"/>
      <c r="K472"/>
      <c r="L472"/>
      <c r="N472" s="1"/>
      <c r="Q472"/>
      <c r="T472"/>
      <c r="W472"/>
      <c r="AA472"/>
      <c r="AB472"/>
    </row>
    <row r="473" spans="2:28" x14ac:dyDescent="0.35">
      <c r="B473" s="1"/>
      <c r="H473"/>
      <c r="I473"/>
      <c r="K473"/>
      <c r="L473"/>
      <c r="N473" s="1"/>
      <c r="Q473"/>
      <c r="T473"/>
      <c r="W473"/>
      <c r="AA473"/>
      <c r="AB473"/>
    </row>
    <row r="474" spans="2:28" x14ac:dyDescent="0.35">
      <c r="B474" s="1"/>
      <c r="H474"/>
      <c r="I474"/>
      <c r="K474"/>
      <c r="L474"/>
      <c r="N474" s="1"/>
      <c r="Q474"/>
      <c r="T474"/>
      <c r="W474"/>
      <c r="AA474"/>
      <c r="AB474"/>
    </row>
    <row r="475" spans="2:28" x14ac:dyDescent="0.35">
      <c r="B475" s="1"/>
      <c r="H475"/>
      <c r="I475"/>
      <c r="K475"/>
      <c r="L475"/>
      <c r="N475" s="1"/>
      <c r="Q475"/>
      <c r="T475"/>
      <c r="W475"/>
      <c r="AA475"/>
      <c r="AB475"/>
    </row>
    <row r="476" spans="2:28" x14ac:dyDescent="0.35">
      <c r="B476" s="1"/>
      <c r="H476"/>
      <c r="I476"/>
      <c r="K476"/>
      <c r="L476"/>
      <c r="N476" s="1"/>
      <c r="Q476"/>
      <c r="T476"/>
      <c r="W476"/>
      <c r="AA476"/>
      <c r="AB476"/>
    </row>
    <row r="477" spans="2:28" x14ac:dyDescent="0.35">
      <c r="B477" s="1"/>
      <c r="H477"/>
      <c r="I477"/>
      <c r="K477"/>
      <c r="L477"/>
      <c r="N477" s="1"/>
      <c r="Q477"/>
      <c r="T477"/>
      <c r="W477"/>
      <c r="AA477"/>
      <c r="AB477"/>
    </row>
    <row r="478" spans="2:28" x14ac:dyDescent="0.35">
      <c r="B478" s="1"/>
      <c r="H478"/>
      <c r="I478"/>
      <c r="K478"/>
      <c r="L478"/>
      <c r="N478" s="1"/>
      <c r="Q478"/>
      <c r="T478"/>
      <c r="W478"/>
      <c r="AA478"/>
      <c r="AB478"/>
    </row>
    <row r="479" spans="2:28" x14ac:dyDescent="0.35">
      <c r="B479" s="1"/>
      <c r="H479"/>
      <c r="I479"/>
      <c r="K479"/>
      <c r="L479"/>
      <c r="N479" s="1"/>
      <c r="Q479"/>
      <c r="T479"/>
      <c r="W479"/>
      <c r="AA479"/>
      <c r="AB479"/>
    </row>
    <row r="480" spans="2:28" x14ac:dyDescent="0.35">
      <c r="B480" s="1"/>
      <c r="H480"/>
      <c r="I480"/>
      <c r="K480"/>
      <c r="L480"/>
      <c r="N480" s="1"/>
      <c r="Q480"/>
      <c r="T480"/>
      <c r="W480"/>
      <c r="AA480"/>
      <c r="AB480"/>
    </row>
    <row r="481" spans="2:28" x14ac:dyDescent="0.35">
      <c r="B481" s="1"/>
      <c r="H481"/>
      <c r="I481"/>
      <c r="K481"/>
      <c r="L481"/>
      <c r="N481" s="1"/>
      <c r="Q481"/>
      <c r="T481"/>
      <c r="W481"/>
      <c r="AA481"/>
      <c r="AB481"/>
    </row>
    <row r="482" spans="2:28" x14ac:dyDescent="0.35">
      <c r="B482" s="1"/>
      <c r="H482"/>
      <c r="I482"/>
      <c r="K482"/>
      <c r="L482"/>
      <c r="N482" s="1"/>
      <c r="Q482"/>
      <c r="T482"/>
      <c r="W482"/>
      <c r="AA482"/>
      <c r="AB482"/>
    </row>
    <row r="483" spans="2:28" x14ac:dyDescent="0.35">
      <c r="B483" s="1"/>
      <c r="H483"/>
      <c r="I483"/>
      <c r="K483"/>
      <c r="L483"/>
      <c r="N483" s="1"/>
      <c r="Q483"/>
      <c r="T483"/>
      <c r="W483"/>
      <c r="AA483"/>
      <c r="AB483"/>
    </row>
    <row r="484" spans="2:28" x14ac:dyDescent="0.35">
      <c r="B484" s="1"/>
      <c r="H484"/>
      <c r="I484"/>
      <c r="K484"/>
      <c r="L484"/>
      <c r="N484" s="1"/>
      <c r="Q484"/>
      <c r="T484"/>
      <c r="W484"/>
      <c r="AA484"/>
      <c r="AB484"/>
    </row>
    <row r="485" spans="2:28" x14ac:dyDescent="0.35">
      <c r="B485" s="1"/>
      <c r="H485"/>
      <c r="I485"/>
      <c r="K485"/>
      <c r="L485"/>
      <c r="N485" s="1"/>
      <c r="Q485"/>
      <c r="T485"/>
      <c r="W485"/>
      <c r="AA485"/>
      <c r="AB485"/>
    </row>
    <row r="486" spans="2:28" x14ac:dyDescent="0.35">
      <c r="B486" s="1"/>
      <c r="H486"/>
      <c r="I486"/>
      <c r="K486"/>
      <c r="L486"/>
      <c r="N486" s="1"/>
      <c r="Q486"/>
      <c r="T486"/>
      <c r="W486"/>
      <c r="AA486"/>
      <c r="AB486"/>
    </row>
    <row r="487" spans="2:28" x14ac:dyDescent="0.35">
      <c r="B487" s="1"/>
      <c r="H487"/>
      <c r="I487"/>
      <c r="K487"/>
      <c r="L487"/>
      <c r="N487" s="1"/>
      <c r="Q487"/>
      <c r="T487"/>
      <c r="W487"/>
      <c r="AA487"/>
      <c r="AB487"/>
    </row>
    <row r="488" spans="2:28" x14ac:dyDescent="0.35">
      <c r="B488" s="1"/>
      <c r="H488"/>
      <c r="I488"/>
      <c r="K488"/>
      <c r="L488"/>
      <c r="N488" s="1"/>
      <c r="Q488"/>
      <c r="T488"/>
      <c r="W488"/>
      <c r="AA488"/>
      <c r="AB488"/>
    </row>
    <row r="489" spans="2:28" x14ac:dyDescent="0.35">
      <c r="B489" s="1"/>
      <c r="H489"/>
      <c r="I489"/>
      <c r="K489"/>
      <c r="L489"/>
      <c r="N489" s="1"/>
      <c r="Q489"/>
      <c r="T489"/>
      <c r="W489"/>
      <c r="AA489"/>
      <c r="AB489"/>
    </row>
    <row r="490" spans="2:28" x14ac:dyDescent="0.35">
      <c r="B490" s="1"/>
      <c r="H490"/>
      <c r="I490"/>
      <c r="K490"/>
      <c r="L490"/>
      <c r="N490" s="1"/>
      <c r="Q490"/>
      <c r="T490"/>
      <c r="W490"/>
      <c r="AA490"/>
      <c r="AB490"/>
    </row>
    <row r="491" spans="2:28" x14ac:dyDescent="0.35">
      <c r="B491" s="1"/>
      <c r="H491"/>
      <c r="I491"/>
      <c r="K491"/>
      <c r="L491"/>
      <c r="N491" s="1"/>
      <c r="Q491"/>
      <c r="T491"/>
      <c r="W491"/>
      <c r="AA491"/>
      <c r="AB491"/>
    </row>
    <row r="492" spans="2:28" x14ac:dyDescent="0.35">
      <c r="B492" s="1"/>
      <c r="H492"/>
      <c r="I492"/>
      <c r="K492"/>
      <c r="L492"/>
      <c r="N492" s="1"/>
      <c r="Q492"/>
      <c r="T492"/>
      <c r="W492"/>
      <c r="AA492"/>
      <c r="AB492"/>
    </row>
    <row r="493" spans="2:28" x14ac:dyDescent="0.35">
      <c r="B493" s="1"/>
      <c r="H493"/>
      <c r="I493"/>
      <c r="K493"/>
      <c r="L493"/>
      <c r="N493" s="1"/>
      <c r="Q493"/>
      <c r="T493"/>
      <c r="W493"/>
      <c r="AA493"/>
      <c r="AB493"/>
    </row>
    <row r="494" spans="2:28" x14ac:dyDescent="0.35">
      <c r="B494" s="1"/>
      <c r="H494"/>
      <c r="I494"/>
      <c r="K494"/>
      <c r="L494"/>
      <c r="N494" s="1"/>
      <c r="Q494"/>
      <c r="T494"/>
      <c r="W494"/>
      <c r="AA494"/>
      <c r="AB494"/>
    </row>
    <row r="495" spans="2:28" x14ac:dyDescent="0.35">
      <c r="B495" s="1"/>
      <c r="H495"/>
      <c r="I495"/>
      <c r="K495"/>
      <c r="L495"/>
      <c r="N495" s="1"/>
      <c r="Q495"/>
      <c r="T495"/>
      <c r="W495"/>
      <c r="AA495"/>
      <c r="AB495"/>
    </row>
    <row r="496" spans="2:28" x14ac:dyDescent="0.35">
      <c r="B496" s="1"/>
      <c r="H496"/>
      <c r="I496"/>
      <c r="K496"/>
      <c r="L496"/>
      <c r="N496" s="1"/>
      <c r="Q496"/>
      <c r="T496"/>
      <c r="W496"/>
      <c r="AA496"/>
      <c r="AB496"/>
    </row>
    <row r="497" spans="2:28" x14ac:dyDescent="0.35">
      <c r="B497" s="1"/>
      <c r="H497"/>
      <c r="I497"/>
      <c r="K497"/>
      <c r="L497"/>
      <c r="N497" s="1"/>
      <c r="Q497"/>
      <c r="T497"/>
      <c r="W497"/>
      <c r="AA497"/>
      <c r="AB497"/>
    </row>
    <row r="498" spans="2:28" x14ac:dyDescent="0.35">
      <c r="B498" s="1"/>
      <c r="H498"/>
      <c r="I498"/>
      <c r="K498"/>
      <c r="L498"/>
      <c r="N498" s="1"/>
      <c r="Q498"/>
      <c r="T498"/>
      <c r="W498"/>
      <c r="AA498"/>
      <c r="AB498"/>
    </row>
    <row r="499" spans="2:28" x14ac:dyDescent="0.35">
      <c r="B499" s="1"/>
      <c r="H499"/>
      <c r="I499"/>
      <c r="K499"/>
      <c r="L499"/>
      <c r="N499" s="1"/>
      <c r="Q499"/>
      <c r="T499"/>
      <c r="W499"/>
      <c r="AA499"/>
      <c r="AB499"/>
    </row>
    <row r="500" spans="2:28" x14ac:dyDescent="0.35">
      <c r="B500" s="1"/>
      <c r="H500"/>
      <c r="I500"/>
      <c r="K500"/>
      <c r="L500"/>
      <c r="N500" s="1"/>
      <c r="Q500"/>
      <c r="T500"/>
      <c r="W500"/>
      <c r="AA500"/>
      <c r="AB500"/>
    </row>
    <row r="501" spans="2:28" x14ac:dyDescent="0.35">
      <c r="B501" s="1"/>
      <c r="H501"/>
      <c r="I501"/>
      <c r="K501"/>
      <c r="L501"/>
      <c r="N501" s="1"/>
      <c r="Q501"/>
      <c r="T501"/>
      <c r="W501"/>
      <c r="AA501"/>
      <c r="AB501"/>
    </row>
    <row r="502" spans="2:28" x14ac:dyDescent="0.35">
      <c r="B502" s="1"/>
      <c r="H502"/>
      <c r="I502"/>
      <c r="K502"/>
      <c r="L502"/>
      <c r="N502" s="1"/>
      <c r="Q502"/>
      <c r="T502"/>
      <c r="W502"/>
      <c r="AA502"/>
      <c r="AB502"/>
    </row>
    <row r="503" spans="2:28" x14ac:dyDescent="0.35">
      <c r="B503" s="1"/>
      <c r="H503"/>
      <c r="I503"/>
      <c r="K503"/>
      <c r="L503"/>
      <c r="N503" s="1"/>
      <c r="Q503"/>
      <c r="T503"/>
      <c r="W503"/>
      <c r="AA503"/>
      <c r="AB503"/>
    </row>
    <row r="504" spans="2:28" x14ac:dyDescent="0.35">
      <c r="B504" s="1"/>
      <c r="H504"/>
      <c r="I504"/>
      <c r="K504"/>
      <c r="L504"/>
      <c r="N504" s="1"/>
      <c r="Q504"/>
      <c r="T504"/>
      <c r="W504"/>
      <c r="AA504"/>
      <c r="AB504"/>
    </row>
    <row r="505" spans="2:28" x14ac:dyDescent="0.35">
      <c r="B505" s="1"/>
      <c r="H505"/>
      <c r="I505"/>
      <c r="K505"/>
      <c r="L505"/>
      <c r="N505" s="1"/>
      <c r="Q505"/>
      <c r="T505"/>
      <c r="W505"/>
      <c r="AA505"/>
      <c r="AB505"/>
    </row>
    <row r="506" spans="2:28" x14ac:dyDescent="0.35">
      <c r="B506" s="1"/>
      <c r="H506"/>
      <c r="I506"/>
      <c r="K506"/>
      <c r="L506"/>
      <c r="N506" s="1"/>
      <c r="Q506"/>
      <c r="T506"/>
      <c r="W506"/>
      <c r="AA506"/>
      <c r="AB506"/>
    </row>
    <row r="507" spans="2:28" x14ac:dyDescent="0.35">
      <c r="B507" s="1"/>
      <c r="H507"/>
      <c r="I507"/>
      <c r="K507"/>
      <c r="L507"/>
      <c r="N507" s="1"/>
      <c r="Q507"/>
      <c r="T507"/>
      <c r="W507"/>
      <c r="AA507"/>
      <c r="AB507"/>
    </row>
    <row r="508" spans="2:28" x14ac:dyDescent="0.35">
      <c r="B508" s="1"/>
      <c r="H508"/>
      <c r="I508"/>
      <c r="K508"/>
      <c r="L508"/>
      <c r="N508" s="1"/>
      <c r="Q508"/>
      <c r="T508"/>
      <c r="W508"/>
      <c r="AA508"/>
      <c r="AB508"/>
    </row>
    <row r="509" spans="2:28" x14ac:dyDescent="0.35">
      <c r="B509" s="1"/>
      <c r="H509"/>
      <c r="I509"/>
      <c r="K509"/>
      <c r="L509"/>
      <c r="N509" s="1"/>
      <c r="Q509"/>
      <c r="T509"/>
      <c r="W509"/>
      <c r="AA509"/>
      <c r="AB509"/>
    </row>
    <row r="510" spans="2:28" x14ac:dyDescent="0.35">
      <c r="B510" s="1"/>
      <c r="H510"/>
      <c r="I510"/>
      <c r="K510"/>
      <c r="L510"/>
      <c r="N510" s="1"/>
      <c r="Q510"/>
      <c r="T510"/>
      <c r="W510"/>
      <c r="AA510"/>
      <c r="AB510"/>
    </row>
    <row r="511" spans="2:28" x14ac:dyDescent="0.35">
      <c r="B511" s="1"/>
      <c r="H511"/>
      <c r="I511"/>
      <c r="K511"/>
      <c r="L511"/>
      <c r="N511" s="1"/>
      <c r="Q511"/>
      <c r="T511"/>
      <c r="W511"/>
      <c r="AA511"/>
      <c r="AB511"/>
    </row>
    <row r="512" spans="2:28" x14ac:dyDescent="0.35">
      <c r="B512" s="1"/>
      <c r="H512"/>
      <c r="I512"/>
      <c r="K512"/>
      <c r="L512"/>
      <c r="N512" s="1"/>
      <c r="Q512"/>
      <c r="T512"/>
      <c r="W512"/>
      <c r="AA512"/>
      <c r="AB512"/>
    </row>
    <row r="513" spans="2:28" x14ac:dyDescent="0.35">
      <c r="B513" s="1"/>
      <c r="H513"/>
      <c r="I513"/>
      <c r="K513"/>
      <c r="L513"/>
      <c r="N513" s="1"/>
      <c r="Q513"/>
      <c r="T513"/>
      <c r="W513"/>
      <c r="AA513"/>
      <c r="AB513"/>
    </row>
    <row r="514" spans="2:28" x14ac:dyDescent="0.35">
      <c r="B514" s="1"/>
      <c r="H514"/>
      <c r="I514"/>
      <c r="K514"/>
      <c r="L514"/>
      <c r="N514" s="1"/>
      <c r="Q514"/>
      <c r="T514"/>
      <c r="W514"/>
      <c r="AA514"/>
      <c r="AB514"/>
    </row>
    <row r="515" spans="2:28" x14ac:dyDescent="0.35">
      <c r="B515" s="1"/>
      <c r="H515"/>
      <c r="I515"/>
      <c r="K515"/>
      <c r="L515"/>
      <c r="N515" s="1"/>
      <c r="Q515"/>
      <c r="T515"/>
      <c r="W515"/>
      <c r="AA515"/>
      <c r="AB515"/>
    </row>
    <row r="516" spans="2:28" x14ac:dyDescent="0.35">
      <c r="B516" s="1"/>
      <c r="H516"/>
      <c r="I516"/>
      <c r="K516"/>
      <c r="L516"/>
      <c r="N516" s="1"/>
      <c r="Q516"/>
      <c r="T516"/>
      <c r="W516"/>
      <c r="AA516"/>
      <c r="AB516"/>
    </row>
    <row r="517" spans="2:28" x14ac:dyDescent="0.35">
      <c r="B517" s="1"/>
      <c r="H517"/>
      <c r="I517"/>
      <c r="K517"/>
      <c r="L517"/>
      <c r="N517" s="1"/>
      <c r="Q517"/>
      <c r="T517"/>
      <c r="W517"/>
      <c r="AA517"/>
      <c r="AB517"/>
    </row>
    <row r="518" spans="2:28" x14ac:dyDescent="0.35">
      <c r="B518" s="1"/>
      <c r="H518"/>
      <c r="I518"/>
      <c r="K518"/>
      <c r="L518"/>
      <c r="N518" s="1"/>
      <c r="Q518"/>
      <c r="T518"/>
      <c r="W518"/>
      <c r="AA518"/>
      <c r="AB518"/>
    </row>
    <row r="519" spans="2:28" x14ac:dyDescent="0.35">
      <c r="B519" s="1"/>
      <c r="H519"/>
      <c r="I519"/>
      <c r="K519"/>
      <c r="L519"/>
      <c r="N519" s="1"/>
      <c r="Q519"/>
      <c r="T519"/>
      <c r="W519"/>
      <c r="AA519"/>
      <c r="AB519"/>
    </row>
    <row r="520" spans="2:28" x14ac:dyDescent="0.35">
      <c r="B520" s="1"/>
      <c r="H520"/>
      <c r="I520"/>
      <c r="K520"/>
      <c r="L520"/>
      <c r="N520" s="1"/>
      <c r="Q520"/>
      <c r="T520"/>
      <c r="W520"/>
      <c r="AA520"/>
      <c r="AB520"/>
    </row>
    <row r="521" spans="2:28" x14ac:dyDescent="0.35">
      <c r="B521" s="1"/>
      <c r="H521"/>
      <c r="I521"/>
      <c r="K521"/>
      <c r="L521"/>
      <c r="N521" s="1"/>
      <c r="Q521"/>
      <c r="T521"/>
      <c r="W521"/>
      <c r="AA521"/>
      <c r="AB521"/>
    </row>
    <row r="522" spans="2:28" x14ac:dyDescent="0.35">
      <c r="B522" s="1"/>
      <c r="H522"/>
      <c r="I522"/>
      <c r="K522"/>
      <c r="L522"/>
      <c r="N522" s="1"/>
      <c r="Q522"/>
      <c r="T522"/>
      <c r="W522"/>
      <c r="AA522"/>
      <c r="AB522"/>
    </row>
    <row r="523" spans="2:28" x14ac:dyDescent="0.35">
      <c r="B523" s="1"/>
      <c r="H523"/>
      <c r="I523"/>
      <c r="K523"/>
      <c r="L523"/>
      <c r="N523" s="1"/>
      <c r="Q523"/>
      <c r="T523"/>
      <c r="W523"/>
      <c r="AA523"/>
      <c r="AB523"/>
    </row>
    <row r="524" spans="2:28" x14ac:dyDescent="0.35">
      <c r="B524" s="1"/>
      <c r="H524"/>
      <c r="I524"/>
      <c r="K524"/>
      <c r="L524"/>
      <c r="N524" s="1"/>
      <c r="Q524"/>
      <c r="T524"/>
      <c r="W524"/>
      <c r="AA524"/>
      <c r="AB524"/>
    </row>
    <row r="525" spans="2:28" x14ac:dyDescent="0.35">
      <c r="B525" s="1"/>
      <c r="H525"/>
      <c r="I525"/>
      <c r="K525"/>
      <c r="L525"/>
      <c r="N525" s="1"/>
      <c r="Q525"/>
      <c r="T525"/>
      <c r="W525"/>
      <c r="AA525"/>
      <c r="AB525"/>
    </row>
    <row r="526" spans="2:28" x14ac:dyDescent="0.35">
      <c r="B526" s="1"/>
      <c r="H526"/>
      <c r="I526"/>
      <c r="K526"/>
      <c r="L526"/>
      <c r="N526" s="1"/>
      <c r="Q526"/>
      <c r="T526"/>
      <c r="W526"/>
      <c r="AA526"/>
      <c r="AB526"/>
    </row>
    <row r="527" spans="2:28" x14ac:dyDescent="0.35">
      <c r="B527" s="1"/>
      <c r="H527"/>
      <c r="I527"/>
      <c r="K527"/>
      <c r="L527"/>
      <c r="N527" s="1"/>
      <c r="Q527"/>
      <c r="T527"/>
      <c r="W527"/>
      <c r="AA527"/>
      <c r="AB527"/>
    </row>
    <row r="528" spans="2:28" x14ac:dyDescent="0.35">
      <c r="B528" s="1"/>
      <c r="H528"/>
      <c r="I528"/>
      <c r="K528"/>
      <c r="L528"/>
      <c r="N528" s="1"/>
      <c r="Q528"/>
      <c r="T528"/>
      <c r="W528"/>
      <c r="AA528"/>
      <c r="AB528"/>
    </row>
    <row r="529" spans="2:28" x14ac:dyDescent="0.35">
      <c r="B529" s="1"/>
      <c r="H529"/>
      <c r="I529"/>
      <c r="K529"/>
      <c r="L529"/>
      <c r="N529" s="1"/>
      <c r="Q529"/>
      <c r="T529"/>
      <c r="W529"/>
      <c r="AA529"/>
      <c r="AB529"/>
    </row>
    <row r="530" spans="2:28" x14ac:dyDescent="0.35">
      <c r="B530" s="1"/>
      <c r="H530"/>
      <c r="I530"/>
      <c r="K530"/>
      <c r="L530"/>
      <c r="N530" s="1"/>
      <c r="Q530"/>
      <c r="T530"/>
      <c r="W530"/>
      <c r="AA530"/>
      <c r="AB530"/>
    </row>
    <row r="531" spans="2:28" x14ac:dyDescent="0.35">
      <c r="B531" s="1"/>
      <c r="H531"/>
      <c r="I531"/>
      <c r="K531"/>
      <c r="L531"/>
      <c r="N531" s="1"/>
      <c r="Q531"/>
      <c r="T531"/>
      <c r="W531"/>
      <c r="AA531"/>
      <c r="AB531"/>
    </row>
    <row r="532" spans="2:28" x14ac:dyDescent="0.35">
      <c r="B532" s="1"/>
      <c r="H532"/>
      <c r="I532"/>
      <c r="K532"/>
      <c r="L532"/>
      <c r="N532" s="1"/>
      <c r="Q532"/>
      <c r="T532"/>
      <c r="W532"/>
      <c r="AA532"/>
      <c r="AB532"/>
    </row>
    <row r="533" spans="2:28" x14ac:dyDescent="0.35">
      <c r="B533" s="1"/>
      <c r="H533"/>
      <c r="I533"/>
      <c r="K533"/>
      <c r="L533"/>
      <c r="N533" s="1"/>
      <c r="Q533"/>
      <c r="T533"/>
      <c r="W533"/>
      <c r="AA533"/>
      <c r="AB533"/>
    </row>
    <row r="534" spans="2:28" x14ac:dyDescent="0.35">
      <c r="B534" s="1"/>
      <c r="H534"/>
      <c r="I534"/>
      <c r="K534"/>
      <c r="L534"/>
      <c r="N534" s="1"/>
      <c r="Q534"/>
      <c r="T534"/>
      <c r="W534"/>
      <c r="AA534"/>
      <c r="AB534"/>
    </row>
    <row r="535" spans="2:28" x14ac:dyDescent="0.35">
      <c r="B535" s="1"/>
      <c r="H535"/>
      <c r="I535"/>
      <c r="K535"/>
      <c r="L535"/>
      <c r="N535" s="1"/>
      <c r="Q535"/>
      <c r="T535"/>
      <c r="W535"/>
      <c r="AA535"/>
      <c r="AB535"/>
    </row>
    <row r="536" spans="2:28" x14ac:dyDescent="0.35">
      <c r="B536" s="1"/>
      <c r="H536"/>
      <c r="I536"/>
      <c r="K536"/>
      <c r="L536"/>
      <c r="N536" s="1"/>
      <c r="Q536"/>
      <c r="T536"/>
      <c r="W536"/>
      <c r="AA536"/>
      <c r="AB536"/>
    </row>
    <row r="537" spans="2:28" x14ac:dyDescent="0.35">
      <c r="B537" s="1"/>
      <c r="H537"/>
      <c r="I537"/>
      <c r="K537"/>
      <c r="L537"/>
      <c r="N537" s="1"/>
      <c r="Q537"/>
      <c r="T537"/>
      <c r="W537"/>
      <c r="AA537"/>
      <c r="AB537"/>
    </row>
    <row r="538" spans="2:28" x14ac:dyDescent="0.35">
      <c r="B538" s="1"/>
      <c r="H538"/>
      <c r="I538"/>
      <c r="K538"/>
      <c r="L538"/>
      <c r="N538" s="1"/>
      <c r="Q538"/>
      <c r="T538"/>
      <c r="W538"/>
      <c r="AA538"/>
      <c r="AB538"/>
    </row>
    <row r="539" spans="2:28" x14ac:dyDescent="0.35">
      <c r="B539" s="1"/>
      <c r="H539"/>
      <c r="I539"/>
      <c r="K539"/>
      <c r="L539"/>
      <c r="N539" s="1"/>
      <c r="Q539"/>
      <c r="T539"/>
      <c r="W539"/>
      <c r="AA539"/>
      <c r="AB539"/>
    </row>
    <row r="540" spans="2:28" x14ac:dyDescent="0.35">
      <c r="B540" s="1"/>
      <c r="H540"/>
      <c r="I540"/>
      <c r="K540"/>
      <c r="L540"/>
      <c r="N540" s="1"/>
      <c r="Q540"/>
      <c r="T540"/>
      <c r="W540"/>
      <c r="AA540"/>
      <c r="AB540"/>
    </row>
    <row r="541" spans="2:28" x14ac:dyDescent="0.35">
      <c r="B541" s="1"/>
      <c r="H541"/>
      <c r="I541"/>
      <c r="K541"/>
      <c r="L541"/>
      <c r="N541" s="1"/>
      <c r="Q541"/>
      <c r="T541"/>
      <c r="W541"/>
      <c r="AA541"/>
      <c r="AB541"/>
    </row>
    <row r="542" spans="2:28" x14ac:dyDescent="0.35">
      <c r="B542" s="1"/>
      <c r="H542"/>
      <c r="I542"/>
      <c r="K542"/>
      <c r="L542"/>
      <c r="N542" s="1"/>
      <c r="Q542"/>
      <c r="T542"/>
      <c r="W542"/>
      <c r="AA542"/>
      <c r="AB542"/>
    </row>
    <row r="543" spans="2:28" x14ac:dyDescent="0.35">
      <c r="B543" s="1"/>
      <c r="H543"/>
      <c r="I543"/>
      <c r="K543"/>
      <c r="L543"/>
      <c r="N543" s="1"/>
      <c r="Q543"/>
      <c r="T543"/>
      <c r="W543"/>
      <c r="AA543"/>
      <c r="AB543"/>
    </row>
    <row r="544" spans="2:28" x14ac:dyDescent="0.35">
      <c r="B544" s="1"/>
      <c r="H544"/>
      <c r="I544"/>
      <c r="K544"/>
      <c r="L544"/>
      <c r="N544" s="1"/>
      <c r="Q544"/>
      <c r="T544"/>
      <c r="W544"/>
      <c r="AA544"/>
      <c r="AB544"/>
    </row>
    <row r="545" spans="2:28" x14ac:dyDescent="0.35">
      <c r="B545" s="1"/>
      <c r="H545"/>
      <c r="I545"/>
      <c r="K545"/>
      <c r="L545"/>
      <c r="N545" s="1"/>
      <c r="Q545"/>
      <c r="T545"/>
      <c r="W545"/>
      <c r="AA545"/>
      <c r="AB545"/>
    </row>
    <row r="546" spans="2:28" x14ac:dyDescent="0.35">
      <c r="B546" s="1"/>
      <c r="H546"/>
      <c r="I546"/>
      <c r="K546"/>
      <c r="L546"/>
      <c r="N546" s="1"/>
      <c r="Q546"/>
      <c r="T546"/>
      <c r="W546"/>
      <c r="AA546"/>
      <c r="AB546"/>
    </row>
    <row r="547" spans="2:28" x14ac:dyDescent="0.35">
      <c r="B547" s="1"/>
      <c r="H547"/>
      <c r="I547"/>
      <c r="K547"/>
      <c r="L547"/>
      <c r="N547" s="1"/>
      <c r="Q547"/>
      <c r="T547"/>
      <c r="W547"/>
      <c r="AA547"/>
      <c r="AB547"/>
    </row>
    <row r="548" spans="2:28" x14ac:dyDescent="0.35">
      <c r="B548" s="1"/>
      <c r="H548"/>
      <c r="I548"/>
      <c r="K548"/>
      <c r="L548"/>
      <c r="N548" s="1"/>
      <c r="Q548"/>
      <c r="T548"/>
      <c r="W548"/>
      <c r="AA548"/>
      <c r="AB548"/>
    </row>
    <row r="549" spans="2:28" x14ac:dyDescent="0.35">
      <c r="B549" s="1"/>
      <c r="H549"/>
      <c r="I549"/>
      <c r="K549"/>
      <c r="L549"/>
      <c r="N549" s="1"/>
      <c r="Q549"/>
      <c r="T549"/>
      <c r="W549"/>
      <c r="AA549"/>
      <c r="AB549"/>
    </row>
    <row r="550" spans="2:28" x14ac:dyDescent="0.35">
      <c r="B550" s="1"/>
      <c r="H550"/>
      <c r="I550"/>
      <c r="K550"/>
      <c r="L550"/>
      <c r="N550" s="1"/>
      <c r="Q550"/>
      <c r="T550"/>
      <c r="W550"/>
      <c r="AA550"/>
      <c r="AB550"/>
    </row>
    <row r="551" spans="2:28" x14ac:dyDescent="0.35">
      <c r="B551" s="1"/>
      <c r="H551"/>
      <c r="I551"/>
      <c r="K551"/>
      <c r="L551"/>
      <c r="N551" s="1"/>
      <c r="Q551"/>
      <c r="T551"/>
      <c r="W551"/>
      <c r="AA551"/>
      <c r="AB551"/>
    </row>
    <row r="552" spans="2:28" x14ac:dyDescent="0.35">
      <c r="B552" s="1"/>
      <c r="H552"/>
      <c r="I552"/>
      <c r="K552"/>
      <c r="L552"/>
      <c r="N552" s="1"/>
      <c r="Q552"/>
      <c r="T552"/>
      <c r="W552"/>
      <c r="AA552"/>
      <c r="AB552"/>
    </row>
    <row r="553" spans="2:28" x14ac:dyDescent="0.35">
      <c r="B553" s="1"/>
      <c r="H553"/>
      <c r="I553"/>
      <c r="K553"/>
      <c r="L553"/>
      <c r="N553" s="1"/>
      <c r="Q553"/>
      <c r="T553"/>
      <c r="W553"/>
      <c r="AA553"/>
      <c r="AB553"/>
    </row>
    <row r="554" spans="2:28" x14ac:dyDescent="0.35">
      <c r="B554" s="1"/>
      <c r="H554"/>
      <c r="I554"/>
      <c r="K554"/>
      <c r="L554"/>
      <c r="N554" s="1"/>
      <c r="Q554"/>
      <c r="T554"/>
      <c r="W554"/>
      <c r="AA554"/>
      <c r="AB554"/>
    </row>
    <row r="555" spans="2:28" x14ac:dyDescent="0.35">
      <c r="B555" s="1"/>
      <c r="H555"/>
      <c r="I555"/>
      <c r="K555"/>
      <c r="L555"/>
      <c r="N555" s="1"/>
      <c r="Q555"/>
      <c r="T555"/>
      <c r="W555"/>
      <c r="AA555"/>
      <c r="AB555"/>
    </row>
    <row r="556" spans="2:28" x14ac:dyDescent="0.35">
      <c r="B556" s="1"/>
      <c r="H556"/>
      <c r="I556"/>
      <c r="K556"/>
      <c r="L556"/>
      <c r="N556" s="1"/>
      <c r="Q556"/>
      <c r="T556"/>
      <c r="W556"/>
      <c r="AA556"/>
      <c r="AB556"/>
    </row>
    <row r="557" spans="2:28" x14ac:dyDescent="0.35">
      <c r="B557" s="1"/>
      <c r="H557"/>
      <c r="I557"/>
      <c r="K557"/>
      <c r="L557"/>
      <c r="N557" s="1"/>
      <c r="Q557"/>
      <c r="T557"/>
      <c r="W557"/>
      <c r="AA557"/>
      <c r="AB557"/>
    </row>
    <row r="558" spans="2:28" x14ac:dyDescent="0.35">
      <c r="B558" s="1"/>
      <c r="H558"/>
      <c r="I558"/>
      <c r="K558"/>
      <c r="L558"/>
      <c r="N558" s="1"/>
      <c r="Q558"/>
      <c r="T558"/>
      <c r="W558"/>
      <c r="AA558"/>
      <c r="AB558"/>
    </row>
    <row r="559" spans="2:28" x14ac:dyDescent="0.35">
      <c r="B559" s="1"/>
      <c r="H559"/>
      <c r="I559"/>
      <c r="K559"/>
      <c r="L559"/>
      <c r="N559" s="1"/>
      <c r="Q559"/>
      <c r="T559"/>
      <c r="W559"/>
      <c r="AA559"/>
      <c r="AB559"/>
    </row>
    <row r="560" spans="2:28" x14ac:dyDescent="0.35">
      <c r="B560" s="1"/>
      <c r="H560"/>
      <c r="I560"/>
      <c r="K560"/>
      <c r="L560"/>
      <c r="N560" s="1"/>
      <c r="Q560"/>
      <c r="T560"/>
      <c r="W560"/>
      <c r="AA560"/>
      <c r="AB560"/>
    </row>
    <row r="561" spans="2:28" x14ac:dyDescent="0.35">
      <c r="B561" s="1"/>
      <c r="H561"/>
      <c r="I561"/>
      <c r="K561"/>
      <c r="L561"/>
      <c r="N561" s="1"/>
      <c r="Q561"/>
      <c r="T561"/>
      <c r="W561"/>
      <c r="AA561"/>
      <c r="AB561"/>
    </row>
    <row r="562" spans="2:28" x14ac:dyDescent="0.35">
      <c r="B562" s="1"/>
      <c r="H562"/>
      <c r="I562"/>
      <c r="K562"/>
      <c r="L562"/>
      <c r="N562" s="1"/>
      <c r="Q562"/>
      <c r="T562"/>
      <c r="W562"/>
      <c r="AA562"/>
      <c r="AB562"/>
    </row>
    <row r="563" spans="2:28" x14ac:dyDescent="0.35">
      <c r="B563" s="1"/>
      <c r="H563"/>
      <c r="I563"/>
      <c r="K563"/>
      <c r="L563"/>
      <c r="N563" s="1"/>
      <c r="Q563"/>
      <c r="T563"/>
      <c r="W563"/>
      <c r="AA563"/>
      <c r="AB563"/>
    </row>
    <row r="564" spans="2:28" x14ac:dyDescent="0.35">
      <c r="B564" s="1"/>
      <c r="H564"/>
      <c r="I564"/>
      <c r="K564"/>
      <c r="L564"/>
      <c r="N564" s="1"/>
      <c r="Q564"/>
      <c r="T564"/>
      <c r="W564"/>
      <c r="AA564"/>
      <c r="AB564"/>
    </row>
    <row r="565" spans="2:28" x14ac:dyDescent="0.35">
      <c r="B565" s="1"/>
      <c r="H565"/>
      <c r="I565"/>
      <c r="K565"/>
      <c r="L565"/>
      <c r="N565" s="1"/>
      <c r="Q565"/>
      <c r="T565"/>
      <c r="W565"/>
      <c r="AA565"/>
      <c r="AB565"/>
    </row>
    <row r="566" spans="2:28" x14ac:dyDescent="0.35">
      <c r="B566" s="1"/>
      <c r="H566"/>
      <c r="I566"/>
      <c r="K566"/>
      <c r="L566"/>
      <c r="N566" s="1"/>
      <c r="Q566"/>
      <c r="T566"/>
      <c r="W566"/>
      <c r="AA566"/>
      <c r="AB566"/>
    </row>
    <row r="567" spans="2:28" x14ac:dyDescent="0.35">
      <c r="B567" s="1"/>
      <c r="H567"/>
      <c r="I567"/>
      <c r="K567"/>
      <c r="L567"/>
      <c r="N567" s="1"/>
      <c r="Q567"/>
      <c r="T567"/>
      <c r="W567"/>
      <c r="AA567"/>
      <c r="AB567"/>
    </row>
    <row r="568" spans="2:28" x14ac:dyDescent="0.35">
      <c r="B568" s="1"/>
      <c r="H568"/>
      <c r="I568"/>
      <c r="K568"/>
      <c r="L568"/>
      <c r="N568" s="1"/>
      <c r="Q568"/>
      <c r="T568"/>
      <c r="W568"/>
      <c r="AA568"/>
      <c r="AB568"/>
    </row>
    <row r="569" spans="2:28" x14ac:dyDescent="0.35">
      <c r="B569" s="1"/>
      <c r="H569"/>
      <c r="I569"/>
      <c r="K569"/>
      <c r="L569"/>
      <c r="N569" s="1"/>
      <c r="Q569"/>
      <c r="T569"/>
      <c r="W569"/>
      <c r="AA569"/>
      <c r="AB569"/>
    </row>
    <row r="570" spans="2:28" x14ac:dyDescent="0.35">
      <c r="B570" s="1"/>
      <c r="H570"/>
      <c r="I570"/>
      <c r="K570"/>
      <c r="L570"/>
      <c r="N570" s="1"/>
      <c r="Q570"/>
      <c r="T570"/>
      <c r="W570"/>
      <c r="AA570"/>
      <c r="AB570"/>
    </row>
    <row r="571" spans="2:28" x14ac:dyDescent="0.35">
      <c r="B571" s="1"/>
      <c r="H571"/>
      <c r="I571"/>
      <c r="K571"/>
      <c r="L571"/>
      <c r="N571" s="1"/>
      <c r="Q571"/>
      <c r="T571"/>
      <c r="W571"/>
      <c r="AA571"/>
      <c r="AB571"/>
    </row>
    <row r="572" spans="2:28" x14ac:dyDescent="0.35">
      <c r="B572" s="1"/>
      <c r="H572"/>
      <c r="I572"/>
      <c r="K572"/>
      <c r="L572"/>
      <c r="N572" s="1"/>
      <c r="Q572"/>
      <c r="T572"/>
      <c r="W572"/>
      <c r="AA572"/>
      <c r="AB572"/>
    </row>
    <row r="573" spans="2:28" x14ac:dyDescent="0.35">
      <c r="B573" s="1"/>
      <c r="H573"/>
      <c r="I573"/>
      <c r="K573"/>
      <c r="L573"/>
      <c r="N573" s="1"/>
      <c r="Q573"/>
      <c r="T573"/>
      <c r="W573"/>
      <c r="AA573"/>
      <c r="AB573"/>
    </row>
    <row r="574" spans="2:28" x14ac:dyDescent="0.35">
      <c r="B574" s="1"/>
      <c r="H574"/>
      <c r="I574"/>
      <c r="K574"/>
      <c r="L574"/>
      <c r="N574" s="1"/>
      <c r="Q574"/>
      <c r="T574"/>
      <c r="W574"/>
      <c r="AA574"/>
      <c r="AB574"/>
    </row>
    <row r="575" spans="2:28" x14ac:dyDescent="0.35">
      <c r="B575" s="1"/>
      <c r="H575"/>
      <c r="I575"/>
      <c r="K575"/>
      <c r="L575"/>
      <c r="N575" s="1"/>
      <c r="Q575"/>
      <c r="T575"/>
      <c r="W575"/>
      <c r="AA575"/>
      <c r="AB575"/>
    </row>
    <row r="576" spans="2:28" x14ac:dyDescent="0.35">
      <c r="B576" s="1"/>
      <c r="H576"/>
      <c r="I576"/>
      <c r="K576"/>
      <c r="L576"/>
      <c r="N576" s="1"/>
      <c r="Q576"/>
      <c r="T576"/>
      <c r="W576"/>
      <c r="AA576"/>
      <c r="AB576"/>
    </row>
    <row r="577" spans="2:28" x14ac:dyDescent="0.35">
      <c r="B577" s="1"/>
      <c r="H577"/>
      <c r="I577"/>
      <c r="K577"/>
      <c r="L577"/>
      <c r="N577" s="1"/>
      <c r="Q577"/>
      <c r="T577"/>
      <c r="W577"/>
      <c r="AA577"/>
      <c r="AB577"/>
    </row>
    <row r="578" spans="2:28" x14ac:dyDescent="0.35">
      <c r="B578" s="1"/>
      <c r="H578"/>
      <c r="I578"/>
      <c r="K578"/>
      <c r="L578"/>
      <c r="N578" s="1"/>
      <c r="Q578"/>
      <c r="T578"/>
      <c r="W578"/>
      <c r="AA578"/>
      <c r="AB578"/>
    </row>
    <row r="579" spans="2:28" x14ac:dyDescent="0.35">
      <c r="B579" s="1"/>
      <c r="H579"/>
      <c r="I579"/>
      <c r="K579"/>
      <c r="L579"/>
      <c r="N579" s="1"/>
      <c r="Q579"/>
      <c r="T579"/>
      <c r="W579"/>
      <c r="AA579"/>
      <c r="AB579"/>
    </row>
    <row r="580" spans="2:28" x14ac:dyDescent="0.35">
      <c r="B580" s="1"/>
      <c r="H580"/>
      <c r="I580"/>
      <c r="K580"/>
      <c r="L580"/>
      <c r="N580" s="1"/>
      <c r="Q580"/>
      <c r="T580"/>
      <c r="W580"/>
      <c r="AA580"/>
      <c r="AB580"/>
    </row>
    <row r="581" spans="2:28" x14ac:dyDescent="0.35">
      <c r="B581" s="1"/>
      <c r="H581"/>
      <c r="I581"/>
      <c r="K581"/>
      <c r="L581"/>
      <c r="N581" s="1"/>
      <c r="Q581"/>
      <c r="T581"/>
      <c r="W581"/>
      <c r="AA581"/>
      <c r="AB581"/>
    </row>
    <row r="582" spans="2:28" x14ac:dyDescent="0.35">
      <c r="B582" s="1"/>
      <c r="H582"/>
      <c r="I582"/>
      <c r="K582"/>
      <c r="L582"/>
      <c r="N582" s="1"/>
      <c r="Q582"/>
      <c r="T582"/>
      <c r="W582"/>
      <c r="AA582"/>
      <c r="AB582"/>
    </row>
    <row r="583" spans="2:28" x14ac:dyDescent="0.35">
      <c r="B583" s="1"/>
      <c r="H583"/>
      <c r="I583"/>
      <c r="K583"/>
      <c r="L583"/>
      <c r="N583" s="1"/>
      <c r="Q583"/>
      <c r="T583"/>
      <c r="W583"/>
      <c r="AA583"/>
      <c r="AB583"/>
    </row>
    <row r="584" spans="2:28" x14ac:dyDescent="0.35">
      <c r="B584" s="1"/>
      <c r="H584"/>
      <c r="I584"/>
      <c r="K584"/>
      <c r="L584"/>
      <c r="N584" s="1"/>
      <c r="Q584"/>
      <c r="T584"/>
      <c r="W584"/>
      <c r="AA584"/>
      <c r="AB584"/>
    </row>
    <row r="585" spans="2:28" x14ac:dyDescent="0.35">
      <c r="B585" s="1"/>
      <c r="H585"/>
      <c r="I585"/>
      <c r="K585"/>
      <c r="L585"/>
      <c r="N585" s="1"/>
      <c r="Q585"/>
      <c r="T585"/>
      <c r="W585"/>
      <c r="AA585"/>
      <c r="AB585"/>
    </row>
    <row r="586" spans="2:28" x14ac:dyDescent="0.35">
      <c r="B586" s="1"/>
      <c r="H586"/>
      <c r="I586"/>
      <c r="K586"/>
      <c r="L586"/>
      <c r="N586" s="1"/>
      <c r="Q586"/>
      <c r="T586"/>
      <c r="W586"/>
      <c r="AA586"/>
      <c r="AB586"/>
    </row>
    <row r="587" spans="2:28" x14ac:dyDescent="0.35">
      <c r="B587" s="1"/>
      <c r="H587"/>
      <c r="I587"/>
      <c r="K587"/>
      <c r="L587"/>
      <c r="N587" s="1"/>
      <c r="Q587"/>
      <c r="T587"/>
      <c r="W587"/>
      <c r="AA587"/>
      <c r="AB587"/>
    </row>
    <row r="588" spans="2:28" x14ac:dyDescent="0.35">
      <c r="B588" s="1"/>
      <c r="H588"/>
      <c r="I588"/>
      <c r="K588"/>
      <c r="L588"/>
      <c r="N588" s="1"/>
      <c r="Q588"/>
      <c r="T588"/>
      <c r="W588"/>
      <c r="AA588"/>
      <c r="AB588"/>
    </row>
    <row r="589" spans="2:28" x14ac:dyDescent="0.35">
      <c r="B589" s="1"/>
      <c r="H589"/>
      <c r="I589"/>
      <c r="K589"/>
      <c r="L589"/>
      <c r="N589" s="1"/>
      <c r="Q589"/>
      <c r="T589"/>
      <c r="W589"/>
      <c r="AA589"/>
      <c r="AB589"/>
    </row>
    <row r="590" spans="2:28" x14ac:dyDescent="0.35">
      <c r="B590" s="1"/>
      <c r="H590"/>
      <c r="I590"/>
      <c r="K590"/>
      <c r="L590"/>
      <c r="N590" s="1"/>
      <c r="Q590"/>
      <c r="T590"/>
      <c r="W590"/>
      <c r="AA590"/>
      <c r="AB590"/>
    </row>
    <row r="591" spans="2:28" x14ac:dyDescent="0.35">
      <c r="B591" s="1"/>
      <c r="H591"/>
      <c r="I591"/>
      <c r="K591"/>
      <c r="L591"/>
      <c r="N591" s="1"/>
      <c r="Q591"/>
      <c r="T591"/>
      <c r="W591"/>
      <c r="AA591"/>
      <c r="AB591"/>
    </row>
    <row r="592" spans="2:28" x14ac:dyDescent="0.35">
      <c r="B592" s="1"/>
      <c r="H592"/>
      <c r="I592"/>
      <c r="K592"/>
      <c r="L592"/>
      <c r="N592" s="1"/>
      <c r="Q592"/>
      <c r="T592"/>
      <c r="W592"/>
      <c r="AA592"/>
      <c r="AB592"/>
    </row>
    <row r="593" spans="2:28" x14ac:dyDescent="0.35">
      <c r="B593" s="1"/>
      <c r="H593"/>
      <c r="I593"/>
      <c r="K593"/>
      <c r="L593"/>
      <c r="N593" s="1"/>
      <c r="Q593"/>
      <c r="T593"/>
      <c r="W593"/>
      <c r="AA593"/>
      <c r="AB593"/>
    </row>
    <row r="594" spans="2:28" x14ac:dyDescent="0.35">
      <c r="B594" s="1"/>
      <c r="H594"/>
      <c r="I594"/>
      <c r="K594"/>
      <c r="L594"/>
      <c r="N594" s="1"/>
      <c r="Q594"/>
      <c r="T594"/>
      <c r="W594"/>
      <c r="AA594"/>
      <c r="AB594"/>
    </row>
    <row r="595" spans="2:28" x14ac:dyDescent="0.35">
      <c r="B595" s="1"/>
      <c r="H595"/>
      <c r="I595"/>
      <c r="K595"/>
      <c r="L595"/>
      <c r="N595" s="1"/>
      <c r="Q595"/>
      <c r="T595"/>
      <c r="W595"/>
      <c r="AA595"/>
      <c r="AB595"/>
    </row>
    <row r="596" spans="2:28" x14ac:dyDescent="0.35">
      <c r="B596" s="1"/>
      <c r="H596"/>
      <c r="I596"/>
      <c r="K596"/>
      <c r="L596"/>
      <c r="N596" s="1"/>
      <c r="Q596"/>
      <c r="T596"/>
      <c r="W596"/>
      <c r="AA596"/>
      <c r="AB596"/>
    </row>
    <row r="597" spans="2:28" x14ac:dyDescent="0.35">
      <c r="B597" s="1"/>
      <c r="H597"/>
      <c r="I597"/>
      <c r="K597"/>
      <c r="L597"/>
      <c r="N597" s="1"/>
      <c r="Q597"/>
      <c r="T597"/>
      <c r="W597"/>
      <c r="AA597"/>
      <c r="AB597"/>
    </row>
    <row r="598" spans="2:28" x14ac:dyDescent="0.35">
      <c r="B598" s="1"/>
      <c r="H598"/>
      <c r="I598"/>
      <c r="K598"/>
      <c r="L598"/>
      <c r="N598" s="1"/>
      <c r="Q598"/>
      <c r="T598"/>
      <c r="W598"/>
      <c r="AA598"/>
      <c r="AB598"/>
    </row>
    <row r="599" spans="2:28" x14ac:dyDescent="0.35">
      <c r="B599" s="1"/>
      <c r="H599"/>
      <c r="I599"/>
      <c r="K599"/>
      <c r="L599"/>
      <c r="N599" s="1"/>
      <c r="Q599"/>
      <c r="T599"/>
      <c r="W599"/>
      <c r="AA599"/>
      <c r="AB599"/>
    </row>
    <row r="600" spans="2:28" x14ac:dyDescent="0.35">
      <c r="B600" s="1"/>
      <c r="H600"/>
      <c r="I600"/>
      <c r="K600"/>
      <c r="L600"/>
      <c r="N600" s="1"/>
      <c r="Q600"/>
      <c r="T600"/>
      <c r="W600"/>
      <c r="AA600"/>
      <c r="AB600"/>
    </row>
    <row r="601" spans="2:28" x14ac:dyDescent="0.35">
      <c r="B601" s="1"/>
      <c r="H601"/>
      <c r="I601"/>
      <c r="K601"/>
      <c r="L601"/>
      <c r="N601" s="1"/>
      <c r="Q601"/>
      <c r="T601"/>
      <c r="W601"/>
      <c r="AA601"/>
      <c r="AB601"/>
    </row>
    <row r="602" spans="2:28" x14ac:dyDescent="0.35">
      <c r="B602" s="1"/>
      <c r="H602"/>
      <c r="I602"/>
      <c r="K602"/>
      <c r="L602"/>
      <c r="N602" s="1"/>
      <c r="Q602"/>
      <c r="T602"/>
      <c r="W602"/>
      <c r="AA602"/>
      <c r="AB602"/>
    </row>
    <row r="603" spans="2:28" x14ac:dyDescent="0.35">
      <c r="B603" s="1"/>
      <c r="H603"/>
      <c r="I603"/>
      <c r="K603"/>
      <c r="L603"/>
      <c r="N603" s="1"/>
      <c r="Q603"/>
      <c r="T603"/>
      <c r="W603"/>
      <c r="AA603"/>
      <c r="AB603"/>
    </row>
    <row r="604" spans="2:28" x14ac:dyDescent="0.35">
      <c r="B604" s="1"/>
      <c r="H604"/>
      <c r="I604"/>
      <c r="K604"/>
      <c r="L604"/>
      <c r="N604" s="1"/>
      <c r="Q604"/>
      <c r="T604"/>
      <c r="W604"/>
      <c r="AA604"/>
      <c r="AB604"/>
    </row>
    <row r="605" spans="2:28" x14ac:dyDescent="0.35">
      <c r="B605" s="1"/>
      <c r="H605"/>
      <c r="I605"/>
      <c r="K605"/>
      <c r="L605"/>
      <c r="N605" s="1"/>
      <c r="Q605"/>
      <c r="T605"/>
      <c r="W605"/>
      <c r="AA605"/>
      <c r="AB605"/>
    </row>
    <row r="606" spans="2:28" x14ac:dyDescent="0.35">
      <c r="B606" s="1"/>
      <c r="H606"/>
      <c r="I606"/>
      <c r="K606"/>
      <c r="L606"/>
      <c r="N606" s="1"/>
      <c r="Q606"/>
      <c r="T606"/>
      <c r="W606"/>
      <c r="AA606"/>
      <c r="AB606"/>
    </row>
    <row r="607" spans="2:28" x14ac:dyDescent="0.35">
      <c r="B607" s="1"/>
      <c r="H607"/>
      <c r="I607"/>
      <c r="K607"/>
      <c r="L607"/>
      <c r="N607" s="1"/>
      <c r="Q607"/>
      <c r="T607"/>
      <c r="W607"/>
      <c r="AA607"/>
      <c r="AB607"/>
    </row>
    <row r="608" spans="2:28" x14ac:dyDescent="0.35">
      <c r="B608" s="1"/>
      <c r="H608"/>
      <c r="I608"/>
      <c r="K608"/>
      <c r="L608"/>
      <c r="N608" s="1"/>
      <c r="Q608"/>
      <c r="T608"/>
      <c r="W608"/>
      <c r="AA608"/>
      <c r="AB608"/>
    </row>
    <row r="609" spans="2:28" x14ac:dyDescent="0.35">
      <c r="B609" s="1"/>
      <c r="H609"/>
      <c r="I609"/>
      <c r="K609"/>
      <c r="L609"/>
      <c r="N609" s="1"/>
      <c r="Q609"/>
      <c r="T609"/>
      <c r="W609"/>
      <c r="AA609"/>
      <c r="AB609"/>
    </row>
    <row r="610" spans="2:28" x14ac:dyDescent="0.35">
      <c r="B610" s="1"/>
      <c r="H610"/>
      <c r="I610"/>
      <c r="K610"/>
      <c r="L610"/>
      <c r="N610" s="1"/>
      <c r="Q610"/>
      <c r="T610"/>
      <c r="W610"/>
      <c r="AA610"/>
      <c r="AB610"/>
    </row>
    <row r="611" spans="2:28" x14ac:dyDescent="0.35">
      <c r="B611" s="1"/>
      <c r="H611"/>
      <c r="I611"/>
      <c r="K611"/>
      <c r="L611"/>
      <c r="N611" s="1"/>
      <c r="Q611"/>
      <c r="T611"/>
      <c r="W611"/>
      <c r="AA611"/>
      <c r="AB611"/>
    </row>
    <row r="612" spans="2:28" x14ac:dyDescent="0.35">
      <c r="B612" s="1"/>
      <c r="H612"/>
      <c r="I612"/>
      <c r="K612"/>
      <c r="L612"/>
      <c r="N612" s="1"/>
      <c r="Q612"/>
      <c r="T612"/>
      <c r="W612"/>
      <c r="AA612"/>
      <c r="AB612"/>
    </row>
    <row r="613" spans="2:28" x14ac:dyDescent="0.35">
      <c r="B613" s="1"/>
      <c r="H613"/>
      <c r="I613"/>
      <c r="K613"/>
      <c r="L613"/>
      <c r="N613" s="1"/>
      <c r="Q613"/>
      <c r="T613"/>
      <c r="W613"/>
      <c r="AA613"/>
      <c r="AB613"/>
    </row>
    <row r="614" spans="2:28" x14ac:dyDescent="0.35">
      <c r="B614" s="1"/>
      <c r="H614"/>
      <c r="I614"/>
      <c r="K614"/>
      <c r="L614"/>
      <c r="N614" s="1"/>
      <c r="Q614"/>
      <c r="T614"/>
      <c r="W614"/>
      <c r="AA614"/>
      <c r="AB614"/>
    </row>
    <row r="615" spans="2:28" x14ac:dyDescent="0.35">
      <c r="B615" s="1"/>
      <c r="H615"/>
      <c r="I615"/>
      <c r="K615"/>
      <c r="L615"/>
      <c r="N615" s="1"/>
      <c r="Q615"/>
      <c r="T615"/>
      <c r="W615"/>
      <c r="AA615"/>
      <c r="AB615"/>
    </row>
    <row r="616" spans="2:28" x14ac:dyDescent="0.35">
      <c r="B616" s="1"/>
      <c r="H616"/>
      <c r="I616"/>
      <c r="K616"/>
      <c r="L616"/>
      <c r="N616" s="1"/>
      <c r="Q616"/>
      <c r="T616"/>
      <c r="W616"/>
      <c r="AA616"/>
      <c r="AB616"/>
    </row>
    <row r="617" spans="2:28" x14ac:dyDescent="0.35">
      <c r="B617" s="1"/>
      <c r="H617"/>
      <c r="I617"/>
      <c r="K617"/>
      <c r="L617"/>
      <c r="N617" s="1"/>
      <c r="Q617"/>
      <c r="T617"/>
      <c r="W617"/>
      <c r="AA617"/>
      <c r="AB617"/>
    </row>
    <row r="618" spans="2:28" x14ac:dyDescent="0.35">
      <c r="B618" s="1"/>
      <c r="H618"/>
      <c r="I618"/>
      <c r="K618"/>
      <c r="L618"/>
      <c r="N618" s="1"/>
      <c r="Q618"/>
      <c r="T618"/>
      <c r="W618"/>
      <c r="AA618"/>
      <c r="AB618"/>
    </row>
    <row r="619" spans="2:28" x14ac:dyDescent="0.35">
      <c r="B619" s="1"/>
      <c r="H619"/>
      <c r="I619"/>
      <c r="K619"/>
      <c r="L619"/>
      <c r="N619" s="1"/>
      <c r="Q619"/>
      <c r="T619"/>
      <c r="W619"/>
      <c r="AA619"/>
      <c r="AB619"/>
    </row>
    <row r="620" spans="2:28" x14ac:dyDescent="0.35">
      <c r="B620" s="1"/>
      <c r="H620"/>
      <c r="I620"/>
      <c r="K620"/>
      <c r="L620"/>
      <c r="N620" s="1"/>
      <c r="Q620"/>
      <c r="T620"/>
      <c r="W620"/>
      <c r="AA620"/>
      <c r="AB620"/>
    </row>
    <row r="621" spans="2:28" x14ac:dyDescent="0.35">
      <c r="B621" s="1"/>
      <c r="H621"/>
      <c r="I621"/>
      <c r="K621"/>
      <c r="L621"/>
      <c r="N621" s="1"/>
      <c r="Q621"/>
      <c r="T621"/>
      <c r="W621"/>
      <c r="AA621"/>
      <c r="AB621"/>
    </row>
    <row r="622" spans="2:28" x14ac:dyDescent="0.35">
      <c r="B622" s="1"/>
      <c r="H622"/>
      <c r="I622"/>
      <c r="K622"/>
      <c r="L622"/>
      <c r="N622" s="1"/>
      <c r="Q622"/>
      <c r="T622"/>
      <c r="W622"/>
      <c r="AA622"/>
      <c r="AB622"/>
    </row>
    <row r="623" spans="2:28" x14ac:dyDescent="0.35">
      <c r="B623" s="1"/>
      <c r="H623"/>
      <c r="I623"/>
      <c r="K623"/>
      <c r="L623"/>
      <c r="N623" s="1"/>
      <c r="Q623"/>
      <c r="T623"/>
      <c r="W623"/>
      <c r="AA623"/>
      <c r="AB623"/>
    </row>
    <row r="624" spans="2:28" x14ac:dyDescent="0.35">
      <c r="B624" s="1"/>
      <c r="H624"/>
      <c r="I624"/>
      <c r="K624"/>
      <c r="L624"/>
      <c r="N624" s="1"/>
      <c r="Q624"/>
      <c r="T624"/>
      <c r="W624"/>
      <c r="AA624"/>
      <c r="AB624"/>
    </row>
    <row r="625" spans="2:28" x14ac:dyDescent="0.35">
      <c r="B625" s="1"/>
      <c r="H625"/>
      <c r="I625"/>
      <c r="K625"/>
      <c r="L625"/>
      <c r="N625" s="1"/>
      <c r="Q625"/>
      <c r="T625"/>
      <c r="W625"/>
      <c r="AA625"/>
      <c r="AB625"/>
    </row>
    <row r="626" spans="2:28" x14ac:dyDescent="0.35">
      <c r="B626" s="1"/>
      <c r="H626"/>
      <c r="I626"/>
      <c r="K626"/>
      <c r="L626"/>
      <c r="N626" s="1"/>
      <c r="Q626"/>
      <c r="T626"/>
      <c r="W626"/>
      <c r="AA626"/>
      <c r="AB626"/>
    </row>
    <row r="627" spans="2:28" x14ac:dyDescent="0.35">
      <c r="B627" s="1"/>
      <c r="H627"/>
      <c r="I627"/>
      <c r="K627"/>
      <c r="L627"/>
      <c r="N627" s="1"/>
      <c r="Q627"/>
      <c r="T627"/>
      <c r="W627"/>
      <c r="AA627"/>
      <c r="AB627"/>
    </row>
    <row r="628" spans="2:28" x14ac:dyDescent="0.35">
      <c r="B628" s="1"/>
      <c r="H628"/>
      <c r="I628"/>
      <c r="K628"/>
      <c r="L628"/>
      <c r="N628" s="1"/>
      <c r="Q628"/>
      <c r="T628"/>
      <c r="W628"/>
      <c r="AA628"/>
      <c r="AB628"/>
    </row>
    <row r="629" spans="2:28" x14ac:dyDescent="0.35">
      <c r="B629" s="1"/>
      <c r="H629"/>
      <c r="I629"/>
      <c r="K629"/>
      <c r="L629"/>
      <c r="N629" s="1"/>
      <c r="Q629"/>
      <c r="T629"/>
      <c r="W629"/>
      <c r="AA629"/>
      <c r="AB629"/>
    </row>
    <row r="630" spans="2:28" x14ac:dyDescent="0.35">
      <c r="B630" s="1"/>
      <c r="H630"/>
      <c r="I630"/>
      <c r="K630"/>
      <c r="L630"/>
      <c r="N630" s="1"/>
      <c r="Q630"/>
      <c r="T630"/>
      <c r="W630"/>
      <c r="AA630"/>
      <c r="AB630"/>
    </row>
    <row r="631" spans="2:28" x14ac:dyDescent="0.35">
      <c r="B631" s="1"/>
      <c r="H631"/>
      <c r="I631"/>
      <c r="K631"/>
      <c r="L631"/>
      <c r="N631" s="1"/>
      <c r="Q631"/>
      <c r="T631"/>
      <c r="W631"/>
      <c r="AA631"/>
      <c r="AB631"/>
    </row>
    <row r="632" spans="2:28" x14ac:dyDescent="0.35">
      <c r="B632" s="1"/>
      <c r="H632"/>
      <c r="I632"/>
      <c r="K632"/>
      <c r="L632"/>
      <c r="N632" s="1"/>
      <c r="Q632"/>
      <c r="T632"/>
      <c r="W632"/>
      <c r="AA632"/>
      <c r="AB632"/>
    </row>
    <row r="633" spans="2:28" x14ac:dyDescent="0.35">
      <c r="B633" s="1"/>
      <c r="H633"/>
      <c r="I633"/>
      <c r="K633"/>
      <c r="L633"/>
      <c r="N633" s="1"/>
      <c r="Q633"/>
      <c r="T633"/>
      <c r="W633"/>
      <c r="AA633"/>
      <c r="AB633"/>
    </row>
    <row r="634" spans="2:28" x14ac:dyDescent="0.35">
      <c r="B634" s="1"/>
      <c r="H634"/>
      <c r="I634"/>
      <c r="K634"/>
      <c r="L634"/>
      <c r="N634" s="1"/>
      <c r="Q634"/>
      <c r="T634"/>
      <c r="W634"/>
      <c r="AA634"/>
      <c r="AB634"/>
    </row>
    <row r="635" spans="2:28" x14ac:dyDescent="0.35">
      <c r="B635" s="1"/>
      <c r="H635"/>
      <c r="I635"/>
      <c r="K635"/>
      <c r="L635"/>
      <c r="N635" s="1"/>
      <c r="Q635"/>
      <c r="T635"/>
      <c r="W635"/>
      <c r="AA635"/>
      <c r="AB635"/>
    </row>
    <row r="636" spans="2:28" x14ac:dyDescent="0.35">
      <c r="B636" s="1"/>
      <c r="H636"/>
      <c r="I636"/>
      <c r="K636"/>
      <c r="L636"/>
      <c r="N636" s="1"/>
      <c r="Q636"/>
      <c r="T636"/>
      <c r="W636"/>
      <c r="AA636"/>
      <c r="AB636"/>
    </row>
    <row r="637" spans="2:28" x14ac:dyDescent="0.35">
      <c r="B637" s="1"/>
      <c r="H637"/>
      <c r="I637"/>
      <c r="K637"/>
      <c r="L637"/>
      <c r="N637" s="1"/>
      <c r="Q637"/>
      <c r="T637"/>
      <c r="W637"/>
      <c r="AA637"/>
      <c r="AB637"/>
    </row>
    <row r="638" spans="2:28" x14ac:dyDescent="0.35">
      <c r="B638" s="1"/>
      <c r="H638"/>
      <c r="I638"/>
      <c r="K638"/>
      <c r="L638"/>
      <c r="N638" s="1"/>
      <c r="Q638"/>
      <c r="T638"/>
      <c r="W638"/>
      <c r="AA638"/>
      <c r="AB638"/>
    </row>
    <row r="639" spans="2:28" x14ac:dyDescent="0.35">
      <c r="B639" s="1"/>
      <c r="H639"/>
      <c r="I639"/>
      <c r="K639"/>
      <c r="L639"/>
      <c r="N639" s="1"/>
      <c r="Q639"/>
      <c r="T639"/>
      <c r="W639"/>
      <c r="AA639"/>
      <c r="AB639"/>
    </row>
    <row r="640" spans="2:28" x14ac:dyDescent="0.35">
      <c r="B640" s="1"/>
      <c r="H640"/>
      <c r="I640"/>
      <c r="K640"/>
      <c r="L640"/>
      <c r="N640" s="1"/>
      <c r="Q640"/>
      <c r="T640"/>
      <c r="W640"/>
      <c r="AA640"/>
      <c r="AB640"/>
    </row>
    <row r="641" spans="2:28" x14ac:dyDescent="0.35">
      <c r="B641" s="1"/>
      <c r="H641"/>
      <c r="I641"/>
      <c r="K641"/>
      <c r="L641"/>
      <c r="N641" s="1"/>
      <c r="Q641"/>
      <c r="T641"/>
      <c r="W641"/>
      <c r="AA641"/>
      <c r="AB641"/>
    </row>
    <row r="642" spans="2:28" x14ac:dyDescent="0.35">
      <c r="B642" s="1"/>
      <c r="H642"/>
      <c r="I642"/>
      <c r="K642"/>
      <c r="L642"/>
      <c r="N642" s="1"/>
      <c r="Q642"/>
      <c r="T642"/>
      <c r="W642"/>
      <c r="AA642"/>
      <c r="AB642"/>
    </row>
    <row r="643" spans="2:28" x14ac:dyDescent="0.35">
      <c r="B643" s="1"/>
      <c r="H643"/>
      <c r="I643"/>
      <c r="K643"/>
      <c r="L643"/>
      <c r="N643" s="1"/>
      <c r="Q643"/>
      <c r="T643"/>
      <c r="W643"/>
      <c r="AA643"/>
      <c r="AB643"/>
    </row>
    <row r="644" spans="2:28" x14ac:dyDescent="0.35">
      <c r="B644" s="1"/>
      <c r="H644"/>
      <c r="I644"/>
      <c r="K644"/>
      <c r="L644"/>
      <c r="N644" s="1"/>
      <c r="Q644"/>
      <c r="T644"/>
      <c r="W644"/>
      <c r="AA644"/>
      <c r="AB644"/>
    </row>
    <row r="645" spans="2:28" x14ac:dyDescent="0.35">
      <c r="B645" s="1"/>
      <c r="H645"/>
      <c r="I645"/>
      <c r="K645"/>
      <c r="L645"/>
      <c r="N645" s="1"/>
      <c r="Q645"/>
      <c r="T645"/>
      <c r="W645"/>
      <c r="AA645"/>
      <c r="AB645"/>
    </row>
    <row r="646" spans="2:28" x14ac:dyDescent="0.35">
      <c r="B646" s="1"/>
      <c r="H646"/>
      <c r="I646"/>
      <c r="K646"/>
      <c r="L646"/>
      <c r="N646" s="1"/>
      <c r="Q646"/>
      <c r="T646"/>
      <c r="W646"/>
      <c r="AA646"/>
      <c r="AB646"/>
    </row>
    <row r="647" spans="2:28" x14ac:dyDescent="0.35">
      <c r="B647" s="1"/>
      <c r="H647"/>
      <c r="I647"/>
      <c r="K647"/>
      <c r="L647"/>
      <c r="N647" s="1"/>
      <c r="Q647"/>
      <c r="T647"/>
      <c r="W647"/>
      <c r="AA647"/>
      <c r="AB647"/>
    </row>
    <row r="648" spans="2:28" x14ac:dyDescent="0.35">
      <c r="B648" s="1"/>
      <c r="H648"/>
      <c r="I648"/>
      <c r="K648"/>
      <c r="L648"/>
      <c r="N648" s="1"/>
      <c r="Q648"/>
      <c r="T648"/>
      <c r="W648"/>
      <c r="AA648"/>
      <c r="AB648"/>
    </row>
    <row r="649" spans="2:28" x14ac:dyDescent="0.35">
      <c r="B649" s="1"/>
      <c r="H649"/>
      <c r="I649"/>
      <c r="K649"/>
      <c r="L649"/>
      <c r="N649" s="1"/>
      <c r="Q649"/>
      <c r="T649"/>
      <c r="W649"/>
      <c r="AA649"/>
      <c r="AB649"/>
    </row>
    <row r="650" spans="2:28" x14ac:dyDescent="0.35">
      <c r="B650" s="1"/>
      <c r="H650"/>
      <c r="I650"/>
      <c r="K650"/>
      <c r="L650"/>
      <c r="N650" s="1"/>
      <c r="Q650"/>
      <c r="T650"/>
      <c r="W650"/>
      <c r="AA650"/>
      <c r="AB650"/>
    </row>
    <row r="651" spans="2:28" x14ac:dyDescent="0.35">
      <c r="B651" s="1"/>
      <c r="H651"/>
      <c r="I651"/>
      <c r="K651"/>
      <c r="L651"/>
      <c r="N651" s="1"/>
      <c r="Q651"/>
      <c r="T651"/>
      <c r="W651"/>
      <c r="AA651"/>
      <c r="AB651"/>
    </row>
    <row r="652" spans="2:28" x14ac:dyDescent="0.35">
      <c r="B652" s="1"/>
      <c r="H652"/>
      <c r="I652"/>
      <c r="K652"/>
      <c r="L652"/>
      <c r="N652" s="1"/>
      <c r="Q652"/>
      <c r="T652"/>
      <c r="W652"/>
      <c r="AA652"/>
      <c r="AB652"/>
    </row>
    <row r="653" spans="2:28" x14ac:dyDescent="0.35">
      <c r="B653" s="1"/>
      <c r="H653"/>
      <c r="I653"/>
      <c r="K653"/>
      <c r="L653"/>
      <c r="N653" s="1"/>
      <c r="Q653"/>
      <c r="T653"/>
      <c r="W653"/>
      <c r="AA653"/>
      <c r="AB653"/>
    </row>
    <row r="654" spans="2:28" x14ac:dyDescent="0.35">
      <c r="B654" s="1"/>
      <c r="H654"/>
      <c r="I654"/>
      <c r="K654"/>
      <c r="L654"/>
      <c r="N654" s="1"/>
      <c r="Q654"/>
      <c r="T654"/>
      <c r="W654"/>
      <c r="AA654"/>
      <c r="AB654"/>
    </row>
    <row r="655" spans="2:28" x14ac:dyDescent="0.35">
      <c r="B655" s="1"/>
      <c r="H655"/>
      <c r="I655"/>
      <c r="K655"/>
      <c r="L655"/>
      <c r="N655" s="1"/>
      <c r="Q655"/>
      <c r="T655"/>
      <c r="W655"/>
      <c r="AA655"/>
      <c r="AB655"/>
    </row>
    <row r="656" spans="2:28" x14ac:dyDescent="0.35">
      <c r="B656" s="1"/>
      <c r="H656"/>
      <c r="I656"/>
      <c r="K656"/>
      <c r="L656"/>
      <c r="N656" s="1"/>
      <c r="Q656"/>
      <c r="T656"/>
      <c r="W656"/>
      <c r="AA656"/>
      <c r="AB656"/>
    </row>
    <row r="657" spans="2:28" x14ac:dyDescent="0.35">
      <c r="B657" s="1"/>
      <c r="H657"/>
      <c r="I657"/>
      <c r="K657"/>
      <c r="L657"/>
      <c r="N657" s="1"/>
      <c r="Q657"/>
      <c r="T657"/>
      <c r="W657"/>
      <c r="AA657"/>
      <c r="AB657"/>
    </row>
    <row r="658" spans="2:28" x14ac:dyDescent="0.35">
      <c r="B658" s="1"/>
      <c r="H658"/>
      <c r="I658"/>
      <c r="K658"/>
      <c r="L658"/>
      <c r="N658" s="1"/>
      <c r="Q658"/>
      <c r="T658"/>
      <c r="W658"/>
      <c r="AA658"/>
      <c r="AB658"/>
    </row>
    <row r="659" spans="2:28" x14ac:dyDescent="0.35">
      <c r="B659" s="1"/>
      <c r="H659"/>
      <c r="I659"/>
      <c r="K659"/>
      <c r="L659"/>
      <c r="N659" s="1"/>
      <c r="Q659"/>
      <c r="T659"/>
      <c r="W659"/>
      <c r="AA659"/>
      <c r="AB659"/>
    </row>
    <row r="660" spans="2:28" x14ac:dyDescent="0.35">
      <c r="B660" s="1"/>
      <c r="H660"/>
      <c r="I660"/>
      <c r="K660"/>
      <c r="L660"/>
      <c r="N660" s="1"/>
      <c r="Q660"/>
      <c r="T660"/>
      <c r="W660"/>
      <c r="AA660"/>
      <c r="AB660"/>
    </row>
    <row r="661" spans="2:28" x14ac:dyDescent="0.35">
      <c r="B661" s="1"/>
      <c r="H661"/>
      <c r="I661"/>
      <c r="K661"/>
      <c r="L661"/>
      <c r="N661" s="1"/>
      <c r="Q661"/>
      <c r="T661"/>
      <c r="W661"/>
      <c r="AA661"/>
      <c r="AB661"/>
    </row>
    <row r="662" spans="2:28" x14ac:dyDescent="0.35">
      <c r="B662" s="1"/>
      <c r="H662"/>
      <c r="I662"/>
      <c r="K662"/>
      <c r="L662"/>
      <c r="N662" s="1"/>
      <c r="Q662"/>
      <c r="T662"/>
      <c r="W662"/>
      <c r="AA662"/>
      <c r="AB662"/>
    </row>
    <row r="663" spans="2:28" x14ac:dyDescent="0.35">
      <c r="B663" s="1"/>
      <c r="H663"/>
      <c r="I663"/>
      <c r="K663"/>
      <c r="L663"/>
      <c r="N663" s="1"/>
      <c r="Q663"/>
      <c r="T663"/>
      <c r="W663"/>
      <c r="AA663"/>
      <c r="AB663"/>
    </row>
    <row r="664" spans="2:28" x14ac:dyDescent="0.35">
      <c r="B664" s="1"/>
      <c r="H664"/>
      <c r="I664"/>
      <c r="K664"/>
      <c r="L664"/>
      <c r="N664" s="1"/>
      <c r="Q664"/>
      <c r="T664"/>
      <c r="W664"/>
      <c r="AA664"/>
      <c r="AB664"/>
    </row>
    <row r="665" spans="2:28" x14ac:dyDescent="0.35">
      <c r="B665" s="1"/>
      <c r="H665"/>
      <c r="I665"/>
      <c r="K665"/>
      <c r="L665"/>
      <c r="N665" s="1"/>
      <c r="Q665"/>
      <c r="T665"/>
      <c r="W665"/>
      <c r="AA665"/>
      <c r="AB665"/>
    </row>
    <row r="666" spans="2:28" x14ac:dyDescent="0.35">
      <c r="B666" s="1"/>
      <c r="H666"/>
      <c r="I666"/>
      <c r="K666"/>
      <c r="L666"/>
      <c r="N666" s="1"/>
      <c r="Q666"/>
      <c r="T666"/>
      <c r="W666"/>
      <c r="AA666"/>
      <c r="AB666"/>
    </row>
    <row r="667" spans="2:28" x14ac:dyDescent="0.35">
      <c r="B667" s="1"/>
      <c r="H667"/>
      <c r="I667"/>
      <c r="K667"/>
      <c r="L667"/>
      <c r="N667" s="1"/>
      <c r="Q667"/>
      <c r="T667"/>
      <c r="W667"/>
      <c r="AA667"/>
      <c r="AB667"/>
    </row>
    <row r="668" spans="2:28" x14ac:dyDescent="0.35">
      <c r="B668" s="1"/>
      <c r="H668"/>
      <c r="I668"/>
      <c r="K668"/>
      <c r="L668"/>
      <c r="N668" s="1"/>
      <c r="Q668"/>
      <c r="T668"/>
      <c r="W668"/>
      <c r="AA668"/>
      <c r="AB668"/>
    </row>
    <row r="669" spans="2:28" x14ac:dyDescent="0.35">
      <c r="B669" s="1"/>
      <c r="H669"/>
      <c r="I669"/>
      <c r="K669"/>
      <c r="L669"/>
      <c r="N669" s="1"/>
      <c r="Q669"/>
      <c r="T669"/>
      <c r="W669"/>
      <c r="AA669"/>
      <c r="AB669"/>
    </row>
    <row r="670" spans="2:28" x14ac:dyDescent="0.35">
      <c r="B670" s="1"/>
      <c r="H670"/>
      <c r="I670"/>
      <c r="K670"/>
      <c r="L670"/>
      <c r="N670" s="1"/>
      <c r="Q670"/>
      <c r="T670"/>
      <c r="W670"/>
      <c r="AA670"/>
      <c r="AB670"/>
    </row>
    <row r="671" spans="2:28" x14ac:dyDescent="0.35">
      <c r="B671" s="1"/>
      <c r="H671"/>
      <c r="I671"/>
      <c r="K671"/>
      <c r="L671"/>
      <c r="N671" s="1"/>
      <c r="Q671"/>
      <c r="T671"/>
      <c r="W671"/>
      <c r="AA671"/>
      <c r="AB671"/>
    </row>
    <row r="672" spans="2:28" x14ac:dyDescent="0.35">
      <c r="B672" s="1"/>
      <c r="H672"/>
      <c r="I672"/>
      <c r="K672"/>
      <c r="L672"/>
      <c r="N672" s="1"/>
      <c r="Q672"/>
      <c r="T672"/>
      <c r="W672"/>
      <c r="AA672"/>
      <c r="AB672"/>
    </row>
    <row r="673" spans="2:28" x14ac:dyDescent="0.35">
      <c r="B673" s="1"/>
      <c r="H673"/>
      <c r="I673"/>
      <c r="K673"/>
      <c r="L673"/>
      <c r="N673" s="1"/>
      <c r="Q673"/>
      <c r="T673"/>
      <c r="W673"/>
      <c r="AA673"/>
      <c r="AB673"/>
    </row>
    <row r="674" spans="2:28" x14ac:dyDescent="0.35">
      <c r="B674" s="1"/>
      <c r="H674"/>
      <c r="I674"/>
      <c r="K674"/>
      <c r="L674"/>
      <c r="N674" s="1"/>
      <c r="Q674"/>
      <c r="T674"/>
      <c r="W674"/>
      <c r="AA674"/>
      <c r="AB674"/>
    </row>
    <row r="675" spans="2:28" x14ac:dyDescent="0.35">
      <c r="B675" s="1"/>
      <c r="H675"/>
      <c r="I675"/>
      <c r="K675"/>
      <c r="L675"/>
      <c r="N675" s="1"/>
      <c r="Q675"/>
      <c r="T675"/>
      <c r="W675"/>
      <c r="AA675"/>
      <c r="AB675"/>
    </row>
    <row r="676" spans="2:28" x14ac:dyDescent="0.35">
      <c r="B676" s="1"/>
      <c r="H676"/>
      <c r="I676"/>
      <c r="K676"/>
      <c r="L676"/>
      <c r="N676" s="1"/>
      <c r="Q676"/>
      <c r="T676"/>
      <c r="W676"/>
      <c r="AA676"/>
      <c r="AB676"/>
    </row>
    <row r="677" spans="2:28" x14ac:dyDescent="0.35">
      <c r="B677" s="1"/>
      <c r="H677"/>
      <c r="I677"/>
      <c r="K677"/>
      <c r="L677"/>
      <c r="N677" s="1"/>
      <c r="Q677"/>
      <c r="T677"/>
      <c r="W677"/>
      <c r="AA677"/>
      <c r="AB677"/>
    </row>
    <row r="678" spans="2:28" x14ac:dyDescent="0.35">
      <c r="B678" s="1"/>
      <c r="H678"/>
      <c r="I678"/>
      <c r="K678"/>
      <c r="L678"/>
      <c r="N678" s="1"/>
      <c r="Q678"/>
      <c r="T678"/>
      <c r="W678"/>
      <c r="AA678"/>
      <c r="AB678"/>
    </row>
    <row r="679" spans="2:28" x14ac:dyDescent="0.35">
      <c r="B679" s="1"/>
      <c r="H679"/>
      <c r="I679"/>
      <c r="K679"/>
      <c r="L679"/>
      <c r="N679" s="1"/>
      <c r="Q679"/>
      <c r="T679"/>
      <c r="W679"/>
      <c r="AA679"/>
      <c r="AB679"/>
    </row>
    <row r="680" spans="2:28" x14ac:dyDescent="0.35">
      <c r="B680" s="1"/>
      <c r="H680"/>
      <c r="I680"/>
      <c r="K680"/>
      <c r="L680"/>
      <c r="N680" s="1"/>
      <c r="Q680"/>
      <c r="T680"/>
      <c r="W680"/>
      <c r="AA680"/>
      <c r="AB680"/>
    </row>
    <row r="681" spans="2:28" x14ac:dyDescent="0.35">
      <c r="B681" s="1"/>
      <c r="H681"/>
      <c r="I681"/>
      <c r="K681"/>
      <c r="L681"/>
      <c r="N681" s="1"/>
      <c r="Q681"/>
      <c r="T681"/>
      <c r="W681"/>
      <c r="AA681"/>
      <c r="AB681"/>
    </row>
    <row r="682" spans="2:28" x14ac:dyDescent="0.35">
      <c r="B682" s="1"/>
      <c r="H682"/>
      <c r="I682"/>
      <c r="K682"/>
      <c r="L682"/>
      <c r="N682" s="1"/>
      <c r="Q682"/>
      <c r="T682"/>
      <c r="W682"/>
      <c r="AA682"/>
      <c r="AB682"/>
    </row>
    <row r="683" spans="2:28" x14ac:dyDescent="0.35">
      <c r="B683" s="1"/>
      <c r="H683"/>
      <c r="I683"/>
      <c r="K683"/>
      <c r="L683"/>
      <c r="N683" s="1"/>
      <c r="Q683"/>
      <c r="T683"/>
      <c r="W683"/>
      <c r="AA683"/>
      <c r="AB683"/>
    </row>
    <row r="684" spans="2:28" x14ac:dyDescent="0.35">
      <c r="B684" s="1"/>
      <c r="H684"/>
      <c r="I684"/>
      <c r="K684"/>
      <c r="L684"/>
      <c r="N684" s="1"/>
      <c r="Q684"/>
      <c r="T684"/>
      <c r="W684"/>
      <c r="AA684"/>
      <c r="AB684"/>
    </row>
    <row r="685" spans="2:28" x14ac:dyDescent="0.35">
      <c r="B685" s="1"/>
      <c r="H685"/>
      <c r="I685"/>
      <c r="K685"/>
      <c r="L685"/>
      <c r="N685" s="1"/>
      <c r="Q685"/>
      <c r="T685"/>
      <c r="W685"/>
      <c r="AA685"/>
      <c r="AB685"/>
    </row>
    <row r="686" spans="2:28" x14ac:dyDescent="0.35">
      <c r="B686" s="1"/>
      <c r="H686"/>
      <c r="I686"/>
      <c r="K686"/>
      <c r="L686"/>
      <c r="N686" s="1"/>
      <c r="Q686"/>
      <c r="T686"/>
      <c r="W686"/>
      <c r="AA686"/>
      <c r="AB686"/>
    </row>
    <row r="687" spans="2:28" x14ac:dyDescent="0.35">
      <c r="B687" s="1"/>
      <c r="H687"/>
      <c r="I687"/>
      <c r="K687"/>
      <c r="L687"/>
      <c r="N687" s="1"/>
      <c r="Q687"/>
      <c r="T687"/>
      <c r="W687"/>
      <c r="AA687"/>
      <c r="AB687"/>
    </row>
    <row r="688" spans="2:28" x14ac:dyDescent="0.35">
      <c r="B688" s="1"/>
      <c r="H688"/>
      <c r="I688"/>
      <c r="K688"/>
      <c r="L688"/>
      <c r="N688" s="1"/>
      <c r="Q688"/>
      <c r="T688"/>
      <c r="W688"/>
      <c r="AA688"/>
      <c r="AB688"/>
    </row>
    <row r="689" spans="2:28" x14ac:dyDescent="0.35">
      <c r="B689" s="1"/>
      <c r="H689"/>
      <c r="I689"/>
      <c r="K689"/>
      <c r="L689"/>
      <c r="N689" s="1"/>
      <c r="Q689"/>
      <c r="T689"/>
      <c r="W689"/>
      <c r="AA689"/>
      <c r="AB689"/>
    </row>
    <row r="690" spans="2:28" x14ac:dyDescent="0.35">
      <c r="B690" s="1"/>
      <c r="H690"/>
      <c r="I690"/>
      <c r="K690"/>
      <c r="L690"/>
      <c r="N690" s="1"/>
      <c r="Q690"/>
      <c r="T690"/>
      <c r="W690"/>
      <c r="AA690"/>
      <c r="AB690"/>
    </row>
    <row r="691" spans="2:28" x14ac:dyDescent="0.35">
      <c r="B691" s="1"/>
      <c r="H691"/>
      <c r="I691"/>
      <c r="K691"/>
      <c r="L691"/>
      <c r="N691" s="1"/>
      <c r="Q691"/>
      <c r="T691"/>
      <c r="W691"/>
      <c r="AA691"/>
      <c r="AB691"/>
    </row>
    <row r="692" spans="2:28" x14ac:dyDescent="0.35">
      <c r="B692" s="1"/>
      <c r="H692"/>
      <c r="I692"/>
      <c r="K692"/>
      <c r="L692"/>
      <c r="N692" s="1"/>
      <c r="Q692"/>
      <c r="T692"/>
      <c r="W692"/>
      <c r="AA692"/>
      <c r="AB692"/>
    </row>
    <row r="693" spans="2:28" x14ac:dyDescent="0.35">
      <c r="B693" s="1"/>
      <c r="H693"/>
      <c r="I693"/>
      <c r="K693"/>
      <c r="L693"/>
      <c r="N693" s="1"/>
      <c r="Q693"/>
      <c r="T693"/>
      <c r="W693"/>
      <c r="AA693"/>
      <c r="AB693"/>
    </row>
    <row r="694" spans="2:28" x14ac:dyDescent="0.35">
      <c r="B694" s="1"/>
      <c r="H694"/>
      <c r="I694"/>
      <c r="K694"/>
      <c r="L694"/>
      <c r="N694" s="1"/>
      <c r="Q694"/>
      <c r="T694"/>
      <c r="W694"/>
      <c r="AA694"/>
      <c r="AB694"/>
    </row>
    <row r="695" spans="2:28" x14ac:dyDescent="0.35">
      <c r="B695" s="1"/>
      <c r="H695"/>
      <c r="I695"/>
      <c r="K695"/>
      <c r="L695"/>
      <c r="N695" s="1"/>
      <c r="Q695"/>
      <c r="T695"/>
      <c r="W695"/>
      <c r="AA695"/>
      <c r="AB695"/>
    </row>
    <row r="696" spans="2:28" x14ac:dyDescent="0.35">
      <c r="B696" s="1"/>
      <c r="H696"/>
      <c r="I696"/>
      <c r="K696"/>
      <c r="L696"/>
      <c r="N696" s="1"/>
      <c r="Q696"/>
      <c r="T696"/>
      <c r="W696"/>
      <c r="AA696"/>
      <c r="AB696"/>
    </row>
    <row r="697" spans="2:28" x14ac:dyDescent="0.35">
      <c r="B697" s="1"/>
      <c r="H697"/>
      <c r="I697"/>
      <c r="K697"/>
      <c r="L697"/>
      <c r="N697" s="1"/>
      <c r="Q697"/>
      <c r="T697"/>
      <c r="W697"/>
      <c r="AA697"/>
      <c r="AB697"/>
    </row>
    <row r="698" spans="2:28" x14ac:dyDescent="0.35">
      <c r="B698" s="1"/>
      <c r="H698"/>
      <c r="I698"/>
      <c r="K698"/>
      <c r="L698"/>
      <c r="N698" s="1"/>
      <c r="Q698"/>
      <c r="T698"/>
      <c r="W698"/>
      <c r="AA698"/>
      <c r="AB698"/>
    </row>
    <row r="699" spans="2:28" x14ac:dyDescent="0.35">
      <c r="B699" s="1"/>
      <c r="H699"/>
      <c r="I699"/>
      <c r="K699"/>
      <c r="L699"/>
      <c r="N699" s="1"/>
      <c r="Q699"/>
      <c r="T699"/>
      <c r="W699"/>
      <c r="AA699"/>
      <c r="AB699"/>
    </row>
    <row r="700" spans="2:28" x14ac:dyDescent="0.35">
      <c r="B700" s="1"/>
      <c r="H700"/>
      <c r="I700"/>
      <c r="K700"/>
      <c r="L700"/>
      <c r="N700" s="1"/>
      <c r="Q700"/>
      <c r="T700"/>
      <c r="W700"/>
      <c r="AA700"/>
      <c r="AB700"/>
    </row>
    <row r="701" spans="2:28" x14ac:dyDescent="0.35">
      <c r="B701" s="1"/>
      <c r="H701"/>
      <c r="I701"/>
      <c r="K701"/>
      <c r="L701"/>
      <c r="N701" s="1"/>
      <c r="Q701"/>
      <c r="T701"/>
      <c r="W701"/>
      <c r="AA701"/>
      <c r="AB701"/>
    </row>
    <row r="702" spans="2:28" x14ac:dyDescent="0.35">
      <c r="B702" s="1"/>
      <c r="H702"/>
      <c r="I702"/>
      <c r="K702"/>
      <c r="L702"/>
      <c r="N702" s="1"/>
      <c r="Q702"/>
      <c r="T702"/>
      <c r="W702"/>
      <c r="AA702"/>
      <c r="AB702"/>
    </row>
    <row r="703" spans="2:28" x14ac:dyDescent="0.35">
      <c r="B703" s="1"/>
      <c r="H703"/>
      <c r="I703"/>
      <c r="K703"/>
      <c r="L703"/>
      <c r="N703" s="1"/>
      <c r="Q703"/>
      <c r="T703"/>
      <c r="W703"/>
      <c r="AA703"/>
      <c r="AB703"/>
    </row>
    <row r="704" spans="2:28" x14ac:dyDescent="0.35">
      <c r="B704" s="1"/>
      <c r="H704"/>
      <c r="I704"/>
      <c r="K704"/>
      <c r="L704"/>
      <c r="N704" s="1"/>
      <c r="Q704"/>
      <c r="T704"/>
      <c r="W704"/>
      <c r="AA704"/>
      <c r="AB704"/>
    </row>
    <row r="705" spans="2:28" x14ac:dyDescent="0.35">
      <c r="B705" s="1"/>
      <c r="H705"/>
      <c r="I705"/>
      <c r="K705"/>
      <c r="L705"/>
      <c r="N705" s="1"/>
      <c r="Q705"/>
      <c r="T705"/>
      <c r="W705"/>
      <c r="AA705"/>
      <c r="AB705"/>
    </row>
    <row r="706" spans="2:28" x14ac:dyDescent="0.35">
      <c r="B706" s="1"/>
      <c r="H706"/>
      <c r="I706"/>
      <c r="K706"/>
      <c r="L706"/>
      <c r="N706" s="1"/>
      <c r="Q706"/>
      <c r="T706"/>
      <c r="W706"/>
      <c r="AA706"/>
      <c r="AB706"/>
    </row>
    <row r="707" spans="2:28" x14ac:dyDescent="0.35">
      <c r="B707" s="1"/>
      <c r="H707"/>
      <c r="I707"/>
      <c r="K707"/>
      <c r="L707"/>
      <c r="N707" s="1"/>
      <c r="Q707"/>
      <c r="T707"/>
      <c r="W707"/>
      <c r="AA707"/>
      <c r="AB707"/>
    </row>
    <row r="708" spans="2:28" x14ac:dyDescent="0.35">
      <c r="B708" s="1"/>
      <c r="H708"/>
      <c r="I708"/>
      <c r="K708"/>
      <c r="L708"/>
      <c r="N708" s="1"/>
      <c r="Q708"/>
      <c r="T708"/>
      <c r="W708"/>
      <c r="AA708"/>
      <c r="AB708"/>
    </row>
    <row r="709" spans="2:28" x14ac:dyDescent="0.35">
      <c r="B709" s="1"/>
      <c r="H709"/>
      <c r="I709"/>
      <c r="K709"/>
      <c r="L709"/>
      <c r="N709" s="1"/>
      <c r="Q709"/>
      <c r="T709"/>
      <c r="W709"/>
      <c r="AA709"/>
      <c r="AB709"/>
    </row>
    <row r="710" spans="2:28" x14ac:dyDescent="0.35">
      <c r="B710" s="1"/>
      <c r="H710"/>
      <c r="I710"/>
      <c r="K710"/>
      <c r="L710"/>
      <c r="N710" s="1"/>
      <c r="Q710"/>
      <c r="T710"/>
      <c r="W710"/>
      <c r="AA710"/>
      <c r="AB710"/>
    </row>
    <row r="711" spans="2:28" x14ac:dyDescent="0.35">
      <c r="B711" s="1"/>
      <c r="H711"/>
      <c r="I711"/>
      <c r="K711"/>
      <c r="L711"/>
      <c r="N711" s="1"/>
      <c r="Q711"/>
      <c r="T711"/>
      <c r="W711"/>
      <c r="AA711"/>
      <c r="AB711"/>
    </row>
    <row r="712" spans="2:28" x14ac:dyDescent="0.35">
      <c r="B712" s="1"/>
      <c r="H712"/>
      <c r="I712"/>
      <c r="K712"/>
      <c r="L712"/>
      <c r="N712" s="1"/>
      <c r="Q712"/>
      <c r="T712"/>
      <c r="W712"/>
      <c r="AA712"/>
      <c r="AB712"/>
    </row>
    <row r="713" spans="2:28" x14ac:dyDescent="0.35">
      <c r="B713" s="1"/>
      <c r="H713"/>
      <c r="I713"/>
      <c r="K713"/>
      <c r="L713"/>
      <c r="N713" s="1"/>
      <c r="Q713"/>
      <c r="T713"/>
      <c r="W713"/>
      <c r="AA713"/>
      <c r="AB713"/>
    </row>
    <row r="714" spans="2:28" x14ac:dyDescent="0.35">
      <c r="B714" s="1"/>
      <c r="H714"/>
      <c r="I714"/>
      <c r="K714"/>
      <c r="L714"/>
      <c r="N714" s="1"/>
      <c r="Q714"/>
      <c r="T714"/>
      <c r="W714"/>
      <c r="AA714"/>
      <c r="AB714"/>
    </row>
    <row r="715" spans="2:28" x14ac:dyDescent="0.35">
      <c r="B715" s="1"/>
      <c r="H715"/>
      <c r="I715"/>
      <c r="K715"/>
      <c r="L715"/>
      <c r="N715" s="1"/>
      <c r="Q715"/>
      <c r="T715"/>
      <c r="W715"/>
      <c r="AA715"/>
      <c r="AB715"/>
    </row>
    <row r="716" spans="2:28" x14ac:dyDescent="0.35">
      <c r="B716" s="1"/>
      <c r="H716"/>
      <c r="I716"/>
      <c r="K716"/>
      <c r="L716"/>
      <c r="N716" s="1"/>
      <c r="Q716"/>
      <c r="T716"/>
      <c r="W716"/>
      <c r="AA716"/>
      <c r="AB716"/>
    </row>
    <row r="717" spans="2:28" x14ac:dyDescent="0.35">
      <c r="B717" s="1"/>
      <c r="H717"/>
      <c r="I717"/>
      <c r="K717"/>
      <c r="L717"/>
      <c r="N717" s="1"/>
      <c r="Q717"/>
      <c r="T717"/>
      <c r="W717"/>
      <c r="AA717"/>
      <c r="AB717"/>
    </row>
    <row r="718" spans="2:28" x14ac:dyDescent="0.35">
      <c r="B718" s="1"/>
      <c r="H718"/>
      <c r="I718"/>
      <c r="K718"/>
      <c r="L718"/>
      <c r="N718" s="1"/>
      <c r="Q718"/>
      <c r="T718"/>
      <c r="W718"/>
      <c r="AA718"/>
      <c r="AB718"/>
    </row>
    <row r="719" spans="2:28" x14ac:dyDescent="0.35">
      <c r="B719" s="1"/>
      <c r="H719"/>
      <c r="I719"/>
      <c r="K719"/>
      <c r="L719"/>
      <c r="N719" s="1"/>
      <c r="Q719"/>
      <c r="T719"/>
      <c r="W719"/>
      <c r="AA719"/>
      <c r="AB719"/>
    </row>
    <row r="720" spans="2:28" x14ac:dyDescent="0.35">
      <c r="B720" s="1"/>
      <c r="H720"/>
      <c r="I720"/>
      <c r="K720"/>
      <c r="L720"/>
      <c r="N720" s="1"/>
      <c r="Q720"/>
      <c r="T720"/>
      <c r="W720"/>
      <c r="AA720"/>
      <c r="AB720"/>
    </row>
    <row r="721" spans="2:28" x14ac:dyDescent="0.35">
      <c r="B721" s="1"/>
      <c r="H721"/>
      <c r="I721"/>
      <c r="K721"/>
      <c r="L721"/>
      <c r="N721" s="1"/>
      <c r="Q721"/>
      <c r="T721"/>
      <c r="W721"/>
      <c r="AA721"/>
      <c r="AB721"/>
    </row>
    <row r="722" spans="2:28" x14ac:dyDescent="0.35">
      <c r="B722" s="1"/>
      <c r="H722"/>
      <c r="I722"/>
      <c r="K722"/>
      <c r="L722"/>
      <c r="N722" s="1"/>
      <c r="Q722"/>
      <c r="T722"/>
      <c r="W722"/>
      <c r="AA722"/>
      <c r="AB722"/>
    </row>
    <row r="723" spans="2:28" x14ac:dyDescent="0.35">
      <c r="B723" s="1"/>
      <c r="H723"/>
      <c r="I723"/>
      <c r="K723"/>
      <c r="L723"/>
      <c r="N723" s="1"/>
      <c r="Q723"/>
      <c r="T723"/>
      <c r="W723"/>
      <c r="AA723"/>
      <c r="AB723"/>
    </row>
    <row r="724" spans="2:28" x14ac:dyDescent="0.35">
      <c r="B724" s="1"/>
      <c r="H724"/>
      <c r="I724"/>
      <c r="K724"/>
      <c r="L724"/>
      <c r="N724" s="1"/>
      <c r="Q724"/>
      <c r="T724"/>
      <c r="W724"/>
      <c r="AA724"/>
      <c r="AB724"/>
    </row>
    <row r="725" spans="2:28" x14ac:dyDescent="0.35">
      <c r="B725" s="1"/>
      <c r="H725"/>
      <c r="I725"/>
      <c r="K725"/>
      <c r="L725"/>
      <c r="N725" s="1"/>
      <c r="Q725"/>
      <c r="T725"/>
      <c r="W725"/>
      <c r="AA725"/>
      <c r="AB725"/>
    </row>
    <row r="726" spans="2:28" x14ac:dyDescent="0.35">
      <c r="B726" s="1"/>
      <c r="H726"/>
      <c r="I726"/>
      <c r="K726"/>
      <c r="L726"/>
      <c r="N726" s="1"/>
      <c r="Q726"/>
      <c r="T726"/>
      <c r="W726"/>
      <c r="AA726"/>
      <c r="AB726"/>
    </row>
    <row r="727" spans="2:28" x14ac:dyDescent="0.35">
      <c r="B727" s="1"/>
      <c r="H727"/>
      <c r="I727"/>
      <c r="K727"/>
      <c r="L727"/>
      <c r="N727" s="1"/>
      <c r="Q727"/>
      <c r="T727"/>
      <c r="W727"/>
      <c r="AA727"/>
      <c r="AB727"/>
    </row>
    <row r="728" spans="2:28" x14ac:dyDescent="0.35">
      <c r="B728" s="1"/>
      <c r="H728"/>
      <c r="I728"/>
      <c r="K728"/>
      <c r="L728"/>
      <c r="N728" s="1"/>
      <c r="Q728"/>
      <c r="T728"/>
      <c r="W728"/>
      <c r="AA728"/>
      <c r="AB728"/>
    </row>
    <row r="729" spans="2:28" x14ac:dyDescent="0.35">
      <c r="B729" s="1"/>
      <c r="H729"/>
      <c r="I729"/>
      <c r="K729"/>
      <c r="L729"/>
      <c r="N729" s="1"/>
      <c r="Q729"/>
      <c r="T729"/>
      <c r="W729"/>
      <c r="AA729"/>
      <c r="AB729"/>
    </row>
    <row r="730" spans="2:28" x14ac:dyDescent="0.35">
      <c r="B730" s="1"/>
      <c r="H730"/>
      <c r="I730"/>
      <c r="K730"/>
      <c r="L730"/>
      <c r="N730" s="1"/>
      <c r="Q730"/>
      <c r="T730"/>
      <c r="W730"/>
      <c r="AA730"/>
      <c r="AB730"/>
    </row>
    <row r="731" spans="2:28" x14ac:dyDescent="0.35">
      <c r="B731" s="1"/>
      <c r="H731"/>
      <c r="I731"/>
      <c r="K731"/>
      <c r="L731"/>
      <c r="N731" s="1"/>
      <c r="Q731"/>
      <c r="T731"/>
      <c r="W731"/>
      <c r="AA731"/>
      <c r="AB731"/>
    </row>
    <row r="732" spans="2:28" x14ac:dyDescent="0.35">
      <c r="B732" s="1"/>
      <c r="H732"/>
      <c r="I732"/>
      <c r="K732"/>
      <c r="L732"/>
      <c r="N732" s="1"/>
      <c r="Q732"/>
      <c r="T732"/>
      <c r="W732"/>
      <c r="AA732"/>
      <c r="AB732"/>
    </row>
    <row r="733" spans="2:28" x14ac:dyDescent="0.35">
      <c r="B733" s="1"/>
      <c r="H733"/>
      <c r="I733"/>
      <c r="K733"/>
      <c r="L733"/>
      <c r="N733" s="1"/>
      <c r="Q733"/>
      <c r="T733"/>
      <c r="W733"/>
      <c r="AA733"/>
      <c r="AB733"/>
    </row>
    <row r="734" spans="2:28" x14ac:dyDescent="0.35">
      <c r="B734" s="1"/>
      <c r="H734"/>
      <c r="I734"/>
      <c r="K734"/>
      <c r="L734"/>
      <c r="N734" s="1"/>
      <c r="Q734"/>
      <c r="T734"/>
      <c r="W734"/>
      <c r="AA734"/>
      <c r="AB734"/>
    </row>
    <row r="735" spans="2:28" x14ac:dyDescent="0.35">
      <c r="B735" s="1"/>
      <c r="H735"/>
      <c r="I735"/>
      <c r="K735"/>
      <c r="L735"/>
      <c r="N735" s="1"/>
      <c r="Q735"/>
      <c r="T735"/>
      <c r="W735"/>
      <c r="AA735"/>
      <c r="AB735"/>
    </row>
    <row r="736" spans="2:28" x14ac:dyDescent="0.35">
      <c r="B736" s="1"/>
      <c r="H736"/>
      <c r="I736"/>
      <c r="K736"/>
      <c r="L736"/>
      <c r="N736" s="1"/>
      <c r="Q736"/>
      <c r="T736"/>
      <c r="W736"/>
      <c r="AA736"/>
      <c r="AB736"/>
    </row>
    <row r="737" spans="2:28" x14ac:dyDescent="0.35">
      <c r="B737" s="1"/>
      <c r="H737"/>
      <c r="I737"/>
      <c r="K737"/>
      <c r="L737"/>
      <c r="N737" s="1"/>
      <c r="Q737"/>
      <c r="T737"/>
      <c r="W737"/>
      <c r="AA737"/>
      <c r="AB737"/>
    </row>
    <row r="738" spans="2:28" x14ac:dyDescent="0.35">
      <c r="B738" s="1"/>
      <c r="H738"/>
      <c r="I738"/>
      <c r="K738"/>
      <c r="L738"/>
      <c r="N738" s="1"/>
      <c r="Q738"/>
      <c r="T738"/>
      <c r="W738"/>
      <c r="AA738"/>
      <c r="AB738"/>
    </row>
    <row r="739" spans="2:28" x14ac:dyDescent="0.35">
      <c r="B739" s="1"/>
      <c r="H739"/>
      <c r="I739"/>
      <c r="K739"/>
      <c r="L739"/>
      <c r="N739" s="1"/>
      <c r="Q739"/>
      <c r="T739"/>
      <c r="W739"/>
      <c r="AA739"/>
      <c r="AB739"/>
    </row>
    <row r="740" spans="2:28" x14ac:dyDescent="0.35">
      <c r="B740" s="1"/>
      <c r="H740"/>
      <c r="I740"/>
      <c r="K740"/>
      <c r="L740"/>
      <c r="N740" s="1"/>
      <c r="Q740"/>
      <c r="T740"/>
      <c r="W740"/>
      <c r="AA740"/>
      <c r="AB740"/>
    </row>
    <row r="741" spans="2:28" x14ac:dyDescent="0.35">
      <c r="B741" s="1"/>
      <c r="H741"/>
      <c r="I741"/>
      <c r="K741"/>
      <c r="L741"/>
      <c r="N741" s="1"/>
      <c r="Q741"/>
      <c r="T741"/>
      <c r="W741"/>
      <c r="AA741"/>
      <c r="AB741"/>
    </row>
    <row r="742" spans="2:28" x14ac:dyDescent="0.35">
      <c r="B742" s="1"/>
      <c r="H742"/>
      <c r="I742"/>
      <c r="K742"/>
      <c r="L742"/>
      <c r="N742" s="1"/>
      <c r="Q742"/>
      <c r="T742"/>
      <c r="W742"/>
      <c r="AA742"/>
      <c r="AB742"/>
    </row>
    <row r="743" spans="2:28" x14ac:dyDescent="0.35">
      <c r="B743" s="1"/>
      <c r="H743"/>
      <c r="I743"/>
      <c r="K743"/>
      <c r="L743"/>
      <c r="N743" s="1"/>
      <c r="Q743"/>
      <c r="T743"/>
      <c r="W743"/>
      <c r="AA743"/>
      <c r="AB743"/>
    </row>
    <row r="744" spans="2:28" x14ac:dyDescent="0.35">
      <c r="B744" s="1"/>
      <c r="H744"/>
      <c r="I744"/>
      <c r="K744"/>
      <c r="L744"/>
      <c r="N744" s="1"/>
      <c r="Q744"/>
      <c r="T744"/>
      <c r="W744"/>
      <c r="AA744"/>
      <c r="AB744"/>
    </row>
    <row r="745" spans="2:28" x14ac:dyDescent="0.35">
      <c r="B745" s="1"/>
      <c r="H745"/>
      <c r="I745"/>
      <c r="K745"/>
      <c r="L745"/>
      <c r="N745" s="1"/>
      <c r="Q745"/>
      <c r="T745"/>
      <c r="W745"/>
      <c r="AA745"/>
      <c r="AB745"/>
    </row>
    <row r="746" spans="2:28" x14ac:dyDescent="0.35">
      <c r="B746" s="1"/>
      <c r="H746"/>
      <c r="I746"/>
      <c r="K746"/>
      <c r="L746"/>
      <c r="N746" s="1"/>
      <c r="Q746"/>
      <c r="T746"/>
      <c r="W746"/>
      <c r="AA746"/>
      <c r="AB746"/>
    </row>
    <row r="747" spans="2:28" x14ac:dyDescent="0.35">
      <c r="B747" s="1"/>
      <c r="H747"/>
      <c r="I747"/>
      <c r="K747"/>
      <c r="L747"/>
      <c r="N747" s="1"/>
      <c r="Q747"/>
      <c r="T747"/>
      <c r="W747"/>
      <c r="AA747"/>
      <c r="AB747"/>
    </row>
    <row r="748" spans="2:28" x14ac:dyDescent="0.35">
      <c r="B748" s="1"/>
      <c r="H748"/>
      <c r="I748"/>
      <c r="K748"/>
      <c r="L748"/>
      <c r="N748" s="1"/>
      <c r="Q748"/>
      <c r="T748"/>
      <c r="W748"/>
      <c r="AA748"/>
      <c r="AB748"/>
    </row>
    <row r="749" spans="2:28" x14ac:dyDescent="0.35">
      <c r="B749" s="1"/>
      <c r="H749"/>
      <c r="I749"/>
      <c r="K749"/>
      <c r="L749"/>
      <c r="N749" s="1"/>
      <c r="Q749"/>
      <c r="T749"/>
      <c r="W749"/>
      <c r="AA749"/>
      <c r="AB749"/>
    </row>
    <row r="750" spans="2:28" x14ac:dyDescent="0.35">
      <c r="B750" s="1"/>
      <c r="H750"/>
      <c r="I750"/>
      <c r="K750"/>
      <c r="L750"/>
      <c r="N750" s="1"/>
      <c r="Q750"/>
      <c r="T750"/>
      <c r="W750"/>
      <c r="AA750"/>
      <c r="AB750"/>
    </row>
    <row r="751" spans="2:28" x14ac:dyDescent="0.35">
      <c r="B751" s="1"/>
      <c r="H751"/>
      <c r="I751"/>
      <c r="K751"/>
      <c r="L751"/>
      <c r="N751" s="1"/>
      <c r="Q751"/>
      <c r="T751"/>
      <c r="W751"/>
      <c r="AA751"/>
      <c r="AB751"/>
    </row>
    <row r="752" spans="2:28" x14ac:dyDescent="0.35">
      <c r="B752" s="1"/>
      <c r="H752"/>
      <c r="I752"/>
      <c r="K752"/>
      <c r="L752"/>
      <c r="N752" s="1"/>
      <c r="Q752"/>
      <c r="T752"/>
      <c r="W752"/>
      <c r="AA752"/>
      <c r="AB752"/>
    </row>
    <row r="753" spans="2:28" x14ac:dyDescent="0.35">
      <c r="B753" s="1"/>
      <c r="H753"/>
      <c r="I753"/>
      <c r="K753"/>
      <c r="L753"/>
      <c r="N753" s="1"/>
      <c r="Q753"/>
      <c r="T753"/>
      <c r="W753"/>
      <c r="AA753"/>
      <c r="AB753"/>
    </row>
    <row r="754" spans="2:28" x14ac:dyDescent="0.35">
      <c r="B754" s="1"/>
      <c r="H754"/>
      <c r="I754"/>
      <c r="K754"/>
      <c r="L754"/>
      <c r="N754" s="1"/>
      <c r="Q754"/>
      <c r="T754"/>
      <c r="W754"/>
      <c r="AA754"/>
      <c r="AB754"/>
    </row>
    <row r="755" spans="2:28" x14ac:dyDescent="0.35">
      <c r="B755" s="1"/>
      <c r="H755"/>
      <c r="I755"/>
      <c r="K755"/>
      <c r="L755"/>
      <c r="N755" s="1"/>
      <c r="Q755"/>
      <c r="T755"/>
      <c r="W755"/>
      <c r="AA755"/>
      <c r="AB755"/>
    </row>
    <row r="756" spans="2:28" x14ac:dyDescent="0.35">
      <c r="B756" s="1"/>
      <c r="H756"/>
      <c r="I756"/>
      <c r="K756"/>
      <c r="L756"/>
      <c r="N756" s="1"/>
      <c r="Q756"/>
      <c r="T756"/>
      <c r="W756"/>
      <c r="AA756"/>
      <c r="AB756"/>
    </row>
    <row r="757" spans="2:28" x14ac:dyDescent="0.35">
      <c r="B757" s="1"/>
      <c r="H757"/>
      <c r="I757"/>
      <c r="K757"/>
      <c r="L757"/>
      <c r="N757" s="1"/>
      <c r="Q757"/>
      <c r="T757"/>
      <c r="W757"/>
      <c r="AA757"/>
      <c r="AB757"/>
    </row>
    <row r="758" spans="2:28" x14ac:dyDescent="0.35">
      <c r="B758" s="1"/>
      <c r="H758"/>
      <c r="I758"/>
      <c r="K758"/>
      <c r="L758"/>
      <c r="N758" s="1"/>
      <c r="Q758"/>
      <c r="T758"/>
      <c r="W758"/>
      <c r="AA758"/>
      <c r="AB758"/>
    </row>
    <row r="759" spans="2:28" x14ac:dyDescent="0.35">
      <c r="B759" s="1"/>
      <c r="H759"/>
      <c r="I759"/>
      <c r="K759"/>
      <c r="L759"/>
      <c r="N759" s="1"/>
      <c r="Q759"/>
      <c r="T759"/>
      <c r="W759"/>
      <c r="AA759"/>
      <c r="AB759"/>
    </row>
    <row r="760" spans="2:28" x14ac:dyDescent="0.35">
      <c r="B760" s="1"/>
      <c r="H760"/>
      <c r="I760"/>
      <c r="K760"/>
      <c r="L760"/>
      <c r="N760" s="1"/>
      <c r="Q760"/>
      <c r="T760"/>
      <c r="W760"/>
      <c r="AA760"/>
      <c r="AB760"/>
    </row>
    <row r="761" spans="2:28" x14ac:dyDescent="0.35">
      <c r="B761" s="1"/>
      <c r="H761"/>
      <c r="I761"/>
      <c r="K761"/>
      <c r="L761"/>
      <c r="N761" s="1"/>
      <c r="Q761"/>
      <c r="T761"/>
      <c r="W761"/>
      <c r="AA761"/>
      <c r="AB761"/>
    </row>
    <row r="762" spans="2:28" x14ac:dyDescent="0.35">
      <c r="B762" s="1"/>
      <c r="H762"/>
      <c r="I762"/>
      <c r="K762"/>
      <c r="L762"/>
      <c r="N762" s="1"/>
      <c r="Q762"/>
      <c r="T762"/>
      <c r="W762"/>
      <c r="AA762"/>
      <c r="AB762"/>
    </row>
    <row r="763" spans="2:28" x14ac:dyDescent="0.35">
      <c r="B763" s="1"/>
      <c r="H763"/>
      <c r="I763"/>
      <c r="K763"/>
      <c r="L763"/>
      <c r="N763" s="1"/>
      <c r="Q763"/>
      <c r="T763"/>
      <c r="W763"/>
      <c r="AA763"/>
      <c r="AB763"/>
    </row>
    <row r="764" spans="2:28" x14ac:dyDescent="0.35">
      <c r="B764" s="1"/>
      <c r="H764"/>
      <c r="I764"/>
      <c r="K764"/>
      <c r="L764"/>
      <c r="N764" s="1"/>
      <c r="Q764"/>
      <c r="T764"/>
      <c r="W764"/>
      <c r="AA764"/>
      <c r="AB764"/>
    </row>
    <row r="765" spans="2:28" x14ac:dyDescent="0.35">
      <c r="B765" s="1"/>
      <c r="H765"/>
      <c r="I765"/>
      <c r="K765"/>
      <c r="L765"/>
      <c r="N765" s="1"/>
      <c r="Q765"/>
      <c r="T765"/>
      <c r="W765"/>
      <c r="AA765"/>
      <c r="AB765"/>
    </row>
    <row r="766" spans="2:28" x14ac:dyDescent="0.35">
      <c r="B766" s="1"/>
      <c r="H766"/>
      <c r="I766"/>
      <c r="K766"/>
      <c r="L766"/>
      <c r="N766" s="1"/>
      <c r="Q766"/>
      <c r="T766"/>
      <c r="W766"/>
      <c r="AA766"/>
      <c r="AB766"/>
    </row>
    <row r="767" spans="2:28" x14ac:dyDescent="0.35">
      <c r="B767" s="1"/>
      <c r="H767"/>
      <c r="I767"/>
      <c r="K767"/>
      <c r="L767"/>
      <c r="N767" s="1"/>
      <c r="Q767"/>
      <c r="T767"/>
      <c r="W767"/>
      <c r="AA767"/>
      <c r="AB767"/>
    </row>
    <row r="768" spans="2:28" x14ac:dyDescent="0.35">
      <c r="B768" s="1"/>
      <c r="H768"/>
      <c r="I768"/>
      <c r="K768"/>
      <c r="L768"/>
      <c r="N768" s="1"/>
      <c r="Q768"/>
      <c r="T768"/>
      <c r="W768"/>
      <c r="AA768"/>
      <c r="AB768"/>
    </row>
    <row r="769" spans="2:28" x14ac:dyDescent="0.35">
      <c r="B769" s="1"/>
      <c r="H769"/>
      <c r="I769"/>
      <c r="K769"/>
      <c r="L769"/>
      <c r="N769" s="1"/>
      <c r="Q769"/>
      <c r="T769"/>
      <c r="W769"/>
      <c r="AA769"/>
      <c r="AB769"/>
    </row>
    <row r="770" spans="2:28" x14ac:dyDescent="0.35">
      <c r="B770" s="1"/>
      <c r="H770"/>
      <c r="I770"/>
      <c r="K770"/>
      <c r="L770"/>
      <c r="N770" s="1"/>
      <c r="Q770"/>
      <c r="T770"/>
      <c r="W770"/>
      <c r="AA770"/>
      <c r="AB770"/>
    </row>
    <row r="771" spans="2:28" x14ac:dyDescent="0.35">
      <c r="B771" s="1"/>
      <c r="H771"/>
      <c r="I771"/>
      <c r="K771"/>
      <c r="L771"/>
      <c r="N771" s="1"/>
      <c r="Q771"/>
      <c r="T771"/>
      <c r="W771"/>
      <c r="AA771"/>
      <c r="AB771"/>
    </row>
    <row r="772" spans="2:28" x14ac:dyDescent="0.35">
      <c r="B772" s="1"/>
      <c r="H772"/>
      <c r="I772"/>
      <c r="K772"/>
      <c r="L772"/>
      <c r="N772" s="1"/>
      <c r="Q772"/>
      <c r="T772"/>
      <c r="W772"/>
      <c r="AA772"/>
      <c r="AB772"/>
    </row>
    <row r="773" spans="2:28" x14ac:dyDescent="0.35">
      <c r="B773" s="1"/>
      <c r="H773"/>
      <c r="I773"/>
      <c r="K773"/>
      <c r="L773"/>
      <c r="N773" s="1"/>
      <c r="Q773"/>
      <c r="T773"/>
      <c r="W773"/>
      <c r="AA773"/>
      <c r="AB773"/>
    </row>
    <row r="774" spans="2:28" x14ac:dyDescent="0.35">
      <c r="B774" s="1"/>
      <c r="H774"/>
      <c r="I774"/>
      <c r="K774"/>
      <c r="L774"/>
      <c r="N774" s="1"/>
      <c r="Q774"/>
      <c r="T774"/>
      <c r="W774"/>
      <c r="AA774"/>
      <c r="AB774"/>
    </row>
    <row r="775" spans="2:28" x14ac:dyDescent="0.35">
      <c r="B775" s="1"/>
      <c r="H775"/>
      <c r="I775"/>
      <c r="K775"/>
      <c r="L775"/>
      <c r="N775" s="1"/>
      <c r="Q775"/>
      <c r="T775"/>
      <c r="W775"/>
      <c r="AA775"/>
      <c r="AB775"/>
    </row>
    <row r="776" spans="2:28" x14ac:dyDescent="0.35">
      <c r="B776" s="1"/>
      <c r="H776"/>
      <c r="I776"/>
      <c r="K776"/>
      <c r="L776"/>
      <c r="N776" s="1"/>
      <c r="Q776"/>
      <c r="T776"/>
      <c r="W776"/>
      <c r="AA776"/>
      <c r="AB776"/>
    </row>
    <row r="777" spans="2:28" x14ac:dyDescent="0.35">
      <c r="B777" s="1"/>
      <c r="H777"/>
      <c r="I777"/>
      <c r="K777"/>
      <c r="L777"/>
      <c r="N777" s="1"/>
      <c r="Q777"/>
      <c r="T777"/>
      <c r="W777"/>
      <c r="AA777"/>
      <c r="AB777"/>
    </row>
    <row r="778" spans="2:28" x14ac:dyDescent="0.35">
      <c r="B778" s="1"/>
      <c r="H778"/>
      <c r="I778"/>
      <c r="K778"/>
      <c r="L778"/>
      <c r="N778" s="1"/>
      <c r="Q778"/>
      <c r="T778"/>
      <c r="W778"/>
      <c r="AA778"/>
      <c r="AB778"/>
    </row>
    <row r="779" spans="2:28" x14ac:dyDescent="0.35">
      <c r="B779" s="1"/>
      <c r="H779"/>
      <c r="I779"/>
      <c r="K779"/>
      <c r="L779"/>
      <c r="N779" s="1"/>
      <c r="Q779"/>
      <c r="T779"/>
      <c r="W779"/>
      <c r="AA779"/>
      <c r="AB779"/>
    </row>
    <row r="780" spans="2:28" x14ac:dyDescent="0.35">
      <c r="B780" s="1"/>
      <c r="H780"/>
      <c r="I780"/>
      <c r="K780"/>
      <c r="L780"/>
      <c r="N780" s="1"/>
      <c r="Q780"/>
      <c r="T780"/>
      <c r="W780"/>
      <c r="AA780"/>
      <c r="AB780"/>
    </row>
    <row r="781" spans="2:28" x14ac:dyDescent="0.35">
      <c r="B781" s="1"/>
      <c r="H781"/>
      <c r="I781"/>
      <c r="K781"/>
      <c r="L781"/>
      <c r="N781" s="1"/>
      <c r="Q781"/>
      <c r="T781"/>
      <c r="W781"/>
      <c r="AA781"/>
      <c r="AB781"/>
    </row>
    <row r="782" spans="2:28" x14ac:dyDescent="0.35">
      <c r="B782" s="1"/>
      <c r="H782"/>
      <c r="I782"/>
      <c r="K782"/>
      <c r="L782"/>
      <c r="N782" s="1"/>
      <c r="Q782"/>
      <c r="T782"/>
      <c r="W782"/>
      <c r="AA782"/>
      <c r="AB782"/>
    </row>
    <row r="783" spans="2:28" x14ac:dyDescent="0.35">
      <c r="B783" s="1"/>
      <c r="H783"/>
      <c r="I783"/>
      <c r="K783"/>
      <c r="L783"/>
      <c r="N783" s="1"/>
      <c r="Q783"/>
      <c r="T783"/>
      <c r="W783"/>
      <c r="AA783"/>
      <c r="AB783"/>
    </row>
    <row r="784" spans="2:28" x14ac:dyDescent="0.35">
      <c r="B784" s="1"/>
      <c r="H784"/>
      <c r="I784"/>
      <c r="K784"/>
      <c r="L784"/>
      <c r="N784" s="1"/>
      <c r="Q784"/>
      <c r="T784"/>
      <c r="W784"/>
      <c r="AA784"/>
      <c r="AB784"/>
    </row>
    <row r="785" spans="2:28" x14ac:dyDescent="0.35">
      <c r="B785" s="1"/>
      <c r="H785"/>
      <c r="I785"/>
      <c r="K785"/>
      <c r="L785"/>
      <c r="N785" s="1"/>
      <c r="Q785"/>
      <c r="T785"/>
      <c r="W785"/>
      <c r="AA785"/>
      <c r="AB785"/>
    </row>
    <row r="786" spans="2:28" x14ac:dyDescent="0.35">
      <c r="B786" s="1"/>
      <c r="H786"/>
      <c r="I786"/>
      <c r="K786"/>
      <c r="L786"/>
      <c r="N786" s="1"/>
      <c r="Q786"/>
      <c r="T786"/>
      <c r="W786"/>
      <c r="AA786"/>
      <c r="AB786"/>
    </row>
    <row r="787" spans="2:28" x14ac:dyDescent="0.35">
      <c r="B787" s="1"/>
      <c r="H787"/>
      <c r="I787"/>
      <c r="K787"/>
      <c r="L787"/>
      <c r="N787" s="1"/>
      <c r="Q787"/>
      <c r="T787"/>
      <c r="W787"/>
      <c r="AA787"/>
      <c r="AB787"/>
    </row>
    <row r="788" spans="2:28" x14ac:dyDescent="0.35">
      <c r="B788" s="1"/>
      <c r="H788"/>
      <c r="I788"/>
      <c r="K788"/>
      <c r="L788"/>
      <c r="N788" s="1"/>
      <c r="Q788"/>
      <c r="T788"/>
      <c r="W788"/>
      <c r="AA788"/>
      <c r="AB788"/>
    </row>
    <row r="789" spans="2:28" x14ac:dyDescent="0.35">
      <c r="B789" s="1"/>
      <c r="H789"/>
      <c r="I789"/>
      <c r="K789"/>
      <c r="L789"/>
      <c r="N789" s="1"/>
      <c r="Q789"/>
      <c r="T789"/>
      <c r="W789"/>
      <c r="AA789"/>
      <c r="AB789"/>
    </row>
    <row r="790" spans="2:28" x14ac:dyDescent="0.35">
      <c r="B790" s="1"/>
      <c r="H790"/>
      <c r="I790"/>
      <c r="K790"/>
      <c r="L790"/>
      <c r="N790" s="1"/>
      <c r="Q790"/>
      <c r="T790"/>
      <c r="W790"/>
      <c r="AA790"/>
      <c r="AB790"/>
    </row>
    <row r="791" spans="2:28" x14ac:dyDescent="0.35">
      <c r="B791" s="1"/>
      <c r="H791"/>
      <c r="I791"/>
      <c r="K791"/>
      <c r="L791"/>
      <c r="N791" s="1"/>
      <c r="Q791"/>
      <c r="T791"/>
      <c r="W791"/>
      <c r="AA791"/>
      <c r="AB791"/>
    </row>
    <row r="792" spans="2:28" x14ac:dyDescent="0.35">
      <c r="B792" s="1"/>
      <c r="H792"/>
      <c r="I792"/>
      <c r="K792"/>
      <c r="L792"/>
      <c r="N792" s="1"/>
      <c r="Q792"/>
      <c r="T792"/>
      <c r="W792"/>
      <c r="AA792"/>
      <c r="AB792"/>
    </row>
    <row r="793" spans="2:28" x14ac:dyDescent="0.35">
      <c r="B793" s="1"/>
      <c r="H793"/>
      <c r="I793"/>
      <c r="K793"/>
      <c r="L793"/>
      <c r="N793" s="1"/>
      <c r="Q793"/>
      <c r="T793"/>
      <c r="W793"/>
      <c r="AA793"/>
      <c r="AB793"/>
    </row>
    <row r="794" spans="2:28" x14ac:dyDescent="0.35">
      <c r="B794" s="1"/>
      <c r="H794"/>
      <c r="I794"/>
      <c r="K794"/>
      <c r="L794"/>
      <c r="N794" s="1"/>
      <c r="Q794"/>
      <c r="T794"/>
      <c r="W794"/>
      <c r="AA794"/>
      <c r="AB794"/>
    </row>
    <row r="795" spans="2:28" x14ac:dyDescent="0.35">
      <c r="B795" s="1"/>
      <c r="H795"/>
      <c r="I795"/>
      <c r="K795"/>
      <c r="L795"/>
      <c r="N795" s="1"/>
      <c r="Q795"/>
      <c r="T795"/>
      <c r="W795"/>
      <c r="AA795"/>
      <c r="AB795"/>
    </row>
    <row r="796" spans="2:28" x14ac:dyDescent="0.35">
      <c r="B796" s="1"/>
      <c r="H796"/>
      <c r="I796"/>
      <c r="K796"/>
      <c r="L796"/>
      <c r="N796" s="1"/>
      <c r="Q796"/>
      <c r="T796"/>
      <c r="W796"/>
      <c r="AA796"/>
      <c r="AB796"/>
    </row>
    <row r="797" spans="2:28" x14ac:dyDescent="0.35">
      <c r="B797" s="1"/>
      <c r="H797"/>
      <c r="I797"/>
      <c r="K797"/>
      <c r="L797"/>
      <c r="N797" s="1"/>
      <c r="Q797"/>
      <c r="T797"/>
      <c r="W797"/>
      <c r="AA797"/>
      <c r="AB797"/>
    </row>
    <row r="798" spans="2:28" x14ac:dyDescent="0.35">
      <c r="B798" s="1"/>
      <c r="H798"/>
      <c r="I798"/>
      <c r="K798"/>
      <c r="L798"/>
      <c r="N798" s="1"/>
      <c r="Q798"/>
      <c r="T798"/>
      <c r="W798"/>
      <c r="AA798"/>
      <c r="AB798"/>
    </row>
    <row r="799" spans="2:28" x14ac:dyDescent="0.35">
      <c r="B799" s="1"/>
      <c r="H799"/>
      <c r="I799"/>
      <c r="K799"/>
      <c r="L799"/>
      <c r="N799" s="1"/>
      <c r="Q799"/>
      <c r="T799"/>
      <c r="W799"/>
      <c r="AA799"/>
      <c r="AB799"/>
    </row>
    <row r="800" spans="2:28" x14ac:dyDescent="0.35">
      <c r="B800" s="1"/>
      <c r="H800"/>
      <c r="I800"/>
      <c r="K800"/>
      <c r="L800"/>
      <c r="N800" s="1"/>
      <c r="Q800"/>
      <c r="T800"/>
      <c r="W800"/>
      <c r="AA800"/>
      <c r="AB800"/>
    </row>
    <row r="801" spans="2:28" x14ac:dyDescent="0.35">
      <c r="B801" s="1"/>
      <c r="H801"/>
      <c r="I801"/>
      <c r="K801"/>
      <c r="L801"/>
      <c r="N801" s="1"/>
      <c r="Q801"/>
      <c r="T801"/>
      <c r="W801"/>
      <c r="AA801"/>
      <c r="AB801"/>
    </row>
    <row r="802" spans="2:28" x14ac:dyDescent="0.35">
      <c r="B802" s="1"/>
      <c r="H802"/>
      <c r="I802"/>
      <c r="K802"/>
      <c r="L802"/>
      <c r="N802" s="1"/>
      <c r="Q802"/>
      <c r="T802"/>
      <c r="W802"/>
      <c r="AA802"/>
      <c r="AB802"/>
    </row>
    <row r="803" spans="2:28" x14ac:dyDescent="0.35">
      <c r="B803" s="1"/>
      <c r="H803"/>
      <c r="I803"/>
      <c r="K803"/>
      <c r="L803"/>
      <c r="N803" s="1"/>
      <c r="Q803"/>
      <c r="T803"/>
      <c r="W803"/>
      <c r="AA803"/>
      <c r="AB803"/>
    </row>
    <row r="804" spans="2:28" x14ac:dyDescent="0.35">
      <c r="B804" s="1"/>
      <c r="H804"/>
      <c r="I804"/>
      <c r="K804"/>
      <c r="L804"/>
      <c r="N804" s="1"/>
      <c r="Q804"/>
      <c r="T804"/>
      <c r="W804"/>
      <c r="AA804"/>
      <c r="AB804"/>
    </row>
    <row r="805" spans="2:28" x14ac:dyDescent="0.35">
      <c r="B805" s="1"/>
      <c r="H805"/>
      <c r="I805"/>
      <c r="K805"/>
      <c r="L805"/>
      <c r="N805" s="1"/>
      <c r="Q805"/>
      <c r="T805"/>
      <c r="W805"/>
      <c r="AA805"/>
      <c r="AB805"/>
    </row>
    <row r="806" spans="2:28" x14ac:dyDescent="0.35">
      <c r="B806" s="1"/>
      <c r="H806"/>
      <c r="I806"/>
      <c r="K806"/>
      <c r="L806"/>
      <c r="N806" s="1"/>
      <c r="Q806"/>
      <c r="T806"/>
      <c r="W806"/>
      <c r="AA806"/>
      <c r="AB806"/>
    </row>
    <row r="807" spans="2:28" x14ac:dyDescent="0.35">
      <c r="B807" s="1"/>
      <c r="H807"/>
      <c r="I807"/>
      <c r="K807"/>
      <c r="L807"/>
      <c r="N807" s="1"/>
      <c r="Q807"/>
      <c r="T807"/>
      <c r="W807"/>
      <c r="AA807"/>
      <c r="AB807"/>
    </row>
    <row r="808" spans="2:28" x14ac:dyDescent="0.35">
      <c r="B808" s="1"/>
      <c r="H808"/>
      <c r="I808"/>
      <c r="K808"/>
      <c r="L808"/>
      <c r="N808" s="1"/>
      <c r="Q808"/>
      <c r="T808"/>
      <c r="W808"/>
      <c r="AA808"/>
      <c r="AB808"/>
    </row>
    <row r="809" spans="2:28" x14ac:dyDescent="0.35">
      <c r="B809" s="1"/>
      <c r="H809"/>
      <c r="I809"/>
      <c r="K809"/>
      <c r="L809"/>
      <c r="N809" s="1"/>
      <c r="Q809"/>
      <c r="T809"/>
      <c r="W809"/>
      <c r="AA809"/>
      <c r="AB809"/>
    </row>
    <row r="810" spans="2:28" x14ac:dyDescent="0.35">
      <c r="B810" s="1"/>
      <c r="H810"/>
      <c r="I810"/>
      <c r="K810"/>
      <c r="L810"/>
      <c r="N810" s="1"/>
      <c r="Q810"/>
      <c r="T810"/>
      <c r="W810"/>
      <c r="AA810"/>
      <c r="AB810"/>
    </row>
    <row r="811" spans="2:28" x14ac:dyDescent="0.35">
      <c r="B811" s="1"/>
      <c r="H811"/>
      <c r="I811"/>
      <c r="K811"/>
      <c r="L811"/>
      <c r="N811" s="1"/>
      <c r="Q811"/>
      <c r="T811"/>
      <c r="W811"/>
      <c r="AA811"/>
      <c r="AB811"/>
    </row>
    <row r="812" spans="2:28" x14ac:dyDescent="0.35">
      <c r="B812" s="1"/>
      <c r="H812"/>
      <c r="I812"/>
      <c r="K812"/>
      <c r="L812"/>
      <c r="N812" s="1"/>
      <c r="Q812"/>
      <c r="T812"/>
      <c r="W812"/>
      <c r="AA812"/>
      <c r="AB812"/>
    </row>
    <row r="813" spans="2:28" x14ac:dyDescent="0.35">
      <c r="B813" s="1"/>
      <c r="H813"/>
      <c r="I813"/>
      <c r="K813"/>
      <c r="L813"/>
      <c r="N813" s="1"/>
      <c r="Q813"/>
      <c r="T813"/>
      <c r="W813"/>
      <c r="AA813"/>
      <c r="AB813"/>
    </row>
    <row r="814" spans="2:28" x14ac:dyDescent="0.35">
      <c r="B814" s="1"/>
      <c r="H814"/>
      <c r="I814"/>
      <c r="K814"/>
      <c r="L814"/>
      <c r="N814" s="1"/>
      <c r="Q814"/>
      <c r="T814"/>
      <c r="W814"/>
      <c r="AA814"/>
      <c r="AB814"/>
    </row>
    <row r="815" spans="2:28" x14ac:dyDescent="0.35">
      <c r="B815" s="1"/>
      <c r="H815"/>
      <c r="I815"/>
      <c r="K815"/>
      <c r="L815"/>
      <c r="N815" s="1"/>
      <c r="Q815"/>
      <c r="T815"/>
      <c r="W815"/>
      <c r="AA815"/>
      <c r="AB815"/>
    </row>
    <row r="816" spans="2:28" x14ac:dyDescent="0.35">
      <c r="B816" s="1"/>
      <c r="H816"/>
      <c r="I816"/>
      <c r="K816"/>
      <c r="L816"/>
      <c r="N816" s="1"/>
      <c r="Q816"/>
      <c r="T816"/>
      <c r="W816"/>
      <c r="AA816"/>
      <c r="AB816"/>
    </row>
    <row r="817" spans="2:28" x14ac:dyDescent="0.35">
      <c r="B817" s="1"/>
      <c r="H817"/>
      <c r="I817"/>
      <c r="K817"/>
      <c r="L817"/>
      <c r="N817" s="1"/>
      <c r="Q817"/>
      <c r="T817"/>
      <c r="W817"/>
      <c r="AA817"/>
      <c r="AB817"/>
    </row>
    <row r="818" spans="2:28" x14ac:dyDescent="0.35">
      <c r="B818" s="1"/>
      <c r="H818"/>
      <c r="I818"/>
      <c r="K818"/>
      <c r="L818"/>
      <c r="N818" s="1"/>
      <c r="Q818"/>
      <c r="T818"/>
      <c r="W818"/>
      <c r="AA818"/>
      <c r="AB818"/>
    </row>
    <row r="819" spans="2:28" x14ac:dyDescent="0.35">
      <c r="B819" s="1"/>
      <c r="H819"/>
      <c r="I819"/>
      <c r="K819"/>
      <c r="L819"/>
      <c r="N819" s="1"/>
      <c r="Q819"/>
      <c r="T819"/>
      <c r="W819"/>
      <c r="AA819"/>
      <c r="AB819"/>
    </row>
    <row r="820" spans="2:28" x14ac:dyDescent="0.35">
      <c r="B820" s="1"/>
      <c r="H820"/>
      <c r="I820"/>
      <c r="K820"/>
      <c r="L820"/>
      <c r="N820" s="1"/>
      <c r="Q820"/>
      <c r="T820"/>
      <c r="W820"/>
      <c r="AA820"/>
      <c r="AB820"/>
    </row>
    <row r="821" spans="2:28" x14ac:dyDescent="0.35">
      <c r="B821" s="1"/>
      <c r="H821"/>
      <c r="I821"/>
      <c r="K821"/>
      <c r="L821"/>
      <c r="N821" s="1"/>
      <c r="Q821"/>
      <c r="T821"/>
      <c r="W821"/>
      <c r="AA821"/>
      <c r="AB821"/>
    </row>
    <row r="822" spans="2:28" x14ac:dyDescent="0.35">
      <c r="B822" s="1"/>
      <c r="H822"/>
      <c r="I822"/>
      <c r="K822"/>
      <c r="L822"/>
      <c r="N822" s="1"/>
      <c r="Q822"/>
      <c r="T822"/>
      <c r="W822"/>
      <c r="AA822"/>
      <c r="AB822"/>
    </row>
    <row r="823" spans="2:28" x14ac:dyDescent="0.35">
      <c r="B823" s="1"/>
      <c r="H823"/>
      <c r="I823"/>
      <c r="K823"/>
      <c r="L823"/>
      <c r="N823" s="1"/>
      <c r="Q823"/>
      <c r="T823"/>
      <c r="W823"/>
      <c r="AA823"/>
      <c r="AB823"/>
    </row>
    <row r="824" spans="2:28" x14ac:dyDescent="0.35">
      <c r="B824" s="1"/>
      <c r="H824"/>
      <c r="I824"/>
      <c r="K824"/>
      <c r="L824"/>
      <c r="N824" s="1"/>
      <c r="Q824"/>
      <c r="T824"/>
      <c r="W824"/>
      <c r="AA824"/>
      <c r="AB824"/>
    </row>
    <row r="825" spans="2:28" x14ac:dyDescent="0.35">
      <c r="B825" s="1"/>
      <c r="H825"/>
      <c r="I825"/>
      <c r="K825"/>
      <c r="L825"/>
      <c r="N825" s="1"/>
      <c r="Q825"/>
      <c r="T825"/>
      <c r="W825"/>
      <c r="AA825"/>
      <c r="AB825"/>
    </row>
    <row r="826" spans="2:28" x14ac:dyDescent="0.35">
      <c r="B826" s="1"/>
      <c r="H826"/>
      <c r="I826"/>
      <c r="K826"/>
      <c r="L826"/>
      <c r="N826" s="1"/>
      <c r="Q826"/>
      <c r="T826"/>
      <c r="W826"/>
      <c r="AA826"/>
      <c r="AB826"/>
    </row>
    <row r="827" spans="2:28" x14ac:dyDescent="0.35">
      <c r="B827" s="1"/>
      <c r="H827"/>
      <c r="I827"/>
      <c r="K827"/>
      <c r="L827"/>
      <c r="N827" s="1"/>
      <c r="Q827"/>
      <c r="T827"/>
      <c r="W827"/>
      <c r="AA827"/>
      <c r="AB827"/>
    </row>
    <row r="828" spans="2:28" x14ac:dyDescent="0.35">
      <c r="B828" s="1"/>
      <c r="H828"/>
      <c r="I828"/>
      <c r="K828"/>
      <c r="L828"/>
      <c r="N828" s="1"/>
      <c r="Q828"/>
      <c r="T828"/>
      <c r="W828"/>
      <c r="AA828"/>
      <c r="AB828"/>
    </row>
    <row r="829" spans="2:28" x14ac:dyDescent="0.35">
      <c r="B829" s="1"/>
      <c r="H829"/>
      <c r="I829"/>
      <c r="K829"/>
      <c r="L829"/>
      <c r="N829" s="1"/>
      <c r="Q829"/>
      <c r="T829"/>
      <c r="W829"/>
      <c r="AA829"/>
      <c r="AB829"/>
    </row>
    <row r="830" spans="2:28" x14ac:dyDescent="0.35">
      <c r="B830" s="1"/>
      <c r="H830"/>
      <c r="I830"/>
      <c r="K830"/>
      <c r="L830"/>
      <c r="N830" s="1"/>
      <c r="Q830"/>
      <c r="T830"/>
      <c r="W830"/>
      <c r="AA830"/>
      <c r="AB830"/>
    </row>
    <row r="831" spans="2:28" x14ac:dyDescent="0.35">
      <c r="B831" s="1"/>
      <c r="H831"/>
      <c r="I831"/>
      <c r="K831"/>
      <c r="L831"/>
      <c r="N831" s="1"/>
      <c r="Q831"/>
      <c r="T831"/>
      <c r="W831"/>
      <c r="AA831"/>
      <c r="AB831"/>
    </row>
    <row r="832" spans="2:28" x14ac:dyDescent="0.35">
      <c r="B832" s="1"/>
      <c r="H832"/>
      <c r="I832"/>
      <c r="K832"/>
      <c r="L832"/>
      <c r="N832" s="1"/>
      <c r="Q832"/>
      <c r="T832"/>
      <c r="W832"/>
      <c r="AA832"/>
      <c r="AB832"/>
    </row>
    <row r="833" spans="2:28" x14ac:dyDescent="0.35">
      <c r="B833" s="1"/>
      <c r="H833"/>
      <c r="I833"/>
      <c r="K833"/>
      <c r="L833"/>
      <c r="N833" s="1"/>
      <c r="Q833"/>
      <c r="T833"/>
      <c r="W833"/>
      <c r="AA833"/>
      <c r="AB833"/>
    </row>
    <row r="834" spans="2:28" x14ac:dyDescent="0.35">
      <c r="B834" s="1"/>
      <c r="H834"/>
      <c r="I834"/>
      <c r="K834"/>
      <c r="L834"/>
      <c r="N834" s="1"/>
      <c r="Q834"/>
      <c r="T834"/>
      <c r="W834"/>
      <c r="AA834"/>
      <c r="AB834"/>
    </row>
    <row r="835" spans="2:28" x14ac:dyDescent="0.35">
      <c r="B835" s="1"/>
      <c r="H835"/>
      <c r="I835"/>
      <c r="K835"/>
      <c r="L835"/>
      <c r="N835" s="1"/>
      <c r="Q835"/>
      <c r="T835"/>
      <c r="W835"/>
      <c r="AA835"/>
      <c r="AB835"/>
    </row>
    <row r="836" spans="2:28" x14ac:dyDescent="0.35">
      <c r="B836" s="1"/>
      <c r="H836"/>
      <c r="I836"/>
      <c r="K836"/>
      <c r="L836"/>
      <c r="N836" s="1"/>
      <c r="Q836"/>
      <c r="T836"/>
      <c r="W836"/>
      <c r="AA836"/>
      <c r="AB836"/>
    </row>
    <row r="837" spans="2:28" x14ac:dyDescent="0.35">
      <c r="B837" s="1"/>
      <c r="H837"/>
      <c r="I837"/>
      <c r="K837"/>
      <c r="L837"/>
      <c r="N837" s="1"/>
      <c r="Q837"/>
      <c r="T837"/>
      <c r="W837"/>
      <c r="AA837"/>
      <c r="AB837"/>
    </row>
    <row r="838" spans="2:28" x14ac:dyDescent="0.35">
      <c r="B838" s="1"/>
      <c r="H838"/>
      <c r="I838"/>
      <c r="K838"/>
      <c r="L838"/>
      <c r="N838" s="1"/>
      <c r="Q838"/>
      <c r="T838"/>
      <c r="W838"/>
      <c r="AA838"/>
      <c r="AB838"/>
    </row>
    <row r="839" spans="2:28" x14ac:dyDescent="0.35">
      <c r="B839" s="1"/>
      <c r="H839"/>
      <c r="I839"/>
      <c r="K839"/>
      <c r="L839"/>
      <c r="N839" s="1"/>
      <c r="Q839"/>
      <c r="T839"/>
      <c r="W839"/>
      <c r="AA839"/>
      <c r="AB839"/>
    </row>
    <row r="840" spans="2:28" x14ac:dyDescent="0.35">
      <c r="B840" s="1"/>
      <c r="H840"/>
      <c r="I840"/>
      <c r="K840"/>
      <c r="L840"/>
      <c r="N840" s="1"/>
      <c r="Q840"/>
      <c r="T840"/>
      <c r="W840"/>
      <c r="AA840"/>
      <c r="AB840"/>
    </row>
    <row r="841" spans="2:28" x14ac:dyDescent="0.35">
      <c r="B841" s="1"/>
      <c r="H841"/>
      <c r="I841"/>
      <c r="K841"/>
      <c r="L841"/>
      <c r="N841" s="1"/>
      <c r="Q841"/>
      <c r="T841"/>
      <c r="W841"/>
      <c r="AA841"/>
      <c r="AB841"/>
    </row>
    <row r="842" spans="2:28" x14ac:dyDescent="0.35">
      <c r="B842" s="1"/>
      <c r="H842"/>
      <c r="I842"/>
      <c r="K842"/>
      <c r="L842"/>
      <c r="N842" s="1"/>
      <c r="Q842"/>
      <c r="T842"/>
      <c r="W842"/>
      <c r="AA842"/>
      <c r="AB842"/>
    </row>
    <row r="843" spans="2:28" x14ac:dyDescent="0.35">
      <c r="B843" s="1"/>
      <c r="H843"/>
      <c r="I843"/>
      <c r="K843"/>
      <c r="L843"/>
      <c r="N843" s="1"/>
      <c r="Q843"/>
      <c r="T843"/>
      <c r="W843"/>
      <c r="AA843"/>
      <c r="AB843"/>
    </row>
    <row r="844" spans="2:28" x14ac:dyDescent="0.35">
      <c r="B844" s="1"/>
      <c r="H844"/>
      <c r="I844"/>
      <c r="K844"/>
      <c r="L844"/>
      <c r="N844" s="1"/>
      <c r="Q844"/>
      <c r="T844"/>
      <c r="W844"/>
      <c r="AA844"/>
      <c r="AB844"/>
    </row>
    <row r="845" spans="2:28" x14ac:dyDescent="0.35">
      <c r="B845" s="1"/>
      <c r="H845"/>
      <c r="I845"/>
      <c r="K845"/>
      <c r="L845"/>
      <c r="N845" s="1"/>
      <c r="Q845"/>
      <c r="T845"/>
      <c r="W845"/>
      <c r="AA845"/>
      <c r="AB845"/>
    </row>
    <row r="846" spans="2:28" x14ac:dyDescent="0.35">
      <c r="B846" s="1"/>
      <c r="H846"/>
      <c r="I846"/>
      <c r="K846"/>
      <c r="L846"/>
      <c r="N846" s="1"/>
      <c r="Q846"/>
      <c r="T846"/>
      <c r="W846"/>
      <c r="AA846"/>
      <c r="AB846"/>
    </row>
    <row r="847" spans="2:28" x14ac:dyDescent="0.35">
      <c r="B847" s="1"/>
      <c r="H847"/>
      <c r="I847"/>
      <c r="K847"/>
      <c r="L847"/>
      <c r="N847" s="1"/>
      <c r="Q847"/>
      <c r="T847"/>
      <c r="W847"/>
      <c r="AA847"/>
      <c r="AB847"/>
    </row>
    <row r="848" spans="2:28" x14ac:dyDescent="0.35">
      <c r="B848" s="1"/>
      <c r="H848"/>
      <c r="I848"/>
      <c r="K848"/>
      <c r="L848"/>
      <c r="N848" s="1"/>
      <c r="Q848"/>
      <c r="T848"/>
      <c r="W848"/>
      <c r="AA848"/>
      <c r="AB848"/>
    </row>
    <row r="849" spans="2:28" x14ac:dyDescent="0.35">
      <c r="B849" s="1"/>
      <c r="H849"/>
      <c r="I849"/>
      <c r="K849"/>
      <c r="L849"/>
      <c r="N849" s="1"/>
      <c r="Q849"/>
      <c r="T849"/>
      <c r="W849"/>
      <c r="AA849"/>
      <c r="AB849"/>
    </row>
    <row r="850" spans="2:28" x14ac:dyDescent="0.35">
      <c r="B850" s="1"/>
      <c r="H850"/>
      <c r="I850"/>
      <c r="K850"/>
      <c r="L850"/>
      <c r="N850" s="1"/>
      <c r="Q850"/>
      <c r="T850"/>
      <c r="W850"/>
      <c r="AA850"/>
      <c r="AB850"/>
    </row>
    <row r="851" spans="2:28" x14ac:dyDescent="0.35">
      <c r="B851" s="1"/>
      <c r="H851"/>
      <c r="I851"/>
      <c r="K851"/>
      <c r="L851"/>
      <c r="N851" s="1"/>
      <c r="Q851"/>
      <c r="T851"/>
      <c r="W851"/>
      <c r="AA851"/>
      <c r="AB851"/>
    </row>
    <row r="852" spans="2:28" x14ac:dyDescent="0.35">
      <c r="B852" s="1"/>
      <c r="H852"/>
      <c r="I852"/>
      <c r="K852"/>
      <c r="L852"/>
      <c r="N852" s="1"/>
      <c r="Q852"/>
      <c r="T852"/>
      <c r="W852"/>
    </row>
    <row r="853" spans="2:28" x14ac:dyDescent="0.35">
      <c r="B853" s="1"/>
      <c r="K853"/>
      <c r="L853"/>
      <c r="N853" s="1"/>
      <c r="Q853"/>
      <c r="T853"/>
      <c r="W853"/>
    </row>
    <row r="854" spans="2:28" x14ac:dyDescent="0.35">
      <c r="B854" s="1"/>
      <c r="K854"/>
      <c r="L854"/>
      <c r="N854" s="1"/>
      <c r="Q854"/>
      <c r="T854"/>
      <c r="W854"/>
    </row>
    <row r="855" spans="2:28" x14ac:dyDescent="0.35">
      <c r="B855" s="1"/>
      <c r="K855"/>
      <c r="L855"/>
      <c r="N855" s="1"/>
      <c r="Q855"/>
      <c r="T855"/>
      <c r="W855"/>
    </row>
    <row r="856" spans="2:28" x14ac:dyDescent="0.35">
      <c r="B856" s="1"/>
      <c r="K856"/>
      <c r="L856"/>
      <c r="N856" s="1"/>
      <c r="Q856"/>
      <c r="T856"/>
      <c r="W856"/>
    </row>
    <row r="857" spans="2:28" x14ac:dyDescent="0.35">
      <c r="B857" s="1"/>
      <c r="K857"/>
      <c r="L857"/>
      <c r="N857" s="1"/>
      <c r="Q857"/>
      <c r="T857"/>
      <c r="W857"/>
    </row>
    <row r="858" spans="2:28" x14ac:dyDescent="0.35">
      <c r="B858" s="1"/>
      <c r="K858"/>
      <c r="L858"/>
      <c r="N858" s="1"/>
      <c r="Q858"/>
      <c r="T858"/>
      <c r="W858"/>
    </row>
    <row r="859" spans="2:28" x14ac:dyDescent="0.35">
      <c r="B859" s="1"/>
      <c r="K859"/>
      <c r="L859"/>
      <c r="N859" s="1"/>
      <c r="Q859"/>
      <c r="T859"/>
      <c r="W859"/>
    </row>
    <row r="860" spans="2:28" x14ac:dyDescent="0.35">
      <c r="B860" s="1"/>
      <c r="K860"/>
      <c r="L860"/>
      <c r="N860" s="1"/>
      <c r="Q860"/>
      <c r="T860"/>
      <c r="W860"/>
    </row>
    <row r="861" spans="2:28" x14ac:dyDescent="0.35">
      <c r="B861" s="1"/>
      <c r="K861"/>
      <c r="L861"/>
      <c r="N861" s="1"/>
      <c r="Q861"/>
      <c r="T861"/>
      <c r="W861"/>
    </row>
    <row r="862" spans="2:28" x14ac:dyDescent="0.35">
      <c r="B862" s="1"/>
      <c r="K862"/>
      <c r="L862"/>
      <c r="N862" s="1"/>
      <c r="Q862"/>
      <c r="T862"/>
      <c r="W862"/>
    </row>
    <row r="863" spans="2:28" x14ac:dyDescent="0.35">
      <c r="B863" s="1"/>
      <c r="K863"/>
      <c r="L863"/>
      <c r="N863" s="1"/>
      <c r="Q863"/>
      <c r="T863"/>
      <c r="W863"/>
    </row>
    <row r="864" spans="2:28" x14ac:dyDescent="0.35">
      <c r="B864" s="1"/>
      <c r="K864"/>
      <c r="L864"/>
      <c r="N864" s="1"/>
      <c r="Q864"/>
      <c r="T864"/>
      <c r="W864"/>
    </row>
    <row r="865" spans="2:23" x14ac:dyDescent="0.35">
      <c r="B865" s="1"/>
      <c r="K865"/>
      <c r="L865"/>
      <c r="N865" s="1"/>
      <c r="Q865"/>
      <c r="T865"/>
      <c r="W865"/>
    </row>
    <row r="866" spans="2:23" x14ac:dyDescent="0.35">
      <c r="B866" s="1"/>
      <c r="K866"/>
      <c r="L866"/>
      <c r="N866" s="1"/>
      <c r="Q866"/>
      <c r="T866"/>
      <c r="W866"/>
    </row>
    <row r="867" spans="2:23" x14ac:dyDescent="0.35">
      <c r="B867" s="1"/>
      <c r="K867"/>
      <c r="L867"/>
      <c r="N867" s="1"/>
      <c r="Q867"/>
      <c r="T867"/>
      <c r="W867"/>
    </row>
    <row r="868" spans="2:23" x14ac:dyDescent="0.35">
      <c r="B868" s="1"/>
      <c r="K868"/>
      <c r="L868"/>
      <c r="N868" s="1"/>
      <c r="Q868"/>
      <c r="T868"/>
      <c r="W868"/>
    </row>
    <row r="869" spans="2:23" x14ac:dyDescent="0.35">
      <c r="B869" s="1"/>
      <c r="K869"/>
      <c r="L869"/>
      <c r="N869" s="1"/>
      <c r="Q869"/>
      <c r="T869"/>
      <c r="W869"/>
    </row>
    <row r="870" spans="2:23" x14ac:dyDescent="0.35">
      <c r="B870" s="1"/>
      <c r="K870"/>
      <c r="L870"/>
      <c r="N870" s="1"/>
      <c r="Q870"/>
      <c r="T870"/>
      <c r="W870"/>
    </row>
    <row r="871" spans="2:23" x14ac:dyDescent="0.35">
      <c r="B871" s="1"/>
      <c r="K871"/>
      <c r="L871"/>
      <c r="N871" s="1"/>
      <c r="Q871"/>
      <c r="T871"/>
      <c r="W871"/>
    </row>
    <row r="872" spans="2:23" x14ac:dyDescent="0.35">
      <c r="B872" s="1"/>
      <c r="K872"/>
      <c r="L872"/>
      <c r="N872" s="1"/>
      <c r="Q872"/>
      <c r="T872"/>
      <c r="W872"/>
    </row>
    <row r="873" spans="2:23" x14ac:dyDescent="0.35">
      <c r="B873" s="1"/>
      <c r="K873"/>
      <c r="L873"/>
      <c r="N873" s="1"/>
      <c r="Q873"/>
      <c r="T873"/>
      <c r="W873"/>
    </row>
    <row r="874" spans="2:23" x14ac:dyDescent="0.35">
      <c r="B874" s="1"/>
      <c r="K874"/>
      <c r="L874"/>
      <c r="N874" s="1"/>
      <c r="Q874"/>
      <c r="T874"/>
      <c r="W874"/>
    </row>
    <row r="875" spans="2:23" x14ac:dyDescent="0.35">
      <c r="B875" s="1"/>
      <c r="K875"/>
      <c r="L875"/>
      <c r="N875" s="1"/>
      <c r="Q875"/>
      <c r="T875"/>
      <c r="W875"/>
    </row>
    <row r="876" spans="2:23" x14ac:dyDescent="0.35">
      <c r="B876" s="1"/>
      <c r="K876"/>
      <c r="L876"/>
      <c r="N876" s="1"/>
      <c r="Q876"/>
      <c r="T876"/>
      <c r="W876"/>
    </row>
    <row r="877" spans="2:23" x14ac:dyDescent="0.35">
      <c r="B877" s="1"/>
      <c r="K877"/>
      <c r="L877"/>
      <c r="N877" s="1"/>
      <c r="Q877"/>
      <c r="T877"/>
      <c r="W877"/>
    </row>
    <row r="878" spans="2:23" x14ac:dyDescent="0.35">
      <c r="B878" s="1"/>
      <c r="K878"/>
      <c r="L878"/>
      <c r="N878" s="1"/>
      <c r="Q878"/>
      <c r="T878"/>
      <c r="W878"/>
    </row>
    <row r="879" spans="2:23" x14ac:dyDescent="0.35">
      <c r="B879" s="1"/>
      <c r="K879"/>
      <c r="L879"/>
      <c r="N879" s="1"/>
      <c r="Q879"/>
      <c r="T879"/>
      <c r="W879"/>
    </row>
    <row r="880" spans="2:23" x14ac:dyDescent="0.35">
      <c r="B880" s="1"/>
      <c r="K880"/>
      <c r="L880"/>
      <c r="N880" s="1"/>
      <c r="Q880"/>
      <c r="T880"/>
      <c r="W880"/>
    </row>
    <row r="881" spans="2:23" x14ac:dyDescent="0.35">
      <c r="B881" s="1"/>
      <c r="K881"/>
      <c r="L881"/>
      <c r="N881" s="1"/>
      <c r="Q881"/>
      <c r="T881"/>
      <c r="W881"/>
    </row>
    <row r="882" spans="2:23" x14ac:dyDescent="0.35">
      <c r="B882" s="1"/>
      <c r="K882"/>
      <c r="L882"/>
      <c r="N882" s="1"/>
      <c r="Q882"/>
      <c r="T882"/>
      <c r="W882"/>
    </row>
    <row r="883" spans="2:23" x14ac:dyDescent="0.35">
      <c r="B883" s="1"/>
      <c r="K883"/>
      <c r="L883"/>
      <c r="N883" s="1"/>
      <c r="Q883"/>
      <c r="T883"/>
      <c r="W883"/>
    </row>
    <row r="884" spans="2:23" x14ac:dyDescent="0.35">
      <c r="B884" s="1"/>
      <c r="K884"/>
      <c r="L884"/>
      <c r="N884" s="1"/>
      <c r="Q884"/>
      <c r="T884"/>
      <c r="W884"/>
    </row>
    <row r="885" spans="2:23" x14ac:dyDescent="0.35">
      <c r="B885" s="1"/>
      <c r="K885"/>
      <c r="L885"/>
      <c r="N885" s="1"/>
      <c r="Q885"/>
      <c r="T885"/>
      <c r="W885"/>
    </row>
    <row r="886" spans="2:23" x14ac:dyDescent="0.35">
      <c r="B886" s="1"/>
      <c r="K886"/>
      <c r="L886"/>
      <c r="N886" s="1"/>
      <c r="Q886"/>
      <c r="T886"/>
      <c r="W886"/>
    </row>
    <row r="887" spans="2:23" x14ac:dyDescent="0.35">
      <c r="B887" s="1"/>
      <c r="K887"/>
      <c r="L887"/>
      <c r="N887" s="1"/>
      <c r="Q887"/>
      <c r="T887"/>
      <c r="W887"/>
    </row>
    <row r="888" spans="2:23" x14ac:dyDescent="0.35">
      <c r="B888" s="1"/>
      <c r="K888"/>
      <c r="L888"/>
      <c r="N888" s="1"/>
      <c r="Q888"/>
      <c r="T888"/>
      <c r="W888"/>
    </row>
    <row r="889" spans="2:23" x14ac:dyDescent="0.35">
      <c r="B889" s="1"/>
      <c r="K889"/>
      <c r="L889"/>
      <c r="N889" s="1"/>
      <c r="Q889"/>
      <c r="T889"/>
      <c r="W889"/>
    </row>
    <row r="890" spans="2:23" x14ac:dyDescent="0.35">
      <c r="B890" s="1"/>
      <c r="K890"/>
      <c r="L890"/>
      <c r="N890" s="1"/>
      <c r="Q890"/>
      <c r="T890"/>
      <c r="W890"/>
    </row>
    <row r="891" spans="2:23" x14ac:dyDescent="0.35">
      <c r="B891" s="1"/>
      <c r="K891"/>
      <c r="L891"/>
      <c r="N891" s="1"/>
      <c r="Q891"/>
      <c r="T891"/>
      <c r="W891"/>
    </row>
    <row r="892" spans="2:23" x14ac:dyDescent="0.35">
      <c r="B892" s="1"/>
      <c r="K892"/>
      <c r="L892"/>
      <c r="N892" s="1"/>
      <c r="Q892"/>
      <c r="T892"/>
      <c r="W892"/>
    </row>
    <row r="893" spans="2:23" x14ac:dyDescent="0.35">
      <c r="B893" s="1"/>
      <c r="K893"/>
      <c r="L893"/>
      <c r="N893" s="1"/>
      <c r="Q893"/>
      <c r="T893"/>
      <c r="W893"/>
    </row>
    <row r="894" spans="2:23" x14ac:dyDescent="0.35">
      <c r="B894" s="1"/>
      <c r="K894"/>
      <c r="L894"/>
      <c r="N894" s="1"/>
      <c r="Q894"/>
      <c r="T894"/>
      <c r="W894"/>
    </row>
    <row r="895" spans="2:23" x14ac:dyDescent="0.35">
      <c r="B895" s="1"/>
      <c r="K895"/>
      <c r="L895"/>
      <c r="N895" s="1"/>
      <c r="Q895"/>
      <c r="T895"/>
      <c r="W895"/>
    </row>
    <row r="896" spans="2:23" x14ac:dyDescent="0.35">
      <c r="B896" s="1"/>
      <c r="K896"/>
      <c r="L896"/>
      <c r="N896" s="1"/>
      <c r="Q896"/>
      <c r="T896"/>
      <c r="W896"/>
    </row>
    <row r="897" spans="2:23" x14ac:dyDescent="0.35">
      <c r="B897" s="1"/>
      <c r="K897"/>
      <c r="L897"/>
      <c r="N897" s="1"/>
      <c r="Q897"/>
      <c r="T897"/>
      <c r="W897"/>
    </row>
    <row r="898" spans="2:23" x14ac:dyDescent="0.35">
      <c r="B898" s="1"/>
      <c r="K898"/>
      <c r="L898"/>
      <c r="N898" s="1"/>
      <c r="Q898"/>
      <c r="T898"/>
      <c r="W898"/>
    </row>
    <row r="899" spans="2:23" x14ac:dyDescent="0.35">
      <c r="B899" s="1"/>
      <c r="K899"/>
      <c r="L899"/>
      <c r="N899" s="1"/>
      <c r="Q899"/>
      <c r="T899"/>
      <c r="W899"/>
    </row>
    <row r="900" spans="2:23" x14ac:dyDescent="0.35">
      <c r="B900" s="1"/>
      <c r="K900"/>
      <c r="L900"/>
      <c r="N900" s="1"/>
      <c r="Q900"/>
      <c r="T900"/>
      <c r="W900"/>
    </row>
    <row r="901" spans="2:23" x14ac:dyDescent="0.35">
      <c r="B901" s="1"/>
      <c r="K901"/>
      <c r="L901"/>
      <c r="N901" s="1"/>
      <c r="Q901"/>
      <c r="T901"/>
      <c r="W901"/>
    </row>
    <row r="902" spans="2:23" x14ac:dyDescent="0.35">
      <c r="B902" s="1"/>
      <c r="K902"/>
      <c r="L902"/>
      <c r="N902" s="1"/>
      <c r="Q902"/>
      <c r="T902"/>
      <c r="W902"/>
    </row>
    <row r="903" spans="2:23" x14ac:dyDescent="0.35">
      <c r="B903" s="1"/>
      <c r="K903"/>
      <c r="L903"/>
      <c r="N903" s="1"/>
      <c r="Q903"/>
      <c r="T903"/>
      <c r="W903"/>
    </row>
    <row r="904" spans="2:23" x14ac:dyDescent="0.35">
      <c r="B904" s="1"/>
      <c r="K904"/>
      <c r="L904"/>
      <c r="N904" s="1"/>
      <c r="Q904"/>
      <c r="T904"/>
      <c r="W904"/>
    </row>
    <row r="905" spans="2:23" x14ac:dyDescent="0.35">
      <c r="B905" s="1"/>
      <c r="K905"/>
      <c r="L905"/>
      <c r="N905" s="1"/>
      <c r="Q905"/>
      <c r="T905"/>
      <c r="W905"/>
    </row>
    <row r="906" spans="2:23" x14ac:dyDescent="0.35">
      <c r="B906" s="1"/>
      <c r="K906"/>
      <c r="L906"/>
      <c r="N906" s="1"/>
      <c r="Q906"/>
      <c r="T906"/>
      <c r="W906"/>
    </row>
    <row r="907" spans="2:23" x14ac:dyDescent="0.35">
      <c r="B907" s="1"/>
      <c r="K907"/>
      <c r="L907"/>
      <c r="N907" s="1"/>
      <c r="Q907"/>
      <c r="T907"/>
      <c r="W907"/>
    </row>
    <row r="908" spans="2:23" x14ac:dyDescent="0.35">
      <c r="B908" s="1"/>
      <c r="K908"/>
      <c r="L908"/>
      <c r="N908" s="1"/>
      <c r="Q908"/>
      <c r="T908"/>
      <c r="W908"/>
    </row>
    <row r="909" spans="2:23" x14ac:dyDescent="0.35">
      <c r="B909" s="1"/>
      <c r="K909"/>
      <c r="L909"/>
      <c r="N909" s="1"/>
      <c r="Q909"/>
      <c r="T909"/>
      <c r="W909"/>
    </row>
    <row r="910" spans="2:23" x14ac:dyDescent="0.35">
      <c r="B910" s="1"/>
      <c r="K910"/>
      <c r="L910"/>
      <c r="N910" s="1"/>
      <c r="Q910"/>
      <c r="T910"/>
      <c r="W910"/>
    </row>
    <row r="911" spans="2:23" x14ac:dyDescent="0.35">
      <c r="B911" s="1"/>
      <c r="K911"/>
      <c r="L911"/>
      <c r="N911" s="1"/>
      <c r="Q911"/>
      <c r="T911"/>
      <c r="W911"/>
    </row>
    <row r="912" spans="2:23" x14ac:dyDescent="0.35">
      <c r="B912" s="1"/>
      <c r="K912"/>
      <c r="L912"/>
      <c r="N912" s="1"/>
      <c r="Q912"/>
      <c r="T912"/>
      <c r="W912"/>
    </row>
    <row r="913" spans="2:23" x14ac:dyDescent="0.35">
      <c r="B913" s="1"/>
      <c r="K913"/>
      <c r="L913"/>
      <c r="N913" s="1"/>
      <c r="Q913"/>
      <c r="T913"/>
      <c r="W913"/>
    </row>
    <row r="914" spans="2:23" x14ac:dyDescent="0.35">
      <c r="B914" s="1"/>
      <c r="K914" s="1"/>
      <c r="N914" s="1"/>
      <c r="T914"/>
      <c r="W914"/>
    </row>
    <row r="915" spans="2:23" x14ac:dyDescent="0.35">
      <c r="B915" s="1"/>
      <c r="K915" s="1"/>
      <c r="N915" s="1"/>
      <c r="T915"/>
      <c r="W915"/>
    </row>
    <row r="916" spans="2:23" x14ac:dyDescent="0.35">
      <c r="B916" s="1"/>
      <c r="K916" s="1"/>
      <c r="N916" s="1"/>
      <c r="T916"/>
      <c r="W916"/>
    </row>
    <row r="917" spans="2:23" x14ac:dyDescent="0.35">
      <c r="B917" s="1"/>
      <c r="K917" s="1"/>
      <c r="N917" s="1"/>
      <c r="T917"/>
      <c r="W917"/>
    </row>
    <row r="918" spans="2:23" x14ac:dyDescent="0.35">
      <c r="B918" s="1"/>
      <c r="K918" s="1"/>
      <c r="N918" s="1"/>
      <c r="T918"/>
      <c r="W918"/>
    </row>
    <row r="919" spans="2:23" x14ac:dyDescent="0.35">
      <c r="B919" s="1"/>
      <c r="K919" s="1"/>
      <c r="N919" s="1"/>
      <c r="T919" s="1"/>
      <c r="W919" s="1"/>
    </row>
    <row r="920" spans="2:23" x14ac:dyDescent="0.35">
      <c r="B920" s="1"/>
      <c r="K920" s="1"/>
      <c r="N920" s="1"/>
      <c r="T920" s="1"/>
      <c r="W920" s="1"/>
    </row>
    <row r="921" spans="2:23" x14ac:dyDescent="0.35">
      <c r="B921" s="1"/>
      <c r="K921" s="1"/>
      <c r="N921" s="1"/>
      <c r="T921" s="1"/>
      <c r="W921" s="1"/>
    </row>
    <row r="922" spans="2:23" x14ac:dyDescent="0.35">
      <c r="B922" s="1"/>
      <c r="K922" s="1"/>
      <c r="N922" s="1"/>
      <c r="T922" s="1"/>
      <c r="W922" s="1"/>
    </row>
    <row r="923" spans="2:23" x14ac:dyDescent="0.35">
      <c r="B923" s="1"/>
      <c r="K923" s="1"/>
      <c r="N923" s="1"/>
      <c r="T923" s="1"/>
      <c r="W923" s="1"/>
    </row>
    <row r="924" spans="2:23" x14ac:dyDescent="0.35">
      <c r="B924" s="1"/>
      <c r="K924" s="1"/>
      <c r="N924" s="1"/>
      <c r="T924" s="1"/>
      <c r="W924" s="1"/>
    </row>
    <row r="925" spans="2:23" x14ac:dyDescent="0.35">
      <c r="B925" s="1"/>
      <c r="K925" s="1"/>
      <c r="N925" s="1"/>
      <c r="T925" s="1"/>
      <c r="W925" s="1"/>
    </row>
    <row r="926" spans="2:23" x14ac:dyDescent="0.35">
      <c r="B926" s="1"/>
      <c r="K926" s="1"/>
      <c r="N926" s="1"/>
      <c r="T926" s="1"/>
      <c r="W926" s="1"/>
    </row>
    <row r="927" spans="2:23" x14ac:dyDescent="0.35">
      <c r="B927" s="1"/>
      <c r="K927" s="1"/>
      <c r="N927" s="1"/>
      <c r="T927" s="1"/>
      <c r="W927" s="1"/>
    </row>
    <row r="928" spans="2:23" x14ac:dyDescent="0.35">
      <c r="B928" s="1"/>
      <c r="K928" s="1"/>
      <c r="N928" s="1"/>
      <c r="T928" s="1"/>
      <c r="W928" s="1"/>
    </row>
    <row r="929" spans="2:23" x14ac:dyDescent="0.35">
      <c r="B929" s="1"/>
      <c r="K929" s="1"/>
      <c r="N929" s="1"/>
      <c r="T929" s="1"/>
      <c r="W929" s="1"/>
    </row>
    <row r="930" spans="2:23" x14ac:dyDescent="0.35">
      <c r="B930" s="1"/>
      <c r="K930" s="1"/>
      <c r="N930" s="1"/>
      <c r="T930" s="1"/>
      <c r="W930" s="1"/>
    </row>
    <row r="931" spans="2:23" x14ac:dyDescent="0.35">
      <c r="B931" s="1"/>
      <c r="K931" s="1"/>
      <c r="N931" s="1"/>
      <c r="T931" s="1"/>
      <c r="W931" s="1"/>
    </row>
    <row r="932" spans="2:23" x14ac:dyDescent="0.35">
      <c r="B932" s="1"/>
      <c r="K932" s="1"/>
      <c r="N932" s="1"/>
      <c r="T932" s="1"/>
      <c r="W932" s="1"/>
    </row>
    <row r="933" spans="2:23" x14ac:dyDescent="0.35">
      <c r="B933" s="1"/>
      <c r="K933" s="1"/>
      <c r="N933" s="1"/>
      <c r="T933" s="1"/>
      <c r="W933" s="1"/>
    </row>
    <row r="934" spans="2:23" x14ac:dyDescent="0.35">
      <c r="B934" s="1"/>
      <c r="K934" s="1"/>
      <c r="N934" s="1"/>
      <c r="T934" s="1"/>
      <c r="W934" s="1"/>
    </row>
    <row r="935" spans="2:23" x14ac:dyDescent="0.35">
      <c r="B935" s="1"/>
      <c r="K935" s="1"/>
      <c r="N935" s="1"/>
      <c r="T935" s="1"/>
      <c r="W935" s="1"/>
    </row>
    <row r="936" spans="2:23" x14ac:dyDescent="0.35">
      <c r="B936" s="1"/>
      <c r="K936" s="1"/>
      <c r="N936" s="1"/>
      <c r="T936" s="1"/>
      <c r="W936" s="1"/>
    </row>
    <row r="937" spans="2:23" x14ac:dyDescent="0.35">
      <c r="B937" s="1"/>
      <c r="K937" s="1"/>
      <c r="N937" s="1"/>
      <c r="T937" s="1"/>
      <c r="W937" s="1"/>
    </row>
    <row r="938" spans="2:23" x14ac:dyDescent="0.35">
      <c r="B938" s="1"/>
      <c r="K938" s="1"/>
      <c r="N938" s="1"/>
      <c r="T938" s="1"/>
      <c r="W938" s="1"/>
    </row>
    <row r="939" spans="2:23" x14ac:dyDescent="0.35">
      <c r="B939" s="1"/>
      <c r="K939" s="1"/>
      <c r="N939" s="1"/>
      <c r="T939" s="1"/>
      <c r="W939" s="1"/>
    </row>
    <row r="940" spans="2:23" x14ac:dyDescent="0.35">
      <c r="B940" s="1"/>
      <c r="K940" s="1"/>
      <c r="N940" s="1"/>
      <c r="T940" s="1"/>
      <c r="W940" s="1"/>
    </row>
    <row r="941" spans="2:23" x14ac:dyDescent="0.35">
      <c r="B941" s="1"/>
      <c r="K941" s="1"/>
      <c r="N941" s="1"/>
      <c r="T941" s="1"/>
      <c r="W941" s="1"/>
    </row>
    <row r="942" spans="2:23" x14ac:dyDescent="0.35">
      <c r="B942" s="1"/>
      <c r="K942" s="1"/>
      <c r="N942" s="1"/>
      <c r="T942" s="1"/>
      <c r="W942" s="1"/>
    </row>
    <row r="943" spans="2:23" x14ac:dyDescent="0.35">
      <c r="B943" s="1"/>
      <c r="K943" s="1"/>
      <c r="N943" s="1"/>
      <c r="T943" s="1"/>
      <c r="W943" s="1"/>
    </row>
    <row r="944" spans="2:23" x14ac:dyDescent="0.35">
      <c r="B944" s="1"/>
      <c r="K944" s="1"/>
      <c r="N944" s="1"/>
      <c r="T944" s="1"/>
      <c r="W944" s="1"/>
    </row>
    <row r="945" spans="2:23" x14ac:dyDescent="0.35">
      <c r="B945" s="1"/>
      <c r="K945" s="1"/>
      <c r="N945" s="1"/>
      <c r="T945" s="1"/>
      <c r="W945" s="1"/>
    </row>
    <row r="946" spans="2:23" x14ac:dyDescent="0.35">
      <c r="B946" s="1"/>
      <c r="K946" s="1"/>
      <c r="N946" s="1"/>
      <c r="T946" s="1"/>
      <c r="W946" s="1"/>
    </row>
    <row r="947" spans="2:23" x14ac:dyDescent="0.35">
      <c r="B947" s="1"/>
      <c r="K947" s="1"/>
      <c r="N947" s="1"/>
      <c r="T947" s="1"/>
      <c r="W947" s="1"/>
    </row>
    <row r="948" spans="2:23" x14ac:dyDescent="0.35">
      <c r="B948" s="1"/>
      <c r="K948" s="1"/>
      <c r="N948" s="1"/>
      <c r="T948" s="1"/>
      <c r="W948" s="1"/>
    </row>
    <row r="949" spans="2:23" x14ac:dyDescent="0.35">
      <c r="B949" s="1"/>
      <c r="K949" s="1"/>
      <c r="N949" s="1"/>
      <c r="T949" s="1"/>
      <c r="W949" s="1"/>
    </row>
    <row r="950" spans="2:23" x14ac:dyDescent="0.35">
      <c r="B950" s="1"/>
      <c r="K950" s="1"/>
      <c r="N950" s="1"/>
      <c r="T950" s="1"/>
      <c r="W950" s="1"/>
    </row>
    <row r="951" spans="2:23" x14ac:dyDescent="0.35">
      <c r="B951" s="1"/>
      <c r="K951" s="1"/>
      <c r="N951" s="1"/>
      <c r="T951" s="1"/>
      <c r="W951" s="1"/>
    </row>
    <row r="952" spans="2:23" x14ac:dyDescent="0.35">
      <c r="B952" s="1"/>
      <c r="K952" s="1"/>
      <c r="N952" s="1"/>
      <c r="T952" s="1"/>
      <c r="W952" s="1"/>
    </row>
    <row r="953" spans="2:23" x14ac:dyDescent="0.35">
      <c r="B953" s="1"/>
      <c r="K953" s="1"/>
      <c r="N953" s="1"/>
      <c r="T953" s="1"/>
      <c r="W953" s="1"/>
    </row>
    <row r="954" spans="2:23" x14ac:dyDescent="0.35">
      <c r="B954" s="1"/>
      <c r="K954" s="1"/>
      <c r="N954" s="1"/>
      <c r="T954" s="1"/>
      <c r="W954" s="1"/>
    </row>
    <row r="955" spans="2:23" x14ac:dyDescent="0.35">
      <c r="B955" s="1"/>
      <c r="K955" s="1"/>
      <c r="N955" s="1"/>
      <c r="T955" s="1"/>
      <c r="W955" s="1"/>
    </row>
    <row r="956" spans="2:23" x14ac:dyDescent="0.35">
      <c r="B956" s="1"/>
      <c r="K956" s="1"/>
      <c r="N956" s="1"/>
      <c r="T956" s="1"/>
      <c r="W956" s="1"/>
    </row>
    <row r="957" spans="2:23" x14ac:dyDescent="0.35">
      <c r="B957" s="1"/>
      <c r="K957" s="1"/>
      <c r="N957" s="1"/>
      <c r="T957" s="1"/>
      <c r="W957" s="1"/>
    </row>
    <row r="958" spans="2:23" x14ac:dyDescent="0.35">
      <c r="B958" s="1"/>
      <c r="K958" s="1"/>
      <c r="N958" s="1"/>
      <c r="T958" s="1"/>
      <c r="W958" s="1"/>
    </row>
    <row r="959" spans="2:23" x14ac:dyDescent="0.35">
      <c r="B959" s="1"/>
      <c r="K959" s="1"/>
      <c r="N959" s="1"/>
      <c r="T959" s="1"/>
      <c r="W959" s="1"/>
    </row>
    <row r="960" spans="2:23" x14ac:dyDescent="0.35">
      <c r="B960" s="1"/>
      <c r="K960" s="1"/>
      <c r="N960" s="1"/>
      <c r="T960" s="1"/>
      <c r="W960" s="1"/>
    </row>
    <row r="961" spans="2:23" x14ac:dyDescent="0.35">
      <c r="B961" s="1"/>
      <c r="K961" s="1"/>
      <c r="N961" s="1"/>
      <c r="T961" s="1"/>
      <c r="W961" s="1"/>
    </row>
    <row r="962" spans="2:23" x14ac:dyDescent="0.35">
      <c r="B962" s="1"/>
      <c r="K962" s="1"/>
      <c r="N962" s="1"/>
      <c r="T962" s="1"/>
      <c r="W962" s="1"/>
    </row>
    <row r="963" spans="2:23" x14ac:dyDescent="0.35">
      <c r="B963" s="1"/>
      <c r="K963" s="1"/>
      <c r="N963" s="1"/>
      <c r="T963" s="1"/>
      <c r="W963" s="1"/>
    </row>
    <row r="964" spans="2:23" x14ac:dyDescent="0.35">
      <c r="B964" s="1"/>
      <c r="K964" s="1"/>
      <c r="N964" s="1"/>
      <c r="T964" s="1"/>
      <c r="W964" s="1"/>
    </row>
    <row r="965" spans="2:23" x14ac:dyDescent="0.35">
      <c r="B965" s="1"/>
      <c r="K965" s="1"/>
      <c r="N965" s="1"/>
      <c r="T965" s="1"/>
      <c r="W965" s="1"/>
    </row>
    <row r="966" spans="2:23" x14ac:dyDescent="0.35">
      <c r="B966" s="1"/>
      <c r="K966" s="1"/>
      <c r="N966" s="1"/>
      <c r="T966" s="1"/>
      <c r="W966" s="1"/>
    </row>
    <row r="967" spans="2:23" x14ac:dyDescent="0.35">
      <c r="B967" s="1"/>
      <c r="K967" s="1"/>
      <c r="N967" s="1"/>
      <c r="T967" s="1"/>
      <c r="W967" s="1"/>
    </row>
    <row r="968" spans="2:23" x14ac:dyDescent="0.35">
      <c r="B968" s="1"/>
      <c r="K968" s="1"/>
      <c r="N968" s="1"/>
      <c r="T968" s="1"/>
      <c r="W968" s="1"/>
    </row>
    <row r="969" spans="2:23" x14ac:dyDescent="0.35">
      <c r="B969" s="1"/>
      <c r="K969" s="1"/>
      <c r="N969" s="1"/>
      <c r="T969" s="1"/>
      <c r="W969" s="1"/>
    </row>
    <row r="970" spans="2:23" x14ac:dyDescent="0.35">
      <c r="B970" s="1"/>
      <c r="K970" s="1"/>
      <c r="N970" s="1"/>
      <c r="T970" s="1"/>
      <c r="W970" s="1"/>
    </row>
    <row r="971" spans="2:23" x14ac:dyDescent="0.35">
      <c r="B971" s="1"/>
      <c r="K971" s="1"/>
      <c r="N971" s="1"/>
      <c r="T971" s="1"/>
      <c r="W971" s="1"/>
    </row>
    <row r="972" spans="2:23" x14ac:dyDescent="0.35">
      <c r="B972" s="1"/>
      <c r="K972" s="1"/>
      <c r="N972" s="1"/>
      <c r="T972" s="1"/>
      <c r="W972" s="1"/>
    </row>
    <row r="973" spans="2:23" x14ac:dyDescent="0.35">
      <c r="B973" s="1"/>
      <c r="K973" s="1"/>
      <c r="N973" s="1"/>
      <c r="T973" s="1"/>
      <c r="W973" s="1"/>
    </row>
    <row r="974" spans="2:23" x14ac:dyDescent="0.35">
      <c r="B974" s="1"/>
      <c r="K974" s="1"/>
      <c r="N974" s="1"/>
      <c r="T974" s="1"/>
      <c r="W974" s="1"/>
    </row>
    <row r="975" spans="2:23" x14ac:dyDescent="0.35">
      <c r="B975" s="1"/>
      <c r="K975" s="1"/>
      <c r="N975" s="1"/>
      <c r="T975" s="1"/>
      <c r="W975" s="1"/>
    </row>
    <row r="976" spans="2:23" x14ac:dyDescent="0.35">
      <c r="B976" s="1"/>
      <c r="K976" s="1"/>
      <c r="N976" s="1"/>
      <c r="T976" s="1"/>
      <c r="W976" s="1"/>
    </row>
    <row r="977" spans="2:23" x14ac:dyDescent="0.35">
      <c r="B977" s="1"/>
      <c r="K977" s="1"/>
      <c r="N977" s="1"/>
      <c r="T977" s="1"/>
      <c r="W977" s="1"/>
    </row>
    <row r="978" spans="2:23" x14ac:dyDescent="0.35">
      <c r="B978" s="1"/>
      <c r="K978" s="1"/>
      <c r="N978" s="1"/>
      <c r="T978" s="1"/>
      <c r="W978" s="1"/>
    </row>
    <row r="979" spans="2:23" x14ac:dyDescent="0.35">
      <c r="B979" s="1"/>
      <c r="K979" s="1"/>
      <c r="N979" s="1"/>
      <c r="T979" s="1"/>
      <c r="W979" s="1"/>
    </row>
    <row r="980" spans="2:23" x14ac:dyDescent="0.35">
      <c r="B980" s="1"/>
      <c r="K980" s="1"/>
      <c r="N980" s="1"/>
      <c r="T980" s="1"/>
      <c r="W980" s="1"/>
    </row>
    <row r="981" spans="2:23" x14ac:dyDescent="0.35">
      <c r="B981" s="1"/>
      <c r="K981" s="1"/>
      <c r="N981" s="1"/>
      <c r="T981" s="1"/>
      <c r="W981" s="1"/>
    </row>
    <row r="982" spans="2:23" x14ac:dyDescent="0.35">
      <c r="B982" s="1"/>
      <c r="K982" s="1"/>
      <c r="N982" s="1"/>
      <c r="T982" s="1"/>
      <c r="W982" s="1"/>
    </row>
    <row r="983" spans="2:23" x14ac:dyDescent="0.35">
      <c r="B983" s="1"/>
      <c r="K983" s="1"/>
      <c r="N983" s="1"/>
      <c r="T983" s="1"/>
      <c r="W983" s="1"/>
    </row>
    <row r="984" spans="2:23" x14ac:dyDescent="0.35">
      <c r="B984" s="1"/>
      <c r="K984" s="1"/>
      <c r="N984" s="1"/>
      <c r="T984" s="1"/>
      <c r="W984" s="1"/>
    </row>
    <row r="985" spans="2:23" x14ac:dyDescent="0.35">
      <c r="B985" s="1"/>
      <c r="K985" s="1"/>
      <c r="N985" s="1"/>
      <c r="T985" s="1"/>
      <c r="W985" s="1"/>
    </row>
    <row r="986" spans="2:23" x14ac:dyDescent="0.35">
      <c r="B986" s="1"/>
      <c r="K986" s="1"/>
      <c r="N986" s="1"/>
      <c r="T986" s="1"/>
      <c r="W986" s="1"/>
    </row>
    <row r="987" spans="2:23" x14ac:dyDescent="0.35">
      <c r="B987" s="1"/>
      <c r="K987" s="1"/>
      <c r="N987" s="1"/>
      <c r="T987" s="1"/>
      <c r="W987" s="1"/>
    </row>
    <row r="988" spans="2:23" x14ac:dyDescent="0.35">
      <c r="B988" s="1"/>
      <c r="K988" s="1"/>
      <c r="N988" s="1"/>
      <c r="T988" s="1"/>
      <c r="W988" s="1"/>
    </row>
    <row r="989" spans="2:23" x14ac:dyDescent="0.35">
      <c r="B989" s="1"/>
      <c r="K989" s="1"/>
      <c r="N989" s="1"/>
      <c r="T989" s="1"/>
      <c r="W989" s="1"/>
    </row>
    <row r="990" spans="2:23" x14ac:dyDescent="0.35">
      <c r="B990" s="1"/>
      <c r="K990" s="1"/>
      <c r="N990" s="1"/>
      <c r="T990" s="1"/>
      <c r="W990" s="1"/>
    </row>
    <row r="991" spans="2:23" x14ac:dyDescent="0.35">
      <c r="B991" s="1"/>
      <c r="K991" s="1"/>
      <c r="N991" s="1"/>
      <c r="T991" s="1"/>
      <c r="W991" s="1"/>
    </row>
    <row r="992" spans="2:23" x14ac:dyDescent="0.35">
      <c r="B992" s="1"/>
      <c r="K992" s="1"/>
      <c r="N992" s="1"/>
      <c r="T992" s="1"/>
      <c r="W992" s="1"/>
    </row>
    <row r="993" spans="2:23" x14ac:dyDescent="0.35">
      <c r="B993" s="1"/>
      <c r="K993" s="1"/>
      <c r="N993" s="1"/>
      <c r="T993" s="1"/>
      <c r="W993" s="1"/>
    </row>
    <row r="994" spans="2:23" x14ac:dyDescent="0.35">
      <c r="B994" s="1"/>
      <c r="K994" s="1"/>
      <c r="N994" s="1"/>
      <c r="T994" s="1"/>
      <c r="W994" s="1"/>
    </row>
    <row r="995" spans="2:23" x14ac:dyDescent="0.35">
      <c r="B995" s="1"/>
      <c r="K995" s="1"/>
      <c r="N995" s="1"/>
      <c r="T995" s="1"/>
      <c r="W995" s="1"/>
    </row>
    <row r="996" spans="2:23" x14ac:dyDescent="0.35">
      <c r="B996" s="1"/>
      <c r="K996" s="1"/>
      <c r="N996" s="1"/>
      <c r="T996" s="1"/>
      <c r="W996" s="1"/>
    </row>
    <row r="997" spans="2:23" x14ac:dyDescent="0.35">
      <c r="B997" s="1"/>
      <c r="K997" s="1"/>
      <c r="N997" s="1"/>
      <c r="T997" s="1"/>
      <c r="W997" s="1"/>
    </row>
    <row r="998" spans="2:23" x14ac:dyDescent="0.35">
      <c r="B998" s="1"/>
      <c r="K998" s="1"/>
      <c r="N998" s="1"/>
      <c r="T998" s="1"/>
      <c r="W998" s="1"/>
    </row>
    <row r="999" spans="2:23" x14ac:dyDescent="0.35">
      <c r="B999" s="1"/>
      <c r="K999" s="1"/>
      <c r="N999" s="1"/>
      <c r="T999" s="1"/>
      <c r="W999" s="1"/>
    </row>
    <row r="1000" spans="2:23" x14ac:dyDescent="0.35">
      <c r="B1000" s="1"/>
      <c r="K1000" s="1"/>
      <c r="N1000" s="1"/>
      <c r="T1000" s="1"/>
      <c r="W1000" s="1"/>
    </row>
    <row r="1001" spans="2:23" x14ac:dyDescent="0.35">
      <c r="B1001" s="1"/>
      <c r="K1001" s="1"/>
      <c r="N1001" s="1"/>
      <c r="T1001" s="1"/>
      <c r="W1001" s="1"/>
    </row>
    <row r="1002" spans="2:23" x14ac:dyDescent="0.35">
      <c r="B1002" s="1"/>
      <c r="K1002" s="1"/>
      <c r="N1002" s="1"/>
      <c r="T1002" s="1"/>
      <c r="W1002" s="1"/>
    </row>
    <row r="1003" spans="2:23" x14ac:dyDescent="0.35">
      <c r="B1003" s="1"/>
      <c r="K1003" s="1"/>
      <c r="N1003" s="1"/>
      <c r="T1003" s="1"/>
      <c r="W1003" s="1"/>
    </row>
    <row r="1004" spans="2:23" x14ac:dyDescent="0.35">
      <c r="B1004" s="1"/>
      <c r="K1004" s="1"/>
      <c r="N1004" s="1"/>
      <c r="T1004" s="1"/>
      <c r="W1004" s="1"/>
    </row>
    <row r="1005" spans="2:23" x14ac:dyDescent="0.35">
      <c r="B1005" s="1"/>
      <c r="K1005" s="1"/>
      <c r="N1005" s="1"/>
      <c r="T1005" s="1"/>
      <c r="W1005" s="1"/>
    </row>
    <row r="1006" spans="2:23" x14ac:dyDescent="0.35">
      <c r="B1006" s="1"/>
      <c r="K1006" s="1"/>
      <c r="N1006" s="1"/>
      <c r="T1006" s="1"/>
      <c r="W1006" s="1"/>
    </row>
    <row r="1007" spans="2:23" x14ac:dyDescent="0.35">
      <c r="B1007" s="1"/>
      <c r="K1007" s="1"/>
      <c r="N1007" s="1"/>
      <c r="T1007" s="1"/>
      <c r="W1007" s="1"/>
    </row>
    <row r="1008" spans="2:23" x14ac:dyDescent="0.35">
      <c r="B1008" s="1"/>
      <c r="K1008" s="1"/>
      <c r="N1008" s="1"/>
      <c r="T1008" s="1"/>
      <c r="W1008" s="1"/>
    </row>
    <row r="1009" spans="2:23" x14ac:dyDescent="0.35">
      <c r="B1009" s="1"/>
      <c r="K1009" s="1"/>
      <c r="N1009" s="1"/>
      <c r="T1009" s="1"/>
      <c r="W1009" s="1"/>
    </row>
    <row r="1010" spans="2:23" x14ac:dyDescent="0.35">
      <c r="B1010" s="1"/>
      <c r="K1010" s="1"/>
      <c r="N1010" s="1"/>
      <c r="T1010" s="1"/>
      <c r="W1010" s="1"/>
    </row>
    <row r="1011" spans="2:23" x14ac:dyDescent="0.35">
      <c r="B1011" s="1"/>
      <c r="K1011" s="1"/>
      <c r="N1011" s="1"/>
      <c r="T1011" s="1"/>
      <c r="W1011" s="1"/>
    </row>
    <row r="1012" spans="2:23" x14ac:dyDescent="0.35">
      <c r="B1012" s="1"/>
      <c r="K1012" s="1"/>
      <c r="N1012" s="1"/>
      <c r="T1012" s="1"/>
      <c r="W1012" s="1"/>
    </row>
    <row r="1013" spans="2:23" x14ac:dyDescent="0.35">
      <c r="B1013" s="1"/>
      <c r="K1013" s="1"/>
      <c r="N1013" s="1"/>
      <c r="T1013" s="1"/>
      <c r="W1013" s="1"/>
    </row>
    <row r="1014" spans="2:23" x14ac:dyDescent="0.35">
      <c r="B1014" s="1"/>
      <c r="K1014" s="1"/>
      <c r="N1014" s="1"/>
      <c r="T1014" s="1"/>
      <c r="W1014" s="1"/>
    </row>
    <row r="1015" spans="2:23" x14ac:dyDescent="0.35">
      <c r="B1015" s="1"/>
      <c r="K1015" s="1"/>
      <c r="N1015" s="1"/>
      <c r="T1015" s="1"/>
      <c r="W1015" s="1"/>
    </row>
    <row r="1016" spans="2:23" x14ac:dyDescent="0.35">
      <c r="B1016" s="1"/>
      <c r="K1016" s="1"/>
      <c r="N1016" s="1"/>
      <c r="T1016" s="1"/>
      <c r="W1016" s="1"/>
    </row>
    <row r="1017" spans="2:23" x14ac:dyDescent="0.35">
      <c r="B1017" s="1"/>
      <c r="K1017" s="1"/>
      <c r="N1017" s="1"/>
      <c r="T1017" s="1"/>
      <c r="W1017" s="1"/>
    </row>
    <row r="1018" spans="2:23" x14ac:dyDescent="0.35">
      <c r="B1018" s="1"/>
      <c r="K1018" s="1"/>
      <c r="N1018" s="1"/>
      <c r="T1018" s="1"/>
      <c r="W1018" s="1"/>
    </row>
    <row r="1019" spans="2:23" x14ac:dyDescent="0.35">
      <c r="B1019" s="1"/>
      <c r="K1019" s="1"/>
      <c r="N1019" s="1"/>
      <c r="T1019" s="1"/>
      <c r="W1019" s="1"/>
    </row>
    <row r="1020" spans="2:23" x14ac:dyDescent="0.35">
      <c r="B1020" s="1"/>
      <c r="K1020" s="1"/>
      <c r="N1020" s="1"/>
      <c r="T1020" s="1"/>
      <c r="W1020" s="1"/>
    </row>
    <row r="1021" spans="2:23" x14ac:dyDescent="0.35">
      <c r="B1021" s="1"/>
      <c r="K1021" s="1"/>
      <c r="N1021" s="1"/>
      <c r="T1021" s="1"/>
      <c r="W1021" s="1"/>
    </row>
    <row r="1022" spans="2:23" x14ac:dyDescent="0.35">
      <c r="B1022" s="1"/>
      <c r="K1022" s="1"/>
      <c r="N1022" s="1"/>
      <c r="T1022" s="1"/>
      <c r="W1022" s="1"/>
    </row>
    <row r="1023" spans="2:23" x14ac:dyDescent="0.35">
      <c r="B1023" s="1"/>
      <c r="K1023" s="1"/>
      <c r="N1023" s="1"/>
      <c r="T1023" s="1"/>
      <c r="W1023" s="1"/>
    </row>
    <row r="1024" spans="2:23" x14ac:dyDescent="0.35">
      <c r="B1024" s="1"/>
      <c r="K1024" s="1"/>
      <c r="N1024" s="1"/>
      <c r="T1024" s="1"/>
      <c r="W1024" s="1"/>
    </row>
    <row r="1025" spans="2:23" x14ac:dyDescent="0.35">
      <c r="B1025" s="1"/>
      <c r="K1025" s="1"/>
      <c r="N1025" s="1"/>
      <c r="T1025" s="1"/>
      <c r="W1025" s="1"/>
    </row>
    <row r="1026" spans="2:23" x14ac:dyDescent="0.35">
      <c r="B1026" s="1"/>
      <c r="K1026" s="1"/>
      <c r="N1026" s="1"/>
      <c r="T1026" s="1"/>
      <c r="W1026" s="1"/>
    </row>
    <row r="1027" spans="2:23" x14ac:dyDescent="0.35">
      <c r="B1027" s="1"/>
      <c r="K1027" s="1"/>
      <c r="N1027" s="1"/>
      <c r="T1027" s="1"/>
      <c r="W1027" s="1"/>
    </row>
    <row r="1028" spans="2:23" x14ac:dyDescent="0.35">
      <c r="B1028" s="1"/>
      <c r="K1028" s="1"/>
      <c r="N1028" s="1"/>
      <c r="T1028" s="1"/>
      <c r="W1028" s="1"/>
    </row>
    <row r="1029" spans="2:23" x14ac:dyDescent="0.35">
      <c r="B1029" s="1"/>
      <c r="K1029" s="1"/>
      <c r="N1029" s="1"/>
      <c r="T1029" s="1"/>
      <c r="W1029" s="1"/>
    </row>
    <row r="1030" spans="2:23" x14ac:dyDescent="0.35">
      <c r="B1030" s="1"/>
      <c r="K1030" s="1"/>
      <c r="N1030" s="1"/>
      <c r="T1030" s="1"/>
      <c r="W1030" s="1"/>
    </row>
    <row r="1031" spans="2:23" x14ac:dyDescent="0.35">
      <c r="B1031" s="1"/>
      <c r="K1031" s="1"/>
      <c r="N1031" s="1"/>
      <c r="T1031" s="1"/>
      <c r="W1031" s="1"/>
    </row>
    <row r="1032" spans="2:23" x14ac:dyDescent="0.35">
      <c r="B1032" s="1"/>
      <c r="K1032" s="1"/>
      <c r="N1032" s="1"/>
      <c r="T1032" s="1"/>
      <c r="W1032" s="1"/>
    </row>
    <row r="1033" spans="2:23" x14ac:dyDescent="0.35">
      <c r="B1033" s="1"/>
      <c r="K1033" s="1"/>
      <c r="N1033" s="1"/>
      <c r="T1033" s="1"/>
      <c r="W1033" s="1"/>
    </row>
    <row r="1034" spans="2:23" x14ac:dyDescent="0.35">
      <c r="B1034" s="1"/>
      <c r="K1034" s="1"/>
      <c r="N1034" s="1"/>
      <c r="T1034" s="1"/>
      <c r="W1034" s="1"/>
    </row>
    <row r="1035" spans="2:23" x14ac:dyDescent="0.35">
      <c r="B1035" s="1"/>
      <c r="K1035" s="1"/>
      <c r="N1035" s="1"/>
      <c r="T1035" s="1"/>
      <c r="W1035" s="1"/>
    </row>
    <row r="1036" spans="2:23" x14ac:dyDescent="0.35">
      <c r="B1036" s="1"/>
      <c r="K1036" s="1"/>
      <c r="N1036" s="1"/>
      <c r="T1036" s="1"/>
      <c r="W1036" s="1"/>
    </row>
    <row r="1037" spans="2:23" x14ac:dyDescent="0.35">
      <c r="B1037" s="1"/>
      <c r="K1037" s="1"/>
      <c r="N1037" s="1"/>
      <c r="T1037" s="1"/>
      <c r="W1037" s="1"/>
    </row>
    <row r="1038" spans="2:23" x14ac:dyDescent="0.35">
      <c r="B1038" s="1"/>
      <c r="K1038" s="1"/>
      <c r="N1038" s="1"/>
      <c r="T1038" s="1"/>
      <c r="W1038" s="1"/>
    </row>
    <row r="1039" spans="2:23" x14ac:dyDescent="0.35">
      <c r="B1039" s="1"/>
      <c r="K1039" s="1"/>
      <c r="N1039" s="1"/>
      <c r="T1039" s="1"/>
      <c r="W1039" s="1"/>
    </row>
    <row r="1040" spans="2:23" x14ac:dyDescent="0.35">
      <c r="B1040" s="1"/>
      <c r="K1040" s="1"/>
      <c r="N1040" s="1"/>
      <c r="T1040" s="1"/>
      <c r="W1040" s="1"/>
    </row>
    <row r="1041" spans="2:23" x14ac:dyDescent="0.35">
      <c r="B1041" s="1"/>
      <c r="K1041" s="1"/>
      <c r="N1041" s="1"/>
      <c r="T1041" s="1"/>
      <c r="W1041" s="1"/>
    </row>
    <row r="1042" spans="2:23" x14ac:dyDescent="0.35">
      <c r="B1042" s="1"/>
      <c r="K1042" s="1"/>
      <c r="N1042" s="1"/>
      <c r="T1042" s="1"/>
      <c r="W1042" s="1"/>
    </row>
    <row r="1043" spans="2:23" x14ac:dyDescent="0.35">
      <c r="B1043" s="1"/>
      <c r="K1043" s="1"/>
      <c r="N1043" s="1"/>
      <c r="T1043" s="1"/>
      <c r="W1043" s="1"/>
    </row>
    <row r="1044" spans="2:23" x14ac:dyDescent="0.35">
      <c r="B1044" s="1"/>
      <c r="K1044" s="1"/>
      <c r="N1044" s="1"/>
      <c r="T1044" s="1"/>
      <c r="W1044" s="1"/>
    </row>
    <row r="1045" spans="2:23" x14ac:dyDescent="0.35">
      <c r="B1045" s="1"/>
      <c r="K1045" s="1"/>
      <c r="N1045" s="1"/>
      <c r="T1045" s="1"/>
      <c r="W1045" s="1"/>
    </row>
    <row r="1046" spans="2:23" x14ac:dyDescent="0.35">
      <c r="B1046" s="1"/>
      <c r="K1046" s="1"/>
      <c r="N1046" s="1"/>
      <c r="T1046" s="1"/>
      <c r="W1046" s="1"/>
    </row>
    <row r="1047" spans="2:23" x14ac:dyDescent="0.35">
      <c r="B1047" s="1"/>
      <c r="K1047" s="1"/>
      <c r="N1047" s="1"/>
      <c r="T1047" s="1"/>
      <c r="W1047" s="1"/>
    </row>
    <row r="1048" spans="2:23" x14ac:dyDescent="0.35">
      <c r="B1048" s="1"/>
      <c r="K1048" s="1"/>
      <c r="N1048" s="1"/>
      <c r="T1048" s="1"/>
      <c r="W1048" s="1"/>
    </row>
    <row r="1049" spans="2:23" x14ac:dyDescent="0.35">
      <c r="B1049" s="1"/>
      <c r="K1049" s="1"/>
      <c r="N1049" s="1"/>
      <c r="T1049" s="1"/>
      <c r="W1049" s="1"/>
    </row>
    <row r="1050" spans="2:23" x14ac:dyDescent="0.35">
      <c r="B1050" s="1"/>
      <c r="K1050" s="1"/>
      <c r="N1050" s="1"/>
      <c r="T1050" s="1"/>
      <c r="W1050" s="1"/>
    </row>
    <row r="1051" spans="2:23" x14ac:dyDescent="0.35">
      <c r="B1051" s="1"/>
      <c r="K1051" s="1"/>
      <c r="N1051" s="1"/>
      <c r="T1051" s="1"/>
      <c r="W1051" s="1"/>
    </row>
    <row r="1052" spans="2:23" x14ac:dyDescent="0.35">
      <c r="B1052" s="1"/>
      <c r="K1052" s="1"/>
      <c r="N1052" s="1"/>
      <c r="T1052" s="1"/>
      <c r="W1052" s="1"/>
    </row>
    <row r="1053" spans="2:23" x14ac:dyDescent="0.35">
      <c r="B1053" s="1"/>
      <c r="K1053" s="1"/>
      <c r="N1053" s="1"/>
      <c r="T1053" s="1"/>
      <c r="W1053" s="1"/>
    </row>
    <row r="1054" spans="2:23" x14ac:dyDescent="0.35">
      <c r="B1054" s="1"/>
      <c r="K1054" s="1"/>
      <c r="N1054" s="1"/>
      <c r="T1054" s="1"/>
      <c r="W1054" s="1"/>
    </row>
    <row r="1055" spans="2:23" x14ac:dyDescent="0.35">
      <c r="B1055" s="1"/>
      <c r="K1055" s="1"/>
      <c r="N1055" s="1"/>
      <c r="T1055" s="1"/>
      <c r="W1055" s="1"/>
    </row>
    <row r="1056" spans="2:23" x14ac:dyDescent="0.35">
      <c r="B1056" s="1"/>
      <c r="K1056" s="1"/>
      <c r="N1056" s="1"/>
      <c r="T1056" s="1"/>
      <c r="W1056" s="1"/>
    </row>
    <row r="1057" spans="2:23" x14ac:dyDescent="0.35">
      <c r="B1057" s="1"/>
      <c r="K1057" s="1"/>
      <c r="N1057" s="1"/>
      <c r="T1057" s="1"/>
      <c r="W1057" s="1"/>
    </row>
    <row r="1058" spans="2:23" x14ac:dyDescent="0.35">
      <c r="B1058" s="1"/>
      <c r="K1058" s="1"/>
      <c r="N1058" s="1"/>
      <c r="T1058" s="1"/>
      <c r="W1058" s="1"/>
    </row>
    <row r="1059" spans="2:23" x14ac:dyDescent="0.35">
      <c r="B1059" s="1"/>
      <c r="K1059" s="1"/>
      <c r="N1059" s="1"/>
      <c r="T1059" s="1"/>
      <c r="W1059" s="1"/>
    </row>
    <row r="1060" spans="2:23" x14ac:dyDescent="0.35">
      <c r="B1060" s="1"/>
      <c r="K1060" s="1"/>
      <c r="N1060" s="1"/>
      <c r="T1060" s="1"/>
      <c r="W1060" s="1"/>
    </row>
    <row r="1061" spans="2:23" x14ac:dyDescent="0.35">
      <c r="B1061" s="1"/>
      <c r="K1061" s="1"/>
      <c r="N1061" s="1"/>
      <c r="T1061" s="1"/>
      <c r="W1061" s="1"/>
    </row>
    <row r="1062" spans="2:23" x14ac:dyDescent="0.35">
      <c r="B1062" s="1"/>
      <c r="K1062" s="1"/>
      <c r="N1062" s="1"/>
      <c r="T1062" s="1"/>
      <c r="W1062" s="1"/>
    </row>
    <row r="1063" spans="2:23" x14ac:dyDescent="0.35">
      <c r="B1063" s="1"/>
      <c r="K1063" s="1"/>
      <c r="N1063" s="1"/>
      <c r="T1063" s="1"/>
      <c r="W1063" s="1"/>
    </row>
    <row r="1064" spans="2:23" x14ac:dyDescent="0.35">
      <c r="B1064" s="1"/>
      <c r="K1064" s="1"/>
      <c r="N1064" s="1"/>
      <c r="T1064" s="1"/>
      <c r="W1064" s="1"/>
    </row>
    <row r="1065" spans="2:23" x14ac:dyDescent="0.35">
      <c r="B1065" s="1"/>
      <c r="K1065" s="1"/>
      <c r="N1065" s="1"/>
      <c r="T1065" s="1"/>
      <c r="W1065" s="1"/>
    </row>
    <row r="1066" spans="2:23" x14ac:dyDescent="0.35">
      <c r="B1066" s="1"/>
      <c r="K1066" s="1"/>
      <c r="N1066" s="1"/>
      <c r="T1066" s="1"/>
      <c r="W1066" s="1"/>
    </row>
    <row r="1067" spans="2:23" x14ac:dyDescent="0.35">
      <c r="B1067" s="1"/>
      <c r="K1067" s="1"/>
      <c r="N1067" s="1"/>
      <c r="T1067" s="1"/>
      <c r="W1067" s="1"/>
    </row>
    <row r="1068" spans="2:23" x14ac:dyDescent="0.35">
      <c r="B1068" s="1"/>
      <c r="K1068" s="1"/>
      <c r="N1068" s="1"/>
      <c r="T1068" s="1"/>
      <c r="W1068" s="1"/>
    </row>
    <row r="1069" spans="2:23" x14ac:dyDescent="0.35">
      <c r="B1069" s="1"/>
      <c r="K1069" s="1"/>
      <c r="N1069" s="1"/>
      <c r="T1069" s="1"/>
      <c r="W1069" s="1"/>
    </row>
    <row r="1070" spans="2:23" x14ac:dyDescent="0.35">
      <c r="B1070" s="1"/>
      <c r="K1070" s="1"/>
      <c r="N1070" s="1"/>
      <c r="T1070" s="1"/>
      <c r="W1070" s="1"/>
    </row>
    <row r="1071" spans="2:23" x14ac:dyDescent="0.35">
      <c r="B1071" s="1"/>
      <c r="K1071" s="1"/>
      <c r="N1071" s="1"/>
      <c r="T1071" s="1"/>
      <c r="W1071" s="1"/>
    </row>
    <row r="1072" spans="2:23" x14ac:dyDescent="0.35">
      <c r="B1072" s="1"/>
      <c r="K1072" s="1"/>
      <c r="N1072" s="1"/>
      <c r="T1072" s="1"/>
      <c r="W1072" s="1"/>
    </row>
    <row r="1073" spans="2:23" x14ac:dyDescent="0.35">
      <c r="B1073" s="1"/>
      <c r="K1073" s="1"/>
      <c r="N1073" s="1"/>
      <c r="T1073" s="1"/>
      <c r="W1073" s="1"/>
    </row>
    <row r="1074" spans="2:23" x14ac:dyDescent="0.35">
      <c r="B1074" s="1"/>
      <c r="K1074" s="1"/>
      <c r="N1074" s="1"/>
      <c r="T1074" s="1"/>
      <c r="W1074" s="1"/>
    </row>
    <row r="1075" spans="2:23" x14ac:dyDescent="0.35">
      <c r="B1075" s="1"/>
      <c r="K1075" s="1"/>
      <c r="N1075" s="1"/>
      <c r="T1075" s="1"/>
      <c r="W1075" s="1"/>
    </row>
    <row r="1076" spans="2:23" x14ac:dyDescent="0.35">
      <c r="B1076" s="1"/>
      <c r="K1076" s="1"/>
      <c r="N1076" s="1"/>
      <c r="T1076" s="1"/>
      <c r="W1076" s="1"/>
    </row>
    <row r="1077" spans="2:23" x14ac:dyDescent="0.35">
      <c r="B1077" s="1"/>
      <c r="K1077" s="1"/>
      <c r="N1077" s="1"/>
      <c r="T1077" s="1"/>
      <c r="W1077" s="1"/>
    </row>
    <row r="1078" spans="2:23" x14ac:dyDescent="0.35">
      <c r="B1078" s="1"/>
      <c r="K1078" s="1"/>
      <c r="N1078" s="1"/>
      <c r="T1078" s="1"/>
      <c r="W1078" s="1"/>
    </row>
    <row r="1079" spans="2:23" x14ac:dyDescent="0.35">
      <c r="B1079" s="1"/>
      <c r="K1079" s="1"/>
      <c r="N1079" s="1"/>
      <c r="T1079" s="1"/>
      <c r="W1079" s="1"/>
    </row>
    <row r="1080" spans="2:23" x14ac:dyDescent="0.35">
      <c r="B1080" s="1"/>
      <c r="K1080" s="1"/>
      <c r="N1080" s="1"/>
      <c r="T1080" s="1"/>
      <c r="W1080" s="1"/>
    </row>
    <row r="1081" spans="2:23" x14ac:dyDescent="0.35">
      <c r="B1081" s="1"/>
      <c r="K1081" s="1"/>
      <c r="N1081" s="1"/>
      <c r="T1081" s="1"/>
      <c r="W1081" s="1"/>
    </row>
    <row r="1082" spans="2:23" x14ac:dyDescent="0.35">
      <c r="B1082" s="1"/>
      <c r="K1082" s="1"/>
      <c r="N1082" s="1"/>
      <c r="T1082" s="1"/>
      <c r="W1082" s="1"/>
    </row>
    <row r="1083" spans="2:23" x14ac:dyDescent="0.35">
      <c r="B1083" s="1"/>
      <c r="K1083" s="1"/>
      <c r="N1083" s="1"/>
      <c r="T1083" s="1"/>
      <c r="W1083" s="1"/>
    </row>
    <row r="1084" spans="2:23" x14ac:dyDescent="0.35">
      <c r="B1084" s="1"/>
      <c r="K1084" s="1"/>
      <c r="N1084" s="1"/>
      <c r="T1084" s="1"/>
      <c r="W1084" s="1"/>
    </row>
    <row r="1085" spans="2:23" x14ac:dyDescent="0.35">
      <c r="B1085" s="1"/>
      <c r="K1085" s="1"/>
      <c r="N1085" s="1"/>
      <c r="T1085" s="1"/>
      <c r="W1085" s="1"/>
    </row>
    <row r="1086" spans="2:23" x14ac:dyDescent="0.35">
      <c r="B1086" s="1"/>
      <c r="K1086" s="1"/>
      <c r="N1086" s="1"/>
      <c r="T1086" s="1"/>
      <c r="W1086" s="1"/>
    </row>
    <row r="1087" spans="2:23" x14ac:dyDescent="0.35">
      <c r="B1087" s="1"/>
      <c r="K1087" s="1"/>
      <c r="N1087" s="1"/>
      <c r="T1087" s="1"/>
      <c r="W1087" s="1"/>
    </row>
    <row r="1088" spans="2:23" x14ac:dyDescent="0.35">
      <c r="B1088" s="1"/>
      <c r="K1088" s="1"/>
      <c r="N1088" s="1"/>
      <c r="T1088" s="1"/>
      <c r="W1088" s="1"/>
    </row>
    <row r="1089" spans="2:23" x14ac:dyDescent="0.35">
      <c r="B1089" s="1"/>
      <c r="K1089" s="1"/>
      <c r="N1089" s="1"/>
      <c r="T1089" s="1"/>
      <c r="W1089" s="1"/>
    </row>
    <row r="1090" spans="2:23" x14ac:dyDescent="0.35">
      <c r="B1090" s="1"/>
      <c r="K1090" s="1"/>
      <c r="N1090" s="1"/>
      <c r="T1090" s="1"/>
      <c r="W1090" s="1"/>
    </row>
    <row r="1091" spans="2:23" x14ac:dyDescent="0.35">
      <c r="B1091" s="1"/>
      <c r="K1091" s="1"/>
      <c r="N1091" s="1"/>
      <c r="T1091" s="1"/>
      <c r="W1091" s="1"/>
    </row>
    <row r="1092" spans="2:23" x14ac:dyDescent="0.35">
      <c r="B1092" s="1"/>
      <c r="K1092" s="1"/>
      <c r="N1092" s="1"/>
      <c r="T1092" s="1"/>
      <c r="W1092" s="1"/>
    </row>
    <row r="1093" spans="2:23" x14ac:dyDescent="0.35">
      <c r="B1093" s="1"/>
      <c r="K1093" s="1"/>
      <c r="N1093" s="1"/>
      <c r="T1093" s="1"/>
      <c r="W1093" s="1"/>
    </row>
    <row r="1094" spans="2:23" x14ac:dyDescent="0.35">
      <c r="B1094" s="1"/>
      <c r="K1094" s="1"/>
      <c r="N1094" s="1"/>
      <c r="T1094" s="1"/>
      <c r="W1094" s="1"/>
    </row>
    <row r="1095" spans="2:23" x14ac:dyDescent="0.35">
      <c r="B1095" s="1"/>
      <c r="K1095" s="1"/>
      <c r="N1095" s="1"/>
      <c r="T1095" s="1"/>
      <c r="W1095" s="1"/>
    </row>
    <row r="1096" spans="2:23" x14ac:dyDescent="0.35">
      <c r="B1096" s="1"/>
      <c r="K1096" s="1"/>
      <c r="N1096" s="1"/>
      <c r="T1096" s="1"/>
      <c r="W1096" s="1"/>
    </row>
    <row r="1097" spans="2:23" x14ac:dyDescent="0.35">
      <c r="B1097" s="1"/>
      <c r="K1097" s="1"/>
      <c r="N1097" s="1"/>
      <c r="T1097" s="1"/>
      <c r="W1097" s="1"/>
    </row>
    <row r="1098" spans="2:23" x14ac:dyDescent="0.35">
      <c r="B1098" s="1"/>
      <c r="K1098" s="1"/>
      <c r="N1098" s="1"/>
      <c r="T1098" s="1"/>
      <c r="W1098" s="1"/>
    </row>
    <row r="1099" spans="2:23" x14ac:dyDescent="0.35">
      <c r="B1099" s="1"/>
      <c r="K1099" s="1"/>
      <c r="N1099" s="1"/>
      <c r="T1099" s="1"/>
      <c r="W1099" s="1"/>
    </row>
    <row r="1100" spans="2:23" x14ac:dyDescent="0.35">
      <c r="B1100" s="1"/>
      <c r="K1100" s="1"/>
      <c r="N1100" s="1"/>
      <c r="T1100" s="1"/>
      <c r="W1100" s="1"/>
    </row>
    <row r="1101" spans="2:23" x14ac:dyDescent="0.35">
      <c r="B1101" s="1"/>
      <c r="K1101" s="1"/>
      <c r="N1101" s="1"/>
      <c r="T1101" s="1"/>
      <c r="W1101" s="1"/>
    </row>
    <row r="1102" spans="2:23" x14ac:dyDescent="0.35">
      <c r="B1102" s="1"/>
      <c r="K1102" s="1"/>
      <c r="N1102" s="1"/>
      <c r="T1102" s="1"/>
      <c r="W1102" s="1"/>
    </row>
    <row r="1103" spans="2:23" x14ac:dyDescent="0.35">
      <c r="B1103" s="1"/>
      <c r="K1103" s="1"/>
      <c r="N1103" s="1"/>
      <c r="T1103" s="1"/>
      <c r="W1103" s="1"/>
    </row>
    <row r="1104" spans="2:23" x14ac:dyDescent="0.35">
      <c r="B1104" s="1"/>
      <c r="K1104" s="1"/>
      <c r="N1104" s="1"/>
      <c r="T1104" s="1"/>
      <c r="W1104" s="1"/>
    </row>
    <row r="1105" spans="2:23" x14ac:dyDescent="0.35">
      <c r="B1105" s="1"/>
      <c r="K1105" s="1"/>
      <c r="N1105" s="1"/>
      <c r="T1105" s="1"/>
      <c r="W1105" s="1"/>
    </row>
    <row r="1106" spans="2:23" x14ac:dyDescent="0.35">
      <c r="B1106" s="1"/>
      <c r="K1106" s="1"/>
      <c r="N1106" s="1"/>
      <c r="T1106" s="1"/>
      <c r="W1106" s="1"/>
    </row>
    <row r="1107" spans="2:23" x14ac:dyDescent="0.35">
      <c r="B1107" s="1"/>
      <c r="K1107" s="1"/>
      <c r="N1107" s="1"/>
      <c r="T1107" s="1"/>
      <c r="W1107" s="1"/>
    </row>
    <row r="1108" spans="2:23" x14ac:dyDescent="0.35">
      <c r="B1108" s="1"/>
      <c r="K1108" s="1"/>
      <c r="N1108" s="1"/>
      <c r="T1108" s="1"/>
      <c r="W1108" s="1"/>
    </row>
    <row r="1109" spans="2:23" x14ac:dyDescent="0.35">
      <c r="B1109" s="1"/>
      <c r="K1109" s="1"/>
      <c r="N1109" s="1"/>
      <c r="T1109" s="1"/>
      <c r="W1109" s="1"/>
    </row>
    <row r="1110" spans="2:23" x14ac:dyDescent="0.35">
      <c r="B1110" s="1"/>
      <c r="K1110" s="1"/>
      <c r="N1110" s="1"/>
      <c r="T1110" s="1"/>
      <c r="W1110" s="1"/>
    </row>
    <row r="1111" spans="2:23" x14ac:dyDescent="0.35">
      <c r="B1111" s="1"/>
      <c r="K1111" s="1"/>
      <c r="N1111" s="1"/>
      <c r="T1111" s="1"/>
      <c r="W1111" s="1"/>
    </row>
    <row r="1112" spans="2:23" x14ac:dyDescent="0.35">
      <c r="B1112" s="1"/>
      <c r="K1112" s="1"/>
      <c r="N1112" s="1"/>
      <c r="T1112" s="1"/>
      <c r="W1112" s="1"/>
    </row>
    <row r="1113" spans="2:23" x14ac:dyDescent="0.35">
      <c r="B1113" s="1"/>
      <c r="K1113" s="1"/>
      <c r="N1113" s="1"/>
      <c r="T1113" s="1"/>
      <c r="W1113" s="1"/>
    </row>
    <row r="1114" spans="2:23" x14ac:dyDescent="0.35">
      <c r="B1114" s="1"/>
      <c r="K1114" s="1"/>
      <c r="N1114" s="1"/>
      <c r="T1114" s="1"/>
      <c r="W1114" s="1"/>
    </row>
    <row r="1115" spans="2:23" x14ac:dyDescent="0.35">
      <c r="B1115" s="1"/>
      <c r="K1115" s="1"/>
      <c r="N1115" s="1"/>
      <c r="T1115" s="1"/>
      <c r="W1115" s="1"/>
    </row>
    <row r="1116" spans="2:23" x14ac:dyDescent="0.35">
      <c r="B1116" s="1"/>
      <c r="K1116" s="1"/>
      <c r="N1116" s="1"/>
      <c r="T1116" s="1"/>
      <c r="W1116" s="1"/>
    </row>
    <row r="1117" spans="2:23" x14ac:dyDescent="0.35">
      <c r="B1117" s="1"/>
      <c r="K1117" s="1"/>
      <c r="N1117" s="1"/>
      <c r="T1117" s="1"/>
      <c r="W1117" s="1"/>
    </row>
    <row r="1118" spans="2:23" x14ac:dyDescent="0.35">
      <c r="B1118" s="1"/>
      <c r="K1118" s="1"/>
      <c r="N1118" s="1"/>
      <c r="T1118" s="1"/>
      <c r="W1118" s="1"/>
    </row>
    <row r="1119" spans="2:23" x14ac:dyDescent="0.35">
      <c r="B1119" s="1"/>
      <c r="K1119" s="1"/>
      <c r="N1119" s="1"/>
      <c r="T1119" s="1"/>
      <c r="W1119" s="1"/>
    </row>
    <row r="1120" spans="2:23" x14ac:dyDescent="0.35">
      <c r="B1120" s="1"/>
      <c r="K1120" s="1"/>
      <c r="N1120" s="1"/>
      <c r="T1120" s="1"/>
      <c r="W1120" s="1"/>
    </row>
    <row r="1121" spans="2:23" x14ac:dyDescent="0.35">
      <c r="B1121" s="1"/>
      <c r="K1121" s="1"/>
      <c r="N1121" s="1"/>
      <c r="T1121" s="1"/>
      <c r="W1121" s="1"/>
    </row>
    <row r="1122" spans="2:23" x14ac:dyDescent="0.35">
      <c r="B1122" s="1"/>
      <c r="K1122" s="1"/>
      <c r="N1122" s="1"/>
      <c r="T1122" s="1"/>
      <c r="W1122" s="1"/>
    </row>
    <row r="1123" spans="2:23" x14ac:dyDescent="0.35">
      <c r="B1123" s="1"/>
      <c r="K1123" s="1"/>
      <c r="N1123" s="1"/>
      <c r="T1123" s="1"/>
      <c r="W1123" s="1"/>
    </row>
    <row r="1124" spans="2:23" x14ac:dyDescent="0.35">
      <c r="B1124" s="1"/>
      <c r="K1124" s="1"/>
      <c r="N1124" s="1"/>
      <c r="T1124" s="1"/>
      <c r="W1124" s="1"/>
    </row>
    <row r="1125" spans="2:23" x14ac:dyDescent="0.35">
      <c r="B1125" s="1"/>
      <c r="K1125" s="1"/>
      <c r="N1125" s="1"/>
      <c r="T1125" s="1"/>
      <c r="W1125" s="1"/>
    </row>
    <row r="1126" spans="2:23" x14ac:dyDescent="0.35">
      <c r="B1126" s="1"/>
      <c r="K1126" s="1"/>
      <c r="N1126" s="1"/>
      <c r="T1126" s="1"/>
      <c r="W1126" s="1"/>
    </row>
    <row r="1127" spans="2:23" x14ac:dyDescent="0.35">
      <c r="B1127" s="1"/>
      <c r="K1127" s="1"/>
      <c r="N1127" s="1"/>
      <c r="T1127" s="1"/>
      <c r="W1127" s="1"/>
    </row>
    <row r="1128" spans="2:23" x14ac:dyDescent="0.35">
      <c r="B1128" s="1"/>
      <c r="K1128" s="1"/>
      <c r="N1128" s="1"/>
      <c r="T1128" s="1"/>
      <c r="W1128" s="1"/>
    </row>
    <row r="1129" spans="2:23" x14ac:dyDescent="0.35">
      <c r="B1129" s="1"/>
      <c r="K1129" s="1"/>
      <c r="N1129" s="1"/>
      <c r="T1129" s="1"/>
      <c r="W1129" s="1"/>
    </row>
    <row r="1130" spans="2:23" x14ac:dyDescent="0.35">
      <c r="B1130" s="1"/>
      <c r="K1130" s="1"/>
      <c r="N1130" s="1"/>
      <c r="T1130" s="1"/>
      <c r="W1130" s="1"/>
    </row>
    <row r="1131" spans="2:23" x14ac:dyDescent="0.35">
      <c r="B1131" s="1"/>
      <c r="K1131" s="1"/>
      <c r="N1131" s="1"/>
      <c r="T1131" s="1"/>
      <c r="W1131" s="1"/>
    </row>
    <row r="1132" spans="2:23" x14ac:dyDescent="0.35">
      <c r="B1132" s="1"/>
      <c r="K1132" s="1"/>
      <c r="N1132" s="1"/>
      <c r="T1132" s="1"/>
      <c r="W1132" s="1"/>
    </row>
    <row r="1133" spans="2:23" x14ac:dyDescent="0.35">
      <c r="B1133" s="1"/>
      <c r="K1133" s="1"/>
      <c r="N1133" s="1"/>
      <c r="T1133" s="1"/>
      <c r="W1133" s="1"/>
    </row>
    <row r="1134" spans="2:23" x14ac:dyDescent="0.35">
      <c r="B1134" s="1"/>
      <c r="K1134" s="1"/>
      <c r="N1134" s="1"/>
      <c r="T1134" s="1"/>
      <c r="W1134" s="1"/>
    </row>
    <row r="1135" spans="2:23" x14ac:dyDescent="0.35">
      <c r="B1135" s="1"/>
      <c r="K1135" s="1"/>
      <c r="N1135" s="1"/>
      <c r="T1135" s="1"/>
      <c r="W1135" s="1"/>
    </row>
    <row r="1136" spans="2:23" x14ac:dyDescent="0.35">
      <c r="B1136" s="1"/>
      <c r="K1136" s="1"/>
      <c r="N1136" s="1"/>
      <c r="T1136" s="1"/>
      <c r="W1136" s="1"/>
    </row>
    <row r="1137" spans="2:23" x14ac:dyDescent="0.35">
      <c r="B1137" s="1"/>
      <c r="K1137" s="1"/>
      <c r="N1137" s="1"/>
      <c r="T1137" s="1"/>
      <c r="W1137" s="1"/>
    </row>
    <row r="1138" spans="2:23" x14ac:dyDescent="0.35">
      <c r="B1138" s="1"/>
      <c r="K1138" s="1"/>
      <c r="N1138" s="1"/>
      <c r="T1138" s="1"/>
      <c r="W1138" s="1"/>
    </row>
    <row r="1139" spans="2:23" x14ac:dyDescent="0.35">
      <c r="B1139" s="1"/>
      <c r="K1139" s="1"/>
      <c r="N1139" s="1"/>
      <c r="T1139" s="1"/>
      <c r="W1139" s="1"/>
    </row>
    <row r="1140" spans="2:23" x14ac:dyDescent="0.35">
      <c r="B1140" s="1"/>
      <c r="K1140" s="1"/>
      <c r="N1140" s="1"/>
      <c r="T1140" s="1"/>
      <c r="W1140" s="1"/>
    </row>
    <row r="1141" spans="2:23" x14ac:dyDescent="0.35">
      <c r="B1141" s="1"/>
      <c r="K1141" s="1"/>
      <c r="N1141" s="1"/>
      <c r="T1141" s="1"/>
      <c r="W1141" s="1"/>
    </row>
    <row r="1142" spans="2:23" x14ac:dyDescent="0.35">
      <c r="B1142" s="1"/>
      <c r="K1142" s="1"/>
      <c r="N1142" s="1"/>
      <c r="T1142" s="1"/>
      <c r="W1142" s="1"/>
    </row>
    <row r="1143" spans="2:23" x14ac:dyDescent="0.35">
      <c r="B1143" s="1"/>
      <c r="K1143" s="1"/>
      <c r="N1143" s="1"/>
      <c r="T1143" s="1"/>
      <c r="W1143" s="1"/>
    </row>
    <row r="1144" spans="2:23" x14ac:dyDescent="0.35">
      <c r="B1144" s="1"/>
      <c r="K1144" s="1"/>
      <c r="N1144" s="1"/>
      <c r="T1144" s="1"/>
      <c r="W1144" s="1"/>
    </row>
    <row r="1145" spans="2:23" x14ac:dyDescent="0.35">
      <c r="B1145" s="1"/>
      <c r="K1145" s="1"/>
      <c r="N1145" s="1"/>
      <c r="T1145" s="1"/>
      <c r="W1145" s="1"/>
    </row>
    <row r="1146" spans="2:23" x14ac:dyDescent="0.35">
      <c r="B1146" s="1"/>
      <c r="K1146" s="1"/>
      <c r="N1146" s="1"/>
      <c r="T1146" s="1"/>
      <c r="W1146" s="1"/>
    </row>
    <row r="1147" spans="2:23" x14ac:dyDescent="0.35">
      <c r="B1147" s="1"/>
      <c r="K1147" s="1"/>
      <c r="N1147" s="1"/>
      <c r="T1147" s="1"/>
      <c r="W1147" s="1"/>
    </row>
    <row r="1148" spans="2:23" x14ac:dyDescent="0.35">
      <c r="B1148" s="1"/>
      <c r="K1148" s="1"/>
      <c r="N1148" s="1"/>
      <c r="T1148" s="1"/>
      <c r="W1148" s="1"/>
    </row>
    <row r="1149" spans="2:23" x14ac:dyDescent="0.35">
      <c r="B1149" s="1"/>
      <c r="K1149" s="1"/>
      <c r="N1149" s="1"/>
      <c r="T1149" s="1"/>
      <c r="W1149" s="1"/>
    </row>
    <row r="1150" spans="2:23" x14ac:dyDescent="0.35">
      <c r="B1150" s="1"/>
      <c r="K1150" s="1"/>
      <c r="N1150" s="1"/>
      <c r="T1150" s="1"/>
      <c r="W1150" s="1"/>
    </row>
    <row r="1151" spans="2:23" x14ac:dyDescent="0.35">
      <c r="B1151" s="1"/>
      <c r="K1151" s="1"/>
      <c r="N1151" s="1"/>
      <c r="T1151" s="1"/>
      <c r="W1151" s="1"/>
    </row>
    <row r="1152" spans="2:23" x14ac:dyDescent="0.35">
      <c r="B1152" s="1"/>
      <c r="K1152" s="1"/>
      <c r="N1152" s="1"/>
      <c r="T1152" s="1"/>
      <c r="W1152" s="1"/>
    </row>
    <row r="1153" spans="2:23" x14ac:dyDescent="0.35">
      <c r="B1153" s="1"/>
      <c r="K1153" s="1"/>
      <c r="N1153" s="1"/>
      <c r="T1153" s="1"/>
      <c r="W1153" s="1"/>
    </row>
    <row r="1154" spans="2:23" x14ac:dyDescent="0.35">
      <c r="B1154" s="1"/>
      <c r="K1154" s="1"/>
      <c r="N1154" s="1"/>
      <c r="T1154" s="1"/>
      <c r="W1154" s="1"/>
    </row>
    <row r="1155" spans="2:23" x14ac:dyDescent="0.35">
      <c r="B1155" s="1"/>
      <c r="K1155" s="1"/>
      <c r="N1155" s="1"/>
      <c r="T1155" s="1"/>
      <c r="W1155" s="1"/>
    </row>
    <row r="1156" spans="2:23" x14ac:dyDescent="0.35">
      <c r="B1156" s="1"/>
      <c r="K1156" s="1"/>
      <c r="N1156" s="1"/>
      <c r="T1156" s="1"/>
      <c r="W1156" s="1"/>
    </row>
    <row r="1157" spans="2:23" x14ac:dyDescent="0.35">
      <c r="B1157" s="1"/>
      <c r="K1157" s="1"/>
      <c r="N1157" s="1"/>
      <c r="T1157" s="1"/>
      <c r="W1157" s="1"/>
    </row>
    <row r="1158" spans="2:23" x14ac:dyDescent="0.35">
      <c r="B1158" s="1"/>
      <c r="K1158" s="1"/>
      <c r="N1158" s="1"/>
      <c r="T1158" s="1"/>
      <c r="W1158" s="1"/>
    </row>
    <row r="1159" spans="2:23" x14ac:dyDescent="0.35">
      <c r="B1159" s="1"/>
      <c r="K1159" s="1"/>
      <c r="N1159" s="1"/>
      <c r="T1159" s="1"/>
      <c r="W1159" s="1"/>
    </row>
    <row r="1160" spans="2:23" x14ac:dyDescent="0.35">
      <c r="B1160" s="1"/>
      <c r="K1160" s="1"/>
      <c r="N1160" s="1"/>
      <c r="T1160" s="1"/>
      <c r="W1160" s="1"/>
    </row>
    <row r="1161" spans="2:23" x14ac:dyDescent="0.35">
      <c r="B1161" s="1"/>
      <c r="K1161" s="1"/>
      <c r="N1161" s="1"/>
      <c r="T1161" s="1"/>
      <c r="W1161" s="1"/>
    </row>
    <row r="1162" spans="2:23" x14ac:dyDescent="0.35">
      <c r="B1162" s="1"/>
      <c r="K1162" s="1"/>
      <c r="N1162" s="1"/>
      <c r="T1162" s="1"/>
      <c r="W1162" s="1"/>
    </row>
    <row r="1163" spans="2:23" x14ac:dyDescent="0.35">
      <c r="B1163" s="1"/>
      <c r="K1163" s="1"/>
      <c r="N1163" s="1"/>
      <c r="T1163" s="1"/>
      <c r="W1163" s="1"/>
    </row>
    <row r="1164" spans="2:23" x14ac:dyDescent="0.35">
      <c r="B1164" s="1"/>
      <c r="K1164" s="1"/>
      <c r="N1164" s="1"/>
      <c r="T1164" s="1"/>
      <c r="W1164" s="1"/>
    </row>
    <row r="1165" spans="2:23" x14ac:dyDescent="0.35">
      <c r="B1165" s="1"/>
      <c r="K1165" s="1"/>
      <c r="N1165" s="1"/>
      <c r="T1165" s="1"/>
      <c r="W1165" s="1"/>
    </row>
    <row r="1166" spans="2:23" x14ac:dyDescent="0.35">
      <c r="B1166" s="1"/>
      <c r="K1166" s="1"/>
      <c r="N1166" s="1"/>
      <c r="T1166" s="1"/>
      <c r="W1166" s="1"/>
    </row>
    <row r="1167" spans="2:23" x14ac:dyDescent="0.35">
      <c r="B1167" s="1"/>
      <c r="K1167" s="1"/>
      <c r="N1167" s="1"/>
      <c r="T1167" s="1"/>
      <c r="W1167" s="1"/>
    </row>
    <row r="1168" spans="2:23" x14ac:dyDescent="0.35">
      <c r="B1168" s="1"/>
      <c r="K1168" s="1"/>
      <c r="N1168" s="1"/>
      <c r="T1168" s="1"/>
      <c r="W1168" s="1"/>
    </row>
    <row r="1169" spans="2:23" x14ac:dyDescent="0.35">
      <c r="B1169" s="1"/>
      <c r="K1169" s="1"/>
      <c r="N1169" s="1"/>
      <c r="T1169" s="1"/>
      <c r="W1169" s="1"/>
    </row>
    <row r="1170" spans="2:23" x14ac:dyDescent="0.35">
      <c r="B1170" s="1"/>
      <c r="K1170" s="1"/>
      <c r="N1170" s="1"/>
      <c r="T1170" s="1"/>
      <c r="W1170" s="1"/>
    </row>
    <row r="1171" spans="2:23" x14ac:dyDescent="0.35">
      <c r="B1171" s="1"/>
      <c r="K1171" s="1"/>
      <c r="N1171" s="1"/>
      <c r="T1171" s="1"/>
      <c r="W1171" s="1"/>
    </row>
    <row r="1172" spans="2:23" x14ac:dyDescent="0.35">
      <c r="B1172" s="1"/>
      <c r="K1172" s="1"/>
      <c r="N1172" s="1"/>
      <c r="T1172" s="1"/>
      <c r="W1172" s="1"/>
    </row>
    <row r="1173" spans="2:23" x14ac:dyDescent="0.35">
      <c r="B1173" s="1"/>
      <c r="K1173" s="1"/>
      <c r="N1173" s="1"/>
      <c r="T1173" s="1"/>
      <c r="W1173" s="1"/>
    </row>
    <row r="1174" spans="2:23" x14ac:dyDescent="0.35">
      <c r="B1174" s="1"/>
      <c r="K1174" s="1"/>
      <c r="N1174" s="1"/>
      <c r="T1174" s="1"/>
      <c r="W1174" s="1"/>
    </row>
    <row r="1175" spans="2:23" x14ac:dyDescent="0.35">
      <c r="B1175" s="1"/>
      <c r="K1175" s="1"/>
      <c r="N1175" s="1"/>
      <c r="T1175" s="1"/>
      <c r="W1175" s="1"/>
    </row>
    <row r="1176" spans="2:23" x14ac:dyDescent="0.35">
      <c r="B1176" s="1"/>
      <c r="K1176" s="1"/>
      <c r="N1176" s="1"/>
      <c r="T1176" s="1"/>
      <c r="W1176" s="1"/>
    </row>
    <row r="1177" spans="2:23" x14ac:dyDescent="0.35">
      <c r="B1177" s="1"/>
      <c r="K1177" s="1"/>
      <c r="N1177" s="1"/>
      <c r="T1177" s="1"/>
      <c r="W1177" s="1"/>
    </row>
    <row r="1178" spans="2:23" x14ac:dyDescent="0.35">
      <c r="B1178" s="1"/>
      <c r="K1178" s="1"/>
      <c r="N1178" s="1"/>
      <c r="T1178" s="1"/>
      <c r="W1178" s="1"/>
    </row>
    <row r="1179" spans="2:23" x14ac:dyDescent="0.35">
      <c r="B1179" s="1"/>
      <c r="K1179" s="1"/>
      <c r="N1179" s="1"/>
      <c r="T1179" s="1"/>
      <c r="W1179" s="1"/>
    </row>
    <row r="1180" spans="2:23" x14ac:dyDescent="0.35">
      <c r="B1180" s="1"/>
      <c r="K1180" s="1"/>
      <c r="N1180" s="1"/>
      <c r="T1180" s="1"/>
      <c r="W1180" s="1"/>
    </row>
    <row r="1181" spans="2:23" x14ac:dyDescent="0.35">
      <c r="B1181" s="1"/>
      <c r="K1181" s="1"/>
      <c r="N1181" s="1"/>
      <c r="T1181" s="1"/>
      <c r="W1181" s="1"/>
    </row>
    <row r="1182" spans="2:23" x14ac:dyDescent="0.35">
      <c r="B1182" s="1"/>
      <c r="K1182" s="1"/>
      <c r="N1182" s="1"/>
      <c r="T1182" s="1"/>
      <c r="W1182" s="1"/>
    </row>
    <row r="1183" spans="2:23" x14ac:dyDescent="0.35">
      <c r="B1183" s="1"/>
      <c r="K1183" s="1"/>
      <c r="N1183" s="1"/>
      <c r="T1183" s="1"/>
      <c r="W1183" s="1"/>
    </row>
    <row r="1184" spans="2:23" x14ac:dyDescent="0.35">
      <c r="B1184" s="1"/>
      <c r="K1184" s="1"/>
      <c r="N1184" s="1"/>
      <c r="T1184" s="1"/>
      <c r="W1184" s="1"/>
    </row>
    <row r="1185" spans="2:23" x14ac:dyDescent="0.35">
      <c r="B1185" s="1"/>
      <c r="K1185" s="1"/>
      <c r="N1185" s="1"/>
      <c r="T1185" s="1"/>
      <c r="W1185" s="1"/>
    </row>
    <row r="1186" spans="2:23" x14ac:dyDescent="0.35">
      <c r="B1186" s="1"/>
      <c r="K1186" s="1"/>
      <c r="N1186" s="1"/>
      <c r="T1186" s="1"/>
      <c r="W1186" s="1"/>
    </row>
    <row r="1187" spans="2:23" x14ac:dyDescent="0.35">
      <c r="B1187" s="1"/>
      <c r="K1187" s="1"/>
      <c r="N1187" s="1"/>
      <c r="T1187" s="1"/>
      <c r="W1187" s="1"/>
    </row>
    <row r="1188" spans="2:23" x14ac:dyDescent="0.35">
      <c r="B1188" s="1"/>
      <c r="K1188" s="1"/>
      <c r="N1188" s="1"/>
      <c r="T1188" s="1"/>
      <c r="W1188" s="1"/>
    </row>
    <row r="1189" spans="2:23" x14ac:dyDescent="0.35">
      <c r="B1189" s="1"/>
      <c r="K1189" s="1"/>
      <c r="N1189" s="1"/>
      <c r="T1189" s="1"/>
      <c r="W1189" s="1"/>
    </row>
    <row r="1190" spans="2:23" x14ac:dyDescent="0.35">
      <c r="B1190" s="1"/>
      <c r="K1190" s="1"/>
      <c r="N1190" s="1"/>
      <c r="T1190" s="1"/>
      <c r="W1190" s="1"/>
    </row>
    <row r="1191" spans="2:23" x14ac:dyDescent="0.35">
      <c r="B1191" s="1"/>
      <c r="K1191" s="1"/>
      <c r="N1191" s="1"/>
      <c r="T1191" s="1"/>
      <c r="W1191" s="1"/>
    </row>
    <row r="1192" spans="2:23" x14ac:dyDescent="0.35">
      <c r="B1192" s="1"/>
      <c r="K1192" s="1"/>
      <c r="N1192" s="1"/>
      <c r="T1192" s="1"/>
      <c r="W1192" s="1"/>
    </row>
    <row r="1193" spans="2:23" x14ac:dyDescent="0.35">
      <c r="B1193" s="1"/>
      <c r="K1193" s="1"/>
      <c r="N1193" s="1"/>
      <c r="T1193" s="1"/>
      <c r="W1193" s="1"/>
    </row>
    <row r="1194" spans="2:23" x14ac:dyDescent="0.35">
      <c r="B1194" s="1"/>
      <c r="K1194" s="1"/>
      <c r="N1194" s="1"/>
      <c r="T1194" s="1"/>
      <c r="W1194" s="1"/>
    </row>
    <row r="1195" spans="2:23" x14ac:dyDescent="0.35">
      <c r="B1195" s="1"/>
      <c r="K1195" s="1"/>
      <c r="N1195" s="1"/>
      <c r="T1195" s="1"/>
      <c r="W1195" s="1"/>
    </row>
    <row r="1196" spans="2:23" x14ac:dyDescent="0.35">
      <c r="B1196" s="1"/>
      <c r="K1196" s="1"/>
      <c r="N1196" s="1"/>
      <c r="T1196" s="1"/>
      <c r="W1196" s="1"/>
    </row>
    <row r="1197" spans="2:23" x14ac:dyDescent="0.35">
      <c r="B1197" s="1"/>
      <c r="K1197" s="1"/>
      <c r="N1197" s="1"/>
      <c r="T1197" s="1"/>
      <c r="W1197" s="1"/>
    </row>
    <row r="1198" spans="2:23" x14ac:dyDescent="0.35">
      <c r="B1198" s="1"/>
      <c r="K1198" s="1"/>
      <c r="N1198" s="1"/>
      <c r="T1198" s="1"/>
      <c r="W1198" s="1"/>
    </row>
    <row r="1199" spans="2:23" x14ac:dyDescent="0.35">
      <c r="B1199" s="1"/>
      <c r="K1199" s="1"/>
      <c r="N1199" s="1"/>
      <c r="T1199" s="1"/>
      <c r="W1199" s="1"/>
    </row>
    <row r="1200" spans="2:23" x14ac:dyDescent="0.35">
      <c r="B1200" s="1"/>
      <c r="K1200" s="1"/>
      <c r="N1200" s="1"/>
      <c r="T1200" s="1"/>
      <c r="W1200" s="1"/>
    </row>
    <row r="1201" spans="2:23" x14ac:dyDescent="0.35">
      <c r="B1201" s="1"/>
      <c r="K1201" s="1"/>
      <c r="N1201" s="1"/>
      <c r="T1201" s="1"/>
      <c r="W1201" s="1"/>
    </row>
    <row r="1202" spans="2:23" x14ac:dyDescent="0.35">
      <c r="B1202" s="1"/>
      <c r="K1202" s="1"/>
      <c r="N1202" s="1"/>
      <c r="T1202" s="1"/>
      <c r="W1202" s="1"/>
    </row>
    <row r="1203" spans="2:23" x14ac:dyDescent="0.35">
      <c r="B1203" s="1"/>
      <c r="K1203" s="1"/>
      <c r="N1203" s="1"/>
      <c r="T1203" s="1"/>
      <c r="W1203" s="1"/>
    </row>
    <row r="1204" spans="2:23" x14ac:dyDescent="0.35">
      <c r="B1204" s="1"/>
      <c r="K1204" s="1"/>
      <c r="N1204" s="1"/>
      <c r="T1204" s="1"/>
      <c r="W1204" s="1"/>
    </row>
    <row r="1205" spans="2:23" x14ac:dyDescent="0.35">
      <c r="B1205" s="1"/>
      <c r="K1205" s="1"/>
      <c r="N1205" s="1"/>
      <c r="T1205" s="1"/>
      <c r="W1205" s="1"/>
    </row>
    <row r="1206" spans="2:23" x14ac:dyDescent="0.35">
      <c r="B1206" s="1"/>
      <c r="K1206" s="1"/>
      <c r="N1206" s="1"/>
      <c r="T1206" s="1"/>
      <c r="W1206" s="1"/>
    </row>
    <row r="1207" spans="2:23" x14ac:dyDescent="0.35">
      <c r="B1207" s="1"/>
      <c r="K1207" s="1"/>
      <c r="N1207" s="1"/>
      <c r="T1207" s="1"/>
      <c r="W1207" s="1"/>
    </row>
    <row r="1208" spans="2:23" x14ac:dyDescent="0.35">
      <c r="B1208" s="1"/>
      <c r="K1208" s="1"/>
      <c r="N1208" s="1"/>
      <c r="T1208" s="1"/>
      <c r="W1208" s="1"/>
    </row>
    <row r="1209" spans="2:23" x14ac:dyDescent="0.35">
      <c r="B1209" s="1"/>
      <c r="K1209" s="1"/>
      <c r="N1209" s="1"/>
      <c r="T1209" s="1"/>
      <c r="W1209" s="1"/>
    </row>
    <row r="1210" spans="2:23" x14ac:dyDescent="0.35">
      <c r="B1210" s="1"/>
      <c r="K1210" s="1"/>
      <c r="N1210" s="1"/>
      <c r="T1210" s="1"/>
      <c r="W1210" s="1"/>
    </row>
    <row r="1211" spans="2:23" x14ac:dyDescent="0.35">
      <c r="B1211" s="1"/>
      <c r="K1211" s="1"/>
      <c r="N1211" s="1"/>
      <c r="T1211" s="1"/>
      <c r="W1211" s="1"/>
    </row>
    <row r="1212" spans="2:23" x14ac:dyDescent="0.35">
      <c r="B1212" s="1"/>
      <c r="K1212" s="1"/>
      <c r="N1212" s="1"/>
      <c r="T1212" s="1"/>
      <c r="W1212" s="1"/>
    </row>
    <row r="1213" spans="2:23" x14ac:dyDescent="0.35">
      <c r="B1213" s="1"/>
      <c r="K1213" s="1"/>
      <c r="N1213" s="1"/>
      <c r="T1213" s="1"/>
      <c r="W1213" s="1"/>
    </row>
    <row r="1214" spans="2:23" x14ac:dyDescent="0.35">
      <c r="B1214" s="1"/>
      <c r="K1214" s="1"/>
      <c r="N1214" s="1"/>
      <c r="T1214" s="1"/>
      <c r="W1214" s="1"/>
    </row>
    <row r="1215" spans="2:23" x14ac:dyDescent="0.35">
      <c r="B1215" s="1"/>
      <c r="K1215" s="1"/>
      <c r="N1215" s="1"/>
      <c r="T1215" s="1"/>
      <c r="W1215" s="1"/>
    </row>
    <row r="1216" spans="2:23" x14ac:dyDescent="0.35">
      <c r="B1216" s="1"/>
      <c r="K1216" s="1"/>
      <c r="N1216" s="1"/>
      <c r="T1216" s="1"/>
      <c r="W1216" s="1"/>
    </row>
    <row r="1217" spans="2:23" x14ac:dyDescent="0.35">
      <c r="B1217" s="1"/>
      <c r="K1217" s="1"/>
      <c r="N1217" s="1"/>
      <c r="T1217" s="1"/>
      <c r="W1217" s="1"/>
    </row>
    <row r="1218" spans="2:23" x14ac:dyDescent="0.35">
      <c r="B1218" s="1"/>
      <c r="K1218" s="1"/>
      <c r="N1218" s="1"/>
      <c r="T1218" s="1"/>
      <c r="W1218" s="1"/>
    </row>
    <row r="1219" spans="2:23" x14ac:dyDescent="0.35">
      <c r="B1219" s="1"/>
      <c r="K1219" s="1"/>
      <c r="N1219" s="1"/>
      <c r="T1219" s="1"/>
      <c r="W1219" s="1"/>
    </row>
    <row r="1220" spans="2:23" x14ac:dyDescent="0.35">
      <c r="B1220" s="1"/>
      <c r="K1220" s="1"/>
      <c r="N1220" s="1"/>
      <c r="T1220" s="1"/>
      <c r="W1220" s="1"/>
    </row>
    <row r="1221" spans="2:23" x14ac:dyDescent="0.35">
      <c r="B1221" s="1"/>
      <c r="K1221" s="1"/>
      <c r="N1221" s="1"/>
      <c r="T1221" s="1"/>
      <c r="W1221" s="1"/>
    </row>
    <row r="1222" spans="2:23" x14ac:dyDescent="0.35">
      <c r="B1222" s="1"/>
      <c r="K1222" s="1"/>
      <c r="N1222" s="1"/>
      <c r="T1222" s="1"/>
      <c r="W1222" s="1"/>
    </row>
    <row r="1223" spans="2:23" x14ac:dyDescent="0.35">
      <c r="B1223" s="1"/>
      <c r="K1223" s="1"/>
      <c r="N1223" s="1"/>
      <c r="T1223" s="1"/>
      <c r="W1223" s="1"/>
    </row>
    <row r="1224" spans="2:23" x14ac:dyDescent="0.35">
      <c r="B1224" s="1"/>
      <c r="K1224" s="1"/>
      <c r="N1224" s="1"/>
      <c r="T1224" s="1"/>
      <c r="W1224" s="1"/>
    </row>
    <row r="1225" spans="2:23" x14ac:dyDescent="0.35">
      <c r="B1225" s="1"/>
      <c r="K1225" s="1"/>
      <c r="N1225" s="1"/>
      <c r="T1225" s="1"/>
      <c r="W1225" s="1"/>
    </row>
    <row r="1226" spans="2:23" x14ac:dyDescent="0.35">
      <c r="B1226" s="1"/>
      <c r="K1226" s="1"/>
      <c r="N1226" s="1"/>
      <c r="T1226" s="1"/>
      <c r="W1226" s="1"/>
    </row>
    <row r="1227" spans="2:23" x14ac:dyDescent="0.35">
      <c r="B1227" s="1"/>
      <c r="K1227" s="1"/>
      <c r="N1227" s="1"/>
      <c r="T1227" s="1"/>
      <c r="W1227" s="1"/>
    </row>
    <row r="1228" spans="2:23" x14ac:dyDescent="0.35">
      <c r="B1228" s="1"/>
      <c r="K1228" s="1"/>
      <c r="N1228" s="1"/>
      <c r="T1228" s="1"/>
      <c r="W1228" s="1"/>
    </row>
    <row r="1229" spans="2:23" x14ac:dyDescent="0.35">
      <c r="B1229" s="1"/>
      <c r="K1229" s="1"/>
      <c r="N1229" s="1"/>
      <c r="T1229" s="1"/>
      <c r="W1229" s="1"/>
    </row>
    <row r="1230" spans="2:23" x14ac:dyDescent="0.35">
      <c r="B1230" s="1"/>
      <c r="K1230" s="1"/>
      <c r="N1230" s="1"/>
      <c r="T1230" s="1"/>
      <c r="W1230" s="1"/>
    </row>
    <row r="1231" spans="2:23" x14ac:dyDescent="0.35">
      <c r="B1231" s="1"/>
      <c r="K1231" s="1"/>
      <c r="N1231" s="1"/>
      <c r="T1231" s="1"/>
      <c r="W1231" s="1"/>
    </row>
    <row r="1232" spans="2:23" x14ac:dyDescent="0.35">
      <c r="B1232" s="1"/>
      <c r="K1232" s="1"/>
      <c r="N1232" s="1"/>
      <c r="T1232" s="1"/>
      <c r="W1232" s="1"/>
    </row>
    <row r="1233" spans="2:23" x14ac:dyDescent="0.35">
      <c r="B1233" s="1"/>
      <c r="K1233" s="1"/>
      <c r="N1233" s="1"/>
      <c r="T1233" s="1"/>
      <c r="W1233" s="1"/>
    </row>
    <row r="1234" spans="2:23" x14ac:dyDescent="0.35">
      <c r="B1234" s="1"/>
      <c r="K1234" s="1"/>
      <c r="N1234" s="1"/>
      <c r="T1234" s="1"/>
      <c r="W1234" s="1"/>
    </row>
    <row r="1235" spans="2:23" x14ac:dyDescent="0.35">
      <c r="B1235" s="1"/>
      <c r="K1235" s="1"/>
      <c r="N1235" s="1"/>
      <c r="T1235" s="1"/>
      <c r="W1235" s="1"/>
    </row>
    <row r="1236" spans="2:23" x14ac:dyDescent="0.35">
      <c r="B1236" s="1"/>
      <c r="K1236" s="1"/>
      <c r="N1236" s="1"/>
      <c r="T1236" s="1"/>
      <c r="W1236" s="1"/>
    </row>
    <row r="1237" spans="2:23" x14ac:dyDescent="0.35">
      <c r="B1237" s="1"/>
      <c r="K1237" s="1"/>
      <c r="N1237" s="1"/>
      <c r="T1237" s="1"/>
      <c r="W1237" s="1"/>
    </row>
    <row r="1238" spans="2:23" x14ac:dyDescent="0.35">
      <c r="B1238" s="1"/>
      <c r="K1238" s="1"/>
      <c r="N1238" s="1"/>
      <c r="T1238" s="1"/>
      <c r="W1238" s="1"/>
    </row>
    <row r="1239" spans="2:23" x14ac:dyDescent="0.35">
      <c r="B1239" s="1"/>
      <c r="K1239" s="1"/>
      <c r="N1239" s="1"/>
      <c r="T1239" s="1"/>
      <c r="W1239" s="1"/>
    </row>
    <row r="1240" spans="2:23" x14ac:dyDescent="0.35">
      <c r="B1240" s="1"/>
      <c r="K1240" s="1"/>
      <c r="N1240" s="1"/>
      <c r="T1240" s="1"/>
      <c r="W1240" s="1"/>
    </row>
    <row r="1241" spans="2:23" x14ac:dyDescent="0.35">
      <c r="B1241" s="1"/>
      <c r="K1241" s="1"/>
      <c r="N1241" s="1"/>
      <c r="T1241" s="1"/>
      <c r="W1241" s="1"/>
    </row>
    <row r="1242" spans="2:23" x14ac:dyDescent="0.35">
      <c r="B1242" s="1"/>
      <c r="K1242" s="1"/>
      <c r="N1242" s="1"/>
      <c r="T1242" s="1"/>
      <c r="W1242" s="1"/>
    </row>
    <row r="1243" spans="2:23" x14ac:dyDescent="0.35">
      <c r="B1243" s="1"/>
      <c r="K1243" s="1"/>
      <c r="N1243" s="1"/>
      <c r="T1243" s="1"/>
      <c r="W1243" s="1"/>
    </row>
    <row r="1244" spans="2:23" x14ac:dyDescent="0.35">
      <c r="B1244" s="1"/>
      <c r="K1244" s="1"/>
      <c r="N1244" s="1"/>
      <c r="T1244" s="1"/>
      <c r="W1244" s="1"/>
    </row>
    <row r="1245" spans="2:23" x14ac:dyDescent="0.35">
      <c r="B1245" s="1"/>
      <c r="K1245" s="1"/>
      <c r="N1245" s="1"/>
      <c r="T1245" s="1"/>
      <c r="W1245" s="1"/>
    </row>
    <row r="1246" spans="2:23" x14ac:dyDescent="0.35">
      <c r="B1246" s="1"/>
      <c r="K1246" s="1"/>
      <c r="N1246" s="1"/>
      <c r="T1246" s="1"/>
      <c r="W1246" s="1"/>
    </row>
    <row r="1247" spans="2:23" x14ac:dyDescent="0.35">
      <c r="B1247" s="1"/>
      <c r="K1247" s="1"/>
      <c r="N1247" s="1"/>
      <c r="T1247" s="1"/>
      <c r="W1247" s="1"/>
    </row>
    <row r="1248" spans="2:23" x14ac:dyDescent="0.35">
      <c r="B1248" s="1"/>
      <c r="K1248" s="1"/>
      <c r="N1248" s="1"/>
      <c r="T1248" s="1"/>
      <c r="W1248" s="1"/>
    </row>
    <row r="1249" spans="2:23" x14ac:dyDescent="0.35">
      <c r="B1249" s="1"/>
      <c r="K1249" s="1"/>
      <c r="N1249" s="1"/>
      <c r="T1249" s="1"/>
      <c r="W1249" s="1"/>
    </row>
    <row r="1250" spans="2:23" x14ac:dyDescent="0.35">
      <c r="B1250" s="1"/>
      <c r="K1250" s="1"/>
      <c r="N1250" s="1"/>
      <c r="T1250" s="1"/>
      <c r="W1250" s="1"/>
    </row>
    <row r="1251" spans="2:23" x14ac:dyDescent="0.35">
      <c r="B1251" s="1"/>
      <c r="K1251" s="1"/>
      <c r="N1251" s="1"/>
      <c r="T1251" s="1"/>
      <c r="W1251" s="1"/>
    </row>
    <row r="1252" spans="2:23" x14ac:dyDescent="0.35">
      <c r="B1252" s="1"/>
      <c r="K1252" s="1"/>
      <c r="N1252" s="1"/>
      <c r="T1252" s="1"/>
      <c r="W1252" s="1"/>
    </row>
    <row r="1253" spans="2:23" x14ac:dyDescent="0.35">
      <c r="B1253" s="1"/>
      <c r="K1253" s="1"/>
      <c r="N1253" s="1"/>
      <c r="T1253" s="1"/>
      <c r="W1253" s="1"/>
    </row>
    <row r="1254" spans="2:23" x14ac:dyDescent="0.35">
      <c r="B1254" s="1"/>
      <c r="K1254" s="1"/>
      <c r="N1254" s="1"/>
      <c r="T1254" s="1"/>
      <c r="W1254" s="1"/>
    </row>
    <row r="1255" spans="2:23" x14ac:dyDescent="0.35">
      <c r="B1255" s="1"/>
      <c r="K1255" s="1"/>
      <c r="N1255" s="1"/>
      <c r="T1255" s="1"/>
      <c r="W1255" s="1"/>
    </row>
    <row r="1256" spans="2:23" x14ac:dyDescent="0.35">
      <c r="B1256" s="1"/>
      <c r="K1256" s="1"/>
      <c r="N1256" s="1"/>
      <c r="T1256" s="1"/>
      <c r="W1256" s="1"/>
    </row>
    <row r="1257" spans="2:23" x14ac:dyDescent="0.35">
      <c r="B1257" s="1"/>
      <c r="K1257" s="1"/>
      <c r="N1257" s="1"/>
      <c r="T1257" s="1"/>
      <c r="W1257" s="1"/>
    </row>
    <row r="1258" spans="2:23" x14ac:dyDescent="0.35">
      <c r="B1258" s="1"/>
      <c r="K1258" s="1"/>
      <c r="N1258" s="1"/>
      <c r="T1258" s="1"/>
      <c r="W1258" s="1"/>
    </row>
    <row r="1259" spans="2:23" x14ac:dyDescent="0.35">
      <c r="B1259" s="1"/>
      <c r="K1259" s="1"/>
      <c r="N1259" s="1"/>
      <c r="T1259" s="1"/>
      <c r="W1259" s="1"/>
    </row>
    <row r="1260" spans="2:23" x14ac:dyDescent="0.35">
      <c r="B1260" s="1"/>
      <c r="K1260" s="1"/>
      <c r="N1260" s="1"/>
      <c r="T1260" s="1"/>
      <c r="W1260" s="1"/>
    </row>
    <row r="1261" spans="2:23" x14ac:dyDescent="0.35">
      <c r="B1261" s="1"/>
      <c r="K1261" s="1"/>
      <c r="N1261" s="1"/>
      <c r="T1261" s="1"/>
      <c r="W1261" s="1"/>
    </row>
    <row r="1262" spans="2:23" x14ac:dyDescent="0.35">
      <c r="B1262" s="1"/>
      <c r="K1262" s="1"/>
      <c r="N1262" s="1"/>
      <c r="T1262" s="1"/>
      <c r="W1262" s="1"/>
    </row>
    <row r="1263" spans="2:23" x14ac:dyDescent="0.35">
      <c r="B1263" s="1"/>
      <c r="K1263" s="1"/>
      <c r="N1263" s="1"/>
      <c r="T1263" s="1"/>
      <c r="W1263" s="1"/>
    </row>
    <row r="1264" spans="2:23" x14ac:dyDescent="0.35">
      <c r="B1264" s="1"/>
      <c r="K1264" s="1"/>
      <c r="N1264" s="1"/>
      <c r="T1264" s="1"/>
      <c r="W1264" s="1"/>
    </row>
    <row r="1265" spans="2:23" x14ac:dyDescent="0.35">
      <c r="B1265" s="1"/>
      <c r="K1265" s="1"/>
      <c r="N1265" s="1"/>
      <c r="T1265" s="1"/>
      <c r="W1265" s="1"/>
    </row>
    <row r="1266" spans="2:23" x14ac:dyDescent="0.35">
      <c r="B1266" s="1"/>
      <c r="K1266" s="1"/>
      <c r="N1266" s="1"/>
      <c r="T1266" s="1"/>
      <c r="W1266" s="1"/>
    </row>
    <row r="1267" spans="2:23" x14ac:dyDescent="0.35">
      <c r="B1267" s="1"/>
      <c r="K1267" s="1"/>
      <c r="N1267" s="1"/>
      <c r="T1267" s="1"/>
      <c r="W1267" s="1"/>
    </row>
    <row r="1268" spans="2:23" x14ac:dyDescent="0.35">
      <c r="B1268" s="1"/>
      <c r="K1268" s="1"/>
      <c r="N1268" s="1"/>
      <c r="T1268" s="1"/>
      <c r="W1268" s="1"/>
    </row>
    <row r="1269" spans="2:23" x14ac:dyDescent="0.35">
      <c r="B1269" s="1"/>
      <c r="K1269" s="1"/>
      <c r="N1269" s="1"/>
      <c r="T1269" s="1"/>
      <c r="W1269" s="1"/>
    </row>
    <row r="1270" spans="2:23" x14ac:dyDescent="0.35">
      <c r="B1270" s="1"/>
      <c r="K1270" s="1"/>
      <c r="N1270" s="1"/>
      <c r="T1270" s="1"/>
      <c r="W1270" s="1"/>
    </row>
    <row r="1271" spans="2:23" x14ac:dyDescent="0.35">
      <c r="B1271" s="1"/>
      <c r="K1271" s="1"/>
      <c r="N1271" s="1"/>
      <c r="T1271" s="1"/>
      <c r="W1271" s="1"/>
    </row>
    <row r="1272" spans="2:23" x14ac:dyDescent="0.35">
      <c r="B1272" s="1"/>
      <c r="K1272" s="1"/>
      <c r="N1272" s="1"/>
      <c r="T1272" s="1"/>
      <c r="W1272" s="1"/>
    </row>
    <row r="1273" spans="2:23" x14ac:dyDescent="0.35">
      <c r="B1273" s="1"/>
      <c r="K1273" s="1"/>
      <c r="N1273" s="1"/>
      <c r="T1273" s="1"/>
      <c r="W1273" s="1"/>
    </row>
    <row r="1274" spans="2:23" x14ac:dyDescent="0.35">
      <c r="B1274" s="1"/>
      <c r="K1274" s="1"/>
      <c r="N1274" s="1"/>
      <c r="T1274" s="1"/>
      <c r="W1274" s="1"/>
    </row>
    <row r="1275" spans="2:23" x14ac:dyDescent="0.35">
      <c r="B1275" s="1"/>
      <c r="K1275" s="1"/>
      <c r="N1275" s="1"/>
      <c r="T1275" s="1"/>
      <c r="W1275" s="1"/>
    </row>
    <row r="1276" spans="2:23" x14ac:dyDescent="0.35">
      <c r="B1276" s="1"/>
      <c r="K1276" s="1"/>
      <c r="N1276" s="1"/>
      <c r="T1276" s="1"/>
      <c r="W1276" s="1"/>
    </row>
    <row r="1277" spans="2:23" x14ac:dyDescent="0.35">
      <c r="B1277" s="1"/>
      <c r="K1277" s="1"/>
      <c r="N1277" s="1"/>
      <c r="T1277" s="1"/>
      <c r="W1277" s="1"/>
    </row>
    <row r="1278" spans="2:23" x14ac:dyDescent="0.35">
      <c r="B1278" s="1"/>
      <c r="K1278" s="1"/>
      <c r="N1278" s="1"/>
      <c r="T1278" s="1"/>
      <c r="W1278" s="1"/>
    </row>
    <row r="1279" spans="2:23" x14ac:dyDescent="0.35">
      <c r="B1279" s="1"/>
      <c r="K1279" s="1"/>
      <c r="N1279" s="1"/>
      <c r="T1279" s="1"/>
      <c r="W1279" s="1"/>
    </row>
    <row r="1280" spans="2:23" x14ac:dyDescent="0.35">
      <c r="B1280" s="1"/>
      <c r="K1280" s="1"/>
      <c r="N1280" s="1"/>
      <c r="T1280" s="1"/>
      <c r="W1280" s="1"/>
    </row>
    <row r="1281" spans="2:23" x14ac:dyDescent="0.35">
      <c r="B1281" s="1"/>
      <c r="K1281" s="1"/>
      <c r="N1281" s="1"/>
      <c r="T1281" s="1"/>
      <c r="W1281" s="1"/>
    </row>
    <row r="1282" spans="2:23" x14ac:dyDescent="0.35">
      <c r="B1282" s="1"/>
      <c r="K1282" s="1"/>
      <c r="N1282" s="1"/>
      <c r="T1282" s="1"/>
      <c r="W1282" s="1"/>
    </row>
    <row r="1283" spans="2:23" x14ac:dyDescent="0.35">
      <c r="B1283" s="1"/>
      <c r="K1283" s="1"/>
      <c r="N1283" s="1"/>
      <c r="T1283" s="1"/>
      <c r="W1283" s="1"/>
    </row>
    <row r="1284" spans="2:23" x14ac:dyDescent="0.35">
      <c r="B1284" s="1"/>
      <c r="K1284" s="1"/>
      <c r="N1284" s="1"/>
      <c r="T1284" s="1"/>
      <c r="W1284" s="1"/>
    </row>
    <row r="1285" spans="2:23" x14ac:dyDescent="0.35">
      <c r="B1285" s="1"/>
      <c r="K1285" s="1"/>
      <c r="N1285" s="1"/>
      <c r="T1285" s="1"/>
      <c r="W1285" s="1"/>
    </row>
    <row r="1286" spans="2:23" x14ac:dyDescent="0.35">
      <c r="B1286" s="1"/>
      <c r="K1286" s="1"/>
      <c r="N1286" s="1"/>
      <c r="T1286" s="1"/>
      <c r="W1286" s="1"/>
    </row>
    <row r="1287" spans="2:23" x14ac:dyDescent="0.35">
      <c r="B1287" s="1"/>
      <c r="K1287" s="1"/>
      <c r="N1287" s="1"/>
      <c r="T1287" s="1"/>
      <c r="W1287" s="1"/>
    </row>
    <row r="1288" spans="2:23" x14ac:dyDescent="0.35">
      <c r="B1288" s="1"/>
      <c r="K1288" s="1"/>
      <c r="N1288" s="1"/>
      <c r="T1288" s="1"/>
      <c r="W1288" s="1"/>
    </row>
    <row r="1289" spans="2:23" x14ac:dyDescent="0.35">
      <c r="B1289" s="1"/>
      <c r="K1289" s="1"/>
      <c r="N1289" s="1"/>
      <c r="T1289" s="1"/>
      <c r="W1289" s="1"/>
    </row>
    <row r="1290" spans="2:23" x14ac:dyDescent="0.35">
      <c r="B1290" s="1"/>
      <c r="K1290" s="1"/>
      <c r="N1290" s="1"/>
      <c r="T1290" s="1"/>
      <c r="W1290" s="1"/>
    </row>
    <row r="1291" spans="2:23" x14ac:dyDescent="0.35">
      <c r="B1291" s="1"/>
      <c r="K1291" s="1"/>
      <c r="N1291" s="1"/>
      <c r="T1291" s="1"/>
      <c r="W1291" s="1"/>
    </row>
    <row r="1292" spans="2:23" x14ac:dyDescent="0.35">
      <c r="B1292" s="1"/>
      <c r="K1292" s="1"/>
      <c r="N1292" s="1"/>
      <c r="T1292" s="1"/>
      <c r="W1292" s="1"/>
    </row>
    <row r="1293" spans="2:23" x14ac:dyDescent="0.35">
      <c r="B1293" s="1"/>
      <c r="K1293" s="1"/>
      <c r="N1293" s="1"/>
      <c r="T1293" s="1"/>
      <c r="W1293" s="1"/>
    </row>
    <row r="1294" spans="2:23" x14ac:dyDescent="0.35">
      <c r="B1294" s="1"/>
      <c r="K1294" s="1"/>
      <c r="N1294" s="1"/>
      <c r="T1294" s="1"/>
      <c r="W1294" s="1"/>
    </row>
    <row r="1295" spans="2:23" x14ac:dyDescent="0.35">
      <c r="B1295" s="1"/>
      <c r="K1295" s="1"/>
      <c r="N1295" s="1"/>
      <c r="T1295" s="1"/>
      <c r="W1295" s="1"/>
    </row>
    <row r="1296" spans="2:23" x14ac:dyDescent="0.35">
      <c r="B1296" s="1"/>
      <c r="K1296" s="1"/>
      <c r="N1296" s="1"/>
      <c r="T1296" s="1"/>
      <c r="W1296" s="1"/>
    </row>
    <row r="1297" spans="2:23" x14ac:dyDescent="0.35">
      <c r="B1297" s="1"/>
      <c r="K1297" s="1"/>
      <c r="N1297" s="1"/>
      <c r="T1297" s="1"/>
      <c r="W1297" s="1"/>
    </row>
    <row r="1298" spans="2:23" x14ac:dyDescent="0.35">
      <c r="B1298" s="1"/>
      <c r="K1298" s="1"/>
      <c r="N1298" s="1"/>
      <c r="T1298" s="1"/>
      <c r="W1298" s="1"/>
    </row>
    <row r="1299" spans="2:23" x14ac:dyDescent="0.35">
      <c r="B1299" s="1"/>
      <c r="K1299" s="1"/>
      <c r="N1299" s="1"/>
      <c r="T1299" s="1"/>
      <c r="W1299" s="1"/>
    </row>
    <row r="1300" spans="2:23" x14ac:dyDescent="0.35">
      <c r="B1300" s="1"/>
      <c r="K1300" s="1"/>
      <c r="N1300" s="1"/>
      <c r="T1300" s="1"/>
      <c r="W1300" s="1"/>
    </row>
    <row r="1301" spans="2:23" x14ac:dyDescent="0.35">
      <c r="B1301" s="1"/>
      <c r="K1301" s="1"/>
      <c r="N1301" s="1"/>
      <c r="T1301" s="1"/>
      <c r="W1301" s="1"/>
    </row>
    <row r="1302" spans="2:23" x14ac:dyDescent="0.35">
      <c r="B1302" s="1"/>
      <c r="K1302" s="1"/>
      <c r="N1302" s="1"/>
      <c r="T1302" s="1"/>
      <c r="W1302" s="1"/>
    </row>
    <row r="1303" spans="2:23" x14ac:dyDescent="0.35">
      <c r="B1303" s="1"/>
      <c r="K1303" s="1"/>
      <c r="N1303" s="1"/>
      <c r="T1303" s="1"/>
      <c r="W1303" s="1"/>
    </row>
    <row r="1304" spans="2:23" x14ac:dyDescent="0.35">
      <c r="B1304" s="1"/>
      <c r="K1304" s="1"/>
      <c r="N1304" s="1"/>
      <c r="T1304" s="1"/>
      <c r="W1304" s="1"/>
    </row>
    <row r="1305" spans="2:23" x14ac:dyDescent="0.35">
      <c r="B1305" s="1"/>
      <c r="K1305" s="1"/>
      <c r="N1305" s="1"/>
      <c r="T1305" s="1"/>
      <c r="W1305" s="1"/>
    </row>
    <row r="1306" spans="2:23" x14ac:dyDescent="0.35">
      <c r="B1306" s="1"/>
      <c r="K1306" s="1"/>
      <c r="N1306" s="1"/>
      <c r="T1306" s="1"/>
      <c r="W1306" s="1"/>
    </row>
    <row r="1307" spans="2:23" x14ac:dyDescent="0.35">
      <c r="B1307" s="1"/>
      <c r="K1307" s="1"/>
      <c r="N1307" s="1"/>
      <c r="T1307" s="1"/>
      <c r="W1307" s="1"/>
    </row>
    <row r="1308" spans="2:23" x14ac:dyDescent="0.35">
      <c r="B1308" s="1"/>
      <c r="K1308" s="1"/>
      <c r="N1308" s="1"/>
      <c r="T1308" s="1"/>
      <c r="W1308" s="1"/>
    </row>
    <row r="1309" spans="2:23" x14ac:dyDescent="0.35">
      <c r="B1309" s="1"/>
      <c r="K1309" s="1"/>
      <c r="N1309" s="1"/>
      <c r="T1309" s="1"/>
      <c r="W1309" s="1"/>
    </row>
    <row r="1310" spans="2:23" x14ac:dyDescent="0.35">
      <c r="B1310" s="1"/>
      <c r="K1310" s="1"/>
      <c r="N1310" s="1"/>
      <c r="T1310" s="1"/>
      <c r="W1310" s="1"/>
    </row>
    <row r="1311" spans="2:23" x14ac:dyDescent="0.35">
      <c r="B1311" s="1"/>
      <c r="K1311" s="1"/>
      <c r="N1311" s="1"/>
      <c r="T1311" s="1"/>
      <c r="W1311" s="1"/>
    </row>
    <row r="1312" spans="2:23" x14ac:dyDescent="0.35">
      <c r="B1312" s="1"/>
      <c r="K1312" s="1"/>
      <c r="N1312" s="1"/>
      <c r="T1312" s="1"/>
      <c r="W1312" s="1"/>
    </row>
    <row r="1313" spans="2:23" x14ac:dyDescent="0.35">
      <c r="B1313" s="1"/>
      <c r="K1313" s="1"/>
      <c r="N1313" s="1"/>
      <c r="T1313" s="1"/>
      <c r="W1313" s="1"/>
    </row>
    <row r="1314" spans="2:23" x14ac:dyDescent="0.35">
      <c r="B1314" s="1"/>
      <c r="K1314" s="1"/>
      <c r="N1314" s="1"/>
      <c r="T1314" s="1"/>
      <c r="W1314" s="1"/>
    </row>
    <row r="1315" spans="2:23" x14ac:dyDescent="0.35">
      <c r="B1315" s="1"/>
      <c r="K1315" s="1"/>
      <c r="N1315" s="1"/>
      <c r="T1315" s="1"/>
      <c r="W1315" s="1"/>
    </row>
    <row r="1316" spans="2:23" x14ac:dyDescent="0.35">
      <c r="B1316" s="1"/>
      <c r="K1316" s="1"/>
      <c r="N1316" s="1"/>
      <c r="T1316" s="1"/>
      <c r="W1316" s="1"/>
    </row>
    <row r="1317" spans="2:23" x14ac:dyDescent="0.35">
      <c r="B1317" s="1"/>
      <c r="K1317" s="1"/>
      <c r="N1317" s="1"/>
      <c r="T1317" s="1"/>
      <c r="W1317" s="1"/>
    </row>
    <row r="1318" spans="2:23" x14ac:dyDescent="0.35">
      <c r="B1318" s="1"/>
      <c r="K1318" s="1"/>
      <c r="N1318" s="1"/>
      <c r="T1318" s="1"/>
      <c r="W1318" s="1"/>
    </row>
    <row r="1319" spans="2:23" x14ac:dyDescent="0.35">
      <c r="B1319" s="1"/>
      <c r="K1319" s="1"/>
      <c r="N1319" s="1"/>
      <c r="T1319" s="1"/>
      <c r="W1319" s="1"/>
    </row>
    <row r="1320" spans="2:23" x14ac:dyDescent="0.35">
      <c r="B1320" s="1"/>
      <c r="K1320" s="1"/>
      <c r="N1320" s="1"/>
      <c r="T1320" s="1"/>
      <c r="W1320" s="1"/>
    </row>
    <row r="1321" spans="2:23" x14ac:dyDescent="0.35">
      <c r="B1321" s="1"/>
      <c r="K1321" s="1"/>
      <c r="N1321" s="1"/>
      <c r="T1321" s="1"/>
      <c r="W1321" s="1"/>
    </row>
    <row r="1322" spans="2:23" x14ac:dyDescent="0.35">
      <c r="B1322" s="1"/>
      <c r="K1322" s="1"/>
      <c r="N1322" s="1"/>
      <c r="T1322" s="1"/>
      <c r="W1322" s="1"/>
    </row>
    <row r="1323" spans="2:23" x14ac:dyDescent="0.35">
      <c r="B1323" s="1"/>
      <c r="K1323" s="1"/>
      <c r="N1323" s="1"/>
      <c r="T1323" s="1"/>
      <c r="W1323" s="1"/>
    </row>
    <row r="1324" spans="2:23" x14ac:dyDescent="0.35">
      <c r="B1324" s="1"/>
      <c r="K1324" s="1"/>
      <c r="N1324" s="1"/>
      <c r="T1324" s="1"/>
      <c r="W1324" s="1"/>
    </row>
    <row r="1325" spans="2:23" x14ac:dyDescent="0.35">
      <c r="B1325" s="1"/>
      <c r="K1325" s="1"/>
      <c r="N1325" s="1"/>
      <c r="T1325" s="1"/>
      <c r="W1325" s="1"/>
    </row>
    <row r="1326" spans="2:23" x14ac:dyDescent="0.35">
      <c r="B1326" s="1"/>
      <c r="K1326" s="1"/>
      <c r="N1326" s="1"/>
      <c r="T1326" s="1"/>
      <c r="W1326" s="1"/>
    </row>
    <row r="1327" spans="2:23" x14ac:dyDescent="0.35">
      <c r="B1327" s="1"/>
      <c r="K1327" s="1"/>
      <c r="N1327" s="1"/>
      <c r="T1327" s="1"/>
      <c r="W1327" s="1"/>
    </row>
    <row r="1328" spans="2:23" x14ac:dyDescent="0.35">
      <c r="B1328" s="1"/>
      <c r="K1328" s="1"/>
      <c r="N1328" s="1"/>
      <c r="T1328" s="1"/>
      <c r="W1328" s="1"/>
    </row>
    <row r="1329" spans="2:23" x14ac:dyDescent="0.35">
      <c r="B1329" s="1"/>
      <c r="K1329" s="1"/>
      <c r="N1329" s="1"/>
      <c r="T1329" s="1"/>
      <c r="W1329" s="1"/>
    </row>
    <row r="1330" spans="2:23" x14ac:dyDescent="0.35">
      <c r="B1330" s="1"/>
      <c r="K1330" s="1"/>
      <c r="N1330" s="1"/>
      <c r="T1330" s="1"/>
      <c r="W1330" s="1"/>
    </row>
    <row r="1331" spans="2:23" x14ac:dyDescent="0.35">
      <c r="B1331" s="1"/>
      <c r="K1331" s="1"/>
      <c r="N1331" s="1"/>
      <c r="T1331" s="1"/>
      <c r="W1331" s="1"/>
    </row>
    <row r="1332" spans="2:23" x14ac:dyDescent="0.35">
      <c r="B1332" s="1"/>
      <c r="K1332" s="1"/>
      <c r="N1332" s="1"/>
      <c r="T1332" s="1"/>
      <c r="W1332" s="1"/>
    </row>
    <row r="1333" spans="2:23" x14ac:dyDescent="0.35">
      <c r="B1333" s="1"/>
      <c r="K1333" s="1"/>
      <c r="N1333" s="1"/>
      <c r="T1333" s="1"/>
      <c r="W1333" s="1"/>
    </row>
    <row r="1334" spans="2:23" x14ac:dyDescent="0.35">
      <c r="B1334" s="1"/>
      <c r="K1334" s="1"/>
      <c r="N1334" s="1"/>
      <c r="T1334" s="1"/>
      <c r="W1334" s="1"/>
    </row>
    <row r="1335" spans="2:23" x14ac:dyDescent="0.35">
      <c r="B1335" s="1"/>
      <c r="K1335" s="1"/>
      <c r="N1335" s="1"/>
      <c r="T1335" s="1"/>
      <c r="W1335" s="1"/>
    </row>
    <row r="1336" spans="2:23" x14ac:dyDescent="0.35">
      <c r="B1336" s="1"/>
      <c r="K1336" s="1"/>
      <c r="N1336" s="1"/>
      <c r="T1336" s="1"/>
      <c r="W1336" s="1"/>
    </row>
    <row r="1337" spans="2:23" x14ac:dyDescent="0.35">
      <c r="B1337" s="1"/>
      <c r="K1337" s="1"/>
      <c r="N1337" s="1"/>
      <c r="T1337" s="1"/>
      <c r="W1337" s="1"/>
    </row>
    <row r="1338" spans="2:23" x14ac:dyDescent="0.35">
      <c r="B1338" s="1"/>
      <c r="K1338" s="1"/>
      <c r="N1338" s="1"/>
      <c r="T1338" s="1"/>
      <c r="W1338" s="1"/>
    </row>
    <row r="1339" spans="2:23" x14ac:dyDescent="0.35">
      <c r="B1339" s="1"/>
      <c r="K1339" s="1"/>
      <c r="N1339" s="1"/>
      <c r="T1339" s="1"/>
      <c r="W1339" s="1"/>
    </row>
    <row r="1340" spans="2:23" x14ac:dyDescent="0.35">
      <c r="B1340" s="1"/>
      <c r="K1340" s="1"/>
      <c r="N1340" s="1"/>
      <c r="T1340" s="1"/>
      <c r="W1340" s="1"/>
    </row>
    <row r="1341" spans="2:23" x14ac:dyDescent="0.35">
      <c r="B1341" s="1"/>
      <c r="K1341" s="1"/>
      <c r="N1341" s="1"/>
      <c r="T1341" s="1"/>
      <c r="W1341" s="1"/>
    </row>
    <row r="1342" spans="2:23" x14ac:dyDescent="0.35">
      <c r="B1342" s="1"/>
      <c r="K1342" s="1"/>
      <c r="N1342" s="1"/>
      <c r="T1342" s="1"/>
      <c r="W1342" s="1"/>
    </row>
    <row r="1343" spans="2:23" x14ac:dyDescent="0.35">
      <c r="B1343" s="1"/>
      <c r="K1343" s="1"/>
      <c r="N1343" s="1"/>
      <c r="T1343" s="1"/>
      <c r="W1343" s="1"/>
    </row>
    <row r="1344" spans="2:23" x14ac:dyDescent="0.35">
      <c r="B1344" s="1"/>
      <c r="K1344" s="1"/>
      <c r="N1344" s="1"/>
      <c r="T1344" s="1"/>
      <c r="W1344" s="1"/>
    </row>
    <row r="1345" spans="2:23" x14ac:dyDescent="0.35">
      <c r="B1345" s="1"/>
      <c r="K1345" s="1"/>
      <c r="N1345" s="1"/>
      <c r="T1345" s="1"/>
      <c r="W1345" s="1"/>
    </row>
    <row r="1346" spans="2:23" x14ac:dyDescent="0.35">
      <c r="B1346" s="1"/>
      <c r="K1346" s="1"/>
      <c r="N1346" s="1"/>
      <c r="T1346" s="1"/>
      <c r="W1346" s="1"/>
    </row>
    <row r="1347" spans="2:23" x14ac:dyDescent="0.35">
      <c r="B1347" s="1"/>
      <c r="K1347" s="1"/>
      <c r="N1347" s="1"/>
      <c r="T1347" s="1"/>
      <c r="W1347" s="1"/>
    </row>
    <row r="1348" spans="2:23" x14ac:dyDescent="0.35">
      <c r="B1348" s="1"/>
      <c r="K1348" s="1"/>
      <c r="N1348" s="1"/>
      <c r="T1348" s="1"/>
      <c r="W1348" s="1"/>
    </row>
    <row r="1349" spans="2:23" x14ac:dyDescent="0.35">
      <c r="B1349" s="1"/>
      <c r="K1349" s="1"/>
      <c r="N1349" s="1"/>
      <c r="T1349" s="1"/>
      <c r="W1349" s="1"/>
    </row>
    <row r="1350" spans="2:23" x14ac:dyDescent="0.35">
      <c r="B1350" s="1"/>
      <c r="K1350" s="1"/>
      <c r="N1350" s="1"/>
      <c r="T1350" s="1"/>
      <c r="W1350" s="1"/>
    </row>
    <row r="1351" spans="2:23" x14ac:dyDescent="0.35">
      <c r="B1351" s="1"/>
      <c r="K1351" s="1"/>
      <c r="N1351" s="1"/>
      <c r="T1351" s="1"/>
      <c r="W1351" s="1"/>
    </row>
    <row r="1352" spans="2:23" x14ac:dyDescent="0.35">
      <c r="B1352" s="1"/>
      <c r="K1352" s="1"/>
      <c r="N1352" s="1"/>
      <c r="T1352" s="1"/>
      <c r="W1352" s="1"/>
    </row>
    <row r="1353" spans="2:23" x14ac:dyDescent="0.35">
      <c r="B1353" s="1"/>
      <c r="K1353" s="1"/>
      <c r="N1353" s="1"/>
      <c r="T1353" s="1"/>
      <c r="W1353" s="1"/>
    </row>
    <row r="1354" spans="2:23" x14ac:dyDescent="0.35">
      <c r="B1354" s="1"/>
      <c r="K1354" s="1"/>
      <c r="N1354" s="1"/>
      <c r="T1354" s="1"/>
      <c r="W1354" s="1"/>
    </row>
    <row r="1355" spans="2:23" x14ac:dyDescent="0.35">
      <c r="B1355" s="1"/>
      <c r="K1355" s="1"/>
      <c r="N1355" s="1"/>
      <c r="T1355" s="1"/>
      <c r="W1355" s="1"/>
    </row>
    <row r="1356" spans="2:23" x14ac:dyDescent="0.35">
      <c r="B1356" s="1"/>
      <c r="K1356" s="1"/>
      <c r="N1356" s="1"/>
      <c r="T1356" s="1"/>
      <c r="W1356" s="1"/>
    </row>
    <row r="1357" spans="2:23" x14ac:dyDescent="0.35">
      <c r="B1357" s="1"/>
      <c r="K1357" s="1"/>
      <c r="N1357" s="1"/>
      <c r="T1357" s="1"/>
      <c r="W1357" s="1"/>
    </row>
    <row r="1358" spans="2:23" x14ac:dyDescent="0.35">
      <c r="B1358" s="1"/>
      <c r="K1358" s="1"/>
      <c r="N1358" s="1"/>
      <c r="T1358" s="1"/>
      <c r="W1358" s="1"/>
    </row>
    <row r="1359" spans="2:23" x14ac:dyDescent="0.35">
      <c r="B1359" s="1"/>
      <c r="K1359" s="1"/>
      <c r="N1359" s="1"/>
      <c r="T1359" s="1"/>
      <c r="W1359" s="1"/>
    </row>
    <row r="1360" spans="2:23" x14ac:dyDescent="0.35">
      <c r="B1360" s="1"/>
      <c r="K1360" s="1"/>
      <c r="N1360" s="1"/>
      <c r="T1360" s="1"/>
      <c r="W1360" s="1"/>
    </row>
    <row r="1361" spans="2:23" x14ac:dyDescent="0.35">
      <c r="B1361" s="1"/>
      <c r="K1361" s="1"/>
      <c r="N1361" s="1"/>
      <c r="T1361" s="1"/>
      <c r="W1361" s="1"/>
    </row>
    <row r="1362" spans="2:23" x14ac:dyDescent="0.35">
      <c r="B1362" s="1"/>
      <c r="K1362" s="1"/>
      <c r="N1362" s="1"/>
      <c r="T1362" s="1"/>
      <c r="W1362" s="1"/>
    </row>
    <row r="1363" spans="2:23" x14ac:dyDescent="0.35">
      <c r="B1363" s="1"/>
      <c r="K1363" s="1"/>
      <c r="N1363" s="1"/>
      <c r="T1363" s="1"/>
      <c r="W1363" s="1"/>
    </row>
    <row r="1364" spans="2:23" x14ac:dyDescent="0.35">
      <c r="B1364" s="1"/>
      <c r="K1364" s="1"/>
      <c r="N1364" s="1"/>
      <c r="T1364" s="1"/>
      <c r="W1364" s="1"/>
    </row>
    <row r="1365" spans="2:23" x14ac:dyDescent="0.35">
      <c r="B1365" s="1"/>
      <c r="K1365" s="1"/>
      <c r="N1365" s="1"/>
      <c r="T1365" s="1"/>
      <c r="W1365" s="1"/>
    </row>
    <row r="1366" spans="2:23" x14ac:dyDescent="0.35">
      <c r="B1366" s="1"/>
      <c r="K1366" s="1"/>
      <c r="N1366" s="1"/>
      <c r="T1366" s="1"/>
      <c r="W1366" s="1"/>
    </row>
    <row r="1367" spans="2:23" x14ac:dyDescent="0.35">
      <c r="B1367" s="1"/>
      <c r="K1367" s="1"/>
      <c r="N1367" s="1"/>
      <c r="T1367" s="1"/>
      <c r="W1367" s="1"/>
    </row>
    <row r="1368" spans="2:23" x14ac:dyDescent="0.35">
      <c r="B1368" s="1"/>
      <c r="K1368" s="1"/>
      <c r="N1368" s="1"/>
      <c r="T1368" s="1"/>
      <c r="W1368" s="1"/>
    </row>
    <row r="1369" spans="2:23" x14ac:dyDescent="0.35">
      <c r="B1369" s="1"/>
      <c r="K1369" s="1"/>
      <c r="N1369" s="1"/>
      <c r="T1369" s="1"/>
      <c r="W1369" s="1"/>
    </row>
    <row r="1370" spans="2:23" x14ac:dyDescent="0.35">
      <c r="B1370" s="1"/>
      <c r="K1370" s="1"/>
      <c r="N1370" s="1"/>
      <c r="T1370" s="1"/>
      <c r="W1370" s="1"/>
    </row>
    <row r="1371" spans="2:23" x14ac:dyDescent="0.35">
      <c r="B1371" s="1"/>
      <c r="K1371" s="1"/>
      <c r="N1371" s="1"/>
      <c r="T1371" s="1"/>
      <c r="W1371" s="1"/>
    </row>
    <row r="1372" spans="2:23" x14ac:dyDescent="0.35">
      <c r="B1372" s="1"/>
      <c r="K1372" s="1"/>
      <c r="N1372" s="1"/>
      <c r="T1372" s="1"/>
      <c r="W1372" s="1"/>
    </row>
    <row r="1373" spans="2:23" x14ac:dyDescent="0.35">
      <c r="B1373" s="1"/>
      <c r="K1373" s="1"/>
      <c r="N1373" s="1"/>
      <c r="T1373" s="1"/>
      <c r="W1373" s="1"/>
    </row>
    <row r="1374" spans="2:23" x14ac:dyDescent="0.35">
      <c r="B1374" s="1"/>
      <c r="K1374" s="1"/>
      <c r="N1374" s="1"/>
      <c r="T1374" s="1"/>
      <c r="W1374" s="1"/>
    </row>
    <row r="1375" spans="2:23" x14ac:dyDescent="0.35">
      <c r="B1375" s="1"/>
      <c r="K1375" s="1"/>
      <c r="N1375" s="1"/>
      <c r="T1375" s="1"/>
      <c r="W1375" s="1"/>
    </row>
    <row r="1376" spans="2:23" x14ac:dyDescent="0.35">
      <c r="B1376" s="1"/>
      <c r="K1376" s="1"/>
      <c r="N1376" s="1"/>
      <c r="T1376" s="1"/>
      <c r="W1376" s="1"/>
    </row>
    <row r="1377" spans="2:23" x14ac:dyDescent="0.35">
      <c r="B1377" s="1"/>
      <c r="K1377" s="1"/>
      <c r="N1377" s="1"/>
      <c r="T1377" s="1"/>
      <c r="W1377" s="1"/>
    </row>
    <row r="1378" spans="2:23" x14ac:dyDescent="0.35">
      <c r="B1378" s="1"/>
      <c r="K1378" s="1"/>
      <c r="N1378" s="1"/>
      <c r="T1378" s="1"/>
      <c r="W1378" s="1"/>
    </row>
    <row r="1379" spans="2:23" x14ac:dyDescent="0.35">
      <c r="B1379" s="1"/>
      <c r="K1379" s="1"/>
      <c r="N1379" s="1"/>
      <c r="T1379" s="1"/>
      <c r="W1379" s="1"/>
    </row>
    <row r="1380" spans="2:23" x14ac:dyDescent="0.35">
      <c r="B1380" s="1"/>
      <c r="K1380" s="1"/>
      <c r="N1380" s="1"/>
      <c r="T1380" s="1"/>
      <c r="W1380" s="1"/>
    </row>
    <row r="1381" spans="2:23" x14ac:dyDescent="0.35">
      <c r="B1381" s="1"/>
      <c r="K1381" s="1"/>
      <c r="N1381" s="1"/>
      <c r="T1381" s="1"/>
      <c r="W1381" s="1"/>
    </row>
    <row r="1382" spans="2:23" x14ac:dyDescent="0.35">
      <c r="B1382" s="1"/>
      <c r="K1382" s="1"/>
      <c r="N1382" s="1"/>
      <c r="T1382" s="1"/>
      <c r="W1382" s="1"/>
    </row>
    <row r="1383" spans="2:23" x14ac:dyDescent="0.35">
      <c r="B1383" s="1"/>
      <c r="K1383" s="1"/>
      <c r="N1383" s="1"/>
      <c r="T1383" s="1"/>
      <c r="W1383" s="1"/>
    </row>
    <row r="1384" spans="2:23" x14ac:dyDescent="0.35">
      <c r="B1384" s="1"/>
      <c r="K1384" s="1"/>
      <c r="N1384" s="1"/>
      <c r="T1384" s="1"/>
      <c r="W1384" s="1"/>
    </row>
    <row r="1385" spans="2:23" x14ac:dyDescent="0.35">
      <c r="B1385" s="1"/>
      <c r="K1385" s="1"/>
      <c r="N1385" s="1"/>
      <c r="T1385" s="1"/>
      <c r="W1385" s="1"/>
    </row>
    <row r="1386" spans="2:23" x14ac:dyDescent="0.35">
      <c r="B1386" s="1"/>
      <c r="K1386" s="1"/>
      <c r="N1386" s="1"/>
      <c r="T1386" s="1"/>
      <c r="W1386" s="1"/>
    </row>
    <row r="1387" spans="2:23" x14ac:dyDescent="0.35">
      <c r="B1387" s="1"/>
      <c r="K1387" s="1"/>
      <c r="N1387" s="1"/>
      <c r="T1387" s="1"/>
      <c r="W1387" s="1"/>
    </row>
    <row r="1388" spans="2:23" x14ac:dyDescent="0.35">
      <c r="B1388" s="1"/>
      <c r="K1388" s="1"/>
      <c r="N1388" s="1"/>
      <c r="T1388" s="1"/>
      <c r="W1388" s="1"/>
    </row>
    <row r="1389" spans="2:23" x14ac:dyDescent="0.35">
      <c r="B1389" s="1"/>
      <c r="K1389" s="1"/>
      <c r="N1389" s="1"/>
      <c r="T1389" s="1"/>
      <c r="W1389" s="1"/>
    </row>
    <row r="1390" spans="2:23" x14ac:dyDescent="0.35">
      <c r="B1390" s="1"/>
      <c r="K1390" s="1"/>
      <c r="N1390" s="1"/>
      <c r="T1390" s="1"/>
      <c r="W1390" s="1"/>
    </row>
    <row r="1391" spans="2:23" x14ac:dyDescent="0.35">
      <c r="B1391" s="1"/>
      <c r="K1391" s="1"/>
      <c r="N1391" s="1"/>
      <c r="T1391" s="1"/>
      <c r="W1391" s="1"/>
    </row>
    <row r="1392" spans="2:23" x14ac:dyDescent="0.35">
      <c r="B1392" s="1"/>
      <c r="K1392" s="1"/>
      <c r="N1392" s="1"/>
      <c r="T1392" s="1"/>
      <c r="W1392" s="1"/>
    </row>
    <row r="1393" spans="2:23" x14ac:dyDescent="0.35">
      <c r="B1393" s="1"/>
      <c r="K1393" s="1"/>
      <c r="N1393" s="1"/>
      <c r="T1393" s="1"/>
      <c r="W1393" s="1"/>
    </row>
    <row r="1394" spans="2:23" x14ac:dyDescent="0.35">
      <c r="B1394" s="1"/>
      <c r="K1394" s="1"/>
      <c r="N1394" s="1"/>
      <c r="T1394" s="1"/>
      <c r="W1394" s="1"/>
    </row>
    <row r="1395" spans="2:23" x14ac:dyDescent="0.35">
      <c r="B1395" s="1"/>
      <c r="K1395" s="1"/>
      <c r="N1395" s="1"/>
      <c r="T1395" s="1"/>
      <c r="W1395" s="1"/>
    </row>
    <row r="1396" spans="2:23" x14ac:dyDescent="0.35">
      <c r="B1396" s="1"/>
      <c r="K1396" s="1"/>
      <c r="N1396" s="1"/>
      <c r="T1396" s="1"/>
      <c r="W1396" s="1"/>
    </row>
    <row r="1397" spans="2:23" x14ac:dyDescent="0.35">
      <c r="B1397" s="1"/>
      <c r="K1397" s="1"/>
      <c r="N1397" s="1"/>
      <c r="T1397" s="1"/>
      <c r="W1397" s="1"/>
    </row>
    <row r="1398" spans="2:23" x14ac:dyDescent="0.35">
      <c r="B1398" s="1"/>
      <c r="K1398" s="1"/>
      <c r="N1398" s="1"/>
      <c r="T1398" s="1"/>
      <c r="W1398" s="1"/>
    </row>
    <row r="1399" spans="2:23" x14ac:dyDescent="0.35">
      <c r="B1399" s="1"/>
      <c r="K1399" s="1"/>
      <c r="N1399" s="1"/>
      <c r="T1399" s="1"/>
      <c r="W1399" s="1"/>
    </row>
    <row r="1400" spans="2:23" x14ac:dyDescent="0.35">
      <c r="B1400" s="1"/>
      <c r="K1400" s="1"/>
      <c r="N1400" s="1"/>
      <c r="T1400" s="1"/>
      <c r="W1400" s="1"/>
    </row>
    <row r="1401" spans="2:23" x14ac:dyDescent="0.35">
      <c r="B1401" s="1"/>
      <c r="K1401" s="1"/>
      <c r="N1401" s="1"/>
      <c r="T1401" s="1"/>
      <c r="W1401" s="1"/>
    </row>
    <row r="1402" spans="2:23" x14ac:dyDescent="0.35">
      <c r="B1402" s="1"/>
      <c r="K1402" s="1"/>
      <c r="N1402" s="1"/>
      <c r="T1402" s="1"/>
      <c r="W1402" s="1"/>
    </row>
    <row r="1403" spans="2:23" x14ac:dyDescent="0.35">
      <c r="B1403" s="1"/>
      <c r="K1403" s="1"/>
      <c r="N1403" s="1"/>
      <c r="T1403" s="1"/>
      <c r="W1403" s="1"/>
    </row>
    <row r="1404" spans="2:23" x14ac:dyDescent="0.35">
      <c r="B1404" s="1"/>
      <c r="K1404" s="1"/>
      <c r="N1404" s="1"/>
      <c r="T1404" s="1"/>
      <c r="W1404" s="1"/>
    </row>
    <row r="1405" spans="2:23" x14ac:dyDescent="0.35">
      <c r="B1405" s="1"/>
      <c r="K1405" s="1"/>
      <c r="N1405" s="1"/>
      <c r="T1405" s="1"/>
      <c r="W1405" s="1"/>
    </row>
    <row r="1406" spans="2:23" x14ac:dyDescent="0.35">
      <c r="B1406" s="1"/>
      <c r="K1406" s="1"/>
      <c r="N1406" s="1"/>
      <c r="T1406" s="1"/>
      <c r="W1406" s="1"/>
    </row>
    <row r="1407" spans="2:23" x14ac:dyDescent="0.35">
      <c r="B1407" s="1"/>
      <c r="K1407" s="1"/>
      <c r="N1407" s="1"/>
      <c r="T1407" s="1"/>
      <c r="W1407" s="1"/>
    </row>
    <row r="1408" spans="2:23" x14ac:dyDescent="0.35">
      <c r="B1408" s="1"/>
      <c r="K1408" s="1"/>
      <c r="N1408" s="1"/>
      <c r="T1408" s="1"/>
      <c r="W1408" s="1"/>
    </row>
    <row r="1409" spans="2:23" x14ac:dyDescent="0.35">
      <c r="B1409" s="1"/>
      <c r="K1409" s="1"/>
      <c r="N1409" s="1"/>
      <c r="T1409" s="1"/>
      <c r="W1409" s="1"/>
    </row>
    <row r="1410" spans="2:23" x14ac:dyDescent="0.35">
      <c r="B1410" s="1"/>
      <c r="K1410" s="1"/>
      <c r="N1410" s="1"/>
      <c r="T1410" s="1"/>
      <c r="W1410" s="1"/>
    </row>
    <row r="1411" spans="2:23" x14ac:dyDescent="0.35">
      <c r="B1411" s="1"/>
      <c r="K1411" s="1"/>
      <c r="N1411" s="1"/>
      <c r="T1411" s="1"/>
      <c r="W1411" s="1"/>
    </row>
    <row r="1412" spans="2:23" x14ac:dyDescent="0.35">
      <c r="B1412" s="1"/>
      <c r="K1412" s="1"/>
      <c r="N1412" s="1"/>
      <c r="T1412" s="1"/>
      <c r="W1412" s="1"/>
    </row>
    <row r="1413" spans="2:23" x14ac:dyDescent="0.35">
      <c r="B1413" s="1"/>
      <c r="K1413" s="1"/>
      <c r="N1413" s="1"/>
      <c r="T1413" s="1"/>
      <c r="W1413" s="1"/>
    </row>
    <row r="1414" spans="2:23" x14ac:dyDescent="0.35">
      <c r="B1414" s="1"/>
      <c r="K1414" s="1"/>
      <c r="N1414" s="1"/>
      <c r="T1414" s="1"/>
      <c r="W1414" s="1"/>
    </row>
    <row r="1415" spans="2:23" x14ac:dyDescent="0.35">
      <c r="B1415" s="1"/>
      <c r="K1415" s="1"/>
      <c r="N1415" s="1"/>
      <c r="T1415" s="1"/>
      <c r="W1415" s="1"/>
    </row>
    <row r="1416" spans="2:23" x14ac:dyDescent="0.35">
      <c r="B1416" s="1"/>
      <c r="K1416" s="1"/>
      <c r="N1416" s="1"/>
      <c r="T1416" s="1"/>
      <c r="W1416" s="1"/>
    </row>
    <row r="1417" spans="2:23" x14ac:dyDescent="0.35">
      <c r="B1417" s="1"/>
      <c r="K1417" s="1"/>
      <c r="N1417" s="1"/>
      <c r="T1417" s="1"/>
      <c r="W1417" s="1"/>
    </row>
    <row r="1418" spans="2:23" x14ac:dyDescent="0.35">
      <c r="B1418" s="1"/>
      <c r="K1418" s="1"/>
      <c r="N1418" s="1"/>
      <c r="T1418" s="1"/>
      <c r="W1418" s="1"/>
    </row>
    <row r="1419" spans="2:23" x14ac:dyDescent="0.35">
      <c r="B1419" s="1"/>
      <c r="K1419" s="1"/>
      <c r="N1419" s="1"/>
      <c r="T1419" s="1"/>
      <c r="W1419" s="1"/>
    </row>
    <row r="1420" spans="2:23" x14ac:dyDescent="0.35">
      <c r="B1420" s="1"/>
      <c r="K1420" s="1"/>
      <c r="N1420" s="1"/>
      <c r="T1420" s="1"/>
      <c r="W1420" s="1"/>
    </row>
    <row r="1421" spans="2:23" x14ac:dyDescent="0.35">
      <c r="B1421" s="1"/>
      <c r="K1421" s="1"/>
      <c r="N1421" s="1"/>
      <c r="T1421" s="1"/>
      <c r="W1421" s="1"/>
    </row>
    <row r="1422" spans="2:23" x14ac:dyDescent="0.35">
      <c r="B1422" s="1"/>
      <c r="K1422" s="1"/>
      <c r="N1422" s="1"/>
      <c r="T1422" s="1"/>
      <c r="W1422" s="1"/>
    </row>
    <row r="1423" spans="2:23" x14ac:dyDescent="0.35">
      <c r="B1423" s="1"/>
      <c r="K1423" s="1"/>
      <c r="N1423" s="1"/>
      <c r="T1423" s="1"/>
      <c r="W1423" s="1"/>
    </row>
    <row r="1424" spans="2:23" x14ac:dyDescent="0.35">
      <c r="B1424" s="1"/>
      <c r="K1424" s="1"/>
      <c r="N1424" s="1"/>
      <c r="T1424" s="1"/>
      <c r="W1424" s="1"/>
    </row>
    <row r="1425" spans="2:23" x14ac:dyDescent="0.35">
      <c r="B1425" s="1"/>
      <c r="K1425" s="1"/>
      <c r="N1425" s="1"/>
      <c r="T1425" s="1"/>
      <c r="W1425" s="1"/>
    </row>
    <row r="1426" spans="2:23" x14ac:dyDescent="0.35">
      <c r="B1426" s="1"/>
      <c r="K1426" s="1"/>
      <c r="N1426" s="1"/>
      <c r="T1426" s="1"/>
      <c r="W1426" s="1"/>
    </row>
    <row r="1427" spans="2:23" x14ac:dyDescent="0.35">
      <c r="B1427" s="1"/>
      <c r="K1427" s="1"/>
      <c r="N1427" s="1"/>
      <c r="T1427" s="1"/>
      <c r="W1427" s="1"/>
    </row>
    <row r="1428" spans="2:23" x14ac:dyDescent="0.35">
      <c r="B1428" s="1"/>
      <c r="K1428" s="1"/>
      <c r="N1428" s="1"/>
      <c r="T1428" s="1"/>
      <c r="W1428" s="1"/>
    </row>
    <row r="1429" spans="2:23" x14ac:dyDescent="0.35">
      <c r="B1429" s="1"/>
      <c r="K1429" s="1"/>
      <c r="N1429" s="1"/>
      <c r="T1429" s="1"/>
      <c r="W1429" s="1"/>
    </row>
    <row r="1430" spans="2:23" x14ac:dyDescent="0.35">
      <c r="B1430" s="1"/>
      <c r="K1430" s="1"/>
      <c r="N1430" s="1"/>
      <c r="T1430" s="1"/>
      <c r="W1430" s="1"/>
    </row>
    <row r="1431" spans="2:23" x14ac:dyDescent="0.35">
      <c r="B1431" s="1"/>
      <c r="K1431" s="1"/>
      <c r="N1431" s="1"/>
      <c r="T1431" s="1"/>
      <c r="W1431" s="1"/>
    </row>
    <row r="1432" spans="2:23" x14ac:dyDescent="0.35">
      <c r="B1432" s="1"/>
      <c r="K1432" s="1"/>
      <c r="N1432" s="1"/>
      <c r="T1432" s="1"/>
      <c r="W1432" s="1"/>
    </row>
    <row r="1433" spans="2:23" x14ac:dyDescent="0.35">
      <c r="B1433" s="1"/>
      <c r="K1433" s="1"/>
      <c r="N1433" s="1"/>
      <c r="T1433" s="1"/>
      <c r="W1433" s="1"/>
    </row>
    <row r="1434" spans="2:23" x14ac:dyDescent="0.35">
      <c r="B1434" s="1"/>
      <c r="K1434" s="1"/>
      <c r="N1434" s="1"/>
      <c r="T1434" s="1"/>
      <c r="W1434" s="1"/>
    </row>
    <row r="1435" spans="2:23" x14ac:dyDescent="0.35">
      <c r="B1435" s="1"/>
      <c r="K1435" s="1"/>
      <c r="N1435" s="1"/>
      <c r="T1435" s="1"/>
      <c r="W1435" s="1"/>
    </row>
    <row r="1436" spans="2:23" x14ac:dyDescent="0.35">
      <c r="B1436" s="1"/>
      <c r="K1436" s="1"/>
      <c r="N1436" s="1"/>
      <c r="T1436" s="1"/>
      <c r="W1436" s="1"/>
    </row>
    <row r="1437" spans="2:23" x14ac:dyDescent="0.35">
      <c r="B1437" s="1"/>
      <c r="K1437" s="1"/>
      <c r="N1437" s="1"/>
      <c r="T1437" s="1"/>
      <c r="W1437" s="1"/>
    </row>
    <row r="1438" spans="2:23" x14ac:dyDescent="0.35">
      <c r="B1438" s="1"/>
      <c r="K1438" s="1"/>
      <c r="N1438" s="1"/>
      <c r="T1438" s="1"/>
      <c r="W1438" s="1"/>
    </row>
    <row r="1439" spans="2:23" x14ac:dyDescent="0.35">
      <c r="B1439" s="1"/>
      <c r="K1439" s="1"/>
      <c r="N1439" s="1"/>
      <c r="T1439" s="1"/>
      <c r="W1439" s="1"/>
    </row>
    <row r="1440" spans="2:23" x14ac:dyDescent="0.35">
      <c r="B1440" s="1"/>
      <c r="K1440" s="1"/>
      <c r="N1440" s="1"/>
      <c r="T1440" s="1"/>
      <c r="W1440" s="1"/>
    </row>
    <row r="1441" spans="2:23" x14ac:dyDescent="0.35">
      <c r="B1441" s="1"/>
      <c r="K1441" s="1"/>
      <c r="N1441" s="1"/>
      <c r="T1441" s="1"/>
      <c r="W1441" s="1"/>
    </row>
    <row r="1442" spans="2:23" x14ac:dyDescent="0.35">
      <c r="B1442" s="1"/>
      <c r="K1442" s="1"/>
      <c r="N1442" s="1"/>
      <c r="T1442" s="1"/>
      <c r="W1442" s="1"/>
    </row>
    <row r="1443" spans="2:23" x14ac:dyDescent="0.35">
      <c r="B1443" s="1"/>
      <c r="K1443" s="1"/>
      <c r="N1443" s="1"/>
      <c r="T1443" s="1"/>
      <c r="W1443" s="1"/>
    </row>
    <row r="1444" spans="2:23" x14ac:dyDescent="0.35">
      <c r="B1444" s="1"/>
      <c r="K1444" s="1"/>
      <c r="N1444" s="1"/>
      <c r="T1444" s="1"/>
      <c r="W1444" s="1"/>
    </row>
    <row r="1445" spans="2:23" x14ac:dyDescent="0.35">
      <c r="B1445" s="1"/>
      <c r="K1445" s="1"/>
      <c r="N1445" s="1"/>
      <c r="T1445" s="1"/>
      <c r="W1445" s="1"/>
    </row>
    <row r="1446" spans="2:23" x14ac:dyDescent="0.35">
      <c r="B1446" s="1"/>
      <c r="K1446" s="1"/>
      <c r="N1446" s="1"/>
      <c r="T1446" s="1"/>
      <c r="W1446" s="1"/>
    </row>
    <row r="1447" spans="2:23" x14ac:dyDescent="0.35">
      <c r="B1447" s="1"/>
      <c r="K1447" s="1"/>
      <c r="N1447" s="1"/>
      <c r="T1447" s="1"/>
      <c r="W1447" s="1"/>
    </row>
    <row r="1448" spans="2:23" x14ac:dyDescent="0.35">
      <c r="B1448" s="1"/>
      <c r="K1448" s="1"/>
      <c r="N1448" s="1"/>
      <c r="T1448" s="1"/>
      <c r="W1448" s="1"/>
    </row>
    <row r="1449" spans="2:23" x14ac:dyDescent="0.35">
      <c r="B1449" s="1"/>
      <c r="K1449" s="1"/>
      <c r="N1449" s="1"/>
      <c r="T1449" s="1"/>
      <c r="W1449" s="1"/>
    </row>
    <row r="1450" spans="2:23" x14ac:dyDescent="0.35">
      <c r="B1450" s="1"/>
      <c r="K1450" s="1"/>
      <c r="N1450" s="1"/>
      <c r="T1450" s="1"/>
      <c r="W1450" s="1"/>
    </row>
    <row r="1451" spans="2:23" x14ac:dyDescent="0.35">
      <c r="B1451" s="1"/>
      <c r="K1451" s="1"/>
      <c r="N1451" s="1"/>
      <c r="T1451" s="1"/>
      <c r="W1451" s="1"/>
    </row>
    <row r="1452" spans="2:23" x14ac:dyDescent="0.35">
      <c r="B1452" s="1"/>
      <c r="K1452" s="1"/>
      <c r="N1452" s="1"/>
      <c r="T1452" s="1"/>
      <c r="W1452" s="1"/>
    </row>
    <row r="1453" spans="2:23" x14ac:dyDescent="0.35">
      <c r="B1453" s="1"/>
      <c r="K1453" s="1"/>
      <c r="N1453" s="1"/>
      <c r="T1453" s="1"/>
      <c r="W1453" s="1"/>
    </row>
    <row r="1454" spans="2:23" x14ac:dyDescent="0.35">
      <c r="B1454" s="1"/>
      <c r="K1454" s="1"/>
      <c r="N1454" s="1"/>
      <c r="T1454" s="1"/>
      <c r="W1454" s="1"/>
    </row>
    <row r="1455" spans="2:23" x14ac:dyDescent="0.35">
      <c r="B1455" s="1"/>
      <c r="K1455" s="1"/>
      <c r="N1455" s="1"/>
      <c r="T1455" s="1"/>
      <c r="W1455" s="1"/>
    </row>
    <row r="1456" spans="2:23" x14ac:dyDescent="0.35">
      <c r="B1456" s="1"/>
      <c r="K1456" s="1"/>
      <c r="N1456" s="1"/>
      <c r="T1456" s="1"/>
      <c r="W1456" s="1"/>
    </row>
    <row r="1457" spans="2:23" x14ac:dyDescent="0.35">
      <c r="B1457" s="1"/>
      <c r="K1457" s="1"/>
      <c r="N1457" s="1"/>
      <c r="T1457" s="1"/>
      <c r="W1457" s="1"/>
    </row>
    <row r="1458" spans="2:23" x14ac:dyDescent="0.35">
      <c r="B1458" s="1"/>
      <c r="K1458" s="1"/>
      <c r="N1458" s="1"/>
      <c r="T1458" s="1"/>
      <c r="W1458" s="1"/>
    </row>
    <row r="1459" spans="2:23" x14ac:dyDescent="0.35">
      <c r="B1459" s="1"/>
      <c r="K1459" s="1"/>
      <c r="N1459" s="1"/>
      <c r="T1459" s="1"/>
      <c r="W1459" s="1"/>
    </row>
    <row r="1460" spans="2:23" x14ac:dyDescent="0.35">
      <c r="B1460" s="1"/>
      <c r="K1460" s="1"/>
      <c r="N1460" s="1"/>
      <c r="T1460" s="1"/>
      <c r="W1460" s="1"/>
    </row>
    <row r="1461" spans="2:23" x14ac:dyDescent="0.35">
      <c r="B1461" s="1"/>
      <c r="K1461" s="1"/>
      <c r="N1461" s="1"/>
      <c r="T1461" s="1"/>
      <c r="W1461" s="1"/>
    </row>
    <row r="1462" spans="2:23" x14ac:dyDescent="0.35">
      <c r="B1462" s="1"/>
      <c r="K1462" s="1"/>
      <c r="N1462" s="1"/>
      <c r="T1462" s="1"/>
      <c r="W1462" s="1"/>
    </row>
    <row r="1463" spans="2:23" x14ac:dyDescent="0.35">
      <c r="B1463" s="1"/>
      <c r="K1463" s="1"/>
      <c r="N1463" s="1"/>
      <c r="T1463" s="1"/>
      <c r="W1463" s="1"/>
    </row>
    <row r="1464" spans="2:23" x14ac:dyDescent="0.35">
      <c r="B1464" s="1"/>
      <c r="K1464" s="1"/>
      <c r="N1464" s="1"/>
      <c r="T1464" s="1"/>
      <c r="W1464" s="1"/>
    </row>
    <row r="1465" spans="2:23" x14ac:dyDescent="0.35">
      <c r="B1465" s="1"/>
      <c r="K1465" s="1"/>
      <c r="N1465" s="1"/>
      <c r="T1465" s="1"/>
      <c r="W1465" s="1"/>
    </row>
    <row r="1466" spans="2:23" x14ac:dyDescent="0.35">
      <c r="B1466" s="1"/>
      <c r="K1466" s="1"/>
      <c r="N1466" s="1"/>
      <c r="T1466" s="1"/>
      <c r="W1466" s="1"/>
    </row>
    <row r="1467" spans="2:23" x14ac:dyDescent="0.35">
      <c r="B1467" s="1"/>
      <c r="K1467" s="1"/>
      <c r="N1467" s="1"/>
      <c r="T1467" s="1"/>
      <c r="W1467" s="1"/>
    </row>
    <row r="1468" spans="2:23" x14ac:dyDescent="0.35">
      <c r="B1468" s="1"/>
      <c r="K1468" s="1"/>
      <c r="N1468" s="1"/>
      <c r="T1468" s="1"/>
      <c r="W1468" s="1"/>
    </row>
    <row r="1469" spans="2:23" x14ac:dyDescent="0.35">
      <c r="B1469" s="1"/>
      <c r="K1469" s="1"/>
      <c r="N1469" s="1"/>
      <c r="T1469" s="1"/>
      <c r="W1469" s="1"/>
    </row>
    <row r="1470" spans="2:23" x14ac:dyDescent="0.35">
      <c r="B1470" s="1"/>
      <c r="K1470" s="1"/>
      <c r="N1470" s="1"/>
      <c r="T1470" s="1"/>
      <c r="W1470" s="1"/>
    </row>
    <row r="1471" spans="2:23" x14ac:dyDescent="0.35">
      <c r="B1471" s="1"/>
      <c r="K1471" s="1"/>
      <c r="N1471" s="1"/>
      <c r="T1471" s="1"/>
      <c r="W1471" s="1"/>
    </row>
    <row r="1472" spans="2:23" x14ac:dyDescent="0.35">
      <c r="B1472" s="1"/>
      <c r="K1472" s="1"/>
      <c r="N1472" s="1"/>
      <c r="T1472" s="1"/>
      <c r="W1472" s="1"/>
    </row>
    <row r="1473" spans="2:23" x14ac:dyDescent="0.35">
      <c r="B1473" s="1"/>
      <c r="K1473" s="1"/>
      <c r="N1473" s="1"/>
      <c r="T1473" s="1"/>
      <c r="W1473" s="1"/>
    </row>
    <row r="1474" spans="2:23" x14ac:dyDescent="0.35">
      <c r="B1474" s="1"/>
      <c r="K1474" s="1"/>
      <c r="N1474" s="1"/>
      <c r="T1474" s="1"/>
      <c r="W1474" s="1"/>
    </row>
    <row r="1475" spans="2:23" x14ac:dyDescent="0.35">
      <c r="B1475" s="1"/>
      <c r="K1475" s="1"/>
      <c r="N1475" s="1"/>
      <c r="T1475" s="1"/>
      <c r="W1475" s="1"/>
    </row>
    <row r="1476" spans="2:23" x14ac:dyDescent="0.35">
      <c r="B1476" s="1"/>
      <c r="K1476" s="1"/>
      <c r="N1476" s="1"/>
      <c r="T1476" s="1"/>
      <c r="W1476" s="1"/>
    </row>
    <row r="1477" spans="2:23" x14ac:dyDescent="0.35">
      <c r="B1477" s="1"/>
      <c r="K1477" s="1"/>
      <c r="N1477" s="1"/>
      <c r="T1477" s="1"/>
      <c r="W1477" s="1"/>
    </row>
    <row r="1478" spans="2:23" x14ac:dyDescent="0.35">
      <c r="B1478" s="1"/>
      <c r="K1478" s="1"/>
      <c r="N1478" s="1"/>
      <c r="T1478" s="1"/>
      <c r="W1478" s="1"/>
    </row>
    <row r="1479" spans="2:23" x14ac:dyDescent="0.35">
      <c r="B1479" s="1"/>
      <c r="K1479" s="1"/>
      <c r="N1479" s="1"/>
      <c r="T1479" s="1"/>
      <c r="W1479" s="1"/>
    </row>
    <row r="1480" spans="2:23" x14ac:dyDescent="0.35">
      <c r="B1480" s="1"/>
      <c r="K1480" s="1"/>
      <c r="N1480" s="1"/>
      <c r="T1480" s="1"/>
      <c r="W1480" s="1"/>
    </row>
    <row r="1481" spans="2:23" x14ac:dyDescent="0.35">
      <c r="B1481" s="1"/>
      <c r="K1481" s="1"/>
      <c r="N1481" s="1"/>
      <c r="T1481" s="1"/>
      <c r="W1481" s="1"/>
    </row>
    <row r="1482" spans="2:23" x14ac:dyDescent="0.35">
      <c r="B1482" s="1"/>
      <c r="K1482" s="1"/>
      <c r="N1482" s="1"/>
      <c r="T1482" s="1"/>
      <c r="W1482" s="1"/>
    </row>
    <row r="1483" spans="2:23" x14ac:dyDescent="0.35">
      <c r="B1483" s="1"/>
      <c r="K1483" s="1"/>
      <c r="N1483" s="1"/>
      <c r="T1483" s="1"/>
      <c r="W1483" s="1"/>
    </row>
    <row r="1484" spans="2:23" x14ac:dyDescent="0.35">
      <c r="B1484" s="1"/>
      <c r="K1484" s="1"/>
      <c r="N1484" s="1"/>
      <c r="T1484" s="1"/>
      <c r="W1484" s="1"/>
    </row>
    <row r="1485" spans="2:23" x14ac:dyDescent="0.35">
      <c r="B1485" s="1"/>
      <c r="K1485" s="1"/>
      <c r="N1485" s="1"/>
      <c r="T1485" s="1"/>
      <c r="W1485" s="1"/>
    </row>
    <row r="1486" spans="2:23" x14ac:dyDescent="0.35">
      <c r="B1486" s="1"/>
      <c r="K1486" s="1"/>
      <c r="N1486" s="1"/>
      <c r="T1486" s="1"/>
      <c r="W1486" s="1"/>
    </row>
    <row r="1487" spans="2:23" x14ac:dyDescent="0.35">
      <c r="B1487" s="1"/>
      <c r="K1487" s="1"/>
      <c r="N1487" s="1"/>
      <c r="T1487" s="1"/>
      <c r="W1487" s="1"/>
    </row>
    <row r="1488" spans="2:23" x14ac:dyDescent="0.35">
      <c r="B1488" s="1"/>
      <c r="K1488" s="1"/>
      <c r="N1488" s="1"/>
      <c r="T1488" s="1"/>
      <c r="W1488" s="1"/>
    </row>
    <row r="1489" spans="2:23" x14ac:dyDescent="0.35">
      <c r="B1489" s="1"/>
      <c r="K1489" s="1"/>
      <c r="N1489" s="1"/>
      <c r="T1489" s="1"/>
      <c r="W1489" s="1"/>
    </row>
    <row r="1490" spans="2:23" x14ac:dyDescent="0.35">
      <c r="B1490" s="1"/>
      <c r="K1490" s="1"/>
      <c r="N1490" s="1"/>
      <c r="T1490" s="1"/>
      <c r="W1490" s="1"/>
    </row>
    <row r="1491" spans="2:23" x14ac:dyDescent="0.35">
      <c r="B1491" s="1"/>
      <c r="K1491" s="1"/>
      <c r="N1491" s="1"/>
      <c r="T1491" s="1"/>
      <c r="W1491" s="1"/>
    </row>
    <row r="1492" spans="2:23" x14ac:dyDescent="0.35">
      <c r="B1492" s="1"/>
      <c r="K1492" s="1"/>
      <c r="N1492" s="1"/>
      <c r="T1492" s="1"/>
      <c r="W1492" s="1"/>
    </row>
    <row r="1493" spans="2:23" x14ac:dyDescent="0.35">
      <c r="B1493" s="1"/>
      <c r="K1493" s="1"/>
      <c r="N1493" s="1"/>
      <c r="T1493" s="1"/>
      <c r="W1493" s="1"/>
    </row>
    <row r="1494" spans="2:23" x14ac:dyDescent="0.35">
      <c r="B1494" s="1"/>
      <c r="K1494" s="1"/>
      <c r="N1494" s="1"/>
      <c r="T1494" s="1"/>
      <c r="W1494" s="1"/>
    </row>
    <row r="1495" spans="2:23" x14ac:dyDescent="0.35">
      <c r="B1495" s="1"/>
      <c r="K1495" s="1"/>
      <c r="N1495" s="1"/>
      <c r="T1495" s="1"/>
      <c r="W1495" s="1"/>
    </row>
    <row r="1496" spans="2:23" x14ac:dyDescent="0.35">
      <c r="B1496" s="1"/>
      <c r="K1496" s="1"/>
      <c r="N1496" s="1"/>
      <c r="T1496" s="1"/>
      <c r="W1496" s="1"/>
    </row>
    <row r="1497" spans="2:23" x14ac:dyDescent="0.35">
      <c r="B1497" s="1"/>
      <c r="K1497" s="1"/>
      <c r="N1497" s="1"/>
      <c r="T1497" s="1"/>
      <c r="W1497" s="1"/>
    </row>
    <row r="1498" spans="2:23" x14ac:dyDescent="0.35">
      <c r="B1498" s="1"/>
      <c r="K1498" s="1"/>
      <c r="N1498" s="1"/>
      <c r="T1498" s="1"/>
      <c r="W1498" s="1"/>
    </row>
    <row r="1499" spans="2:23" x14ac:dyDescent="0.35">
      <c r="B1499" s="1"/>
      <c r="K1499" s="1"/>
      <c r="N1499" s="1"/>
      <c r="T1499" s="1"/>
      <c r="W1499" s="1"/>
    </row>
    <row r="1500" spans="2:23" x14ac:dyDescent="0.35">
      <c r="B1500" s="1"/>
      <c r="K1500" s="1"/>
      <c r="N1500" s="1"/>
      <c r="T1500" s="1"/>
      <c r="W1500" s="1"/>
    </row>
    <row r="1501" spans="2:23" x14ac:dyDescent="0.35">
      <c r="B1501" s="1"/>
      <c r="K1501" s="1"/>
      <c r="N1501" s="1"/>
      <c r="T1501" s="1"/>
      <c r="W1501" s="1"/>
    </row>
    <row r="1502" spans="2:23" x14ac:dyDescent="0.35">
      <c r="B1502" s="1"/>
      <c r="K1502" s="1"/>
      <c r="N1502" s="1"/>
      <c r="T1502" s="1"/>
      <c r="W1502" s="1"/>
    </row>
    <row r="1503" spans="2:23" x14ac:dyDescent="0.35">
      <c r="B1503" s="1"/>
      <c r="K1503" s="1"/>
      <c r="N1503" s="1"/>
      <c r="T1503" s="1"/>
      <c r="W1503" s="1"/>
    </row>
    <row r="1504" spans="2:23" x14ac:dyDescent="0.35">
      <c r="B1504" s="1"/>
      <c r="K1504" s="1"/>
      <c r="N1504" s="1"/>
      <c r="T1504" s="1"/>
      <c r="W1504" s="1"/>
    </row>
    <row r="1505" spans="2:23" x14ac:dyDescent="0.35">
      <c r="B1505" s="1"/>
      <c r="K1505" s="1"/>
      <c r="N1505" s="1"/>
      <c r="T1505" s="1"/>
      <c r="W1505" s="1"/>
    </row>
    <row r="1506" spans="2:23" x14ac:dyDescent="0.35">
      <c r="B1506" s="1"/>
      <c r="K1506" s="1"/>
      <c r="N1506" s="1"/>
      <c r="T1506" s="1"/>
      <c r="W1506" s="1"/>
    </row>
    <row r="1507" spans="2:23" x14ac:dyDescent="0.35">
      <c r="B1507" s="1"/>
      <c r="K1507" s="1"/>
      <c r="N1507" s="1"/>
      <c r="T1507" s="1"/>
      <c r="W1507" s="1"/>
    </row>
    <row r="1508" spans="2:23" x14ac:dyDescent="0.35">
      <c r="B1508" s="1"/>
      <c r="K1508" s="1"/>
      <c r="N1508" s="1"/>
      <c r="T1508" s="1"/>
      <c r="W1508" s="1"/>
    </row>
    <row r="1509" spans="2:23" x14ac:dyDescent="0.35">
      <c r="B1509" s="1"/>
      <c r="K1509" s="1"/>
      <c r="N1509" s="1"/>
      <c r="T1509" s="1"/>
      <c r="W1509" s="1"/>
    </row>
    <row r="1510" spans="2:23" x14ac:dyDescent="0.35">
      <c r="B1510" s="1"/>
      <c r="K1510" s="1"/>
      <c r="N1510" s="1"/>
      <c r="T1510" s="1"/>
      <c r="W1510" s="1"/>
    </row>
    <row r="1511" spans="2:23" x14ac:dyDescent="0.35">
      <c r="B1511" s="1"/>
      <c r="K1511" s="1"/>
      <c r="N1511" s="1"/>
      <c r="T1511" s="1"/>
      <c r="W1511" s="1"/>
    </row>
    <row r="1512" spans="2:23" x14ac:dyDescent="0.35">
      <c r="B1512" s="1"/>
      <c r="K1512" s="1"/>
      <c r="N1512" s="1"/>
      <c r="T1512" s="1"/>
      <c r="W1512" s="1"/>
    </row>
    <row r="1513" spans="2:23" x14ac:dyDescent="0.35">
      <c r="B1513" s="1"/>
      <c r="K1513" s="1"/>
      <c r="N1513" s="1"/>
      <c r="T1513" s="1"/>
      <c r="W1513" s="1"/>
    </row>
    <row r="1514" spans="2:23" x14ac:dyDescent="0.35">
      <c r="B1514" s="1"/>
      <c r="K1514" s="1"/>
      <c r="N1514" s="1"/>
      <c r="T1514" s="1"/>
      <c r="W1514" s="1"/>
    </row>
    <row r="1515" spans="2:23" x14ac:dyDescent="0.35">
      <c r="B1515" s="1"/>
      <c r="K1515" s="1"/>
      <c r="N1515" s="1"/>
      <c r="T1515" s="1"/>
      <c r="W1515" s="1"/>
    </row>
    <row r="1516" spans="2:23" x14ac:dyDescent="0.35">
      <c r="B1516" s="1"/>
      <c r="K1516" s="1"/>
      <c r="N1516" s="1"/>
      <c r="T1516" s="1"/>
      <c r="W1516" s="1"/>
    </row>
    <row r="1517" spans="2:23" x14ac:dyDescent="0.35">
      <c r="B1517" s="1"/>
      <c r="K1517" s="1"/>
      <c r="N1517" s="1"/>
      <c r="T1517" s="1"/>
      <c r="W1517" s="1"/>
    </row>
    <row r="1518" spans="2:23" x14ac:dyDescent="0.35">
      <c r="B1518" s="1"/>
      <c r="K1518" s="1"/>
      <c r="N1518" s="1"/>
      <c r="T1518" s="1"/>
      <c r="W1518" s="1"/>
    </row>
    <row r="1519" spans="2:23" x14ac:dyDescent="0.35">
      <c r="B1519" s="1"/>
      <c r="K1519" s="1"/>
      <c r="N1519" s="1"/>
      <c r="T1519" s="1"/>
      <c r="W1519" s="1"/>
    </row>
    <row r="1520" spans="2:23" x14ac:dyDescent="0.35">
      <c r="B1520" s="1"/>
      <c r="K1520" s="1"/>
      <c r="N1520" s="1"/>
      <c r="T1520" s="1"/>
      <c r="W1520" s="1"/>
    </row>
    <row r="1521" spans="2:23" x14ac:dyDescent="0.35">
      <c r="B1521" s="1"/>
      <c r="K1521" s="1"/>
      <c r="N1521" s="1"/>
      <c r="T1521" s="1"/>
      <c r="W1521" s="1"/>
    </row>
    <row r="1522" spans="2:23" x14ac:dyDescent="0.35">
      <c r="B1522" s="1"/>
      <c r="K1522" s="1"/>
      <c r="N1522" s="1"/>
      <c r="T1522" s="1"/>
      <c r="W1522" s="1"/>
    </row>
    <row r="1523" spans="2:23" x14ac:dyDescent="0.35">
      <c r="B1523" s="1"/>
      <c r="K1523" s="1"/>
      <c r="N1523" s="1"/>
      <c r="T1523" s="1"/>
      <c r="W1523" s="1"/>
    </row>
    <row r="1524" spans="2:23" x14ac:dyDescent="0.35">
      <c r="B1524" s="1"/>
      <c r="K1524" s="1"/>
      <c r="N1524" s="1"/>
      <c r="T1524" s="1"/>
      <c r="W1524" s="1"/>
    </row>
    <row r="1525" spans="2:23" x14ac:dyDescent="0.35">
      <c r="B1525" s="1"/>
      <c r="K1525" s="1"/>
      <c r="N1525" s="1"/>
      <c r="T1525" s="1"/>
      <c r="W1525" s="1"/>
    </row>
    <row r="1526" spans="2:23" x14ac:dyDescent="0.35">
      <c r="B1526" s="1"/>
      <c r="K1526" s="1"/>
      <c r="N1526" s="1"/>
      <c r="T1526" s="1"/>
      <c r="W1526" s="1"/>
    </row>
    <row r="1527" spans="2:23" x14ac:dyDescent="0.35">
      <c r="B1527" s="1"/>
      <c r="K1527" s="1"/>
      <c r="N1527" s="1"/>
      <c r="T1527" s="1"/>
      <c r="W1527" s="1"/>
    </row>
    <row r="1528" spans="2:23" x14ac:dyDescent="0.35">
      <c r="B1528" s="1"/>
      <c r="K1528" s="1"/>
      <c r="N1528" s="1"/>
      <c r="T1528" s="1"/>
      <c r="W1528" s="1"/>
    </row>
    <row r="1529" spans="2:23" x14ac:dyDescent="0.35">
      <c r="B1529" s="1"/>
      <c r="K1529" s="1"/>
      <c r="N1529" s="1"/>
      <c r="T1529" s="1"/>
      <c r="W1529" s="1"/>
    </row>
    <row r="1530" spans="2:23" x14ac:dyDescent="0.35">
      <c r="B1530" s="1"/>
      <c r="K1530" s="1"/>
      <c r="N1530" s="1"/>
      <c r="T1530" s="1"/>
      <c r="W1530" s="1"/>
    </row>
    <row r="1531" spans="2:23" x14ac:dyDescent="0.35">
      <c r="B1531" s="1"/>
      <c r="K1531" s="1"/>
      <c r="N1531" s="1"/>
      <c r="T1531" s="1"/>
      <c r="W1531" s="1"/>
    </row>
    <row r="1532" spans="2:23" x14ac:dyDescent="0.35">
      <c r="B1532" s="1"/>
      <c r="K1532" s="1"/>
      <c r="N1532" s="1"/>
      <c r="T1532" s="1"/>
      <c r="W1532" s="1"/>
    </row>
    <row r="1533" spans="2:23" x14ac:dyDescent="0.35">
      <c r="B1533" s="1"/>
      <c r="K1533" s="1"/>
      <c r="N1533" s="1"/>
      <c r="T1533" s="1"/>
      <c r="W1533" s="1"/>
    </row>
    <row r="1534" spans="2:23" x14ac:dyDescent="0.35">
      <c r="B1534" s="1"/>
      <c r="K1534" s="1"/>
      <c r="N1534" s="1"/>
      <c r="T1534" s="1"/>
      <c r="W1534" s="1"/>
    </row>
    <row r="1535" spans="2:23" x14ac:dyDescent="0.35">
      <c r="B1535" s="1"/>
      <c r="K1535" s="1"/>
      <c r="N1535" s="1"/>
      <c r="T1535" s="1"/>
      <c r="W1535" s="1"/>
    </row>
    <row r="1536" spans="2:23" x14ac:dyDescent="0.35">
      <c r="B1536" s="1"/>
      <c r="K1536" s="1"/>
      <c r="N1536" s="1"/>
      <c r="T1536" s="1"/>
      <c r="W1536" s="1"/>
    </row>
    <row r="1537" spans="2:23" x14ac:dyDescent="0.35">
      <c r="B1537" s="1"/>
      <c r="K1537" s="1"/>
      <c r="N1537" s="1"/>
      <c r="T1537" s="1"/>
      <c r="W1537" s="1"/>
    </row>
    <row r="1538" spans="2:23" x14ac:dyDescent="0.35">
      <c r="B1538" s="1"/>
      <c r="K1538" s="1"/>
      <c r="N1538" s="1"/>
      <c r="T1538" s="1"/>
      <c r="W1538" s="1"/>
    </row>
    <row r="1539" spans="2:23" x14ac:dyDescent="0.35">
      <c r="B1539" s="1"/>
      <c r="K1539" s="1"/>
      <c r="N1539" s="1"/>
      <c r="T1539" s="1"/>
      <c r="W1539" s="1"/>
    </row>
    <row r="1540" spans="2:23" x14ac:dyDescent="0.35">
      <c r="B1540" s="1"/>
      <c r="K1540" s="1"/>
      <c r="N1540" s="1"/>
      <c r="T1540" s="1"/>
      <c r="W1540" s="1"/>
    </row>
    <row r="1541" spans="2:23" x14ac:dyDescent="0.35">
      <c r="B1541" s="1"/>
      <c r="K1541" s="1"/>
      <c r="N1541" s="1"/>
      <c r="T1541" s="1"/>
      <c r="W1541" s="1"/>
    </row>
    <row r="1542" spans="2:23" x14ac:dyDescent="0.35">
      <c r="B1542" s="1"/>
      <c r="K1542" s="1"/>
      <c r="N1542" s="1"/>
      <c r="T1542" s="1"/>
      <c r="W1542" s="1"/>
    </row>
    <row r="1543" spans="2:23" x14ac:dyDescent="0.35">
      <c r="B1543" s="1"/>
      <c r="K1543" s="1"/>
      <c r="N1543" s="1"/>
      <c r="T1543" s="1"/>
      <c r="W1543" s="1"/>
    </row>
    <row r="1544" spans="2:23" x14ac:dyDescent="0.35">
      <c r="B1544" s="1"/>
      <c r="K1544" s="1"/>
      <c r="N1544" s="1"/>
      <c r="T1544" s="1"/>
      <c r="W1544" s="1"/>
    </row>
    <row r="1545" spans="2:23" x14ac:dyDescent="0.35">
      <c r="B1545" s="1"/>
      <c r="K1545" s="1"/>
      <c r="N1545" s="1"/>
      <c r="T1545" s="1"/>
      <c r="W1545" s="1"/>
    </row>
    <row r="1546" spans="2:23" x14ac:dyDescent="0.35">
      <c r="B1546" s="1"/>
      <c r="K1546" s="1"/>
      <c r="N1546" s="1"/>
      <c r="T1546" s="1"/>
      <c r="W1546" s="1"/>
    </row>
    <row r="1547" spans="2:23" x14ac:dyDescent="0.35">
      <c r="B1547" s="1"/>
      <c r="K1547" s="1"/>
      <c r="N1547" s="1"/>
      <c r="T1547" s="1"/>
      <c r="W1547" s="1"/>
    </row>
    <row r="1548" spans="2:23" x14ac:dyDescent="0.35">
      <c r="B1548" s="1"/>
      <c r="K1548" s="1"/>
      <c r="N1548" s="1"/>
      <c r="T1548" s="1"/>
      <c r="W1548" s="1"/>
    </row>
    <row r="1549" spans="2:23" x14ac:dyDescent="0.35">
      <c r="B1549" s="1"/>
      <c r="K1549" s="1"/>
      <c r="N1549" s="1"/>
      <c r="T1549" s="1"/>
      <c r="W1549" s="1"/>
    </row>
    <row r="1550" spans="2:23" x14ac:dyDescent="0.35">
      <c r="B1550" s="1"/>
      <c r="K1550" s="1"/>
      <c r="N1550" s="1"/>
      <c r="T1550" s="1"/>
      <c r="W1550" s="1"/>
    </row>
    <row r="1551" spans="2:23" x14ac:dyDescent="0.35">
      <c r="B1551" s="1"/>
      <c r="K1551" s="1"/>
      <c r="N1551" s="1"/>
      <c r="T1551" s="1"/>
      <c r="W1551" s="1"/>
    </row>
    <row r="1552" spans="2:23" x14ac:dyDescent="0.35">
      <c r="B1552" s="1"/>
      <c r="K1552" s="1"/>
      <c r="N1552" s="1"/>
      <c r="T1552" s="1"/>
      <c r="W1552" s="1"/>
    </row>
    <row r="1553" spans="2:23" x14ac:dyDescent="0.35">
      <c r="B1553" s="1"/>
      <c r="K1553" s="1"/>
      <c r="N1553" s="1"/>
      <c r="T1553" s="1"/>
      <c r="W1553" s="1"/>
    </row>
    <row r="1554" spans="2:23" x14ac:dyDescent="0.35">
      <c r="B1554" s="1"/>
      <c r="K1554" s="1"/>
      <c r="N1554" s="1"/>
      <c r="T1554" s="1"/>
      <c r="W1554" s="1"/>
    </row>
    <row r="1555" spans="2:23" x14ac:dyDescent="0.35">
      <c r="B1555" s="1"/>
      <c r="K1555" s="1"/>
      <c r="N1555" s="1"/>
      <c r="T1555" s="1"/>
      <c r="W1555" s="1"/>
    </row>
    <row r="1556" spans="2:23" x14ac:dyDescent="0.35">
      <c r="B1556" s="1"/>
      <c r="K1556" s="1"/>
      <c r="N1556" s="1"/>
      <c r="T1556" s="1"/>
      <c r="W1556" s="1"/>
    </row>
    <row r="1557" spans="2:23" x14ac:dyDescent="0.35">
      <c r="B1557" s="1"/>
      <c r="K1557" s="1"/>
      <c r="N1557" s="1"/>
      <c r="T1557" s="1"/>
      <c r="W1557" s="1"/>
    </row>
    <row r="1558" spans="2:23" x14ac:dyDescent="0.35">
      <c r="B1558" s="1"/>
      <c r="K1558" s="1"/>
      <c r="N1558" s="1"/>
      <c r="T1558" s="1"/>
      <c r="W1558" s="1"/>
    </row>
    <row r="1559" spans="2:23" x14ac:dyDescent="0.35">
      <c r="B1559" s="1"/>
      <c r="K1559" s="1"/>
      <c r="N1559" s="1"/>
      <c r="T1559" s="1"/>
      <c r="W1559" s="1"/>
    </row>
    <row r="1560" spans="2:23" x14ac:dyDescent="0.35">
      <c r="B1560" s="1"/>
      <c r="K1560" s="1"/>
      <c r="N1560" s="1"/>
      <c r="T1560" s="1"/>
      <c r="W1560" s="1"/>
    </row>
    <row r="1561" spans="2:23" x14ac:dyDescent="0.35">
      <c r="B1561" s="1"/>
      <c r="K1561" s="1"/>
      <c r="N1561" s="1"/>
      <c r="T1561" s="1"/>
      <c r="W1561" s="1"/>
    </row>
    <row r="1562" spans="2:23" x14ac:dyDescent="0.35">
      <c r="B1562" s="1"/>
      <c r="K1562" s="1"/>
      <c r="N1562" s="1"/>
      <c r="T1562" s="1"/>
      <c r="W1562" s="1"/>
    </row>
    <row r="1563" spans="2:23" x14ac:dyDescent="0.35">
      <c r="B1563" s="1"/>
      <c r="K1563" s="1"/>
      <c r="N1563" s="1"/>
      <c r="T1563" s="1"/>
      <c r="W1563" s="1"/>
    </row>
    <row r="1564" spans="2:23" x14ac:dyDescent="0.35">
      <c r="B1564" s="1"/>
      <c r="K1564" s="1"/>
      <c r="N1564" s="1"/>
      <c r="T1564" s="1"/>
      <c r="W1564" s="1"/>
    </row>
    <row r="1565" spans="2:23" x14ac:dyDescent="0.35">
      <c r="B1565" s="1"/>
      <c r="K1565" s="1"/>
      <c r="N1565" s="1"/>
      <c r="T1565" s="1"/>
      <c r="W1565" s="1"/>
    </row>
    <row r="1566" spans="2:23" x14ac:dyDescent="0.35">
      <c r="B1566" s="1"/>
      <c r="K1566" s="1"/>
      <c r="N1566" s="1"/>
      <c r="T1566" s="1"/>
      <c r="W1566" s="1"/>
    </row>
    <row r="1567" spans="2:23" x14ac:dyDescent="0.35">
      <c r="B1567" s="1"/>
      <c r="K1567" s="1"/>
      <c r="N1567" s="1"/>
      <c r="T1567" s="1"/>
      <c r="W1567" s="1"/>
    </row>
    <row r="1568" spans="2:23" x14ac:dyDescent="0.35">
      <c r="B1568" s="1"/>
      <c r="K1568" s="1"/>
      <c r="N1568" s="1"/>
      <c r="T1568" s="1"/>
      <c r="W1568" s="1"/>
    </row>
    <row r="1569" spans="2:23" x14ac:dyDescent="0.35">
      <c r="B1569" s="1"/>
      <c r="K1569" s="1"/>
      <c r="N1569" s="1"/>
      <c r="T1569" s="1"/>
      <c r="W1569" s="1"/>
    </row>
    <row r="1570" spans="2:23" x14ac:dyDescent="0.35">
      <c r="B1570" s="1"/>
      <c r="K1570" s="1"/>
      <c r="N1570" s="1"/>
      <c r="T1570" s="1"/>
      <c r="W1570" s="1"/>
    </row>
    <row r="1571" spans="2:23" x14ac:dyDescent="0.35">
      <c r="B1571" s="1"/>
      <c r="K1571" s="1"/>
      <c r="N1571" s="1"/>
      <c r="T1571" s="1"/>
      <c r="W1571" s="1"/>
    </row>
    <row r="1572" spans="2:23" x14ac:dyDescent="0.35">
      <c r="B1572" s="1"/>
      <c r="K1572" s="1"/>
      <c r="N1572" s="1"/>
      <c r="T1572" s="1"/>
      <c r="W1572" s="1"/>
    </row>
    <row r="1573" spans="2:23" x14ac:dyDescent="0.35">
      <c r="B1573" s="1"/>
      <c r="K1573" s="1"/>
      <c r="N1573" s="1"/>
      <c r="T1573" s="1"/>
      <c r="W1573" s="1"/>
    </row>
    <row r="1574" spans="2:23" x14ac:dyDescent="0.35">
      <c r="B1574" s="1"/>
      <c r="K1574" s="1"/>
      <c r="N1574" s="1"/>
      <c r="T1574" s="1"/>
      <c r="W1574" s="1"/>
    </row>
    <row r="1575" spans="2:23" x14ac:dyDescent="0.35">
      <c r="B1575" s="1"/>
      <c r="K1575" s="1"/>
      <c r="N1575" s="1"/>
      <c r="T1575" s="1"/>
      <c r="W1575" s="1"/>
    </row>
    <row r="1576" spans="2:23" x14ac:dyDescent="0.35">
      <c r="B1576" s="1"/>
      <c r="K1576" s="1"/>
      <c r="N1576" s="1"/>
      <c r="T1576" s="1"/>
      <c r="W1576" s="1"/>
    </row>
    <row r="1577" spans="2:23" x14ac:dyDescent="0.35">
      <c r="B1577" s="1"/>
      <c r="K1577" s="1"/>
      <c r="N1577" s="1"/>
      <c r="T1577" s="1"/>
      <c r="W1577" s="1"/>
    </row>
    <row r="1578" spans="2:23" x14ac:dyDescent="0.35">
      <c r="B1578" s="1"/>
      <c r="K1578" s="1"/>
      <c r="N1578" s="1"/>
      <c r="T1578" s="1"/>
      <c r="W1578" s="1"/>
    </row>
    <row r="1579" spans="2:23" x14ac:dyDescent="0.35">
      <c r="B1579" s="1"/>
      <c r="K1579" s="1"/>
      <c r="N1579" s="1"/>
      <c r="T1579" s="1"/>
      <c r="W1579" s="1"/>
    </row>
    <row r="1580" spans="2:23" x14ac:dyDescent="0.35">
      <c r="B1580" s="1"/>
      <c r="K1580" s="1"/>
      <c r="N1580" s="1"/>
      <c r="T1580" s="1"/>
      <c r="W1580" s="1"/>
    </row>
    <row r="1581" spans="2:23" x14ac:dyDescent="0.35">
      <c r="B1581" s="1"/>
      <c r="K1581" s="1"/>
      <c r="N1581" s="1"/>
      <c r="T1581" s="1"/>
      <c r="W1581" s="1"/>
    </row>
    <row r="1582" spans="2:23" x14ac:dyDescent="0.35">
      <c r="B1582" s="1"/>
      <c r="K1582" s="1"/>
      <c r="N1582" s="1"/>
      <c r="T1582" s="1"/>
      <c r="W1582" s="1"/>
    </row>
    <row r="1583" spans="2:23" x14ac:dyDescent="0.35">
      <c r="B1583" s="1"/>
      <c r="K1583" s="1"/>
      <c r="N1583" s="1"/>
      <c r="T1583" s="1"/>
      <c r="W1583" s="1"/>
    </row>
    <row r="1584" spans="2:23" x14ac:dyDescent="0.35">
      <c r="B1584" s="1"/>
      <c r="K1584" s="1"/>
      <c r="N1584" s="1"/>
      <c r="T1584" s="1"/>
      <c r="W1584" s="1"/>
    </row>
    <row r="1585" spans="2:23" x14ac:dyDescent="0.35">
      <c r="B1585" s="1"/>
      <c r="K1585" s="1"/>
      <c r="N1585" s="1"/>
      <c r="T1585" s="1"/>
      <c r="W1585" s="1"/>
    </row>
    <row r="1586" spans="2:23" x14ac:dyDescent="0.35">
      <c r="B1586" s="1"/>
      <c r="K1586" s="1"/>
      <c r="N1586" s="1"/>
      <c r="T1586" s="1"/>
      <c r="W1586" s="1"/>
    </row>
    <row r="1587" spans="2:23" x14ac:dyDescent="0.35">
      <c r="B1587" s="1"/>
      <c r="K1587" s="1"/>
      <c r="N1587" s="1"/>
      <c r="T1587" s="1"/>
      <c r="W1587" s="1"/>
    </row>
    <row r="1588" spans="2:23" x14ac:dyDescent="0.35">
      <c r="B1588" s="1"/>
      <c r="K1588" s="1"/>
      <c r="N1588" s="1"/>
      <c r="T1588" s="1"/>
      <c r="W1588" s="1"/>
    </row>
    <row r="1589" spans="2:23" x14ac:dyDescent="0.35">
      <c r="B1589" s="1"/>
      <c r="K1589" s="1"/>
      <c r="N1589" s="1"/>
      <c r="T1589" s="1"/>
      <c r="W1589" s="1"/>
    </row>
    <row r="1590" spans="2:23" x14ac:dyDescent="0.35">
      <c r="B1590" s="1"/>
      <c r="K1590" s="1"/>
      <c r="N1590" s="1"/>
      <c r="T1590" s="1"/>
      <c r="W1590" s="1"/>
    </row>
    <row r="1591" spans="2:23" x14ac:dyDescent="0.35">
      <c r="B1591" s="1"/>
      <c r="K1591" s="1"/>
      <c r="N1591" s="1"/>
      <c r="T1591" s="1"/>
      <c r="W1591" s="1"/>
    </row>
    <row r="1592" spans="2:23" x14ac:dyDescent="0.35">
      <c r="B1592" s="1"/>
      <c r="K1592" s="1"/>
      <c r="N1592" s="1"/>
      <c r="T1592" s="1"/>
      <c r="W1592" s="1"/>
    </row>
    <row r="1593" spans="2:23" x14ac:dyDescent="0.35">
      <c r="B1593" s="1"/>
      <c r="K1593" s="1"/>
      <c r="N1593" s="1"/>
      <c r="T1593" s="1"/>
      <c r="W1593" s="1"/>
    </row>
    <row r="1594" spans="2:23" x14ac:dyDescent="0.35">
      <c r="B1594" s="1"/>
      <c r="K1594" s="1"/>
      <c r="N1594" s="1"/>
      <c r="T1594" s="1"/>
      <c r="W1594" s="1"/>
    </row>
    <row r="1595" spans="2:23" x14ac:dyDescent="0.35">
      <c r="B1595" s="1"/>
      <c r="K1595" s="1"/>
      <c r="N1595" s="1"/>
      <c r="T1595" s="1"/>
      <c r="W1595" s="1"/>
    </row>
    <row r="1596" spans="2:23" x14ac:dyDescent="0.35">
      <c r="B1596" s="1"/>
      <c r="K1596" s="1"/>
      <c r="N1596" s="1"/>
      <c r="T1596" s="1"/>
      <c r="W1596" s="1"/>
    </row>
    <row r="1597" spans="2:23" x14ac:dyDescent="0.35">
      <c r="B1597" s="1"/>
      <c r="K1597" s="1"/>
      <c r="N1597" s="1"/>
      <c r="T1597" s="1"/>
      <c r="W1597" s="1"/>
    </row>
    <row r="1598" spans="2:23" x14ac:dyDescent="0.35">
      <c r="B1598" s="1"/>
      <c r="K1598" s="1"/>
      <c r="N1598" s="1"/>
      <c r="T1598" s="1"/>
      <c r="W1598" s="1"/>
    </row>
    <row r="1599" spans="2:23" x14ac:dyDescent="0.35">
      <c r="B1599" s="1"/>
      <c r="K1599" s="1"/>
      <c r="N1599" s="1"/>
      <c r="T1599" s="1"/>
      <c r="W1599" s="1"/>
    </row>
    <row r="1600" spans="2:23" x14ac:dyDescent="0.35">
      <c r="B1600" s="1"/>
      <c r="K1600" s="1"/>
      <c r="N1600" s="1"/>
      <c r="T1600" s="1"/>
      <c r="W1600" s="1"/>
    </row>
    <row r="1601" spans="2:23" x14ac:dyDescent="0.35">
      <c r="B1601" s="1"/>
      <c r="K1601" s="1"/>
      <c r="N1601" s="1"/>
      <c r="T1601" s="1"/>
      <c r="W1601" s="1"/>
    </row>
    <row r="1602" spans="2:23" x14ac:dyDescent="0.35">
      <c r="B1602" s="1"/>
      <c r="K1602" s="1"/>
      <c r="N1602" s="1"/>
      <c r="T1602" s="1"/>
      <c r="W1602" s="1"/>
    </row>
    <row r="1603" spans="2:23" x14ac:dyDescent="0.35">
      <c r="B1603" s="1"/>
      <c r="K1603" s="1"/>
      <c r="N1603" s="1"/>
      <c r="T1603" s="1"/>
      <c r="W1603" s="1"/>
    </row>
    <row r="1604" spans="2:23" x14ac:dyDescent="0.35">
      <c r="B1604" s="1"/>
      <c r="K1604" s="1"/>
      <c r="N1604" s="1"/>
      <c r="T1604" s="1"/>
      <c r="W1604" s="1"/>
    </row>
    <row r="1605" spans="2:23" x14ac:dyDescent="0.35">
      <c r="B1605" s="1"/>
      <c r="K1605" s="1"/>
      <c r="N1605" s="1"/>
      <c r="T1605" s="1"/>
      <c r="W1605" s="1"/>
    </row>
    <row r="1606" spans="2:23" x14ac:dyDescent="0.35">
      <c r="B1606" s="1"/>
      <c r="K1606" s="1"/>
      <c r="N1606" s="1"/>
      <c r="T1606" s="1"/>
      <c r="W1606" s="1"/>
    </row>
    <row r="1607" spans="2:23" x14ac:dyDescent="0.35">
      <c r="B1607" s="1"/>
      <c r="K1607" s="1"/>
      <c r="N1607" s="1"/>
      <c r="T1607" s="1"/>
      <c r="W1607" s="1"/>
    </row>
    <row r="1608" spans="2:23" x14ac:dyDescent="0.35">
      <c r="B1608" s="1"/>
      <c r="K1608" s="1"/>
      <c r="N1608" s="1"/>
      <c r="T1608" s="1"/>
      <c r="W1608" s="1"/>
    </row>
    <row r="1609" spans="2:23" x14ac:dyDescent="0.35">
      <c r="B1609" s="1"/>
      <c r="K1609" s="1"/>
      <c r="N1609" s="1"/>
      <c r="T1609" s="1"/>
      <c r="W1609" s="1"/>
    </row>
    <row r="1610" spans="2:23" x14ac:dyDescent="0.35">
      <c r="B1610" s="1"/>
      <c r="K1610" s="1"/>
      <c r="N1610" s="1"/>
      <c r="T1610" s="1"/>
      <c r="W1610" s="1"/>
    </row>
    <row r="1611" spans="2:23" x14ac:dyDescent="0.35">
      <c r="B1611" s="1"/>
      <c r="K1611" s="1"/>
      <c r="N1611" s="1"/>
      <c r="T1611" s="1"/>
      <c r="W1611" s="1"/>
    </row>
    <row r="1612" spans="2:23" x14ac:dyDescent="0.35">
      <c r="B1612" s="1"/>
      <c r="K1612" s="1"/>
      <c r="N1612" s="1"/>
      <c r="T1612" s="1"/>
      <c r="W1612" s="1"/>
    </row>
    <row r="1613" spans="2:23" x14ac:dyDescent="0.35">
      <c r="B1613" s="1"/>
      <c r="K1613" s="1"/>
      <c r="N1613" s="1"/>
      <c r="T1613" s="1"/>
      <c r="W1613" s="1"/>
    </row>
    <row r="1614" spans="2:23" x14ac:dyDescent="0.35">
      <c r="B1614" s="1"/>
      <c r="K1614" s="1"/>
      <c r="N1614" s="1"/>
      <c r="T1614" s="1"/>
      <c r="W1614" s="1"/>
    </row>
    <row r="1615" spans="2:23" x14ac:dyDescent="0.35">
      <c r="B1615" s="1"/>
      <c r="K1615" s="1"/>
      <c r="N1615" s="1"/>
      <c r="T1615" s="1"/>
      <c r="W1615" s="1"/>
    </row>
    <row r="1616" spans="2:23" x14ac:dyDescent="0.35">
      <c r="B1616" s="1"/>
      <c r="K1616" s="1"/>
      <c r="N1616" s="1"/>
      <c r="T1616" s="1"/>
      <c r="W1616" s="1"/>
    </row>
    <row r="1617" spans="2:23" x14ac:dyDescent="0.35">
      <c r="B1617" s="1"/>
      <c r="K1617" s="1"/>
      <c r="N1617" s="1"/>
      <c r="T1617" s="1"/>
      <c r="W1617" s="1"/>
    </row>
    <row r="1618" spans="2:23" x14ac:dyDescent="0.35">
      <c r="B1618" s="1"/>
      <c r="K1618" s="1"/>
      <c r="N1618" s="1"/>
      <c r="T1618" s="1"/>
      <c r="W1618" s="1"/>
    </row>
    <row r="1619" spans="2:23" x14ac:dyDescent="0.35">
      <c r="B1619" s="1"/>
      <c r="K1619" s="1"/>
      <c r="N1619" s="1"/>
      <c r="T1619" s="1"/>
      <c r="W1619" s="1"/>
    </row>
    <row r="1620" spans="2:23" x14ac:dyDescent="0.35">
      <c r="B1620" s="1"/>
      <c r="K1620" s="1"/>
      <c r="N1620" s="1"/>
      <c r="T1620" s="1"/>
      <c r="W1620" s="1"/>
    </row>
    <row r="1621" spans="2:23" x14ac:dyDescent="0.35">
      <c r="B1621" s="1"/>
      <c r="K1621" s="1"/>
      <c r="N1621" s="1"/>
      <c r="T1621" s="1"/>
      <c r="W1621" s="1"/>
    </row>
    <row r="1622" spans="2:23" x14ac:dyDescent="0.35">
      <c r="B1622" s="1"/>
      <c r="K1622" s="1"/>
      <c r="N1622" s="1"/>
      <c r="T1622" s="1"/>
      <c r="W1622" s="1"/>
    </row>
    <row r="1623" spans="2:23" x14ac:dyDescent="0.35">
      <c r="B1623" s="1"/>
      <c r="K1623" s="1"/>
      <c r="N1623" s="1"/>
      <c r="T1623" s="1"/>
      <c r="W1623" s="1"/>
    </row>
    <row r="1624" spans="2:23" x14ac:dyDescent="0.35">
      <c r="B1624" s="1"/>
      <c r="K1624" s="1"/>
      <c r="N1624" s="1"/>
      <c r="T1624" s="1"/>
      <c r="W1624" s="1"/>
    </row>
    <row r="1625" spans="2:23" x14ac:dyDescent="0.35">
      <c r="B1625" s="1"/>
      <c r="K1625" s="1"/>
      <c r="N1625" s="1"/>
      <c r="T1625" s="1"/>
      <c r="W1625" s="1"/>
    </row>
    <row r="1626" spans="2:23" x14ac:dyDescent="0.35">
      <c r="B1626" s="1"/>
      <c r="K1626" s="1"/>
      <c r="N1626" s="1"/>
      <c r="T1626" s="1"/>
      <c r="W1626" s="1"/>
    </row>
    <row r="1627" spans="2:23" x14ac:dyDescent="0.35">
      <c r="B1627" s="1"/>
      <c r="K1627" s="1"/>
      <c r="N1627" s="1"/>
      <c r="T1627" s="1"/>
      <c r="W1627" s="1"/>
    </row>
    <row r="1628" spans="2:23" x14ac:dyDescent="0.35">
      <c r="B1628" s="1"/>
      <c r="K1628" s="1"/>
      <c r="N1628" s="1"/>
      <c r="T1628" s="1"/>
      <c r="W1628" s="1"/>
    </row>
    <row r="1629" spans="2:23" x14ac:dyDescent="0.35">
      <c r="B1629" s="1"/>
      <c r="K1629" s="1"/>
      <c r="N1629" s="1"/>
      <c r="T1629" s="1"/>
      <c r="W1629" s="1"/>
    </row>
    <row r="1630" spans="2:23" x14ac:dyDescent="0.35">
      <c r="B1630" s="1"/>
      <c r="K1630" s="1"/>
      <c r="N1630" s="1"/>
      <c r="T1630" s="1"/>
      <c r="W1630" s="1"/>
    </row>
    <row r="1631" spans="2:23" x14ac:dyDescent="0.35">
      <c r="B1631" s="1"/>
      <c r="K1631" s="1"/>
      <c r="N1631" s="1"/>
      <c r="T1631" s="1"/>
      <c r="W1631" s="1"/>
    </row>
    <row r="1632" spans="2:23" x14ac:dyDescent="0.35">
      <c r="B1632" s="1"/>
      <c r="K1632" s="1"/>
      <c r="N1632" s="1"/>
      <c r="T1632" s="1"/>
      <c r="W1632" s="1"/>
    </row>
    <row r="1633" spans="2:23" x14ac:dyDescent="0.35">
      <c r="B1633" s="1"/>
      <c r="K1633" s="1"/>
      <c r="N1633" s="1"/>
      <c r="T1633" s="1"/>
      <c r="W1633" s="1"/>
    </row>
    <row r="1634" spans="2:23" x14ac:dyDescent="0.35">
      <c r="B1634" s="1"/>
      <c r="K1634" s="1"/>
      <c r="N1634" s="1"/>
      <c r="T1634" s="1"/>
      <c r="W1634" s="1"/>
    </row>
    <row r="1635" spans="2:23" x14ac:dyDescent="0.35">
      <c r="B1635" s="1"/>
      <c r="K1635" s="1"/>
      <c r="N1635" s="1"/>
      <c r="T1635" s="1"/>
      <c r="W1635" s="1"/>
    </row>
    <row r="1636" spans="2:23" x14ac:dyDescent="0.35">
      <c r="B1636" s="1"/>
      <c r="K1636" s="1"/>
      <c r="N1636" s="1"/>
      <c r="T1636" s="1"/>
      <c r="W1636" s="1"/>
    </row>
    <row r="1637" spans="2:23" x14ac:dyDescent="0.35">
      <c r="B1637" s="1"/>
      <c r="K1637" s="1"/>
      <c r="N1637" s="1"/>
      <c r="T1637" s="1"/>
      <c r="W1637" s="1"/>
    </row>
    <row r="1638" spans="2:23" x14ac:dyDescent="0.35">
      <c r="B1638" s="1"/>
      <c r="K1638" s="1"/>
      <c r="N1638" s="1"/>
      <c r="T1638" s="1"/>
      <c r="W1638" s="1"/>
    </row>
    <row r="1639" spans="2:23" x14ac:dyDescent="0.35">
      <c r="B1639" s="1"/>
      <c r="K1639" s="1"/>
      <c r="N1639" s="1"/>
      <c r="T1639" s="1"/>
      <c r="W1639" s="1"/>
    </row>
    <row r="1640" spans="2:23" x14ac:dyDescent="0.35">
      <c r="B1640" s="1"/>
      <c r="K1640" s="1"/>
      <c r="N1640" s="1"/>
      <c r="T1640" s="1"/>
      <c r="W1640" s="1"/>
    </row>
    <row r="1641" spans="2:23" x14ac:dyDescent="0.35">
      <c r="B1641" s="1"/>
      <c r="K1641" s="1"/>
      <c r="N1641" s="1"/>
      <c r="T1641" s="1"/>
      <c r="W1641" s="1"/>
    </row>
    <row r="1642" spans="2:23" x14ac:dyDescent="0.35">
      <c r="B1642" s="1"/>
      <c r="K1642" s="1"/>
      <c r="N1642" s="1"/>
      <c r="T1642" s="1"/>
      <c r="W1642" s="1"/>
    </row>
    <row r="1643" spans="2:23" x14ac:dyDescent="0.35">
      <c r="B1643" s="1"/>
      <c r="K1643" s="1"/>
      <c r="N1643" s="1"/>
      <c r="T1643" s="1"/>
      <c r="W1643" s="1"/>
    </row>
    <row r="1644" spans="2:23" x14ac:dyDescent="0.35">
      <c r="B1644" s="1"/>
      <c r="K1644" s="1"/>
      <c r="N1644" s="1"/>
      <c r="T1644" s="1"/>
      <c r="W1644" s="1"/>
    </row>
    <row r="1645" spans="2:23" x14ac:dyDescent="0.35">
      <c r="B1645" s="1"/>
      <c r="K1645" s="1"/>
      <c r="N1645" s="1"/>
      <c r="T1645" s="1"/>
      <c r="W1645" s="1"/>
    </row>
    <row r="1646" spans="2:23" x14ac:dyDescent="0.35">
      <c r="B1646" s="1"/>
      <c r="K1646" s="1"/>
      <c r="N1646" s="1"/>
      <c r="T1646" s="1"/>
      <c r="W1646" s="1"/>
    </row>
    <row r="1647" spans="2:23" x14ac:dyDescent="0.35">
      <c r="B1647" s="1"/>
      <c r="K1647" s="1"/>
      <c r="N1647" s="1"/>
      <c r="T1647" s="1"/>
      <c r="W1647" s="1"/>
    </row>
    <row r="1648" spans="2:23" x14ac:dyDescent="0.35">
      <c r="B1648" s="1"/>
      <c r="K1648" s="1"/>
      <c r="N1648" s="1"/>
      <c r="T1648" s="1"/>
      <c r="W1648" s="1"/>
    </row>
    <row r="1649" spans="2:23" x14ac:dyDescent="0.35">
      <c r="B1649" s="1"/>
      <c r="K1649" s="1"/>
      <c r="N1649" s="1"/>
      <c r="T1649" s="1"/>
      <c r="W1649" s="1"/>
    </row>
    <row r="1650" spans="2:23" x14ac:dyDescent="0.35">
      <c r="B1650" s="1"/>
      <c r="K1650" s="1"/>
      <c r="N1650" s="1"/>
      <c r="T1650" s="1"/>
      <c r="W1650" s="1"/>
    </row>
    <row r="1651" spans="2:23" x14ac:dyDescent="0.35">
      <c r="B1651" s="1"/>
      <c r="K1651" s="1"/>
      <c r="N1651" s="1"/>
      <c r="T1651" s="1"/>
      <c r="W1651" s="1"/>
    </row>
    <row r="1652" spans="2:23" x14ac:dyDescent="0.35">
      <c r="B1652" s="1"/>
      <c r="K1652" s="1"/>
      <c r="N1652" s="1"/>
      <c r="T1652" s="1"/>
      <c r="W1652" s="1"/>
    </row>
    <row r="1653" spans="2:23" x14ac:dyDescent="0.35">
      <c r="B1653" s="1"/>
      <c r="K1653" s="1"/>
      <c r="N1653" s="1"/>
      <c r="T1653" s="1"/>
      <c r="W1653" s="1"/>
    </row>
    <row r="1654" spans="2:23" x14ac:dyDescent="0.35">
      <c r="B1654" s="1"/>
      <c r="K1654" s="1"/>
      <c r="N1654" s="1"/>
      <c r="T1654" s="1"/>
      <c r="W1654" s="1"/>
    </row>
    <row r="1655" spans="2:23" x14ac:dyDescent="0.35">
      <c r="B1655" s="1"/>
      <c r="K1655" s="1"/>
      <c r="N1655" s="1"/>
      <c r="T1655" s="1"/>
      <c r="W1655" s="1"/>
    </row>
    <row r="1656" spans="2:23" x14ac:dyDescent="0.35">
      <c r="B1656" s="1"/>
      <c r="K1656" s="1"/>
      <c r="N1656" s="1"/>
      <c r="T1656" s="1"/>
      <c r="W1656" s="1"/>
    </row>
    <row r="1657" spans="2:23" x14ac:dyDescent="0.35">
      <c r="B1657" s="1"/>
      <c r="K1657" s="1"/>
      <c r="N1657" s="1"/>
      <c r="T1657" s="1"/>
      <c r="W1657" s="1"/>
    </row>
    <row r="1658" spans="2:23" x14ac:dyDescent="0.35">
      <c r="B1658" s="1"/>
      <c r="K1658" s="1"/>
      <c r="N1658" s="1"/>
      <c r="T1658" s="1"/>
      <c r="W1658" s="1"/>
    </row>
    <row r="1659" spans="2:23" x14ac:dyDescent="0.35">
      <c r="B1659" s="1"/>
      <c r="K1659" s="1"/>
      <c r="N1659" s="1"/>
      <c r="T1659" s="1"/>
      <c r="W1659" s="1"/>
    </row>
    <row r="1660" spans="2:23" x14ac:dyDescent="0.35">
      <c r="B1660" s="1"/>
      <c r="K1660" s="1"/>
      <c r="N1660" s="1"/>
      <c r="T1660" s="1"/>
      <c r="W1660" s="1"/>
    </row>
    <row r="1661" spans="2:23" x14ac:dyDescent="0.35">
      <c r="B1661" s="1"/>
      <c r="K1661" s="1"/>
      <c r="N1661" s="1"/>
      <c r="T1661" s="1"/>
      <c r="W1661" s="1"/>
    </row>
    <row r="1662" spans="2:23" x14ac:dyDescent="0.35">
      <c r="B1662" s="1"/>
      <c r="K1662" s="1"/>
      <c r="N1662" s="1"/>
      <c r="T1662" s="1"/>
      <c r="W1662" s="1"/>
    </row>
    <row r="1663" spans="2:23" x14ac:dyDescent="0.35">
      <c r="B1663" s="1"/>
      <c r="K1663" s="1"/>
      <c r="N1663" s="1"/>
      <c r="T1663" s="1"/>
      <c r="W1663" s="1"/>
    </row>
    <row r="1664" spans="2:23" x14ac:dyDescent="0.35">
      <c r="B1664" s="1"/>
      <c r="K1664" s="1"/>
      <c r="N1664" s="1"/>
      <c r="T1664" s="1"/>
      <c r="W1664" s="1"/>
    </row>
    <row r="1665" spans="2:23" x14ac:dyDescent="0.35">
      <c r="B1665" s="1"/>
      <c r="K1665" s="1"/>
      <c r="N1665" s="1"/>
      <c r="T1665" s="1"/>
      <c r="W1665" s="1"/>
    </row>
    <row r="1666" spans="2:23" x14ac:dyDescent="0.35">
      <c r="B1666" s="1"/>
      <c r="K1666" s="1"/>
      <c r="N1666" s="1"/>
      <c r="T1666" s="1"/>
      <c r="W1666" s="1"/>
    </row>
    <row r="1667" spans="2:23" x14ac:dyDescent="0.35">
      <c r="B1667" s="1"/>
      <c r="K1667" s="1"/>
      <c r="N1667" s="1"/>
      <c r="T1667" s="1"/>
      <c r="W1667" s="1"/>
    </row>
    <row r="1668" spans="2:23" x14ac:dyDescent="0.35">
      <c r="B1668" s="1"/>
      <c r="K1668" s="1"/>
      <c r="N1668" s="1"/>
      <c r="T1668" s="1"/>
      <c r="W1668" s="1"/>
    </row>
    <row r="1669" spans="2:23" x14ac:dyDescent="0.35">
      <c r="B1669" s="1"/>
      <c r="K1669" s="1"/>
      <c r="N1669" s="1"/>
      <c r="T1669" s="1"/>
      <c r="W1669" s="1"/>
    </row>
    <row r="1670" spans="2:23" x14ac:dyDescent="0.35">
      <c r="B1670" s="1"/>
      <c r="K1670" s="1"/>
      <c r="N1670" s="1"/>
      <c r="T1670" s="1"/>
      <c r="W1670" s="1"/>
    </row>
    <row r="1671" spans="2:23" x14ac:dyDescent="0.35">
      <c r="B1671" s="1"/>
      <c r="K1671" s="1"/>
      <c r="N1671" s="1"/>
      <c r="T1671" s="1"/>
      <c r="W1671" s="1"/>
    </row>
    <row r="1672" spans="2:23" x14ac:dyDescent="0.35">
      <c r="B1672" s="1"/>
      <c r="K1672" s="1"/>
      <c r="N1672" s="1"/>
      <c r="T1672" s="1"/>
      <c r="W1672" s="1"/>
    </row>
    <row r="1673" spans="2:23" x14ac:dyDescent="0.35">
      <c r="B1673" s="1"/>
      <c r="K1673" s="1"/>
      <c r="N1673" s="1"/>
      <c r="T1673" s="1"/>
      <c r="W1673" s="1"/>
    </row>
    <row r="1674" spans="2:23" x14ac:dyDescent="0.35">
      <c r="B1674" s="1"/>
      <c r="K1674" s="1"/>
      <c r="N1674" s="1"/>
      <c r="T1674" s="1"/>
      <c r="W1674" s="1"/>
    </row>
    <row r="1675" spans="2:23" x14ac:dyDescent="0.35">
      <c r="B1675" s="1"/>
      <c r="K1675" s="1"/>
      <c r="N1675" s="1"/>
      <c r="T1675" s="1"/>
      <c r="W1675" s="1"/>
    </row>
    <row r="1676" spans="2:23" x14ac:dyDescent="0.35">
      <c r="B1676" s="1"/>
      <c r="K1676" s="1"/>
      <c r="N1676" s="1"/>
      <c r="T1676" s="1"/>
      <c r="W1676" s="1"/>
    </row>
    <row r="1677" spans="2:23" x14ac:dyDescent="0.35">
      <c r="B1677" s="1"/>
      <c r="K1677" s="1"/>
      <c r="N1677" s="1"/>
      <c r="T1677" s="1"/>
      <c r="W1677" s="1"/>
    </row>
    <row r="1678" spans="2:23" x14ac:dyDescent="0.35">
      <c r="B1678" s="1"/>
      <c r="K1678" s="1"/>
      <c r="N1678" s="1"/>
      <c r="T1678" s="1"/>
      <c r="W1678" s="1"/>
    </row>
    <row r="1679" spans="2:23" x14ac:dyDescent="0.35">
      <c r="B1679" s="1"/>
      <c r="K1679" s="1"/>
      <c r="N1679" s="1"/>
      <c r="T1679" s="1"/>
      <c r="W1679" s="1"/>
    </row>
    <row r="1680" spans="2:23" x14ac:dyDescent="0.35">
      <c r="B1680" s="1"/>
      <c r="K1680" s="1"/>
      <c r="N1680" s="1"/>
      <c r="T1680" s="1"/>
      <c r="W1680" s="1"/>
    </row>
    <row r="1681" spans="2:23" x14ac:dyDescent="0.35">
      <c r="B1681" s="1"/>
      <c r="K1681" s="1"/>
      <c r="N1681" s="1"/>
      <c r="T1681" s="1"/>
      <c r="W1681" s="1"/>
    </row>
    <row r="1682" spans="2:23" x14ac:dyDescent="0.35">
      <c r="B1682" s="1"/>
      <c r="K1682" s="1"/>
      <c r="N1682" s="1"/>
      <c r="T1682" s="1"/>
      <c r="W1682" s="1"/>
    </row>
    <row r="1683" spans="2:23" x14ac:dyDescent="0.35">
      <c r="B1683" s="1"/>
      <c r="K1683" s="1"/>
      <c r="N1683" s="1"/>
      <c r="T1683" s="1"/>
      <c r="W1683" s="1"/>
    </row>
    <row r="1684" spans="2:23" x14ac:dyDescent="0.35">
      <c r="B1684" s="1"/>
      <c r="K1684" s="1"/>
      <c r="N1684" s="1"/>
      <c r="T1684" s="1"/>
      <c r="W1684" s="1"/>
    </row>
    <row r="1685" spans="2:23" x14ac:dyDescent="0.35">
      <c r="B1685" s="1"/>
      <c r="K1685" s="1"/>
      <c r="N1685" s="1"/>
      <c r="T1685" s="1"/>
      <c r="W1685" s="1"/>
    </row>
    <row r="1686" spans="2:23" x14ac:dyDescent="0.35">
      <c r="B1686" s="1"/>
      <c r="K1686" s="1"/>
      <c r="N1686" s="1"/>
      <c r="T1686" s="1"/>
      <c r="W1686" s="1"/>
    </row>
    <row r="1687" spans="2:23" x14ac:dyDescent="0.35">
      <c r="B1687" s="1"/>
      <c r="K1687" s="1"/>
      <c r="N1687" s="1"/>
      <c r="T1687" s="1"/>
      <c r="W1687" s="1"/>
    </row>
    <row r="1688" spans="2:23" x14ac:dyDescent="0.35">
      <c r="B1688" s="1"/>
      <c r="K1688" s="1"/>
      <c r="N1688" s="1"/>
      <c r="T1688" s="1"/>
      <c r="W1688" s="1"/>
    </row>
    <row r="1689" spans="2:23" x14ac:dyDescent="0.35">
      <c r="B1689" s="1"/>
      <c r="K1689" s="1"/>
      <c r="N1689" s="1"/>
      <c r="T1689" s="1"/>
      <c r="W1689" s="1"/>
    </row>
    <row r="1690" spans="2:23" x14ac:dyDescent="0.35">
      <c r="B1690" s="1"/>
      <c r="K1690" s="1"/>
      <c r="N1690" s="1"/>
      <c r="T1690" s="1"/>
      <c r="W1690" s="1"/>
    </row>
    <row r="1691" spans="2:23" x14ac:dyDescent="0.35">
      <c r="B1691" s="1"/>
      <c r="K1691" s="1"/>
      <c r="N1691" s="1"/>
      <c r="T1691" s="1"/>
      <c r="W1691" s="1"/>
    </row>
    <row r="1692" spans="2:23" x14ac:dyDescent="0.35">
      <c r="B1692" s="1"/>
      <c r="K1692" s="1"/>
      <c r="N1692" s="1"/>
      <c r="T1692" s="1"/>
      <c r="W1692" s="1"/>
    </row>
    <row r="1693" spans="2:23" x14ac:dyDescent="0.35">
      <c r="B1693" s="1"/>
      <c r="K1693" s="1"/>
      <c r="N1693" s="1"/>
      <c r="T1693" s="1"/>
      <c r="W1693" s="1"/>
    </row>
    <row r="1694" spans="2:23" x14ac:dyDescent="0.35">
      <c r="B1694" s="1"/>
      <c r="K1694" s="1"/>
      <c r="N1694" s="1"/>
      <c r="T1694" s="1"/>
      <c r="W1694" s="1"/>
    </row>
    <row r="1695" spans="2:23" x14ac:dyDescent="0.35">
      <c r="B1695" s="1"/>
      <c r="K1695" s="1"/>
      <c r="N1695" s="1"/>
      <c r="T1695" s="1"/>
      <c r="W1695" s="1"/>
    </row>
    <row r="1696" spans="2:23" x14ac:dyDescent="0.35">
      <c r="B1696" s="1"/>
      <c r="K1696" s="1"/>
      <c r="N1696" s="1"/>
      <c r="T1696" s="1"/>
      <c r="W1696" s="1"/>
    </row>
    <row r="1697" spans="2:23" x14ac:dyDescent="0.35">
      <c r="B1697" s="1"/>
      <c r="K1697" s="1"/>
      <c r="N1697" s="1"/>
      <c r="T1697" s="1"/>
      <c r="W1697" s="1"/>
    </row>
    <row r="1698" spans="2:23" x14ac:dyDescent="0.35">
      <c r="B1698" s="1"/>
      <c r="K1698" s="1"/>
      <c r="N1698" s="1"/>
      <c r="T1698" s="1"/>
      <c r="W1698" s="1"/>
    </row>
    <row r="1699" spans="2:23" x14ac:dyDescent="0.35">
      <c r="B1699" s="1"/>
      <c r="K1699" s="1"/>
      <c r="N1699" s="1"/>
      <c r="T1699" s="1"/>
      <c r="W1699" s="1"/>
    </row>
    <row r="1700" spans="2:23" x14ac:dyDescent="0.35">
      <c r="B1700" s="1"/>
      <c r="K1700" s="1"/>
      <c r="N1700" s="1"/>
      <c r="T1700" s="1"/>
      <c r="W1700" s="1"/>
    </row>
    <row r="1701" spans="2:23" x14ac:dyDescent="0.35">
      <c r="B1701" s="1"/>
      <c r="K1701" s="1"/>
      <c r="T1701" s="1"/>
      <c r="W1701" s="1"/>
    </row>
    <row r="1702" spans="2:23" x14ac:dyDescent="0.35">
      <c r="B1702" s="1"/>
      <c r="K1702" s="1"/>
      <c r="T1702" s="1"/>
    </row>
    <row r="1703" spans="2:23" x14ac:dyDescent="0.35">
      <c r="B1703" s="1"/>
      <c r="K1703" s="1"/>
    </row>
    <row r="1704" spans="2:23" x14ac:dyDescent="0.35">
      <c r="K1704" s="1"/>
    </row>
    <row r="1705" spans="2:23" x14ac:dyDescent="0.35">
      <c r="K1705" s="1"/>
    </row>
    <row r="1706" spans="2:23" x14ac:dyDescent="0.35">
      <c r="K1706" s="1"/>
    </row>
    <row r="1707" spans="2:23" x14ac:dyDescent="0.35">
      <c r="K1707" s="1"/>
    </row>
    <row r="1708" spans="2:23" x14ac:dyDescent="0.35">
      <c r="K1708" s="1"/>
    </row>
    <row r="1709" spans="2:23" x14ac:dyDescent="0.35">
      <c r="K1709" s="1"/>
    </row>
    <row r="1710" spans="2:23" x14ac:dyDescent="0.35">
      <c r="K1710" s="1"/>
    </row>
    <row r="1711" spans="2:23" x14ac:dyDescent="0.35">
      <c r="K1711" s="1"/>
    </row>
    <row r="1712" spans="2:23" x14ac:dyDescent="0.35">
      <c r="K1712" s="1"/>
    </row>
    <row r="1713" spans="11:11" x14ac:dyDescent="0.35">
      <c r="K1713" s="1"/>
    </row>
    <row r="1714" spans="11:11" x14ac:dyDescent="0.35">
      <c r="K1714" s="1"/>
    </row>
    <row r="1715" spans="11:11" x14ac:dyDescent="0.35">
      <c r="K1715" s="1"/>
    </row>
    <row r="1716" spans="11:11" x14ac:dyDescent="0.35">
      <c r="K1716" s="1"/>
    </row>
    <row r="1717" spans="11:11" x14ac:dyDescent="0.35">
      <c r="K1717" s="1"/>
    </row>
    <row r="1718" spans="11:11" x14ac:dyDescent="0.35">
      <c r="K1718" s="1"/>
    </row>
    <row r="1719" spans="11:11" x14ac:dyDescent="0.35">
      <c r="K1719" s="1"/>
    </row>
    <row r="1720" spans="11:11" x14ac:dyDescent="0.35">
      <c r="K1720" s="1"/>
    </row>
    <row r="1721" spans="11:11" x14ac:dyDescent="0.35">
      <c r="K1721" s="1"/>
    </row>
    <row r="1722" spans="11:11" x14ac:dyDescent="0.35">
      <c r="K1722" s="1"/>
    </row>
    <row r="1723" spans="11:11" x14ac:dyDescent="0.35">
      <c r="K1723" s="1"/>
    </row>
    <row r="1724" spans="11:11" x14ac:dyDescent="0.35">
      <c r="K1724" s="1"/>
    </row>
    <row r="1725" spans="11:11" x14ac:dyDescent="0.35">
      <c r="K1725" s="1"/>
    </row>
    <row r="1726" spans="11:11" x14ac:dyDescent="0.35">
      <c r="K1726" s="1"/>
    </row>
    <row r="1727" spans="11:11" x14ac:dyDescent="0.35">
      <c r="K1727" s="1"/>
    </row>
    <row r="1728" spans="11:11" x14ac:dyDescent="0.35">
      <c r="K1728" s="1"/>
    </row>
    <row r="1729" spans="11:11" x14ac:dyDescent="0.35">
      <c r="K1729" s="1"/>
    </row>
    <row r="1730" spans="11:11" x14ac:dyDescent="0.35">
      <c r="K1730" s="1"/>
    </row>
    <row r="1731" spans="11:11" x14ac:dyDescent="0.35">
      <c r="K1731" s="1"/>
    </row>
    <row r="1732" spans="11:11" x14ac:dyDescent="0.35">
      <c r="K1732" s="1"/>
    </row>
    <row r="1733" spans="11:11" x14ac:dyDescent="0.35">
      <c r="K1733" s="1"/>
    </row>
    <row r="1734" spans="11:11" x14ac:dyDescent="0.35">
      <c r="K1734" s="1"/>
    </row>
    <row r="1735" spans="11:11" x14ac:dyDescent="0.35">
      <c r="K1735" s="1"/>
    </row>
    <row r="1736" spans="11:11" x14ac:dyDescent="0.35">
      <c r="K1736" s="1"/>
    </row>
    <row r="1737" spans="11:11" x14ac:dyDescent="0.35">
      <c r="K1737" s="1"/>
    </row>
    <row r="1738" spans="11:11" x14ac:dyDescent="0.35">
      <c r="K1738" s="1"/>
    </row>
    <row r="1739" spans="11:11" x14ac:dyDescent="0.35">
      <c r="K1739" s="1"/>
    </row>
    <row r="1740" spans="11:11" x14ac:dyDescent="0.35">
      <c r="K1740" s="1"/>
    </row>
    <row r="1741" spans="11:11" x14ac:dyDescent="0.35">
      <c r="K1741" s="1"/>
    </row>
    <row r="1742" spans="11:11" x14ac:dyDescent="0.35">
      <c r="K1742" s="1"/>
    </row>
    <row r="1743" spans="11:11" x14ac:dyDescent="0.35">
      <c r="K1743" s="1"/>
    </row>
    <row r="1744" spans="11:11" x14ac:dyDescent="0.35">
      <c r="K1744" s="1"/>
    </row>
    <row r="1745" spans="11:11" x14ac:dyDescent="0.35">
      <c r="K1745" s="1"/>
    </row>
    <row r="1746" spans="11:11" x14ac:dyDescent="0.35">
      <c r="K1746" s="1"/>
    </row>
    <row r="1747" spans="11:11" x14ac:dyDescent="0.35">
      <c r="K1747" s="1"/>
    </row>
    <row r="1748" spans="11:11" x14ac:dyDescent="0.35">
      <c r="K1748" s="1"/>
    </row>
    <row r="1749" spans="11:11" x14ac:dyDescent="0.35">
      <c r="K1749" s="1"/>
    </row>
    <row r="1750" spans="11:11" x14ac:dyDescent="0.35">
      <c r="K1750" s="1"/>
    </row>
    <row r="1751" spans="11:11" x14ac:dyDescent="0.35">
      <c r="K1751" s="1"/>
    </row>
    <row r="1752" spans="11:11" x14ac:dyDescent="0.35">
      <c r="K1752" s="1"/>
    </row>
    <row r="1753" spans="11:11" x14ac:dyDescent="0.35">
      <c r="K1753" s="1"/>
    </row>
    <row r="1754" spans="11:11" x14ac:dyDescent="0.35">
      <c r="K1754" s="1"/>
    </row>
    <row r="1755" spans="11:11" x14ac:dyDescent="0.35">
      <c r="K1755" s="1"/>
    </row>
    <row r="1756" spans="11:11" x14ac:dyDescent="0.35">
      <c r="K1756" s="1"/>
    </row>
    <row r="1757" spans="11:11" x14ac:dyDescent="0.35">
      <c r="K1757" s="1"/>
    </row>
    <row r="1758" spans="11:11" x14ac:dyDescent="0.35">
      <c r="K1758" s="1"/>
    </row>
    <row r="1759" spans="11:11" x14ac:dyDescent="0.35">
      <c r="K1759" s="1"/>
    </row>
    <row r="1760" spans="11:11" x14ac:dyDescent="0.35">
      <c r="K1760" s="1"/>
    </row>
    <row r="1761" spans="11:11" x14ac:dyDescent="0.35">
      <c r="K1761" s="1"/>
    </row>
    <row r="1762" spans="11:11" x14ac:dyDescent="0.35">
      <c r="K1762" s="1"/>
    </row>
    <row r="1763" spans="11:11" x14ac:dyDescent="0.35">
      <c r="K1763" s="1"/>
    </row>
    <row r="1764" spans="11:11" x14ac:dyDescent="0.35">
      <c r="K1764" s="1"/>
    </row>
    <row r="1765" spans="11:11" x14ac:dyDescent="0.35">
      <c r="K1765" s="1"/>
    </row>
    <row r="1766" spans="11:11" x14ac:dyDescent="0.35">
      <c r="K1766" s="1"/>
    </row>
    <row r="1767" spans="11:11" x14ac:dyDescent="0.35">
      <c r="K1767" s="1"/>
    </row>
    <row r="1768" spans="11:11" x14ac:dyDescent="0.35">
      <c r="K1768" s="1"/>
    </row>
    <row r="1769" spans="11:11" x14ac:dyDescent="0.35">
      <c r="K1769" s="1"/>
    </row>
    <row r="1770" spans="11:11" x14ac:dyDescent="0.35">
      <c r="K1770" s="1"/>
    </row>
    <row r="1771" spans="11:11" x14ac:dyDescent="0.35">
      <c r="K1771" s="1"/>
    </row>
    <row r="1772" spans="11:11" x14ac:dyDescent="0.35">
      <c r="K1772" s="1"/>
    </row>
    <row r="1773" spans="11:11" x14ac:dyDescent="0.35">
      <c r="K1773" s="1"/>
    </row>
    <row r="1774" spans="11:11" x14ac:dyDescent="0.35">
      <c r="K1774" s="1"/>
    </row>
    <row r="1775" spans="11:11" x14ac:dyDescent="0.35">
      <c r="K1775" s="1"/>
    </row>
    <row r="1776" spans="11:11" x14ac:dyDescent="0.35">
      <c r="K1776" s="1"/>
    </row>
    <row r="1777" spans="11:11" x14ac:dyDescent="0.35">
      <c r="K1777" s="1"/>
    </row>
    <row r="1778" spans="11:11" x14ac:dyDescent="0.35">
      <c r="K1778" s="1"/>
    </row>
    <row r="1779" spans="11:11" x14ac:dyDescent="0.35">
      <c r="K1779" s="1"/>
    </row>
    <row r="1780" spans="11:11" x14ac:dyDescent="0.35">
      <c r="K1780" s="1"/>
    </row>
    <row r="1781" spans="11:11" x14ac:dyDescent="0.35">
      <c r="K1781" s="1"/>
    </row>
    <row r="1782" spans="11:11" x14ac:dyDescent="0.35">
      <c r="K1782" s="1"/>
    </row>
    <row r="1783" spans="11:11" x14ac:dyDescent="0.35">
      <c r="K1783" s="1"/>
    </row>
    <row r="1784" spans="11:11" x14ac:dyDescent="0.35">
      <c r="K1784" s="1"/>
    </row>
    <row r="1785" spans="11:11" x14ac:dyDescent="0.35">
      <c r="K1785" s="1"/>
    </row>
    <row r="1786" spans="11:11" x14ac:dyDescent="0.35">
      <c r="K1786" s="1"/>
    </row>
    <row r="1787" spans="11:11" x14ac:dyDescent="0.35">
      <c r="K1787" s="1"/>
    </row>
    <row r="1788" spans="11:11" x14ac:dyDescent="0.35">
      <c r="K1788" s="1"/>
    </row>
    <row r="1789" spans="11:11" x14ac:dyDescent="0.35">
      <c r="K1789" s="1"/>
    </row>
    <row r="1790" spans="11:11" x14ac:dyDescent="0.35">
      <c r="K1790" s="1"/>
    </row>
    <row r="1791" spans="11:11" x14ac:dyDescent="0.35">
      <c r="K1791" s="1"/>
    </row>
    <row r="1792" spans="11:11" x14ac:dyDescent="0.35">
      <c r="K1792" s="1"/>
    </row>
    <row r="1793" spans="11:11" x14ac:dyDescent="0.35">
      <c r="K1793" s="1"/>
    </row>
    <row r="1794" spans="11:11" x14ac:dyDescent="0.35">
      <c r="K1794" s="1"/>
    </row>
    <row r="1795" spans="11:11" x14ac:dyDescent="0.35">
      <c r="K1795" s="1"/>
    </row>
    <row r="1796" spans="11:11" x14ac:dyDescent="0.35">
      <c r="K1796" s="1"/>
    </row>
    <row r="1797" spans="11:11" x14ac:dyDescent="0.35">
      <c r="K1797" s="1"/>
    </row>
    <row r="1798" spans="11:11" x14ac:dyDescent="0.35">
      <c r="K1798" s="1"/>
    </row>
    <row r="1799" spans="11:11" x14ac:dyDescent="0.35">
      <c r="K1799" s="1"/>
    </row>
    <row r="1800" spans="11:11" x14ac:dyDescent="0.35">
      <c r="K1800" s="1"/>
    </row>
    <row r="1801" spans="11:11" x14ac:dyDescent="0.35">
      <c r="K1801" s="1"/>
    </row>
    <row r="1802" spans="11:11" x14ac:dyDescent="0.35">
      <c r="K1802" s="1"/>
    </row>
    <row r="1803" spans="11:11" x14ac:dyDescent="0.35">
      <c r="K1803" s="1"/>
    </row>
    <row r="1804" spans="11:11" x14ac:dyDescent="0.35">
      <c r="K1804" s="1"/>
    </row>
    <row r="1805" spans="11:11" x14ac:dyDescent="0.35">
      <c r="K1805" s="1"/>
    </row>
    <row r="1806" spans="11:11" x14ac:dyDescent="0.35">
      <c r="K1806" s="1"/>
    </row>
    <row r="1807" spans="11:11" x14ac:dyDescent="0.35">
      <c r="K1807" s="1"/>
    </row>
    <row r="1808" spans="11:11" x14ac:dyDescent="0.35">
      <c r="K1808" s="1"/>
    </row>
    <row r="1809" spans="11:11" x14ac:dyDescent="0.35">
      <c r="K1809" s="1"/>
    </row>
    <row r="1810" spans="11:11" x14ac:dyDescent="0.35">
      <c r="K1810" s="1"/>
    </row>
    <row r="1811" spans="11:11" x14ac:dyDescent="0.35">
      <c r="K1811" s="1"/>
    </row>
    <row r="1812" spans="11:11" x14ac:dyDescent="0.35">
      <c r="K1812" s="1"/>
    </row>
    <row r="1813" spans="11:11" x14ac:dyDescent="0.35">
      <c r="K1813" s="1"/>
    </row>
    <row r="1814" spans="11:11" x14ac:dyDescent="0.35">
      <c r="K1814" s="1"/>
    </row>
    <row r="1815" spans="11:11" x14ac:dyDescent="0.35">
      <c r="K1815" s="1"/>
    </row>
    <row r="1816" spans="11:11" x14ac:dyDescent="0.35">
      <c r="K1816" s="1"/>
    </row>
    <row r="1817" spans="11:11" x14ac:dyDescent="0.35">
      <c r="K1817" s="1"/>
    </row>
    <row r="1818" spans="11:11" x14ac:dyDescent="0.35">
      <c r="K1818" s="1"/>
    </row>
    <row r="1819" spans="11:11" x14ac:dyDescent="0.35">
      <c r="K1819" s="1"/>
    </row>
    <row r="1820" spans="11:11" x14ac:dyDescent="0.35">
      <c r="K1820" s="1"/>
    </row>
    <row r="1821" spans="11:11" x14ac:dyDescent="0.35">
      <c r="K1821" s="1"/>
    </row>
    <row r="1822" spans="11:11" x14ac:dyDescent="0.35">
      <c r="K1822" s="1"/>
    </row>
    <row r="1823" spans="11:11" x14ac:dyDescent="0.35">
      <c r="K1823" s="1"/>
    </row>
    <row r="1824" spans="11:11" x14ac:dyDescent="0.35">
      <c r="K1824" s="1"/>
    </row>
    <row r="1825" spans="11:11" x14ac:dyDescent="0.35">
      <c r="K1825" s="1"/>
    </row>
    <row r="1826" spans="11:11" x14ac:dyDescent="0.35">
      <c r="K1826" s="1"/>
    </row>
    <row r="1827" spans="11:11" x14ac:dyDescent="0.35">
      <c r="K1827" s="1"/>
    </row>
    <row r="1828" spans="11:11" x14ac:dyDescent="0.35">
      <c r="K1828" s="1"/>
    </row>
    <row r="1829" spans="11:11" x14ac:dyDescent="0.35">
      <c r="K1829" s="1"/>
    </row>
    <row r="1830" spans="11:11" x14ac:dyDescent="0.35">
      <c r="K1830" s="1"/>
    </row>
    <row r="1831" spans="11:11" x14ac:dyDescent="0.35">
      <c r="K1831" s="1"/>
    </row>
    <row r="1832" spans="11:11" x14ac:dyDescent="0.35">
      <c r="K1832" s="1"/>
    </row>
    <row r="1833" spans="11:11" x14ac:dyDescent="0.35">
      <c r="K1833" s="1"/>
    </row>
    <row r="1834" spans="11:11" x14ac:dyDescent="0.35">
      <c r="K1834" s="1"/>
    </row>
    <row r="1835" spans="11:11" x14ac:dyDescent="0.35">
      <c r="K1835" s="1"/>
    </row>
    <row r="1836" spans="11:11" x14ac:dyDescent="0.35">
      <c r="K1836" s="1"/>
    </row>
    <row r="1837" spans="11:11" x14ac:dyDescent="0.35">
      <c r="K1837" s="1"/>
    </row>
    <row r="1838" spans="11:11" x14ac:dyDescent="0.35">
      <c r="K1838" s="1"/>
    </row>
    <row r="1839" spans="11:11" x14ac:dyDescent="0.35">
      <c r="K1839" s="1"/>
    </row>
    <row r="1840" spans="11:11" x14ac:dyDescent="0.35">
      <c r="K1840" s="1"/>
    </row>
    <row r="1841" spans="11:11" x14ac:dyDescent="0.35">
      <c r="K1841" s="1"/>
    </row>
    <row r="1842" spans="11:11" x14ac:dyDescent="0.35">
      <c r="K1842" s="1"/>
    </row>
    <row r="1843" spans="11:11" x14ac:dyDescent="0.35">
      <c r="K1843" s="1"/>
    </row>
    <row r="1844" spans="11:11" x14ac:dyDescent="0.35">
      <c r="K1844" s="1"/>
    </row>
    <row r="1845" spans="11:11" x14ac:dyDescent="0.35">
      <c r="K1845" s="1"/>
    </row>
    <row r="1846" spans="11:11" x14ac:dyDescent="0.35">
      <c r="K1846" s="1"/>
    </row>
    <row r="1847" spans="11:11" x14ac:dyDescent="0.35">
      <c r="K1847" s="1"/>
    </row>
    <row r="1848" spans="11:11" x14ac:dyDescent="0.35">
      <c r="K1848" s="1"/>
    </row>
    <row r="1849" spans="11:11" x14ac:dyDescent="0.35">
      <c r="K1849" s="1"/>
    </row>
    <row r="1850" spans="11:11" x14ac:dyDescent="0.35">
      <c r="K1850" s="1"/>
    </row>
    <row r="1851" spans="11:11" x14ac:dyDescent="0.35">
      <c r="K1851" s="1"/>
    </row>
    <row r="1852" spans="11:11" x14ac:dyDescent="0.35">
      <c r="K1852" s="1"/>
    </row>
    <row r="1853" spans="11:11" x14ac:dyDescent="0.35">
      <c r="K1853" s="1"/>
    </row>
    <row r="1854" spans="11:11" x14ac:dyDescent="0.35">
      <c r="K1854" s="1"/>
    </row>
    <row r="1855" spans="11:11" x14ac:dyDescent="0.35">
      <c r="K1855" s="1"/>
    </row>
    <row r="1856" spans="11:11" x14ac:dyDescent="0.35">
      <c r="K1856" s="1"/>
    </row>
    <row r="1857" spans="11:11" x14ac:dyDescent="0.35">
      <c r="K1857" s="1"/>
    </row>
    <row r="1858" spans="11:11" x14ac:dyDescent="0.35">
      <c r="K1858" s="1"/>
    </row>
    <row r="1859" spans="11:11" x14ac:dyDescent="0.35">
      <c r="K1859" s="1"/>
    </row>
    <row r="1860" spans="11:11" x14ac:dyDescent="0.35">
      <c r="K1860" s="1"/>
    </row>
    <row r="1861" spans="11:11" x14ac:dyDescent="0.35">
      <c r="K1861" s="1"/>
    </row>
    <row r="1862" spans="11:11" x14ac:dyDescent="0.35">
      <c r="K1862" s="1"/>
    </row>
    <row r="1863" spans="11:11" x14ac:dyDescent="0.35">
      <c r="K1863" s="1"/>
    </row>
    <row r="1864" spans="11:11" x14ac:dyDescent="0.35">
      <c r="K1864" s="1"/>
    </row>
    <row r="1865" spans="11:11" x14ac:dyDescent="0.35">
      <c r="K1865" s="1"/>
    </row>
    <row r="1866" spans="11:11" x14ac:dyDescent="0.35">
      <c r="K1866" s="1"/>
    </row>
    <row r="1867" spans="11:11" x14ac:dyDescent="0.35">
      <c r="K1867" s="1"/>
    </row>
    <row r="1868" spans="11:11" x14ac:dyDescent="0.35">
      <c r="K1868" s="1"/>
    </row>
    <row r="1869" spans="11:11" x14ac:dyDescent="0.35">
      <c r="K1869" s="1"/>
    </row>
    <row r="1870" spans="11:11" x14ac:dyDescent="0.35">
      <c r="K1870" s="1"/>
    </row>
    <row r="1871" spans="11:11" x14ac:dyDescent="0.35">
      <c r="K1871" s="1"/>
    </row>
    <row r="1872" spans="11:11" x14ac:dyDescent="0.35">
      <c r="K1872" s="1"/>
    </row>
    <row r="1873" spans="11:11" x14ac:dyDescent="0.35">
      <c r="K1873" s="1"/>
    </row>
    <row r="1874" spans="11:11" x14ac:dyDescent="0.35">
      <c r="K1874" s="1"/>
    </row>
    <row r="1875" spans="11:11" x14ac:dyDescent="0.35">
      <c r="K1875" s="1"/>
    </row>
    <row r="1876" spans="11:11" x14ac:dyDescent="0.35">
      <c r="K1876" s="1"/>
    </row>
    <row r="1877" spans="11:11" x14ac:dyDescent="0.35">
      <c r="K1877" s="1"/>
    </row>
    <row r="1878" spans="11:11" x14ac:dyDescent="0.35">
      <c r="K1878" s="1"/>
    </row>
    <row r="1879" spans="11:11" x14ac:dyDescent="0.35">
      <c r="K1879" s="1"/>
    </row>
    <row r="1880" spans="11:11" x14ac:dyDescent="0.35">
      <c r="K1880" s="1"/>
    </row>
    <row r="1881" spans="11:11" x14ac:dyDescent="0.35">
      <c r="K1881" s="1"/>
    </row>
    <row r="1882" spans="11:11" x14ac:dyDescent="0.35">
      <c r="K1882" s="1"/>
    </row>
    <row r="1883" spans="11:11" x14ac:dyDescent="0.35">
      <c r="K1883" s="1"/>
    </row>
    <row r="1884" spans="11:11" x14ac:dyDescent="0.35">
      <c r="K1884" s="1"/>
    </row>
    <row r="1885" spans="11:11" x14ac:dyDescent="0.35">
      <c r="K1885" s="1"/>
    </row>
    <row r="1886" spans="11:11" x14ac:dyDescent="0.35">
      <c r="K1886" s="1"/>
    </row>
    <row r="1887" spans="11:11" x14ac:dyDescent="0.35">
      <c r="K1887" s="1"/>
    </row>
    <row r="1888" spans="11:11" x14ac:dyDescent="0.35">
      <c r="K1888" s="1"/>
    </row>
    <row r="1889" spans="11:11" x14ac:dyDescent="0.35">
      <c r="K1889" s="1"/>
    </row>
    <row r="1890" spans="11:11" x14ac:dyDescent="0.35">
      <c r="K1890" s="1"/>
    </row>
    <row r="1891" spans="11:11" x14ac:dyDescent="0.35">
      <c r="K1891" s="1"/>
    </row>
    <row r="1892" spans="11:11" x14ac:dyDescent="0.35">
      <c r="K1892" s="1"/>
    </row>
    <row r="1893" spans="11:11" x14ac:dyDescent="0.35">
      <c r="K1893" s="1"/>
    </row>
    <row r="1894" spans="11:11" x14ac:dyDescent="0.35">
      <c r="K1894" s="1"/>
    </row>
    <row r="1895" spans="11:11" x14ac:dyDescent="0.35">
      <c r="K1895" s="1"/>
    </row>
    <row r="1896" spans="11:11" x14ac:dyDescent="0.35">
      <c r="K1896" s="1"/>
    </row>
    <row r="1897" spans="11:11" x14ac:dyDescent="0.35">
      <c r="K1897" s="1"/>
    </row>
    <row r="1898" spans="11:11" x14ac:dyDescent="0.35">
      <c r="K1898" s="1"/>
    </row>
    <row r="1899" spans="11:11" x14ac:dyDescent="0.35">
      <c r="K1899" s="1"/>
    </row>
    <row r="1900" spans="11:11" x14ac:dyDescent="0.35">
      <c r="K1900" s="1"/>
    </row>
    <row r="1901" spans="11:11" x14ac:dyDescent="0.35">
      <c r="K1901" s="1"/>
    </row>
    <row r="1902" spans="11:11" x14ac:dyDescent="0.35">
      <c r="K1902" s="1"/>
    </row>
    <row r="1903" spans="11:11" x14ac:dyDescent="0.35">
      <c r="K1903" s="1"/>
    </row>
    <row r="1904" spans="11:11" x14ac:dyDescent="0.35">
      <c r="K1904" s="1"/>
    </row>
    <row r="1905" spans="11:11" x14ac:dyDescent="0.35">
      <c r="K1905" s="1"/>
    </row>
    <row r="1906" spans="11:11" x14ac:dyDescent="0.35">
      <c r="K1906" s="1"/>
    </row>
    <row r="1907" spans="11:11" x14ac:dyDescent="0.35">
      <c r="K1907" s="1"/>
    </row>
    <row r="1908" spans="11:11" x14ac:dyDescent="0.35">
      <c r="K1908" s="1"/>
    </row>
    <row r="1909" spans="11:11" x14ac:dyDescent="0.35">
      <c r="K1909" s="1"/>
    </row>
    <row r="1910" spans="11:11" x14ac:dyDescent="0.35">
      <c r="K1910" s="1"/>
    </row>
    <row r="1911" spans="11:11" x14ac:dyDescent="0.35">
      <c r="K1911" s="1"/>
    </row>
    <row r="1912" spans="11:11" x14ac:dyDescent="0.35">
      <c r="K1912" s="1"/>
    </row>
    <row r="1913" spans="11:11" x14ac:dyDescent="0.35">
      <c r="K1913" s="1"/>
    </row>
    <row r="1914" spans="11:11" x14ac:dyDescent="0.35">
      <c r="K1914" s="1"/>
    </row>
    <row r="1915" spans="11:11" x14ac:dyDescent="0.35">
      <c r="K1915" s="1"/>
    </row>
    <row r="1916" spans="11:11" x14ac:dyDescent="0.35">
      <c r="K1916" s="1"/>
    </row>
    <row r="1917" spans="11:11" x14ac:dyDescent="0.35">
      <c r="K1917" s="1"/>
    </row>
    <row r="1918" spans="11:11" x14ac:dyDescent="0.35">
      <c r="K1918" s="1"/>
    </row>
    <row r="1919" spans="11:11" x14ac:dyDescent="0.35">
      <c r="K1919" s="1"/>
    </row>
    <row r="1920" spans="11:11" x14ac:dyDescent="0.35">
      <c r="K1920" s="1"/>
    </row>
    <row r="1921" spans="11:11" x14ac:dyDescent="0.35">
      <c r="K1921" s="1"/>
    </row>
    <row r="1922" spans="11:11" x14ac:dyDescent="0.35">
      <c r="K1922" s="1"/>
    </row>
    <row r="1923" spans="11:11" x14ac:dyDescent="0.35">
      <c r="K1923" s="1"/>
    </row>
    <row r="1924" spans="11:11" x14ac:dyDescent="0.35">
      <c r="K1924" s="1"/>
    </row>
    <row r="1925" spans="11:11" x14ac:dyDescent="0.35">
      <c r="K1925" s="1"/>
    </row>
    <row r="1926" spans="11:11" x14ac:dyDescent="0.35">
      <c r="K1926" s="1"/>
    </row>
    <row r="1927" spans="11:11" x14ac:dyDescent="0.35">
      <c r="K1927" s="1"/>
    </row>
    <row r="1928" spans="11:11" x14ac:dyDescent="0.35">
      <c r="K1928" s="1"/>
    </row>
    <row r="1929" spans="11:11" x14ac:dyDescent="0.35">
      <c r="K1929" s="1"/>
    </row>
    <row r="1930" spans="11:11" x14ac:dyDescent="0.35">
      <c r="K1930" s="1"/>
    </row>
    <row r="1931" spans="11:11" x14ac:dyDescent="0.35">
      <c r="K1931" s="1"/>
    </row>
    <row r="1932" spans="11:11" x14ac:dyDescent="0.35">
      <c r="K1932" s="1"/>
    </row>
    <row r="1933" spans="11:11" x14ac:dyDescent="0.35">
      <c r="K1933" s="1"/>
    </row>
    <row r="1934" spans="11:11" x14ac:dyDescent="0.35">
      <c r="K1934" s="1"/>
    </row>
    <row r="1935" spans="11:11" x14ac:dyDescent="0.35">
      <c r="K1935" s="1"/>
    </row>
    <row r="1936" spans="11:11" x14ac:dyDescent="0.35">
      <c r="K1936" s="1"/>
    </row>
    <row r="1937" spans="11:11" x14ac:dyDescent="0.35">
      <c r="K1937" s="1"/>
    </row>
    <row r="1938" spans="11:11" x14ac:dyDescent="0.35">
      <c r="K1938" s="1"/>
    </row>
    <row r="1939" spans="11:11" x14ac:dyDescent="0.35">
      <c r="K1939" s="1"/>
    </row>
    <row r="1940" spans="11:11" x14ac:dyDescent="0.35">
      <c r="K1940" s="1"/>
    </row>
    <row r="1941" spans="11:11" x14ac:dyDescent="0.35">
      <c r="K1941" s="1"/>
    </row>
    <row r="1942" spans="11:11" x14ac:dyDescent="0.35">
      <c r="K1942" s="1"/>
    </row>
    <row r="1943" spans="11:11" x14ac:dyDescent="0.35">
      <c r="K1943" s="1"/>
    </row>
    <row r="1944" spans="11:11" x14ac:dyDescent="0.35">
      <c r="K1944" s="1"/>
    </row>
    <row r="1945" spans="11:11" x14ac:dyDescent="0.35">
      <c r="K1945" s="1"/>
    </row>
    <row r="1946" spans="11:11" x14ac:dyDescent="0.35">
      <c r="K1946" s="1"/>
    </row>
    <row r="1947" spans="11:11" x14ac:dyDescent="0.35">
      <c r="K1947" s="1"/>
    </row>
    <row r="1948" spans="11:11" x14ac:dyDescent="0.35">
      <c r="K1948" s="1"/>
    </row>
    <row r="1949" spans="11:11" x14ac:dyDescent="0.35">
      <c r="K1949" s="1"/>
    </row>
    <row r="1950" spans="11:11" x14ac:dyDescent="0.35">
      <c r="K1950" s="1"/>
    </row>
    <row r="1951" spans="11:11" x14ac:dyDescent="0.35">
      <c r="K1951" s="1"/>
    </row>
    <row r="1952" spans="11:11" x14ac:dyDescent="0.35">
      <c r="K1952" s="1"/>
    </row>
    <row r="1953" spans="11:11" x14ac:dyDescent="0.35">
      <c r="K1953" s="1"/>
    </row>
    <row r="1954" spans="11:11" x14ac:dyDescent="0.35">
      <c r="K1954" s="1"/>
    </row>
    <row r="1955" spans="11:11" x14ac:dyDescent="0.35">
      <c r="K1955" s="1"/>
    </row>
    <row r="1956" spans="11:11" x14ac:dyDescent="0.35">
      <c r="K1956" s="1"/>
    </row>
    <row r="1957" spans="11:11" x14ac:dyDescent="0.35">
      <c r="K1957" s="1"/>
    </row>
    <row r="1958" spans="11:11" x14ac:dyDescent="0.35">
      <c r="K1958" s="1"/>
    </row>
    <row r="1959" spans="11:11" x14ac:dyDescent="0.35">
      <c r="K1959" s="1"/>
    </row>
    <row r="1960" spans="11:11" x14ac:dyDescent="0.35">
      <c r="K1960" s="1"/>
    </row>
    <row r="1961" spans="11:11" x14ac:dyDescent="0.35">
      <c r="K1961" s="1"/>
    </row>
    <row r="1962" spans="11:11" x14ac:dyDescent="0.35">
      <c r="K1962" s="1"/>
    </row>
    <row r="1963" spans="11:11" x14ac:dyDescent="0.35">
      <c r="K1963" s="1"/>
    </row>
    <row r="1964" spans="11:11" x14ac:dyDescent="0.35">
      <c r="K1964" s="1"/>
    </row>
    <row r="1965" spans="11:11" x14ac:dyDescent="0.35">
      <c r="K1965" s="1"/>
    </row>
    <row r="1966" spans="11:11" x14ac:dyDescent="0.35">
      <c r="K1966" s="1"/>
    </row>
    <row r="1967" spans="11:11" x14ac:dyDescent="0.35">
      <c r="K1967" s="1"/>
    </row>
    <row r="1968" spans="11:11" x14ac:dyDescent="0.35">
      <c r="K1968" s="1"/>
    </row>
    <row r="1969" spans="11:11" x14ac:dyDescent="0.35">
      <c r="K1969" s="1"/>
    </row>
    <row r="1970" spans="11:11" x14ac:dyDescent="0.35">
      <c r="K1970" s="1"/>
    </row>
    <row r="1971" spans="11:11" x14ac:dyDescent="0.35">
      <c r="K1971" s="1"/>
    </row>
    <row r="1972" spans="11:11" x14ac:dyDescent="0.35">
      <c r="K1972" s="1"/>
    </row>
    <row r="1973" spans="11:11" x14ac:dyDescent="0.35">
      <c r="K1973" s="1"/>
    </row>
    <row r="1974" spans="11:11" x14ac:dyDescent="0.35">
      <c r="K1974" s="1"/>
    </row>
    <row r="1975" spans="11:11" x14ac:dyDescent="0.35">
      <c r="K1975" s="1"/>
    </row>
    <row r="1976" spans="11:11" x14ac:dyDescent="0.35">
      <c r="K1976" s="1"/>
    </row>
    <row r="1977" spans="11:11" x14ac:dyDescent="0.35">
      <c r="K1977" s="1"/>
    </row>
    <row r="1978" spans="11:11" x14ac:dyDescent="0.35">
      <c r="K1978" s="1"/>
    </row>
    <row r="1979" spans="11:11" x14ac:dyDescent="0.35">
      <c r="K1979" s="1"/>
    </row>
    <row r="1980" spans="11:11" x14ac:dyDescent="0.35">
      <c r="K1980" s="1"/>
    </row>
    <row r="1981" spans="11:11" x14ac:dyDescent="0.35">
      <c r="K1981" s="1"/>
    </row>
    <row r="1982" spans="11:11" x14ac:dyDescent="0.35">
      <c r="K1982" s="1"/>
    </row>
    <row r="1983" spans="11:11" x14ac:dyDescent="0.35">
      <c r="K1983" s="1"/>
    </row>
    <row r="1984" spans="11:11" x14ac:dyDescent="0.35">
      <c r="K1984" s="1"/>
    </row>
    <row r="1985" spans="11:11" x14ac:dyDescent="0.35">
      <c r="K1985" s="1"/>
    </row>
    <row r="1986" spans="11:11" x14ac:dyDescent="0.35">
      <c r="K1986" s="1"/>
    </row>
    <row r="1987" spans="11:11" x14ac:dyDescent="0.35">
      <c r="K1987" s="1"/>
    </row>
    <row r="1988" spans="11:11" x14ac:dyDescent="0.35">
      <c r="K1988" s="1"/>
    </row>
    <row r="1989" spans="11:11" x14ac:dyDescent="0.35">
      <c r="K1989" s="1"/>
    </row>
    <row r="1990" spans="11:11" x14ac:dyDescent="0.35">
      <c r="K1990" s="1"/>
    </row>
    <row r="1991" spans="11:11" x14ac:dyDescent="0.35">
      <c r="K1991" s="1"/>
    </row>
    <row r="1992" spans="11:11" x14ac:dyDescent="0.35">
      <c r="K1992" s="1"/>
    </row>
    <row r="1993" spans="11:11" x14ac:dyDescent="0.35">
      <c r="K1993" s="1"/>
    </row>
    <row r="1994" spans="11:11" x14ac:dyDescent="0.35">
      <c r="K1994" s="1"/>
    </row>
    <row r="1995" spans="11:11" x14ac:dyDescent="0.35">
      <c r="K1995" s="1"/>
    </row>
    <row r="1996" spans="11:11" x14ac:dyDescent="0.35">
      <c r="K1996" s="1"/>
    </row>
    <row r="1997" spans="11:11" x14ac:dyDescent="0.35">
      <c r="K1997" s="1"/>
    </row>
    <row r="1998" spans="11:11" x14ac:dyDescent="0.35">
      <c r="K1998" s="1"/>
    </row>
    <row r="1999" spans="11:11" x14ac:dyDescent="0.35">
      <c r="K1999" s="1"/>
    </row>
    <row r="2000" spans="11:11" x14ac:dyDescent="0.35">
      <c r="K2000" s="1"/>
    </row>
    <row r="2001" spans="11:11" x14ac:dyDescent="0.35">
      <c r="K2001" s="1"/>
    </row>
    <row r="2002" spans="11:11" x14ac:dyDescent="0.35">
      <c r="K2002" s="1"/>
    </row>
    <row r="2003" spans="11:11" x14ac:dyDescent="0.35">
      <c r="K2003" s="1"/>
    </row>
    <row r="2004" spans="11:11" x14ac:dyDescent="0.35">
      <c r="K2004" s="1"/>
    </row>
    <row r="2005" spans="11:11" x14ac:dyDescent="0.35">
      <c r="K2005" s="1"/>
    </row>
    <row r="2006" spans="11:11" x14ac:dyDescent="0.35">
      <c r="K2006" s="1"/>
    </row>
    <row r="2007" spans="11:11" x14ac:dyDescent="0.35">
      <c r="K2007" s="1"/>
    </row>
    <row r="2008" spans="11:11" x14ac:dyDescent="0.35">
      <c r="K2008" s="1"/>
    </row>
    <row r="2009" spans="11:11" x14ac:dyDescent="0.35">
      <c r="K2009" s="1"/>
    </row>
    <row r="2010" spans="11:11" x14ac:dyDescent="0.35">
      <c r="K2010" s="1"/>
    </row>
    <row r="2011" spans="11:11" x14ac:dyDescent="0.35">
      <c r="K2011" s="1"/>
    </row>
    <row r="2012" spans="11:11" x14ac:dyDescent="0.35">
      <c r="K2012" s="1"/>
    </row>
    <row r="2013" spans="11:11" x14ac:dyDescent="0.35">
      <c r="K2013" s="1"/>
    </row>
    <row r="2014" spans="11:11" x14ac:dyDescent="0.35">
      <c r="K2014" s="1"/>
    </row>
    <row r="2015" spans="11:11" x14ac:dyDescent="0.35">
      <c r="K2015" s="1"/>
    </row>
    <row r="2016" spans="11:11" x14ac:dyDescent="0.35">
      <c r="K2016" s="1"/>
    </row>
    <row r="2017" spans="11:11" x14ac:dyDescent="0.35">
      <c r="K2017" s="1"/>
    </row>
    <row r="2018" spans="11:11" x14ac:dyDescent="0.35">
      <c r="K2018" s="1"/>
    </row>
    <row r="2019" spans="11:11" x14ac:dyDescent="0.35">
      <c r="K2019" s="1"/>
    </row>
    <row r="2020" spans="11:11" x14ac:dyDescent="0.35">
      <c r="K2020" s="1"/>
    </row>
    <row r="2021" spans="11:11" x14ac:dyDescent="0.35">
      <c r="K2021" s="1"/>
    </row>
    <row r="2022" spans="11:11" x14ac:dyDescent="0.35">
      <c r="K2022" s="1"/>
    </row>
    <row r="2023" spans="11:11" x14ac:dyDescent="0.35">
      <c r="K2023" s="1"/>
    </row>
    <row r="2024" spans="11:11" x14ac:dyDescent="0.35">
      <c r="K2024" s="1"/>
    </row>
    <row r="2025" spans="11:11" x14ac:dyDescent="0.35">
      <c r="K2025" s="1"/>
    </row>
    <row r="2026" spans="11:11" x14ac:dyDescent="0.35">
      <c r="K2026" s="1"/>
    </row>
    <row r="2027" spans="11:11" x14ac:dyDescent="0.35">
      <c r="K2027" s="1"/>
    </row>
    <row r="2028" spans="11:11" x14ac:dyDescent="0.35">
      <c r="K2028" s="1"/>
    </row>
    <row r="2029" spans="11:11" x14ac:dyDescent="0.35">
      <c r="K2029" s="1"/>
    </row>
    <row r="2030" spans="11:11" x14ac:dyDescent="0.35">
      <c r="K2030" s="1"/>
    </row>
    <row r="2031" spans="11:11" x14ac:dyDescent="0.35">
      <c r="K2031" s="1"/>
    </row>
    <row r="2032" spans="11:11" x14ac:dyDescent="0.35">
      <c r="K2032" s="1"/>
    </row>
    <row r="2033" spans="11:11" x14ac:dyDescent="0.35">
      <c r="K2033" s="1"/>
    </row>
    <row r="2034" spans="11:11" x14ac:dyDescent="0.35">
      <c r="K2034" s="1"/>
    </row>
    <row r="2035" spans="11:11" x14ac:dyDescent="0.35">
      <c r="K2035" s="1"/>
    </row>
    <row r="2036" spans="11:11" x14ac:dyDescent="0.35">
      <c r="K2036" s="1"/>
    </row>
    <row r="2037" spans="11:11" x14ac:dyDescent="0.35">
      <c r="K2037" s="1"/>
    </row>
    <row r="2038" spans="11:11" x14ac:dyDescent="0.35">
      <c r="K2038" s="1"/>
    </row>
    <row r="2039" spans="11:11" x14ac:dyDescent="0.35">
      <c r="K2039" s="1"/>
    </row>
    <row r="2040" spans="11:11" x14ac:dyDescent="0.35">
      <c r="K2040" s="1"/>
    </row>
    <row r="2041" spans="11:11" x14ac:dyDescent="0.35">
      <c r="K2041" s="1"/>
    </row>
    <row r="2042" spans="11:11" x14ac:dyDescent="0.35">
      <c r="K2042" s="1"/>
    </row>
    <row r="2043" spans="11:11" x14ac:dyDescent="0.35">
      <c r="K2043" s="1"/>
    </row>
    <row r="2044" spans="11:11" x14ac:dyDescent="0.35">
      <c r="K2044" s="1"/>
    </row>
    <row r="2045" spans="11:11" x14ac:dyDescent="0.35">
      <c r="K2045" s="1"/>
    </row>
    <row r="2046" spans="11:11" x14ac:dyDescent="0.35">
      <c r="K2046" s="1"/>
    </row>
    <row r="2047" spans="11:11" x14ac:dyDescent="0.35">
      <c r="K2047" s="1"/>
    </row>
    <row r="2048" spans="11:11" x14ac:dyDescent="0.35">
      <c r="K2048" s="1"/>
    </row>
    <row r="2049" spans="11:11" x14ac:dyDescent="0.35">
      <c r="K2049" s="1"/>
    </row>
    <row r="2050" spans="11:11" x14ac:dyDescent="0.35">
      <c r="K2050" s="1"/>
    </row>
    <row r="2051" spans="11:11" x14ac:dyDescent="0.35">
      <c r="K2051" s="1"/>
    </row>
    <row r="2052" spans="11:11" x14ac:dyDescent="0.35">
      <c r="K2052" s="1"/>
    </row>
    <row r="2053" spans="11:11" x14ac:dyDescent="0.35">
      <c r="K2053" s="1"/>
    </row>
    <row r="2054" spans="11:11" x14ac:dyDescent="0.35">
      <c r="K2054" s="1"/>
    </row>
    <row r="2055" spans="11:11" x14ac:dyDescent="0.35">
      <c r="K2055" s="1"/>
    </row>
    <row r="2056" spans="11:11" x14ac:dyDescent="0.35">
      <c r="K2056" s="1"/>
    </row>
    <row r="2057" spans="11:11" x14ac:dyDescent="0.35">
      <c r="K2057" s="1"/>
    </row>
    <row r="2058" spans="11:11" x14ac:dyDescent="0.35">
      <c r="K2058" s="1"/>
    </row>
    <row r="2059" spans="11:11" x14ac:dyDescent="0.35">
      <c r="K2059" s="1"/>
    </row>
    <row r="2060" spans="11:11" x14ac:dyDescent="0.35">
      <c r="K2060" s="1"/>
    </row>
    <row r="2061" spans="11:11" x14ac:dyDescent="0.35">
      <c r="K2061" s="1"/>
    </row>
    <row r="2062" spans="11:11" x14ac:dyDescent="0.35">
      <c r="K2062" s="1"/>
    </row>
    <row r="2063" spans="11:11" x14ac:dyDescent="0.35">
      <c r="K2063" s="1"/>
    </row>
    <row r="2064" spans="11:11" x14ac:dyDescent="0.35">
      <c r="K2064" s="1"/>
    </row>
    <row r="2065" spans="11:11" x14ac:dyDescent="0.35">
      <c r="K2065" s="1"/>
    </row>
    <row r="2066" spans="11:11" x14ac:dyDescent="0.35">
      <c r="K2066" s="1"/>
    </row>
    <row r="2067" spans="11:11" x14ac:dyDescent="0.35">
      <c r="K2067" s="1"/>
    </row>
    <row r="2068" spans="11:11" x14ac:dyDescent="0.35">
      <c r="K2068" s="1"/>
    </row>
    <row r="2069" spans="11:11" x14ac:dyDescent="0.35">
      <c r="K2069" s="1"/>
    </row>
    <row r="2070" spans="11:11" x14ac:dyDescent="0.35">
      <c r="K2070" s="1"/>
    </row>
    <row r="2071" spans="11:11" x14ac:dyDescent="0.35">
      <c r="K2071" s="1"/>
    </row>
    <row r="2072" spans="11:11" x14ac:dyDescent="0.35">
      <c r="K2072" s="1"/>
    </row>
    <row r="2073" spans="11:11" x14ac:dyDescent="0.35">
      <c r="K2073" s="1"/>
    </row>
    <row r="2074" spans="11:11" x14ac:dyDescent="0.35">
      <c r="K2074" s="1"/>
    </row>
    <row r="2075" spans="11:11" x14ac:dyDescent="0.35">
      <c r="K2075" s="1"/>
    </row>
    <row r="2076" spans="11:11" x14ac:dyDescent="0.35">
      <c r="K2076" s="1"/>
    </row>
    <row r="2077" spans="11:11" x14ac:dyDescent="0.35">
      <c r="K2077" s="1"/>
    </row>
    <row r="2078" spans="11:11" x14ac:dyDescent="0.35">
      <c r="K2078" s="1"/>
    </row>
    <row r="2079" spans="11:11" x14ac:dyDescent="0.35">
      <c r="K2079" s="1"/>
    </row>
    <row r="2080" spans="11:11" x14ac:dyDescent="0.35">
      <c r="K2080" s="1"/>
    </row>
    <row r="2081" spans="11:11" x14ac:dyDescent="0.35">
      <c r="K2081" s="1"/>
    </row>
    <row r="2082" spans="11:11" x14ac:dyDescent="0.35">
      <c r="K2082" s="1"/>
    </row>
    <row r="2083" spans="11:11" x14ac:dyDescent="0.35">
      <c r="K2083" s="1"/>
    </row>
    <row r="2084" spans="11:11" x14ac:dyDescent="0.35">
      <c r="K2084" s="1"/>
    </row>
    <row r="2085" spans="11:11" x14ac:dyDescent="0.35">
      <c r="K2085" s="1"/>
    </row>
    <row r="2086" spans="11:11" x14ac:dyDescent="0.35">
      <c r="K2086" s="1"/>
    </row>
    <row r="2087" spans="11:11" x14ac:dyDescent="0.35">
      <c r="K2087" s="1"/>
    </row>
    <row r="2088" spans="11:11" x14ac:dyDescent="0.35">
      <c r="K2088" s="1"/>
    </row>
    <row r="2089" spans="11:11" x14ac:dyDescent="0.35">
      <c r="K2089" s="1"/>
    </row>
    <row r="2090" spans="11:11" x14ac:dyDescent="0.35">
      <c r="K2090" s="1"/>
    </row>
    <row r="2091" spans="11:11" x14ac:dyDescent="0.35">
      <c r="K2091" s="1"/>
    </row>
    <row r="2092" spans="11:11" x14ac:dyDescent="0.35">
      <c r="K2092" s="1"/>
    </row>
    <row r="2093" spans="11:11" x14ac:dyDescent="0.35">
      <c r="K2093" s="1"/>
    </row>
    <row r="2094" spans="11:11" x14ac:dyDescent="0.35">
      <c r="K2094" s="1"/>
    </row>
    <row r="2095" spans="11:11" x14ac:dyDescent="0.35">
      <c r="K2095" s="1"/>
    </row>
    <row r="2096" spans="11:11" x14ac:dyDescent="0.35">
      <c r="K2096" s="1"/>
    </row>
    <row r="2097" spans="11:11" x14ac:dyDescent="0.35">
      <c r="K2097" s="1"/>
    </row>
    <row r="2098" spans="11:11" x14ac:dyDescent="0.35">
      <c r="K2098" s="1"/>
    </row>
    <row r="2099" spans="11:11" x14ac:dyDescent="0.35">
      <c r="K2099" s="1"/>
    </row>
    <row r="2100" spans="11:11" x14ac:dyDescent="0.35">
      <c r="K2100" s="1"/>
    </row>
    <row r="2101" spans="11:11" x14ac:dyDescent="0.35">
      <c r="K2101" s="1"/>
    </row>
    <row r="2102" spans="11:11" x14ac:dyDescent="0.35">
      <c r="K2102" s="1"/>
    </row>
    <row r="2103" spans="11:11" x14ac:dyDescent="0.35">
      <c r="K2103" s="1"/>
    </row>
    <row r="2104" spans="11:11" x14ac:dyDescent="0.35">
      <c r="K2104" s="1"/>
    </row>
    <row r="2105" spans="11:11" x14ac:dyDescent="0.35">
      <c r="K2105" s="1"/>
    </row>
    <row r="2106" spans="11:11" x14ac:dyDescent="0.35">
      <c r="K2106" s="1"/>
    </row>
    <row r="2107" spans="11:11" x14ac:dyDescent="0.35">
      <c r="K2107" s="1"/>
    </row>
    <row r="2108" spans="11:11" x14ac:dyDescent="0.35">
      <c r="K2108" s="1"/>
    </row>
    <row r="2109" spans="11:11" x14ac:dyDescent="0.35">
      <c r="K2109" s="1"/>
    </row>
    <row r="2110" spans="11:11" x14ac:dyDescent="0.35">
      <c r="K2110" s="1"/>
    </row>
    <row r="2111" spans="11:11" x14ac:dyDescent="0.35">
      <c r="K2111" s="1"/>
    </row>
    <row r="2112" spans="11:11" x14ac:dyDescent="0.35">
      <c r="K2112" s="1"/>
    </row>
    <row r="2113" spans="11:11" x14ac:dyDescent="0.35">
      <c r="K2113" s="1"/>
    </row>
    <row r="2114" spans="11:11" x14ac:dyDescent="0.35">
      <c r="K2114" s="1"/>
    </row>
    <row r="2115" spans="11:11" x14ac:dyDescent="0.35">
      <c r="K2115" s="1"/>
    </row>
    <row r="2116" spans="11:11" x14ac:dyDescent="0.35">
      <c r="K2116" s="1"/>
    </row>
    <row r="2117" spans="11:11" x14ac:dyDescent="0.35">
      <c r="K2117" s="1"/>
    </row>
    <row r="2118" spans="11:11" x14ac:dyDescent="0.35">
      <c r="K2118" s="1"/>
    </row>
    <row r="2119" spans="11:11" x14ac:dyDescent="0.35">
      <c r="K2119" s="1"/>
    </row>
    <row r="2120" spans="11:11" x14ac:dyDescent="0.35">
      <c r="K2120" s="1"/>
    </row>
    <row r="2121" spans="11:11" x14ac:dyDescent="0.35">
      <c r="K2121" s="1"/>
    </row>
    <row r="2122" spans="11:11" x14ac:dyDescent="0.35">
      <c r="K2122" s="1"/>
    </row>
    <row r="2123" spans="11:11" x14ac:dyDescent="0.35">
      <c r="K2123" s="1"/>
    </row>
    <row r="2124" spans="11:11" x14ac:dyDescent="0.35">
      <c r="K2124" s="1"/>
    </row>
    <row r="2125" spans="11:11" x14ac:dyDescent="0.35">
      <c r="K2125" s="1"/>
    </row>
    <row r="2126" spans="11:11" x14ac:dyDescent="0.35">
      <c r="K2126" s="1"/>
    </row>
    <row r="2127" spans="11:11" x14ac:dyDescent="0.35">
      <c r="K2127" s="1"/>
    </row>
    <row r="2128" spans="11:11" x14ac:dyDescent="0.35">
      <c r="K2128" s="1"/>
    </row>
    <row r="2129" spans="11:11" x14ac:dyDescent="0.35">
      <c r="K2129" s="1"/>
    </row>
    <row r="2130" spans="11:11" x14ac:dyDescent="0.35">
      <c r="K2130" s="1"/>
    </row>
    <row r="2131" spans="11:11" x14ac:dyDescent="0.35">
      <c r="K2131" s="1"/>
    </row>
    <row r="2132" spans="11:11" x14ac:dyDescent="0.35">
      <c r="K2132" s="1"/>
    </row>
    <row r="2133" spans="11:11" x14ac:dyDescent="0.35">
      <c r="K2133" s="1"/>
    </row>
    <row r="2134" spans="11:11" x14ac:dyDescent="0.35">
      <c r="K2134" s="1"/>
    </row>
    <row r="2135" spans="11:11" x14ac:dyDescent="0.35">
      <c r="K2135" s="1"/>
    </row>
    <row r="2136" spans="11:11" x14ac:dyDescent="0.35">
      <c r="K2136" s="1"/>
    </row>
    <row r="2137" spans="11:11" x14ac:dyDescent="0.35">
      <c r="K2137" s="1"/>
    </row>
    <row r="2138" spans="11:11" x14ac:dyDescent="0.35">
      <c r="K2138" s="1"/>
    </row>
    <row r="2139" spans="11:11" x14ac:dyDescent="0.35">
      <c r="K2139" s="1"/>
    </row>
    <row r="2140" spans="11:11" x14ac:dyDescent="0.35">
      <c r="K2140" s="1"/>
    </row>
    <row r="2141" spans="11:11" x14ac:dyDescent="0.35">
      <c r="K2141" s="1"/>
    </row>
    <row r="2142" spans="11:11" x14ac:dyDescent="0.35">
      <c r="K2142" s="1"/>
    </row>
    <row r="2143" spans="11:11" x14ac:dyDescent="0.35">
      <c r="K2143" s="1"/>
    </row>
    <row r="2144" spans="11:11" x14ac:dyDescent="0.35">
      <c r="K2144" s="1"/>
    </row>
    <row r="2145" spans="11:11" x14ac:dyDescent="0.35">
      <c r="K2145" s="1"/>
    </row>
    <row r="2146" spans="11:11" x14ac:dyDescent="0.35">
      <c r="K2146" s="1"/>
    </row>
    <row r="2147" spans="11:11" x14ac:dyDescent="0.35">
      <c r="K2147" s="1"/>
    </row>
    <row r="2148" spans="11:11" x14ac:dyDescent="0.35">
      <c r="K2148" s="1"/>
    </row>
    <row r="2149" spans="11:11" x14ac:dyDescent="0.35">
      <c r="K2149" s="1"/>
    </row>
    <row r="2150" spans="11:11" x14ac:dyDescent="0.35">
      <c r="K2150" s="1"/>
    </row>
    <row r="2151" spans="11:11" x14ac:dyDescent="0.35">
      <c r="K2151" s="1"/>
    </row>
    <row r="2152" spans="11:11" x14ac:dyDescent="0.35">
      <c r="K2152" s="1"/>
    </row>
    <row r="2153" spans="11:11" x14ac:dyDescent="0.35">
      <c r="K2153" s="1"/>
    </row>
    <row r="2154" spans="11:11" x14ac:dyDescent="0.35">
      <c r="K2154" s="1"/>
    </row>
    <row r="2155" spans="11:11" x14ac:dyDescent="0.35">
      <c r="K2155" s="1"/>
    </row>
    <row r="2156" spans="11:11" x14ac:dyDescent="0.35">
      <c r="K2156" s="1"/>
    </row>
    <row r="2157" spans="11:11" x14ac:dyDescent="0.35">
      <c r="K2157" s="1"/>
    </row>
    <row r="2158" spans="11:11" x14ac:dyDescent="0.35">
      <c r="K2158" s="1"/>
    </row>
    <row r="2159" spans="11:11" x14ac:dyDescent="0.35">
      <c r="K2159" s="1"/>
    </row>
    <row r="2160" spans="11:11" x14ac:dyDescent="0.35">
      <c r="K2160" s="1"/>
    </row>
    <row r="2161" spans="11:11" x14ac:dyDescent="0.35">
      <c r="K2161" s="1"/>
    </row>
    <row r="2162" spans="11:11" x14ac:dyDescent="0.35">
      <c r="K2162" s="1"/>
    </row>
    <row r="2163" spans="11:11" x14ac:dyDescent="0.35">
      <c r="K2163" s="1"/>
    </row>
    <row r="2164" spans="11:11" x14ac:dyDescent="0.35">
      <c r="K2164" s="1"/>
    </row>
    <row r="2165" spans="11:11" x14ac:dyDescent="0.35">
      <c r="K2165" s="1"/>
    </row>
    <row r="2166" spans="11:11" x14ac:dyDescent="0.35">
      <c r="K2166" s="1"/>
    </row>
    <row r="2167" spans="11:11" x14ac:dyDescent="0.35">
      <c r="K2167" s="1"/>
    </row>
    <row r="2168" spans="11:11" x14ac:dyDescent="0.35">
      <c r="K2168" s="1"/>
    </row>
    <row r="2169" spans="11:11" x14ac:dyDescent="0.35">
      <c r="K2169" s="1"/>
    </row>
    <row r="2170" spans="11:11" x14ac:dyDescent="0.35">
      <c r="K2170" s="1"/>
    </row>
    <row r="2171" spans="11:11" x14ac:dyDescent="0.35">
      <c r="K2171" s="1"/>
    </row>
    <row r="2172" spans="11:11" x14ac:dyDescent="0.35">
      <c r="K2172" s="1"/>
    </row>
    <row r="2173" spans="11:11" x14ac:dyDescent="0.35">
      <c r="K2173" s="1"/>
    </row>
    <row r="2174" spans="11:11" x14ac:dyDescent="0.35">
      <c r="K2174" s="1"/>
    </row>
    <row r="2175" spans="11:11" x14ac:dyDescent="0.35">
      <c r="K2175" s="1"/>
    </row>
    <row r="2176" spans="11:11" x14ac:dyDescent="0.35">
      <c r="K2176" s="1"/>
    </row>
    <row r="2177" spans="11:11" x14ac:dyDescent="0.35">
      <c r="K2177" s="1"/>
    </row>
    <row r="2178" spans="11:11" x14ac:dyDescent="0.35">
      <c r="K2178" s="1"/>
    </row>
    <row r="2179" spans="11:11" x14ac:dyDescent="0.35">
      <c r="K2179" s="1"/>
    </row>
    <row r="2180" spans="11:11" x14ac:dyDescent="0.35">
      <c r="K2180" s="1"/>
    </row>
    <row r="2181" spans="11:11" x14ac:dyDescent="0.35">
      <c r="K2181" s="1"/>
    </row>
    <row r="2182" spans="11:11" x14ac:dyDescent="0.35">
      <c r="K2182" s="1"/>
    </row>
    <row r="2183" spans="11:11" x14ac:dyDescent="0.35">
      <c r="K2183" s="1"/>
    </row>
    <row r="2184" spans="11:11" x14ac:dyDescent="0.35">
      <c r="K2184" s="1"/>
    </row>
    <row r="2185" spans="11:11" x14ac:dyDescent="0.35">
      <c r="K2185" s="1"/>
    </row>
    <row r="2186" spans="11:11" x14ac:dyDescent="0.35">
      <c r="K2186" s="1"/>
    </row>
    <row r="2187" spans="11:11" x14ac:dyDescent="0.35">
      <c r="K2187" s="1"/>
    </row>
    <row r="2188" spans="11:11" x14ac:dyDescent="0.35">
      <c r="K2188" s="1"/>
    </row>
    <row r="2189" spans="11:11" x14ac:dyDescent="0.35">
      <c r="K2189" s="1"/>
    </row>
    <row r="2190" spans="11:11" x14ac:dyDescent="0.35">
      <c r="K2190" s="1"/>
    </row>
    <row r="2191" spans="11:11" x14ac:dyDescent="0.35">
      <c r="K2191" s="1"/>
    </row>
    <row r="2192" spans="11:11" x14ac:dyDescent="0.35">
      <c r="K2192" s="1"/>
    </row>
    <row r="2193" spans="11:11" x14ac:dyDescent="0.35">
      <c r="K2193" s="1"/>
    </row>
    <row r="2194" spans="11:11" x14ac:dyDescent="0.35">
      <c r="K2194" s="1"/>
    </row>
    <row r="2195" spans="11:11" x14ac:dyDescent="0.35">
      <c r="K2195" s="1"/>
    </row>
    <row r="2196" spans="11:11" x14ac:dyDescent="0.35">
      <c r="K2196" s="1"/>
    </row>
    <row r="2197" spans="11:11" x14ac:dyDescent="0.35">
      <c r="K2197" s="1"/>
    </row>
    <row r="2198" spans="11:11" x14ac:dyDescent="0.35">
      <c r="K2198" s="1"/>
    </row>
    <row r="2199" spans="11:11" x14ac:dyDescent="0.35">
      <c r="K2199" s="1"/>
    </row>
    <row r="2200" spans="11:11" x14ac:dyDescent="0.35">
      <c r="K2200" s="1"/>
    </row>
    <row r="2201" spans="11:11" x14ac:dyDescent="0.35">
      <c r="K2201" s="1"/>
    </row>
    <row r="2202" spans="11:11" x14ac:dyDescent="0.35">
      <c r="K2202" s="1"/>
    </row>
    <row r="2203" spans="11:11" x14ac:dyDescent="0.35">
      <c r="K2203" s="1"/>
    </row>
    <row r="2204" spans="11:11" x14ac:dyDescent="0.35">
      <c r="K2204" s="1"/>
    </row>
    <row r="2205" spans="11:11" x14ac:dyDescent="0.35">
      <c r="K2205" s="1"/>
    </row>
    <row r="2206" spans="11:11" x14ac:dyDescent="0.35">
      <c r="K2206" s="1"/>
    </row>
    <row r="2207" spans="11:11" x14ac:dyDescent="0.35">
      <c r="K2207" s="1"/>
    </row>
    <row r="2208" spans="11:11" x14ac:dyDescent="0.35">
      <c r="K2208" s="1"/>
    </row>
    <row r="2209" spans="11:11" x14ac:dyDescent="0.35">
      <c r="K2209" s="1"/>
    </row>
    <row r="2210" spans="11:11" x14ac:dyDescent="0.35">
      <c r="K2210" s="1"/>
    </row>
    <row r="2211" spans="11:11" x14ac:dyDescent="0.35">
      <c r="K2211" s="1"/>
    </row>
    <row r="2212" spans="11:11" x14ac:dyDescent="0.35">
      <c r="K2212" s="1"/>
    </row>
    <row r="2213" spans="11:11" x14ac:dyDescent="0.35">
      <c r="K2213" s="1"/>
    </row>
    <row r="2214" spans="11:11" x14ac:dyDescent="0.35">
      <c r="K2214" s="1"/>
    </row>
    <row r="2215" spans="11:11" x14ac:dyDescent="0.35">
      <c r="K2215" s="1"/>
    </row>
    <row r="2216" spans="11:11" x14ac:dyDescent="0.35">
      <c r="K2216" s="1"/>
    </row>
    <row r="2217" spans="11:11" x14ac:dyDescent="0.35">
      <c r="K2217" s="1"/>
    </row>
    <row r="2218" spans="11:11" x14ac:dyDescent="0.35">
      <c r="K2218" s="1"/>
    </row>
    <row r="2219" spans="11:11" x14ac:dyDescent="0.35">
      <c r="K2219" s="1"/>
    </row>
    <row r="2220" spans="11:11" x14ac:dyDescent="0.35">
      <c r="K2220" s="1"/>
    </row>
    <row r="2221" spans="11:11" x14ac:dyDescent="0.35">
      <c r="K2221" s="1"/>
    </row>
    <row r="2222" spans="11:11" x14ac:dyDescent="0.35">
      <c r="K2222" s="1"/>
    </row>
    <row r="2223" spans="11:11" x14ac:dyDescent="0.35">
      <c r="K2223" s="1"/>
    </row>
    <row r="2224" spans="11:11" x14ac:dyDescent="0.35">
      <c r="K2224" s="1"/>
    </row>
    <row r="2225" spans="11:11" x14ac:dyDescent="0.35">
      <c r="K2225" s="1"/>
    </row>
    <row r="2226" spans="11:11" x14ac:dyDescent="0.35">
      <c r="K2226" s="1"/>
    </row>
    <row r="2227" spans="11:11" x14ac:dyDescent="0.35">
      <c r="K2227" s="1"/>
    </row>
    <row r="2228" spans="11:11" x14ac:dyDescent="0.35">
      <c r="K2228" s="1"/>
    </row>
    <row r="2229" spans="11:11" x14ac:dyDescent="0.35">
      <c r="K2229" s="1"/>
    </row>
    <row r="2230" spans="11:11" x14ac:dyDescent="0.35">
      <c r="K2230" s="1"/>
    </row>
    <row r="2231" spans="11:11" x14ac:dyDescent="0.35">
      <c r="K2231" s="1"/>
    </row>
    <row r="2232" spans="11:11" x14ac:dyDescent="0.35">
      <c r="K2232" s="1"/>
    </row>
    <row r="2233" spans="11:11" x14ac:dyDescent="0.35">
      <c r="K2233" s="1"/>
    </row>
    <row r="2234" spans="11:11" x14ac:dyDescent="0.35">
      <c r="K2234" s="1"/>
    </row>
    <row r="2235" spans="11:11" x14ac:dyDescent="0.35">
      <c r="K2235" s="1"/>
    </row>
    <row r="2236" spans="11:11" x14ac:dyDescent="0.35">
      <c r="K2236" s="1"/>
    </row>
    <row r="2237" spans="11:11" x14ac:dyDescent="0.35">
      <c r="K2237" s="1"/>
    </row>
    <row r="2238" spans="11:11" x14ac:dyDescent="0.35">
      <c r="K2238" s="1"/>
    </row>
    <row r="2239" spans="11:11" x14ac:dyDescent="0.35">
      <c r="K2239" s="1"/>
    </row>
    <row r="2240" spans="11:11" x14ac:dyDescent="0.35">
      <c r="K2240" s="1"/>
    </row>
    <row r="2241" spans="11:11" x14ac:dyDescent="0.35">
      <c r="K2241" s="1"/>
    </row>
    <row r="2242" spans="11:11" x14ac:dyDescent="0.35">
      <c r="K2242" s="1"/>
    </row>
    <row r="2243" spans="11:11" x14ac:dyDescent="0.35">
      <c r="K2243" s="1"/>
    </row>
    <row r="2244" spans="11:11" x14ac:dyDescent="0.35">
      <c r="K2244" s="1"/>
    </row>
    <row r="2245" spans="11:11" x14ac:dyDescent="0.35">
      <c r="K2245" s="1"/>
    </row>
    <row r="2246" spans="11:11" x14ac:dyDescent="0.35">
      <c r="K2246" s="1"/>
    </row>
    <row r="2247" spans="11:11" x14ac:dyDescent="0.35">
      <c r="K2247" s="1"/>
    </row>
    <row r="2248" spans="11:11" x14ac:dyDescent="0.35">
      <c r="K2248" s="1"/>
    </row>
    <row r="2249" spans="11:11" x14ac:dyDescent="0.35">
      <c r="K2249" s="1"/>
    </row>
    <row r="2250" spans="11:11" x14ac:dyDescent="0.35">
      <c r="K2250" s="1"/>
    </row>
    <row r="2251" spans="11:11" x14ac:dyDescent="0.35">
      <c r="K2251" s="1"/>
    </row>
    <row r="2252" spans="11:11" x14ac:dyDescent="0.35">
      <c r="K2252" s="1"/>
    </row>
    <row r="2253" spans="11:11" x14ac:dyDescent="0.35">
      <c r="K2253" s="1"/>
    </row>
    <row r="2254" spans="11:11" x14ac:dyDescent="0.35">
      <c r="K2254" s="1"/>
    </row>
    <row r="2255" spans="11:11" x14ac:dyDescent="0.35">
      <c r="K2255" s="1"/>
    </row>
    <row r="2256" spans="11:11" x14ac:dyDescent="0.35">
      <c r="K2256" s="1"/>
    </row>
    <row r="2257" spans="11:11" x14ac:dyDescent="0.35">
      <c r="K2257" s="1"/>
    </row>
    <row r="2258" spans="11:11" x14ac:dyDescent="0.35">
      <c r="K2258" s="1"/>
    </row>
    <row r="2259" spans="11:11" x14ac:dyDescent="0.35">
      <c r="K2259" s="1"/>
    </row>
    <row r="2260" spans="11:11" x14ac:dyDescent="0.35">
      <c r="K2260" s="1"/>
    </row>
    <row r="2261" spans="11:11" x14ac:dyDescent="0.35">
      <c r="K2261" s="1"/>
    </row>
    <row r="2262" spans="11:11" x14ac:dyDescent="0.35">
      <c r="K2262" s="1"/>
    </row>
    <row r="2263" spans="11:11" x14ac:dyDescent="0.35">
      <c r="K2263" s="1"/>
    </row>
    <row r="2264" spans="11:11" x14ac:dyDescent="0.35">
      <c r="K2264" s="1"/>
    </row>
    <row r="2265" spans="11:11" x14ac:dyDescent="0.35">
      <c r="K2265" s="1"/>
    </row>
    <row r="2266" spans="11:11" x14ac:dyDescent="0.35">
      <c r="K2266" s="1"/>
    </row>
    <row r="2267" spans="11:11" x14ac:dyDescent="0.35">
      <c r="K2267" s="1"/>
    </row>
    <row r="2268" spans="11:11" x14ac:dyDescent="0.35">
      <c r="K2268" s="1"/>
    </row>
    <row r="2269" spans="11:11" x14ac:dyDescent="0.35">
      <c r="K2269" s="1"/>
    </row>
    <row r="2270" spans="11:11" x14ac:dyDescent="0.35">
      <c r="K2270" s="1"/>
    </row>
    <row r="2271" spans="11:11" x14ac:dyDescent="0.35">
      <c r="K2271" s="1"/>
    </row>
    <row r="2272" spans="11:11" x14ac:dyDescent="0.35">
      <c r="K2272" s="1"/>
    </row>
    <row r="2273" spans="11:11" x14ac:dyDescent="0.35">
      <c r="K2273" s="1"/>
    </row>
    <row r="2274" spans="11:11" x14ac:dyDescent="0.35">
      <c r="K2274" s="1"/>
    </row>
    <row r="2275" spans="11:11" x14ac:dyDescent="0.35">
      <c r="K2275" s="1"/>
    </row>
    <row r="2276" spans="11:11" x14ac:dyDescent="0.35">
      <c r="K2276" s="1"/>
    </row>
    <row r="2277" spans="11:11" x14ac:dyDescent="0.35">
      <c r="K2277" s="1"/>
    </row>
    <row r="2278" spans="11:11" x14ac:dyDescent="0.35">
      <c r="K2278" s="1"/>
    </row>
    <row r="2279" spans="11:11" x14ac:dyDescent="0.35">
      <c r="K2279" s="1"/>
    </row>
    <row r="2280" spans="11:11" x14ac:dyDescent="0.35">
      <c r="K2280" s="1"/>
    </row>
    <row r="2281" spans="11:11" x14ac:dyDescent="0.35">
      <c r="K2281" s="1"/>
    </row>
    <row r="2282" spans="11:11" x14ac:dyDescent="0.35">
      <c r="K2282" s="1"/>
    </row>
    <row r="2283" spans="11:11" x14ac:dyDescent="0.35">
      <c r="K2283" s="1"/>
    </row>
    <row r="2284" spans="11:11" x14ac:dyDescent="0.35">
      <c r="K2284" s="1"/>
    </row>
    <row r="2285" spans="11:11" x14ac:dyDescent="0.35">
      <c r="K2285" s="1"/>
    </row>
    <row r="2286" spans="11:11" x14ac:dyDescent="0.35">
      <c r="K2286" s="1"/>
    </row>
    <row r="2287" spans="11:11" x14ac:dyDescent="0.35">
      <c r="K2287" s="1"/>
    </row>
    <row r="2288" spans="11:11" x14ac:dyDescent="0.35">
      <c r="K2288" s="1"/>
    </row>
    <row r="2289" spans="11:11" x14ac:dyDescent="0.35">
      <c r="K2289" s="1"/>
    </row>
    <row r="2290" spans="11:11" x14ac:dyDescent="0.35">
      <c r="K2290" s="1"/>
    </row>
    <row r="2291" spans="11:11" x14ac:dyDescent="0.35">
      <c r="K2291" s="1"/>
    </row>
    <row r="2292" spans="11:11" x14ac:dyDescent="0.35">
      <c r="K2292" s="1"/>
    </row>
    <row r="2293" spans="11:11" x14ac:dyDescent="0.35">
      <c r="K2293" s="1"/>
    </row>
    <row r="2294" spans="11:11" x14ac:dyDescent="0.35">
      <c r="K2294" s="1"/>
    </row>
    <row r="2295" spans="11:11" x14ac:dyDescent="0.35">
      <c r="K2295" s="1"/>
    </row>
    <row r="2296" spans="11:11" x14ac:dyDescent="0.35">
      <c r="K2296" s="1"/>
    </row>
    <row r="2297" spans="11:11" x14ac:dyDescent="0.35">
      <c r="K2297" s="1"/>
    </row>
    <row r="2298" spans="11:11" x14ac:dyDescent="0.35">
      <c r="K2298" s="1"/>
    </row>
    <row r="2299" spans="11:11" x14ac:dyDescent="0.35">
      <c r="K2299" s="1"/>
    </row>
    <row r="2300" spans="11:11" x14ac:dyDescent="0.35">
      <c r="K2300" s="1"/>
    </row>
    <row r="2301" spans="11:11" x14ac:dyDescent="0.35">
      <c r="K2301" s="1"/>
    </row>
    <row r="2302" spans="11:11" x14ac:dyDescent="0.35">
      <c r="K2302" s="1"/>
    </row>
    <row r="2303" spans="11:11" x14ac:dyDescent="0.35">
      <c r="K2303" s="1"/>
    </row>
    <row r="2304" spans="11:11" x14ac:dyDescent="0.35">
      <c r="K2304" s="1"/>
    </row>
    <row r="2305" spans="11:11" x14ac:dyDescent="0.35">
      <c r="K2305" s="1"/>
    </row>
    <row r="2306" spans="11:11" x14ac:dyDescent="0.35">
      <c r="K2306" s="1"/>
    </row>
    <row r="2307" spans="11:11" x14ac:dyDescent="0.35">
      <c r="K2307" s="1"/>
    </row>
    <row r="2308" spans="11:11" x14ac:dyDescent="0.35">
      <c r="K2308" s="1"/>
    </row>
    <row r="2309" spans="11:11" x14ac:dyDescent="0.35">
      <c r="K2309" s="1"/>
    </row>
    <row r="2310" spans="11:11" x14ac:dyDescent="0.35">
      <c r="K2310" s="1"/>
    </row>
    <row r="2311" spans="11:11" x14ac:dyDescent="0.35">
      <c r="K2311" s="1"/>
    </row>
    <row r="2312" spans="11:11" x14ac:dyDescent="0.35">
      <c r="K2312" s="1"/>
    </row>
    <row r="2313" spans="11:11" x14ac:dyDescent="0.35">
      <c r="K2313" s="1"/>
    </row>
    <row r="2314" spans="11:11" x14ac:dyDescent="0.35">
      <c r="K2314" s="1"/>
    </row>
    <row r="2315" spans="11:11" x14ac:dyDescent="0.35">
      <c r="K2315" s="1"/>
    </row>
    <row r="2316" spans="11:11" x14ac:dyDescent="0.35">
      <c r="K2316" s="1"/>
    </row>
    <row r="2317" spans="11:11" x14ac:dyDescent="0.35">
      <c r="K2317" s="1"/>
    </row>
    <row r="2318" spans="11:11" x14ac:dyDescent="0.35">
      <c r="K2318" s="1"/>
    </row>
    <row r="2319" spans="11:11" x14ac:dyDescent="0.35">
      <c r="K2319" s="1"/>
    </row>
    <row r="2320" spans="11:11" x14ac:dyDescent="0.35">
      <c r="K2320" s="1"/>
    </row>
    <row r="2321" spans="11:11" x14ac:dyDescent="0.35">
      <c r="K2321" s="1"/>
    </row>
    <row r="2322" spans="11:11" x14ac:dyDescent="0.35">
      <c r="K2322" s="1"/>
    </row>
    <row r="2323" spans="11:11" x14ac:dyDescent="0.35">
      <c r="K2323" s="1"/>
    </row>
    <row r="2324" spans="11:11" x14ac:dyDescent="0.35">
      <c r="K2324" s="1"/>
    </row>
    <row r="2325" spans="11:11" x14ac:dyDescent="0.35">
      <c r="K2325" s="1"/>
    </row>
    <row r="2326" spans="11:11" x14ac:dyDescent="0.35">
      <c r="K2326" s="1"/>
    </row>
    <row r="2327" spans="11:11" x14ac:dyDescent="0.35">
      <c r="K2327" s="1"/>
    </row>
    <row r="2328" spans="11:11" x14ac:dyDescent="0.35">
      <c r="K2328" s="1"/>
    </row>
    <row r="2329" spans="11:11" x14ac:dyDescent="0.35">
      <c r="K2329" s="1"/>
    </row>
    <row r="2330" spans="11:11" x14ac:dyDescent="0.35">
      <c r="K2330" s="1"/>
    </row>
    <row r="2331" spans="11:11" x14ac:dyDescent="0.35">
      <c r="K2331" s="1"/>
    </row>
    <row r="2332" spans="11:11" x14ac:dyDescent="0.35">
      <c r="K2332" s="1"/>
    </row>
    <row r="2333" spans="11:11" x14ac:dyDescent="0.35">
      <c r="K2333" s="1"/>
    </row>
    <row r="2334" spans="11:11" x14ac:dyDescent="0.35">
      <c r="K2334" s="1"/>
    </row>
    <row r="2335" spans="11:11" x14ac:dyDescent="0.35">
      <c r="K2335" s="1"/>
    </row>
    <row r="2336" spans="11:11" x14ac:dyDescent="0.35">
      <c r="K2336" s="1"/>
    </row>
    <row r="2337" spans="11:11" x14ac:dyDescent="0.35">
      <c r="K2337" s="1"/>
    </row>
    <row r="2338" spans="11:11" x14ac:dyDescent="0.35">
      <c r="K2338" s="1"/>
    </row>
    <row r="2339" spans="11:11" x14ac:dyDescent="0.35">
      <c r="K2339" s="1"/>
    </row>
    <row r="2340" spans="11:11" x14ac:dyDescent="0.35">
      <c r="K2340" s="1"/>
    </row>
    <row r="2341" spans="11:11" x14ac:dyDescent="0.35">
      <c r="K2341" s="1"/>
    </row>
    <row r="2342" spans="11:11" x14ac:dyDescent="0.35">
      <c r="K2342" s="1"/>
    </row>
    <row r="2343" spans="11:11" x14ac:dyDescent="0.35">
      <c r="K2343" s="1"/>
    </row>
    <row r="2344" spans="11:11" x14ac:dyDescent="0.35">
      <c r="K2344" s="1"/>
    </row>
    <row r="2345" spans="11:11" x14ac:dyDescent="0.35">
      <c r="K2345" s="1"/>
    </row>
    <row r="2346" spans="11:11" x14ac:dyDescent="0.35">
      <c r="K2346" s="1"/>
    </row>
    <row r="2347" spans="11:11" x14ac:dyDescent="0.35">
      <c r="K2347" s="1"/>
    </row>
    <row r="2348" spans="11:11" x14ac:dyDescent="0.35">
      <c r="K2348" s="1"/>
    </row>
    <row r="2349" spans="11:11" x14ac:dyDescent="0.35">
      <c r="K2349" s="1"/>
    </row>
    <row r="2350" spans="11:11" x14ac:dyDescent="0.35">
      <c r="K2350" s="1"/>
    </row>
    <row r="2351" spans="11:11" x14ac:dyDescent="0.35">
      <c r="K2351" s="1"/>
    </row>
    <row r="2352" spans="11:11" x14ac:dyDescent="0.35">
      <c r="K2352" s="1"/>
    </row>
    <row r="2353" spans="11:11" x14ac:dyDescent="0.35">
      <c r="K2353" s="1"/>
    </row>
    <row r="2354" spans="11:11" x14ac:dyDescent="0.35">
      <c r="K2354" s="1"/>
    </row>
    <row r="2355" spans="11:11" x14ac:dyDescent="0.35">
      <c r="K2355" s="1"/>
    </row>
    <row r="2356" spans="11:11" x14ac:dyDescent="0.35">
      <c r="K2356" s="1"/>
    </row>
    <row r="2357" spans="11:11" x14ac:dyDescent="0.35">
      <c r="K2357" s="1"/>
    </row>
    <row r="2358" spans="11:11" x14ac:dyDescent="0.35">
      <c r="K2358" s="1"/>
    </row>
    <row r="2359" spans="11:11" x14ac:dyDescent="0.35">
      <c r="K2359" s="1"/>
    </row>
    <row r="2360" spans="11:11" x14ac:dyDescent="0.35">
      <c r="K2360" s="1"/>
    </row>
    <row r="2361" spans="11:11" x14ac:dyDescent="0.35">
      <c r="K2361" s="1"/>
    </row>
    <row r="2362" spans="11:11" x14ac:dyDescent="0.35">
      <c r="K2362" s="1"/>
    </row>
    <row r="2363" spans="11:11" x14ac:dyDescent="0.35">
      <c r="K2363" s="1"/>
    </row>
    <row r="2364" spans="11:11" x14ac:dyDescent="0.35">
      <c r="K2364" s="1"/>
    </row>
    <row r="2365" spans="11:11" x14ac:dyDescent="0.35">
      <c r="K2365" s="1"/>
    </row>
    <row r="2366" spans="11:11" x14ac:dyDescent="0.35">
      <c r="K2366" s="1"/>
    </row>
    <row r="2367" spans="11:11" x14ac:dyDescent="0.35">
      <c r="K2367" s="1"/>
    </row>
    <row r="2368" spans="11:11" x14ac:dyDescent="0.35">
      <c r="K2368" s="1"/>
    </row>
    <row r="2369" spans="11:11" x14ac:dyDescent="0.35">
      <c r="K2369" s="1"/>
    </row>
    <row r="2370" spans="11:11" x14ac:dyDescent="0.35">
      <c r="K2370" s="1"/>
    </row>
    <row r="2371" spans="11:11" x14ac:dyDescent="0.35">
      <c r="K2371" s="1"/>
    </row>
    <row r="2372" spans="11:11" x14ac:dyDescent="0.35">
      <c r="K2372" s="1"/>
    </row>
    <row r="2373" spans="11:11" x14ac:dyDescent="0.35">
      <c r="K2373" s="1"/>
    </row>
    <row r="2374" spans="11:11" x14ac:dyDescent="0.35">
      <c r="K2374" s="1"/>
    </row>
    <row r="2375" spans="11:11" x14ac:dyDescent="0.35">
      <c r="K2375" s="1"/>
    </row>
    <row r="2376" spans="11:11" x14ac:dyDescent="0.35">
      <c r="K2376" s="1"/>
    </row>
    <row r="2377" spans="11:11" x14ac:dyDescent="0.35">
      <c r="K2377" s="1"/>
    </row>
    <row r="2378" spans="11:11" x14ac:dyDescent="0.35">
      <c r="K2378" s="1"/>
    </row>
    <row r="2379" spans="11:11" x14ac:dyDescent="0.35">
      <c r="K2379" s="1"/>
    </row>
    <row r="2380" spans="11:11" x14ac:dyDescent="0.35">
      <c r="K2380" s="1"/>
    </row>
    <row r="2381" spans="11:11" x14ac:dyDescent="0.35">
      <c r="K2381" s="1"/>
    </row>
    <row r="2382" spans="11:11" x14ac:dyDescent="0.35">
      <c r="K2382" s="1"/>
    </row>
    <row r="2383" spans="11:11" x14ac:dyDescent="0.35">
      <c r="K2383" s="1"/>
    </row>
    <row r="2384" spans="11:11" x14ac:dyDescent="0.35">
      <c r="K2384" s="1"/>
    </row>
    <row r="2385" spans="11:11" x14ac:dyDescent="0.35">
      <c r="K2385" s="1"/>
    </row>
    <row r="2386" spans="11:11" x14ac:dyDescent="0.35">
      <c r="K2386" s="1"/>
    </row>
    <row r="2387" spans="11:11" x14ac:dyDescent="0.35">
      <c r="K2387" s="1"/>
    </row>
    <row r="2388" spans="11:11" x14ac:dyDescent="0.35">
      <c r="K2388" s="1"/>
    </row>
    <row r="2389" spans="11:11" x14ac:dyDescent="0.35">
      <c r="K2389" s="1"/>
    </row>
    <row r="2390" spans="11:11" x14ac:dyDescent="0.35">
      <c r="K2390" s="1"/>
    </row>
    <row r="2391" spans="11:11" x14ac:dyDescent="0.35">
      <c r="K2391" s="1"/>
    </row>
    <row r="2392" spans="11:11" x14ac:dyDescent="0.35">
      <c r="K2392" s="1"/>
    </row>
    <row r="2393" spans="11:11" x14ac:dyDescent="0.35">
      <c r="K2393" s="1"/>
    </row>
    <row r="2394" spans="11:11" x14ac:dyDescent="0.35">
      <c r="K2394" s="1"/>
    </row>
    <row r="2395" spans="11:11" x14ac:dyDescent="0.35">
      <c r="K2395" s="1"/>
    </row>
    <row r="2396" spans="11:11" x14ac:dyDescent="0.35">
      <c r="K2396" s="1"/>
    </row>
    <row r="2397" spans="11:11" x14ac:dyDescent="0.35">
      <c r="K2397" s="1"/>
    </row>
    <row r="2398" spans="11:11" x14ac:dyDescent="0.35">
      <c r="K2398" s="1"/>
    </row>
    <row r="2399" spans="11:11" x14ac:dyDescent="0.35">
      <c r="K2399" s="1"/>
    </row>
    <row r="2400" spans="11:11" x14ac:dyDescent="0.35">
      <c r="K2400" s="1"/>
    </row>
    <row r="2401" spans="11:11" x14ac:dyDescent="0.35">
      <c r="K2401" s="1"/>
    </row>
    <row r="2402" spans="11:11" x14ac:dyDescent="0.35">
      <c r="K2402" s="1"/>
    </row>
    <row r="2403" spans="11:11" x14ac:dyDescent="0.35">
      <c r="K2403" s="1"/>
    </row>
    <row r="2404" spans="11:11" x14ac:dyDescent="0.35">
      <c r="K2404" s="1"/>
    </row>
    <row r="2405" spans="11:11" x14ac:dyDescent="0.35">
      <c r="K2405" s="1"/>
    </row>
    <row r="2406" spans="11:11" x14ac:dyDescent="0.35">
      <c r="K2406" s="1"/>
    </row>
    <row r="2407" spans="11:11" x14ac:dyDescent="0.35">
      <c r="K2407" s="1"/>
    </row>
    <row r="2408" spans="11:11" x14ac:dyDescent="0.35">
      <c r="K2408" s="1"/>
    </row>
    <row r="2409" spans="11:11" x14ac:dyDescent="0.35">
      <c r="K2409" s="1"/>
    </row>
    <row r="2410" spans="11:11" x14ac:dyDescent="0.35">
      <c r="K2410" s="1"/>
    </row>
    <row r="2411" spans="11:11" x14ac:dyDescent="0.35">
      <c r="K2411" s="1"/>
    </row>
    <row r="2412" spans="11:11" x14ac:dyDescent="0.35">
      <c r="K2412" s="1"/>
    </row>
    <row r="2413" spans="11:11" x14ac:dyDescent="0.35">
      <c r="K2413" s="1"/>
    </row>
    <row r="2414" spans="11:11" x14ac:dyDescent="0.35">
      <c r="K2414" s="1"/>
    </row>
    <row r="2415" spans="11:11" x14ac:dyDescent="0.35">
      <c r="K2415" s="1"/>
    </row>
    <row r="2416" spans="11:11" x14ac:dyDescent="0.35">
      <c r="K2416" s="1"/>
    </row>
    <row r="2417" spans="11:11" x14ac:dyDescent="0.35">
      <c r="K2417" s="1"/>
    </row>
    <row r="2418" spans="11:11" x14ac:dyDescent="0.35">
      <c r="K2418" s="1"/>
    </row>
    <row r="2419" spans="11:11" x14ac:dyDescent="0.35">
      <c r="K2419" s="1"/>
    </row>
    <row r="2420" spans="11:11" x14ac:dyDescent="0.35">
      <c r="K2420" s="1"/>
    </row>
    <row r="2421" spans="11:11" x14ac:dyDescent="0.35">
      <c r="K2421" s="1"/>
    </row>
    <row r="2422" spans="11:11" x14ac:dyDescent="0.35">
      <c r="K2422" s="1"/>
    </row>
    <row r="2423" spans="11:11" x14ac:dyDescent="0.35">
      <c r="K2423" s="1"/>
    </row>
    <row r="2424" spans="11:11" x14ac:dyDescent="0.35">
      <c r="K2424" s="1"/>
    </row>
    <row r="2425" spans="11:11" x14ac:dyDescent="0.35">
      <c r="K2425" s="1"/>
    </row>
    <row r="2426" spans="11:11" x14ac:dyDescent="0.35">
      <c r="K2426" s="1"/>
    </row>
    <row r="2427" spans="11:11" x14ac:dyDescent="0.35">
      <c r="K2427" s="1"/>
    </row>
    <row r="2428" spans="11:11" x14ac:dyDescent="0.35">
      <c r="K2428" s="1"/>
    </row>
    <row r="2429" spans="11:11" x14ac:dyDescent="0.35">
      <c r="K2429" s="1"/>
    </row>
    <row r="2430" spans="11:11" x14ac:dyDescent="0.35">
      <c r="K2430" s="1"/>
    </row>
    <row r="2431" spans="11:11" x14ac:dyDescent="0.35">
      <c r="K2431" s="1"/>
    </row>
    <row r="2432" spans="11:11" x14ac:dyDescent="0.35">
      <c r="K2432" s="1"/>
    </row>
    <row r="2433" spans="11:11" x14ac:dyDescent="0.35">
      <c r="K2433" s="1"/>
    </row>
    <row r="2434" spans="11:11" x14ac:dyDescent="0.35">
      <c r="K2434" s="1"/>
    </row>
    <row r="2435" spans="11:11" x14ac:dyDescent="0.35">
      <c r="K2435" s="1"/>
    </row>
    <row r="2436" spans="11:11" x14ac:dyDescent="0.35">
      <c r="K2436" s="1"/>
    </row>
    <row r="2437" spans="11:11" x14ac:dyDescent="0.35">
      <c r="K2437" s="1"/>
    </row>
    <row r="2438" spans="11:11" x14ac:dyDescent="0.35">
      <c r="K2438" s="1"/>
    </row>
    <row r="2439" spans="11:11" x14ac:dyDescent="0.35">
      <c r="K2439" s="1"/>
    </row>
    <row r="2440" spans="11:11" x14ac:dyDescent="0.35">
      <c r="K2440" s="1"/>
    </row>
    <row r="2441" spans="11:11" x14ac:dyDescent="0.35">
      <c r="K2441" s="1"/>
    </row>
    <row r="2442" spans="11:11" x14ac:dyDescent="0.35">
      <c r="K2442" s="1"/>
    </row>
    <row r="2443" spans="11:11" x14ac:dyDescent="0.35">
      <c r="K2443" s="1"/>
    </row>
    <row r="2444" spans="11:11" x14ac:dyDescent="0.35">
      <c r="K2444" s="1"/>
    </row>
    <row r="2445" spans="11:11" x14ac:dyDescent="0.35">
      <c r="K2445" s="1"/>
    </row>
    <row r="2446" spans="11:11" x14ac:dyDescent="0.35">
      <c r="K2446" s="1"/>
    </row>
    <row r="2447" spans="11:11" x14ac:dyDescent="0.35">
      <c r="K2447" s="1"/>
    </row>
    <row r="2448" spans="11:11" x14ac:dyDescent="0.35">
      <c r="K2448" s="1"/>
    </row>
    <row r="2449" spans="11:11" x14ac:dyDescent="0.35">
      <c r="K2449" s="1"/>
    </row>
    <row r="2450" spans="11:11" x14ac:dyDescent="0.35">
      <c r="K2450" s="1"/>
    </row>
    <row r="2451" spans="11:11" x14ac:dyDescent="0.35">
      <c r="K2451" s="1"/>
    </row>
    <row r="2452" spans="11:11" x14ac:dyDescent="0.35">
      <c r="K2452" s="1"/>
    </row>
    <row r="2453" spans="11:11" x14ac:dyDescent="0.35">
      <c r="K2453" s="1"/>
    </row>
    <row r="2454" spans="11:11" x14ac:dyDescent="0.35">
      <c r="K2454" s="1"/>
    </row>
    <row r="2455" spans="11:11" x14ac:dyDescent="0.35">
      <c r="K2455" s="1"/>
    </row>
    <row r="2456" spans="11:11" x14ac:dyDescent="0.35">
      <c r="K2456" s="1"/>
    </row>
    <row r="2457" spans="11:11" x14ac:dyDescent="0.35">
      <c r="K2457" s="1"/>
    </row>
    <row r="2458" spans="11:11" x14ac:dyDescent="0.35">
      <c r="K2458" s="1"/>
    </row>
    <row r="2459" spans="11:11" x14ac:dyDescent="0.35">
      <c r="K2459" s="1"/>
    </row>
    <row r="2460" spans="11:11" x14ac:dyDescent="0.35">
      <c r="K2460" s="1"/>
    </row>
    <row r="2461" spans="11:11" x14ac:dyDescent="0.35">
      <c r="K2461" s="1"/>
    </row>
    <row r="2462" spans="11:11" x14ac:dyDescent="0.35">
      <c r="K2462" s="1"/>
    </row>
    <row r="2463" spans="11:11" x14ac:dyDescent="0.35">
      <c r="K2463" s="1"/>
    </row>
    <row r="2464" spans="11:11" x14ac:dyDescent="0.35">
      <c r="K2464" s="1"/>
    </row>
    <row r="2465" spans="11:11" x14ac:dyDescent="0.35">
      <c r="K2465" s="1"/>
    </row>
    <row r="2466" spans="11:11" x14ac:dyDescent="0.35">
      <c r="K2466" s="1"/>
    </row>
    <row r="2467" spans="11:11" x14ac:dyDescent="0.35">
      <c r="K2467" s="1"/>
    </row>
    <row r="2468" spans="11:11" x14ac:dyDescent="0.35">
      <c r="K2468" s="1"/>
    </row>
    <row r="2469" spans="11:11" x14ac:dyDescent="0.35">
      <c r="K2469" s="1"/>
    </row>
    <row r="2470" spans="11:11" x14ac:dyDescent="0.35">
      <c r="K2470" s="1"/>
    </row>
    <row r="2471" spans="11:11" x14ac:dyDescent="0.35">
      <c r="K2471" s="1"/>
    </row>
    <row r="2472" spans="11:11" x14ac:dyDescent="0.35">
      <c r="K2472" s="1"/>
    </row>
    <row r="2473" spans="11:11" x14ac:dyDescent="0.35">
      <c r="K2473" s="1"/>
    </row>
    <row r="2474" spans="11:11" x14ac:dyDescent="0.35">
      <c r="K2474" s="1"/>
    </row>
    <row r="2475" spans="11:11" x14ac:dyDescent="0.35">
      <c r="K2475" s="1"/>
    </row>
    <row r="2476" spans="11:11" x14ac:dyDescent="0.35">
      <c r="K2476" s="1"/>
    </row>
    <row r="2477" spans="11:11" x14ac:dyDescent="0.35">
      <c r="K2477" s="1"/>
    </row>
    <row r="2478" spans="11:11" x14ac:dyDescent="0.35">
      <c r="K2478" s="1"/>
    </row>
    <row r="2479" spans="11:11" x14ac:dyDescent="0.35">
      <c r="K2479" s="1"/>
    </row>
    <row r="2480" spans="11:11" x14ac:dyDescent="0.35">
      <c r="K2480" s="1"/>
    </row>
    <row r="2481" spans="11:11" x14ac:dyDescent="0.35">
      <c r="K2481" s="1"/>
    </row>
    <row r="2482" spans="11:11" x14ac:dyDescent="0.35">
      <c r="K2482" s="1"/>
    </row>
    <row r="2483" spans="11:11" x14ac:dyDescent="0.35">
      <c r="K2483" s="1"/>
    </row>
    <row r="2484" spans="11:11" x14ac:dyDescent="0.35">
      <c r="K2484" s="1"/>
    </row>
    <row r="2485" spans="11:11" x14ac:dyDescent="0.35">
      <c r="K2485" s="1"/>
    </row>
    <row r="2486" spans="11:11" x14ac:dyDescent="0.35">
      <c r="K2486" s="1"/>
    </row>
    <row r="2487" spans="11:11" x14ac:dyDescent="0.35">
      <c r="K2487" s="1"/>
    </row>
    <row r="2488" spans="11:11" x14ac:dyDescent="0.35">
      <c r="K2488" s="1"/>
    </row>
    <row r="2489" spans="11:11" x14ac:dyDescent="0.35">
      <c r="K2489" s="1"/>
    </row>
    <row r="2490" spans="11:11" x14ac:dyDescent="0.35">
      <c r="K2490" s="1"/>
    </row>
    <row r="2491" spans="11:11" x14ac:dyDescent="0.35">
      <c r="K2491" s="1"/>
    </row>
    <row r="2492" spans="11:11" x14ac:dyDescent="0.35">
      <c r="K2492" s="1"/>
    </row>
    <row r="2493" spans="11:11" x14ac:dyDescent="0.35">
      <c r="K2493" s="1"/>
    </row>
    <row r="2494" spans="11:11" x14ac:dyDescent="0.35">
      <c r="K2494" s="1"/>
    </row>
    <row r="2495" spans="11:11" x14ac:dyDescent="0.35">
      <c r="K2495" s="1"/>
    </row>
    <row r="2496" spans="11:11" x14ac:dyDescent="0.35">
      <c r="K2496" s="1"/>
    </row>
    <row r="2497" spans="11:11" x14ac:dyDescent="0.35">
      <c r="K2497" s="1"/>
    </row>
    <row r="2498" spans="11:11" x14ac:dyDescent="0.35">
      <c r="K2498" s="1"/>
    </row>
    <row r="2499" spans="11:11" x14ac:dyDescent="0.35">
      <c r="K2499" s="1"/>
    </row>
    <row r="2500" spans="11:11" x14ac:dyDescent="0.35">
      <c r="K2500" s="1"/>
    </row>
    <row r="2501" spans="11:11" x14ac:dyDescent="0.35">
      <c r="K2501" s="1"/>
    </row>
    <row r="2502" spans="11:11" x14ac:dyDescent="0.35">
      <c r="K2502" s="1"/>
    </row>
    <row r="2503" spans="11:11" x14ac:dyDescent="0.35">
      <c r="K2503" s="1"/>
    </row>
    <row r="2504" spans="11:11" x14ac:dyDescent="0.35">
      <c r="K2504" s="1"/>
    </row>
    <row r="2505" spans="11:11" x14ac:dyDescent="0.35">
      <c r="K2505" s="1"/>
    </row>
    <row r="2506" spans="11:11" x14ac:dyDescent="0.35">
      <c r="K2506" s="1"/>
    </row>
    <row r="2507" spans="11:11" x14ac:dyDescent="0.35">
      <c r="K2507" s="1"/>
    </row>
    <row r="2508" spans="11:11" x14ac:dyDescent="0.35">
      <c r="K2508" s="1"/>
    </row>
    <row r="2509" spans="11:11" x14ac:dyDescent="0.35">
      <c r="K2509" s="1"/>
    </row>
    <row r="2510" spans="11:11" x14ac:dyDescent="0.35">
      <c r="K2510" s="1"/>
    </row>
    <row r="2511" spans="11:11" x14ac:dyDescent="0.35">
      <c r="K2511" s="1"/>
    </row>
    <row r="2512" spans="11:11" x14ac:dyDescent="0.35">
      <c r="K2512" s="1"/>
    </row>
    <row r="2513" spans="11:11" x14ac:dyDescent="0.35">
      <c r="K2513" s="1"/>
    </row>
    <row r="2514" spans="11:11" x14ac:dyDescent="0.35">
      <c r="K2514" s="1"/>
    </row>
    <row r="2515" spans="11:11" x14ac:dyDescent="0.35">
      <c r="K2515" s="1"/>
    </row>
    <row r="2516" spans="11:11" x14ac:dyDescent="0.35">
      <c r="K2516" s="1"/>
    </row>
    <row r="2517" spans="11:11" x14ac:dyDescent="0.35">
      <c r="K2517" s="1"/>
    </row>
    <row r="2518" spans="11:11" x14ac:dyDescent="0.35">
      <c r="K2518" s="1"/>
    </row>
    <row r="2519" spans="11:11" x14ac:dyDescent="0.35">
      <c r="K2519" s="1"/>
    </row>
    <row r="2520" spans="11:11" x14ac:dyDescent="0.35">
      <c r="K2520" s="1"/>
    </row>
    <row r="2521" spans="11:11" x14ac:dyDescent="0.35">
      <c r="K2521" s="1"/>
    </row>
    <row r="2522" spans="11:11" x14ac:dyDescent="0.35">
      <c r="K2522" s="1"/>
    </row>
    <row r="2523" spans="11:11" x14ac:dyDescent="0.35">
      <c r="K2523" s="1"/>
    </row>
    <row r="2524" spans="11:11" x14ac:dyDescent="0.35">
      <c r="K2524" s="1"/>
    </row>
    <row r="2525" spans="11:11" x14ac:dyDescent="0.35">
      <c r="K2525" s="1"/>
    </row>
    <row r="2526" spans="11:11" x14ac:dyDescent="0.35">
      <c r="K2526" s="1"/>
    </row>
    <row r="2527" spans="11:11" x14ac:dyDescent="0.35">
      <c r="K2527" s="1"/>
    </row>
    <row r="2528" spans="11:11" x14ac:dyDescent="0.35">
      <c r="K2528" s="1"/>
    </row>
    <row r="2529" spans="11:11" x14ac:dyDescent="0.35">
      <c r="K2529" s="1"/>
    </row>
    <row r="2530" spans="11:11" x14ac:dyDescent="0.35">
      <c r="K2530" s="1"/>
    </row>
    <row r="2531" spans="11:11" x14ac:dyDescent="0.35">
      <c r="K2531" s="1"/>
    </row>
  </sheetData>
  <autoFilter ref="H7:I40" xr:uid="{C1126E7C-CF58-491B-AD31-C1E7115929B4}"/>
  <sortState xmlns:xlrd2="http://schemas.microsoft.com/office/spreadsheetml/2017/richdata2" ref="AA8:AB35">
    <sortCondition ref="AB16:AB35"/>
  </sortState>
  <conditionalFormatting sqref="AA852:AA1048576 AA1:AA6 AB7 AA8:AA35">
    <cfRule type="duplicateValues" dxfId="1" priority="3"/>
  </conditionalFormatting>
  <conditionalFormatting sqref="AD7:AE7">
    <cfRule type="duplicateValues" dxfId="0" priority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5CC3-41E4-432A-997A-C64F1036E71B}">
  <sheetPr>
    <tabColor rgb="FF00B050"/>
  </sheetPr>
  <dimension ref="B7:X109"/>
  <sheetViews>
    <sheetView showGridLines="0" topLeftCell="M1" zoomScale="70" zoomScaleNormal="70" workbookViewId="0">
      <selection activeCell="T8" sqref="T8"/>
    </sheetView>
  </sheetViews>
  <sheetFormatPr baseColWidth="10" defaultColWidth="8.85546875" defaultRowHeight="19.5" thickTop="1" thickBottom="1" x14ac:dyDescent="0.3"/>
  <cols>
    <col min="1" max="1" width="8.85546875" style="4"/>
    <col min="2" max="2" width="25.42578125" style="5" bestFit="1" customWidth="1"/>
    <col min="3" max="3" width="72" style="29" bestFit="1" customWidth="1"/>
    <col min="4" max="4" width="12.28515625" style="4" bestFit="1" customWidth="1"/>
    <col min="5" max="5" width="31.140625" style="5" customWidth="1"/>
    <col min="6" max="6" width="32.28515625" style="29" bestFit="1" customWidth="1"/>
    <col min="7" max="7" width="32.28515625" style="5" bestFit="1" customWidth="1"/>
    <col min="8" max="8" width="35.5703125" style="29" customWidth="1"/>
    <col min="9" max="9" width="23" style="5" bestFit="1" customWidth="1"/>
    <col min="10" max="10" width="26" style="29" bestFit="1" customWidth="1"/>
    <col min="11" max="11" width="41.7109375" style="5" bestFit="1" customWidth="1"/>
    <col min="12" max="12" width="44.7109375" style="29" bestFit="1" customWidth="1"/>
    <col min="13" max="13" width="31.28515625" style="5" bestFit="1" customWidth="1"/>
    <col min="14" max="14" width="34.28515625" style="29" bestFit="1" customWidth="1"/>
    <col min="15" max="15" width="23.28515625" style="5" bestFit="1" customWidth="1"/>
    <col min="16" max="16" width="23.28515625" style="29" bestFit="1" customWidth="1"/>
    <col min="17" max="17" width="33.28515625" style="5" bestFit="1" customWidth="1"/>
    <col min="18" max="18" width="33.7109375" style="29" bestFit="1" customWidth="1"/>
    <col min="19" max="19" width="38" style="5" bestFit="1" customWidth="1"/>
    <col min="20" max="20" width="38.42578125" style="29" bestFit="1" customWidth="1"/>
    <col min="21" max="21" width="17.85546875" style="5" bestFit="1" customWidth="1"/>
    <col min="22" max="22" width="17.28515625" style="29" customWidth="1"/>
    <col min="23" max="23" width="21" style="5" customWidth="1"/>
    <col min="24" max="24" width="21.42578125" style="4" customWidth="1"/>
    <col min="25" max="16384" width="8.85546875" style="4"/>
  </cols>
  <sheetData>
    <row r="7" spans="2:24" s="7" customFormat="1" thickTop="1" thickBot="1" x14ac:dyDescent="0.3">
      <c r="B7" s="19" t="s">
        <v>0</v>
      </c>
      <c r="C7" s="20" t="s">
        <v>1</v>
      </c>
      <c r="D7" s="20" t="s">
        <v>2</v>
      </c>
      <c r="E7" s="21" t="s">
        <v>1110</v>
      </c>
      <c r="F7" s="20" t="s">
        <v>3</v>
      </c>
      <c r="G7" s="21" t="s">
        <v>1111</v>
      </c>
      <c r="H7" s="20" t="s">
        <v>4</v>
      </c>
      <c r="I7" s="21" t="s">
        <v>1112</v>
      </c>
      <c r="J7" s="20" t="s">
        <v>5</v>
      </c>
      <c r="K7" s="21" t="s">
        <v>1113</v>
      </c>
      <c r="L7" s="20" t="s">
        <v>7</v>
      </c>
      <c r="M7" s="21" t="s">
        <v>1114</v>
      </c>
      <c r="N7" s="20" t="s">
        <v>8</v>
      </c>
      <c r="O7" s="21" t="s">
        <v>1115</v>
      </c>
      <c r="P7" s="20" t="s">
        <v>6</v>
      </c>
      <c r="Q7" s="21" t="s">
        <v>1116</v>
      </c>
      <c r="R7" s="20" t="s">
        <v>9</v>
      </c>
      <c r="S7" s="21" t="s">
        <v>1117</v>
      </c>
      <c r="T7" s="20" t="s">
        <v>10</v>
      </c>
      <c r="U7" s="21" t="s">
        <v>1118</v>
      </c>
      <c r="V7" s="20" t="s">
        <v>11</v>
      </c>
      <c r="W7" s="20" t="s">
        <v>1119</v>
      </c>
      <c r="X7" s="22" t="s">
        <v>12</v>
      </c>
    </row>
    <row r="8" spans="2:24" thickTop="1" thickBot="1" x14ac:dyDescent="0.4">
      <c r="B8" s="36">
        <v>100012904</v>
      </c>
      <c r="C8" s="31" t="s">
        <v>953</v>
      </c>
      <c r="D8" s="12"/>
      <c r="E8" s="13">
        <v>2</v>
      </c>
      <c r="F8" s="31" t="s">
        <v>1123</v>
      </c>
      <c r="G8" s="13">
        <v>2</v>
      </c>
      <c r="H8" s="31" t="s">
        <v>1124</v>
      </c>
      <c r="I8" s="13">
        <v>26785</v>
      </c>
      <c r="J8" s="31" t="s">
        <v>17</v>
      </c>
      <c r="K8" s="11" t="e">
        <f>_xlfn.XLOOKUP(PRODUCTO_MI_AR4[[#This Row],[NOM CLASIFICACION COMERCIAL]],#REF!,#REF!,"")</f>
        <v>#REF!</v>
      </c>
      <c r="L8" s="31" t="s">
        <v>1125</v>
      </c>
      <c r="M8" s="11" t="e">
        <f>_xlfn.XLOOKUP(PRODUCTO_MI_AR4[[#This Row],[NOM CLASE COMERCIAL]],#REF!,#REF!,"")</f>
        <v>#REF!</v>
      </c>
      <c r="N8" s="31" t="s">
        <v>1126</v>
      </c>
      <c r="O8" s="11" t="e">
        <f>_xlfn.XLOOKUP(PRODUCTO_MI_AR4[[#This Row],[NOM CATEGORIA]],#REF!,#REF!,"")</f>
        <v>#REF!</v>
      </c>
      <c r="P8" s="31" t="s">
        <v>18</v>
      </c>
      <c r="Q8" s="13" t="e">
        <f>_xlfn.XLOOKUP(PRODUCTO_MI_AR4[[#This Row],[NOM FAMILIA COMERCIAL]],#REF!,#REF!,"")</f>
        <v>#REF!</v>
      </c>
      <c r="R8" s="31" t="s">
        <v>1127</v>
      </c>
      <c r="S8" s="11">
        <v>948</v>
      </c>
      <c r="T8" s="27" t="e">
        <f>_xlfn.XLOOKUP(PRODUCTO_MI_AR4[[#This Row],[COD SUBFAMILIA COMERCIAL]],#REF!,#REF!,"")</f>
        <v>#REF!</v>
      </c>
      <c r="U8" s="13" t="e">
        <f>_xlfn.XLOOKUP(PRODUCTO_MI_AR4[[#This Row],[NOM MARCA]],#REF!,#REF!,"")</f>
        <v>#REF!</v>
      </c>
      <c r="V8" s="31" t="s">
        <v>57</v>
      </c>
      <c r="W8" s="13" t="e">
        <f>_xlfn.XLOOKUP(PRODUCTO_MI_AR4[[#This Row],[NOM CONSERVA]],#REF!,#REF!,"")</f>
        <v>#REF!</v>
      </c>
      <c r="X8" s="16" t="s">
        <v>193</v>
      </c>
    </row>
    <row r="9" spans="2:24" thickTop="1" thickBot="1" x14ac:dyDescent="0.4">
      <c r="B9" s="15">
        <v>100010818</v>
      </c>
      <c r="C9" s="29" t="s">
        <v>956</v>
      </c>
      <c r="E9" s="5">
        <v>2</v>
      </c>
      <c r="F9" s="29" t="s">
        <v>1123</v>
      </c>
      <c r="G9" s="5">
        <v>2</v>
      </c>
      <c r="H9" s="29" t="s">
        <v>1124</v>
      </c>
      <c r="I9" s="5">
        <v>26785</v>
      </c>
      <c r="J9" s="29" t="s">
        <v>17</v>
      </c>
      <c r="K9" s="11" t="e">
        <f>_xlfn.XLOOKUP(PRODUCTO_MI_AR4[[#This Row],[NOM CLASIFICACION COMERCIAL]],#REF!,#REF!,"")</f>
        <v>#REF!</v>
      </c>
      <c r="L9" s="29" t="s">
        <v>1125</v>
      </c>
      <c r="M9" s="11" t="e">
        <f>_xlfn.XLOOKUP(PRODUCTO_MI_AR4[[#This Row],[NOM CLASE COMERCIAL]],#REF!,#REF!,"")</f>
        <v>#REF!</v>
      </c>
      <c r="N9" s="29" t="s">
        <v>1126</v>
      </c>
      <c r="O9" s="11" t="e">
        <f>_xlfn.XLOOKUP(PRODUCTO_MI_AR4[[#This Row],[NOM CATEGORIA]],#REF!,#REF!,"")</f>
        <v>#REF!</v>
      </c>
      <c r="P9" s="29" t="s">
        <v>18</v>
      </c>
      <c r="Q9" s="5" t="e">
        <f>_xlfn.XLOOKUP(PRODUCTO_MI_AR4[[#This Row],[NOM FAMILIA COMERCIAL]],#REF!,#REF!,"")</f>
        <v>#REF!</v>
      </c>
      <c r="R9" s="29" t="s">
        <v>1127</v>
      </c>
      <c r="S9" s="11">
        <v>948</v>
      </c>
      <c r="T9" s="27" t="e">
        <f>_xlfn.XLOOKUP(PRODUCTO_MI_AR4[[#This Row],[COD SUBFAMILIA COMERCIAL]],#REF!,#REF!,"")</f>
        <v>#REF!</v>
      </c>
      <c r="U9" s="5" t="e">
        <f>_xlfn.XLOOKUP(PRODUCTO_MI_AR4[[#This Row],[NOM MARCA]],#REF!,#REF!,"")</f>
        <v>#REF!</v>
      </c>
      <c r="V9" s="29" t="s">
        <v>57</v>
      </c>
      <c r="W9" s="13" t="e">
        <f>_xlfn.XLOOKUP(PRODUCTO_MI_AR4[[#This Row],[NOM CONSERVA]],#REF!,#REF!,"")</f>
        <v>#REF!</v>
      </c>
      <c r="X9" s="17" t="s">
        <v>23</v>
      </c>
    </row>
    <row r="10" spans="2:24" thickTop="1" thickBot="1" x14ac:dyDescent="0.4">
      <c r="B10" s="15">
        <v>100518335</v>
      </c>
      <c r="C10" s="29" t="s">
        <v>1128</v>
      </c>
      <c r="E10" s="5">
        <v>2</v>
      </c>
      <c r="F10" s="29" t="s">
        <v>1123</v>
      </c>
      <c r="G10" s="5">
        <v>2</v>
      </c>
      <c r="H10" s="29" t="s">
        <v>1124</v>
      </c>
      <c r="I10" s="5">
        <v>26785</v>
      </c>
      <c r="J10" s="29" t="s">
        <v>17</v>
      </c>
      <c r="K10" s="11" t="e">
        <f>_xlfn.XLOOKUP(PRODUCTO_MI_AR4[[#This Row],[NOM CLASIFICACION COMERCIAL]],#REF!,#REF!,"")</f>
        <v>#REF!</v>
      </c>
      <c r="L10" s="29" t="s">
        <v>1125</v>
      </c>
      <c r="M10" s="11" t="e">
        <f>_xlfn.XLOOKUP(PRODUCTO_MI_AR4[[#This Row],[NOM CLASE COMERCIAL]],#REF!,#REF!,"")</f>
        <v>#REF!</v>
      </c>
      <c r="N10" s="29" t="s">
        <v>1126</v>
      </c>
      <c r="O10" s="11" t="e">
        <f>_xlfn.XLOOKUP(PRODUCTO_MI_AR4[[#This Row],[NOM CATEGORIA]],#REF!,#REF!,"")</f>
        <v>#REF!</v>
      </c>
      <c r="P10" s="29" t="s">
        <v>18</v>
      </c>
      <c r="Q10" s="5" t="e">
        <f>_xlfn.XLOOKUP(PRODUCTO_MI_AR4[[#This Row],[NOM FAMILIA COMERCIAL]],#REF!,#REF!,"")</f>
        <v>#REF!</v>
      </c>
      <c r="R10" s="29" t="s">
        <v>1127</v>
      </c>
      <c r="S10" s="11">
        <v>948</v>
      </c>
      <c r="T10" s="27" t="e">
        <f>_xlfn.XLOOKUP(PRODUCTO_MI_AR4[[#This Row],[COD SUBFAMILIA COMERCIAL]],#REF!,#REF!,"")</f>
        <v>#REF!</v>
      </c>
      <c r="U10" s="5" t="e">
        <f>_xlfn.XLOOKUP(PRODUCTO_MI_AR4[[#This Row],[NOM MARCA]],#REF!,#REF!,"")</f>
        <v>#REF!</v>
      </c>
      <c r="V10" s="29" t="s">
        <v>57</v>
      </c>
      <c r="W10" s="13" t="e">
        <f>_xlfn.XLOOKUP(PRODUCTO_MI_AR4[[#This Row],[NOM CONSERVA]],#REF!,#REF!,"")</f>
        <v>#REF!</v>
      </c>
      <c r="X10" s="17" t="s">
        <v>23</v>
      </c>
    </row>
    <row r="11" spans="2:24" thickTop="1" thickBot="1" x14ac:dyDescent="0.4">
      <c r="B11" s="15">
        <v>100010654</v>
      </c>
      <c r="C11" s="29" t="s">
        <v>997</v>
      </c>
      <c r="E11" s="5">
        <v>2</v>
      </c>
      <c r="F11" s="29" t="s">
        <v>1123</v>
      </c>
      <c r="G11" s="5">
        <v>2</v>
      </c>
      <c r="H11" s="29" t="s">
        <v>1124</v>
      </c>
      <c r="I11" s="5">
        <v>26785</v>
      </c>
      <c r="J11" s="29" t="s">
        <v>17</v>
      </c>
      <c r="K11" s="11" t="e">
        <f>_xlfn.XLOOKUP(PRODUCTO_MI_AR4[[#This Row],[NOM CLASIFICACION COMERCIAL]],#REF!,#REF!,"")</f>
        <v>#REF!</v>
      </c>
      <c r="L11" s="29" t="s">
        <v>1125</v>
      </c>
      <c r="M11" s="11" t="e">
        <f>_xlfn.XLOOKUP(PRODUCTO_MI_AR4[[#This Row],[NOM CLASE COMERCIAL]],#REF!,#REF!,"")</f>
        <v>#REF!</v>
      </c>
      <c r="N11" s="29" t="s">
        <v>1126</v>
      </c>
      <c r="O11" s="11" t="e">
        <f>_xlfn.XLOOKUP(PRODUCTO_MI_AR4[[#This Row],[NOM CATEGORIA]],#REF!,#REF!,"")</f>
        <v>#REF!</v>
      </c>
      <c r="P11" s="29" t="s">
        <v>18</v>
      </c>
      <c r="Q11" s="5" t="e">
        <f>_xlfn.XLOOKUP(PRODUCTO_MI_AR4[[#This Row],[NOM FAMILIA COMERCIAL]],#REF!,#REF!,"")</f>
        <v>#REF!</v>
      </c>
      <c r="R11" s="29" t="s">
        <v>1127</v>
      </c>
      <c r="S11" s="11">
        <v>948</v>
      </c>
      <c r="T11" s="27" t="e">
        <f>_xlfn.XLOOKUP(PRODUCTO_MI_AR4[[#This Row],[COD SUBFAMILIA COMERCIAL]],#REF!,#REF!,"")</f>
        <v>#REF!</v>
      </c>
      <c r="U11" s="5" t="e">
        <f>_xlfn.XLOOKUP(PRODUCTO_MI_AR4[[#This Row],[NOM MARCA]],#REF!,#REF!,"")</f>
        <v>#REF!</v>
      </c>
      <c r="V11" s="29" t="s">
        <v>57</v>
      </c>
      <c r="W11" s="13" t="e">
        <f>_xlfn.XLOOKUP(PRODUCTO_MI_AR4[[#This Row],[NOM CONSERVA]],#REF!,#REF!,"")</f>
        <v>#REF!</v>
      </c>
      <c r="X11" s="17" t="s">
        <v>23</v>
      </c>
    </row>
    <row r="12" spans="2:24" thickTop="1" thickBot="1" x14ac:dyDescent="0.4">
      <c r="B12" s="14">
        <v>100516156</v>
      </c>
      <c r="C12" s="28" t="s">
        <v>158</v>
      </c>
      <c r="D12" s="9"/>
      <c r="E12" s="8">
        <v>2</v>
      </c>
      <c r="F12" s="28" t="s">
        <v>1123</v>
      </c>
      <c r="G12" s="8">
        <v>2</v>
      </c>
      <c r="H12" s="28" t="s">
        <v>1124</v>
      </c>
      <c r="I12" s="8">
        <v>26785</v>
      </c>
      <c r="J12" s="28" t="s">
        <v>17</v>
      </c>
      <c r="K12" s="11" t="e">
        <f>_xlfn.XLOOKUP(PRODUCTO_MI_AR4[[#This Row],[NOM CLASIFICACION COMERCIAL]],#REF!,#REF!,"")</f>
        <v>#REF!</v>
      </c>
      <c r="L12" s="28" t="s">
        <v>101</v>
      </c>
      <c r="M12" s="11" t="e">
        <f>_xlfn.XLOOKUP(PRODUCTO_MI_AR4[[#This Row],[NOM CLASE COMERCIAL]],#REF!,#REF!,"")</f>
        <v>#REF!</v>
      </c>
      <c r="N12" s="28" t="s">
        <v>1126</v>
      </c>
      <c r="O12" s="11" t="e">
        <f>_xlfn.XLOOKUP(PRODUCTO_MI_AR4[[#This Row],[NOM CATEGORIA]],#REF!,#REF!,"")</f>
        <v>#REF!</v>
      </c>
      <c r="P12" s="28" t="s">
        <v>18</v>
      </c>
      <c r="Q12" s="8" t="e">
        <f>_xlfn.XLOOKUP(PRODUCTO_MI_AR4[[#This Row],[NOM FAMILIA COMERCIAL]],#REF!,#REF!,"")</f>
        <v>#REF!</v>
      </c>
      <c r="R12" s="28" t="s">
        <v>1129</v>
      </c>
      <c r="S12" s="11">
        <v>900</v>
      </c>
      <c r="T12" s="27" t="e">
        <f>_xlfn.XLOOKUP(PRODUCTO_MI_AR4[[#This Row],[COD SUBFAMILIA COMERCIAL]],#REF!,#REF!,"")</f>
        <v>#REF!</v>
      </c>
      <c r="U12" s="8" t="e">
        <f>_xlfn.XLOOKUP(PRODUCTO_MI_AR4[[#This Row],[NOM MARCA]],#REF!,#REF!,"")</f>
        <v>#REF!</v>
      </c>
      <c r="V12" s="29" t="s">
        <v>57</v>
      </c>
      <c r="W12" s="13" t="e">
        <f>_xlfn.XLOOKUP(PRODUCTO_MI_AR4[[#This Row],[NOM CONSERVA]],#REF!,#REF!,"")</f>
        <v>#REF!</v>
      </c>
      <c r="X12" s="17" t="s">
        <v>23</v>
      </c>
    </row>
    <row r="13" spans="2:24" thickTop="1" thickBot="1" x14ac:dyDescent="0.4">
      <c r="B13" s="14">
        <v>100010009</v>
      </c>
      <c r="C13" s="28" t="s">
        <v>250</v>
      </c>
      <c r="D13" s="9"/>
      <c r="E13" s="8">
        <v>2</v>
      </c>
      <c r="F13" s="28" t="s">
        <v>1123</v>
      </c>
      <c r="G13" s="8">
        <v>2</v>
      </c>
      <c r="H13" s="28" t="s">
        <v>1124</v>
      </c>
      <c r="I13" s="8">
        <v>26785</v>
      </c>
      <c r="J13" s="28" t="s">
        <v>17</v>
      </c>
      <c r="K13" s="11" t="e">
        <f>_xlfn.XLOOKUP(PRODUCTO_MI_AR4[[#This Row],[NOM CLASIFICACION COMERCIAL]],#REF!,#REF!,"")</f>
        <v>#REF!</v>
      </c>
      <c r="L13" s="28" t="s">
        <v>231</v>
      </c>
      <c r="M13" s="11" t="e">
        <f>_xlfn.XLOOKUP(PRODUCTO_MI_AR4[[#This Row],[NOM CLASE COMERCIAL]],#REF!,#REF!,"")</f>
        <v>#REF!</v>
      </c>
      <c r="N13" s="28" t="s">
        <v>1126</v>
      </c>
      <c r="O13" s="11" t="e">
        <f>_xlfn.XLOOKUP(PRODUCTO_MI_AR4[[#This Row],[NOM CATEGORIA]],#REF!,#REF!,"")</f>
        <v>#REF!</v>
      </c>
      <c r="P13" s="28" t="s">
        <v>18</v>
      </c>
      <c r="Q13" s="8" t="e">
        <f>_xlfn.XLOOKUP(PRODUCTO_MI_AR4[[#This Row],[NOM FAMILIA COMERCIAL]],#REF!,#REF!,"")</f>
        <v>#REF!</v>
      </c>
      <c r="R13" s="28" t="s">
        <v>1130</v>
      </c>
      <c r="S13" s="11">
        <v>901</v>
      </c>
      <c r="T13" s="27" t="e">
        <f>_xlfn.XLOOKUP(PRODUCTO_MI_AR4[[#This Row],[COD SUBFAMILIA COMERCIAL]],#REF!,#REF!,"")</f>
        <v>#REF!</v>
      </c>
      <c r="U13" s="8" t="e">
        <f>_xlfn.XLOOKUP(PRODUCTO_MI_AR4[[#This Row],[NOM MARCA]],#REF!,#REF!,"")</f>
        <v>#REF!</v>
      </c>
      <c r="V13" s="29" t="s">
        <v>57</v>
      </c>
      <c r="W13" s="13" t="e">
        <f>_xlfn.XLOOKUP(PRODUCTO_MI_AR4[[#This Row],[NOM CONSERVA]],#REF!,#REF!,"")</f>
        <v>#REF!</v>
      </c>
      <c r="X13" s="17" t="s">
        <v>23</v>
      </c>
    </row>
    <row r="14" spans="2:24" thickTop="1" thickBot="1" x14ac:dyDescent="0.4">
      <c r="B14" s="14">
        <v>100518331</v>
      </c>
      <c r="C14" s="28" t="s">
        <v>251</v>
      </c>
      <c r="D14" s="9"/>
      <c r="E14" s="8">
        <v>2</v>
      </c>
      <c r="F14" s="28" t="s">
        <v>1123</v>
      </c>
      <c r="G14" s="8">
        <v>2</v>
      </c>
      <c r="H14" s="28" t="s">
        <v>1124</v>
      </c>
      <c r="I14" s="8">
        <v>26785</v>
      </c>
      <c r="J14" s="28" t="s">
        <v>17</v>
      </c>
      <c r="K14" s="11" t="e">
        <f>_xlfn.XLOOKUP(PRODUCTO_MI_AR4[[#This Row],[NOM CLASIFICACION COMERCIAL]],#REF!,#REF!,"")</f>
        <v>#REF!</v>
      </c>
      <c r="L14" s="28" t="s">
        <v>231</v>
      </c>
      <c r="M14" s="11" t="e">
        <f>_xlfn.XLOOKUP(PRODUCTO_MI_AR4[[#This Row],[NOM CLASE COMERCIAL]],#REF!,#REF!,"")</f>
        <v>#REF!</v>
      </c>
      <c r="N14" s="28" t="s">
        <v>1126</v>
      </c>
      <c r="O14" s="11" t="e">
        <f>_xlfn.XLOOKUP(PRODUCTO_MI_AR4[[#This Row],[NOM CATEGORIA]],#REF!,#REF!,"")</f>
        <v>#REF!</v>
      </c>
      <c r="P14" s="28" t="s">
        <v>18</v>
      </c>
      <c r="Q14" s="8" t="e">
        <f>_xlfn.XLOOKUP(PRODUCTO_MI_AR4[[#This Row],[NOM FAMILIA COMERCIAL]],#REF!,#REF!,"")</f>
        <v>#REF!</v>
      </c>
      <c r="R14" s="28" t="s">
        <v>1130</v>
      </c>
      <c r="S14" s="11">
        <v>903</v>
      </c>
      <c r="T14" s="27" t="e">
        <f>_xlfn.XLOOKUP(PRODUCTO_MI_AR4[[#This Row],[COD SUBFAMILIA COMERCIAL]],#REF!,#REF!,"")</f>
        <v>#REF!</v>
      </c>
      <c r="U14" s="8" t="e">
        <f>_xlfn.XLOOKUP(PRODUCTO_MI_AR4[[#This Row],[NOM MARCA]],#REF!,#REF!,"")</f>
        <v>#REF!</v>
      </c>
      <c r="V14" s="29" t="s">
        <v>57</v>
      </c>
      <c r="W14" s="13" t="e">
        <f>_xlfn.XLOOKUP(PRODUCTO_MI_AR4[[#This Row],[NOM CONSERVA]],#REF!,#REF!,"")</f>
        <v>#REF!</v>
      </c>
      <c r="X14" s="17" t="s">
        <v>23</v>
      </c>
    </row>
    <row r="15" spans="2:24" thickTop="1" thickBot="1" x14ac:dyDescent="0.4">
      <c r="B15" s="14">
        <v>100011562</v>
      </c>
      <c r="C15" s="28" t="s">
        <v>259</v>
      </c>
      <c r="D15" s="9"/>
      <c r="E15" s="8">
        <v>2</v>
      </c>
      <c r="F15" s="28" t="s">
        <v>1123</v>
      </c>
      <c r="G15" s="8">
        <v>2</v>
      </c>
      <c r="H15" s="28" t="s">
        <v>1124</v>
      </c>
      <c r="I15" s="8">
        <v>26785</v>
      </c>
      <c r="J15" s="28" t="s">
        <v>17</v>
      </c>
      <c r="K15" s="11" t="e">
        <f>_xlfn.XLOOKUP(PRODUCTO_MI_AR4[[#This Row],[NOM CLASIFICACION COMERCIAL]],#REF!,#REF!,"")</f>
        <v>#REF!</v>
      </c>
      <c r="L15" s="28" t="s">
        <v>231</v>
      </c>
      <c r="M15" s="11" t="e">
        <f>_xlfn.XLOOKUP(PRODUCTO_MI_AR4[[#This Row],[NOM CLASE COMERCIAL]],#REF!,#REF!,"")</f>
        <v>#REF!</v>
      </c>
      <c r="N15" s="28" t="s">
        <v>1126</v>
      </c>
      <c r="O15" s="11" t="e">
        <f>_xlfn.XLOOKUP(PRODUCTO_MI_AR4[[#This Row],[NOM CATEGORIA]],#REF!,#REF!,"")</f>
        <v>#REF!</v>
      </c>
      <c r="P15" s="28" t="s">
        <v>18</v>
      </c>
      <c r="Q15" s="8" t="e">
        <f>_xlfn.XLOOKUP(PRODUCTO_MI_AR4[[#This Row],[NOM FAMILIA COMERCIAL]],#REF!,#REF!,"")</f>
        <v>#REF!</v>
      </c>
      <c r="R15" s="28" t="s">
        <v>1130</v>
      </c>
      <c r="S15" s="11">
        <v>902</v>
      </c>
      <c r="T15" s="27" t="e">
        <f>_xlfn.XLOOKUP(PRODUCTO_MI_AR4[[#This Row],[COD SUBFAMILIA COMERCIAL]],#REF!,#REF!,"")</f>
        <v>#REF!</v>
      </c>
      <c r="U15" s="8" t="e">
        <f>_xlfn.XLOOKUP(PRODUCTO_MI_AR4[[#This Row],[NOM MARCA]],#REF!,#REF!,"")</f>
        <v>#REF!</v>
      </c>
      <c r="V15" s="29" t="s">
        <v>57</v>
      </c>
      <c r="W15" s="13" t="e">
        <f>_xlfn.XLOOKUP(PRODUCTO_MI_AR4[[#This Row],[NOM CONSERVA]],#REF!,#REF!,"")</f>
        <v>#REF!</v>
      </c>
      <c r="X15" s="17" t="s">
        <v>23</v>
      </c>
    </row>
    <row r="16" spans="2:24" thickTop="1" thickBot="1" x14ac:dyDescent="0.4">
      <c r="B16" s="14">
        <v>100011586</v>
      </c>
      <c r="C16" s="28" t="s">
        <v>359</v>
      </c>
      <c r="D16" s="9"/>
      <c r="E16" s="8">
        <v>2</v>
      </c>
      <c r="F16" s="28" t="s">
        <v>1123</v>
      </c>
      <c r="G16" s="8">
        <v>2</v>
      </c>
      <c r="H16" s="28" t="s">
        <v>1124</v>
      </c>
      <c r="I16" s="8">
        <v>26785</v>
      </c>
      <c r="J16" s="28" t="s">
        <v>17</v>
      </c>
      <c r="K16" s="11" t="e">
        <f>_xlfn.XLOOKUP(PRODUCTO_MI_AR4[[#This Row],[NOM CLASIFICACION COMERCIAL]],#REF!,#REF!,"")</f>
        <v>#REF!</v>
      </c>
      <c r="L16" s="28" t="s">
        <v>101</v>
      </c>
      <c r="M16" s="11" t="e">
        <f>_xlfn.XLOOKUP(PRODUCTO_MI_AR4[[#This Row],[NOM CLASE COMERCIAL]],#REF!,#REF!,"")</f>
        <v>#REF!</v>
      </c>
      <c r="N16" s="28" t="s">
        <v>1126</v>
      </c>
      <c r="O16" s="11" t="e">
        <f>_xlfn.XLOOKUP(PRODUCTO_MI_AR4[[#This Row],[NOM CATEGORIA]],#REF!,#REF!,"")</f>
        <v>#REF!</v>
      </c>
      <c r="P16" s="28" t="s">
        <v>18</v>
      </c>
      <c r="Q16" s="8" t="e">
        <f>_xlfn.XLOOKUP(PRODUCTO_MI_AR4[[#This Row],[NOM FAMILIA COMERCIAL]],#REF!,#REF!,"")</f>
        <v>#REF!</v>
      </c>
      <c r="R16" s="28" t="s">
        <v>1131</v>
      </c>
      <c r="S16" s="11">
        <v>908</v>
      </c>
      <c r="T16" s="27" t="e">
        <f>_xlfn.XLOOKUP(PRODUCTO_MI_AR4[[#This Row],[COD SUBFAMILIA COMERCIAL]],#REF!,#REF!,"")</f>
        <v>#REF!</v>
      </c>
      <c r="U16" s="8" t="e">
        <f>_xlfn.XLOOKUP(PRODUCTO_MI_AR4[[#This Row],[NOM MARCA]],#REF!,#REF!,"")</f>
        <v>#REF!</v>
      </c>
      <c r="V16" s="29" t="s">
        <v>57</v>
      </c>
      <c r="W16" s="13" t="e">
        <f>_xlfn.XLOOKUP(PRODUCTO_MI_AR4[[#This Row],[NOM CONSERVA]],#REF!,#REF!,"")</f>
        <v>#REF!</v>
      </c>
      <c r="X16" s="17" t="s">
        <v>193</v>
      </c>
    </row>
    <row r="17" spans="2:24" thickTop="1" thickBot="1" x14ac:dyDescent="0.4">
      <c r="B17" s="14">
        <v>100010004</v>
      </c>
      <c r="C17" s="28" t="s">
        <v>368</v>
      </c>
      <c r="D17" s="9"/>
      <c r="E17" s="8">
        <v>2</v>
      </c>
      <c r="F17" s="28" t="s">
        <v>1123</v>
      </c>
      <c r="G17" s="8">
        <v>2</v>
      </c>
      <c r="H17" s="28" t="s">
        <v>1124</v>
      </c>
      <c r="I17" s="8">
        <v>26785</v>
      </c>
      <c r="J17" s="28" t="s">
        <v>17</v>
      </c>
      <c r="K17" s="11" t="e">
        <f>_xlfn.XLOOKUP(PRODUCTO_MI_AR4[[#This Row],[NOM CLASIFICACION COMERCIAL]],#REF!,#REF!,"")</f>
        <v>#REF!</v>
      </c>
      <c r="L17" s="28" t="s">
        <v>101</v>
      </c>
      <c r="M17" s="11" t="e">
        <f>_xlfn.XLOOKUP(PRODUCTO_MI_AR4[[#This Row],[NOM CLASE COMERCIAL]],#REF!,#REF!,"")</f>
        <v>#REF!</v>
      </c>
      <c r="N17" s="28" t="s">
        <v>1126</v>
      </c>
      <c r="O17" s="11" t="e">
        <f>_xlfn.XLOOKUP(PRODUCTO_MI_AR4[[#This Row],[NOM CATEGORIA]],#REF!,#REF!,"")</f>
        <v>#REF!</v>
      </c>
      <c r="P17" s="28" t="s">
        <v>18</v>
      </c>
      <c r="Q17" s="8" t="e">
        <f>_xlfn.XLOOKUP(PRODUCTO_MI_AR4[[#This Row],[NOM FAMILIA COMERCIAL]],#REF!,#REF!,"")</f>
        <v>#REF!</v>
      </c>
      <c r="R17" s="28" t="s">
        <v>1131</v>
      </c>
      <c r="S17" s="11">
        <v>908</v>
      </c>
      <c r="T17" s="27" t="e">
        <f>_xlfn.XLOOKUP(PRODUCTO_MI_AR4[[#This Row],[COD SUBFAMILIA COMERCIAL]],#REF!,#REF!,"")</f>
        <v>#REF!</v>
      </c>
      <c r="U17" s="8" t="e">
        <f>_xlfn.XLOOKUP(PRODUCTO_MI_AR4[[#This Row],[NOM MARCA]],#REF!,#REF!,"")</f>
        <v>#REF!</v>
      </c>
      <c r="V17" s="29" t="s">
        <v>57</v>
      </c>
      <c r="W17" s="13" t="e">
        <f>_xlfn.XLOOKUP(PRODUCTO_MI_AR4[[#This Row],[NOM CONSERVA]],#REF!,#REF!,"")</f>
        <v>#REF!</v>
      </c>
      <c r="X17" s="17" t="s">
        <v>23</v>
      </c>
    </row>
    <row r="18" spans="2:24" thickTop="1" thickBot="1" x14ac:dyDescent="0.4">
      <c r="B18" s="14">
        <v>100517915</v>
      </c>
      <c r="C18" s="28" t="s">
        <v>299</v>
      </c>
      <c r="D18" s="9"/>
      <c r="E18" s="8">
        <v>2</v>
      </c>
      <c r="F18" s="28" t="s">
        <v>1123</v>
      </c>
      <c r="G18" s="8">
        <v>2</v>
      </c>
      <c r="H18" s="28" t="s">
        <v>1124</v>
      </c>
      <c r="I18" s="8">
        <v>26785</v>
      </c>
      <c r="J18" s="28" t="s">
        <v>17</v>
      </c>
      <c r="K18" s="11" t="e">
        <f>_xlfn.XLOOKUP(PRODUCTO_MI_AR4[[#This Row],[NOM CLASIFICACION COMERCIAL]],#REF!,#REF!,"")</f>
        <v>#REF!</v>
      </c>
      <c r="L18" s="28" t="s">
        <v>1132</v>
      </c>
      <c r="M18" s="11" t="e">
        <f>_xlfn.XLOOKUP(PRODUCTO_MI_AR4[[#This Row],[NOM CLASE COMERCIAL]],#REF!,#REF!,"")</f>
        <v>#REF!</v>
      </c>
      <c r="N18" s="28" t="s">
        <v>1133</v>
      </c>
      <c r="O18" s="11" t="e">
        <f>_xlfn.XLOOKUP(PRODUCTO_MI_AR4[[#This Row],[NOM CATEGORIA]],#REF!,#REF!,"")</f>
        <v>#REF!</v>
      </c>
      <c r="P18" s="28" t="s">
        <v>18</v>
      </c>
      <c r="Q18" s="8" t="e">
        <f>_xlfn.XLOOKUP(PRODUCTO_MI_AR4[[#This Row],[NOM FAMILIA COMERCIAL]],#REF!,#REF!,"")</f>
        <v>#REF!</v>
      </c>
      <c r="R18" s="28" t="s">
        <v>300</v>
      </c>
      <c r="S18" s="11">
        <v>904</v>
      </c>
      <c r="T18" s="27" t="e">
        <f>_xlfn.XLOOKUP(PRODUCTO_MI_AR4[[#This Row],[COD SUBFAMILIA COMERCIAL]],#REF!,#REF!,"")</f>
        <v>#REF!</v>
      </c>
      <c r="U18" s="8" t="e">
        <f>_xlfn.XLOOKUP(PRODUCTO_MI_AR4[[#This Row],[NOM MARCA]],#REF!,#REF!,"")</f>
        <v>#REF!</v>
      </c>
      <c r="V18" s="29" t="s">
        <v>57</v>
      </c>
      <c r="W18" s="13" t="e">
        <f>_xlfn.XLOOKUP(PRODUCTO_MI_AR4[[#This Row],[NOM CONSERVA]],#REF!,#REF!,"")</f>
        <v>#REF!</v>
      </c>
      <c r="X18" s="17" t="s">
        <v>193</v>
      </c>
    </row>
    <row r="19" spans="2:24" thickTop="1" thickBot="1" x14ac:dyDescent="0.4">
      <c r="B19" s="14">
        <v>100517914</v>
      </c>
      <c r="C19" s="28" t="s">
        <v>304</v>
      </c>
      <c r="D19" s="9"/>
      <c r="E19" s="8">
        <v>2</v>
      </c>
      <c r="F19" s="28" t="s">
        <v>1123</v>
      </c>
      <c r="G19" s="8">
        <v>2</v>
      </c>
      <c r="H19" s="28" t="s">
        <v>1124</v>
      </c>
      <c r="I19" s="8">
        <v>26785</v>
      </c>
      <c r="J19" s="28" t="s">
        <v>17</v>
      </c>
      <c r="K19" s="11" t="e">
        <f>_xlfn.XLOOKUP(PRODUCTO_MI_AR4[[#This Row],[NOM CLASIFICACION COMERCIAL]],#REF!,#REF!,"")</f>
        <v>#REF!</v>
      </c>
      <c r="L19" s="28" t="s">
        <v>1132</v>
      </c>
      <c r="M19" s="11" t="e">
        <f>_xlfn.XLOOKUP(PRODUCTO_MI_AR4[[#This Row],[NOM CLASE COMERCIAL]],#REF!,#REF!,"")</f>
        <v>#REF!</v>
      </c>
      <c r="N19" s="28" t="s">
        <v>1133</v>
      </c>
      <c r="O19" s="11" t="e">
        <f>_xlfn.XLOOKUP(PRODUCTO_MI_AR4[[#This Row],[NOM CATEGORIA]],#REF!,#REF!,"")</f>
        <v>#REF!</v>
      </c>
      <c r="P19" s="28" t="s">
        <v>18</v>
      </c>
      <c r="Q19" s="8" t="e">
        <f>_xlfn.XLOOKUP(PRODUCTO_MI_AR4[[#This Row],[NOM FAMILIA COMERCIAL]],#REF!,#REF!,"")</f>
        <v>#REF!</v>
      </c>
      <c r="R19" s="28" t="s">
        <v>300</v>
      </c>
      <c r="S19" s="11">
        <v>904</v>
      </c>
      <c r="T19" s="27" t="e">
        <f>_xlfn.XLOOKUP(PRODUCTO_MI_AR4[[#This Row],[COD SUBFAMILIA COMERCIAL]],#REF!,#REF!,"")</f>
        <v>#REF!</v>
      </c>
      <c r="U19" s="8" t="e">
        <f>_xlfn.XLOOKUP(PRODUCTO_MI_AR4[[#This Row],[NOM MARCA]],#REF!,#REF!,"")</f>
        <v>#REF!</v>
      </c>
      <c r="V19" s="29" t="s">
        <v>57</v>
      </c>
      <c r="W19" s="13" t="e">
        <f>_xlfn.XLOOKUP(PRODUCTO_MI_AR4[[#This Row],[NOM CONSERVA]],#REF!,#REF!,"")</f>
        <v>#REF!</v>
      </c>
      <c r="X19" s="17" t="s">
        <v>193</v>
      </c>
    </row>
    <row r="20" spans="2:24" thickTop="1" thickBot="1" x14ac:dyDescent="0.4">
      <c r="B20" s="14">
        <v>100520478</v>
      </c>
      <c r="C20" s="28" t="s">
        <v>305</v>
      </c>
      <c r="D20" s="9"/>
      <c r="E20" s="8">
        <v>2</v>
      </c>
      <c r="F20" s="28" t="s">
        <v>1123</v>
      </c>
      <c r="G20" s="8">
        <v>2</v>
      </c>
      <c r="H20" s="28" t="s">
        <v>1124</v>
      </c>
      <c r="I20" s="8">
        <v>26785</v>
      </c>
      <c r="J20" s="28" t="s">
        <v>17</v>
      </c>
      <c r="K20" s="11" t="e">
        <f>_xlfn.XLOOKUP(PRODUCTO_MI_AR4[[#This Row],[NOM CLASIFICACION COMERCIAL]],#REF!,#REF!,"")</f>
        <v>#REF!</v>
      </c>
      <c r="L20" s="28" t="s">
        <v>1132</v>
      </c>
      <c r="M20" s="11" t="e">
        <f>_xlfn.XLOOKUP(PRODUCTO_MI_AR4[[#This Row],[NOM CLASE COMERCIAL]],#REF!,#REF!,"")</f>
        <v>#REF!</v>
      </c>
      <c r="N20" s="28" t="s">
        <v>1133</v>
      </c>
      <c r="O20" s="11" t="e">
        <f>_xlfn.XLOOKUP(PRODUCTO_MI_AR4[[#This Row],[NOM CATEGORIA]],#REF!,#REF!,"")</f>
        <v>#REF!</v>
      </c>
      <c r="P20" s="28" t="s">
        <v>18</v>
      </c>
      <c r="Q20" s="8" t="e">
        <f>_xlfn.XLOOKUP(PRODUCTO_MI_AR4[[#This Row],[NOM FAMILIA COMERCIAL]],#REF!,#REF!,"")</f>
        <v>#REF!</v>
      </c>
      <c r="R20" s="28" t="s">
        <v>300</v>
      </c>
      <c r="S20" s="11">
        <v>904</v>
      </c>
      <c r="T20" s="27" t="e">
        <f>_xlfn.XLOOKUP(PRODUCTO_MI_AR4[[#This Row],[COD SUBFAMILIA COMERCIAL]],#REF!,#REF!,"")</f>
        <v>#REF!</v>
      </c>
      <c r="U20" s="8" t="e">
        <f>_xlfn.XLOOKUP(PRODUCTO_MI_AR4[[#This Row],[NOM MARCA]],#REF!,#REF!,"")</f>
        <v>#REF!</v>
      </c>
      <c r="V20" s="29" t="s">
        <v>57</v>
      </c>
      <c r="W20" s="13" t="e">
        <f>_xlfn.XLOOKUP(PRODUCTO_MI_AR4[[#This Row],[NOM CONSERVA]],#REF!,#REF!,"")</f>
        <v>#REF!</v>
      </c>
      <c r="X20" s="17" t="s">
        <v>193</v>
      </c>
    </row>
    <row r="21" spans="2:24" thickTop="1" thickBot="1" x14ac:dyDescent="0.4">
      <c r="B21" s="14">
        <v>100517913</v>
      </c>
      <c r="C21" s="28" t="s">
        <v>311</v>
      </c>
      <c r="D21" s="9"/>
      <c r="E21" s="8">
        <v>2</v>
      </c>
      <c r="F21" s="28" t="s">
        <v>1123</v>
      </c>
      <c r="G21" s="8">
        <v>2</v>
      </c>
      <c r="H21" s="28" t="s">
        <v>1124</v>
      </c>
      <c r="I21" s="8">
        <v>26785</v>
      </c>
      <c r="J21" s="28" t="s">
        <v>17</v>
      </c>
      <c r="K21" s="11" t="e">
        <f>_xlfn.XLOOKUP(PRODUCTO_MI_AR4[[#This Row],[NOM CLASIFICACION COMERCIAL]],#REF!,#REF!,"")</f>
        <v>#REF!</v>
      </c>
      <c r="L21" s="28" t="s">
        <v>1132</v>
      </c>
      <c r="M21" s="11" t="e">
        <f>_xlfn.XLOOKUP(PRODUCTO_MI_AR4[[#This Row],[NOM CLASE COMERCIAL]],#REF!,#REF!,"")</f>
        <v>#REF!</v>
      </c>
      <c r="N21" s="28" t="s">
        <v>1133</v>
      </c>
      <c r="O21" s="11" t="e">
        <f>_xlfn.XLOOKUP(PRODUCTO_MI_AR4[[#This Row],[NOM CATEGORIA]],#REF!,#REF!,"")</f>
        <v>#REF!</v>
      </c>
      <c r="P21" s="28" t="s">
        <v>18</v>
      </c>
      <c r="Q21" s="8" t="e">
        <f>_xlfn.XLOOKUP(PRODUCTO_MI_AR4[[#This Row],[NOM FAMILIA COMERCIAL]],#REF!,#REF!,"")</f>
        <v>#REF!</v>
      </c>
      <c r="R21" s="28" t="s">
        <v>300</v>
      </c>
      <c r="S21" s="11">
        <v>904</v>
      </c>
      <c r="T21" s="27" t="e">
        <f>_xlfn.XLOOKUP(PRODUCTO_MI_AR4[[#This Row],[COD SUBFAMILIA COMERCIAL]],#REF!,#REF!,"")</f>
        <v>#REF!</v>
      </c>
      <c r="U21" s="8" t="e">
        <f>_xlfn.XLOOKUP(PRODUCTO_MI_AR4[[#This Row],[NOM MARCA]],#REF!,#REF!,"")</f>
        <v>#REF!</v>
      </c>
      <c r="V21" s="29" t="s">
        <v>57</v>
      </c>
      <c r="W21" s="13" t="e">
        <f>_xlfn.XLOOKUP(PRODUCTO_MI_AR4[[#This Row],[NOM CONSERVA]],#REF!,#REF!,"")</f>
        <v>#REF!</v>
      </c>
      <c r="X21" s="17" t="s">
        <v>193</v>
      </c>
    </row>
    <row r="22" spans="2:24" thickTop="1" thickBot="1" x14ac:dyDescent="0.4">
      <c r="B22" s="14">
        <v>100520837</v>
      </c>
      <c r="C22" s="28" t="s">
        <v>342</v>
      </c>
      <c r="D22" s="9"/>
      <c r="E22" s="8">
        <v>2</v>
      </c>
      <c r="F22" s="28" t="s">
        <v>1123</v>
      </c>
      <c r="G22" s="8">
        <v>2</v>
      </c>
      <c r="H22" s="28" t="s">
        <v>1124</v>
      </c>
      <c r="I22" s="8">
        <v>26785</v>
      </c>
      <c r="J22" s="28" t="s">
        <v>17</v>
      </c>
      <c r="K22" s="11" t="e">
        <f>_xlfn.XLOOKUP(PRODUCTO_MI_AR4[[#This Row],[NOM CLASIFICACION COMERCIAL]],#REF!,#REF!,"")</f>
        <v>#REF!</v>
      </c>
      <c r="L22" s="28" t="s">
        <v>261</v>
      </c>
      <c r="M22" s="11" t="e">
        <f>_xlfn.XLOOKUP(PRODUCTO_MI_AR4[[#This Row],[NOM CLASE COMERCIAL]],#REF!,#REF!,"")</f>
        <v>#REF!</v>
      </c>
      <c r="N22" s="28" t="s">
        <v>1134</v>
      </c>
      <c r="O22" s="11" t="e">
        <f>_xlfn.XLOOKUP(PRODUCTO_MI_AR4[[#This Row],[NOM CATEGORIA]],#REF!,#REF!,"")</f>
        <v>#REF!</v>
      </c>
      <c r="P22" s="28" t="s">
        <v>261</v>
      </c>
      <c r="Q22" s="8" t="e">
        <f>_xlfn.XLOOKUP(PRODUCTO_MI_AR4[[#This Row],[NOM FAMILIA COMERCIAL]],#REF!,#REF!,"")</f>
        <v>#REF!</v>
      </c>
      <c r="R22" s="28" t="s">
        <v>339</v>
      </c>
      <c r="S22" s="11">
        <v>907</v>
      </c>
      <c r="T22" s="27" t="e">
        <f>_xlfn.XLOOKUP(PRODUCTO_MI_AR4[[#This Row],[COD SUBFAMILIA COMERCIAL]],#REF!,#REF!,"")</f>
        <v>#REF!</v>
      </c>
      <c r="U22" s="8" t="e">
        <f>_xlfn.XLOOKUP(PRODUCTO_MI_AR4[[#This Row],[NOM MARCA]],#REF!,#REF!,"")</f>
        <v>#REF!</v>
      </c>
      <c r="V22" s="29" t="s">
        <v>57</v>
      </c>
      <c r="W22" s="13" t="e">
        <f>_xlfn.XLOOKUP(PRODUCTO_MI_AR4[[#This Row],[NOM CONSERVA]],#REF!,#REF!,"")</f>
        <v>#REF!</v>
      </c>
      <c r="X22" s="17" t="s">
        <v>23</v>
      </c>
    </row>
    <row r="23" spans="2:24" thickTop="1" thickBot="1" x14ac:dyDescent="0.4">
      <c r="B23" s="14">
        <v>100012902</v>
      </c>
      <c r="C23" s="28" t="s">
        <v>416</v>
      </c>
      <c r="D23" s="9"/>
      <c r="E23" s="8">
        <v>2</v>
      </c>
      <c r="F23" s="28" t="s">
        <v>1123</v>
      </c>
      <c r="G23" s="8">
        <v>2</v>
      </c>
      <c r="H23" s="28" t="s">
        <v>1124</v>
      </c>
      <c r="I23" s="8">
        <v>26785</v>
      </c>
      <c r="J23" s="28" t="s">
        <v>17</v>
      </c>
      <c r="K23" s="11" t="e">
        <f>_xlfn.XLOOKUP(PRODUCTO_MI_AR4[[#This Row],[NOM CLASIFICACION COMERCIAL]],#REF!,#REF!,"")</f>
        <v>#REF!</v>
      </c>
      <c r="L23" s="28" t="s">
        <v>231</v>
      </c>
      <c r="M23" s="11" t="e">
        <f>_xlfn.XLOOKUP(PRODUCTO_MI_AR4[[#This Row],[NOM CLASE COMERCIAL]],#REF!,#REF!,"")</f>
        <v>#REF!</v>
      </c>
      <c r="N23" s="28" t="s">
        <v>1126</v>
      </c>
      <c r="O23" s="11" t="e">
        <f>_xlfn.XLOOKUP(PRODUCTO_MI_AR4[[#This Row],[NOM CATEGORIA]],#REF!,#REF!,"")</f>
        <v>#REF!</v>
      </c>
      <c r="P23" s="28" t="s">
        <v>18</v>
      </c>
      <c r="Q23" s="8" t="e">
        <f>_xlfn.XLOOKUP(PRODUCTO_MI_AR4[[#This Row],[NOM FAMILIA COMERCIAL]],#REF!,#REF!,"")</f>
        <v>#REF!</v>
      </c>
      <c r="R23" s="28" t="s">
        <v>1135</v>
      </c>
      <c r="S23" s="11">
        <v>910</v>
      </c>
      <c r="T23" s="27" t="e">
        <f>_xlfn.XLOOKUP(PRODUCTO_MI_AR4[[#This Row],[COD SUBFAMILIA COMERCIAL]],#REF!,#REF!,"")</f>
        <v>#REF!</v>
      </c>
      <c r="U23" s="8" t="e">
        <f>_xlfn.XLOOKUP(PRODUCTO_MI_AR4[[#This Row],[NOM MARCA]],#REF!,#REF!,"")</f>
        <v>#REF!</v>
      </c>
      <c r="V23" s="29" t="s">
        <v>57</v>
      </c>
      <c r="W23" s="13" t="e">
        <f>_xlfn.XLOOKUP(PRODUCTO_MI_AR4[[#This Row],[NOM CONSERVA]],#REF!,#REF!,"")</f>
        <v>#REF!</v>
      </c>
      <c r="X23" s="17" t="s">
        <v>193</v>
      </c>
    </row>
    <row r="24" spans="2:24" thickTop="1" thickBot="1" x14ac:dyDescent="0.4">
      <c r="B24" s="14">
        <v>100010103</v>
      </c>
      <c r="C24" s="28" t="s">
        <v>419</v>
      </c>
      <c r="D24" s="9"/>
      <c r="E24" s="8">
        <v>2</v>
      </c>
      <c r="F24" s="28" t="s">
        <v>1123</v>
      </c>
      <c r="G24" s="8">
        <v>2</v>
      </c>
      <c r="H24" s="28" t="s">
        <v>1124</v>
      </c>
      <c r="I24" s="8">
        <v>26785</v>
      </c>
      <c r="J24" s="28" t="s">
        <v>17</v>
      </c>
      <c r="K24" s="11" t="e">
        <f>_xlfn.XLOOKUP(PRODUCTO_MI_AR4[[#This Row],[NOM CLASIFICACION COMERCIAL]],#REF!,#REF!,"")</f>
        <v>#REF!</v>
      </c>
      <c r="L24" s="28" t="s">
        <v>231</v>
      </c>
      <c r="M24" s="11" t="e">
        <f>_xlfn.XLOOKUP(PRODUCTO_MI_AR4[[#This Row],[NOM CLASE COMERCIAL]],#REF!,#REF!,"")</f>
        <v>#REF!</v>
      </c>
      <c r="N24" s="28" t="s">
        <v>1126</v>
      </c>
      <c r="O24" s="11" t="e">
        <f>_xlfn.XLOOKUP(PRODUCTO_MI_AR4[[#This Row],[NOM CATEGORIA]],#REF!,#REF!,"")</f>
        <v>#REF!</v>
      </c>
      <c r="P24" s="28" t="s">
        <v>18</v>
      </c>
      <c r="Q24" s="8" t="e">
        <f>_xlfn.XLOOKUP(PRODUCTO_MI_AR4[[#This Row],[NOM FAMILIA COMERCIAL]],#REF!,#REF!,"")</f>
        <v>#REF!</v>
      </c>
      <c r="R24" s="28" t="s">
        <v>1135</v>
      </c>
      <c r="S24" s="11">
        <v>910</v>
      </c>
      <c r="T24" s="27" t="e">
        <f>_xlfn.XLOOKUP(PRODUCTO_MI_AR4[[#This Row],[COD SUBFAMILIA COMERCIAL]],#REF!,#REF!,"")</f>
        <v>#REF!</v>
      </c>
      <c r="U24" s="8" t="e">
        <f>_xlfn.XLOOKUP(PRODUCTO_MI_AR4[[#This Row],[NOM MARCA]],#REF!,#REF!,"")</f>
        <v>#REF!</v>
      </c>
      <c r="V24" s="29" t="s">
        <v>57</v>
      </c>
      <c r="W24" s="13" t="e">
        <f>_xlfn.XLOOKUP(PRODUCTO_MI_AR4[[#This Row],[NOM CONSERVA]],#REF!,#REF!,"")</f>
        <v>#REF!</v>
      </c>
      <c r="X24" s="17" t="s">
        <v>23</v>
      </c>
    </row>
    <row r="25" spans="2:24" thickTop="1" thickBot="1" x14ac:dyDescent="0.4">
      <c r="B25" s="14">
        <v>100518332</v>
      </c>
      <c r="C25" s="28" t="s">
        <v>1136</v>
      </c>
      <c r="D25" s="9"/>
      <c r="E25" s="8">
        <v>2</v>
      </c>
      <c r="F25" s="28" t="s">
        <v>1123</v>
      </c>
      <c r="G25" s="8">
        <v>2</v>
      </c>
      <c r="H25" s="28" t="s">
        <v>1124</v>
      </c>
      <c r="I25" s="8">
        <v>26785</v>
      </c>
      <c r="J25" s="28" t="s">
        <v>17</v>
      </c>
      <c r="K25" s="11" t="e">
        <f>_xlfn.XLOOKUP(PRODUCTO_MI_AR4[[#This Row],[NOM CLASIFICACION COMERCIAL]],#REF!,#REF!,"")</f>
        <v>#REF!</v>
      </c>
      <c r="L25" s="28" t="s">
        <v>231</v>
      </c>
      <c r="M25" s="11" t="e">
        <f>_xlfn.XLOOKUP(PRODUCTO_MI_AR4[[#This Row],[NOM CLASE COMERCIAL]],#REF!,#REF!,"")</f>
        <v>#REF!</v>
      </c>
      <c r="N25" s="28" t="s">
        <v>1126</v>
      </c>
      <c r="O25" s="11" t="e">
        <f>_xlfn.XLOOKUP(PRODUCTO_MI_AR4[[#This Row],[NOM CATEGORIA]],#REF!,#REF!,"")</f>
        <v>#REF!</v>
      </c>
      <c r="P25" s="28" t="s">
        <v>18</v>
      </c>
      <c r="Q25" s="8" t="e">
        <f>_xlfn.XLOOKUP(PRODUCTO_MI_AR4[[#This Row],[NOM FAMILIA COMERCIAL]],#REF!,#REF!,"")</f>
        <v>#REF!</v>
      </c>
      <c r="R25" s="28" t="s">
        <v>1135</v>
      </c>
      <c r="S25" s="11">
        <v>912</v>
      </c>
      <c r="T25" s="27" t="e">
        <f>_xlfn.XLOOKUP(PRODUCTO_MI_AR4[[#This Row],[COD SUBFAMILIA COMERCIAL]],#REF!,#REF!,"")</f>
        <v>#REF!</v>
      </c>
      <c r="U25" s="8" t="e">
        <f>_xlfn.XLOOKUP(PRODUCTO_MI_AR4[[#This Row],[NOM MARCA]],#REF!,#REF!,"")</f>
        <v>#REF!</v>
      </c>
      <c r="V25" s="29" t="s">
        <v>57</v>
      </c>
      <c r="W25" s="13" t="e">
        <f>_xlfn.XLOOKUP(PRODUCTO_MI_AR4[[#This Row],[NOM CONSERVA]],#REF!,#REF!,"")</f>
        <v>#REF!</v>
      </c>
      <c r="X25" s="17" t="s">
        <v>23</v>
      </c>
    </row>
    <row r="26" spans="2:24" thickTop="1" thickBot="1" x14ac:dyDescent="0.4">
      <c r="B26" s="14">
        <v>100516394</v>
      </c>
      <c r="C26" s="28" t="s">
        <v>422</v>
      </c>
      <c r="D26" s="9"/>
      <c r="E26" s="8">
        <v>2</v>
      </c>
      <c r="F26" s="28" t="s">
        <v>1123</v>
      </c>
      <c r="G26" s="8">
        <v>2</v>
      </c>
      <c r="H26" s="28" t="s">
        <v>1124</v>
      </c>
      <c r="I26" s="8">
        <v>26785</v>
      </c>
      <c r="J26" s="28" t="s">
        <v>17</v>
      </c>
      <c r="K26" s="11" t="e">
        <f>_xlfn.XLOOKUP(PRODUCTO_MI_AR4[[#This Row],[NOM CLASIFICACION COMERCIAL]],#REF!,#REF!,"")</f>
        <v>#REF!</v>
      </c>
      <c r="L26" s="28" t="s">
        <v>231</v>
      </c>
      <c r="M26" s="11" t="e">
        <f>_xlfn.XLOOKUP(PRODUCTO_MI_AR4[[#This Row],[NOM CLASE COMERCIAL]],#REF!,#REF!,"")</f>
        <v>#REF!</v>
      </c>
      <c r="N26" s="28" t="s">
        <v>1126</v>
      </c>
      <c r="O26" s="11" t="e">
        <f>_xlfn.XLOOKUP(PRODUCTO_MI_AR4[[#This Row],[NOM CATEGORIA]],#REF!,#REF!,"")</f>
        <v>#REF!</v>
      </c>
      <c r="P26" s="28" t="s">
        <v>18</v>
      </c>
      <c r="Q26" s="8" t="e">
        <f>_xlfn.XLOOKUP(PRODUCTO_MI_AR4[[#This Row],[NOM FAMILIA COMERCIAL]],#REF!,#REF!,"")</f>
        <v>#REF!</v>
      </c>
      <c r="R26" s="28" t="s">
        <v>1135</v>
      </c>
      <c r="S26" s="11">
        <v>911</v>
      </c>
      <c r="T26" s="27" t="e">
        <f>_xlfn.XLOOKUP(PRODUCTO_MI_AR4[[#This Row],[COD SUBFAMILIA COMERCIAL]],#REF!,#REF!,"")</f>
        <v>#REF!</v>
      </c>
      <c r="U26" s="8" t="e">
        <f>_xlfn.XLOOKUP(PRODUCTO_MI_AR4[[#This Row],[NOM MARCA]],#REF!,#REF!,"")</f>
        <v>#REF!</v>
      </c>
      <c r="V26" s="29" t="s">
        <v>57</v>
      </c>
      <c r="W26" s="13" t="e">
        <f>_xlfn.XLOOKUP(PRODUCTO_MI_AR4[[#This Row],[NOM CONSERVA]],#REF!,#REF!,"")</f>
        <v>#REF!</v>
      </c>
      <c r="X26" s="17" t="s">
        <v>193</v>
      </c>
    </row>
    <row r="27" spans="2:24" thickTop="1" thickBot="1" x14ac:dyDescent="0.4">
      <c r="B27" s="14">
        <v>100011563</v>
      </c>
      <c r="C27" s="28" t="s">
        <v>424</v>
      </c>
      <c r="D27" s="9"/>
      <c r="E27" s="8">
        <v>2</v>
      </c>
      <c r="F27" s="28" t="s">
        <v>1123</v>
      </c>
      <c r="G27" s="8">
        <v>2</v>
      </c>
      <c r="H27" s="28" t="s">
        <v>1124</v>
      </c>
      <c r="I27" s="8">
        <v>26785</v>
      </c>
      <c r="J27" s="28" t="s">
        <v>17</v>
      </c>
      <c r="K27" s="11" t="e">
        <f>_xlfn.XLOOKUP(PRODUCTO_MI_AR4[[#This Row],[NOM CLASIFICACION COMERCIAL]],#REF!,#REF!,"")</f>
        <v>#REF!</v>
      </c>
      <c r="L27" s="28" t="s">
        <v>231</v>
      </c>
      <c r="M27" s="11" t="e">
        <f>_xlfn.XLOOKUP(PRODUCTO_MI_AR4[[#This Row],[NOM CLASE COMERCIAL]],#REF!,#REF!,"")</f>
        <v>#REF!</v>
      </c>
      <c r="N27" s="28" t="s">
        <v>1126</v>
      </c>
      <c r="O27" s="11" t="e">
        <f>_xlfn.XLOOKUP(PRODUCTO_MI_AR4[[#This Row],[NOM CATEGORIA]],#REF!,#REF!,"")</f>
        <v>#REF!</v>
      </c>
      <c r="P27" s="28" t="s">
        <v>18</v>
      </c>
      <c r="Q27" s="8" t="e">
        <f>_xlfn.XLOOKUP(PRODUCTO_MI_AR4[[#This Row],[NOM FAMILIA COMERCIAL]],#REF!,#REF!,"")</f>
        <v>#REF!</v>
      </c>
      <c r="R27" s="28" t="s">
        <v>1135</v>
      </c>
      <c r="S27" s="11">
        <v>911</v>
      </c>
      <c r="T27" s="27" t="e">
        <f>_xlfn.XLOOKUP(PRODUCTO_MI_AR4[[#This Row],[COD SUBFAMILIA COMERCIAL]],#REF!,#REF!,"")</f>
        <v>#REF!</v>
      </c>
      <c r="U27" s="8" t="e">
        <f>_xlfn.XLOOKUP(PRODUCTO_MI_AR4[[#This Row],[NOM MARCA]],#REF!,#REF!,"")</f>
        <v>#REF!</v>
      </c>
      <c r="V27" s="29" t="s">
        <v>57</v>
      </c>
      <c r="W27" s="13" t="e">
        <f>_xlfn.XLOOKUP(PRODUCTO_MI_AR4[[#This Row],[NOM CONSERVA]],#REF!,#REF!,"")</f>
        <v>#REF!</v>
      </c>
      <c r="X27" s="17" t="s">
        <v>23</v>
      </c>
    </row>
    <row r="28" spans="2:24" thickTop="1" thickBot="1" x14ac:dyDescent="0.4">
      <c r="B28" s="14">
        <v>100013208</v>
      </c>
      <c r="C28" s="28" t="s">
        <v>427</v>
      </c>
      <c r="D28" s="9"/>
      <c r="E28" s="8">
        <v>2</v>
      </c>
      <c r="F28" s="28" t="s">
        <v>1123</v>
      </c>
      <c r="G28" s="8">
        <v>2</v>
      </c>
      <c r="H28" s="28" t="s">
        <v>1124</v>
      </c>
      <c r="I28" s="8">
        <v>26785</v>
      </c>
      <c r="J28" s="28" t="s">
        <v>17</v>
      </c>
      <c r="K28" s="11" t="e">
        <f>_xlfn.XLOOKUP(PRODUCTO_MI_AR4[[#This Row],[NOM CLASIFICACION COMERCIAL]],#REF!,#REF!,"")</f>
        <v>#REF!</v>
      </c>
      <c r="L28" s="28" t="s">
        <v>231</v>
      </c>
      <c r="M28" s="11" t="e">
        <f>_xlfn.XLOOKUP(PRODUCTO_MI_AR4[[#This Row],[NOM CLASE COMERCIAL]],#REF!,#REF!,"")</f>
        <v>#REF!</v>
      </c>
      <c r="N28" s="28" t="s">
        <v>1126</v>
      </c>
      <c r="O28" s="11" t="e">
        <f>_xlfn.XLOOKUP(PRODUCTO_MI_AR4[[#This Row],[NOM CATEGORIA]],#REF!,#REF!,"")</f>
        <v>#REF!</v>
      </c>
      <c r="P28" s="28" t="s">
        <v>18</v>
      </c>
      <c r="Q28" s="8" t="e">
        <f>_xlfn.XLOOKUP(PRODUCTO_MI_AR4[[#This Row],[NOM FAMILIA COMERCIAL]],#REF!,#REF!,"")</f>
        <v>#REF!</v>
      </c>
      <c r="R28" s="28" t="s">
        <v>1135</v>
      </c>
      <c r="S28" s="11">
        <v>910</v>
      </c>
      <c r="T28" s="27" t="e">
        <f>_xlfn.XLOOKUP(PRODUCTO_MI_AR4[[#This Row],[COD SUBFAMILIA COMERCIAL]],#REF!,#REF!,"")</f>
        <v>#REF!</v>
      </c>
      <c r="U28" s="8" t="e">
        <f>_xlfn.XLOOKUP(PRODUCTO_MI_AR4[[#This Row],[NOM MARCA]],#REF!,#REF!,"")</f>
        <v>#REF!</v>
      </c>
      <c r="V28" s="29" t="s">
        <v>57</v>
      </c>
      <c r="W28" s="13" t="e">
        <f>_xlfn.XLOOKUP(PRODUCTO_MI_AR4[[#This Row],[NOM CONSERVA]],#REF!,#REF!,"")</f>
        <v>#REF!</v>
      </c>
      <c r="X28" s="17" t="s">
        <v>193</v>
      </c>
    </row>
    <row r="29" spans="2:24" thickTop="1" thickBot="1" x14ac:dyDescent="0.4">
      <c r="B29" s="14">
        <v>100010659</v>
      </c>
      <c r="C29" s="28" t="s">
        <v>428</v>
      </c>
      <c r="D29" s="9"/>
      <c r="E29" s="8">
        <v>2</v>
      </c>
      <c r="F29" s="28" t="s">
        <v>1123</v>
      </c>
      <c r="G29" s="8">
        <v>2</v>
      </c>
      <c r="H29" s="28" t="s">
        <v>1124</v>
      </c>
      <c r="I29" s="8">
        <v>26785</v>
      </c>
      <c r="J29" s="28" t="s">
        <v>17</v>
      </c>
      <c r="K29" s="11" t="e">
        <f>_xlfn.XLOOKUP(PRODUCTO_MI_AR4[[#This Row],[NOM CLASIFICACION COMERCIAL]],#REF!,#REF!,"")</f>
        <v>#REF!</v>
      </c>
      <c r="L29" s="28" t="s">
        <v>231</v>
      </c>
      <c r="M29" s="11" t="e">
        <f>_xlfn.XLOOKUP(PRODUCTO_MI_AR4[[#This Row],[NOM CLASE COMERCIAL]],#REF!,#REF!,"")</f>
        <v>#REF!</v>
      </c>
      <c r="N29" s="28" t="s">
        <v>1126</v>
      </c>
      <c r="O29" s="11" t="e">
        <f>_xlfn.XLOOKUP(PRODUCTO_MI_AR4[[#This Row],[NOM CATEGORIA]],#REF!,#REF!,"")</f>
        <v>#REF!</v>
      </c>
      <c r="P29" s="28" t="s">
        <v>18</v>
      </c>
      <c r="Q29" s="8" t="e">
        <f>_xlfn.XLOOKUP(PRODUCTO_MI_AR4[[#This Row],[NOM FAMILIA COMERCIAL]],#REF!,#REF!,"")</f>
        <v>#REF!</v>
      </c>
      <c r="R29" s="28" t="s">
        <v>1135</v>
      </c>
      <c r="S29" s="11">
        <v>910</v>
      </c>
      <c r="T29" s="27" t="e">
        <f>_xlfn.XLOOKUP(PRODUCTO_MI_AR4[[#This Row],[COD SUBFAMILIA COMERCIAL]],#REF!,#REF!,"")</f>
        <v>#REF!</v>
      </c>
      <c r="U29" s="8" t="e">
        <f>_xlfn.XLOOKUP(PRODUCTO_MI_AR4[[#This Row],[NOM MARCA]],#REF!,#REF!,"")</f>
        <v>#REF!</v>
      </c>
      <c r="V29" s="29" t="s">
        <v>57</v>
      </c>
      <c r="W29" s="13" t="e">
        <f>_xlfn.XLOOKUP(PRODUCTO_MI_AR4[[#This Row],[NOM CONSERVA]],#REF!,#REF!,"")</f>
        <v>#REF!</v>
      </c>
      <c r="X29" s="17" t="s">
        <v>23</v>
      </c>
    </row>
    <row r="30" spans="2:24" thickTop="1" thickBot="1" x14ac:dyDescent="0.4">
      <c r="B30" s="14">
        <v>100517335</v>
      </c>
      <c r="C30" s="28" t="s">
        <v>1137</v>
      </c>
      <c r="D30" s="9"/>
      <c r="E30" s="8">
        <v>2</v>
      </c>
      <c r="F30" s="28" t="s">
        <v>1123</v>
      </c>
      <c r="G30" s="8">
        <v>2</v>
      </c>
      <c r="H30" s="28" t="s">
        <v>1124</v>
      </c>
      <c r="I30" s="8">
        <v>26785</v>
      </c>
      <c r="J30" s="28" t="s">
        <v>17</v>
      </c>
      <c r="K30" s="11" t="e">
        <f>_xlfn.XLOOKUP(PRODUCTO_MI_AR4[[#This Row],[NOM CLASIFICACION COMERCIAL]],#REF!,#REF!,"")</f>
        <v>#REF!</v>
      </c>
      <c r="L30" s="28" t="s">
        <v>1125</v>
      </c>
      <c r="M30" s="11" t="e">
        <f>_xlfn.XLOOKUP(PRODUCTO_MI_AR4[[#This Row],[NOM CLASE COMERCIAL]],#REF!,#REF!,"")</f>
        <v>#REF!</v>
      </c>
      <c r="N30" s="28" t="s">
        <v>1126</v>
      </c>
      <c r="O30" s="11" t="e">
        <f>_xlfn.XLOOKUP(PRODUCTO_MI_AR4[[#This Row],[NOM CATEGORIA]],#REF!,#REF!,"")</f>
        <v>#REF!</v>
      </c>
      <c r="P30" s="28" t="s">
        <v>18</v>
      </c>
      <c r="Q30" s="8" t="e">
        <f>_xlfn.XLOOKUP(PRODUCTO_MI_AR4[[#This Row],[NOM FAMILIA COMERCIAL]],#REF!,#REF!,"")</f>
        <v>#REF!</v>
      </c>
      <c r="R30" s="28" t="s">
        <v>1138</v>
      </c>
      <c r="S30" s="11">
        <v>913</v>
      </c>
      <c r="T30" s="27" t="e">
        <f>_xlfn.XLOOKUP(PRODUCTO_MI_AR4[[#This Row],[COD SUBFAMILIA COMERCIAL]],#REF!,#REF!,"")</f>
        <v>#REF!</v>
      </c>
      <c r="U30" s="8" t="e">
        <f>_xlfn.XLOOKUP(PRODUCTO_MI_AR4[[#This Row],[NOM MARCA]],#REF!,#REF!,"")</f>
        <v>#REF!</v>
      </c>
      <c r="V30" s="29" t="s">
        <v>57</v>
      </c>
      <c r="W30" s="13" t="e">
        <f>_xlfn.XLOOKUP(PRODUCTO_MI_AR4[[#This Row],[NOM CONSERVA]],#REF!,#REF!,"")</f>
        <v>#REF!</v>
      </c>
      <c r="X30" s="17" t="s">
        <v>193</v>
      </c>
    </row>
    <row r="31" spans="2:24" thickTop="1" thickBot="1" x14ac:dyDescent="0.4">
      <c r="B31" s="14">
        <v>100010689</v>
      </c>
      <c r="C31" s="28" t="s">
        <v>1139</v>
      </c>
      <c r="D31" s="9"/>
      <c r="E31" s="8">
        <v>2</v>
      </c>
      <c r="F31" s="28" t="s">
        <v>1123</v>
      </c>
      <c r="G31" s="8">
        <v>2</v>
      </c>
      <c r="H31" s="28" t="s">
        <v>1124</v>
      </c>
      <c r="I31" s="8">
        <v>26785</v>
      </c>
      <c r="J31" s="28" t="s">
        <v>17</v>
      </c>
      <c r="K31" s="11" t="e">
        <f>_xlfn.XLOOKUP(PRODUCTO_MI_AR4[[#This Row],[NOM CLASIFICACION COMERCIAL]],#REF!,#REF!,"")</f>
        <v>#REF!</v>
      </c>
      <c r="L31" s="28" t="s">
        <v>1125</v>
      </c>
      <c r="M31" s="11" t="e">
        <f>_xlfn.XLOOKUP(PRODUCTO_MI_AR4[[#This Row],[NOM CLASE COMERCIAL]],#REF!,#REF!,"")</f>
        <v>#REF!</v>
      </c>
      <c r="N31" s="28" t="s">
        <v>1126</v>
      </c>
      <c r="O31" s="11" t="e">
        <f>_xlfn.XLOOKUP(PRODUCTO_MI_AR4[[#This Row],[NOM CATEGORIA]],#REF!,#REF!,"")</f>
        <v>#REF!</v>
      </c>
      <c r="P31" s="28" t="s">
        <v>18</v>
      </c>
      <c r="Q31" s="8" t="e">
        <f>_xlfn.XLOOKUP(PRODUCTO_MI_AR4[[#This Row],[NOM FAMILIA COMERCIAL]],#REF!,#REF!,"")</f>
        <v>#REF!</v>
      </c>
      <c r="R31" s="28" t="s">
        <v>1138</v>
      </c>
      <c r="S31" s="11">
        <v>913</v>
      </c>
      <c r="T31" s="27" t="e">
        <f>_xlfn.XLOOKUP(PRODUCTO_MI_AR4[[#This Row],[COD SUBFAMILIA COMERCIAL]],#REF!,#REF!,"")</f>
        <v>#REF!</v>
      </c>
      <c r="U31" s="8" t="e">
        <f>_xlfn.XLOOKUP(PRODUCTO_MI_AR4[[#This Row],[NOM MARCA]],#REF!,#REF!,"")</f>
        <v>#REF!</v>
      </c>
      <c r="V31" s="29" t="s">
        <v>57</v>
      </c>
      <c r="W31" s="13" t="e">
        <f>_xlfn.XLOOKUP(PRODUCTO_MI_AR4[[#This Row],[NOM CONSERVA]],#REF!,#REF!,"")</f>
        <v>#REF!</v>
      </c>
      <c r="X31" s="17" t="s">
        <v>23</v>
      </c>
    </row>
    <row r="32" spans="2:24" thickTop="1" thickBot="1" x14ac:dyDescent="0.4">
      <c r="B32" s="14">
        <v>100518379</v>
      </c>
      <c r="C32" s="28" t="s">
        <v>580</v>
      </c>
      <c r="D32" s="9"/>
      <c r="E32" s="8">
        <v>2</v>
      </c>
      <c r="F32" s="28" t="s">
        <v>1123</v>
      </c>
      <c r="G32" s="8">
        <v>2</v>
      </c>
      <c r="H32" s="28" t="s">
        <v>1124</v>
      </c>
      <c r="I32" s="8">
        <v>26785</v>
      </c>
      <c r="J32" s="28" t="s">
        <v>17</v>
      </c>
      <c r="K32" s="11" t="e">
        <f>_xlfn.XLOOKUP(PRODUCTO_MI_AR4[[#This Row],[NOM CLASIFICACION COMERCIAL]],#REF!,#REF!,"")</f>
        <v>#REF!</v>
      </c>
      <c r="L32" s="28" t="s">
        <v>101</v>
      </c>
      <c r="M32" s="11" t="e">
        <f>_xlfn.XLOOKUP(PRODUCTO_MI_AR4[[#This Row],[NOM CLASE COMERCIAL]],#REF!,#REF!,"")</f>
        <v>#REF!</v>
      </c>
      <c r="N32" s="28" t="s">
        <v>1126</v>
      </c>
      <c r="O32" s="11" t="e">
        <f>_xlfn.XLOOKUP(PRODUCTO_MI_AR4[[#This Row],[NOM CATEGORIA]],#REF!,#REF!,"")</f>
        <v>#REF!</v>
      </c>
      <c r="P32" s="28" t="s">
        <v>18</v>
      </c>
      <c r="Q32" s="8" t="e">
        <f>_xlfn.XLOOKUP(PRODUCTO_MI_AR4[[#This Row],[NOM FAMILIA COMERCIAL]],#REF!,#REF!,"")</f>
        <v>#REF!</v>
      </c>
      <c r="R32" s="28" t="s">
        <v>1140</v>
      </c>
      <c r="S32" s="11">
        <v>917</v>
      </c>
      <c r="T32" s="27" t="e">
        <f>_xlfn.XLOOKUP(PRODUCTO_MI_AR4[[#This Row],[COD SUBFAMILIA COMERCIAL]],#REF!,#REF!,"")</f>
        <v>#REF!</v>
      </c>
      <c r="U32" s="8" t="e">
        <f>_xlfn.XLOOKUP(PRODUCTO_MI_AR4[[#This Row],[NOM MARCA]],#REF!,#REF!,"")</f>
        <v>#REF!</v>
      </c>
      <c r="V32" s="29" t="s">
        <v>57</v>
      </c>
      <c r="W32" s="13" t="e">
        <f>_xlfn.XLOOKUP(PRODUCTO_MI_AR4[[#This Row],[NOM CONSERVA]],#REF!,#REF!,"")</f>
        <v>#REF!</v>
      </c>
      <c r="X32" s="17" t="s">
        <v>193</v>
      </c>
    </row>
    <row r="33" spans="2:24" thickTop="1" thickBot="1" x14ac:dyDescent="0.4">
      <c r="B33" s="14">
        <v>100012995</v>
      </c>
      <c r="C33" s="28" t="s">
        <v>584</v>
      </c>
      <c r="D33" s="9"/>
      <c r="E33" s="8">
        <v>2</v>
      </c>
      <c r="F33" s="28" t="s">
        <v>1123</v>
      </c>
      <c r="G33" s="8">
        <v>2</v>
      </c>
      <c r="H33" s="28" t="s">
        <v>1124</v>
      </c>
      <c r="I33" s="8">
        <v>26785</v>
      </c>
      <c r="J33" s="28" t="s">
        <v>17</v>
      </c>
      <c r="K33" s="11" t="e">
        <f>_xlfn.XLOOKUP(PRODUCTO_MI_AR4[[#This Row],[NOM CLASIFICACION COMERCIAL]],#REF!,#REF!,"")</f>
        <v>#REF!</v>
      </c>
      <c r="L33" s="28" t="s">
        <v>101</v>
      </c>
      <c r="M33" s="11" t="e">
        <f>_xlfn.XLOOKUP(PRODUCTO_MI_AR4[[#This Row],[NOM CLASE COMERCIAL]],#REF!,#REF!,"")</f>
        <v>#REF!</v>
      </c>
      <c r="N33" s="28" t="s">
        <v>1126</v>
      </c>
      <c r="O33" s="11" t="e">
        <f>_xlfn.XLOOKUP(PRODUCTO_MI_AR4[[#This Row],[NOM CATEGORIA]],#REF!,#REF!,"")</f>
        <v>#REF!</v>
      </c>
      <c r="P33" s="28" t="s">
        <v>18</v>
      </c>
      <c r="Q33" s="8" t="e">
        <f>_xlfn.XLOOKUP(PRODUCTO_MI_AR4[[#This Row],[NOM FAMILIA COMERCIAL]],#REF!,#REF!,"")</f>
        <v>#REF!</v>
      </c>
      <c r="R33" s="28" t="s">
        <v>1140</v>
      </c>
      <c r="S33" s="11">
        <v>917</v>
      </c>
      <c r="T33" s="27" t="e">
        <f>_xlfn.XLOOKUP(PRODUCTO_MI_AR4[[#This Row],[COD SUBFAMILIA COMERCIAL]],#REF!,#REF!,"")</f>
        <v>#REF!</v>
      </c>
      <c r="U33" s="8" t="e">
        <f>_xlfn.XLOOKUP(PRODUCTO_MI_AR4[[#This Row],[NOM MARCA]],#REF!,#REF!,"")</f>
        <v>#REF!</v>
      </c>
      <c r="V33" s="29" t="s">
        <v>57</v>
      </c>
      <c r="W33" s="13" t="e">
        <f>_xlfn.XLOOKUP(PRODUCTO_MI_AR4[[#This Row],[NOM CONSERVA]],#REF!,#REF!,"")</f>
        <v>#REF!</v>
      </c>
      <c r="X33" s="17" t="s">
        <v>193</v>
      </c>
    </row>
    <row r="34" spans="2:24" thickTop="1" thickBot="1" x14ac:dyDescent="0.4">
      <c r="B34" s="14">
        <v>100011008</v>
      </c>
      <c r="C34" s="28" t="s">
        <v>586</v>
      </c>
      <c r="D34" s="9"/>
      <c r="E34" s="8">
        <v>2</v>
      </c>
      <c r="F34" s="28" t="s">
        <v>1123</v>
      </c>
      <c r="G34" s="8">
        <v>2</v>
      </c>
      <c r="H34" s="28" t="s">
        <v>1124</v>
      </c>
      <c r="I34" s="8">
        <v>26785</v>
      </c>
      <c r="J34" s="28" t="s">
        <v>17</v>
      </c>
      <c r="K34" s="11" t="e">
        <f>_xlfn.XLOOKUP(PRODUCTO_MI_AR4[[#This Row],[NOM CLASIFICACION COMERCIAL]],#REF!,#REF!,"")</f>
        <v>#REF!</v>
      </c>
      <c r="L34" s="28" t="s">
        <v>101</v>
      </c>
      <c r="M34" s="11" t="e">
        <f>_xlfn.XLOOKUP(PRODUCTO_MI_AR4[[#This Row],[NOM CLASE COMERCIAL]],#REF!,#REF!,"")</f>
        <v>#REF!</v>
      </c>
      <c r="N34" s="28" t="s">
        <v>1126</v>
      </c>
      <c r="O34" s="11" t="e">
        <f>_xlfn.XLOOKUP(PRODUCTO_MI_AR4[[#This Row],[NOM CATEGORIA]],#REF!,#REF!,"")</f>
        <v>#REF!</v>
      </c>
      <c r="P34" s="28" t="s">
        <v>18</v>
      </c>
      <c r="Q34" s="8" t="e">
        <f>_xlfn.XLOOKUP(PRODUCTO_MI_AR4[[#This Row],[NOM FAMILIA COMERCIAL]],#REF!,#REF!,"")</f>
        <v>#REF!</v>
      </c>
      <c r="R34" s="28" t="s">
        <v>1140</v>
      </c>
      <c r="S34" s="11">
        <v>917</v>
      </c>
      <c r="T34" s="27" t="e">
        <f>_xlfn.XLOOKUP(PRODUCTO_MI_AR4[[#This Row],[COD SUBFAMILIA COMERCIAL]],#REF!,#REF!,"")</f>
        <v>#REF!</v>
      </c>
      <c r="U34" s="8" t="e">
        <f>_xlfn.XLOOKUP(PRODUCTO_MI_AR4[[#This Row],[NOM MARCA]],#REF!,#REF!,"")</f>
        <v>#REF!</v>
      </c>
      <c r="V34" s="29" t="s">
        <v>57</v>
      </c>
      <c r="W34" s="13" t="e">
        <f>_xlfn.XLOOKUP(PRODUCTO_MI_AR4[[#This Row],[NOM CONSERVA]],#REF!,#REF!,"")</f>
        <v>#REF!</v>
      </c>
      <c r="X34" s="17" t="s">
        <v>23</v>
      </c>
    </row>
    <row r="35" spans="2:24" thickTop="1" thickBot="1" x14ac:dyDescent="0.4">
      <c r="B35" s="14">
        <v>100012996</v>
      </c>
      <c r="C35" s="28" t="s">
        <v>590</v>
      </c>
      <c r="D35" s="9"/>
      <c r="E35" s="8">
        <v>2</v>
      </c>
      <c r="F35" s="28" t="s">
        <v>1123</v>
      </c>
      <c r="G35" s="8">
        <v>2</v>
      </c>
      <c r="H35" s="28" t="s">
        <v>1124</v>
      </c>
      <c r="I35" s="8">
        <v>26785</v>
      </c>
      <c r="J35" s="28" t="s">
        <v>17</v>
      </c>
      <c r="K35" s="11" t="e">
        <f>_xlfn.XLOOKUP(PRODUCTO_MI_AR4[[#This Row],[NOM CLASIFICACION COMERCIAL]],#REF!,#REF!,"")</f>
        <v>#REF!</v>
      </c>
      <c r="L35" s="28" t="s">
        <v>101</v>
      </c>
      <c r="M35" s="11" t="e">
        <f>_xlfn.XLOOKUP(PRODUCTO_MI_AR4[[#This Row],[NOM CLASE COMERCIAL]],#REF!,#REF!,"")</f>
        <v>#REF!</v>
      </c>
      <c r="N35" s="28" t="s">
        <v>1126</v>
      </c>
      <c r="O35" s="11" t="e">
        <f>_xlfn.XLOOKUP(PRODUCTO_MI_AR4[[#This Row],[NOM CATEGORIA]],#REF!,#REF!,"")</f>
        <v>#REF!</v>
      </c>
      <c r="P35" s="28" t="s">
        <v>18</v>
      </c>
      <c r="Q35" s="8" t="e">
        <f>_xlfn.XLOOKUP(PRODUCTO_MI_AR4[[#This Row],[NOM FAMILIA COMERCIAL]],#REF!,#REF!,"")</f>
        <v>#REF!</v>
      </c>
      <c r="R35" s="28" t="s">
        <v>1140</v>
      </c>
      <c r="S35" s="11">
        <v>917</v>
      </c>
      <c r="T35" s="27" t="e">
        <f>_xlfn.XLOOKUP(PRODUCTO_MI_AR4[[#This Row],[COD SUBFAMILIA COMERCIAL]],#REF!,#REF!,"")</f>
        <v>#REF!</v>
      </c>
      <c r="U35" s="8" t="e">
        <f>_xlfn.XLOOKUP(PRODUCTO_MI_AR4[[#This Row],[NOM MARCA]],#REF!,#REF!,"")</f>
        <v>#REF!</v>
      </c>
      <c r="V35" s="29" t="s">
        <v>57</v>
      </c>
      <c r="W35" s="13" t="e">
        <f>_xlfn.XLOOKUP(PRODUCTO_MI_AR4[[#This Row],[NOM CONSERVA]],#REF!,#REF!,"")</f>
        <v>#REF!</v>
      </c>
      <c r="X35" s="17" t="s">
        <v>193</v>
      </c>
    </row>
    <row r="36" spans="2:24" thickTop="1" thickBot="1" x14ac:dyDescent="0.4">
      <c r="B36" s="14">
        <v>100011009</v>
      </c>
      <c r="C36" s="28" t="s">
        <v>592</v>
      </c>
      <c r="D36" s="9"/>
      <c r="E36" s="8">
        <v>2</v>
      </c>
      <c r="F36" s="28" t="s">
        <v>1123</v>
      </c>
      <c r="G36" s="8">
        <v>2</v>
      </c>
      <c r="H36" s="28" t="s">
        <v>1124</v>
      </c>
      <c r="I36" s="8">
        <v>26785</v>
      </c>
      <c r="J36" s="28" t="s">
        <v>17</v>
      </c>
      <c r="K36" s="11" t="e">
        <f>_xlfn.XLOOKUP(PRODUCTO_MI_AR4[[#This Row],[NOM CLASIFICACION COMERCIAL]],#REF!,#REF!,"")</f>
        <v>#REF!</v>
      </c>
      <c r="L36" s="28" t="s">
        <v>101</v>
      </c>
      <c r="M36" s="11" t="e">
        <f>_xlfn.XLOOKUP(PRODUCTO_MI_AR4[[#This Row],[NOM CLASE COMERCIAL]],#REF!,#REF!,"")</f>
        <v>#REF!</v>
      </c>
      <c r="N36" s="28" t="s">
        <v>1126</v>
      </c>
      <c r="O36" s="11" t="e">
        <f>_xlfn.XLOOKUP(PRODUCTO_MI_AR4[[#This Row],[NOM CATEGORIA]],#REF!,#REF!,"")</f>
        <v>#REF!</v>
      </c>
      <c r="P36" s="28" t="s">
        <v>18</v>
      </c>
      <c r="Q36" s="8" t="e">
        <f>_xlfn.XLOOKUP(PRODUCTO_MI_AR4[[#This Row],[NOM FAMILIA COMERCIAL]],#REF!,#REF!,"")</f>
        <v>#REF!</v>
      </c>
      <c r="R36" s="28" t="s">
        <v>1140</v>
      </c>
      <c r="S36" s="11">
        <v>917</v>
      </c>
      <c r="T36" s="27" t="e">
        <f>_xlfn.XLOOKUP(PRODUCTO_MI_AR4[[#This Row],[COD SUBFAMILIA COMERCIAL]],#REF!,#REF!,"")</f>
        <v>#REF!</v>
      </c>
      <c r="U36" s="8" t="e">
        <f>_xlfn.XLOOKUP(PRODUCTO_MI_AR4[[#This Row],[NOM MARCA]],#REF!,#REF!,"")</f>
        <v>#REF!</v>
      </c>
      <c r="V36" s="29" t="s">
        <v>57</v>
      </c>
      <c r="W36" s="13" t="e">
        <f>_xlfn.XLOOKUP(PRODUCTO_MI_AR4[[#This Row],[NOM CONSERVA]],#REF!,#REF!,"")</f>
        <v>#REF!</v>
      </c>
      <c r="X36" s="17" t="s">
        <v>23</v>
      </c>
    </row>
    <row r="37" spans="2:24" thickTop="1" thickBot="1" x14ac:dyDescent="0.4">
      <c r="B37" s="14">
        <v>100012997</v>
      </c>
      <c r="C37" s="28" t="s">
        <v>593</v>
      </c>
      <c r="D37" s="9"/>
      <c r="E37" s="8">
        <v>2</v>
      </c>
      <c r="F37" s="28" t="s">
        <v>1123</v>
      </c>
      <c r="G37" s="8">
        <v>2</v>
      </c>
      <c r="H37" s="28" t="s">
        <v>1124</v>
      </c>
      <c r="I37" s="8">
        <v>26785</v>
      </c>
      <c r="J37" s="28" t="s">
        <v>17</v>
      </c>
      <c r="K37" s="11" t="e">
        <f>_xlfn.XLOOKUP(PRODUCTO_MI_AR4[[#This Row],[NOM CLASIFICACION COMERCIAL]],#REF!,#REF!,"")</f>
        <v>#REF!</v>
      </c>
      <c r="L37" s="28" t="s">
        <v>101</v>
      </c>
      <c r="M37" s="11" t="e">
        <f>_xlfn.XLOOKUP(PRODUCTO_MI_AR4[[#This Row],[NOM CLASE COMERCIAL]],#REF!,#REF!,"")</f>
        <v>#REF!</v>
      </c>
      <c r="N37" s="28" t="s">
        <v>1126</v>
      </c>
      <c r="O37" s="11" t="e">
        <f>_xlfn.XLOOKUP(PRODUCTO_MI_AR4[[#This Row],[NOM CATEGORIA]],#REF!,#REF!,"")</f>
        <v>#REF!</v>
      </c>
      <c r="P37" s="28" t="s">
        <v>18</v>
      </c>
      <c r="Q37" s="8" t="e">
        <f>_xlfn.XLOOKUP(PRODUCTO_MI_AR4[[#This Row],[NOM FAMILIA COMERCIAL]],#REF!,#REF!,"")</f>
        <v>#REF!</v>
      </c>
      <c r="R37" s="28" t="s">
        <v>1140</v>
      </c>
      <c r="S37" s="11">
        <v>917</v>
      </c>
      <c r="T37" s="27" t="e">
        <f>_xlfn.XLOOKUP(PRODUCTO_MI_AR4[[#This Row],[COD SUBFAMILIA COMERCIAL]],#REF!,#REF!,"")</f>
        <v>#REF!</v>
      </c>
      <c r="U37" s="8" t="e">
        <f>_xlfn.XLOOKUP(PRODUCTO_MI_AR4[[#This Row],[NOM MARCA]],#REF!,#REF!,"")</f>
        <v>#REF!</v>
      </c>
      <c r="V37" s="29" t="s">
        <v>57</v>
      </c>
      <c r="W37" s="13" t="e">
        <f>_xlfn.XLOOKUP(PRODUCTO_MI_AR4[[#This Row],[NOM CONSERVA]],#REF!,#REF!,"")</f>
        <v>#REF!</v>
      </c>
      <c r="X37" s="17" t="s">
        <v>193</v>
      </c>
    </row>
    <row r="38" spans="2:24" thickTop="1" thickBot="1" x14ac:dyDescent="0.4">
      <c r="B38" s="14">
        <v>100011010</v>
      </c>
      <c r="C38" s="28" t="s">
        <v>594</v>
      </c>
      <c r="D38" s="9"/>
      <c r="E38" s="8">
        <v>2</v>
      </c>
      <c r="F38" s="28" t="s">
        <v>1123</v>
      </c>
      <c r="G38" s="8">
        <v>2</v>
      </c>
      <c r="H38" s="28" t="s">
        <v>1124</v>
      </c>
      <c r="I38" s="8">
        <v>26785</v>
      </c>
      <c r="J38" s="28" t="s">
        <v>17</v>
      </c>
      <c r="K38" s="11" t="e">
        <f>_xlfn.XLOOKUP(PRODUCTO_MI_AR4[[#This Row],[NOM CLASIFICACION COMERCIAL]],#REF!,#REF!,"")</f>
        <v>#REF!</v>
      </c>
      <c r="L38" s="28" t="s">
        <v>101</v>
      </c>
      <c r="M38" s="11" t="e">
        <f>_xlfn.XLOOKUP(PRODUCTO_MI_AR4[[#This Row],[NOM CLASE COMERCIAL]],#REF!,#REF!,"")</f>
        <v>#REF!</v>
      </c>
      <c r="N38" s="28" t="s">
        <v>1126</v>
      </c>
      <c r="O38" s="11" t="e">
        <f>_xlfn.XLOOKUP(PRODUCTO_MI_AR4[[#This Row],[NOM CATEGORIA]],#REF!,#REF!,"")</f>
        <v>#REF!</v>
      </c>
      <c r="P38" s="28" t="s">
        <v>18</v>
      </c>
      <c r="Q38" s="8" t="e">
        <f>_xlfn.XLOOKUP(PRODUCTO_MI_AR4[[#This Row],[NOM FAMILIA COMERCIAL]],#REF!,#REF!,"")</f>
        <v>#REF!</v>
      </c>
      <c r="R38" s="28" t="s">
        <v>1140</v>
      </c>
      <c r="S38" s="11">
        <v>917</v>
      </c>
      <c r="T38" s="27" t="e">
        <f>_xlfn.XLOOKUP(PRODUCTO_MI_AR4[[#This Row],[COD SUBFAMILIA COMERCIAL]],#REF!,#REF!,"")</f>
        <v>#REF!</v>
      </c>
      <c r="U38" s="8" t="e">
        <f>_xlfn.XLOOKUP(PRODUCTO_MI_AR4[[#This Row],[NOM MARCA]],#REF!,#REF!,"")</f>
        <v>#REF!</v>
      </c>
      <c r="V38" s="29" t="s">
        <v>57</v>
      </c>
      <c r="W38" s="13" t="e">
        <f>_xlfn.XLOOKUP(PRODUCTO_MI_AR4[[#This Row],[NOM CONSERVA]],#REF!,#REF!,"")</f>
        <v>#REF!</v>
      </c>
      <c r="X38" s="17" t="s">
        <v>23</v>
      </c>
    </row>
    <row r="39" spans="2:24" thickTop="1" thickBot="1" x14ac:dyDescent="0.4">
      <c r="B39" s="14">
        <v>100517635</v>
      </c>
      <c r="C39" s="28" t="s">
        <v>595</v>
      </c>
      <c r="D39" s="9"/>
      <c r="E39" s="8">
        <v>2</v>
      </c>
      <c r="F39" s="28" t="s">
        <v>1123</v>
      </c>
      <c r="G39" s="8">
        <v>2</v>
      </c>
      <c r="H39" s="28" t="s">
        <v>1124</v>
      </c>
      <c r="I39" s="8">
        <v>26785</v>
      </c>
      <c r="J39" s="28" t="s">
        <v>17</v>
      </c>
      <c r="K39" s="11" t="e">
        <f>_xlfn.XLOOKUP(PRODUCTO_MI_AR4[[#This Row],[NOM CLASIFICACION COMERCIAL]],#REF!,#REF!,"")</f>
        <v>#REF!</v>
      </c>
      <c r="L39" s="28" t="s">
        <v>101</v>
      </c>
      <c r="M39" s="11" t="e">
        <f>_xlfn.XLOOKUP(PRODUCTO_MI_AR4[[#This Row],[NOM CLASE COMERCIAL]],#REF!,#REF!,"")</f>
        <v>#REF!</v>
      </c>
      <c r="N39" s="28" t="s">
        <v>1126</v>
      </c>
      <c r="O39" s="11" t="e">
        <f>_xlfn.XLOOKUP(PRODUCTO_MI_AR4[[#This Row],[NOM CATEGORIA]],#REF!,#REF!,"")</f>
        <v>#REF!</v>
      </c>
      <c r="P39" s="28" t="s">
        <v>18</v>
      </c>
      <c r="Q39" s="8" t="e">
        <f>_xlfn.XLOOKUP(PRODUCTO_MI_AR4[[#This Row],[NOM FAMILIA COMERCIAL]],#REF!,#REF!,"")</f>
        <v>#REF!</v>
      </c>
      <c r="R39" s="28" t="s">
        <v>1140</v>
      </c>
      <c r="S39" s="11">
        <v>917</v>
      </c>
      <c r="T39" s="27" t="e">
        <f>_xlfn.XLOOKUP(PRODUCTO_MI_AR4[[#This Row],[COD SUBFAMILIA COMERCIAL]],#REF!,#REF!,"")</f>
        <v>#REF!</v>
      </c>
      <c r="U39" s="8" t="e">
        <f>_xlfn.XLOOKUP(PRODUCTO_MI_AR4[[#This Row],[NOM MARCA]],#REF!,#REF!,"")</f>
        <v>#REF!</v>
      </c>
      <c r="V39" s="29" t="s">
        <v>57</v>
      </c>
      <c r="W39" s="13" t="e">
        <f>_xlfn.XLOOKUP(PRODUCTO_MI_AR4[[#This Row],[NOM CONSERVA]],#REF!,#REF!,"")</f>
        <v>#REF!</v>
      </c>
      <c r="X39" s="17" t="s">
        <v>23</v>
      </c>
    </row>
    <row r="40" spans="2:24" thickTop="1" thickBot="1" x14ac:dyDescent="0.4">
      <c r="B40" s="14">
        <v>100012915</v>
      </c>
      <c r="C40" s="28" t="s">
        <v>661</v>
      </c>
      <c r="D40" s="9"/>
      <c r="E40" s="8">
        <v>2</v>
      </c>
      <c r="F40" s="28" t="s">
        <v>1123</v>
      </c>
      <c r="G40" s="8">
        <v>2</v>
      </c>
      <c r="H40" s="28" t="s">
        <v>1124</v>
      </c>
      <c r="I40" s="8">
        <v>26785</v>
      </c>
      <c r="J40" s="28" t="s">
        <v>17</v>
      </c>
      <c r="K40" s="11" t="e">
        <f>_xlfn.XLOOKUP(PRODUCTO_MI_AR4[[#This Row],[NOM CLASIFICACION COMERCIAL]],#REF!,#REF!,"")</f>
        <v>#REF!</v>
      </c>
      <c r="L40" s="28" t="s">
        <v>1125</v>
      </c>
      <c r="M40" s="11" t="e">
        <f>_xlfn.XLOOKUP(PRODUCTO_MI_AR4[[#This Row],[NOM CLASE COMERCIAL]],#REF!,#REF!,"")</f>
        <v>#REF!</v>
      </c>
      <c r="N40" s="28" t="s">
        <v>1126</v>
      </c>
      <c r="O40" s="11" t="e">
        <f>_xlfn.XLOOKUP(PRODUCTO_MI_AR4[[#This Row],[NOM CATEGORIA]],#REF!,#REF!,"")</f>
        <v>#REF!</v>
      </c>
      <c r="P40" s="28" t="s">
        <v>18</v>
      </c>
      <c r="Q40" s="8" t="e">
        <f>_xlfn.XLOOKUP(PRODUCTO_MI_AR4[[#This Row],[NOM FAMILIA COMERCIAL]],#REF!,#REF!,"")</f>
        <v>#REF!</v>
      </c>
      <c r="R40" s="28" t="s">
        <v>1141</v>
      </c>
      <c r="S40" s="11">
        <v>918</v>
      </c>
      <c r="T40" s="27" t="e">
        <f>_xlfn.XLOOKUP(PRODUCTO_MI_AR4[[#This Row],[COD SUBFAMILIA COMERCIAL]],#REF!,#REF!,"")</f>
        <v>#REF!</v>
      </c>
      <c r="U40" s="8" t="e">
        <f>_xlfn.XLOOKUP(PRODUCTO_MI_AR4[[#This Row],[NOM MARCA]],#REF!,#REF!,"")</f>
        <v>#REF!</v>
      </c>
      <c r="V40" s="29" t="s">
        <v>57</v>
      </c>
      <c r="W40" s="13" t="e">
        <f>_xlfn.XLOOKUP(PRODUCTO_MI_AR4[[#This Row],[NOM CONSERVA]],#REF!,#REF!,"")</f>
        <v>#REF!</v>
      </c>
      <c r="X40" s="17" t="s">
        <v>193</v>
      </c>
    </row>
    <row r="41" spans="2:24" thickTop="1" thickBot="1" x14ac:dyDescent="0.4">
      <c r="B41" s="14">
        <v>100010546</v>
      </c>
      <c r="C41" s="28" t="s">
        <v>663</v>
      </c>
      <c r="D41" s="9"/>
      <c r="E41" s="8">
        <v>2</v>
      </c>
      <c r="F41" s="28" t="s">
        <v>1123</v>
      </c>
      <c r="G41" s="8">
        <v>2</v>
      </c>
      <c r="H41" s="28" t="s">
        <v>1124</v>
      </c>
      <c r="I41" s="8">
        <v>26785</v>
      </c>
      <c r="J41" s="28" t="s">
        <v>17</v>
      </c>
      <c r="K41" s="11" t="e">
        <f>_xlfn.XLOOKUP(PRODUCTO_MI_AR4[[#This Row],[NOM CLASIFICACION COMERCIAL]],#REF!,#REF!,"")</f>
        <v>#REF!</v>
      </c>
      <c r="L41" s="28" t="s">
        <v>1125</v>
      </c>
      <c r="M41" s="11" t="e">
        <f>_xlfn.XLOOKUP(PRODUCTO_MI_AR4[[#This Row],[NOM CLASE COMERCIAL]],#REF!,#REF!,"")</f>
        <v>#REF!</v>
      </c>
      <c r="N41" s="28" t="s">
        <v>1126</v>
      </c>
      <c r="O41" s="11" t="e">
        <f>_xlfn.XLOOKUP(PRODUCTO_MI_AR4[[#This Row],[NOM CATEGORIA]],#REF!,#REF!,"")</f>
        <v>#REF!</v>
      </c>
      <c r="P41" s="28" t="s">
        <v>18</v>
      </c>
      <c r="Q41" s="8" t="e">
        <f>_xlfn.XLOOKUP(PRODUCTO_MI_AR4[[#This Row],[NOM FAMILIA COMERCIAL]],#REF!,#REF!,"")</f>
        <v>#REF!</v>
      </c>
      <c r="R41" s="28" t="s">
        <v>1141</v>
      </c>
      <c r="S41" s="11">
        <v>918</v>
      </c>
      <c r="T41" s="27" t="e">
        <f>_xlfn.XLOOKUP(PRODUCTO_MI_AR4[[#This Row],[COD SUBFAMILIA COMERCIAL]],#REF!,#REF!,"")</f>
        <v>#REF!</v>
      </c>
      <c r="U41" s="8" t="e">
        <f>_xlfn.XLOOKUP(PRODUCTO_MI_AR4[[#This Row],[NOM MARCA]],#REF!,#REF!,"")</f>
        <v>#REF!</v>
      </c>
      <c r="V41" s="29" t="s">
        <v>57</v>
      </c>
      <c r="W41" s="13" t="e">
        <f>_xlfn.XLOOKUP(PRODUCTO_MI_AR4[[#This Row],[NOM CONSERVA]],#REF!,#REF!,"")</f>
        <v>#REF!</v>
      </c>
      <c r="X41" s="17" t="s">
        <v>23</v>
      </c>
    </row>
    <row r="42" spans="2:24" thickTop="1" thickBot="1" x14ac:dyDescent="0.4">
      <c r="B42" s="14">
        <v>100016336</v>
      </c>
      <c r="C42" s="28" t="s">
        <v>323</v>
      </c>
      <c r="D42" s="9"/>
      <c r="E42" s="8">
        <v>2</v>
      </c>
      <c r="F42" s="28" t="s">
        <v>1123</v>
      </c>
      <c r="G42" s="8">
        <v>2</v>
      </c>
      <c r="H42" s="28" t="s">
        <v>1124</v>
      </c>
      <c r="I42" s="8">
        <v>26785</v>
      </c>
      <c r="J42" s="28" t="s">
        <v>17</v>
      </c>
      <c r="K42" s="11" t="e">
        <f>_xlfn.XLOOKUP(PRODUCTO_MI_AR4[[#This Row],[NOM CLASIFICACION COMERCIAL]],#REF!,#REF!,"")</f>
        <v>#REF!</v>
      </c>
      <c r="L42" s="28" t="s">
        <v>320</v>
      </c>
      <c r="M42" s="11" t="e">
        <f>_xlfn.XLOOKUP(PRODUCTO_MI_AR4[[#This Row],[NOM CLASE COMERCIAL]],#REF!,#REF!,"")</f>
        <v>#REF!</v>
      </c>
      <c r="N42" s="28" t="s">
        <v>1126</v>
      </c>
      <c r="O42" s="11" t="e">
        <f>_xlfn.XLOOKUP(PRODUCTO_MI_AR4[[#This Row],[NOM CATEGORIA]],#REF!,#REF!,"")</f>
        <v>#REF!</v>
      </c>
      <c r="P42" s="28" t="s">
        <v>18</v>
      </c>
      <c r="Q42" s="8" t="e">
        <f>_xlfn.XLOOKUP(PRODUCTO_MI_AR4[[#This Row],[NOM FAMILIA COMERCIAL]],#REF!,#REF!,"")</f>
        <v>#REF!</v>
      </c>
      <c r="R42" s="28" t="s">
        <v>1142</v>
      </c>
      <c r="S42" s="11">
        <v>905</v>
      </c>
      <c r="T42" s="27" t="e">
        <f>_xlfn.XLOOKUP(PRODUCTO_MI_AR4[[#This Row],[COD SUBFAMILIA COMERCIAL]],#REF!,#REF!,"")</f>
        <v>#REF!</v>
      </c>
      <c r="U42" s="8" t="e">
        <f>_xlfn.XLOOKUP(PRODUCTO_MI_AR4[[#This Row],[NOM MARCA]],#REF!,#REF!,"")</f>
        <v>#REF!</v>
      </c>
      <c r="V42" s="29" t="s">
        <v>57</v>
      </c>
      <c r="W42" s="13" t="e">
        <f>_xlfn.XLOOKUP(PRODUCTO_MI_AR4[[#This Row],[NOM CONSERVA]],#REF!,#REF!,"")</f>
        <v>#REF!</v>
      </c>
      <c r="X42" s="17" t="s">
        <v>193</v>
      </c>
    </row>
    <row r="43" spans="2:24" thickTop="1" thickBot="1" x14ac:dyDescent="0.4">
      <c r="B43" s="14">
        <v>100016338</v>
      </c>
      <c r="C43" s="28" t="s">
        <v>380</v>
      </c>
      <c r="D43" s="9"/>
      <c r="E43" s="8">
        <v>2</v>
      </c>
      <c r="F43" s="28" t="s">
        <v>1123</v>
      </c>
      <c r="G43" s="8">
        <v>2</v>
      </c>
      <c r="H43" s="28" t="s">
        <v>1124</v>
      </c>
      <c r="I43" s="8">
        <v>26785</v>
      </c>
      <c r="J43" s="28" t="s">
        <v>17</v>
      </c>
      <c r="K43" s="11" t="e">
        <f>_xlfn.XLOOKUP(PRODUCTO_MI_AR4[[#This Row],[NOM CLASIFICACION COMERCIAL]],#REF!,#REF!,"")</f>
        <v>#REF!</v>
      </c>
      <c r="L43" s="28" t="s">
        <v>320</v>
      </c>
      <c r="M43" s="11" t="e">
        <f>_xlfn.XLOOKUP(PRODUCTO_MI_AR4[[#This Row],[NOM CLASE COMERCIAL]],#REF!,#REF!,"")</f>
        <v>#REF!</v>
      </c>
      <c r="N43" s="28" t="s">
        <v>1126</v>
      </c>
      <c r="O43" s="11" t="e">
        <f>_xlfn.XLOOKUP(PRODUCTO_MI_AR4[[#This Row],[NOM CATEGORIA]],#REF!,#REF!,"")</f>
        <v>#REF!</v>
      </c>
      <c r="P43" s="28" t="s">
        <v>18</v>
      </c>
      <c r="Q43" s="8" t="e">
        <f>_xlfn.XLOOKUP(PRODUCTO_MI_AR4[[#This Row],[NOM FAMILIA COMERCIAL]],#REF!,#REF!,"")</f>
        <v>#REF!</v>
      </c>
      <c r="R43" s="28" t="s">
        <v>1142</v>
      </c>
      <c r="S43" s="11">
        <v>909</v>
      </c>
      <c r="T43" s="27" t="e">
        <f>_xlfn.XLOOKUP(PRODUCTO_MI_AR4[[#This Row],[COD SUBFAMILIA COMERCIAL]],#REF!,#REF!,"")</f>
        <v>#REF!</v>
      </c>
      <c r="U43" s="8" t="e">
        <f>_xlfn.XLOOKUP(PRODUCTO_MI_AR4[[#This Row],[NOM MARCA]],#REF!,#REF!,"")</f>
        <v>#REF!</v>
      </c>
      <c r="V43" s="29" t="s">
        <v>57</v>
      </c>
      <c r="W43" s="13" t="e">
        <f>_xlfn.XLOOKUP(PRODUCTO_MI_AR4[[#This Row],[NOM CONSERVA]],#REF!,#REF!,"")</f>
        <v>#REF!</v>
      </c>
      <c r="X43" s="17" t="s">
        <v>193</v>
      </c>
    </row>
    <row r="44" spans="2:24" thickTop="1" thickBot="1" x14ac:dyDescent="0.4">
      <c r="B44" s="14">
        <v>100016337</v>
      </c>
      <c r="C44" s="28" t="s">
        <v>539</v>
      </c>
      <c r="D44" s="9"/>
      <c r="E44" s="8">
        <v>2</v>
      </c>
      <c r="F44" s="28" t="s">
        <v>1123</v>
      </c>
      <c r="G44" s="8">
        <v>2</v>
      </c>
      <c r="H44" s="28" t="s">
        <v>1124</v>
      </c>
      <c r="I44" s="8">
        <v>26785</v>
      </c>
      <c r="J44" s="28" t="s">
        <v>17</v>
      </c>
      <c r="K44" s="11" t="e">
        <f>_xlfn.XLOOKUP(PRODUCTO_MI_AR4[[#This Row],[NOM CLASIFICACION COMERCIAL]],#REF!,#REF!,"")</f>
        <v>#REF!</v>
      </c>
      <c r="L44" s="28" t="s">
        <v>320</v>
      </c>
      <c r="M44" s="11" t="e">
        <f>_xlfn.XLOOKUP(PRODUCTO_MI_AR4[[#This Row],[NOM CLASE COMERCIAL]],#REF!,#REF!,"")</f>
        <v>#REF!</v>
      </c>
      <c r="N44" s="28" t="s">
        <v>1126</v>
      </c>
      <c r="O44" s="11" t="e">
        <f>_xlfn.XLOOKUP(PRODUCTO_MI_AR4[[#This Row],[NOM CATEGORIA]],#REF!,#REF!,"")</f>
        <v>#REF!</v>
      </c>
      <c r="P44" s="28" t="s">
        <v>18</v>
      </c>
      <c r="Q44" s="8" t="e">
        <f>_xlfn.XLOOKUP(PRODUCTO_MI_AR4[[#This Row],[NOM FAMILIA COMERCIAL]],#REF!,#REF!,"")</f>
        <v>#REF!</v>
      </c>
      <c r="R44" s="28" t="s">
        <v>1142</v>
      </c>
      <c r="S44" s="11">
        <v>915</v>
      </c>
      <c r="T44" s="27" t="e">
        <f>_xlfn.XLOOKUP(PRODUCTO_MI_AR4[[#This Row],[COD SUBFAMILIA COMERCIAL]],#REF!,#REF!,"")</f>
        <v>#REF!</v>
      </c>
      <c r="U44" s="8" t="e">
        <f>_xlfn.XLOOKUP(PRODUCTO_MI_AR4[[#This Row],[NOM MARCA]],#REF!,#REF!,"")</f>
        <v>#REF!</v>
      </c>
      <c r="V44" s="29" t="s">
        <v>57</v>
      </c>
      <c r="W44" s="13" t="e">
        <f>_xlfn.XLOOKUP(PRODUCTO_MI_AR4[[#This Row],[NOM CONSERVA]],#REF!,#REF!,"")</f>
        <v>#REF!</v>
      </c>
      <c r="X44" s="17" t="s">
        <v>193</v>
      </c>
    </row>
    <row r="45" spans="2:24" thickTop="1" thickBot="1" x14ac:dyDescent="0.4">
      <c r="B45" s="14">
        <v>100016341</v>
      </c>
      <c r="C45" s="28" t="s">
        <v>563</v>
      </c>
      <c r="D45" s="9"/>
      <c r="E45" s="8">
        <v>2</v>
      </c>
      <c r="F45" s="28" t="s">
        <v>1123</v>
      </c>
      <c r="G45" s="8">
        <v>2</v>
      </c>
      <c r="H45" s="28" t="s">
        <v>1124</v>
      </c>
      <c r="I45" s="8">
        <v>26785</v>
      </c>
      <c r="J45" s="28" t="s">
        <v>17</v>
      </c>
      <c r="K45" s="11" t="e">
        <f>_xlfn.XLOOKUP(PRODUCTO_MI_AR4[[#This Row],[NOM CLASIFICACION COMERCIAL]],#REF!,#REF!,"")</f>
        <v>#REF!</v>
      </c>
      <c r="L45" s="28" t="s">
        <v>320</v>
      </c>
      <c r="M45" s="11" t="e">
        <f>_xlfn.XLOOKUP(PRODUCTO_MI_AR4[[#This Row],[NOM CLASE COMERCIAL]],#REF!,#REF!,"")</f>
        <v>#REF!</v>
      </c>
      <c r="N45" s="28" t="s">
        <v>1126</v>
      </c>
      <c r="O45" s="11" t="e">
        <f>_xlfn.XLOOKUP(PRODUCTO_MI_AR4[[#This Row],[NOM CATEGORIA]],#REF!,#REF!,"")</f>
        <v>#REF!</v>
      </c>
      <c r="P45" s="28" t="s">
        <v>18</v>
      </c>
      <c r="Q45" s="8" t="e">
        <f>_xlfn.XLOOKUP(PRODUCTO_MI_AR4[[#This Row],[NOM FAMILIA COMERCIAL]],#REF!,#REF!,"")</f>
        <v>#REF!</v>
      </c>
      <c r="R45" s="28" t="s">
        <v>1142</v>
      </c>
      <c r="S45" s="11">
        <v>916</v>
      </c>
      <c r="T45" s="27" t="e">
        <f>_xlfn.XLOOKUP(PRODUCTO_MI_AR4[[#This Row],[COD SUBFAMILIA COMERCIAL]],#REF!,#REF!,"")</f>
        <v>#REF!</v>
      </c>
      <c r="U45" s="8" t="e">
        <f>_xlfn.XLOOKUP(PRODUCTO_MI_AR4[[#This Row],[NOM MARCA]],#REF!,#REF!,"")</f>
        <v>#REF!</v>
      </c>
      <c r="V45" s="29" t="s">
        <v>57</v>
      </c>
      <c r="W45" s="13" t="e">
        <f>_xlfn.XLOOKUP(PRODUCTO_MI_AR4[[#This Row],[NOM CONSERVA]],#REF!,#REF!,"")</f>
        <v>#REF!</v>
      </c>
      <c r="X45" s="17" t="s">
        <v>193</v>
      </c>
    </row>
    <row r="46" spans="2:24" thickTop="1" thickBot="1" x14ac:dyDescent="0.4">
      <c r="B46" s="14">
        <v>100016121</v>
      </c>
      <c r="C46" s="28" t="s">
        <v>735</v>
      </c>
      <c r="D46" s="9"/>
      <c r="E46" s="8">
        <v>2</v>
      </c>
      <c r="F46" s="28" t="s">
        <v>1123</v>
      </c>
      <c r="G46" s="8">
        <v>2</v>
      </c>
      <c r="H46" s="28" t="s">
        <v>1124</v>
      </c>
      <c r="I46" s="8">
        <v>26785</v>
      </c>
      <c r="J46" s="28" t="s">
        <v>17</v>
      </c>
      <c r="K46" s="11" t="e">
        <f>_xlfn.XLOOKUP(PRODUCTO_MI_AR4[[#This Row],[NOM CLASIFICACION COMERCIAL]],#REF!,#REF!,"")</f>
        <v>#REF!</v>
      </c>
      <c r="L46" s="28" t="s">
        <v>320</v>
      </c>
      <c r="M46" s="11" t="e">
        <f>_xlfn.XLOOKUP(PRODUCTO_MI_AR4[[#This Row],[NOM CLASE COMERCIAL]],#REF!,#REF!,"")</f>
        <v>#REF!</v>
      </c>
      <c r="N46" s="28" t="s">
        <v>1126</v>
      </c>
      <c r="O46" s="11" t="e">
        <f>_xlfn.XLOOKUP(PRODUCTO_MI_AR4[[#This Row],[NOM CATEGORIA]],#REF!,#REF!,"")</f>
        <v>#REF!</v>
      </c>
      <c r="P46" s="28" t="s">
        <v>18</v>
      </c>
      <c r="Q46" s="8" t="e">
        <f>_xlfn.XLOOKUP(PRODUCTO_MI_AR4[[#This Row],[NOM FAMILIA COMERCIAL]],#REF!,#REF!,"")</f>
        <v>#REF!</v>
      </c>
      <c r="R46" s="28" t="s">
        <v>1142</v>
      </c>
      <c r="S46" s="11">
        <v>919</v>
      </c>
      <c r="T46" s="27" t="e">
        <f>_xlfn.XLOOKUP(PRODUCTO_MI_AR4[[#This Row],[COD SUBFAMILIA COMERCIAL]],#REF!,#REF!,"")</f>
        <v>#REF!</v>
      </c>
      <c r="U46" s="8" t="e">
        <f>_xlfn.XLOOKUP(PRODUCTO_MI_AR4[[#This Row],[NOM MARCA]],#REF!,#REF!,"")</f>
        <v>#REF!</v>
      </c>
      <c r="V46" s="29" t="s">
        <v>57</v>
      </c>
      <c r="W46" s="13" t="e">
        <f>_xlfn.XLOOKUP(PRODUCTO_MI_AR4[[#This Row],[NOM CONSERVA]],#REF!,#REF!,"")</f>
        <v>#REF!</v>
      </c>
      <c r="X46" s="17" t="s">
        <v>193</v>
      </c>
    </row>
    <row r="47" spans="2:24" thickTop="1" thickBot="1" x14ac:dyDescent="0.4">
      <c r="B47" s="14">
        <v>100016120</v>
      </c>
      <c r="C47" s="28" t="s">
        <v>741</v>
      </c>
      <c r="D47" s="9"/>
      <c r="E47" s="8">
        <v>2</v>
      </c>
      <c r="F47" s="28" t="s">
        <v>1123</v>
      </c>
      <c r="G47" s="8">
        <v>2</v>
      </c>
      <c r="H47" s="28" t="s">
        <v>1124</v>
      </c>
      <c r="I47" s="8">
        <v>26785</v>
      </c>
      <c r="J47" s="28" t="s">
        <v>17</v>
      </c>
      <c r="K47" s="11" t="e">
        <f>_xlfn.XLOOKUP(PRODUCTO_MI_AR4[[#This Row],[NOM CLASIFICACION COMERCIAL]],#REF!,#REF!,"")</f>
        <v>#REF!</v>
      </c>
      <c r="L47" s="28" t="s">
        <v>320</v>
      </c>
      <c r="M47" s="11" t="e">
        <f>_xlfn.XLOOKUP(PRODUCTO_MI_AR4[[#This Row],[NOM CLASE COMERCIAL]],#REF!,#REF!,"")</f>
        <v>#REF!</v>
      </c>
      <c r="N47" s="28" t="s">
        <v>1126</v>
      </c>
      <c r="O47" s="11" t="e">
        <f>_xlfn.XLOOKUP(PRODUCTO_MI_AR4[[#This Row],[NOM CATEGORIA]],#REF!,#REF!,"")</f>
        <v>#REF!</v>
      </c>
      <c r="P47" s="28" t="s">
        <v>18</v>
      </c>
      <c r="Q47" s="8" t="e">
        <f>_xlfn.XLOOKUP(PRODUCTO_MI_AR4[[#This Row],[NOM FAMILIA COMERCIAL]],#REF!,#REF!,"")</f>
        <v>#REF!</v>
      </c>
      <c r="R47" s="28" t="s">
        <v>1142</v>
      </c>
      <c r="S47" s="11">
        <v>919</v>
      </c>
      <c r="T47" s="27" t="e">
        <f>_xlfn.XLOOKUP(PRODUCTO_MI_AR4[[#This Row],[COD SUBFAMILIA COMERCIAL]],#REF!,#REF!,"")</f>
        <v>#REF!</v>
      </c>
      <c r="U47" s="8" t="e">
        <f>_xlfn.XLOOKUP(PRODUCTO_MI_AR4[[#This Row],[NOM MARCA]],#REF!,#REF!,"")</f>
        <v>#REF!</v>
      </c>
      <c r="V47" s="29" t="s">
        <v>57</v>
      </c>
      <c r="W47" s="13" t="e">
        <f>_xlfn.XLOOKUP(PRODUCTO_MI_AR4[[#This Row],[NOM CONSERVA]],#REF!,#REF!,"")</f>
        <v>#REF!</v>
      </c>
      <c r="X47" s="17" t="s">
        <v>193</v>
      </c>
    </row>
    <row r="48" spans="2:24" thickTop="1" thickBot="1" x14ac:dyDescent="0.4">
      <c r="B48" s="14">
        <v>100016267</v>
      </c>
      <c r="C48" s="28" t="s">
        <v>746</v>
      </c>
      <c r="D48" s="9"/>
      <c r="E48" s="8">
        <v>2</v>
      </c>
      <c r="F48" s="28" t="s">
        <v>1123</v>
      </c>
      <c r="G48" s="8">
        <v>2</v>
      </c>
      <c r="H48" s="28" t="s">
        <v>1124</v>
      </c>
      <c r="I48" s="8">
        <v>26785</v>
      </c>
      <c r="J48" s="28" t="s">
        <v>17</v>
      </c>
      <c r="K48" s="11" t="e">
        <f>_xlfn.XLOOKUP(PRODUCTO_MI_AR4[[#This Row],[NOM CLASIFICACION COMERCIAL]],#REF!,#REF!,"")</f>
        <v>#REF!</v>
      </c>
      <c r="L48" s="28" t="s">
        <v>320</v>
      </c>
      <c r="M48" s="11" t="e">
        <f>_xlfn.XLOOKUP(PRODUCTO_MI_AR4[[#This Row],[NOM CLASE COMERCIAL]],#REF!,#REF!,"")</f>
        <v>#REF!</v>
      </c>
      <c r="N48" s="28" t="s">
        <v>1126</v>
      </c>
      <c r="O48" s="11" t="e">
        <f>_xlfn.XLOOKUP(PRODUCTO_MI_AR4[[#This Row],[NOM CATEGORIA]],#REF!,#REF!,"")</f>
        <v>#REF!</v>
      </c>
      <c r="P48" s="28" t="s">
        <v>18</v>
      </c>
      <c r="Q48" s="8" t="e">
        <f>_xlfn.XLOOKUP(PRODUCTO_MI_AR4[[#This Row],[NOM FAMILIA COMERCIAL]],#REF!,#REF!,"")</f>
        <v>#REF!</v>
      </c>
      <c r="R48" s="28" t="s">
        <v>1142</v>
      </c>
      <c r="S48" s="11">
        <v>921</v>
      </c>
      <c r="T48" s="27" t="e">
        <f>_xlfn.XLOOKUP(PRODUCTO_MI_AR4[[#This Row],[COD SUBFAMILIA COMERCIAL]],#REF!,#REF!,"")</f>
        <v>#REF!</v>
      </c>
      <c r="U48" s="8" t="e">
        <f>_xlfn.XLOOKUP(PRODUCTO_MI_AR4[[#This Row],[NOM MARCA]],#REF!,#REF!,"")</f>
        <v>#REF!</v>
      </c>
      <c r="V48" s="29" t="s">
        <v>57</v>
      </c>
      <c r="W48" s="13" t="e">
        <f>_xlfn.XLOOKUP(PRODUCTO_MI_AR4[[#This Row],[NOM CONSERVA]],#REF!,#REF!,"")</f>
        <v>#REF!</v>
      </c>
      <c r="X48" s="17" t="s">
        <v>193</v>
      </c>
    </row>
    <row r="49" spans="2:24" thickTop="1" thickBot="1" x14ac:dyDescent="0.4">
      <c r="B49" s="15">
        <v>100016339</v>
      </c>
      <c r="C49" s="29" t="s">
        <v>930</v>
      </c>
      <c r="E49" s="5">
        <v>2</v>
      </c>
      <c r="F49" s="29" t="s">
        <v>1123</v>
      </c>
      <c r="G49" s="5">
        <v>2</v>
      </c>
      <c r="H49" s="29" t="s">
        <v>1124</v>
      </c>
      <c r="I49" s="5">
        <v>26785</v>
      </c>
      <c r="J49" s="29" t="s">
        <v>17</v>
      </c>
      <c r="K49" s="11" t="e">
        <f>_xlfn.XLOOKUP(PRODUCTO_MI_AR4[[#This Row],[NOM CLASIFICACION COMERCIAL]],#REF!,#REF!,"")</f>
        <v>#REF!</v>
      </c>
      <c r="L49" s="29" t="s">
        <v>320</v>
      </c>
      <c r="M49" s="11" t="e">
        <f>_xlfn.XLOOKUP(PRODUCTO_MI_AR4[[#This Row],[NOM CLASE COMERCIAL]],#REF!,#REF!,"")</f>
        <v>#REF!</v>
      </c>
      <c r="N49" s="29" t="s">
        <v>1126</v>
      </c>
      <c r="O49" s="11" t="e">
        <f>_xlfn.XLOOKUP(PRODUCTO_MI_AR4[[#This Row],[NOM CATEGORIA]],#REF!,#REF!,"")</f>
        <v>#REF!</v>
      </c>
      <c r="P49" s="29" t="s">
        <v>18</v>
      </c>
      <c r="Q49" s="5" t="e">
        <f>_xlfn.XLOOKUP(PRODUCTO_MI_AR4[[#This Row],[NOM FAMILIA COMERCIAL]],#REF!,#REF!,"")</f>
        <v>#REF!</v>
      </c>
      <c r="R49" s="29" t="s">
        <v>1142</v>
      </c>
      <c r="S49" s="11">
        <v>930</v>
      </c>
      <c r="T49" s="27" t="e">
        <f>_xlfn.XLOOKUP(PRODUCTO_MI_AR4[[#This Row],[COD SUBFAMILIA COMERCIAL]],#REF!,#REF!,"")</f>
        <v>#REF!</v>
      </c>
      <c r="U49" s="5" t="e">
        <f>_xlfn.XLOOKUP(PRODUCTO_MI_AR4[[#This Row],[NOM MARCA]],#REF!,#REF!,"")</f>
        <v>#REF!</v>
      </c>
      <c r="V49" s="29" t="s">
        <v>57</v>
      </c>
      <c r="W49" s="13" t="e">
        <f>_xlfn.XLOOKUP(PRODUCTO_MI_AR4[[#This Row],[NOM CONSERVA]],#REF!,#REF!,"")</f>
        <v>#REF!</v>
      </c>
      <c r="X49" s="17" t="s">
        <v>193</v>
      </c>
    </row>
    <row r="50" spans="2:24" thickTop="1" thickBot="1" x14ac:dyDescent="0.4">
      <c r="B50" s="15">
        <v>100016335</v>
      </c>
      <c r="C50" s="29" t="s">
        <v>952</v>
      </c>
      <c r="E50" s="5">
        <v>2</v>
      </c>
      <c r="F50" s="29" t="s">
        <v>1123</v>
      </c>
      <c r="G50" s="5">
        <v>2</v>
      </c>
      <c r="H50" s="29" t="s">
        <v>1124</v>
      </c>
      <c r="I50" s="5">
        <v>26785</v>
      </c>
      <c r="J50" s="29" t="s">
        <v>17</v>
      </c>
      <c r="K50" s="11" t="e">
        <f>_xlfn.XLOOKUP(PRODUCTO_MI_AR4[[#This Row],[NOM CLASIFICACION COMERCIAL]],#REF!,#REF!,"")</f>
        <v>#REF!</v>
      </c>
      <c r="L50" s="29" t="s">
        <v>320</v>
      </c>
      <c r="M50" s="11" t="e">
        <f>_xlfn.XLOOKUP(PRODUCTO_MI_AR4[[#This Row],[NOM CLASE COMERCIAL]],#REF!,#REF!,"")</f>
        <v>#REF!</v>
      </c>
      <c r="N50" s="29" t="s">
        <v>1126</v>
      </c>
      <c r="O50" s="11" t="e">
        <f>_xlfn.XLOOKUP(PRODUCTO_MI_AR4[[#This Row],[NOM CATEGORIA]],#REF!,#REF!,"")</f>
        <v>#REF!</v>
      </c>
      <c r="P50" s="29" t="s">
        <v>18</v>
      </c>
      <c r="Q50" s="5" t="e">
        <f>_xlfn.XLOOKUP(PRODUCTO_MI_AR4[[#This Row],[NOM FAMILIA COMERCIAL]],#REF!,#REF!,"")</f>
        <v>#REF!</v>
      </c>
      <c r="R50" s="29" t="s">
        <v>1142</v>
      </c>
      <c r="S50" s="11">
        <v>946</v>
      </c>
      <c r="T50" s="27" t="e">
        <f>_xlfn.XLOOKUP(PRODUCTO_MI_AR4[[#This Row],[COD SUBFAMILIA COMERCIAL]],#REF!,#REF!,"")</f>
        <v>#REF!</v>
      </c>
      <c r="U50" s="5" t="e">
        <f>_xlfn.XLOOKUP(PRODUCTO_MI_AR4[[#This Row],[NOM MARCA]],#REF!,#REF!,"")</f>
        <v>#REF!</v>
      </c>
      <c r="V50" s="29" t="s">
        <v>57</v>
      </c>
      <c r="W50" s="13" t="e">
        <f>_xlfn.XLOOKUP(PRODUCTO_MI_AR4[[#This Row],[NOM CONSERVA]],#REF!,#REF!,"")</f>
        <v>#REF!</v>
      </c>
      <c r="X50" s="17" t="s">
        <v>193</v>
      </c>
    </row>
    <row r="51" spans="2:24" thickTop="1" thickBot="1" x14ac:dyDescent="0.4">
      <c r="B51" s="15">
        <v>100016222</v>
      </c>
      <c r="C51" s="29" t="s">
        <v>1082</v>
      </c>
      <c r="E51" s="5">
        <v>2</v>
      </c>
      <c r="F51" s="29" t="s">
        <v>1123</v>
      </c>
      <c r="G51" s="5">
        <v>2</v>
      </c>
      <c r="H51" s="29" t="s">
        <v>1124</v>
      </c>
      <c r="I51" s="5">
        <v>26785</v>
      </c>
      <c r="J51" s="29" t="s">
        <v>17</v>
      </c>
      <c r="K51" s="11" t="e">
        <f>_xlfn.XLOOKUP(PRODUCTO_MI_AR4[[#This Row],[NOM CLASIFICACION COMERCIAL]],#REF!,#REF!,"")</f>
        <v>#REF!</v>
      </c>
      <c r="L51" s="29" t="s">
        <v>320</v>
      </c>
      <c r="M51" s="11" t="e">
        <f>_xlfn.XLOOKUP(PRODUCTO_MI_AR4[[#This Row],[NOM CLASE COMERCIAL]],#REF!,#REF!,"")</f>
        <v>#REF!</v>
      </c>
      <c r="N51" s="29" t="s">
        <v>1126</v>
      </c>
      <c r="O51" s="11" t="e">
        <f>_xlfn.XLOOKUP(PRODUCTO_MI_AR4[[#This Row],[NOM CATEGORIA]],#REF!,#REF!,"")</f>
        <v>#REF!</v>
      </c>
      <c r="P51" s="29" t="s">
        <v>18</v>
      </c>
      <c r="Q51" s="5" t="e">
        <f>_xlfn.XLOOKUP(PRODUCTO_MI_AR4[[#This Row],[NOM FAMILIA COMERCIAL]],#REF!,#REF!,"")</f>
        <v>#REF!</v>
      </c>
      <c r="R51" s="29" t="s">
        <v>1142</v>
      </c>
      <c r="S51" s="11">
        <v>954</v>
      </c>
      <c r="T51" s="27" t="e">
        <f>_xlfn.XLOOKUP(PRODUCTO_MI_AR4[[#This Row],[COD SUBFAMILIA COMERCIAL]],#REF!,#REF!,"")</f>
        <v>#REF!</v>
      </c>
      <c r="U51" s="5" t="e">
        <f>_xlfn.XLOOKUP(PRODUCTO_MI_AR4[[#This Row],[NOM MARCA]],#REF!,#REF!,"")</f>
        <v>#REF!</v>
      </c>
      <c r="V51" s="29" t="s">
        <v>57</v>
      </c>
      <c r="W51" s="13" t="e">
        <f>_xlfn.XLOOKUP(PRODUCTO_MI_AR4[[#This Row],[NOM CONSERVA]],#REF!,#REF!,"")</f>
        <v>#REF!</v>
      </c>
      <c r="X51" s="17" t="s">
        <v>193</v>
      </c>
    </row>
    <row r="52" spans="2:24" thickTop="1" thickBot="1" x14ac:dyDescent="0.4">
      <c r="B52" s="14">
        <v>100010008</v>
      </c>
      <c r="C52" s="28" t="s">
        <v>765</v>
      </c>
      <c r="D52" s="9"/>
      <c r="E52" s="8">
        <v>2</v>
      </c>
      <c r="F52" s="28" t="s">
        <v>1123</v>
      </c>
      <c r="G52" s="8">
        <v>2</v>
      </c>
      <c r="H52" s="28" t="s">
        <v>1124</v>
      </c>
      <c r="I52" s="8">
        <v>26785</v>
      </c>
      <c r="J52" s="28" t="s">
        <v>17</v>
      </c>
      <c r="K52" s="11" t="e">
        <f>_xlfn.XLOOKUP(PRODUCTO_MI_AR4[[#This Row],[NOM CLASIFICACION COMERCIAL]],#REF!,#REF!,"")</f>
        <v>#REF!</v>
      </c>
      <c r="L52" s="28" t="s">
        <v>231</v>
      </c>
      <c r="M52" s="11" t="e">
        <f>_xlfn.XLOOKUP(PRODUCTO_MI_AR4[[#This Row],[NOM CLASE COMERCIAL]],#REF!,#REF!,"")</f>
        <v>#REF!</v>
      </c>
      <c r="N52" s="28" t="s">
        <v>1126</v>
      </c>
      <c r="O52" s="11" t="e">
        <f>_xlfn.XLOOKUP(PRODUCTO_MI_AR4[[#This Row],[NOM CATEGORIA]],#REF!,#REF!,"")</f>
        <v>#REF!</v>
      </c>
      <c r="P52" s="28" t="s">
        <v>18</v>
      </c>
      <c r="Q52" s="8" t="e">
        <f>_xlfn.XLOOKUP(PRODUCTO_MI_AR4[[#This Row],[NOM FAMILIA COMERCIAL]],#REF!,#REF!,"")</f>
        <v>#REF!</v>
      </c>
      <c r="R52" s="28" t="s">
        <v>1143</v>
      </c>
      <c r="S52" s="11">
        <v>922</v>
      </c>
      <c r="T52" s="27" t="e">
        <f>_xlfn.XLOOKUP(PRODUCTO_MI_AR4[[#This Row],[COD SUBFAMILIA COMERCIAL]],#REF!,#REF!,"")</f>
        <v>#REF!</v>
      </c>
      <c r="U52" s="8" t="e">
        <f>_xlfn.XLOOKUP(PRODUCTO_MI_AR4[[#This Row],[NOM MARCA]],#REF!,#REF!,"")</f>
        <v>#REF!</v>
      </c>
      <c r="V52" s="29" t="s">
        <v>57</v>
      </c>
      <c r="W52" s="13" t="e">
        <f>_xlfn.XLOOKUP(PRODUCTO_MI_AR4[[#This Row],[NOM CONSERVA]],#REF!,#REF!,"")</f>
        <v>#REF!</v>
      </c>
      <c r="X52" s="17" t="s">
        <v>23</v>
      </c>
    </row>
    <row r="53" spans="2:24" thickTop="1" thickBot="1" x14ac:dyDescent="0.4">
      <c r="B53" s="14">
        <v>100013207</v>
      </c>
      <c r="C53" s="28" t="s">
        <v>779</v>
      </c>
      <c r="D53" s="9"/>
      <c r="E53" s="8">
        <v>2</v>
      </c>
      <c r="F53" s="28" t="s">
        <v>1123</v>
      </c>
      <c r="G53" s="8">
        <v>2</v>
      </c>
      <c r="H53" s="28" t="s">
        <v>1124</v>
      </c>
      <c r="I53" s="8">
        <v>26785</v>
      </c>
      <c r="J53" s="28" t="s">
        <v>17</v>
      </c>
      <c r="K53" s="11" t="e">
        <f>_xlfn.XLOOKUP(PRODUCTO_MI_AR4[[#This Row],[NOM CLASIFICACION COMERCIAL]],#REF!,#REF!,"")</f>
        <v>#REF!</v>
      </c>
      <c r="L53" s="28" t="s">
        <v>231</v>
      </c>
      <c r="M53" s="11" t="e">
        <f>_xlfn.XLOOKUP(PRODUCTO_MI_AR4[[#This Row],[NOM CLASE COMERCIAL]],#REF!,#REF!,"")</f>
        <v>#REF!</v>
      </c>
      <c r="N53" s="28" t="s">
        <v>1126</v>
      </c>
      <c r="O53" s="11" t="e">
        <f>_xlfn.XLOOKUP(PRODUCTO_MI_AR4[[#This Row],[NOM CATEGORIA]],#REF!,#REF!,"")</f>
        <v>#REF!</v>
      </c>
      <c r="P53" s="28" t="s">
        <v>18</v>
      </c>
      <c r="Q53" s="8" t="e">
        <f>_xlfn.XLOOKUP(PRODUCTO_MI_AR4[[#This Row],[NOM FAMILIA COMERCIAL]],#REF!,#REF!,"")</f>
        <v>#REF!</v>
      </c>
      <c r="R53" s="28" t="s">
        <v>1143</v>
      </c>
      <c r="S53" s="11">
        <v>922</v>
      </c>
      <c r="T53" s="27" t="e">
        <f>_xlfn.XLOOKUP(PRODUCTO_MI_AR4[[#This Row],[COD SUBFAMILIA COMERCIAL]],#REF!,#REF!,"")</f>
        <v>#REF!</v>
      </c>
      <c r="U53" s="8" t="e">
        <f>_xlfn.XLOOKUP(PRODUCTO_MI_AR4[[#This Row],[NOM MARCA]],#REF!,#REF!,"")</f>
        <v>#REF!</v>
      </c>
      <c r="V53" s="29" t="s">
        <v>57</v>
      </c>
      <c r="W53" s="13" t="e">
        <f>_xlfn.XLOOKUP(PRODUCTO_MI_AR4[[#This Row],[NOM CONSERVA]],#REF!,#REF!,"")</f>
        <v>#REF!</v>
      </c>
      <c r="X53" s="17" t="s">
        <v>193</v>
      </c>
    </row>
    <row r="54" spans="2:24" thickTop="1" thickBot="1" x14ac:dyDescent="0.4">
      <c r="B54" s="14">
        <v>100012202</v>
      </c>
      <c r="C54" s="28" t="s">
        <v>780</v>
      </c>
      <c r="D54" s="9"/>
      <c r="E54" s="8">
        <v>2</v>
      </c>
      <c r="F54" s="28" t="s">
        <v>1123</v>
      </c>
      <c r="G54" s="8">
        <v>2</v>
      </c>
      <c r="H54" s="28" t="s">
        <v>1124</v>
      </c>
      <c r="I54" s="8">
        <v>26785</v>
      </c>
      <c r="J54" s="28" t="s">
        <v>17</v>
      </c>
      <c r="K54" s="11" t="e">
        <f>_xlfn.XLOOKUP(PRODUCTO_MI_AR4[[#This Row],[NOM CLASIFICACION COMERCIAL]],#REF!,#REF!,"")</f>
        <v>#REF!</v>
      </c>
      <c r="L54" s="28" t="s">
        <v>231</v>
      </c>
      <c r="M54" s="11" t="e">
        <f>_xlfn.XLOOKUP(PRODUCTO_MI_AR4[[#This Row],[NOM CLASE COMERCIAL]],#REF!,#REF!,"")</f>
        <v>#REF!</v>
      </c>
      <c r="N54" s="28" t="s">
        <v>1126</v>
      </c>
      <c r="O54" s="11" t="e">
        <f>_xlfn.XLOOKUP(PRODUCTO_MI_AR4[[#This Row],[NOM CATEGORIA]],#REF!,#REF!,"")</f>
        <v>#REF!</v>
      </c>
      <c r="P54" s="28" t="s">
        <v>18</v>
      </c>
      <c r="Q54" s="8" t="e">
        <f>_xlfn.XLOOKUP(PRODUCTO_MI_AR4[[#This Row],[NOM FAMILIA COMERCIAL]],#REF!,#REF!,"")</f>
        <v>#REF!</v>
      </c>
      <c r="R54" s="28" t="s">
        <v>1143</v>
      </c>
      <c r="S54" s="11">
        <v>922</v>
      </c>
      <c r="T54" s="27" t="e">
        <f>_xlfn.XLOOKUP(PRODUCTO_MI_AR4[[#This Row],[COD SUBFAMILIA COMERCIAL]],#REF!,#REF!,"")</f>
        <v>#REF!</v>
      </c>
      <c r="U54" s="8" t="e">
        <f>_xlfn.XLOOKUP(PRODUCTO_MI_AR4[[#This Row],[NOM MARCA]],#REF!,#REF!,"")</f>
        <v>#REF!</v>
      </c>
      <c r="V54" s="29" t="s">
        <v>57</v>
      </c>
      <c r="W54" s="13" t="e">
        <f>_xlfn.XLOOKUP(PRODUCTO_MI_AR4[[#This Row],[NOM CONSERVA]],#REF!,#REF!,"")</f>
        <v>#REF!</v>
      </c>
      <c r="X54" s="17" t="s">
        <v>23</v>
      </c>
    </row>
    <row r="55" spans="2:24" thickTop="1" thickBot="1" x14ac:dyDescent="0.4">
      <c r="B55" s="14">
        <v>100516924</v>
      </c>
      <c r="C55" s="28" t="s">
        <v>782</v>
      </c>
      <c r="D55" s="9"/>
      <c r="E55" s="8">
        <v>2</v>
      </c>
      <c r="F55" s="28" t="s">
        <v>1123</v>
      </c>
      <c r="G55" s="8">
        <v>2</v>
      </c>
      <c r="H55" s="28" t="s">
        <v>1124</v>
      </c>
      <c r="I55" s="8">
        <v>26785</v>
      </c>
      <c r="J55" s="28" t="s">
        <v>17</v>
      </c>
      <c r="K55" s="11" t="e">
        <f>_xlfn.XLOOKUP(PRODUCTO_MI_AR4[[#This Row],[NOM CLASIFICACION COMERCIAL]],#REF!,#REF!,"")</f>
        <v>#REF!</v>
      </c>
      <c r="L55" s="28" t="s">
        <v>231</v>
      </c>
      <c r="M55" s="11" t="e">
        <f>_xlfn.XLOOKUP(PRODUCTO_MI_AR4[[#This Row],[NOM CLASE COMERCIAL]],#REF!,#REF!,"")</f>
        <v>#REF!</v>
      </c>
      <c r="N55" s="28" t="s">
        <v>1126</v>
      </c>
      <c r="O55" s="11" t="e">
        <f>_xlfn.XLOOKUP(PRODUCTO_MI_AR4[[#This Row],[NOM CATEGORIA]],#REF!,#REF!,"")</f>
        <v>#REF!</v>
      </c>
      <c r="P55" s="28" t="s">
        <v>18</v>
      </c>
      <c r="Q55" s="8" t="e">
        <f>_xlfn.XLOOKUP(PRODUCTO_MI_AR4[[#This Row],[NOM FAMILIA COMERCIAL]],#REF!,#REF!,"")</f>
        <v>#REF!</v>
      </c>
      <c r="R55" s="28" t="s">
        <v>1143</v>
      </c>
      <c r="S55" s="11">
        <v>924</v>
      </c>
      <c r="T55" s="27" t="e">
        <f>_xlfn.XLOOKUP(PRODUCTO_MI_AR4[[#This Row],[COD SUBFAMILIA COMERCIAL]],#REF!,#REF!,"")</f>
        <v>#REF!</v>
      </c>
      <c r="U55" s="8" t="e">
        <f>_xlfn.XLOOKUP(PRODUCTO_MI_AR4[[#This Row],[NOM MARCA]],#REF!,#REF!,"")</f>
        <v>#REF!</v>
      </c>
      <c r="V55" s="29" t="s">
        <v>57</v>
      </c>
      <c r="W55" s="13" t="e">
        <f>_xlfn.XLOOKUP(PRODUCTO_MI_AR4[[#This Row],[NOM CONSERVA]],#REF!,#REF!,"")</f>
        <v>#REF!</v>
      </c>
      <c r="X55" s="17" t="s">
        <v>23</v>
      </c>
    </row>
    <row r="56" spans="2:24" thickTop="1" thickBot="1" x14ac:dyDescent="0.4">
      <c r="B56" s="15">
        <v>100516396</v>
      </c>
      <c r="C56" s="29" t="s">
        <v>784</v>
      </c>
      <c r="E56" s="5">
        <v>2</v>
      </c>
      <c r="F56" s="29" t="s">
        <v>1123</v>
      </c>
      <c r="G56" s="5">
        <v>2</v>
      </c>
      <c r="H56" s="29" t="s">
        <v>1124</v>
      </c>
      <c r="I56" s="5">
        <v>26785</v>
      </c>
      <c r="J56" s="29" t="s">
        <v>17</v>
      </c>
      <c r="K56" s="11" t="e">
        <f>_xlfn.XLOOKUP(PRODUCTO_MI_AR4[[#This Row],[NOM CLASIFICACION COMERCIAL]],#REF!,#REF!,"")</f>
        <v>#REF!</v>
      </c>
      <c r="L56" s="28" t="s">
        <v>231</v>
      </c>
      <c r="M56" s="11" t="e">
        <f>_xlfn.XLOOKUP(PRODUCTO_MI_AR4[[#This Row],[NOM CLASE COMERCIAL]],#REF!,#REF!,"")</f>
        <v>#REF!</v>
      </c>
      <c r="N56" s="29" t="s">
        <v>1126</v>
      </c>
      <c r="O56" s="11" t="e">
        <f>_xlfn.XLOOKUP(PRODUCTO_MI_AR4[[#This Row],[NOM CATEGORIA]],#REF!,#REF!,"")</f>
        <v>#REF!</v>
      </c>
      <c r="P56" s="29" t="s">
        <v>18</v>
      </c>
      <c r="Q56" s="5" t="e">
        <f>_xlfn.XLOOKUP(PRODUCTO_MI_AR4[[#This Row],[NOM FAMILIA COMERCIAL]],#REF!,#REF!,"")</f>
        <v>#REF!</v>
      </c>
      <c r="R56" s="29" t="s">
        <v>1143</v>
      </c>
      <c r="S56" s="11">
        <v>923</v>
      </c>
      <c r="T56" s="27" t="e">
        <f>_xlfn.XLOOKUP(PRODUCTO_MI_AR4[[#This Row],[COD SUBFAMILIA COMERCIAL]],#REF!,#REF!,"")</f>
        <v>#REF!</v>
      </c>
      <c r="U56" s="5" t="e">
        <f>_xlfn.XLOOKUP(PRODUCTO_MI_AR4[[#This Row],[NOM MARCA]],#REF!,#REF!,"")</f>
        <v>#REF!</v>
      </c>
      <c r="V56" s="29" t="s">
        <v>57</v>
      </c>
      <c r="W56" s="13" t="e">
        <f>_xlfn.XLOOKUP(PRODUCTO_MI_AR4[[#This Row],[NOM CONSERVA]],#REF!,#REF!,"")</f>
        <v>#REF!</v>
      </c>
      <c r="X56" s="17" t="s">
        <v>193</v>
      </c>
    </row>
    <row r="57" spans="2:24" thickTop="1" thickBot="1" x14ac:dyDescent="0.4">
      <c r="B57" s="15">
        <v>100011564</v>
      </c>
      <c r="C57" s="29" t="s">
        <v>786</v>
      </c>
      <c r="E57" s="5">
        <v>2</v>
      </c>
      <c r="F57" s="29" t="s">
        <v>1123</v>
      </c>
      <c r="G57" s="5">
        <v>2</v>
      </c>
      <c r="H57" s="29" t="s">
        <v>1124</v>
      </c>
      <c r="I57" s="5">
        <v>26785</v>
      </c>
      <c r="J57" s="29" t="s">
        <v>17</v>
      </c>
      <c r="K57" s="11" t="e">
        <f>_xlfn.XLOOKUP(PRODUCTO_MI_AR4[[#This Row],[NOM CLASIFICACION COMERCIAL]],#REF!,#REF!,"")</f>
        <v>#REF!</v>
      </c>
      <c r="L57" s="28" t="s">
        <v>231</v>
      </c>
      <c r="M57" s="11" t="e">
        <f>_xlfn.XLOOKUP(PRODUCTO_MI_AR4[[#This Row],[NOM CLASE COMERCIAL]],#REF!,#REF!,"")</f>
        <v>#REF!</v>
      </c>
      <c r="N57" s="29" t="s">
        <v>1126</v>
      </c>
      <c r="O57" s="11" t="e">
        <f>_xlfn.XLOOKUP(PRODUCTO_MI_AR4[[#This Row],[NOM CATEGORIA]],#REF!,#REF!,"")</f>
        <v>#REF!</v>
      </c>
      <c r="P57" s="29" t="s">
        <v>18</v>
      </c>
      <c r="Q57" s="5" t="e">
        <f>_xlfn.XLOOKUP(PRODUCTO_MI_AR4[[#This Row],[NOM FAMILIA COMERCIAL]],#REF!,#REF!,"")</f>
        <v>#REF!</v>
      </c>
      <c r="R57" s="29" t="s">
        <v>1143</v>
      </c>
      <c r="S57" s="11">
        <v>923</v>
      </c>
      <c r="T57" s="27" t="e">
        <f>_xlfn.XLOOKUP(PRODUCTO_MI_AR4[[#This Row],[COD SUBFAMILIA COMERCIAL]],#REF!,#REF!,"")</f>
        <v>#REF!</v>
      </c>
      <c r="U57" s="5" t="e">
        <f>_xlfn.XLOOKUP(PRODUCTO_MI_AR4[[#This Row],[NOM MARCA]],#REF!,#REF!,"")</f>
        <v>#REF!</v>
      </c>
      <c r="V57" s="29" t="s">
        <v>57</v>
      </c>
      <c r="W57" s="13" t="e">
        <f>_xlfn.XLOOKUP(PRODUCTO_MI_AR4[[#This Row],[NOM CONSERVA]],#REF!,#REF!,"")</f>
        <v>#REF!</v>
      </c>
      <c r="X57" s="17" t="s">
        <v>23</v>
      </c>
    </row>
    <row r="58" spans="2:24" ht="17.45" customHeight="1" thickTop="1" thickBot="1" x14ac:dyDescent="0.4">
      <c r="B58" s="15">
        <v>100522171</v>
      </c>
      <c r="C58" s="29" t="s">
        <v>790</v>
      </c>
      <c r="E58" s="5">
        <v>2</v>
      </c>
      <c r="F58" s="29" t="s">
        <v>1123</v>
      </c>
      <c r="G58" s="5">
        <v>2</v>
      </c>
      <c r="H58" s="29" t="s">
        <v>1124</v>
      </c>
      <c r="I58" s="5">
        <v>26785</v>
      </c>
      <c r="J58" s="29" t="s">
        <v>17</v>
      </c>
      <c r="K58" s="11" t="e">
        <f>_xlfn.XLOOKUP(PRODUCTO_MI_AR4[[#This Row],[NOM CLASIFICACION COMERCIAL]],#REF!,#REF!,"")</f>
        <v>#REF!</v>
      </c>
      <c r="L58" s="28" t="s">
        <v>231</v>
      </c>
      <c r="M58" s="11" t="e">
        <f>_xlfn.XLOOKUP(PRODUCTO_MI_AR4[[#This Row],[NOM CLASE COMERCIAL]],#REF!,#REF!,"")</f>
        <v>#REF!</v>
      </c>
      <c r="N58" s="29" t="s">
        <v>1126</v>
      </c>
      <c r="O58" s="11" t="e">
        <f>_xlfn.XLOOKUP(PRODUCTO_MI_AR4[[#This Row],[NOM CATEGORIA]],#REF!,#REF!,"")</f>
        <v>#REF!</v>
      </c>
      <c r="P58" s="29" t="s">
        <v>18</v>
      </c>
      <c r="Q58" s="5" t="e">
        <f>_xlfn.XLOOKUP(PRODUCTO_MI_AR4[[#This Row],[NOM FAMILIA COMERCIAL]],#REF!,#REF!,"")</f>
        <v>#REF!</v>
      </c>
      <c r="R58" s="29" t="s">
        <v>1143</v>
      </c>
      <c r="S58" s="11">
        <v>922</v>
      </c>
      <c r="T58" s="27" t="e">
        <f>_xlfn.XLOOKUP(PRODUCTO_MI_AR4[[#This Row],[COD SUBFAMILIA COMERCIAL]],#REF!,#REF!,"")</f>
        <v>#REF!</v>
      </c>
      <c r="U58" s="5" t="e">
        <f>_xlfn.XLOOKUP(PRODUCTO_MI_AR4[[#This Row],[NOM MARCA]],#REF!,#REF!,"")</f>
        <v>#REF!</v>
      </c>
      <c r="V58" s="29" t="s">
        <v>57</v>
      </c>
      <c r="W58" s="13" t="e">
        <f>_xlfn.XLOOKUP(PRODUCTO_MI_AR4[[#This Row],[NOM CONSERVA]],#REF!,#REF!,"")</f>
        <v>#REF!</v>
      </c>
      <c r="X58" s="17" t="s">
        <v>23</v>
      </c>
    </row>
    <row r="59" spans="2:24" thickTop="1" thickBot="1" x14ac:dyDescent="0.4">
      <c r="B59" s="14">
        <v>100012917</v>
      </c>
      <c r="C59" s="28" t="s">
        <v>286</v>
      </c>
      <c r="D59" s="9"/>
      <c r="E59" s="8">
        <v>2</v>
      </c>
      <c r="F59" s="28" t="s">
        <v>1123</v>
      </c>
      <c r="G59" s="8">
        <v>2</v>
      </c>
      <c r="H59" s="28" t="s">
        <v>1124</v>
      </c>
      <c r="I59" s="8">
        <v>26785</v>
      </c>
      <c r="J59" s="28" t="s">
        <v>17</v>
      </c>
      <c r="K59" s="11" t="e">
        <f>_xlfn.XLOOKUP(PRODUCTO_MI_AR4[[#This Row],[NOM CLASIFICACION COMERCIAL]],#REF!,#REF!,"")</f>
        <v>#REF!</v>
      </c>
      <c r="L59" s="28" t="s">
        <v>1125</v>
      </c>
      <c r="M59" s="11" t="e">
        <f>_xlfn.XLOOKUP(PRODUCTO_MI_AR4[[#This Row],[NOM CLASE COMERCIAL]],#REF!,#REF!,"")</f>
        <v>#REF!</v>
      </c>
      <c r="N59" s="28" t="s">
        <v>1126</v>
      </c>
      <c r="O59" s="11" t="e">
        <f>_xlfn.XLOOKUP(PRODUCTO_MI_AR4[[#This Row],[NOM CATEGORIA]],#REF!,#REF!,"")</f>
        <v>#REF!</v>
      </c>
      <c r="P59" s="28" t="s">
        <v>18</v>
      </c>
      <c r="Q59" s="8" t="e">
        <f>_xlfn.XLOOKUP(PRODUCTO_MI_AR4[[#This Row],[NOM FAMILIA COMERCIAL]],#REF!,#REF!,"")</f>
        <v>#REF!</v>
      </c>
      <c r="R59" s="28" t="s">
        <v>1144</v>
      </c>
      <c r="S59" s="11">
        <v>925</v>
      </c>
      <c r="T59" s="27" t="e">
        <f>_xlfn.XLOOKUP(PRODUCTO_MI_AR4[[#This Row],[COD SUBFAMILIA COMERCIAL]],#REF!,#REF!,"")</f>
        <v>#REF!</v>
      </c>
      <c r="U59" s="8" t="e">
        <f>_xlfn.XLOOKUP(PRODUCTO_MI_AR4[[#This Row],[NOM MARCA]],#REF!,#REF!,"")</f>
        <v>#REF!</v>
      </c>
      <c r="V59" s="29" t="s">
        <v>57</v>
      </c>
      <c r="W59" s="13" t="e">
        <f>_xlfn.XLOOKUP(PRODUCTO_MI_AR4[[#This Row],[NOM CONSERVA]],#REF!,#REF!,"")</f>
        <v>#REF!</v>
      </c>
      <c r="X59" s="17" t="s">
        <v>193</v>
      </c>
    </row>
    <row r="60" spans="2:24" s="10" customFormat="1" thickTop="1" thickBot="1" x14ac:dyDescent="0.4">
      <c r="B60" s="14">
        <v>100010655</v>
      </c>
      <c r="C60" s="28" t="s">
        <v>292</v>
      </c>
      <c r="D60" s="9"/>
      <c r="E60" s="8">
        <v>2</v>
      </c>
      <c r="F60" s="28" t="s">
        <v>1123</v>
      </c>
      <c r="G60" s="8">
        <v>2</v>
      </c>
      <c r="H60" s="28" t="s">
        <v>1124</v>
      </c>
      <c r="I60" s="8">
        <v>26785</v>
      </c>
      <c r="J60" s="28" t="s">
        <v>17</v>
      </c>
      <c r="K60" s="11" t="e">
        <f>_xlfn.XLOOKUP(PRODUCTO_MI_AR4[[#This Row],[NOM CLASIFICACION COMERCIAL]],#REF!,#REF!,"")</f>
        <v>#REF!</v>
      </c>
      <c r="L60" s="28" t="s">
        <v>1125</v>
      </c>
      <c r="M60" s="11" t="e">
        <f>_xlfn.XLOOKUP(PRODUCTO_MI_AR4[[#This Row],[NOM CLASE COMERCIAL]],#REF!,#REF!,"")</f>
        <v>#REF!</v>
      </c>
      <c r="N60" s="28" t="s">
        <v>1126</v>
      </c>
      <c r="O60" s="11" t="e">
        <f>_xlfn.XLOOKUP(PRODUCTO_MI_AR4[[#This Row],[NOM CATEGORIA]],#REF!,#REF!,"")</f>
        <v>#REF!</v>
      </c>
      <c r="P60" s="28" t="s">
        <v>18</v>
      </c>
      <c r="Q60" s="8" t="e">
        <f>_xlfn.XLOOKUP(PRODUCTO_MI_AR4[[#This Row],[NOM FAMILIA COMERCIAL]],#REF!,#REF!,"")</f>
        <v>#REF!</v>
      </c>
      <c r="R60" s="28" t="s">
        <v>1144</v>
      </c>
      <c r="S60" s="11">
        <v>925</v>
      </c>
      <c r="T60" s="27" t="e">
        <f>_xlfn.XLOOKUP(PRODUCTO_MI_AR4[[#This Row],[COD SUBFAMILIA COMERCIAL]],#REF!,#REF!,"")</f>
        <v>#REF!</v>
      </c>
      <c r="U60" s="8" t="e">
        <f>_xlfn.XLOOKUP(PRODUCTO_MI_AR4[[#This Row],[NOM MARCA]],#REF!,#REF!,"")</f>
        <v>#REF!</v>
      </c>
      <c r="V60" s="29" t="s">
        <v>57</v>
      </c>
      <c r="W60" s="13" t="e">
        <f>_xlfn.XLOOKUP(PRODUCTO_MI_AR4[[#This Row],[NOM CONSERVA]],#REF!,#REF!,"")</f>
        <v>#REF!</v>
      </c>
      <c r="X60" s="17" t="s">
        <v>23</v>
      </c>
    </row>
    <row r="61" spans="2:24" thickTop="1" thickBot="1" x14ac:dyDescent="0.4">
      <c r="B61" s="14">
        <v>100518336</v>
      </c>
      <c r="C61" s="28" t="s">
        <v>294</v>
      </c>
      <c r="D61" s="9"/>
      <c r="E61" s="8">
        <v>2</v>
      </c>
      <c r="F61" s="28" t="s">
        <v>1123</v>
      </c>
      <c r="G61" s="8">
        <v>2</v>
      </c>
      <c r="H61" s="28" t="s">
        <v>1124</v>
      </c>
      <c r="I61" s="8">
        <v>26785</v>
      </c>
      <c r="J61" s="28" t="s">
        <v>17</v>
      </c>
      <c r="K61" s="11" t="e">
        <f>_xlfn.XLOOKUP(PRODUCTO_MI_AR4[[#This Row],[NOM CLASIFICACION COMERCIAL]],#REF!,#REF!,"")</f>
        <v>#REF!</v>
      </c>
      <c r="L61" s="28" t="s">
        <v>1125</v>
      </c>
      <c r="M61" s="11" t="e">
        <f>_xlfn.XLOOKUP(PRODUCTO_MI_AR4[[#This Row],[NOM CLASE COMERCIAL]],#REF!,#REF!,"")</f>
        <v>#REF!</v>
      </c>
      <c r="N61" s="28" t="s">
        <v>1126</v>
      </c>
      <c r="O61" s="11" t="e">
        <f>_xlfn.XLOOKUP(PRODUCTO_MI_AR4[[#This Row],[NOM CATEGORIA]],#REF!,#REF!,"")</f>
        <v>#REF!</v>
      </c>
      <c r="P61" s="28" t="s">
        <v>18</v>
      </c>
      <c r="Q61" s="8" t="e">
        <f>_xlfn.XLOOKUP(PRODUCTO_MI_AR4[[#This Row],[NOM FAMILIA COMERCIAL]],#REF!,#REF!,"")</f>
        <v>#REF!</v>
      </c>
      <c r="R61" s="28" t="s">
        <v>1144</v>
      </c>
      <c r="S61" s="11">
        <v>926</v>
      </c>
      <c r="T61" s="27" t="e">
        <f>_xlfn.XLOOKUP(PRODUCTO_MI_AR4[[#This Row],[COD SUBFAMILIA COMERCIAL]],#REF!,#REF!,"")</f>
        <v>#REF!</v>
      </c>
      <c r="U61" s="8" t="e">
        <f>_xlfn.XLOOKUP(PRODUCTO_MI_AR4[[#This Row],[NOM MARCA]],#REF!,#REF!,"")</f>
        <v>#REF!</v>
      </c>
      <c r="V61" s="29" t="s">
        <v>57</v>
      </c>
      <c r="W61" s="13" t="e">
        <f>_xlfn.XLOOKUP(PRODUCTO_MI_AR4[[#This Row],[NOM CONSERVA]],#REF!,#REF!,"")</f>
        <v>#REF!</v>
      </c>
      <c r="X61" s="17" t="s">
        <v>23</v>
      </c>
    </row>
    <row r="62" spans="2:24" thickTop="1" thickBot="1" x14ac:dyDescent="0.4">
      <c r="B62" s="14">
        <v>100517793</v>
      </c>
      <c r="C62" s="28" t="s">
        <v>316</v>
      </c>
      <c r="D62" s="9"/>
      <c r="E62" s="8">
        <v>2</v>
      </c>
      <c r="F62" s="28" t="s">
        <v>1123</v>
      </c>
      <c r="G62" s="8">
        <v>2</v>
      </c>
      <c r="H62" s="28" t="s">
        <v>1124</v>
      </c>
      <c r="I62" s="8">
        <v>26785</v>
      </c>
      <c r="J62" s="28" t="s">
        <v>17</v>
      </c>
      <c r="K62" s="11" t="e">
        <f>_xlfn.XLOOKUP(PRODUCTO_MI_AR4[[#This Row],[NOM CLASIFICACION COMERCIAL]],#REF!,#REF!,"")</f>
        <v>#REF!</v>
      </c>
      <c r="L62" s="28" t="s">
        <v>1125</v>
      </c>
      <c r="M62" s="11" t="e">
        <f>_xlfn.XLOOKUP(PRODUCTO_MI_AR4[[#This Row],[NOM CLASE COMERCIAL]],#REF!,#REF!,"")</f>
        <v>#REF!</v>
      </c>
      <c r="N62" s="28" t="s">
        <v>1126</v>
      </c>
      <c r="O62" s="11" t="e">
        <f>_xlfn.XLOOKUP(PRODUCTO_MI_AR4[[#This Row],[NOM CATEGORIA]],#REF!,#REF!,"")</f>
        <v>#REF!</v>
      </c>
      <c r="P62" s="28" t="s">
        <v>18</v>
      </c>
      <c r="Q62" s="8" t="e">
        <f>_xlfn.XLOOKUP(PRODUCTO_MI_AR4[[#This Row],[NOM FAMILIA COMERCIAL]],#REF!,#REF!,"")</f>
        <v>#REF!</v>
      </c>
      <c r="R62" s="28" t="s">
        <v>1144</v>
      </c>
      <c r="S62" s="11">
        <v>925</v>
      </c>
      <c r="T62" s="27" t="e">
        <f>_xlfn.XLOOKUP(PRODUCTO_MI_AR4[[#This Row],[COD SUBFAMILIA COMERCIAL]],#REF!,#REF!,"")</f>
        <v>#REF!</v>
      </c>
      <c r="U62" s="8" t="e">
        <f>_xlfn.XLOOKUP(PRODUCTO_MI_AR4[[#This Row],[NOM MARCA]],#REF!,#REF!,"")</f>
        <v>#REF!</v>
      </c>
      <c r="V62" s="29" t="s">
        <v>57</v>
      </c>
      <c r="W62" s="13" t="e">
        <f>_xlfn.XLOOKUP(PRODUCTO_MI_AR4[[#This Row],[NOM CONSERVA]],#REF!,#REF!,"")</f>
        <v>#REF!</v>
      </c>
      <c r="X62" s="17" t="s">
        <v>23</v>
      </c>
    </row>
    <row r="63" spans="2:24" thickTop="1" thickBot="1" x14ac:dyDescent="0.4">
      <c r="B63" s="14">
        <v>100010657</v>
      </c>
      <c r="C63" s="28" t="s">
        <v>330</v>
      </c>
      <c r="D63" s="9"/>
      <c r="E63" s="8">
        <v>2</v>
      </c>
      <c r="F63" s="28" t="s">
        <v>1123</v>
      </c>
      <c r="G63" s="8">
        <v>2</v>
      </c>
      <c r="H63" s="28" t="s">
        <v>1124</v>
      </c>
      <c r="I63" s="8">
        <v>26785</v>
      </c>
      <c r="J63" s="28" t="s">
        <v>17</v>
      </c>
      <c r="K63" s="11" t="e">
        <f>_xlfn.XLOOKUP(PRODUCTO_MI_AR4[[#This Row],[NOM CLASIFICACION COMERCIAL]],#REF!,#REF!,"")</f>
        <v>#REF!</v>
      </c>
      <c r="L63" s="28" t="s">
        <v>1125</v>
      </c>
      <c r="M63" s="11" t="e">
        <f>_xlfn.XLOOKUP(PRODUCTO_MI_AR4[[#This Row],[NOM CLASE COMERCIAL]],#REF!,#REF!,"")</f>
        <v>#REF!</v>
      </c>
      <c r="N63" s="28" t="s">
        <v>1126</v>
      </c>
      <c r="O63" s="11" t="e">
        <f>_xlfn.XLOOKUP(PRODUCTO_MI_AR4[[#This Row],[NOM CATEGORIA]],#REF!,#REF!,"")</f>
        <v>#REF!</v>
      </c>
      <c r="P63" s="28" t="s">
        <v>18</v>
      </c>
      <c r="Q63" s="8" t="e">
        <f>_xlfn.XLOOKUP(PRODUCTO_MI_AR4[[#This Row],[NOM FAMILIA COMERCIAL]],#REF!,#REF!,"")</f>
        <v>#REF!</v>
      </c>
      <c r="R63" s="28" t="s">
        <v>1144</v>
      </c>
      <c r="S63" s="11">
        <v>925</v>
      </c>
      <c r="T63" s="27" t="e">
        <f>_xlfn.XLOOKUP(PRODUCTO_MI_AR4[[#This Row],[COD SUBFAMILIA COMERCIAL]],#REF!,#REF!,"")</f>
        <v>#REF!</v>
      </c>
      <c r="U63" s="8" t="e">
        <f>_xlfn.XLOOKUP(PRODUCTO_MI_AR4[[#This Row],[NOM MARCA]],#REF!,#REF!,"")</f>
        <v>#REF!</v>
      </c>
      <c r="V63" s="29" t="s">
        <v>57</v>
      </c>
      <c r="W63" s="13" t="e">
        <f>_xlfn.XLOOKUP(PRODUCTO_MI_AR4[[#This Row],[NOM CONSERVA]],#REF!,#REF!,"")</f>
        <v>#REF!</v>
      </c>
      <c r="X63" s="17" t="s">
        <v>23</v>
      </c>
    </row>
    <row r="64" spans="2:24" thickTop="1" thickBot="1" x14ac:dyDescent="0.4">
      <c r="B64" s="14">
        <v>100010656</v>
      </c>
      <c r="C64" s="28" t="s">
        <v>651</v>
      </c>
      <c r="D64" s="9"/>
      <c r="E64" s="8">
        <v>2</v>
      </c>
      <c r="F64" s="28" t="s">
        <v>1123</v>
      </c>
      <c r="G64" s="8">
        <v>2</v>
      </c>
      <c r="H64" s="28" t="s">
        <v>1124</v>
      </c>
      <c r="I64" s="8">
        <v>26785</v>
      </c>
      <c r="J64" s="28" t="s">
        <v>17</v>
      </c>
      <c r="K64" s="11" t="e">
        <f>_xlfn.XLOOKUP(PRODUCTO_MI_AR4[[#This Row],[NOM CLASIFICACION COMERCIAL]],#REF!,#REF!,"")</f>
        <v>#REF!</v>
      </c>
      <c r="L64" s="28" t="s">
        <v>1125</v>
      </c>
      <c r="M64" s="11" t="e">
        <f>_xlfn.XLOOKUP(PRODUCTO_MI_AR4[[#This Row],[NOM CLASE COMERCIAL]],#REF!,#REF!,"")</f>
        <v>#REF!</v>
      </c>
      <c r="N64" s="28" t="s">
        <v>1126</v>
      </c>
      <c r="O64" s="11" t="e">
        <f>_xlfn.XLOOKUP(PRODUCTO_MI_AR4[[#This Row],[NOM CATEGORIA]],#REF!,#REF!,"")</f>
        <v>#REF!</v>
      </c>
      <c r="P64" s="28" t="s">
        <v>18</v>
      </c>
      <c r="Q64" s="8" t="e">
        <f>_xlfn.XLOOKUP(PRODUCTO_MI_AR4[[#This Row],[NOM FAMILIA COMERCIAL]],#REF!,#REF!,"")</f>
        <v>#REF!</v>
      </c>
      <c r="R64" s="28" t="s">
        <v>1144</v>
      </c>
      <c r="S64" s="11">
        <v>925</v>
      </c>
      <c r="T64" s="27" t="e">
        <f>_xlfn.XLOOKUP(PRODUCTO_MI_AR4[[#This Row],[COD SUBFAMILIA COMERCIAL]],#REF!,#REF!,"")</f>
        <v>#REF!</v>
      </c>
      <c r="U64" s="8" t="e">
        <f>_xlfn.XLOOKUP(PRODUCTO_MI_AR4[[#This Row],[NOM MARCA]],#REF!,#REF!,"")</f>
        <v>#REF!</v>
      </c>
      <c r="V64" s="29" t="s">
        <v>57</v>
      </c>
      <c r="W64" s="13" t="e">
        <f>_xlfn.XLOOKUP(PRODUCTO_MI_AR4[[#This Row],[NOM CONSERVA]],#REF!,#REF!,"")</f>
        <v>#REF!</v>
      </c>
      <c r="X64" s="17" t="s">
        <v>23</v>
      </c>
    </row>
    <row r="65" spans="2:24" thickTop="1" thickBot="1" x14ac:dyDescent="0.4">
      <c r="B65" s="15">
        <v>100011613</v>
      </c>
      <c r="C65" s="29" t="s">
        <v>806</v>
      </c>
      <c r="E65" s="5">
        <v>2</v>
      </c>
      <c r="F65" s="29" t="s">
        <v>1123</v>
      </c>
      <c r="G65" s="5">
        <v>2</v>
      </c>
      <c r="H65" s="29" t="s">
        <v>1124</v>
      </c>
      <c r="I65" s="5">
        <v>26785</v>
      </c>
      <c r="J65" s="29" t="s">
        <v>17</v>
      </c>
      <c r="K65" s="11" t="e">
        <f>_xlfn.XLOOKUP(PRODUCTO_MI_AR4[[#This Row],[NOM CLASIFICACION COMERCIAL]],#REF!,#REF!,"")</f>
        <v>#REF!</v>
      </c>
      <c r="L65" s="29" t="s">
        <v>1125</v>
      </c>
      <c r="M65" s="11" t="e">
        <f>_xlfn.XLOOKUP(PRODUCTO_MI_AR4[[#This Row],[NOM CLASE COMERCIAL]],#REF!,#REF!,"")</f>
        <v>#REF!</v>
      </c>
      <c r="N65" s="29" t="s">
        <v>1126</v>
      </c>
      <c r="O65" s="11" t="e">
        <f>_xlfn.XLOOKUP(PRODUCTO_MI_AR4[[#This Row],[NOM CATEGORIA]],#REF!,#REF!,"")</f>
        <v>#REF!</v>
      </c>
      <c r="P65" s="29" t="s">
        <v>18</v>
      </c>
      <c r="Q65" s="5" t="e">
        <f>_xlfn.XLOOKUP(PRODUCTO_MI_AR4[[#This Row],[NOM FAMILIA COMERCIAL]],#REF!,#REF!,"")</f>
        <v>#REF!</v>
      </c>
      <c r="R65" s="29" t="s">
        <v>1144</v>
      </c>
      <c r="S65" s="11">
        <v>925</v>
      </c>
      <c r="T65" s="27" t="e">
        <f>_xlfn.XLOOKUP(PRODUCTO_MI_AR4[[#This Row],[COD SUBFAMILIA COMERCIAL]],#REF!,#REF!,"")</f>
        <v>#REF!</v>
      </c>
      <c r="U65" s="5" t="e">
        <f>_xlfn.XLOOKUP(PRODUCTO_MI_AR4[[#This Row],[NOM MARCA]],#REF!,#REF!,"")</f>
        <v>#REF!</v>
      </c>
      <c r="V65" s="29" t="s">
        <v>57</v>
      </c>
      <c r="W65" s="13" t="e">
        <f>_xlfn.XLOOKUP(PRODUCTO_MI_AR4[[#This Row],[NOM CONSERVA]],#REF!,#REF!,"")</f>
        <v>#REF!</v>
      </c>
      <c r="X65" s="17" t="s">
        <v>23</v>
      </c>
    </row>
    <row r="66" spans="2:24" thickTop="1" thickBot="1" x14ac:dyDescent="0.4">
      <c r="B66" s="15">
        <v>100010012</v>
      </c>
      <c r="C66" s="29" t="s">
        <v>851</v>
      </c>
      <c r="E66" s="5">
        <v>2</v>
      </c>
      <c r="F66" s="29" t="s">
        <v>1123</v>
      </c>
      <c r="G66" s="5">
        <v>2</v>
      </c>
      <c r="H66" s="29" t="s">
        <v>1124</v>
      </c>
      <c r="I66" s="5">
        <v>26785</v>
      </c>
      <c r="J66" s="29" t="s">
        <v>17</v>
      </c>
      <c r="K66" s="11" t="e">
        <f>_xlfn.XLOOKUP(PRODUCTO_MI_AR4[[#This Row],[NOM CLASIFICACION COMERCIAL]],#REF!,#REF!,"")</f>
        <v>#REF!</v>
      </c>
      <c r="L66" s="28" t="s">
        <v>231</v>
      </c>
      <c r="M66" s="11" t="e">
        <f>_xlfn.XLOOKUP(PRODUCTO_MI_AR4[[#This Row],[NOM CLASE COMERCIAL]],#REF!,#REF!,"")</f>
        <v>#REF!</v>
      </c>
      <c r="N66" s="29" t="s">
        <v>1126</v>
      </c>
      <c r="O66" s="11" t="e">
        <f>_xlfn.XLOOKUP(PRODUCTO_MI_AR4[[#This Row],[NOM CATEGORIA]],#REF!,#REF!,"")</f>
        <v>#REF!</v>
      </c>
      <c r="P66" s="29" t="s">
        <v>18</v>
      </c>
      <c r="Q66" s="5" t="e">
        <f>_xlfn.XLOOKUP(PRODUCTO_MI_AR4[[#This Row],[NOM FAMILIA COMERCIAL]],#REF!,#REF!,"")</f>
        <v>#REF!</v>
      </c>
      <c r="R66" s="29" t="s">
        <v>1145</v>
      </c>
      <c r="S66" s="11">
        <v>927</v>
      </c>
      <c r="T66" s="27" t="e">
        <f>_xlfn.XLOOKUP(PRODUCTO_MI_AR4[[#This Row],[COD SUBFAMILIA COMERCIAL]],#REF!,#REF!,"")</f>
        <v>#REF!</v>
      </c>
      <c r="U66" s="5" t="e">
        <f>_xlfn.XLOOKUP(PRODUCTO_MI_AR4[[#This Row],[NOM MARCA]],#REF!,#REF!,"")</f>
        <v>#REF!</v>
      </c>
      <c r="V66" s="29" t="s">
        <v>57</v>
      </c>
      <c r="W66" s="13" t="e">
        <f>_xlfn.XLOOKUP(PRODUCTO_MI_AR4[[#This Row],[NOM CONSERVA]],#REF!,#REF!,"")</f>
        <v>#REF!</v>
      </c>
      <c r="X66" s="17" t="s">
        <v>193</v>
      </c>
    </row>
    <row r="67" spans="2:24" thickTop="1" thickBot="1" x14ac:dyDescent="0.4">
      <c r="B67" s="15">
        <v>100010000</v>
      </c>
      <c r="C67" s="29" t="s">
        <v>857</v>
      </c>
      <c r="E67" s="5">
        <v>2</v>
      </c>
      <c r="F67" s="29" t="s">
        <v>1123</v>
      </c>
      <c r="G67" s="5">
        <v>2</v>
      </c>
      <c r="H67" s="29" t="s">
        <v>1124</v>
      </c>
      <c r="I67" s="5">
        <v>26785</v>
      </c>
      <c r="J67" s="29" t="s">
        <v>17</v>
      </c>
      <c r="K67" s="11" t="e">
        <f>_xlfn.XLOOKUP(PRODUCTO_MI_AR4[[#This Row],[NOM CLASIFICACION COMERCIAL]],#REF!,#REF!,"")</f>
        <v>#REF!</v>
      </c>
      <c r="L67" s="28" t="s">
        <v>231</v>
      </c>
      <c r="M67" s="11" t="e">
        <f>_xlfn.XLOOKUP(PRODUCTO_MI_AR4[[#This Row],[NOM CLASE COMERCIAL]],#REF!,#REF!,"")</f>
        <v>#REF!</v>
      </c>
      <c r="N67" s="29" t="s">
        <v>1126</v>
      </c>
      <c r="O67" s="11" t="e">
        <f>_xlfn.XLOOKUP(PRODUCTO_MI_AR4[[#This Row],[NOM CATEGORIA]],#REF!,#REF!,"")</f>
        <v>#REF!</v>
      </c>
      <c r="P67" s="29" t="s">
        <v>18</v>
      </c>
      <c r="Q67" s="5" t="e">
        <f>_xlfn.XLOOKUP(PRODUCTO_MI_AR4[[#This Row],[NOM FAMILIA COMERCIAL]],#REF!,#REF!,"")</f>
        <v>#REF!</v>
      </c>
      <c r="R67" s="29" t="s">
        <v>1145</v>
      </c>
      <c r="S67" s="11">
        <v>927</v>
      </c>
      <c r="T67" s="27" t="e">
        <f>_xlfn.XLOOKUP(PRODUCTO_MI_AR4[[#This Row],[COD SUBFAMILIA COMERCIAL]],#REF!,#REF!,"")</f>
        <v>#REF!</v>
      </c>
      <c r="U67" s="5" t="e">
        <f>_xlfn.XLOOKUP(PRODUCTO_MI_AR4[[#This Row],[NOM MARCA]],#REF!,#REF!,"")</f>
        <v>#REF!</v>
      </c>
      <c r="V67" s="29" t="s">
        <v>57</v>
      </c>
      <c r="W67" s="13" t="e">
        <f>_xlfn.XLOOKUP(PRODUCTO_MI_AR4[[#This Row],[NOM CONSERVA]],#REF!,#REF!,"")</f>
        <v>#REF!</v>
      </c>
      <c r="X67" s="17" t="s">
        <v>23</v>
      </c>
    </row>
    <row r="68" spans="2:24" thickTop="1" thickBot="1" x14ac:dyDescent="0.4">
      <c r="B68" s="15">
        <v>100518333</v>
      </c>
      <c r="C68" s="29" t="s">
        <v>858</v>
      </c>
      <c r="E68" s="5">
        <v>2</v>
      </c>
      <c r="F68" s="29" t="s">
        <v>1123</v>
      </c>
      <c r="G68" s="5">
        <v>2</v>
      </c>
      <c r="H68" s="29" t="s">
        <v>1124</v>
      </c>
      <c r="I68" s="5">
        <v>26785</v>
      </c>
      <c r="J68" s="29" t="s">
        <v>17</v>
      </c>
      <c r="K68" s="11" t="e">
        <f>_xlfn.XLOOKUP(PRODUCTO_MI_AR4[[#This Row],[NOM CLASIFICACION COMERCIAL]],#REF!,#REF!,"")</f>
        <v>#REF!</v>
      </c>
      <c r="L68" s="28" t="s">
        <v>231</v>
      </c>
      <c r="M68" s="11" t="e">
        <f>_xlfn.XLOOKUP(PRODUCTO_MI_AR4[[#This Row],[NOM CLASE COMERCIAL]],#REF!,#REF!,"")</f>
        <v>#REF!</v>
      </c>
      <c r="N68" s="29" t="s">
        <v>1126</v>
      </c>
      <c r="O68" s="11" t="e">
        <f>_xlfn.XLOOKUP(PRODUCTO_MI_AR4[[#This Row],[NOM CATEGORIA]],#REF!,#REF!,"")</f>
        <v>#REF!</v>
      </c>
      <c r="P68" s="29" t="s">
        <v>18</v>
      </c>
      <c r="Q68" s="5" t="e">
        <f>_xlfn.XLOOKUP(PRODUCTO_MI_AR4[[#This Row],[NOM FAMILIA COMERCIAL]],#REF!,#REF!,"")</f>
        <v>#REF!</v>
      </c>
      <c r="R68" s="29" t="s">
        <v>1145</v>
      </c>
      <c r="S68" s="11">
        <v>928</v>
      </c>
      <c r="T68" s="27" t="e">
        <f>_xlfn.XLOOKUP(PRODUCTO_MI_AR4[[#This Row],[COD SUBFAMILIA COMERCIAL]],#REF!,#REF!,"")</f>
        <v>#REF!</v>
      </c>
      <c r="U68" s="5" t="e">
        <f>_xlfn.XLOOKUP(PRODUCTO_MI_AR4[[#This Row],[NOM MARCA]],#REF!,#REF!,"")</f>
        <v>#REF!</v>
      </c>
      <c r="V68" s="29" t="s">
        <v>57</v>
      </c>
      <c r="W68" s="13" t="e">
        <f>_xlfn.XLOOKUP(PRODUCTO_MI_AR4[[#This Row],[NOM CONSERVA]],#REF!,#REF!,"")</f>
        <v>#REF!</v>
      </c>
      <c r="X68" s="17" t="s">
        <v>23</v>
      </c>
    </row>
    <row r="69" spans="2:24" thickTop="1" thickBot="1" x14ac:dyDescent="0.4">
      <c r="B69" s="14">
        <v>100012738</v>
      </c>
      <c r="C69" s="28" t="s">
        <v>345</v>
      </c>
      <c r="D69" s="9"/>
      <c r="E69" s="8">
        <v>2</v>
      </c>
      <c r="F69" s="28" t="s">
        <v>1123</v>
      </c>
      <c r="G69" s="8">
        <v>2</v>
      </c>
      <c r="H69" s="28" t="s">
        <v>1124</v>
      </c>
      <c r="I69" s="8">
        <v>26785</v>
      </c>
      <c r="J69" s="28" t="s">
        <v>17</v>
      </c>
      <c r="K69" s="11" t="e">
        <f>_xlfn.XLOOKUP(PRODUCTO_MI_AR4[[#This Row],[NOM CLASIFICACION COMERCIAL]],#REF!,#REF!,"")</f>
        <v>#REF!</v>
      </c>
      <c r="L69" s="28" t="s">
        <v>1125</v>
      </c>
      <c r="M69" s="11" t="e">
        <f>_xlfn.XLOOKUP(PRODUCTO_MI_AR4[[#This Row],[NOM CLASE COMERCIAL]],#REF!,#REF!,"")</f>
        <v>#REF!</v>
      </c>
      <c r="N69" s="28" t="s">
        <v>1126</v>
      </c>
      <c r="O69" s="11" t="e">
        <f>_xlfn.XLOOKUP(PRODUCTO_MI_AR4[[#This Row],[NOM CATEGORIA]],#REF!,#REF!,"")</f>
        <v>#REF!</v>
      </c>
      <c r="P69" s="28" t="s">
        <v>18</v>
      </c>
      <c r="Q69" s="8" t="e">
        <f>_xlfn.XLOOKUP(PRODUCTO_MI_AR4[[#This Row],[NOM FAMILIA COMERCIAL]],#REF!,#REF!,"")</f>
        <v>#REF!</v>
      </c>
      <c r="R69" s="28" t="s">
        <v>1146</v>
      </c>
      <c r="S69" s="11">
        <v>929</v>
      </c>
      <c r="T69" s="27" t="e">
        <f>_xlfn.XLOOKUP(PRODUCTO_MI_AR4[[#This Row],[COD SUBFAMILIA COMERCIAL]],#REF!,#REF!,"")</f>
        <v>#REF!</v>
      </c>
      <c r="U69" s="8" t="e">
        <f>_xlfn.XLOOKUP(PRODUCTO_MI_AR4[[#This Row],[NOM MARCA]],#REF!,#REF!,"")</f>
        <v>#REF!</v>
      </c>
      <c r="V69" s="29" t="s">
        <v>57</v>
      </c>
      <c r="W69" s="13" t="e">
        <f>_xlfn.XLOOKUP(PRODUCTO_MI_AR4[[#This Row],[NOM CONSERVA]],#REF!,#REF!,"")</f>
        <v>#REF!</v>
      </c>
      <c r="X69" s="17" t="s">
        <v>23</v>
      </c>
    </row>
    <row r="70" spans="2:24" thickTop="1" thickBot="1" x14ac:dyDescent="0.4">
      <c r="B70" s="15">
        <v>100012905</v>
      </c>
      <c r="C70" s="29" t="s">
        <v>998</v>
      </c>
      <c r="E70" s="5">
        <v>2</v>
      </c>
      <c r="F70" s="29" t="s">
        <v>1123</v>
      </c>
      <c r="G70" s="5">
        <v>2</v>
      </c>
      <c r="H70" s="29" t="s">
        <v>1124</v>
      </c>
      <c r="I70" s="5">
        <v>26785</v>
      </c>
      <c r="J70" s="29" t="s">
        <v>17</v>
      </c>
      <c r="K70" s="11" t="e">
        <f>_xlfn.XLOOKUP(PRODUCTO_MI_AR4[[#This Row],[NOM CLASIFICACION COMERCIAL]],#REF!,#REF!,"")</f>
        <v>#REF!</v>
      </c>
      <c r="L70" s="29" t="s">
        <v>1125</v>
      </c>
      <c r="M70" s="11" t="e">
        <f>_xlfn.XLOOKUP(PRODUCTO_MI_AR4[[#This Row],[NOM CLASE COMERCIAL]],#REF!,#REF!,"")</f>
        <v>#REF!</v>
      </c>
      <c r="N70" s="29" t="s">
        <v>1126</v>
      </c>
      <c r="O70" s="11" t="e">
        <f>_xlfn.XLOOKUP(PRODUCTO_MI_AR4[[#This Row],[NOM CATEGORIA]],#REF!,#REF!,"")</f>
        <v>#REF!</v>
      </c>
      <c r="P70" s="29" t="s">
        <v>18</v>
      </c>
      <c r="Q70" s="5" t="e">
        <f>_xlfn.XLOOKUP(PRODUCTO_MI_AR4[[#This Row],[NOM FAMILIA COMERCIAL]],#REF!,#REF!,"")</f>
        <v>#REF!</v>
      </c>
      <c r="R70" s="29" t="s">
        <v>1146</v>
      </c>
      <c r="S70" s="11">
        <v>929</v>
      </c>
      <c r="T70" s="27" t="e">
        <f>_xlfn.XLOOKUP(PRODUCTO_MI_AR4[[#This Row],[COD SUBFAMILIA COMERCIAL]],#REF!,#REF!,"")</f>
        <v>#REF!</v>
      </c>
      <c r="U70" s="5" t="e">
        <f>_xlfn.XLOOKUP(PRODUCTO_MI_AR4[[#This Row],[NOM MARCA]],#REF!,#REF!,"")</f>
        <v>#REF!</v>
      </c>
      <c r="V70" s="29" t="s">
        <v>57</v>
      </c>
      <c r="W70" s="13" t="e">
        <f>_xlfn.XLOOKUP(PRODUCTO_MI_AR4[[#This Row],[NOM CONSERVA]],#REF!,#REF!,"")</f>
        <v>#REF!</v>
      </c>
      <c r="X70" s="17" t="s">
        <v>193</v>
      </c>
    </row>
    <row r="71" spans="2:24" thickTop="1" thickBot="1" x14ac:dyDescent="0.4">
      <c r="B71" s="15">
        <v>100010839</v>
      </c>
      <c r="C71" s="29" t="s">
        <v>1005</v>
      </c>
      <c r="E71" s="5">
        <v>2</v>
      </c>
      <c r="F71" s="29" t="s">
        <v>1123</v>
      </c>
      <c r="G71" s="5">
        <v>2</v>
      </c>
      <c r="H71" s="29" t="s">
        <v>1124</v>
      </c>
      <c r="I71" s="5">
        <v>26785</v>
      </c>
      <c r="J71" s="29" t="s">
        <v>17</v>
      </c>
      <c r="K71" s="11" t="e">
        <f>_xlfn.XLOOKUP(PRODUCTO_MI_AR4[[#This Row],[NOM CLASIFICACION COMERCIAL]],#REF!,#REF!,"")</f>
        <v>#REF!</v>
      </c>
      <c r="L71" s="29" t="s">
        <v>1147</v>
      </c>
      <c r="M71" s="11" t="e">
        <f>_xlfn.XLOOKUP(PRODUCTO_MI_AR4[[#This Row],[NOM CLASE COMERCIAL]],#REF!,#REF!,"")</f>
        <v>#REF!</v>
      </c>
      <c r="N71" s="29" t="s">
        <v>1126</v>
      </c>
      <c r="O71" s="11" t="e">
        <f>_xlfn.XLOOKUP(PRODUCTO_MI_AR4[[#This Row],[NOM CATEGORIA]],#REF!,#REF!,"")</f>
        <v>#REF!</v>
      </c>
      <c r="P71" s="29" t="s">
        <v>18</v>
      </c>
      <c r="Q71" s="5" t="e">
        <f>_xlfn.XLOOKUP(PRODUCTO_MI_AR4[[#This Row],[NOM FAMILIA COMERCIAL]],#REF!,#REF!,"")</f>
        <v>#REF!</v>
      </c>
      <c r="R71" s="29" t="s">
        <v>1146</v>
      </c>
      <c r="S71" s="11">
        <v>929</v>
      </c>
      <c r="T71" s="27" t="e">
        <f>_xlfn.XLOOKUP(PRODUCTO_MI_AR4[[#This Row],[COD SUBFAMILIA COMERCIAL]],#REF!,#REF!,"")</f>
        <v>#REF!</v>
      </c>
      <c r="U71" s="5" t="e">
        <f>_xlfn.XLOOKUP(PRODUCTO_MI_AR4[[#This Row],[NOM MARCA]],#REF!,#REF!,"")</f>
        <v>#REF!</v>
      </c>
      <c r="V71" s="29" t="s">
        <v>57</v>
      </c>
      <c r="W71" s="13" t="e">
        <f>_xlfn.XLOOKUP(PRODUCTO_MI_AR4[[#This Row],[NOM CONSERVA]],#REF!,#REF!,"")</f>
        <v>#REF!</v>
      </c>
      <c r="X71" s="17" t="s">
        <v>23</v>
      </c>
    </row>
    <row r="72" spans="2:24" thickTop="1" thickBot="1" x14ac:dyDescent="0.4">
      <c r="B72" s="14">
        <v>100517694</v>
      </c>
      <c r="C72" s="28" t="s">
        <v>660</v>
      </c>
      <c r="D72" s="9"/>
      <c r="E72" s="8">
        <v>2</v>
      </c>
      <c r="F72" s="28" t="s">
        <v>1123</v>
      </c>
      <c r="G72" s="8">
        <v>2</v>
      </c>
      <c r="H72" s="28" t="s">
        <v>1124</v>
      </c>
      <c r="I72" s="8">
        <v>26785</v>
      </c>
      <c r="J72" s="28" t="s">
        <v>17</v>
      </c>
      <c r="K72" s="11" t="e">
        <f>_xlfn.XLOOKUP(PRODUCTO_MI_AR4[[#This Row],[NOM CLASIFICACION COMERCIAL]],#REF!,#REF!,"")</f>
        <v>#REF!</v>
      </c>
      <c r="L72" s="28" t="s">
        <v>1148</v>
      </c>
      <c r="M72" s="11" t="e">
        <f>_xlfn.XLOOKUP(PRODUCTO_MI_AR4[[#This Row],[NOM CLASE COMERCIAL]],#REF!,#REF!,"")</f>
        <v>#REF!</v>
      </c>
      <c r="N72" s="28" t="s">
        <v>1149</v>
      </c>
      <c r="O72" s="11" t="e">
        <f>_xlfn.XLOOKUP(PRODUCTO_MI_AR4[[#This Row],[NOM CATEGORIA]],#REF!,#REF!,"")</f>
        <v>#REF!</v>
      </c>
      <c r="P72" s="28" t="s">
        <v>18</v>
      </c>
      <c r="Q72" s="8" t="e">
        <f>_xlfn.XLOOKUP(PRODUCTO_MI_AR4[[#This Row],[NOM FAMILIA COMERCIAL]],#REF!,#REF!,"")</f>
        <v>#REF!</v>
      </c>
      <c r="R72" s="28" t="s">
        <v>1150</v>
      </c>
      <c r="S72" s="11">
        <v>935</v>
      </c>
      <c r="T72" s="27" t="e">
        <f>_xlfn.XLOOKUP(PRODUCTO_MI_AR4[[#This Row],[COD SUBFAMILIA COMERCIAL]],#REF!,#REF!,"")</f>
        <v>#REF!</v>
      </c>
      <c r="U72" s="8" t="e">
        <f>_xlfn.XLOOKUP(PRODUCTO_MI_AR4[[#This Row],[NOM MARCA]],#REF!,#REF!,"")</f>
        <v>#REF!</v>
      </c>
      <c r="V72" s="29" t="s">
        <v>73</v>
      </c>
      <c r="W72" s="13" t="e">
        <f>_xlfn.XLOOKUP(PRODUCTO_MI_AR4[[#This Row],[NOM CONSERVA]],#REF!,#REF!,"")</f>
        <v>#REF!</v>
      </c>
      <c r="X72" s="17" t="s">
        <v>193</v>
      </c>
    </row>
    <row r="73" spans="2:24" thickTop="1" thickBot="1" x14ac:dyDescent="0.4">
      <c r="B73" s="15">
        <v>100517597</v>
      </c>
      <c r="C73" s="29" t="s">
        <v>934</v>
      </c>
      <c r="E73" s="5">
        <v>2</v>
      </c>
      <c r="F73" s="29" t="s">
        <v>1123</v>
      </c>
      <c r="G73" s="5">
        <v>2</v>
      </c>
      <c r="H73" s="29" t="s">
        <v>1124</v>
      </c>
      <c r="I73" s="5">
        <v>26785</v>
      </c>
      <c r="J73" s="29" t="s">
        <v>17</v>
      </c>
      <c r="K73" s="11" t="e">
        <f>_xlfn.XLOOKUP(PRODUCTO_MI_AR4[[#This Row],[NOM CLASIFICACION COMERCIAL]],#REF!,#REF!,"")</f>
        <v>#REF!</v>
      </c>
      <c r="L73" s="29" t="s">
        <v>1148</v>
      </c>
      <c r="M73" s="11" t="e">
        <f>_xlfn.XLOOKUP(PRODUCTO_MI_AR4[[#This Row],[NOM CLASE COMERCIAL]],#REF!,#REF!,"")</f>
        <v>#REF!</v>
      </c>
      <c r="N73" s="29" t="s">
        <v>1149</v>
      </c>
      <c r="O73" s="11" t="e">
        <f>_xlfn.XLOOKUP(PRODUCTO_MI_AR4[[#This Row],[NOM CATEGORIA]],#REF!,#REF!,"")</f>
        <v>#REF!</v>
      </c>
      <c r="P73" s="29" t="s">
        <v>18</v>
      </c>
      <c r="Q73" s="5" t="e">
        <f>_xlfn.XLOOKUP(PRODUCTO_MI_AR4[[#This Row],[NOM FAMILIA COMERCIAL]],#REF!,#REF!,"")</f>
        <v>#REF!</v>
      </c>
      <c r="R73" s="29" t="s">
        <v>1150</v>
      </c>
      <c r="S73" s="11">
        <v>940</v>
      </c>
      <c r="T73" s="27" t="e">
        <f>_xlfn.XLOOKUP(PRODUCTO_MI_AR4[[#This Row],[COD SUBFAMILIA COMERCIAL]],#REF!,#REF!,"")</f>
        <v>#REF!</v>
      </c>
      <c r="U73" s="5" t="e">
        <f>_xlfn.XLOOKUP(PRODUCTO_MI_AR4[[#This Row],[NOM MARCA]],#REF!,#REF!,"")</f>
        <v>#REF!</v>
      </c>
      <c r="V73" s="29" t="s">
        <v>73</v>
      </c>
      <c r="W73" s="13" t="e">
        <f>_xlfn.XLOOKUP(PRODUCTO_MI_AR4[[#This Row],[NOM CONSERVA]],#REF!,#REF!,"")</f>
        <v>#REF!</v>
      </c>
      <c r="X73" s="17" t="s">
        <v>193</v>
      </c>
    </row>
    <row r="74" spans="2:24" thickTop="1" thickBot="1" x14ac:dyDescent="0.4">
      <c r="B74" s="15">
        <v>100517742</v>
      </c>
      <c r="C74" s="29" t="s">
        <v>944</v>
      </c>
      <c r="E74" s="5">
        <v>2</v>
      </c>
      <c r="F74" s="29" t="s">
        <v>1123</v>
      </c>
      <c r="G74" s="5">
        <v>2</v>
      </c>
      <c r="H74" s="29" t="s">
        <v>1124</v>
      </c>
      <c r="I74" s="5">
        <v>26785</v>
      </c>
      <c r="J74" s="29" t="s">
        <v>17</v>
      </c>
      <c r="K74" s="11" t="e">
        <f>_xlfn.XLOOKUP(PRODUCTO_MI_AR4[[#This Row],[NOM CLASIFICACION COMERCIAL]],#REF!,#REF!,"")</f>
        <v>#REF!</v>
      </c>
      <c r="L74" s="29" t="s">
        <v>1148</v>
      </c>
      <c r="M74" s="11" t="e">
        <f>_xlfn.XLOOKUP(PRODUCTO_MI_AR4[[#This Row],[NOM CLASE COMERCIAL]],#REF!,#REF!,"")</f>
        <v>#REF!</v>
      </c>
      <c r="N74" s="29" t="s">
        <v>1149</v>
      </c>
      <c r="O74" s="11" t="e">
        <f>_xlfn.XLOOKUP(PRODUCTO_MI_AR4[[#This Row],[NOM CATEGORIA]],#REF!,#REF!,"")</f>
        <v>#REF!</v>
      </c>
      <c r="P74" s="29" t="s">
        <v>18</v>
      </c>
      <c r="Q74" s="5" t="e">
        <f>_xlfn.XLOOKUP(PRODUCTO_MI_AR4[[#This Row],[NOM FAMILIA COMERCIAL]],#REF!,#REF!,"")</f>
        <v>#REF!</v>
      </c>
      <c r="R74" s="29" t="s">
        <v>1150</v>
      </c>
      <c r="S74" s="11">
        <v>941</v>
      </c>
      <c r="T74" s="27" t="e">
        <f>_xlfn.XLOOKUP(PRODUCTO_MI_AR4[[#This Row],[COD SUBFAMILIA COMERCIAL]],#REF!,#REF!,"")</f>
        <v>#REF!</v>
      </c>
      <c r="U74" s="5" t="e">
        <f>_xlfn.XLOOKUP(PRODUCTO_MI_AR4[[#This Row],[NOM MARCA]],#REF!,#REF!,"")</f>
        <v>#REF!</v>
      </c>
      <c r="V74" s="29" t="s">
        <v>73</v>
      </c>
      <c r="W74" s="13" t="e">
        <f>_xlfn.XLOOKUP(PRODUCTO_MI_AR4[[#This Row],[NOM CONSERVA]],#REF!,#REF!,"")</f>
        <v>#REF!</v>
      </c>
      <c r="X74" s="17" t="s">
        <v>193</v>
      </c>
    </row>
    <row r="75" spans="2:24" thickTop="1" thickBot="1" x14ac:dyDescent="0.4">
      <c r="B75" s="15">
        <v>100517695</v>
      </c>
      <c r="C75" s="29" t="s">
        <v>1058</v>
      </c>
      <c r="E75" s="5">
        <v>2</v>
      </c>
      <c r="F75" s="29" t="s">
        <v>1123</v>
      </c>
      <c r="G75" s="5">
        <v>2</v>
      </c>
      <c r="H75" s="29" t="s">
        <v>1124</v>
      </c>
      <c r="I75" s="5">
        <v>26785</v>
      </c>
      <c r="J75" s="29" t="s">
        <v>17</v>
      </c>
      <c r="K75" s="11" t="e">
        <f>_xlfn.XLOOKUP(PRODUCTO_MI_AR4[[#This Row],[NOM CLASIFICACION COMERCIAL]],#REF!,#REF!,"")</f>
        <v>#REF!</v>
      </c>
      <c r="L75" s="29" t="s">
        <v>1148</v>
      </c>
      <c r="M75" s="11" t="e">
        <f>_xlfn.XLOOKUP(PRODUCTO_MI_AR4[[#This Row],[NOM CLASE COMERCIAL]],#REF!,#REF!,"")</f>
        <v>#REF!</v>
      </c>
      <c r="N75" s="29" t="s">
        <v>1149</v>
      </c>
      <c r="O75" s="11" t="e">
        <f>_xlfn.XLOOKUP(PRODUCTO_MI_AR4[[#This Row],[NOM CATEGORIA]],#REF!,#REF!,"")</f>
        <v>#REF!</v>
      </c>
      <c r="P75" s="29" t="s">
        <v>18</v>
      </c>
      <c r="Q75" s="5" t="e">
        <f>_xlfn.XLOOKUP(PRODUCTO_MI_AR4[[#This Row],[NOM FAMILIA COMERCIAL]],#REF!,#REF!,"")</f>
        <v>#REF!</v>
      </c>
      <c r="R75" s="29" t="s">
        <v>1150</v>
      </c>
      <c r="S75" s="11">
        <v>943</v>
      </c>
      <c r="T75" s="27" t="e">
        <f>_xlfn.XLOOKUP(PRODUCTO_MI_AR4[[#This Row],[COD SUBFAMILIA COMERCIAL]],#REF!,#REF!,"")</f>
        <v>#REF!</v>
      </c>
      <c r="U75" s="5" t="e">
        <f>_xlfn.XLOOKUP(PRODUCTO_MI_AR4[[#This Row],[NOM MARCA]],#REF!,#REF!,"")</f>
        <v>#REF!</v>
      </c>
      <c r="V75" s="29" t="s">
        <v>73</v>
      </c>
      <c r="W75" s="13" t="e">
        <f>_xlfn.XLOOKUP(PRODUCTO_MI_AR4[[#This Row],[NOM CONSERVA]],#REF!,#REF!,"")</f>
        <v>#REF!</v>
      </c>
      <c r="X75" s="17" t="s">
        <v>193</v>
      </c>
    </row>
    <row r="76" spans="2:24" thickTop="1" thickBot="1" x14ac:dyDescent="0.4">
      <c r="B76" s="15">
        <v>100517838</v>
      </c>
      <c r="C76" s="29" t="s">
        <v>1059</v>
      </c>
      <c r="E76" s="5">
        <v>2</v>
      </c>
      <c r="F76" s="29" t="s">
        <v>1123</v>
      </c>
      <c r="G76" s="5">
        <v>2</v>
      </c>
      <c r="H76" s="29" t="s">
        <v>1124</v>
      </c>
      <c r="I76" s="5">
        <v>26785</v>
      </c>
      <c r="J76" s="29" t="s">
        <v>17</v>
      </c>
      <c r="K76" s="11" t="e">
        <f>_xlfn.XLOOKUP(PRODUCTO_MI_AR4[[#This Row],[NOM CLASIFICACION COMERCIAL]],#REF!,#REF!,"")</f>
        <v>#REF!</v>
      </c>
      <c r="L76" s="29" t="s">
        <v>1148</v>
      </c>
      <c r="M76" s="11" t="e">
        <f>_xlfn.XLOOKUP(PRODUCTO_MI_AR4[[#This Row],[NOM CLASE COMERCIAL]],#REF!,#REF!,"")</f>
        <v>#REF!</v>
      </c>
      <c r="N76" s="29" t="s">
        <v>1149</v>
      </c>
      <c r="O76" s="11" t="e">
        <f>_xlfn.XLOOKUP(PRODUCTO_MI_AR4[[#This Row],[NOM CATEGORIA]],#REF!,#REF!,"")</f>
        <v>#REF!</v>
      </c>
      <c r="P76" s="29" t="s">
        <v>18</v>
      </c>
      <c r="Q76" s="5" t="e">
        <f>_xlfn.XLOOKUP(PRODUCTO_MI_AR4[[#This Row],[NOM FAMILIA COMERCIAL]],#REF!,#REF!,"")</f>
        <v>#REF!</v>
      </c>
      <c r="R76" s="29" t="s">
        <v>1150</v>
      </c>
      <c r="S76" s="11">
        <v>943</v>
      </c>
      <c r="T76" s="27" t="e">
        <f>_xlfn.XLOOKUP(PRODUCTO_MI_AR4[[#This Row],[COD SUBFAMILIA COMERCIAL]],#REF!,#REF!,"")</f>
        <v>#REF!</v>
      </c>
      <c r="U76" s="5" t="e">
        <f>_xlfn.XLOOKUP(PRODUCTO_MI_AR4[[#This Row],[NOM MARCA]],#REF!,#REF!,"")</f>
        <v>#REF!</v>
      </c>
      <c r="V76" s="29" t="s">
        <v>73</v>
      </c>
      <c r="W76" s="13" t="e">
        <f>_xlfn.XLOOKUP(PRODUCTO_MI_AR4[[#This Row],[NOM CONSERVA]],#REF!,#REF!,"")</f>
        <v>#REF!</v>
      </c>
      <c r="X76" s="17" t="s">
        <v>193</v>
      </c>
    </row>
    <row r="77" spans="2:24" thickTop="1" thickBot="1" x14ac:dyDescent="0.4">
      <c r="B77" s="15">
        <v>100517839</v>
      </c>
      <c r="C77" s="29" t="s">
        <v>1069</v>
      </c>
      <c r="E77" s="5">
        <v>2</v>
      </c>
      <c r="F77" s="29" t="s">
        <v>1123</v>
      </c>
      <c r="G77" s="5">
        <v>2</v>
      </c>
      <c r="H77" s="29" t="s">
        <v>1124</v>
      </c>
      <c r="I77" s="5">
        <v>26785</v>
      </c>
      <c r="J77" s="29" t="s">
        <v>17</v>
      </c>
      <c r="K77" s="11" t="e">
        <f>_xlfn.XLOOKUP(PRODUCTO_MI_AR4[[#This Row],[NOM CLASIFICACION COMERCIAL]],#REF!,#REF!,"")</f>
        <v>#REF!</v>
      </c>
      <c r="L77" s="29" t="s">
        <v>1148</v>
      </c>
      <c r="M77" s="11" t="e">
        <f>_xlfn.XLOOKUP(PRODUCTO_MI_AR4[[#This Row],[NOM CLASE COMERCIAL]],#REF!,#REF!,"")</f>
        <v>#REF!</v>
      </c>
      <c r="N77" s="29" t="s">
        <v>1149</v>
      </c>
      <c r="O77" s="11" t="e">
        <f>_xlfn.XLOOKUP(PRODUCTO_MI_AR4[[#This Row],[NOM CATEGORIA]],#REF!,#REF!,"")</f>
        <v>#REF!</v>
      </c>
      <c r="P77" s="29" t="s">
        <v>18</v>
      </c>
      <c r="Q77" s="5" t="e">
        <f>_xlfn.XLOOKUP(PRODUCTO_MI_AR4[[#This Row],[NOM FAMILIA COMERCIAL]],#REF!,#REF!,"")</f>
        <v>#REF!</v>
      </c>
      <c r="R77" s="29" t="s">
        <v>1150</v>
      </c>
      <c r="S77" s="11">
        <v>944</v>
      </c>
      <c r="T77" s="27" t="e">
        <f>_xlfn.XLOOKUP(PRODUCTO_MI_AR4[[#This Row],[COD SUBFAMILIA COMERCIAL]],#REF!,#REF!,"")</f>
        <v>#REF!</v>
      </c>
      <c r="U77" s="5" t="e">
        <f>_xlfn.XLOOKUP(PRODUCTO_MI_AR4[[#This Row],[NOM MARCA]],#REF!,#REF!,"")</f>
        <v>#REF!</v>
      </c>
      <c r="V77" s="29" t="s">
        <v>73</v>
      </c>
      <c r="W77" s="13" t="e">
        <f>_xlfn.XLOOKUP(PRODUCTO_MI_AR4[[#This Row],[NOM CONSERVA]],#REF!,#REF!,"")</f>
        <v>#REF!</v>
      </c>
      <c r="X77" s="17" t="s">
        <v>193</v>
      </c>
    </row>
    <row r="78" spans="2:24" thickTop="1" thickBot="1" x14ac:dyDescent="0.4">
      <c r="B78" s="14">
        <v>100517129</v>
      </c>
      <c r="C78" s="28" t="s">
        <v>159</v>
      </c>
      <c r="D78" s="9"/>
      <c r="E78" s="8">
        <v>2</v>
      </c>
      <c r="F78" s="28" t="s">
        <v>1123</v>
      </c>
      <c r="G78" s="8">
        <v>2</v>
      </c>
      <c r="H78" s="28" t="s">
        <v>1124</v>
      </c>
      <c r="I78" s="8">
        <v>26785</v>
      </c>
      <c r="J78" s="28" t="s">
        <v>17</v>
      </c>
      <c r="K78" s="11" t="e">
        <f>_xlfn.XLOOKUP(PRODUCTO_MI_AR4[[#This Row],[NOM CLASIFICACION COMERCIAL]],#REF!,#REF!,"")</f>
        <v>#REF!</v>
      </c>
      <c r="L78" s="28" t="s">
        <v>1148</v>
      </c>
      <c r="M78" s="11" t="e">
        <f>_xlfn.XLOOKUP(PRODUCTO_MI_AR4[[#This Row],[NOM CLASE COMERCIAL]],#REF!,#REF!,"")</f>
        <v>#REF!</v>
      </c>
      <c r="N78" s="28" t="s">
        <v>1149</v>
      </c>
      <c r="O78" s="11" t="e">
        <f>_xlfn.XLOOKUP(PRODUCTO_MI_AR4[[#This Row],[NOM CATEGORIA]],#REF!,#REF!,"")</f>
        <v>#REF!</v>
      </c>
      <c r="P78" s="28" t="s">
        <v>18</v>
      </c>
      <c r="Q78" s="8" t="e">
        <f>_xlfn.XLOOKUP(PRODUCTO_MI_AR4[[#This Row],[NOM FAMILIA COMERCIAL]],#REF!,#REF!,"")</f>
        <v>#REF!</v>
      </c>
      <c r="R78" s="28" t="s">
        <v>1129</v>
      </c>
      <c r="S78" s="11">
        <v>900</v>
      </c>
      <c r="T78" s="27" t="e">
        <f>_xlfn.XLOOKUP(PRODUCTO_MI_AR4[[#This Row],[COD SUBFAMILIA COMERCIAL]],#REF!,#REF!,"")</f>
        <v>#REF!</v>
      </c>
      <c r="U78" s="8" t="e">
        <f>_xlfn.XLOOKUP(PRODUCTO_MI_AR4[[#This Row],[NOM MARCA]],#REF!,#REF!,"")</f>
        <v>#REF!</v>
      </c>
      <c r="V78" s="29" t="s">
        <v>73</v>
      </c>
      <c r="W78" s="13" t="e">
        <f>_xlfn.XLOOKUP(PRODUCTO_MI_AR4[[#This Row],[NOM CONSERVA]],#REF!,#REF!,"")</f>
        <v>#REF!</v>
      </c>
      <c r="X78" s="17" t="s">
        <v>23</v>
      </c>
    </row>
    <row r="79" spans="2:24" thickTop="1" thickBot="1" x14ac:dyDescent="0.4">
      <c r="B79" s="14">
        <v>100518750</v>
      </c>
      <c r="C79" s="28" t="s">
        <v>208</v>
      </c>
      <c r="D79" s="9"/>
      <c r="E79" s="8">
        <v>2</v>
      </c>
      <c r="F79" s="28" t="s">
        <v>1123</v>
      </c>
      <c r="G79" s="8">
        <v>2</v>
      </c>
      <c r="H79" s="28" t="s">
        <v>1124</v>
      </c>
      <c r="I79" s="8">
        <v>26785</v>
      </c>
      <c r="J79" s="28" t="s">
        <v>17</v>
      </c>
      <c r="K79" s="11" t="e">
        <f>_xlfn.XLOOKUP(PRODUCTO_MI_AR4[[#This Row],[NOM CLASIFICACION COMERCIAL]],#REF!,#REF!,"")</f>
        <v>#REF!</v>
      </c>
      <c r="L79" s="28" t="s">
        <v>1148</v>
      </c>
      <c r="M79" s="11" t="e">
        <f>_xlfn.XLOOKUP(PRODUCTO_MI_AR4[[#This Row],[NOM CLASE COMERCIAL]],#REF!,#REF!,"")</f>
        <v>#REF!</v>
      </c>
      <c r="N79" s="28" t="s">
        <v>1149</v>
      </c>
      <c r="O79" s="11" t="e">
        <f>_xlfn.XLOOKUP(PRODUCTO_MI_AR4[[#This Row],[NOM CATEGORIA]],#REF!,#REF!,"")</f>
        <v>#REF!</v>
      </c>
      <c r="P79" s="28" t="s">
        <v>18</v>
      </c>
      <c r="Q79" s="8" t="e">
        <f>_xlfn.XLOOKUP(PRODUCTO_MI_AR4[[#This Row],[NOM FAMILIA COMERCIAL]],#REF!,#REF!,"")</f>
        <v>#REF!</v>
      </c>
      <c r="R79" s="28" t="s">
        <v>1151</v>
      </c>
      <c r="S79" s="11">
        <v>951</v>
      </c>
      <c r="T79" s="27" t="e">
        <f>_xlfn.XLOOKUP(PRODUCTO_MI_AR4[[#This Row],[COD SUBFAMILIA COMERCIAL]],#REF!,#REF!,"")</f>
        <v>#REF!</v>
      </c>
      <c r="U79" s="8" t="e">
        <f>_xlfn.XLOOKUP(PRODUCTO_MI_AR4[[#This Row],[NOM MARCA]],#REF!,#REF!,"")</f>
        <v>#REF!</v>
      </c>
      <c r="V79" s="29" t="s">
        <v>73</v>
      </c>
      <c r="W79" s="13" t="e">
        <f>_xlfn.XLOOKUP(PRODUCTO_MI_AR4[[#This Row],[NOM CONSERVA]],#REF!,#REF!,"")</f>
        <v>#REF!</v>
      </c>
      <c r="X79" s="17" t="s">
        <v>23</v>
      </c>
    </row>
    <row r="80" spans="2:24" thickTop="1" thickBot="1" x14ac:dyDescent="0.4">
      <c r="B80" s="14">
        <v>100517139</v>
      </c>
      <c r="C80" s="28" t="s">
        <v>374</v>
      </c>
      <c r="D80" s="9"/>
      <c r="E80" s="8">
        <v>2</v>
      </c>
      <c r="F80" s="28" t="s">
        <v>1123</v>
      </c>
      <c r="G80" s="8">
        <v>2</v>
      </c>
      <c r="H80" s="28" t="s">
        <v>1124</v>
      </c>
      <c r="I80" s="8">
        <v>26785</v>
      </c>
      <c r="J80" s="28" t="s">
        <v>17</v>
      </c>
      <c r="K80" s="11" t="e">
        <f>_xlfn.XLOOKUP(PRODUCTO_MI_AR4[[#This Row],[NOM CLASIFICACION COMERCIAL]],#REF!,#REF!,"")</f>
        <v>#REF!</v>
      </c>
      <c r="L80" s="28" t="s">
        <v>1148</v>
      </c>
      <c r="M80" s="11" t="e">
        <f>_xlfn.XLOOKUP(PRODUCTO_MI_AR4[[#This Row],[NOM CLASE COMERCIAL]],#REF!,#REF!,"")</f>
        <v>#REF!</v>
      </c>
      <c r="N80" s="28" t="s">
        <v>1149</v>
      </c>
      <c r="O80" s="11" t="e">
        <f>_xlfn.XLOOKUP(PRODUCTO_MI_AR4[[#This Row],[NOM CATEGORIA]],#REF!,#REF!,"")</f>
        <v>#REF!</v>
      </c>
      <c r="P80" s="28" t="s">
        <v>18</v>
      </c>
      <c r="Q80" s="8" t="e">
        <f>_xlfn.XLOOKUP(PRODUCTO_MI_AR4[[#This Row],[NOM FAMILIA COMERCIAL]],#REF!,#REF!,"")</f>
        <v>#REF!</v>
      </c>
      <c r="R80" s="28" t="s">
        <v>1131</v>
      </c>
      <c r="S80" s="11">
        <v>908</v>
      </c>
      <c r="T80" s="27" t="e">
        <f>_xlfn.XLOOKUP(PRODUCTO_MI_AR4[[#This Row],[COD SUBFAMILIA COMERCIAL]],#REF!,#REF!,"")</f>
        <v>#REF!</v>
      </c>
      <c r="U80" s="8" t="e">
        <f>_xlfn.XLOOKUP(PRODUCTO_MI_AR4[[#This Row],[NOM MARCA]],#REF!,#REF!,"")</f>
        <v>#REF!</v>
      </c>
      <c r="V80" s="29" t="s">
        <v>73</v>
      </c>
      <c r="W80" s="13" t="e">
        <f>_xlfn.XLOOKUP(PRODUCTO_MI_AR4[[#This Row],[NOM CONSERVA]],#REF!,#REF!,"")</f>
        <v>#REF!</v>
      </c>
      <c r="X80" s="17" t="s">
        <v>23</v>
      </c>
    </row>
    <row r="81" spans="2:24" thickTop="1" thickBot="1" x14ac:dyDescent="0.4">
      <c r="B81" s="14">
        <v>100522148</v>
      </c>
      <c r="C81" s="28" t="s">
        <v>1152</v>
      </c>
      <c r="D81" s="9"/>
      <c r="E81" s="8">
        <v>2</v>
      </c>
      <c r="F81" s="28" t="s">
        <v>1123</v>
      </c>
      <c r="G81" s="8">
        <v>2</v>
      </c>
      <c r="H81" s="28" t="s">
        <v>1124</v>
      </c>
      <c r="I81" s="8">
        <v>26785</v>
      </c>
      <c r="J81" s="28" t="s">
        <v>17</v>
      </c>
      <c r="K81" s="11" t="e">
        <f>_xlfn.XLOOKUP(PRODUCTO_MI_AR4[[#This Row],[NOM CLASIFICACION COMERCIAL]],#REF!,#REF!,"")</f>
        <v>#REF!</v>
      </c>
      <c r="L81" s="28" t="s">
        <v>1148</v>
      </c>
      <c r="M81" s="11" t="e">
        <f>_xlfn.XLOOKUP(PRODUCTO_MI_AR4[[#This Row],[NOM CLASE COMERCIAL]],#REF!,#REF!,"")</f>
        <v>#REF!</v>
      </c>
      <c r="N81" s="28" t="s">
        <v>1149</v>
      </c>
      <c r="O81" s="11" t="e">
        <f>_xlfn.XLOOKUP(PRODUCTO_MI_AR4[[#This Row],[NOM CATEGORIA]],#REF!,#REF!,"")</f>
        <v>#REF!</v>
      </c>
      <c r="P81" s="28" t="s">
        <v>18</v>
      </c>
      <c r="Q81" s="8" t="e">
        <f>_xlfn.XLOOKUP(PRODUCTO_MI_AR4[[#This Row],[NOM FAMILIA COMERCIAL]],#REF!,#REF!,"")</f>
        <v>#REF!</v>
      </c>
      <c r="R81" s="28" t="s">
        <v>1153</v>
      </c>
      <c r="S81" s="11">
        <v>955</v>
      </c>
      <c r="T81" s="27" t="e">
        <f>_xlfn.XLOOKUP(PRODUCTO_MI_AR4[[#This Row],[COD SUBFAMILIA COMERCIAL]],#REF!,#REF!,"")</f>
        <v>#REF!</v>
      </c>
      <c r="U81" s="8" t="e">
        <f>_xlfn.XLOOKUP(PRODUCTO_MI_AR4[[#This Row],[NOM MARCA]],#REF!,#REF!,"")</f>
        <v>#REF!</v>
      </c>
      <c r="V81" s="29" t="s">
        <v>73</v>
      </c>
      <c r="W81" s="13" t="e">
        <f>_xlfn.XLOOKUP(PRODUCTO_MI_AR4[[#This Row],[NOM CONSERVA]],#REF!,#REF!,"")</f>
        <v>#REF!</v>
      </c>
      <c r="X81" s="17" t="s">
        <v>23</v>
      </c>
    </row>
    <row r="82" spans="2:24" thickTop="1" thickBot="1" x14ac:dyDescent="0.4">
      <c r="B82" s="14">
        <v>100518359</v>
      </c>
      <c r="C82" s="28" t="s">
        <v>603</v>
      </c>
      <c r="D82" s="9"/>
      <c r="E82" s="8">
        <v>2</v>
      </c>
      <c r="F82" s="28" t="s">
        <v>1123</v>
      </c>
      <c r="G82" s="8">
        <v>2</v>
      </c>
      <c r="H82" s="28" t="s">
        <v>1124</v>
      </c>
      <c r="I82" s="8">
        <v>26785</v>
      </c>
      <c r="J82" s="28" t="s">
        <v>17</v>
      </c>
      <c r="K82" s="11" t="e">
        <f>_xlfn.XLOOKUP(PRODUCTO_MI_AR4[[#This Row],[NOM CLASIFICACION COMERCIAL]],#REF!,#REF!,"")</f>
        <v>#REF!</v>
      </c>
      <c r="L82" s="28" t="s">
        <v>1148</v>
      </c>
      <c r="M82" s="11" t="e">
        <f>_xlfn.XLOOKUP(PRODUCTO_MI_AR4[[#This Row],[NOM CLASE COMERCIAL]],#REF!,#REF!,"")</f>
        <v>#REF!</v>
      </c>
      <c r="N82" s="28" t="s">
        <v>1149</v>
      </c>
      <c r="O82" s="11" t="e">
        <f>_xlfn.XLOOKUP(PRODUCTO_MI_AR4[[#This Row],[NOM CATEGORIA]],#REF!,#REF!,"")</f>
        <v>#REF!</v>
      </c>
      <c r="P82" s="28" t="s">
        <v>18</v>
      </c>
      <c r="Q82" s="8" t="e">
        <f>_xlfn.XLOOKUP(PRODUCTO_MI_AR4[[#This Row],[NOM FAMILIA COMERCIAL]],#REF!,#REF!,"")</f>
        <v>#REF!</v>
      </c>
      <c r="R82" s="28" t="s">
        <v>1140</v>
      </c>
      <c r="S82" s="11">
        <v>934</v>
      </c>
      <c r="T82" s="27" t="e">
        <f>_xlfn.XLOOKUP(PRODUCTO_MI_AR4[[#This Row],[COD SUBFAMILIA COMERCIAL]],#REF!,#REF!,"")</f>
        <v>#REF!</v>
      </c>
      <c r="U82" s="8" t="e">
        <f>_xlfn.XLOOKUP(PRODUCTO_MI_AR4[[#This Row],[NOM MARCA]],#REF!,#REF!,"")</f>
        <v>#REF!</v>
      </c>
      <c r="V82" s="29" t="s">
        <v>73</v>
      </c>
      <c r="W82" s="13" t="e">
        <f>_xlfn.XLOOKUP(PRODUCTO_MI_AR4[[#This Row],[NOM CONSERVA]],#REF!,#REF!,"")</f>
        <v>#REF!</v>
      </c>
      <c r="X82" s="17" t="s">
        <v>23</v>
      </c>
    </row>
    <row r="83" spans="2:24" thickTop="1" thickBot="1" x14ac:dyDescent="0.4">
      <c r="B83" s="14">
        <v>100517690</v>
      </c>
      <c r="C83" s="28" t="s">
        <v>607</v>
      </c>
      <c r="D83" s="9"/>
      <c r="E83" s="8">
        <v>2</v>
      </c>
      <c r="F83" s="28" t="s">
        <v>1123</v>
      </c>
      <c r="G83" s="8">
        <v>2</v>
      </c>
      <c r="H83" s="28" t="s">
        <v>1124</v>
      </c>
      <c r="I83" s="8">
        <v>26785</v>
      </c>
      <c r="J83" s="28" t="s">
        <v>17</v>
      </c>
      <c r="K83" s="11" t="e">
        <f>_xlfn.XLOOKUP(PRODUCTO_MI_AR4[[#This Row],[NOM CLASIFICACION COMERCIAL]],#REF!,#REF!,"")</f>
        <v>#REF!</v>
      </c>
      <c r="L83" s="28" t="s">
        <v>1148</v>
      </c>
      <c r="M83" s="11" t="e">
        <f>_xlfn.XLOOKUP(PRODUCTO_MI_AR4[[#This Row],[NOM CLASE COMERCIAL]],#REF!,#REF!,"")</f>
        <v>#REF!</v>
      </c>
      <c r="N83" s="28" t="s">
        <v>1149</v>
      </c>
      <c r="O83" s="11" t="e">
        <f>_xlfn.XLOOKUP(PRODUCTO_MI_AR4[[#This Row],[NOM CATEGORIA]],#REF!,#REF!,"")</f>
        <v>#REF!</v>
      </c>
      <c r="P83" s="28" t="s">
        <v>18</v>
      </c>
      <c r="Q83" s="8" t="e">
        <f>_xlfn.XLOOKUP(PRODUCTO_MI_AR4[[#This Row],[NOM FAMILIA COMERCIAL]],#REF!,#REF!,"")</f>
        <v>#REF!</v>
      </c>
      <c r="R83" s="28" t="s">
        <v>1140</v>
      </c>
      <c r="S83" s="11">
        <v>917</v>
      </c>
      <c r="T83" s="27" t="e">
        <f>_xlfn.XLOOKUP(PRODUCTO_MI_AR4[[#This Row],[COD SUBFAMILIA COMERCIAL]],#REF!,#REF!,"")</f>
        <v>#REF!</v>
      </c>
      <c r="U83" s="8" t="e">
        <f>_xlfn.XLOOKUP(PRODUCTO_MI_AR4[[#This Row],[NOM MARCA]],#REF!,#REF!,"")</f>
        <v>#REF!</v>
      </c>
      <c r="V83" s="29" t="s">
        <v>73</v>
      </c>
      <c r="W83" s="13" t="e">
        <f>_xlfn.XLOOKUP(PRODUCTO_MI_AR4[[#This Row],[NOM CONSERVA]],#REF!,#REF!,"")</f>
        <v>#REF!</v>
      </c>
      <c r="X83" s="17" t="s">
        <v>23</v>
      </c>
    </row>
    <row r="84" spans="2:24" thickTop="1" thickBot="1" x14ac:dyDescent="0.4">
      <c r="B84" s="14">
        <v>100517595</v>
      </c>
      <c r="C84" s="28" t="s">
        <v>657</v>
      </c>
      <c r="D84" s="9"/>
      <c r="E84" s="8">
        <v>2</v>
      </c>
      <c r="F84" s="28" t="s">
        <v>1123</v>
      </c>
      <c r="G84" s="8">
        <v>2</v>
      </c>
      <c r="H84" s="28" t="s">
        <v>1124</v>
      </c>
      <c r="I84" s="8">
        <v>26785</v>
      </c>
      <c r="J84" s="28" t="s">
        <v>17</v>
      </c>
      <c r="K84" s="11" t="e">
        <f>_xlfn.XLOOKUP(PRODUCTO_MI_AR4[[#This Row],[NOM CLASIFICACION COMERCIAL]],#REF!,#REF!,"")</f>
        <v>#REF!</v>
      </c>
      <c r="L84" s="28" t="s">
        <v>1148</v>
      </c>
      <c r="M84" s="11" t="e">
        <f>_xlfn.XLOOKUP(PRODUCTO_MI_AR4[[#This Row],[NOM CLASE COMERCIAL]],#REF!,#REF!,"")</f>
        <v>#REF!</v>
      </c>
      <c r="N84" s="28" t="s">
        <v>1149</v>
      </c>
      <c r="O84" s="11" t="e">
        <f>_xlfn.XLOOKUP(PRODUCTO_MI_AR4[[#This Row],[NOM CATEGORIA]],#REF!,#REF!,"")</f>
        <v>#REF!</v>
      </c>
      <c r="P84" s="28" t="s">
        <v>18</v>
      </c>
      <c r="Q84" s="8" t="e">
        <f>_xlfn.XLOOKUP(PRODUCTO_MI_AR4[[#This Row],[NOM FAMILIA COMERCIAL]],#REF!,#REF!,"")</f>
        <v>#REF!</v>
      </c>
      <c r="R84" s="28" t="s">
        <v>1144</v>
      </c>
      <c r="S84" s="11">
        <v>925</v>
      </c>
      <c r="T84" s="27" t="e">
        <f>_xlfn.XLOOKUP(PRODUCTO_MI_AR4[[#This Row],[COD SUBFAMILIA COMERCIAL]],#REF!,#REF!,"")</f>
        <v>#REF!</v>
      </c>
      <c r="U84" s="8" t="e">
        <f>_xlfn.XLOOKUP(PRODUCTO_MI_AR4[[#This Row],[NOM MARCA]],#REF!,#REF!,"")</f>
        <v>#REF!</v>
      </c>
      <c r="V84" s="29" t="s">
        <v>73</v>
      </c>
      <c r="W84" s="13" t="e">
        <f>_xlfn.XLOOKUP(PRODUCTO_MI_AR4[[#This Row],[NOM CONSERVA]],#REF!,#REF!,"")</f>
        <v>#REF!</v>
      </c>
      <c r="X84" s="17" t="s">
        <v>23</v>
      </c>
    </row>
    <row r="85" spans="2:24" thickTop="1" thickBot="1" x14ac:dyDescent="0.4">
      <c r="B85" s="14">
        <v>100517143</v>
      </c>
      <c r="C85" s="28" t="s">
        <v>665</v>
      </c>
      <c r="D85" s="9"/>
      <c r="E85" s="8">
        <v>2</v>
      </c>
      <c r="F85" s="28" t="s">
        <v>1123</v>
      </c>
      <c r="G85" s="8">
        <v>2</v>
      </c>
      <c r="H85" s="28" t="s">
        <v>1124</v>
      </c>
      <c r="I85" s="8">
        <v>26785</v>
      </c>
      <c r="J85" s="28" t="s">
        <v>17</v>
      </c>
      <c r="K85" s="11" t="e">
        <f>_xlfn.XLOOKUP(PRODUCTO_MI_AR4[[#This Row],[NOM CLASIFICACION COMERCIAL]],#REF!,#REF!,"")</f>
        <v>#REF!</v>
      </c>
      <c r="L85" s="28" t="s">
        <v>1148</v>
      </c>
      <c r="M85" s="11" t="e">
        <f>_xlfn.XLOOKUP(PRODUCTO_MI_AR4[[#This Row],[NOM CLASE COMERCIAL]],#REF!,#REF!,"")</f>
        <v>#REF!</v>
      </c>
      <c r="N85" s="28" t="s">
        <v>1149</v>
      </c>
      <c r="O85" s="11" t="e">
        <f>_xlfn.XLOOKUP(PRODUCTO_MI_AR4[[#This Row],[NOM CATEGORIA]],#REF!,#REF!,"")</f>
        <v>#REF!</v>
      </c>
      <c r="P85" s="28" t="s">
        <v>18</v>
      </c>
      <c r="Q85" s="8" t="e">
        <f>_xlfn.XLOOKUP(PRODUCTO_MI_AR4[[#This Row],[NOM FAMILIA COMERCIAL]],#REF!,#REF!,"")</f>
        <v>#REF!</v>
      </c>
      <c r="R85" s="28" t="s">
        <v>1141</v>
      </c>
      <c r="S85" s="11">
        <v>918</v>
      </c>
      <c r="T85" s="27" t="e">
        <f>_xlfn.XLOOKUP(PRODUCTO_MI_AR4[[#This Row],[COD SUBFAMILIA COMERCIAL]],#REF!,#REF!,"")</f>
        <v>#REF!</v>
      </c>
      <c r="U85" s="8" t="e">
        <f>_xlfn.XLOOKUP(PRODUCTO_MI_AR4[[#This Row],[NOM MARCA]],#REF!,#REF!,"")</f>
        <v>#REF!</v>
      </c>
      <c r="V85" s="32" t="s">
        <v>73</v>
      </c>
      <c r="W85" s="13" t="e">
        <f>_xlfn.XLOOKUP(PRODUCTO_MI_AR4[[#This Row],[NOM CONSERVA]],#REF!,#REF!,"")</f>
        <v>#REF!</v>
      </c>
      <c r="X85" s="18" t="s">
        <v>23</v>
      </c>
    </row>
    <row r="86" spans="2:24" thickTop="1" thickBot="1" x14ac:dyDescent="0.4">
      <c r="B86" s="14">
        <v>100520894</v>
      </c>
      <c r="C86" s="28" t="s">
        <v>667</v>
      </c>
      <c r="D86" s="9"/>
      <c r="E86" s="8">
        <v>2</v>
      </c>
      <c r="F86" s="28" t="s">
        <v>1123</v>
      </c>
      <c r="G86" s="8">
        <v>2</v>
      </c>
      <c r="H86" s="28" t="s">
        <v>1124</v>
      </c>
      <c r="I86" s="8">
        <v>26785</v>
      </c>
      <c r="J86" s="28" t="s">
        <v>17</v>
      </c>
      <c r="K86" s="11" t="e">
        <f>_xlfn.XLOOKUP(PRODUCTO_MI_AR4[[#This Row],[NOM CLASIFICACION COMERCIAL]],#REF!,#REF!,"")</f>
        <v>#REF!</v>
      </c>
      <c r="L86" s="28" t="s">
        <v>1148</v>
      </c>
      <c r="M86" s="11" t="e">
        <f>_xlfn.XLOOKUP(PRODUCTO_MI_AR4[[#This Row],[NOM CLASE COMERCIAL]],#REF!,#REF!,"")</f>
        <v>#REF!</v>
      </c>
      <c r="N86" s="28" t="s">
        <v>1149</v>
      </c>
      <c r="O86" s="11" t="e">
        <f>_xlfn.XLOOKUP(PRODUCTO_MI_AR4[[#This Row],[NOM CATEGORIA]],#REF!,#REF!,"")</f>
        <v>#REF!</v>
      </c>
      <c r="P86" s="28" t="s">
        <v>18</v>
      </c>
      <c r="Q86" s="8" t="e">
        <f>_xlfn.XLOOKUP(PRODUCTO_MI_AR4[[#This Row],[NOM FAMILIA COMERCIAL]],#REF!,#REF!,"")</f>
        <v>#REF!</v>
      </c>
      <c r="R86" s="28" t="s">
        <v>1141</v>
      </c>
      <c r="S86" s="11">
        <v>937</v>
      </c>
      <c r="T86" s="27" t="e">
        <f>_xlfn.XLOOKUP(PRODUCTO_MI_AR4[[#This Row],[COD SUBFAMILIA COMERCIAL]],#REF!,#REF!,"")</f>
        <v>#REF!</v>
      </c>
      <c r="U86" s="8" t="e">
        <f>_xlfn.XLOOKUP(PRODUCTO_MI_AR4[[#This Row],[NOM MARCA]],#REF!,#REF!,"")</f>
        <v>#REF!</v>
      </c>
      <c r="V86" s="29" t="s">
        <v>73</v>
      </c>
      <c r="W86" s="13" t="e">
        <f>_xlfn.XLOOKUP(PRODUCTO_MI_AR4[[#This Row],[NOM CONSERVA]],#REF!,#REF!,"")</f>
        <v>#REF!</v>
      </c>
      <c r="X86" s="17" t="s">
        <v>23</v>
      </c>
    </row>
    <row r="87" spans="2:24" thickTop="1" thickBot="1" x14ac:dyDescent="0.4">
      <c r="B87" s="15">
        <v>100517138</v>
      </c>
      <c r="C87" s="29" t="s">
        <v>868</v>
      </c>
      <c r="E87" s="5">
        <v>2</v>
      </c>
      <c r="F87" s="29" t="s">
        <v>1123</v>
      </c>
      <c r="G87" s="5">
        <v>2</v>
      </c>
      <c r="H87" s="29" t="s">
        <v>1124</v>
      </c>
      <c r="I87" s="5">
        <v>26785</v>
      </c>
      <c r="J87" s="29" t="s">
        <v>17</v>
      </c>
      <c r="K87" s="11" t="e">
        <f>_xlfn.XLOOKUP(PRODUCTO_MI_AR4[[#This Row],[NOM CLASIFICACION COMERCIAL]],#REF!,#REF!,"")</f>
        <v>#REF!</v>
      </c>
      <c r="L87" s="29" t="s">
        <v>1148</v>
      </c>
      <c r="M87" s="11" t="e">
        <f>_xlfn.XLOOKUP(PRODUCTO_MI_AR4[[#This Row],[NOM CLASE COMERCIAL]],#REF!,#REF!,"")</f>
        <v>#REF!</v>
      </c>
      <c r="N87" s="29" t="s">
        <v>1149</v>
      </c>
      <c r="O87" s="11" t="e">
        <f>_xlfn.XLOOKUP(PRODUCTO_MI_AR4[[#This Row],[NOM CATEGORIA]],#REF!,#REF!,"")</f>
        <v>#REF!</v>
      </c>
      <c r="P87" s="29" t="s">
        <v>18</v>
      </c>
      <c r="Q87" s="5" t="e">
        <f>_xlfn.XLOOKUP(PRODUCTO_MI_AR4[[#This Row],[NOM FAMILIA COMERCIAL]],#REF!,#REF!,"")</f>
        <v>#REF!</v>
      </c>
      <c r="R87" s="29" t="s">
        <v>1145</v>
      </c>
      <c r="S87" s="11">
        <v>939</v>
      </c>
      <c r="T87" s="27" t="e">
        <f>_xlfn.XLOOKUP(PRODUCTO_MI_AR4[[#This Row],[COD SUBFAMILIA COMERCIAL]],#REF!,#REF!,"")</f>
        <v>#REF!</v>
      </c>
      <c r="U87" s="5" t="e">
        <f>_xlfn.XLOOKUP(PRODUCTO_MI_AR4[[#This Row],[NOM MARCA]],#REF!,#REF!,"")</f>
        <v>#REF!</v>
      </c>
      <c r="V87" s="29" t="s">
        <v>73</v>
      </c>
      <c r="W87" s="13" t="e">
        <f>_xlfn.XLOOKUP(PRODUCTO_MI_AR4[[#This Row],[NOM CONSERVA]],#REF!,#REF!,"")</f>
        <v>#REF!</v>
      </c>
      <c r="X87" s="17" t="s">
        <v>23</v>
      </c>
    </row>
    <row r="88" spans="2:24" thickTop="1" thickBot="1" x14ac:dyDescent="0.4">
      <c r="B88" s="15">
        <v>100517140</v>
      </c>
      <c r="C88" s="29" t="s">
        <v>1043</v>
      </c>
      <c r="E88" s="5">
        <v>2</v>
      </c>
      <c r="F88" s="29" t="s">
        <v>1123</v>
      </c>
      <c r="G88" s="5">
        <v>2</v>
      </c>
      <c r="H88" s="29" t="s">
        <v>1124</v>
      </c>
      <c r="I88" s="5">
        <v>26785</v>
      </c>
      <c r="J88" s="29" t="s">
        <v>17</v>
      </c>
      <c r="K88" s="11" t="e">
        <f>_xlfn.XLOOKUP(PRODUCTO_MI_AR4[[#This Row],[NOM CLASIFICACION COMERCIAL]],#REF!,#REF!,"")</f>
        <v>#REF!</v>
      </c>
      <c r="L88" s="29" t="s">
        <v>1148</v>
      </c>
      <c r="M88" s="11" t="e">
        <f>_xlfn.XLOOKUP(PRODUCTO_MI_AR4[[#This Row],[NOM CLASE COMERCIAL]],#REF!,#REF!,"")</f>
        <v>#REF!</v>
      </c>
      <c r="N88" s="29" t="s">
        <v>1149</v>
      </c>
      <c r="O88" s="11" t="e">
        <f>_xlfn.XLOOKUP(PRODUCTO_MI_AR4[[#This Row],[NOM CATEGORIA]],#REF!,#REF!,"")</f>
        <v>#REF!</v>
      </c>
      <c r="P88" s="29" t="s">
        <v>18</v>
      </c>
      <c r="Q88" s="5" t="e">
        <f>_xlfn.XLOOKUP(PRODUCTO_MI_AR4[[#This Row],[NOM FAMILIA COMERCIAL]],#REF!,#REF!,"")</f>
        <v>#REF!</v>
      </c>
      <c r="R88" s="29" t="s">
        <v>1151</v>
      </c>
      <c r="S88" s="11">
        <v>951</v>
      </c>
      <c r="T88" s="27" t="e">
        <f>_xlfn.XLOOKUP(PRODUCTO_MI_AR4[[#This Row],[COD SUBFAMILIA COMERCIAL]],#REF!,#REF!,"")</f>
        <v>#REF!</v>
      </c>
      <c r="U88" s="5" t="e">
        <f>_xlfn.XLOOKUP(PRODUCTO_MI_AR4[[#This Row],[NOM MARCA]],#REF!,#REF!,"")</f>
        <v>#REF!</v>
      </c>
      <c r="V88" s="29" t="s">
        <v>73</v>
      </c>
      <c r="W88" s="13" t="e">
        <f>_xlfn.XLOOKUP(PRODUCTO_MI_AR4[[#This Row],[NOM CONSERVA]],#REF!,#REF!,"")</f>
        <v>#REF!</v>
      </c>
      <c r="X88" s="17" t="s">
        <v>23</v>
      </c>
    </row>
    <row r="89" spans="2:24" thickTop="1" thickBot="1" x14ac:dyDescent="0.4">
      <c r="B89" s="15">
        <v>100519131</v>
      </c>
      <c r="C89" s="29" t="s">
        <v>1094</v>
      </c>
      <c r="E89" s="5">
        <v>2</v>
      </c>
      <c r="F89" s="29" t="s">
        <v>1123</v>
      </c>
      <c r="G89" s="5">
        <v>2</v>
      </c>
      <c r="H89" s="29" t="s">
        <v>1124</v>
      </c>
      <c r="I89" s="5">
        <v>26785</v>
      </c>
      <c r="J89" s="29" t="s">
        <v>17</v>
      </c>
      <c r="K89" s="11" t="e">
        <f>_xlfn.XLOOKUP(PRODUCTO_MI_AR4[[#This Row],[NOM CLASIFICACION COMERCIAL]],#REF!,#REF!,"")</f>
        <v>#REF!</v>
      </c>
      <c r="L89" s="29" t="s">
        <v>1148</v>
      </c>
      <c r="M89" s="11" t="e">
        <f>_xlfn.XLOOKUP(PRODUCTO_MI_AR4[[#This Row],[NOM CLASE COMERCIAL]],#REF!,#REF!,"")</f>
        <v>#REF!</v>
      </c>
      <c r="N89" s="29" t="s">
        <v>1149</v>
      </c>
      <c r="O89" s="11" t="e">
        <f>_xlfn.XLOOKUP(PRODUCTO_MI_AR4[[#This Row],[NOM CATEGORIA]],#REF!,#REF!,"")</f>
        <v>#REF!</v>
      </c>
      <c r="P89" s="29" t="s">
        <v>18</v>
      </c>
      <c r="Q89" s="5" t="e">
        <f>_xlfn.XLOOKUP(PRODUCTO_MI_AR4[[#This Row],[NOM FAMILIA COMERCIAL]],#REF!,#REF!,"")</f>
        <v>#REF!</v>
      </c>
      <c r="R89" s="29" t="s">
        <v>1153</v>
      </c>
      <c r="S89" s="11">
        <v>955</v>
      </c>
      <c r="T89" s="27" t="e">
        <f>_xlfn.XLOOKUP(PRODUCTO_MI_AR4[[#This Row],[COD SUBFAMILIA COMERCIAL]],#REF!,#REF!,"")</f>
        <v>#REF!</v>
      </c>
      <c r="U89" s="5" t="e">
        <f>_xlfn.XLOOKUP(PRODUCTO_MI_AR4[[#This Row],[NOM MARCA]],#REF!,#REF!,"")</f>
        <v>#REF!</v>
      </c>
      <c r="V89" s="29" t="s">
        <v>73</v>
      </c>
      <c r="W89" s="13" t="e">
        <f>_xlfn.XLOOKUP(PRODUCTO_MI_AR4[[#This Row],[NOM CONSERVA]],#REF!,#REF!,"")</f>
        <v>#REF!</v>
      </c>
      <c r="X89" s="17" t="s">
        <v>193</v>
      </c>
    </row>
    <row r="90" spans="2:24" thickTop="1" thickBot="1" x14ac:dyDescent="0.4">
      <c r="B90" s="15">
        <v>100517692</v>
      </c>
      <c r="C90" s="29" t="s">
        <v>1096</v>
      </c>
      <c r="E90" s="5">
        <v>2</v>
      </c>
      <c r="F90" s="29" t="s">
        <v>1123</v>
      </c>
      <c r="G90" s="5">
        <v>2</v>
      </c>
      <c r="H90" s="29" t="s">
        <v>1124</v>
      </c>
      <c r="I90" s="5">
        <v>26785</v>
      </c>
      <c r="J90" s="29" t="s">
        <v>17</v>
      </c>
      <c r="K90" s="11" t="e">
        <f>_xlfn.XLOOKUP(PRODUCTO_MI_AR4[[#This Row],[NOM CLASIFICACION COMERCIAL]],#REF!,#REF!,"")</f>
        <v>#REF!</v>
      </c>
      <c r="L90" s="29" t="s">
        <v>1148</v>
      </c>
      <c r="M90" s="11" t="e">
        <f>_xlfn.XLOOKUP(PRODUCTO_MI_AR4[[#This Row],[NOM CLASE COMERCIAL]],#REF!,#REF!,"")</f>
        <v>#REF!</v>
      </c>
      <c r="N90" s="29" t="s">
        <v>1149</v>
      </c>
      <c r="O90" s="11" t="e">
        <f>_xlfn.XLOOKUP(PRODUCTO_MI_AR4[[#This Row],[NOM CATEGORIA]],#REF!,#REF!,"")</f>
        <v>#REF!</v>
      </c>
      <c r="P90" s="29" t="s">
        <v>18</v>
      </c>
      <c r="Q90" s="5" t="e">
        <f>_xlfn.XLOOKUP(PRODUCTO_MI_AR4[[#This Row],[NOM FAMILIA COMERCIAL]],#REF!,#REF!,"")</f>
        <v>#REF!</v>
      </c>
      <c r="R90" s="29" t="s">
        <v>1153</v>
      </c>
      <c r="S90" s="11">
        <v>955</v>
      </c>
      <c r="T90" s="27" t="e">
        <f>_xlfn.XLOOKUP(PRODUCTO_MI_AR4[[#This Row],[COD SUBFAMILIA COMERCIAL]],#REF!,#REF!,"")</f>
        <v>#REF!</v>
      </c>
      <c r="U90" s="5" t="e">
        <f>_xlfn.XLOOKUP(PRODUCTO_MI_AR4[[#This Row],[NOM MARCA]],#REF!,#REF!,"")</f>
        <v>#REF!</v>
      </c>
      <c r="V90" s="29" t="s">
        <v>73</v>
      </c>
      <c r="W90" s="13" t="e">
        <f>_xlfn.XLOOKUP(PRODUCTO_MI_AR4[[#This Row],[NOM CONSERVA]],#REF!,#REF!,"")</f>
        <v>#REF!</v>
      </c>
      <c r="X90" s="17" t="s">
        <v>23</v>
      </c>
    </row>
    <row r="91" spans="2:24" thickTop="1" thickBot="1" x14ac:dyDescent="0.4">
      <c r="B91" s="15">
        <v>100519132</v>
      </c>
      <c r="C91" s="29" t="s">
        <v>1098</v>
      </c>
      <c r="E91" s="5">
        <v>2</v>
      </c>
      <c r="F91" s="29" t="s">
        <v>1123</v>
      </c>
      <c r="G91" s="5">
        <v>2</v>
      </c>
      <c r="H91" s="29" t="s">
        <v>1124</v>
      </c>
      <c r="I91" s="5">
        <v>26785</v>
      </c>
      <c r="J91" s="29" t="s">
        <v>17</v>
      </c>
      <c r="K91" s="11" t="e">
        <f>_xlfn.XLOOKUP(PRODUCTO_MI_AR4[[#This Row],[NOM CLASIFICACION COMERCIAL]],#REF!,#REF!,"")</f>
        <v>#REF!</v>
      </c>
      <c r="L91" s="29" t="s">
        <v>1148</v>
      </c>
      <c r="M91" s="11" t="e">
        <f>_xlfn.XLOOKUP(PRODUCTO_MI_AR4[[#This Row],[NOM CLASE COMERCIAL]],#REF!,#REF!,"")</f>
        <v>#REF!</v>
      </c>
      <c r="N91" s="29" t="s">
        <v>1149</v>
      </c>
      <c r="O91" s="11" t="e">
        <f>_xlfn.XLOOKUP(PRODUCTO_MI_AR4[[#This Row],[NOM CATEGORIA]],#REF!,#REF!,"")</f>
        <v>#REF!</v>
      </c>
      <c r="P91" s="29" t="s">
        <v>18</v>
      </c>
      <c r="Q91" s="5" t="e">
        <f>_xlfn.XLOOKUP(PRODUCTO_MI_AR4[[#This Row],[NOM FAMILIA COMERCIAL]],#REF!,#REF!,"")</f>
        <v>#REF!</v>
      </c>
      <c r="R91" s="29" t="s">
        <v>1153</v>
      </c>
      <c r="S91" s="11">
        <v>955</v>
      </c>
      <c r="T91" s="27" t="e">
        <f>_xlfn.XLOOKUP(PRODUCTO_MI_AR4[[#This Row],[COD SUBFAMILIA COMERCIAL]],#REF!,#REF!,"")</f>
        <v>#REF!</v>
      </c>
      <c r="U91" s="5" t="e">
        <f>_xlfn.XLOOKUP(PRODUCTO_MI_AR4[[#This Row],[NOM MARCA]],#REF!,#REF!,"")</f>
        <v>#REF!</v>
      </c>
      <c r="V91" s="29" t="s">
        <v>73</v>
      </c>
      <c r="W91" s="13" t="e">
        <f>_xlfn.XLOOKUP(PRODUCTO_MI_AR4[[#This Row],[NOM CONSERVA]],#REF!,#REF!,"")</f>
        <v>#REF!</v>
      </c>
      <c r="X91" s="17" t="s">
        <v>193</v>
      </c>
    </row>
    <row r="92" spans="2:24" thickTop="1" thickBot="1" x14ac:dyDescent="0.4">
      <c r="B92" s="15">
        <v>100517691</v>
      </c>
      <c r="C92" s="29" t="s">
        <v>1102</v>
      </c>
      <c r="E92" s="5">
        <v>2</v>
      </c>
      <c r="F92" s="29" t="s">
        <v>1123</v>
      </c>
      <c r="G92" s="5">
        <v>2</v>
      </c>
      <c r="H92" s="29" t="s">
        <v>1124</v>
      </c>
      <c r="I92" s="5">
        <v>26785</v>
      </c>
      <c r="J92" s="29" t="s">
        <v>17</v>
      </c>
      <c r="K92" s="11" t="e">
        <f>_xlfn.XLOOKUP(PRODUCTO_MI_AR4[[#This Row],[NOM CLASIFICACION COMERCIAL]],#REF!,#REF!,"")</f>
        <v>#REF!</v>
      </c>
      <c r="L92" s="29" t="s">
        <v>1148</v>
      </c>
      <c r="M92" s="11" t="e">
        <f>_xlfn.XLOOKUP(PRODUCTO_MI_AR4[[#This Row],[NOM CLASE COMERCIAL]],#REF!,#REF!,"")</f>
        <v>#REF!</v>
      </c>
      <c r="N92" s="29" t="s">
        <v>1149</v>
      </c>
      <c r="O92" s="11" t="e">
        <f>_xlfn.XLOOKUP(PRODUCTO_MI_AR4[[#This Row],[NOM CATEGORIA]],#REF!,#REF!,"")</f>
        <v>#REF!</v>
      </c>
      <c r="P92" s="29" t="s">
        <v>18</v>
      </c>
      <c r="Q92" s="5" t="e">
        <f>_xlfn.XLOOKUP(PRODUCTO_MI_AR4[[#This Row],[NOM FAMILIA COMERCIAL]],#REF!,#REF!,"")</f>
        <v>#REF!</v>
      </c>
      <c r="R92" s="29" t="s">
        <v>1153</v>
      </c>
      <c r="S92" s="11">
        <v>955</v>
      </c>
      <c r="T92" s="27" t="e">
        <f>_xlfn.XLOOKUP(PRODUCTO_MI_AR4[[#This Row],[COD SUBFAMILIA COMERCIAL]],#REF!,#REF!,"")</f>
        <v>#REF!</v>
      </c>
      <c r="U92" s="5" t="e">
        <f>_xlfn.XLOOKUP(PRODUCTO_MI_AR4[[#This Row],[NOM MARCA]],#REF!,#REF!,"")</f>
        <v>#REF!</v>
      </c>
      <c r="V92" s="29" t="s">
        <v>73</v>
      </c>
      <c r="W92" s="13" t="e">
        <f>_xlfn.XLOOKUP(PRODUCTO_MI_AR4[[#This Row],[NOM CONSERVA]],#REF!,#REF!,"")</f>
        <v>#REF!</v>
      </c>
      <c r="X92" s="17" t="s">
        <v>23</v>
      </c>
    </row>
    <row r="93" spans="2:24" thickTop="1" thickBot="1" x14ac:dyDescent="0.4">
      <c r="B93" s="14">
        <v>100517592</v>
      </c>
      <c r="C93" s="28" t="s">
        <v>322</v>
      </c>
      <c r="D93" s="9"/>
      <c r="E93" s="8">
        <v>2</v>
      </c>
      <c r="F93" s="28" t="s">
        <v>1123</v>
      </c>
      <c r="G93" s="8">
        <v>2</v>
      </c>
      <c r="H93" s="28" t="s">
        <v>1124</v>
      </c>
      <c r="I93" s="8">
        <v>26785</v>
      </c>
      <c r="J93" s="28" t="s">
        <v>17</v>
      </c>
      <c r="K93" s="11" t="e">
        <f>_xlfn.XLOOKUP(PRODUCTO_MI_AR4[[#This Row],[NOM CLASIFICACION COMERCIAL]],#REF!,#REF!,"")</f>
        <v>#REF!</v>
      </c>
      <c r="L93" s="28" t="s">
        <v>1148</v>
      </c>
      <c r="M93" s="11" t="e">
        <f>_xlfn.XLOOKUP(PRODUCTO_MI_AR4[[#This Row],[NOM CLASE COMERCIAL]],#REF!,#REF!,"")</f>
        <v>#REF!</v>
      </c>
      <c r="N93" s="28" t="s">
        <v>1149</v>
      </c>
      <c r="O93" s="11" t="e">
        <f>_xlfn.XLOOKUP(PRODUCTO_MI_AR4[[#This Row],[NOM CATEGORIA]],#REF!,#REF!,"")</f>
        <v>#REF!</v>
      </c>
      <c r="P93" s="28" t="s">
        <v>18</v>
      </c>
      <c r="Q93" s="8" t="e">
        <f>_xlfn.XLOOKUP(PRODUCTO_MI_AR4[[#This Row],[NOM FAMILIA COMERCIAL]],#REF!,#REF!,"")</f>
        <v>#REF!</v>
      </c>
      <c r="R93" s="28" t="s">
        <v>1142</v>
      </c>
      <c r="S93" s="11">
        <v>905</v>
      </c>
      <c r="T93" s="27" t="e">
        <f>_xlfn.XLOOKUP(PRODUCTO_MI_AR4[[#This Row],[COD SUBFAMILIA COMERCIAL]],#REF!,#REF!,"")</f>
        <v>#REF!</v>
      </c>
      <c r="U93" s="8" t="e">
        <f>_xlfn.XLOOKUP(PRODUCTO_MI_AR4[[#This Row],[NOM MARCA]],#REF!,#REF!,"")</f>
        <v>#REF!</v>
      </c>
      <c r="V93" s="29" t="s">
        <v>73</v>
      </c>
      <c r="W93" s="13" t="e">
        <f>_xlfn.XLOOKUP(PRODUCTO_MI_AR4[[#This Row],[NOM CONSERVA]],#REF!,#REF!,"")</f>
        <v>#REF!</v>
      </c>
      <c r="X93" s="17" t="s">
        <v>193</v>
      </c>
    </row>
    <row r="94" spans="2:24" thickTop="1" thickBot="1" x14ac:dyDescent="0.4">
      <c r="B94" s="14">
        <v>100517145</v>
      </c>
      <c r="C94" s="28" t="s">
        <v>1154</v>
      </c>
      <c r="D94" s="9"/>
      <c r="E94" s="8">
        <v>2</v>
      </c>
      <c r="F94" s="28" t="s">
        <v>1123</v>
      </c>
      <c r="G94" s="8">
        <v>2</v>
      </c>
      <c r="H94" s="28" t="s">
        <v>1124</v>
      </c>
      <c r="I94" s="8">
        <v>26785</v>
      </c>
      <c r="J94" s="28" t="s">
        <v>17</v>
      </c>
      <c r="K94" s="11" t="e">
        <f>_xlfn.XLOOKUP(PRODUCTO_MI_AR4[[#This Row],[NOM CLASIFICACION COMERCIAL]],#REF!,#REF!,"")</f>
        <v>#REF!</v>
      </c>
      <c r="L94" s="28" t="s">
        <v>1148</v>
      </c>
      <c r="M94" s="11" t="e">
        <f>_xlfn.XLOOKUP(PRODUCTO_MI_AR4[[#This Row],[NOM CLASE COMERCIAL]],#REF!,#REF!,"")</f>
        <v>#REF!</v>
      </c>
      <c r="N94" s="28" t="s">
        <v>1149</v>
      </c>
      <c r="O94" s="11" t="e">
        <f>_xlfn.XLOOKUP(PRODUCTO_MI_AR4[[#This Row],[NOM CATEGORIA]],#REF!,#REF!,"")</f>
        <v>#REF!</v>
      </c>
      <c r="P94" s="28" t="s">
        <v>18</v>
      </c>
      <c r="Q94" s="8" t="e">
        <f>_xlfn.XLOOKUP(PRODUCTO_MI_AR4[[#This Row],[NOM FAMILIA COMERCIAL]],#REF!,#REF!,"")</f>
        <v>#REF!</v>
      </c>
      <c r="R94" s="28" t="s">
        <v>1142</v>
      </c>
      <c r="S94" s="11">
        <v>913</v>
      </c>
      <c r="T94" s="27" t="e">
        <f>_xlfn.XLOOKUP(PRODUCTO_MI_AR4[[#This Row],[COD SUBFAMILIA COMERCIAL]],#REF!,#REF!,"")</f>
        <v>#REF!</v>
      </c>
      <c r="U94" s="8" t="e">
        <f>_xlfn.XLOOKUP(PRODUCTO_MI_AR4[[#This Row],[NOM MARCA]],#REF!,#REF!,"")</f>
        <v>#REF!</v>
      </c>
      <c r="V94" s="29" t="s">
        <v>73</v>
      </c>
      <c r="W94" s="13" t="e">
        <f>_xlfn.XLOOKUP(PRODUCTO_MI_AR4[[#This Row],[NOM CONSERVA]],#REF!,#REF!,"")</f>
        <v>#REF!</v>
      </c>
      <c r="X94" s="17" t="s">
        <v>23</v>
      </c>
    </row>
    <row r="95" spans="2:24" thickTop="1" thickBot="1" x14ac:dyDescent="0.4">
      <c r="B95" s="14">
        <v>100517593</v>
      </c>
      <c r="C95" s="28" t="s">
        <v>742</v>
      </c>
      <c r="D95" s="9"/>
      <c r="E95" s="8">
        <v>2</v>
      </c>
      <c r="F95" s="28" t="s">
        <v>1123</v>
      </c>
      <c r="G95" s="8">
        <v>2</v>
      </c>
      <c r="H95" s="28" t="s">
        <v>1124</v>
      </c>
      <c r="I95" s="8">
        <v>26785</v>
      </c>
      <c r="J95" s="28" t="s">
        <v>17</v>
      </c>
      <c r="K95" s="11" t="e">
        <f>_xlfn.XLOOKUP(PRODUCTO_MI_AR4[[#This Row],[NOM CLASIFICACION COMERCIAL]],#REF!,#REF!,"")</f>
        <v>#REF!</v>
      </c>
      <c r="L95" s="28" t="s">
        <v>1148</v>
      </c>
      <c r="M95" s="11" t="e">
        <f>_xlfn.XLOOKUP(PRODUCTO_MI_AR4[[#This Row],[NOM CLASE COMERCIAL]],#REF!,#REF!,"")</f>
        <v>#REF!</v>
      </c>
      <c r="N95" s="28" t="s">
        <v>1149</v>
      </c>
      <c r="O95" s="11" t="e">
        <f>_xlfn.XLOOKUP(PRODUCTO_MI_AR4[[#This Row],[NOM CATEGORIA]],#REF!,#REF!,"")</f>
        <v>#REF!</v>
      </c>
      <c r="P95" s="28" t="s">
        <v>18</v>
      </c>
      <c r="Q95" s="8" t="e">
        <f>_xlfn.XLOOKUP(PRODUCTO_MI_AR4[[#This Row],[NOM FAMILIA COMERCIAL]],#REF!,#REF!,"")</f>
        <v>#REF!</v>
      </c>
      <c r="R95" s="28" t="s">
        <v>1142</v>
      </c>
      <c r="S95" s="11">
        <v>919</v>
      </c>
      <c r="T95" s="27" t="e">
        <f>_xlfn.XLOOKUP(PRODUCTO_MI_AR4[[#This Row],[COD SUBFAMILIA COMERCIAL]],#REF!,#REF!,"")</f>
        <v>#REF!</v>
      </c>
      <c r="U95" s="8" t="e">
        <f>_xlfn.XLOOKUP(PRODUCTO_MI_AR4[[#This Row],[NOM MARCA]],#REF!,#REF!,"")</f>
        <v>#REF!</v>
      </c>
      <c r="V95" s="29" t="s">
        <v>73</v>
      </c>
      <c r="W95" s="13" t="e">
        <f>_xlfn.XLOOKUP(PRODUCTO_MI_AR4[[#This Row],[NOM CONSERVA]],#REF!,#REF!,"")</f>
        <v>#REF!</v>
      </c>
      <c r="X95" s="17" t="s">
        <v>193</v>
      </c>
    </row>
    <row r="96" spans="2:24" thickTop="1" thickBot="1" x14ac:dyDescent="0.4">
      <c r="B96" s="15">
        <v>100517594</v>
      </c>
      <c r="C96" s="29" t="s">
        <v>948</v>
      </c>
      <c r="E96" s="5">
        <v>2</v>
      </c>
      <c r="F96" s="29" t="s">
        <v>1123</v>
      </c>
      <c r="G96" s="5">
        <v>2</v>
      </c>
      <c r="H96" s="29" t="s">
        <v>1124</v>
      </c>
      <c r="I96" s="5">
        <v>26785</v>
      </c>
      <c r="J96" s="29" t="s">
        <v>17</v>
      </c>
      <c r="K96" s="11" t="e">
        <f>_xlfn.XLOOKUP(PRODUCTO_MI_AR4[[#This Row],[NOM CLASIFICACION COMERCIAL]],#REF!,#REF!,"")</f>
        <v>#REF!</v>
      </c>
      <c r="L96" s="29" t="s">
        <v>1148</v>
      </c>
      <c r="M96" s="11" t="e">
        <f>_xlfn.XLOOKUP(PRODUCTO_MI_AR4[[#This Row],[NOM CLASE COMERCIAL]],#REF!,#REF!,"")</f>
        <v>#REF!</v>
      </c>
      <c r="N96" s="29" t="s">
        <v>1149</v>
      </c>
      <c r="O96" s="11" t="e">
        <f>_xlfn.XLOOKUP(PRODUCTO_MI_AR4[[#This Row],[NOM CATEGORIA]],#REF!,#REF!,"")</f>
        <v>#REF!</v>
      </c>
      <c r="P96" s="29" t="s">
        <v>18</v>
      </c>
      <c r="Q96" s="5" t="e">
        <f>_xlfn.XLOOKUP(PRODUCTO_MI_AR4[[#This Row],[NOM FAMILIA COMERCIAL]],#REF!,#REF!,"")</f>
        <v>#REF!</v>
      </c>
      <c r="R96" s="28" t="s">
        <v>1142</v>
      </c>
      <c r="S96" s="11">
        <v>946</v>
      </c>
      <c r="T96" s="27" t="e">
        <f>_xlfn.XLOOKUP(PRODUCTO_MI_AR4[[#This Row],[COD SUBFAMILIA COMERCIAL]],#REF!,#REF!,"")</f>
        <v>#REF!</v>
      </c>
      <c r="U96" s="5" t="e">
        <f>_xlfn.XLOOKUP(PRODUCTO_MI_AR4[[#This Row],[NOM MARCA]],#REF!,#REF!,"")</f>
        <v>#REF!</v>
      </c>
      <c r="V96" s="29" t="s">
        <v>73</v>
      </c>
      <c r="W96" s="13" t="e">
        <f>_xlfn.XLOOKUP(PRODUCTO_MI_AR4[[#This Row],[NOM CONSERVA]],#REF!,#REF!,"")</f>
        <v>#REF!</v>
      </c>
      <c r="X96" s="17" t="s">
        <v>193</v>
      </c>
    </row>
    <row r="97" spans="2:24" thickTop="1" thickBot="1" x14ac:dyDescent="0.4">
      <c r="B97" s="15">
        <v>100518334</v>
      </c>
      <c r="C97" s="29" t="s">
        <v>1155</v>
      </c>
      <c r="E97" s="5">
        <v>2</v>
      </c>
      <c r="F97" s="29" t="s">
        <v>1123</v>
      </c>
      <c r="G97" s="5">
        <v>2</v>
      </c>
      <c r="H97" s="29" t="s">
        <v>1124</v>
      </c>
      <c r="I97" s="5">
        <v>26785</v>
      </c>
      <c r="J97" s="29" t="s">
        <v>17</v>
      </c>
      <c r="K97" s="11" t="e">
        <f>_xlfn.XLOOKUP(PRODUCTO_MI_AR4[[#This Row],[NOM CLASIFICACION COMERCIAL]],#REF!,#REF!,"")</f>
        <v>#REF!</v>
      </c>
      <c r="L97" s="29" t="s">
        <v>1147</v>
      </c>
      <c r="M97" s="11" t="e">
        <f>_xlfn.XLOOKUP(PRODUCTO_MI_AR4[[#This Row],[NOM CLASE COMERCIAL]],#REF!,#REF!,"")</f>
        <v>#REF!</v>
      </c>
      <c r="N97" s="29" t="s">
        <v>1126</v>
      </c>
      <c r="O97" s="11" t="e">
        <f>_xlfn.XLOOKUP(PRODUCTO_MI_AR4[[#This Row],[NOM CATEGORIA]],#REF!,#REF!,"")</f>
        <v>#REF!</v>
      </c>
      <c r="P97" s="29" t="s">
        <v>18</v>
      </c>
      <c r="Q97" s="5" t="e">
        <f>_xlfn.XLOOKUP(PRODUCTO_MI_AR4[[#This Row],[NOM FAMILIA COMERCIAL]],#REF!,#REF!,"")</f>
        <v>#REF!</v>
      </c>
      <c r="R97" s="29" t="s">
        <v>1156</v>
      </c>
      <c r="S97" s="11">
        <v>949</v>
      </c>
      <c r="T97" s="27" t="e">
        <f>_xlfn.XLOOKUP(PRODUCTO_MI_AR4[[#This Row],[COD SUBFAMILIA COMERCIAL]],#REF!,#REF!,"")</f>
        <v>#REF!</v>
      </c>
      <c r="U97" s="5" t="e">
        <f>_xlfn.XLOOKUP(PRODUCTO_MI_AR4[[#This Row],[NOM MARCA]],#REF!,#REF!,"")</f>
        <v>#REF!</v>
      </c>
      <c r="V97" s="29" t="s">
        <v>57</v>
      </c>
      <c r="W97" s="13" t="e">
        <f>_xlfn.XLOOKUP(PRODUCTO_MI_AR4[[#This Row],[NOM CONSERVA]],#REF!,#REF!,"")</f>
        <v>#REF!</v>
      </c>
      <c r="X97" s="17" t="s">
        <v>23</v>
      </c>
    </row>
    <row r="98" spans="2:24" thickTop="1" thickBot="1" x14ac:dyDescent="0.4">
      <c r="B98" s="15">
        <v>100518344</v>
      </c>
      <c r="C98" s="29" t="s">
        <v>925</v>
      </c>
      <c r="E98" s="5">
        <v>2</v>
      </c>
      <c r="F98" s="29" t="s">
        <v>1123</v>
      </c>
      <c r="G98" s="5">
        <v>2</v>
      </c>
      <c r="H98" s="29" t="s">
        <v>1124</v>
      </c>
      <c r="I98" s="5">
        <v>26785</v>
      </c>
      <c r="J98" s="29" t="s">
        <v>17</v>
      </c>
      <c r="K98" s="11" t="e">
        <f>_xlfn.XLOOKUP(PRODUCTO_MI_AR4[[#This Row],[NOM CLASIFICACION COMERCIAL]],#REF!,#REF!,"")</f>
        <v>#REF!</v>
      </c>
      <c r="L98" s="29" t="s">
        <v>1147</v>
      </c>
      <c r="M98" s="11" t="e">
        <f>_xlfn.XLOOKUP(PRODUCTO_MI_AR4[[#This Row],[NOM CLASE COMERCIAL]],#REF!,#REF!,"")</f>
        <v>#REF!</v>
      </c>
      <c r="N98" s="29" t="s">
        <v>1126</v>
      </c>
      <c r="O98" s="11" t="e">
        <f>_xlfn.XLOOKUP(PRODUCTO_MI_AR4[[#This Row],[NOM CATEGORIA]],#REF!,#REF!,"")</f>
        <v>#REF!</v>
      </c>
      <c r="P98" s="29" t="s">
        <v>18</v>
      </c>
      <c r="Q98" s="5" t="e">
        <f>_xlfn.XLOOKUP(PRODUCTO_MI_AR4[[#This Row],[NOM FAMILIA COMERCIAL]],#REF!,#REF!,"")</f>
        <v>#REF!</v>
      </c>
      <c r="R98" s="29" t="s">
        <v>1157</v>
      </c>
      <c r="S98" s="11">
        <v>950</v>
      </c>
      <c r="T98" s="27" t="e">
        <f>_xlfn.XLOOKUP(PRODUCTO_MI_AR4[[#This Row],[COD SUBFAMILIA COMERCIAL]],#REF!,#REF!,"")</f>
        <v>#REF!</v>
      </c>
      <c r="U98" s="5" t="e">
        <f>_xlfn.XLOOKUP(PRODUCTO_MI_AR4[[#This Row],[NOM MARCA]],#REF!,#REF!,"")</f>
        <v>#REF!</v>
      </c>
      <c r="V98" s="29" t="s">
        <v>57</v>
      </c>
      <c r="W98" s="13" t="e">
        <f>_xlfn.XLOOKUP(PRODUCTO_MI_AR4[[#This Row],[NOM CONSERVA]],#REF!,#REF!,"")</f>
        <v>#REF!</v>
      </c>
      <c r="X98" s="17" t="s">
        <v>193</v>
      </c>
    </row>
    <row r="99" spans="2:24" thickTop="1" thickBot="1" x14ac:dyDescent="0.4">
      <c r="B99" s="15">
        <v>100013371</v>
      </c>
      <c r="C99" s="29" t="s">
        <v>927</v>
      </c>
      <c r="E99" s="5">
        <v>2</v>
      </c>
      <c r="F99" s="29" t="s">
        <v>1123</v>
      </c>
      <c r="G99" s="5">
        <v>2</v>
      </c>
      <c r="H99" s="29" t="s">
        <v>1124</v>
      </c>
      <c r="I99" s="5">
        <v>26785</v>
      </c>
      <c r="J99" s="29" t="s">
        <v>17</v>
      </c>
      <c r="K99" s="11" t="e">
        <f>_xlfn.XLOOKUP(PRODUCTO_MI_AR4[[#This Row],[NOM CLASIFICACION COMERCIAL]],#REF!,#REF!,"")</f>
        <v>#REF!</v>
      </c>
      <c r="L99" s="29" t="s">
        <v>1147</v>
      </c>
      <c r="M99" s="11" t="e">
        <f>_xlfn.XLOOKUP(PRODUCTO_MI_AR4[[#This Row],[NOM CLASE COMERCIAL]],#REF!,#REF!,"")</f>
        <v>#REF!</v>
      </c>
      <c r="N99" s="29" t="s">
        <v>1126</v>
      </c>
      <c r="O99" s="11" t="e">
        <f>_xlfn.XLOOKUP(PRODUCTO_MI_AR4[[#This Row],[NOM CATEGORIA]],#REF!,#REF!,"")</f>
        <v>#REF!</v>
      </c>
      <c r="P99" s="29" t="s">
        <v>18</v>
      </c>
      <c r="Q99" s="5" t="e">
        <f>_xlfn.XLOOKUP(PRODUCTO_MI_AR4[[#This Row],[NOM FAMILIA COMERCIAL]],#REF!,#REF!,"")</f>
        <v>#REF!</v>
      </c>
      <c r="R99" s="29" t="s">
        <v>1157</v>
      </c>
      <c r="S99" s="11">
        <v>950</v>
      </c>
      <c r="T99" s="27" t="e">
        <f>_xlfn.XLOOKUP(PRODUCTO_MI_AR4[[#This Row],[COD SUBFAMILIA COMERCIAL]],#REF!,#REF!,"")</f>
        <v>#REF!</v>
      </c>
      <c r="U99" s="5" t="e">
        <f>_xlfn.XLOOKUP(PRODUCTO_MI_AR4[[#This Row],[NOM MARCA]],#REF!,#REF!,"")</f>
        <v>#REF!</v>
      </c>
      <c r="V99" s="29" t="s">
        <v>57</v>
      </c>
      <c r="W99" s="13" t="e">
        <f>_xlfn.XLOOKUP(PRODUCTO_MI_AR4[[#This Row],[NOM CONSERVA]],#REF!,#REF!,"")</f>
        <v>#REF!</v>
      </c>
      <c r="X99" s="17" t="s">
        <v>23</v>
      </c>
    </row>
    <row r="100" spans="2:24" thickTop="1" thickBot="1" x14ac:dyDescent="0.4">
      <c r="B100" s="15">
        <v>100013036</v>
      </c>
      <c r="C100" s="29" t="s">
        <v>1009</v>
      </c>
      <c r="E100" s="5">
        <v>2</v>
      </c>
      <c r="F100" s="29" t="s">
        <v>1123</v>
      </c>
      <c r="G100" s="5">
        <v>2</v>
      </c>
      <c r="H100" s="29" t="s">
        <v>1124</v>
      </c>
      <c r="I100" s="5">
        <v>26785</v>
      </c>
      <c r="J100" s="29" t="s">
        <v>17</v>
      </c>
      <c r="K100" s="11" t="e">
        <f>_xlfn.XLOOKUP(PRODUCTO_MI_AR4[[#This Row],[NOM CLASIFICACION COMERCIAL]],#REF!,#REF!,"")</f>
        <v>#REF!</v>
      </c>
      <c r="L100" s="29" t="s">
        <v>1147</v>
      </c>
      <c r="M100" s="11" t="e">
        <f>_xlfn.XLOOKUP(PRODUCTO_MI_AR4[[#This Row],[NOM CLASE COMERCIAL]],#REF!,#REF!,"")</f>
        <v>#REF!</v>
      </c>
      <c r="N100" s="29" t="s">
        <v>1126</v>
      </c>
      <c r="O100" s="11" t="e">
        <f>_xlfn.XLOOKUP(PRODUCTO_MI_AR4[[#This Row],[NOM CATEGORIA]],#REF!,#REF!,"")</f>
        <v>#REF!</v>
      </c>
      <c r="P100" s="29" t="s">
        <v>18</v>
      </c>
      <c r="Q100" s="5" t="e">
        <f>_xlfn.XLOOKUP(PRODUCTO_MI_AR4[[#This Row],[NOM FAMILIA COMERCIAL]],#REF!,#REF!,"")</f>
        <v>#REF!</v>
      </c>
      <c r="R100" s="29" t="s">
        <v>1157</v>
      </c>
      <c r="S100" s="11">
        <v>950</v>
      </c>
      <c r="T100" s="27" t="e">
        <f>_xlfn.XLOOKUP(PRODUCTO_MI_AR4[[#This Row],[COD SUBFAMILIA COMERCIAL]],#REF!,#REF!,"")</f>
        <v>#REF!</v>
      </c>
      <c r="U100" s="5" t="e">
        <f>_xlfn.XLOOKUP(PRODUCTO_MI_AR4[[#This Row],[NOM MARCA]],#REF!,#REF!,"")</f>
        <v>#REF!</v>
      </c>
      <c r="V100" s="29" t="s">
        <v>57</v>
      </c>
      <c r="W100" s="13" t="e">
        <f>_xlfn.XLOOKUP(PRODUCTO_MI_AR4[[#This Row],[NOM CONSERVA]],#REF!,#REF!,"")</f>
        <v>#REF!</v>
      </c>
      <c r="X100" s="17" t="s">
        <v>23</v>
      </c>
    </row>
    <row r="101" spans="2:24" thickTop="1" thickBot="1" x14ac:dyDescent="0.4">
      <c r="B101" s="15">
        <v>100518380</v>
      </c>
      <c r="C101" s="29" t="s">
        <v>1039</v>
      </c>
      <c r="E101" s="5">
        <v>2</v>
      </c>
      <c r="F101" s="29" t="s">
        <v>1123</v>
      </c>
      <c r="G101" s="5">
        <v>2</v>
      </c>
      <c r="H101" s="29" t="s">
        <v>1124</v>
      </c>
      <c r="I101" s="5">
        <v>26785</v>
      </c>
      <c r="J101" s="29" t="s">
        <v>17</v>
      </c>
      <c r="K101" s="11" t="e">
        <f>_xlfn.XLOOKUP(PRODUCTO_MI_AR4[[#This Row],[NOM CLASIFICACION COMERCIAL]],#REF!,#REF!,"")</f>
        <v>#REF!</v>
      </c>
      <c r="L101" s="29" t="s">
        <v>101</v>
      </c>
      <c r="M101" s="11" t="e">
        <f>_xlfn.XLOOKUP(PRODUCTO_MI_AR4[[#This Row],[NOM CLASE COMERCIAL]],#REF!,#REF!,"")</f>
        <v>#REF!</v>
      </c>
      <c r="N101" s="29" t="s">
        <v>1126</v>
      </c>
      <c r="O101" s="11" t="e">
        <f>_xlfn.XLOOKUP(PRODUCTO_MI_AR4[[#This Row],[NOM CATEGORIA]],#REF!,#REF!,"")</f>
        <v>#REF!</v>
      </c>
      <c r="P101" s="29" t="s">
        <v>18</v>
      </c>
      <c r="Q101" s="5" t="e">
        <f>_xlfn.XLOOKUP(PRODUCTO_MI_AR4[[#This Row],[NOM FAMILIA COMERCIAL]],#REF!,#REF!,"")</f>
        <v>#REF!</v>
      </c>
      <c r="R101" s="29" t="s">
        <v>1151</v>
      </c>
      <c r="S101" s="11">
        <v>951</v>
      </c>
      <c r="T101" s="27" t="e">
        <f>_xlfn.XLOOKUP(PRODUCTO_MI_AR4[[#This Row],[COD SUBFAMILIA COMERCIAL]],#REF!,#REF!,"")</f>
        <v>#REF!</v>
      </c>
      <c r="U101" s="5" t="e">
        <f>_xlfn.XLOOKUP(PRODUCTO_MI_AR4[[#This Row],[NOM MARCA]],#REF!,#REF!,"")</f>
        <v>#REF!</v>
      </c>
      <c r="V101" s="29" t="s">
        <v>57</v>
      </c>
      <c r="W101" s="13" t="e">
        <f>_xlfn.XLOOKUP(PRODUCTO_MI_AR4[[#This Row],[NOM CONSERVA]],#REF!,#REF!,"")</f>
        <v>#REF!</v>
      </c>
      <c r="X101" s="17" t="s">
        <v>23</v>
      </c>
    </row>
    <row r="102" spans="2:24" thickTop="1" thickBot="1" x14ac:dyDescent="0.4">
      <c r="B102" s="15">
        <v>100011520</v>
      </c>
      <c r="C102" s="29" t="s">
        <v>1040</v>
      </c>
      <c r="E102" s="5">
        <v>2</v>
      </c>
      <c r="F102" s="29" t="s">
        <v>1123</v>
      </c>
      <c r="G102" s="5">
        <v>2</v>
      </c>
      <c r="H102" s="29" t="s">
        <v>1124</v>
      </c>
      <c r="I102" s="5">
        <v>26785</v>
      </c>
      <c r="J102" s="29" t="s">
        <v>17</v>
      </c>
      <c r="K102" s="11" t="e">
        <f>_xlfn.XLOOKUP(PRODUCTO_MI_AR4[[#This Row],[NOM CLASIFICACION COMERCIAL]],#REF!,#REF!,"")</f>
        <v>#REF!</v>
      </c>
      <c r="L102" s="29" t="s">
        <v>101</v>
      </c>
      <c r="M102" s="11" t="e">
        <f>_xlfn.XLOOKUP(PRODUCTO_MI_AR4[[#This Row],[NOM CLASE COMERCIAL]],#REF!,#REF!,"")</f>
        <v>#REF!</v>
      </c>
      <c r="N102" s="29" t="s">
        <v>1126</v>
      </c>
      <c r="O102" s="11" t="e">
        <f>_xlfn.XLOOKUP(PRODUCTO_MI_AR4[[#This Row],[NOM CATEGORIA]],#REF!,#REF!,"")</f>
        <v>#REF!</v>
      </c>
      <c r="P102" s="29" t="s">
        <v>18</v>
      </c>
      <c r="Q102" s="5" t="e">
        <f>_xlfn.XLOOKUP(PRODUCTO_MI_AR4[[#This Row],[NOM FAMILIA COMERCIAL]],#REF!,#REF!,"")</f>
        <v>#REF!</v>
      </c>
      <c r="R102" s="29" t="s">
        <v>1151</v>
      </c>
      <c r="S102" s="11">
        <v>951</v>
      </c>
      <c r="T102" s="27" t="e">
        <f>_xlfn.XLOOKUP(PRODUCTO_MI_AR4[[#This Row],[COD SUBFAMILIA COMERCIAL]],#REF!,#REF!,"")</f>
        <v>#REF!</v>
      </c>
      <c r="U102" s="5" t="e">
        <f>_xlfn.XLOOKUP(PRODUCTO_MI_AR4[[#This Row],[NOM MARCA]],#REF!,#REF!,"")</f>
        <v>#REF!</v>
      </c>
      <c r="V102" s="29" t="s">
        <v>57</v>
      </c>
      <c r="W102" s="13" t="e">
        <f>_xlfn.XLOOKUP(PRODUCTO_MI_AR4[[#This Row],[NOM CONSERVA]],#REF!,#REF!,"")</f>
        <v>#REF!</v>
      </c>
      <c r="X102" s="17" t="s">
        <v>23</v>
      </c>
    </row>
    <row r="103" spans="2:24" thickTop="1" thickBot="1" x14ac:dyDescent="0.4">
      <c r="B103" s="15">
        <v>100012986</v>
      </c>
      <c r="C103" s="29" t="s">
        <v>1052</v>
      </c>
      <c r="E103" s="5">
        <v>2</v>
      </c>
      <c r="F103" s="29" t="s">
        <v>1123</v>
      </c>
      <c r="G103" s="5">
        <v>2</v>
      </c>
      <c r="H103" s="29" t="s">
        <v>1124</v>
      </c>
      <c r="I103" s="5">
        <v>26785</v>
      </c>
      <c r="J103" s="29" t="s">
        <v>17</v>
      </c>
      <c r="K103" s="11" t="e">
        <f>_xlfn.XLOOKUP(PRODUCTO_MI_AR4[[#This Row],[NOM CLASIFICACION COMERCIAL]],#REF!,#REF!,"")</f>
        <v>#REF!</v>
      </c>
      <c r="L103" s="29" t="s">
        <v>1147</v>
      </c>
      <c r="M103" s="11" t="e">
        <f>_xlfn.XLOOKUP(PRODUCTO_MI_AR4[[#This Row],[NOM CLASE COMERCIAL]],#REF!,#REF!,"")</f>
        <v>#REF!</v>
      </c>
      <c r="N103" s="29" t="s">
        <v>1126</v>
      </c>
      <c r="O103" s="11" t="e">
        <f>_xlfn.XLOOKUP(PRODUCTO_MI_AR4[[#This Row],[NOM CATEGORIA]],#REF!,#REF!,"")</f>
        <v>#REF!</v>
      </c>
      <c r="P103" s="29" t="s">
        <v>18</v>
      </c>
      <c r="Q103" s="5" t="e">
        <f>_xlfn.XLOOKUP(PRODUCTO_MI_AR4[[#This Row],[NOM FAMILIA COMERCIAL]],#REF!,#REF!,"")</f>
        <v>#REF!</v>
      </c>
      <c r="R103" s="29" t="s">
        <v>1158</v>
      </c>
      <c r="S103" s="11">
        <v>952</v>
      </c>
      <c r="T103" s="27" t="e">
        <f>_xlfn.XLOOKUP(PRODUCTO_MI_AR4[[#This Row],[COD SUBFAMILIA COMERCIAL]],#REF!,#REF!,"")</f>
        <v>#REF!</v>
      </c>
      <c r="U103" s="5" t="e">
        <f>_xlfn.XLOOKUP(PRODUCTO_MI_AR4[[#This Row],[NOM MARCA]],#REF!,#REF!,"")</f>
        <v>#REF!</v>
      </c>
      <c r="V103" s="29" t="s">
        <v>57</v>
      </c>
      <c r="W103" s="13" t="e">
        <f>_xlfn.XLOOKUP(PRODUCTO_MI_AR4[[#This Row],[NOM CONSERVA]],#REF!,#REF!,"")</f>
        <v>#REF!</v>
      </c>
      <c r="X103" s="17" t="s">
        <v>193</v>
      </c>
    </row>
    <row r="104" spans="2:24" thickTop="1" thickBot="1" x14ac:dyDescent="0.4">
      <c r="B104" s="15">
        <v>100010688</v>
      </c>
      <c r="C104" s="29" t="s">
        <v>1054</v>
      </c>
      <c r="E104" s="5">
        <v>2</v>
      </c>
      <c r="F104" s="29" t="s">
        <v>1123</v>
      </c>
      <c r="G104" s="5">
        <v>2</v>
      </c>
      <c r="H104" s="29" t="s">
        <v>1124</v>
      </c>
      <c r="I104" s="5">
        <v>26785</v>
      </c>
      <c r="J104" s="29" t="s">
        <v>17</v>
      </c>
      <c r="K104" s="11" t="e">
        <f>_xlfn.XLOOKUP(PRODUCTO_MI_AR4[[#This Row],[NOM CLASIFICACION COMERCIAL]],#REF!,#REF!,"")</f>
        <v>#REF!</v>
      </c>
      <c r="L104" s="29" t="s">
        <v>1147</v>
      </c>
      <c r="M104" s="11" t="e">
        <f>_xlfn.XLOOKUP(PRODUCTO_MI_AR4[[#This Row],[NOM CLASE COMERCIAL]],#REF!,#REF!,"")</f>
        <v>#REF!</v>
      </c>
      <c r="N104" s="29" t="s">
        <v>1126</v>
      </c>
      <c r="O104" s="11" t="e">
        <f>_xlfn.XLOOKUP(PRODUCTO_MI_AR4[[#This Row],[NOM CATEGORIA]],#REF!,#REF!,"")</f>
        <v>#REF!</v>
      </c>
      <c r="P104" s="29" t="s">
        <v>18</v>
      </c>
      <c r="Q104" s="5" t="e">
        <f>_xlfn.XLOOKUP(PRODUCTO_MI_AR4[[#This Row],[NOM FAMILIA COMERCIAL]],#REF!,#REF!,"")</f>
        <v>#REF!</v>
      </c>
      <c r="R104" s="29" t="s">
        <v>1158</v>
      </c>
      <c r="S104" s="11">
        <v>952</v>
      </c>
      <c r="T104" s="27" t="e">
        <f>_xlfn.XLOOKUP(PRODUCTO_MI_AR4[[#This Row],[COD SUBFAMILIA COMERCIAL]],#REF!,#REF!,"")</f>
        <v>#REF!</v>
      </c>
      <c r="U104" s="5" t="e">
        <f>_xlfn.XLOOKUP(PRODUCTO_MI_AR4[[#This Row],[NOM MARCA]],#REF!,#REF!,"")</f>
        <v>#REF!</v>
      </c>
      <c r="V104" s="29" t="s">
        <v>57</v>
      </c>
      <c r="W104" s="13" t="e">
        <f>_xlfn.XLOOKUP(PRODUCTO_MI_AR4[[#This Row],[NOM CONSERVA]],#REF!,#REF!,"")</f>
        <v>#REF!</v>
      </c>
      <c r="X104" s="17" t="s">
        <v>23</v>
      </c>
    </row>
    <row r="105" spans="2:24" thickTop="1" thickBot="1" x14ac:dyDescent="0.4">
      <c r="B105" s="15">
        <v>100011672</v>
      </c>
      <c r="C105" s="29" t="s">
        <v>1072</v>
      </c>
      <c r="E105" s="5">
        <v>2</v>
      </c>
      <c r="F105" s="29" t="s">
        <v>1123</v>
      </c>
      <c r="G105" s="5">
        <v>2</v>
      </c>
      <c r="H105" s="29" t="s">
        <v>1124</v>
      </c>
      <c r="I105" s="5">
        <v>26785</v>
      </c>
      <c r="J105" s="29" t="s">
        <v>17</v>
      </c>
      <c r="K105" s="11" t="e">
        <f>_xlfn.XLOOKUP(PRODUCTO_MI_AR4[[#This Row],[NOM CLASIFICACION COMERCIAL]],#REF!,#REF!,"")</f>
        <v>#REF!</v>
      </c>
      <c r="L105" s="28" t="s">
        <v>231</v>
      </c>
      <c r="M105" s="11" t="e">
        <f>_xlfn.XLOOKUP(PRODUCTO_MI_AR4[[#This Row],[NOM CLASE COMERCIAL]],#REF!,#REF!,"")</f>
        <v>#REF!</v>
      </c>
      <c r="N105" s="29" t="s">
        <v>1126</v>
      </c>
      <c r="O105" s="11" t="e">
        <f>_xlfn.XLOOKUP(PRODUCTO_MI_AR4[[#This Row],[NOM CATEGORIA]],#REF!,#REF!,"")</f>
        <v>#REF!</v>
      </c>
      <c r="P105" s="29" t="s">
        <v>18</v>
      </c>
      <c r="Q105" s="5" t="e">
        <f>_xlfn.XLOOKUP(PRODUCTO_MI_AR4[[#This Row],[NOM FAMILIA COMERCIAL]],#REF!,#REF!,"")</f>
        <v>#REF!</v>
      </c>
      <c r="R105" s="29" t="s">
        <v>1159</v>
      </c>
      <c r="S105" s="11">
        <v>953</v>
      </c>
      <c r="T105" s="27" t="e">
        <f>_xlfn.XLOOKUP(PRODUCTO_MI_AR4[[#This Row],[COD SUBFAMILIA COMERCIAL]],#REF!,#REF!,"")</f>
        <v>#REF!</v>
      </c>
      <c r="U105" s="5" t="e">
        <f>_xlfn.XLOOKUP(PRODUCTO_MI_AR4[[#This Row],[NOM MARCA]],#REF!,#REF!,"")</f>
        <v>#REF!</v>
      </c>
      <c r="V105" s="29" t="s">
        <v>57</v>
      </c>
      <c r="W105" s="13" t="e">
        <f>_xlfn.XLOOKUP(PRODUCTO_MI_AR4[[#This Row],[NOM CONSERVA]],#REF!,#REF!,"")</f>
        <v>#REF!</v>
      </c>
      <c r="X105" s="17" t="s">
        <v>23</v>
      </c>
    </row>
    <row r="106" spans="2:24" thickTop="1" thickBot="1" x14ac:dyDescent="0.4">
      <c r="B106" s="14">
        <v>100010515</v>
      </c>
      <c r="C106" s="28" t="s">
        <v>464</v>
      </c>
      <c r="D106" s="9"/>
      <c r="E106" s="8">
        <v>2</v>
      </c>
      <c r="F106" s="28" t="s">
        <v>1123</v>
      </c>
      <c r="G106" s="8">
        <v>2</v>
      </c>
      <c r="H106" s="28" t="s">
        <v>1124</v>
      </c>
      <c r="I106" s="8">
        <v>26785</v>
      </c>
      <c r="J106" s="28" t="s">
        <v>17</v>
      </c>
      <c r="K106" s="11" t="e">
        <f>_xlfn.XLOOKUP(PRODUCTO_MI_AR4[[#This Row],[NOM CLASIFICACION COMERCIAL]],#REF!,#REF!,"")</f>
        <v>#REF!</v>
      </c>
      <c r="L106" s="28" t="s">
        <v>201</v>
      </c>
      <c r="M106" s="11" t="e">
        <f>_xlfn.XLOOKUP(PRODUCTO_MI_AR4[[#This Row],[NOM CLASE COMERCIAL]],#REF!,#REF!,"")</f>
        <v>#REF!</v>
      </c>
      <c r="N106" s="28" t="s">
        <v>1126</v>
      </c>
      <c r="O106" s="11" t="e">
        <f>_xlfn.XLOOKUP(PRODUCTO_MI_AR4[[#This Row],[NOM CATEGORIA]],#REF!,#REF!,"")</f>
        <v>#REF!</v>
      </c>
      <c r="P106" s="28" t="s">
        <v>18</v>
      </c>
      <c r="Q106" s="8" t="e">
        <f>_xlfn.XLOOKUP(PRODUCTO_MI_AR4[[#This Row],[NOM FAMILIA COMERCIAL]],#REF!,#REF!,"")</f>
        <v>#REF!</v>
      </c>
      <c r="R106" s="28" t="s">
        <v>1153</v>
      </c>
      <c r="S106" s="11">
        <v>955</v>
      </c>
      <c r="T106" s="27" t="e">
        <f>_xlfn.XLOOKUP(PRODUCTO_MI_AR4[[#This Row],[COD SUBFAMILIA COMERCIAL]],#REF!,#REF!,"")</f>
        <v>#REF!</v>
      </c>
      <c r="U106" s="8" t="e">
        <f>_xlfn.XLOOKUP(PRODUCTO_MI_AR4[[#This Row],[NOM MARCA]],#REF!,#REF!,"")</f>
        <v>#REF!</v>
      </c>
      <c r="V106" s="29" t="s">
        <v>57</v>
      </c>
      <c r="W106" s="13" t="e">
        <f>_xlfn.XLOOKUP(PRODUCTO_MI_AR4[[#This Row],[NOM CONSERVA]],#REF!,#REF!,"")</f>
        <v>#REF!</v>
      </c>
      <c r="X106" s="17" t="s">
        <v>193</v>
      </c>
    </row>
    <row r="107" spans="2:24" thickTop="1" thickBot="1" x14ac:dyDescent="0.4">
      <c r="B107" s="15">
        <v>100010432</v>
      </c>
      <c r="C107" s="29" t="s">
        <v>1085</v>
      </c>
      <c r="E107" s="5">
        <v>2</v>
      </c>
      <c r="F107" s="29" t="s">
        <v>1123</v>
      </c>
      <c r="G107" s="5">
        <v>2</v>
      </c>
      <c r="H107" s="29" t="s">
        <v>1124</v>
      </c>
      <c r="I107" s="5">
        <v>26785</v>
      </c>
      <c r="J107" s="29" t="s">
        <v>17</v>
      </c>
      <c r="K107" s="11" t="e">
        <f>_xlfn.XLOOKUP(PRODUCTO_MI_AR4[[#This Row],[NOM CLASIFICACION COMERCIAL]],#REF!,#REF!,"")</f>
        <v>#REF!</v>
      </c>
      <c r="L107" s="29" t="s">
        <v>201</v>
      </c>
      <c r="M107" s="11" t="e">
        <f>_xlfn.XLOOKUP(PRODUCTO_MI_AR4[[#This Row],[NOM CLASE COMERCIAL]],#REF!,#REF!,"")</f>
        <v>#REF!</v>
      </c>
      <c r="N107" s="29" t="s">
        <v>1126</v>
      </c>
      <c r="O107" s="11" t="e">
        <f>_xlfn.XLOOKUP(PRODUCTO_MI_AR4[[#This Row],[NOM CATEGORIA]],#REF!,#REF!,"")</f>
        <v>#REF!</v>
      </c>
      <c r="P107" s="29" t="s">
        <v>18</v>
      </c>
      <c r="Q107" s="5" t="e">
        <f>_xlfn.XLOOKUP(PRODUCTO_MI_AR4[[#This Row],[NOM FAMILIA COMERCIAL]],#REF!,#REF!,"")</f>
        <v>#REF!</v>
      </c>
      <c r="R107" s="29" t="s">
        <v>1153</v>
      </c>
      <c r="S107" s="11">
        <v>955</v>
      </c>
      <c r="T107" s="27" t="e">
        <f>_xlfn.XLOOKUP(PRODUCTO_MI_AR4[[#This Row],[COD SUBFAMILIA COMERCIAL]],#REF!,#REF!,"")</f>
        <v>#REF!</v>
      </c>
      <c r="U107" s="5" t="e">
        <f>_xlfn.XLOOKUP(PRODUCTO_MI_AR4[[#This Row],[NOM MARCA]],#REF!,#REF!,"")</f>
        <v>#REF!</v>
      </c>
      <c r="V107" s="29" t="s">
        <v>57</v>
      </c>
      <c r="W107" s="13" t="e">
        <f>_xlfn.XLOOKUP(PRODUCTO_MI_AR4[[#This Row],[NOM CONSERVA]],#REF!,#REF!,"")</f>
        <v>#REF!</v>
      </c>
      <c r="X107" s="17" t="s">
        <v>193</v>
      </c>
    </row>
    <row r="108" spans="2:24" thickTop="1" thickBot="1" x14ac:dyDescent="0.4">
      <c r="B108" s="15">
        <v>100010001</v>
      </c>
      <c r="C108" s="29" t="s">
        <v>1092</v>
      </c>
      <c r="E108" s="5">
        <v>2</v>
      </c>
      <c r="F108" s="29" t="s">
        <v>1123</v>
      </c>
      <c r="G108" s="5">
        <v>2</v>
      </c>
      <c r="H108" s="29" t="s">
        <v>1124</v>
      </c>
      <c r="I108" s="5">
        <v>26785</v>
      </c>
      <c r="J108" s="29" t="s">
        <v>17</v>
      </c>
      <c r="K108" s="11" t="e">
        <f>_xlfn.XLOOKUP(PRODUCTO_MI_AR4[[#This Row],[NOM CLASIFICACION COMERCIAL]],#REF!,#REF!,"")</f>
        <v>#REF!</v>
      </c>
      <c r="L108" s="29" t="s">
        <v>201</v>
      </c>
      <c r="M108" s="11" t="e">
        <f>_xlfn.XLOOKUP(PRODUCTO_MI_AR4[[#This Row],[NOM CLASE COMERCIAL]],#REF!,#REF!,"")</f>
        <v>#REF!</v>
      </c>
      <c r="N108" s="29" t="s">
        <v>1126</v>
      </c>
      <c r="O108" s="11" t="e">
        <f>_xlfn.XLOOKUP(PRODUCTO_MI_AR4[[#This Row],[NOM CATEGORIA]],#REF!,#REF!,"")</f>
        <v>#REF!</v>
      </c>
      <c r="P108" s="29" t="s">
        <v>18</v>
      </c>
      <c r="Q108" s="5" t="e">
        <f>_xlfn.XLOOKUP(PRODUCTO_MI_AR4[[#This Row],[NOM FAMILIA COMERCIAL]],#REF!,#REF!,"")</f>
        <v>#REF!</v>
      </c>
      <c r="R108" s="29" t="s">
        <v>1153</v>
      </c>
      <c r="S108" s="11">
        <v>955</v>
      </c>
      <c r="T108" s="27" t="e">
        <f>_xlfn.XLOOKUP(PRODUCTO_MI_AR4[[#This Row],[COD SUBFAMILIA COMERCIAL]],#REF!,#REF!,"")</f>
        <v>#REF!</v>
      </c>
      <c r="U108" s="5" t="e">
        <f>_xlfn.XLOOKUP(PRODUCTO_MI_AR4[[#This Row],[NOM MARCA]],#REF!,#REF!,"")</f>
        <v>#REF!</v>
      </c>
      <c r="V108" s="29" t="s">
        <v>57</v>
      </c>
      <c r="W108" s="13" t="e">
        <f>_xlfn.XLOOKUP(PRODUCTO_MI_AR4[[#This Row],[NOM CONSERVA]],#REF!,#REF!,"")</f>
        <v>#REF!</v>
      </c>
      <c r="X108" s="17" t="s">
        <v>23</v>
      </c>
    </row>
    <row r="109" spans="2:24" thickTop="1" thickBot="1" x14ac:dyDescent="0.4">
      <c r="B109" s="23">
        <v>100518227</v>
      </c>
      <c r="C109" s="30" t="s">
        <v>1160</v>
      </c>
      <c r="D109" s="24"/>
      <c r="E109" s="25">
        <v>2</v>
      </c>
      <c r="F109" s="30" t="s">
        <v>1123</v>
      </c>
      <c r="G109" s="25">
        <v>2</v>
      </c>
      <c r="H109" s="30" t="s">
        <v>1124</v>
      </c>
      <c r="I109" s="25">
        <v>26785</v>
      </c>
      <c r="J109" s="30" t="s">
        <v>17</v>
      </c>
      <c r="K109" s="11" t="e">
        <f>_xlfn.XLOOKUP(PRODUCTO_MI_AR4[[#This Row],[NOM CLASIFICACION COMERCIAL]],#REF!,#REF!,"")</f>
        <v>#REF!</v>
      </c>
      <c r="L109" s="30" t="s">
        <v>201</v>
      </c>
      <c r="M109" s="11" t="e">
        <f>_xlfn.XLOOKUP(PRODUCTO_MI_AR4[[#This Row],[NOM CLASE COMERCIAL]],#REF!,#REF!,"")</f>
        <v>#REF!</v>
      </c>
      <c r="N109" s="30" t="s">
        <v>1126</v>
      </c>
      <c r="O109" s="11" t="e">
        <f>_xlfn.XLOOKUP(PRODUCTO_MI_AR4[[#This Row],[NOM CATEGORIA]],#REF!,#REF!,"")</f>
        <v>#REF!</v>
      </c>
      <c r="P109" s="30" t="s">
        <v>18</v>
      </c>
      <c r="Q109" s="25" t="e">
        <f>_xlfn.XLOOKUP(PRODUCTO_MI_AR4[[#This Row],[NOM FAMILIA COMERCIAL]],#REF!,#REF!,"")</f>
        <v>#REF!</v>
      </c>
      <c r="R109" s="30" t="s">
        <v>1153</v>
      </c>
      <c r="S109" s="11">
        <v>956</v>
      </c>
      <c r="T109" s="27" t="e">
        <f>_xlfn.XLOOKUP(PRODUCTO_MI_AR4[[#This Row],[COD SUBFAMILIA COMERCIAL]],#REF!,#REF!,"")</f>
        <v>#REF!</v>
      </c>
      <c r="U109" s="25" t="e">
        <f>_xlfn.XLOOKUP(PRODUCTO_MI_AR4[[#This Row],[NOM MARCA]],#REF!,#REF!,"")</f>
        <v>#REF!</v>
      </c>
      <c r="V109" s="30" t="s">
        <v>57</v>
      </c>
      <c r="W109" s="13" t="e">
        <f>_xlfn.XLOOKUP(PRODUCTO_MI_AR4[[#This Row],[NOM CONSERVA]],#REF!,#REF!,"")</f>
        <v>#REF!</v>
      </c>
      <c r="X109" s="26" t="s">
        <v>23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8e62ac-6e91-4883-a74c-752ce6d0bc1f">
      <Terms xmlns="http://schemas.microsoft.com/office/infopath/2007/PartnerControls"/>
    </lcf76f155ced4ddcb4097134ff3c332f>
    <TaxCatchAll xmlns="4f9c05bb-be86-4a4a-80b9-09ba75e9f5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5ABF19F8ADBE4EA5CB4BC0CCF62FBB" ma:contentTypeVersion="10" ma:contentTypeDescription="Crie um novo documento." ma:contentTypeScope="" ma:versionID="8149c75b9b8651fc8de4fa6ea006dfe6">
  <xsd:schema xmlns:xsd="http://www.w3.org/2001/XMLSchema" xmlns:xs="http://www.w3.org/2001/XMLSchema" xmlns:p="http://schemas.microsoft.com/office/2006/metadata/properties" xmlns:ns2="c68e62ac-6e91-4883-a74c-752ce6d0bc1f" xmlns:ns3="4f9c05bb-be86-4a4a-80b9-09ba75e9f5ce" targetNamespace="http://schemas.microsoft.com/office/2006/metadata/properties" ma:root="true" ma:fieldsID="7c51c6bad3df25fdeb276425d967a197" ns2:_="" ns3:_="">
    <xsd:import namespace="c68e62ac-6e91-4883-a74c-752ce6d0bc1f"/>
    <xsd:import namespace="4f9c05bb-be86-4a4a-80b9-09ba75e9f5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e62ac-6e91-4883-a74c-752ce6d0bc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011570e-2da0-486c-a8e9-8edc14121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05bb-be86-4a4a-80b9-09ba75e9f5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0586df-002b-48a7-b982-6d42c307fc29}" ma:internalName="TaxCatchAll" ma:showField="CatchAllData" ma:web="4f9c05bb-be86-4a4a-80b9-09ba75e9f5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421684-47EA-4A08-9D09-AC5AF4C3B8B4}">
  <ds:schemaRefs>
    <ds:schemaRef ds:uri="http://schemas.microsoft.com/office/2006/metadata/properties"/>
    <ds:schemaRef ds:uri="http://schemas.microsoft.com/office/infopath/2007/PartnerControls"/>
    <ds:schemaRef ds:uri="c68e62ac-6e91-4883-a74c-752ce6d0bc1f"/>
    <ds:schemaRef ds:uri="4f9c05bb-be86-4a4a-80b9-09ba75e9f5ce"/>
  </ds:schemaRefs>
</ds:datastoreItem>
</file>

<file path=customXml/itemProps2.xml><?xml version="1.0" encoding="utf-8"?>
<ds:datastoreItem xmlns:ds="http://schemas.openxmlformats.org/officeDocument/2006/customXml" ds:itemID="{5AA05331-2390-45B0-AA9B-630FB21BCE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3B7131-74CF-4DEE-B20B-7B15BEF73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e62ac-6e91-4883-a74c-752ce6d0bc1f"/>
    <ds:schemaRef ds:uri="4f9c05bb-be86-4a4a-80b9-09ba75e9f5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 AR</vt:lpstr>
      <vt:lpstr>CODIGOS</vt:lpstr>
      <vt:lpstr>PROPOSTA BEEF 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Bastos Luz</dc:creator>
  <cp:keywords/>
  <dc:description/>
  <cp:lastModifiedBy>Nicolas Gentile</cp:lastModifiedBy>
  <cp:revision/>
  <dcterms:created xsi:type="dcterms:W3CDTF">2025-10-02T13:03:11Z</dcterms:created>
  <dcterms:modified xsi:type="dcterms:W3CDTF">2026-02-03T15:28:55Z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0x010100855ABF19F8ADBE4EA5CB4BC0CCF62FBB</vt:lpwstr>
  </property>
</Properties>
</file>