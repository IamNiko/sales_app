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.funes\Desktop\LISTA DE PRECIOS\ROSARIO COMPRAS\"/>
    </mc:Choice>
  </mc:AlternateContent>
  <xr:revisionPtr revIDLastSave="0" documentId="13_ncr:1_{98605219-884F-4579-9131-F09AAD4713F7}" xr6:coauthVersionLast="47" xr6:coauthVersionMax="47" xr10:uidLastSave="{00000000-0000-0000-0000-000000000000}"/>
  <bookViews>
    <workbookView xWindow="-110" yWindow="-110" windowWidth="19420" windowHeight="10300" xr2:uid="{E6BA0177-D9D7-4D12-BBFA-C2E5F0E4E786}"/>
  </bookViews>
  <sheets>
    <sheet name="MARZO 20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3" l="1"/>
  <c r="F61" i="3" l="1"/>
  <c r="F60" i="3"/>
  <c r="F59" i="3"/>
  <c r="F58" i="3"/>
  <c r="F57" i="3"/>
  <c r="F56" i="3"/>
  <c r="F55" i="3"/>
  <c r="F54" i="3"/>
  <c r="F52" i="3"/>
  <c r="F50" i="3"/>
  <c r="F49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</calcChain>
</file>

<file path=xl/sharedStrings.xml><?xml version="1.0" encoding="utf-8"?>
<sst xmlns="http://schemas.openxmlformats.org/spreadsheetml/2006/main" count="62" uniqueCount="61">
  <si>
    <t>Código</t>
  </si>
  <si>
    <t>Descripción</t>
  </si>
  <si>
    <t>EAN</t>
  </si>
  <si>
    <t>Kg. x Caja</t>
  </si>
  <si>
    <t>Cant. X Caja</t>
  </si>
  <si>
    <t>$ FACTURA</t>
  </si>
  <si>
    <t>$ PÚBLICO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</si>
  <si>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</si>
  <si>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</si>
  <si>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</si>
  <si>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</si>
  <si>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</si>
  <si>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</si>
  <si>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</si>
  <si>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</si>
  <si>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MEDALLON 42X112G DOBLE BURGER SWIFT</t>
  </si>
  <si>
    <t>MEDALLON DOBLE BURGER 2X2</t>
  </si>
  <si>
    <t>HAMBURGUESA 8X12X69G BURGER SWIFT</t>
  </si>
  <si>
    <t xml:space="preserve">HAMBURGUESA 30X250g CLASICA "XL" SWIFT </t>
  </si>
  <si>
    <t>HAMBURGUESA 24X2X120g CASERA SWIFT</t>
  </si>
  <si>
    <t>HAMBURGUESA X-TREMA 36 x 185 grs</t>
  </si>
  <si>
    <t>MEDALLON 42X112G LA BLANCA</t>
  </si>
  <si>
    <t>MEDALLON 12x4X69G LA BLANCA</t>
  </si>
  <si>
    <t>SALCHICHAS 24X6 SWIFT</t>
  </si>
  <si>
    <t>SALCHICHAS SIN PIEL 24X6 "SWIFT KIDS" X 190 g</t>
  </si>
  <si>
    <t>SALCHICHAS  LARGAS  10 x 12  SWIFT  INSTITUCIONAL</t>
  </si>
  <si>
    <t>SALCHICHAS SIN PIEL "LA BLANCA"  24X6X190 Grs;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</si>
  <si>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</si>
  <si>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</si>
  <si>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</si>
  <si>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</si>
  <si>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</si>
  <si>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</si>
  <si>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PALITO DE POLLO "SWIFT"  12 X 260 Grs.</t>
  </si>
  <si>
    <t>PALITO DE POLLO "SWIFT"  8 X 1 Kg..</t>
  </si>
  <si>
    <t>MEDALLONES DE POLLO "SWIFT" - 12x4x80g</t>
  </si>
  <si>
    <t>MILANESA DE CARNE VACUNA CONGELADA 24un x 500grs</t>
  </si>
  <si>
    <t>MILANESA DE CARNE VACUNA CONGELADA 12un x 1000grs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</si>
  <si>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</si>
  <si>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</si>
  <si>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</si>
  <si>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</si>
  <si>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CHORIZOS FRESCOS DE CERDO LIBRE DE GLUTEN</t>
  </si>
  <si>
    <t>PAPAS PRE COCIDAS SUPERCONGELADAS LIBRES DE GLUTEN 700G</t>
  </si>
  <si>
    <t>PRECIO</t>
  </si>
  <si>
    <t>PRECIO x uni sin Iva</t>
  </si>
  <si>
    <t>PRECIO caja- sin Iva</t>
  </si>
  <si>
    <t>NUGGETS DE ESPINACA 300GR</t>
  </si>
  <si>
    <t>NUGGETS DE BRÓCOLI 300GR</t>
  </si>
  <si>
    <t>MEDALLÓN DE CALABAZA Y CHOCLO 300GR</t>
  </si>
  <si>
    <t>MEDALLÓN DE ESPINACA 300GR</t>
  </si>
  <si>
    <t>CRUNCHIES DE POLLO "SWIFT" - 12x380g</t>
  </si>
  <si>
    <t>BOCADITOS DE POLLO "SWIFT KIDS" - 12x400g</t>
  </si>
  <si>
    <t>MILANESITAS DE CARNE "SWIFT" - 12x400g</t>
  </si>
  <si>
    <t>MILANESAS DE  SOJA CLASICAS PREFRITA</t>
  </si>
  <si>
    <t>CHORIZOS FRESCOS DE CERDO COGELADOS LIBRE DE GLUTEN</t>
  </si>
  <si>
    <t>BOCADITOS DE POLLO GASTRONOMICOS "LA BLANCA" - x6kg</t>
  </si>
  <si>
    <t>PAPAS PREFRITAS CONGELADAS libres de gluten 7u x 2 kg</t>
  </si>
  <si>
    <t>SALCHICHAS 12X12 SWIFT</t>
  </si>
  <si>
    <t>CRUNCHIES DE POLLO "SWIFT" - 10x760g</t>
  </si>
  <si>
    <t>NUEVO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</si>
</sst>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#,##0.00_ ;[Red]\-#,##0.00\ "/>
    <numFmt numFmtId="165" formatCode="#,##0_ ;[Red]\-#,##0\ "/>
    <numFmt numFmtId="166" formatCode="_-&quot;$&quot;\ * #,##0_-;\-&quot;$&quot;\ * #,##0_-;_-&quot;$&quot;\ * &quot;-&quot;??_-;_-@_-"/>
    <numFmt numFmtId="167" formatCode="#,##0.0_ ;[Red]\-#,##0.0\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9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</cellStyleXfs>
  <cellXfs count="39">
    <xf numFmtId="0" fontId="0" fillId="0" borderId="0" xfId="0"/>
    <xf numFmtId="44" fontId="1" fillId="0" borderId="1" xfId="1" applyFont="1" applyFill="1" applyBorder="1"/>
    <xf numFmtId="166" fontId="1" fillId="0" borderId="1" xfId="1" applyNumberFormat="1" applyFont="1" applyFill="1" applyBorder="1"/>
    <xf numFmtId="0" fontId="4" fillId="3" borderId="1" xfId="2" applyFont="1" applyFill="1" applyBorder="1" applyAlignment="1" applyProtection="1">
      <alignment horizontal="center" vertical="center"/>
      <protection hidden="1"/>
    </xf>
    <xf numFmtId="0" fontId="4" fillId="3" borderId="1" xfId="2" applyFont="1" applyFill="1" applyBorder="1" applyAlignment="1" applyProtection="1">
      <alignment vertical="center"/>
      <protection hidden="1"/>
    </xf>
    <xf numFmtId="0" fontId="4" fillId="0" borderId="1" xfId="4" applyFont="1" applyFill="1" applyBorder="1"/>
    <xf numFmtId="1" fontId="4" fillId="0" borderId="1" xfId="2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left"/>
    </xf>
    <xf numFmtId="1" fontId="4" fillId="0" borderId="1" xfId="4" applyNumberFormat="1" applyFont="1" applyFill="1" applyBorder="1" applyAlignment="1">
      <alignment horizontal="center"/>
    </xf>
    <xf numFmtId="165" fontId="4" fillId="3" borderId="1" xfId="2" applyNumberFormat="1" applyFont="1" applyFill="1" applyBorder="1" applyAlignment="1" applyProtection="1">
      <alignment vertical="center"/>
      <protection hidden="1"/>
    </xf>
    <xf numFmtId="44" fontId="4" fillId="3" borderId="1" xfId="1" applyFont="1" applyFill="1" applyBorder="1" applyAlignment="1" applyProtection="1">
      <alignment vertical="center"/>
      <protection hidden="1"/>
    </xf>
    <xf numFmtId="44" fontId="4" fillId="0" borderId="1" xfId="1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167" fontId="4" fillId="0" borderId="1" xfId="2" applyNumberFormat="1" applyFont="1" applyBorder="1" applyAlignment="1">
      <alignment horizontal="center"/>
    </xf>
    <xf numFmtId="0" fontId="4" fillId="0" borderId="1" xfId="3" applyFont="1" applyBorder="1"/>
    <xf numFmtId="1" fontId="4" fillId="0" borderId="1" xfId="2" applyNumberFormat="1" applyFont="1" applyBorder="1" applyAlignment="1">
      <alignment horizontal="left"/>
    </xf>
    <xf numFmtId="1" fontId="4" fillId="0" borderId="1" xfId="5" applyNumberFormat="1" applyFont="1" applyBorder="1" applyAlignment="1">
      <alignment horizontal="center"/>
    </xf>
    <xf numFmtId="164" fontId="4" fillId="0" borderId="1" xfId="5" applyNumberFormat="1" applyFont="1" applyBorder="1" applyAlignment="1">
      <alignment horizontal="center"/>
    </xf>
    <xf numFmtId="165" fontId="4" fillId="0" borderId="1" xfId="5" applyNumberFormat="1" applyFont="1" applyBorder="1" applyAlignment="1">
      <alignment horizontal="center"/>
    </xf>
    <xf numFmtId="0" fontId="3" fillId="2" borderId="2" xfId="2" applyFont="1" applyFill="1" applyBorder="1" applyAlignment="1">
      <alignment horizontal="center" vertical="distributed"/>
    </xf>
    <xf numFmtId="0" fontId="3" fillId="2" borderId="3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distributed"/>
    </xf>
    <xf numFmtId="0" fontId="3" fillId="2" borderId="4" xfId="2" applyFont="1" applyFill="1" applyBorder="1" applyAlignment="1">
      <alignment horizontal="center" vertical="distributed"/>
    </xf>
    <xf numFmtId="0" fontId="4" fillId="3" borderId="5" xfId="2" applyFont="1" applyFill="1" applyBorder="1" applyAlignment="1" applyProtection="1">
      <alignment horizontal="center" vertical="center"/>
      <protection hidden="1"/>
    </xf>
    <xf numFmtId="0" fontId="4" fillId="3" borderId="6" xfId="2" applyFont="1" applyFill="1" applyBorder="1" applyAlignment="1" applyProtection="1">
      <alignment horizontal="center" vertical="center"/>
      <protection hidden="1"/>
    </xf>
    <xf numFmtId="0" fontId="4" fillId="0" borderId="5" xfId="4" applyFont="1" applyFill="1" applyBorder="1" applyAlignment="1">
      <alignment horizontal="center"/>
    </xf>
    <xf numFmtId="166" fontId="1" fillId="0" borderId="6" xfId="1" applyNumberFormat="1" applyFont="1" applyFill="1" applyBorder="1"/>
    <xf numFmtId="0" fontId="4" fillId="0" borderId="5" xfId="2" applyFont="1" applyBorder="1" applyAlignment="1">
      <alignment horizontal="center"/>
    </xf>
    <xf numFmtId="165" fontId="4" fillId="3" borderId="6" xfId="2" applyNumberFormat="1" applyFont="1" applyFill="1" applyBorder="1" applyAlignment="1" applyProtection="1">
      <alignment vertical="center"/>
      <protection hidden="1"/>
    </xf>
    <xf numFmtId="0" fontId="4" fillId="0" borderId="5" xfId="3" applyFont="1" applyBorder="1" applyAlignment="1">
      <alignment horizontal="center"/>
    </xf>
    <xf numFmtId="0" fontId="5" fillId="0" borderId="0" xfId="0" applyFont="1"/>
    <xf numFmtId="166" fontId="0" fillId="0" borderId="0" xfId="0" applyNumberFormat="1"/>
    <xf numFmtId="0" fontId="4" fillId="0" borderId="5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left"/>
    </xf>
    <xf numFmtId="1" fontId="4" fillId="0" borderId="1" xfId="2" applyNumberFormat="1" applyFont="1" applyFill="1" applyBorder="1" applyAlignment="1">
      <alignment horizontal="center"/>
    </xf>
    <xf numFmtId="164" fontId="4" fillId="0" borderId="1" xfId="2" applyNumberFormat="1" applyFont="1" applyFill="1" applyBorder="1" applyAlignment="1">
      <alignment horizontal="center"/>
    </xf>
    <xf numFmtId="165" fontId="4" fillId="0" borderId="1" xfId="2" applyNumberFormat="1" applyFont="1" applyFill="1" applyBorder="1" applyAlignment="1">
      <alignment horizontal="center"/>
    </xf>
  </cellXfs>
  <cellStyles count="6">
    <cellStyle name="Moneda" xfId="1" builtinId="4"/>
    <cellStyle name="Normal" xfId="0" builtinId="0"/>
    <cellStyle name="Normal 3" xfId="4" xr:uid="{BD90324E-1E2B-4EC4-BE1A-8D47F7B4E414}"/>
    <cellStyle name="Normal_ARQUITECTURA DE PRECIOS 1 0" xfId="2" xr:uid="{347F4A5F-8949-4768-A095-420874E43912}"/>
    <cellStyle name="Normal_ARQUITECTURA DE PRECIOS 1 0 2" xfId="5" xr:uid="{B4151E73-1BF7-45E5-A19A-2B6A59612D4C}"/>
    <cellStyle name="Normal_Precio públicos al 01-03" xfId="3" xr:uid="{0365BEB9-08F8-4354-9DB3-DC5CF7F6EC63}"/>
  </cellStyles>
  <dxfs count="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7F26-29CE-46B0-8AB4-10D1F6DC7E75}">
  <dimension ref="A1:K62"/>
  <sheetViews>
    <sheetView tabSelected="1" zoomScale="96" zoomScaleNormal="96" workbookViewId="0"/>
  </sheetViews>
  <sheetFormatPr baseColWidth="10" defaultColWidth="28.36328125" defaultRowHeight="14.5" x14ac:dyDescent="0.35"/>
  <cols>
    <col min="1" max="1" width="10.90625" bestFit="1" customWidth="1"/>
    <col min="2" max="2" width="58.7265625" bestFit="1" customWidth="1"/>
    <col min="3" max="3" width="15.26953125" bestFit="1" customWidth="1"/>
    <col min="4" max="4" width="8.90625" bestFit="1" customWidth="1"/>
    <col min="5" max="5" width="11.08984375" bestFit="1" customWidth="1"/>
    <col min="6" max="6" width="17.54296875" bestFit="1" customWidth="1"/>
    <col min="7" max="7" width="17.26953125" bestFit="1" customWidth="1"/>
    <col min="8" max="8" width="10.1796875" bestFit="1" customWidth="1"/>
    <col min="9" max="9" width="15.6328125" bestFit="1" customWidth="1"/>
  </cols>
  <sheetData>
    <row r="1" spans="1:8" x14ac:dyDescent="0.35">
      <c r="A1" s="2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46</v>
      </c>
      <c r="G1" s="23" t="s">
        <v>45</v>
      </c>
      <c r="H1" s="24" t="s">
        <v>44</v>
      </c>
    </row>
    <row r="2" spans="1:8" x14ac:dyDescent="0.35">
      <c r="A2" s="25"/>
      <c r="B2" s="4"/>
      <c r="C2" s="3"/>
      <c r="D2" s="4"/>
      <c r="E2" s="4"/>
      <c r="F2" s="4"/>
      <c r="G2" s="3" t="s">
        <v>5</v>
      </c>
      <c r="H2" s="26" t="s">
        <v>6</v>
      </c>
    </row>
    <row r="3" spans="1:8" x14ac:dyDescent="0.35">
      <c r="A3" s="27">
        <v>100021632</v>
      </c>
      <c r="B3" s="5" t="s">
        <v>7</v>
      </c>
      <c r="C3" s="6">
        <v>7790360026606</v>
      </c>
      <c r="D3" s="7">
        <v>4.8</v>
      </c>
      <c r="E3" s="8">
        <v>30</v>
      </c>
      <c r="F3" s="13">
        <f>E3*G3</f>
        <v>51237.744634710747</v>
      </c>
      <c r="G3" s="1">
        <v>1707.924821157025</v>
      </c>
      <c r="H3" s="28">
        <v>2996.5540987200002</v>
      </c>
    </row>
    <row r="4" spans="1:8" x14ac:dyDescent="0.35">
      <c r="A4" s="27">
        <v>100021652</v>
      </c>
      <c r="B4" s="5" t="s">
        <v>8</v>
      </c>
      <c r="C4" s="6">
        <v>7790360026576</v>
      </c>
      <c r="D4" s="7">
        <v>5.76</v>
      </c>
      <c r="E4" s="8">
        <v>18</v>
      </c>
      <c r="F4" s="13">
        <f t="shared" ref="F4:F50" si="0">E4*G4</f>
        <v>67813.98630247933</v>
      </c>
      <c r="G4" s="1">
        <v>3767.4436834710737</v>
      </c>
      <c r="H4" s="28">
        <v>6609.9799426499985</v>
      </c>
    </row>
    <row r="5" spans="1:8" x14ac:dyDescent="0.35">
      <c r="A5" s="27">
        <v>100021631</v>
      </c>
      <c r="B5" s="5" t="s">
        <v>9</v>
      </c>
      <c r="C5" s="6">
        <v>7790360026590</v>
      </c>
      <c r="D5" s="7">
        <v>7.68</v>
      </c>
      <c r="E5" s="8">
        <v>8</v>
      </c>
      <c r="F5" s="13">
        <f t="shared" si="0"/>
        <v>90423.375534610605</v>
      </c>
      <c r="G5" s="1">
        <v>11302.921941826326</v>
      </c>
      <c r="H5" s="28">
        <v>19830.976546934286</v>
      </c>
    </row>
    <row r="6" spans="1:8" x14ac:dyDescent="0.35">
      <c r="A6" s="27">
        <v>100021630</v>
      </c>
      <c r="B6" s="5" t="s">
        <v>10</v>
      </c>
      <c r="C6" s="6">
        <v>7790360026583</v>
      </c>
      <c r="D6" s="7">
        <v>9.6</v>
      </c>
      <c r="E6" s="8">
        <v>6</v>
      </c>
      <c r="F6" s="13">
        <f t="shared" si="0"/>
        <v>112827.74130878333</v>
      </c>
      <c r="G6" s="1">
        <v>18804.623551463887</v>
      </c>
      <c r="H6" s="28">
        <v>32992.712021043386</v>
      </c>
    </row>
    <row r="7" spans="1:8" x14ac:dyDescent="0.35">
      <c r="A7" s="29">
        <v>100021653</v>
      </c>
      <c r="B7" s="9" t="s">
        <v>11</v>
      </c>
      <c r="C7" s="6">
        <v>7790360026682</v>
      </c>
      <c r="D7" s="7">
        <v>5.76</v>
      </c>
      <c r="E7" s="8">
        <v>18</v>
      </c>
      <c r="F7" s="13">
        <f t="shared" si="0"/>
        <v>71317.889598015987</v>
      </c>
      <c r="G7" s="1">
        <v>3962.104977667555</v>
      </c>
      <c r="H7" s="28">
        <v>6951.5131833177247</v>
      </c>
    </row>
    <row r="8" spans="1:8" x14ac:dyDescent="0.35">
      <c r="A8" s="27">
        <v>100516169</v>
      </c>
      <c r="B8" s="5" t="s">
        <v>12</v>
      </c>
      <c r="C8" s="10">
        <v>7790360967961</v>
      </c>
      <c r="D8" s="7">
        <v>5.76</v>
      </c>
      <c r="E8" s="8">
        <v>18</v>
      </c>
      <c r="F8" s="13">
        <f t="shared" si="0"/>
        <v>73124.918842489031</v>
      </c>
      <c r="G8" s="1">
        <v>4062.4954912493909</v>
      </c>
      <c r="H8" s="28">
        <v>7127.6483393970557</v>
      </c>
    </row>
    <row r="9" spans="1:8" x14ac:dyDescent="0.35">
      <c r="A9" s="29">
        <v>100520337</v>
      </c>
      <c r="B9" s="9" t="s">
        <v>13</v>
      </c>
      <c r="C9" s="6">
        <v>7790360977960</v>
      </c>
      <c r="D9" s="7">
        <v>4.8</v>
      </c>
      <c r="E9" s="8">
        <v>30</v>
      </c>
      <c r="F9" s="13">
        <f t="shared" si="0"/>
        <v>40090.909090909096</v>
      </c>
      <c r="G9" s="1">
        <v>1336.3636363636365</v>
      </c>
      <c r="H9" s="28">
        <v>2344.65</v>
      </c>
    </row>
    <row r="10" spans="1:8" x14ac:dyDescent="0.35">
      <c r="A10" s="29">
        <v>100021503</v>
      </c>
      <c r="B10" s="9" t="s">
        <v>14</v>
      </c>
      <c r="C10" s="18">
        <v>7790360966841</v>
      </c>
      <c r="D10" s="19">
        <v>3.3119999999999998</v>
      </c>
      <c r="E10" s="20">
        <v>12</v>
      </c>
      <c r="F10" s="13">
        <f t="shared" si="0"/>
        <v>27581.007267063997</v>
      </c>
      <c r="G10" s="1">
        <v>2298.417272255333</v>
      </c>
      <c r="H10" s="28">
        <v>4032.5731041719819</v>
      </c>
    </row>
    <row r="11" spans="1:8" x14ac:dyDescent="0.35">
      <c r="A11" s="29">
        <v>100021643</v>
      </c>
      <c r="B11" s="9" t="s">
        <v>15</v>
      </c>
      <c r="C11" s="18">
        <v>7790360966797</v>
      </c>
      <c r="D11" s="19">
        <v>4.7039999999999997</v>
      </c>
      <c r="E11" s="20">
        <v>42</v>
      </c>
      <c r="F11" s="13">
        <f t="shared" si="0"/>
        <v>38305.889911250197</v>
      </c>
      <c r="G11" s="1">
        <v>912.04499788690941</v>
      </c>
      <c r="H11" s="28">
        <v>1600.1829487925825</v>
      </c>
    </row>
    <row r="12" spans="1:8" x14ac:dyDescent="0.35">
      <c r="A12" s="29">
        <v>100516325</v>
      </c>
      <c r="B12" s="9" t="s">
        <v>16</v>
      </c>
      <c r="C12" s="6">
        <v>7790360967763</v>
      </c>
      <c r="D12" s="7">
        <v>4.7039999999999997</v>
      </c>
      <c r="E12" s="8">
        <v>21</v>
      </c>
      <c r="F12" s="13">
        <f t="shared" si="0"/>
        <v>36212.672864268548</v>
      </c>
      <c r="G12" s="1">
        <v>1724.4129935365977</v>
      </c>
      <c r="H12" s="28">
        <v>3025.4825971599607</v>
      </c>
    </row>
    <row r="13" spans="1:8" x14ac:dyDescent="0.35">
      <c r="A13" s="29">
        <v>100516201</v>
      </c>
      <c r="B13" s="9" t="s">
        <v>17</v>
      </c>
      <c r="C13" s="18">
        <v>7790360968548</v>
      </c>
      <c r="D13" s="19">
        <v>6.6239999999999997</v>
      </c>
      <c r="E13" s="20">
        <v>8</v>
      </c>
      <c r="F13" s="13">
        <f t="shared" si="0"/>
        <v>59298.900396879821</v>
      </c>
      <c r="G13" s="1">
        <v>7412.3625496099776</v>
      </c>
      <c r="H13" s="28">
        <v>13004.990093290704</v>
      </c>
    </row>
    <row r="14" spans="1:8" x14ac:dyDescent="0.35">
      <c r="A14" s="29">
        <v>100021676</v>
      </c>
      <c r="B14" s="5" t="s">
        <v>18</v>
      </c>
      <c r="C14" s="6">
        <v>7790360967411</v>
      </c>
      <c r="D14" s="19">
        <v>7.5</v>
      </c>
      <c r="E14" s="20">
        <v>30</v>
      </c>
      <c r="F14" s="13">
        <f t="shared" si="0"/>
        <v>87681.043609958695</v>
      </c>
      <c r="G14" s="1">
        <v>2922.7014536652896</v>
      </c>
      <c r="H14" s="28">
        <v>5127.87970045575</v>
      </c>
    </row>
    <row r="15" spans="1:8" x14ac:dyDescent="0.35">
      <c r="A15" s="29">
        <v>100516008</v>
      </c>
      <c r="B15" s="5" t="s">
        <v>19</v>
      </c>
      <c r="C15" s="6">
        <v>7790360967701</v>
      </c>
      <c r="D15" s="19">
        <v>5.76</v>
      </c>
      <c r="E15" s="20">
        <v>24</v>
      </c>
      <c r="F15" s="13">
        <f t="shared" si="0"/>
        <v>71656.126006328006</v>
      </c>
      <c r="G15" s="1">
        <v>2985.6719169303333</v>
      </c>
      <c r="H15" s="28">
        <v>5238.3613782542689</v>
      </c>
    </row>
    <row r="16" spans="1:8" x14ac:dyDescent="0.35">
      <c r="A16" s="29">
        <v>100520834</v>
      </c>
      <c r="B16" s="5" t="s">
        <v>20</v>
      </c>
      <c r="C16" s="6">
        <v>7790360980618</v>
      </c>
      <c r="D16" s="19">
        <v>6.66</v>
      </c>
      <c r="E16" s="20">
        <v>36</v>
      </c>
      <c r="F16" s="13">
        <f t="shared" si="0"/>
        <v>77367.209551808206</v>
      </c>
      <c r="G16" s="1">
        <v>2149.0891542168947</v>
      </c>
      <c r="H16" s="28">
        <v>3770.5769210735416</v>
      </c>
    </row>
    <row r="17" spans="1:8" x14ac:dyDescent="0.35">
      <c r="A17" s="29">
        <v>100021644</v>
      </c>
      <c r="B17" s="9" t="s">
        <v>21</v>
      </c>
      <c r="C17" s="6">
        <v>7790360008541</v>
      </c>
      <c r="D17" s="7">
        <v>4.7039999999999997</v>
      </c>
      <c r="E17" s="8">
        <v>42</v>
      </c>
      <c r="F17" s="13">
        <f t="shared" si="0"/>
        <v>30124.820321027688</v>
      </c>
      <c r="G17" s="1">
        <v>717.25762669113544</v>
      </c>
      <c r="H17" s="28">
        <v>1258.428506029597</v>
      </c>
    </row>
    <row r="18" spans="1:8" x14ac:dyDescent="0.35">
      <c r="A18" s="29">
        <v>100021677</v>
      </c>
      <c r="B18" s="9" t="s">
        <v>22</v>
      </c>
      <c r="C18" s="6">
        <v>7790360967404</v>
      </c>
      <c r="D18" s="7">
        <v>3.3119999999999998</v>
      </c>
      <c r="E18" s="8">
        <v>12</v>
      </c>
      <c r="F18" s="13">
        <f t="shared" si="0"/>
        <v>24129.103655192084</v>
      </c>
      <c r="G18" s="1">
        <v>2010.7586379326738</v>
      </c>
      <c r="H18" s="28">
        <v>3527.8760302528758</v>
      </c>
    </row>
    <row r="19" spans="1:8" x14ac:dyDescent="0.35">
      <c r="A19" s="25"/>
      <c r="B19" s="4"/>
      <c r="C19" s="3"/>
      <c r="D19" s="4"/>
      <c r="E19" s="11"/>
      <c r="F19" s="12">
        <f t="shared" si="0"/>
        <v>0</v>
      </c>
      <c r="G19" s="11"/>
      <c r="H19" s="30"/>
    </row>
    <row r="20" spans="1:8" x14ac:dyDescent="0.35">
      <c r="A20" s="29">
        <v>100522204</v>
      </c>
      <c r="B20" s="9" t="s">
        <v>23</v>
      </c>
      <c r="C20" s="6">
        <v>7790360000132</v>
      </c>
      <c r="D20" s="7">
        <v>5.4</v>
      </c>
      <c r="E20" s="8">
        <v>24</v>
      </c>
      <c r="F20" s="1">
        <f t="shared" si="0"/>
        <v>27251.918011239672</v>
      </c>
      <c r="G20" s="2">
        <v>1135.4965838016531</v>
      </c>
      <c r="H20" s="28">
        <v>1992.2287562800002</v>
      </c>
    </row>
    <row r="21" spans="1:8" x14ac:dyDescent="0.35">
      <c r="A21" s="29">
        <v>100522205</v>
      </c>
      <c r="B21" s="9" t="s">
        <v>58</v>
      </c>
      <c r="C21" s="6">
        <v>7790360024541</v>
      </c>
      <c r="D21" s="7">
        <v>5.4</v>
      </c>
      <c r="E21" s="8">
        <v>12</v>
      </c>
      <c r="F21" s="1">
        <f t="shared" si="0"/>
        <v>28149.746776859509</v>
      </c>
      <c r="G21" s="2">
        <v>2345.8122314049592</v>
      </c>
      <c r="H21" s="28">
        <v>4115.7275600000003</v>
      </c>
    </row>
    <row r="22" spans="1:8" x14ac:dyDescent="0.35">
      <c r="A22" s="29">
        <v>100516849</v>
      </c>
      <c r="B22" s="9" t="s">
        <v>24</v>
      </c>
      <c r="C22" s="6">
        <v>7790360970053</v>
      </c>
      <c r="D22" s="7">
        <v>4.5599999990400004</v>
      </c>
      <c r="E22" s="8">
        <v>24</v>
      </c>
      <c r="F22" s="1">
        <f t="shared" si="0"/>
        <v>23164.130309553715</v>
      </c>
      <c r="G22" s="2">
        <v>965.17209623140479</v>
      </c>
      <c r="H22" s="28">
        <v>1693.3944428379996</v>
      </c>
    </row>
    <row r="23" spans="1:8" x14ac:dyDescent="0.35">
      <c r="A23" s="29">
        <v>100522206</v>
      </c>
      <c r="B23" s="9" t="s">
        <v>25</v>
      </c>
      <c r="C23" s="6">
        <v>7790360007063</v>
      </c>
      <c r="D23" s="7">
        <v>8.6999999999999993</v>
      </c>
      <c r="E23" s="8">
        <v>10</v>
      </c>
      <c r="F23" s="1">
        <f t="shared" si="0"/>
        <v>54747.40013664485</v>
      </c>
      <c r="G23" s="2">
        <v>5474.7400136644846</v>
      </c>
      <c r="H23" s="28">
        <v>9605.431353974338</v>
      </c>
    </row>
    <row r="24" spans="1:8" x14ac:dyDescent="0.35">
      <c r="A24" s="29">
        <v>100022058</v>
      </c>
      <c r="B24" s="9" t="s">
        <v>26</v>
      </c>
      <c r="C24" s="6">
        <v>7790360026002</v>
      </c>
      <c r="D24" s="7">
        <v>4.5599999990400004</v>
      </c>
      <c r="E24" s="8">
        <v>24</v>
      </c>
      <c r="F24" s="1">
        <f t="shared" si="0"/>
        <v>21506.164736423139</v>
      </c>
      <c r="G24" s="2">
        <v>896.0901973509641</v>
      </c>
      <c r="H24" s="28">
        <v>1572.1902512522665</v>
      </c>
    </row>
    <row r="25" spans="1:8" x14ac:dyDescent="0.35">
      <c r="A25" s="25"/>
      <c r="B25" s="4"/>
      <c r="C25" s="3"/>
      <c r="D25" s="4"/>
      <c r="E25" s="11"/>
      <c r="F25" s="12">
        <f t="shared" si="0"/>
        <v>0</v>
      </c>
      <c r="G25" s="11"/>
      <c r="H25" s="30"/>
    </row>
    <row r="26" spans="1:8" x14ac:dyDescent="0.35">
      <c r="A26" s="29">
        <v>100516217</v>
      </c>
      <c r="B26" s="9" t="s">
        <v>54</v>
      </c>
      <c r="C26" s="6">
        <v>7790360967824</v>
      </c>
      <c r="D26" s="7">
        <v>5.8</v>
      </c>
      <c r="E26" s="8">
        <v>20</v>
      </c>
      <c r="F26" s="1">
        <f t="shared" si="0"/>
        <v>32730.745602853789</v>
      </c>
      <c r="G26" s="2">
        <v>1636.5372801426895</v>
      </c>
      <c r="H26" s="28">
        <v>2871.3046580103487</v>
      </c>
    </row>
    <row r="27" spans="1:8" x14ac:dyDescent="0.35">
      <c r="A27" s="29">
        <v>100516214</v>
      </c>
      <c r="B27" s="9" t="s">
        <v>27</v>
      </c>
      <c r="C27" s="6">
        <v>7790360967794</v>
      </c>
      <c r="D27" s="7">
        <v>7</v>
      </c>
      <c r="E27" s="8">
        <v>20</v>
      </c>
      <c r="F27" s="1">
        <f t="shared" si="0"/>
        <v>47024.203498614515</v>
      </c>
      <c r="G27" s="2">
        <v>2351.2101749307258</v>
      </c>
      <c r="H27" s="28">
        <v>4125.1982519159583</v>
      </c>
    </row>
    <row r="28" spans="1:8" x14ac:dyDescent="0.35">
      <c r="A28" s="29">
        <v>100516215</v>
      </c>
      <c r="B28" s="9" t="s">
        <v>28</v>
      </c>
      <c r="C28" s="6">
        <v>7790360967800</v>
      </c>
      <c r="D28" s="7">
        <v>7</v>
      </c>
      <c r="E28" s="8">
        <v>20</v>
      </c>
      <c r="F28" s="1">
        <f t="shared" si="0"/>
        <v>47024.203498614515</v>
      </c>
      <c r="G28" s="2">
        <v>2351.2101749307258</v>
      </c>
      <c r="H28" s="28">
        <v>4125.1982519159583</v>
      </c>
    </row>
    <row r="29" spans="1:8" x14ac:dyDescent="0.35">
      <c r="A29" s="29">
        <v>100516216</v>
      </c>
      <c r="B29" s="9" t="s">
        <v>29</v>
      </c>
      <c r="C29" s="6">
        <v>7790360967817</v>
      </c>
      <c r="D29" s="7">
        <v>7</v>
      </c>
      <c r="E29" s="8">
        <v>20</v>
      </c>
      <c r="F29" s="1">
        <f t="shared" si="0"/>
        <v>47024.203498614515</v>
      </c>
      <c r="G29" s="2">
        <v>2351.2101749307258</v>
      </c>
      <c r="H29" s="28">
        <v>4125.1982519159583</v>
      </c>
    </row>
    <row r="30" spans="1:8" x14ac:dyDescent="0.35">
      <c r="A30" s="25"/>
      <c r="B30" s="4"/>
      <c r="C30" s="3"/>
      <c r="D30" s="4"/>
      <c r="E30" s="11"/>
      <c r="F30" s="12">
        <f t="shared" si="0"/>
        <v>0</v>
      </c>
      <c r="G30" s="11"/>
      <c r="H30" s="30"/>
    </row>
    <row r="31" spans="1:8" x14ac:dyDescent="0.35">
      <c r="A31" s="29">
        <v>100021704</v>
      </c>
      <c r="B31" s="9" t="s">
        <v>30</v>
      </c>
      <c r="C31" s="6">
        <v>7790360023902</v>
      </c>
      <c r="D31" s="7">
        <v>4.5600000000000005</v>
      </c>
      <c r="E31" s="8">
        <v>12</v>
      </c>
      <c r="F31" s="1">
        <f t="shared" si="0"/>
        <v>47322.937861109465</v>
      </c>
      <c r="G31" s="2">
        <v>3943.5781550924553</v>
      </c>
      <c r="H31" s="28">
        <v>6919.0078731097119</v>
      </c>
    </row>
    <row r="32" spans="1:8" x14ac:dyDescent="0.35">
      <c r="A32" s="29">
        <v>100021705</v>
      </c>
      <c r="B32" s="9" t="s">
        <v>31</v>
      </c>
      <c r="C32" s="6">
        <v>7790360024336</v>
      </c>
      <c r="D32" s="7">
        <v>4.5600000000000005</v>
      </c>
      <c r="E32" s="8">
        <v>12</v>
      </c>
      <c r="F32" s="1">
        <f t="shared" si="0"/>
        <v>43020.852601008606</v>
      </c>
      <c r="G32" s="2">
        <v>3585.0710500840505</v>
      </c>
      <c r="H32" s="28">
        <v>6290.0071573724663</v>
      </c>
    </row>
    <row r="33" spans="1:9" x14ac:dyDescent="0.35">
      <c r="A33" s="29">
        <v>100021709</v>
      </c>
      <c r="B33" s="9" t="s">
        <v>32</v>
      </c>
      <c r="C33" s="6">
        <v>7790360024701</v>
      </c>
      <c r="D33" s="7">
        <v>7.6</v>
      </c>
      <c r="E33" s="8">
        <v>10</v>
      </c>
      <c r="F33" s="1">
        <f t="shared" si="0"/>
        <v>69372.868907745273</v>
      </c>
      <c r="G33" s="2">
        <v>6937.2868907745278</v>
      </c>
      <c r="H33" s="28">
        <v>12171.469849863908</v>
      </c>
      <c r="I33" s="32" t="s">
        <v>60</v>
      </c>
    </row>
    <row r="34" spans="1:9" x14ac:dyDescent="0.35">
      <c r="A34" s="29">
        <v>100521357</v>
      </c>
      <c r="B34" s="9" t="s">
        <v>51</v>
      </c>
      <c r="C34" s="6">
        <v>7790360982018</v>
      </c>
      <c r="D34" s="7">
        <v>4.5599999999999996</v>
      </c>
      <c r="E34" s="8">
        <v>12</v>
      </c>
      <c r="F34" s="1">
        <f t="shared" si="0"/>
        <v>36320.543513100012</v>
      </c>
      <c r="G34" s="2">
        <v>3026.7119594250007</v>
      </c>
      <c r="H34" s="28">
        <v>5310.3661328111639</v>
      </c>
    </row>
    <row r="35" spans="1:9" x14ac:dyDescent="0.35">
      <c r="A35" s="29">
        <v>100521358</v>
      </c>
      <c r="B35" s="9" t="s">
        <v>59</v>
      </c>
      <c r="C35" s="6">
        <v>7790360982025</v>
      </c>
      <c r="D35" s="7">
        <v>7.6</v>
      </c>
      <c r="E35" s="8">
        <v>10</v>
      </c>
      <c r="F35" s="1">
        <f t="shared" si="0"/>
        <v>53444.161136520008</v>
      </c>
      <c r="G35" s="2">
        <v>5344.4161136520006</v>
      </c>
      <c r="H35" s="28">
        <v>9376.7780714024357</v>
      </c>
    </row>
    <row r="36" spans="1:9" x14ac:dyDescent="0.35">
      <c r="A36" s="34">
        <v>100522130</v>
      </c>
      <c r="B36" s="35" t="s">
        <v>52</v>
      </c>
      <c r="C36" s="36">
        <v>7790360982445</v>
      </c>
      <c r="D36" s="37">
        <v>4.8</v>
      </c>
      <c r="E36" s="38">
        <v>12</v>
      </c>
      <c r="F36" s="1">
        <f t="shared" si="0"/>
        <v>32437.661976950858</v>
      </c>
      <c r="G36" s="2">
        <v>2703.1384980792382</v>
      </c>
      <c r="H36" s="28">
        <v>4742.6564948800233</v>
      </c>
    </row>
    <row r="37" spans="1:9" x14ac:dyDescent="0.35">
      <c r="A37" s="29">
        <v>100021725</v>
      </c>
      <c r="B37" s="9" t="s">
        <v>56</v>
      </c>
      <c r="C37" s="6">
        <v>7790360027009</v>
      </c>
      <c r="D37" s="7">
        <v>6</v>
      </c>
      <c r="E37" s="8">
        <v>4</v>
      </c>
      <c r="F37" s="1">
        <f t="shared" si="0"/>
        <v>35997.989095330391</v>
      </c>
      <c r="G37" s="2">
        <v>8999.4972738325978</v>
      </c>
      <c r="H37" s="28">
        <v>15789.617966939291</v>
      </c>
    </row>
    <row r="38" spans="1:9" x14ac:dyDescent="0.35">
      <c r="A38" s="29">
        <v>100517055</v>
      </c>
      <c r="B38" s="9" t="s">
        <v>33</v>
      </c>
      <c r="C38" s="6">
        <v>7790360971135</v>
      </c>
      <c r="D38" s="7">
        <v>3.12</v>
      </c>
      <c r="E38" s="8">
        <v>12</v>
      </c>
      <c r="F38" s="1">
        <f t="shared" si="0"/>
        <v>28163.61935175398</v>
      </c>
      <c r="G38" s="2">
        <v>2346.9682793128318</v>
      </c>
      <c r="H38" s="28">
        <v>4117.7558460543632</v>
      </c>
    </row>
    <row r="39" spans="1:9" x14ac:dyDescent="0.35">
      <c r="A39" s="29">
        <v>100517186</v>
      </c>
      <c r="B39" s="9" t="s">
        <v>34</v>
      </c>
      <c r="C39" s="6">
        <v>7790360971395</v>
      </c>
      <c r="D39" s="7">
        <v>8</v>
      </c>
      <c r="E39" s="8">
        <v>8</v>
      </c>
      <c r="F39" s="1">
        <f t="shared" si="0"/>
        <v>57679.307012349091</v>
      </c>
      <c r="G39" s="2">
        <v>7209.9133765436363</v>
      </c>
      <c r="H39" s="28">
        <v>12649.793019145809</v>
      </c>
    </row>
    <row r="40" spans="1:9" x14ac:dyDescent="0.35">
      <c r="A40" s="29">
        <v>100521663</v>
      </c>
      <c r="B40" s="9" t="s">
        <v>53</v>
      </c>
      <c r="C40" s="6">
        <v>7790360982537</v>
      </c>
      <c r="D40" s="7">
        <v>4.8</v>
      </c>
      <c r="E40" s="8">
        <v>12</v>
      </c>
      <c r="F40" s="1">
        <f t="shared" si="0"/>
        <v>36446.280991735533</v>
      </c>
      <c r="G40" s="2">
        <v>3037.1900826446281</v>
      </c>
      <c r="H40" s="28">
        <v>5328.75</v>
      </c>
    </row>
    <row r="41" spans="1:9" x14ac:dyDescent="0.35">
      <c r="A41" s="29">
        <v>100021728</v>
      </c>
      <c r="B41" s="9" t="s">
        <v>35</v>
      </c>
      <c r="C41" s="6">
        <v>7790360967558</v>
      </c>
      <c r="D41" s="7">
        <v>3.84</v>
      </c>
      <c r="E41" s="8">
        <v>12</v>
      </c>
      <c r="F41" s="1">
        <f t="shared" si="0"/>
        <v>40280.027359810978</v>
      </c>
      <c r="G41" s="2">
        <v>3356.6689466509147</v>
      </c>
      <c r="H41" s="28">
        <v>5889.2756668990296</v>
      </c>
    </row>
    <row r="42" spans="1:9" x14ac:dyDescent="0.35">
      <c r="A42" s="25"/>
      <c r="B42" s="4"/>
      <c r="C42" s="3"/>
      <c r="D42" s="4"/>
      <c r="E42" s="11"/>
      <c r="F42" s="12">
        <f t="shared" si="0"/>
        <v>0</v>
      </c>
      <c r="G42" s="11"/>
      <c r="H42" s="30"/>
    </row>
    <row r="43" spans="1:9" x14ac:dyDescent="0.35">
      <c r="A43" s="29">
        <v>100518158</v>
      </c>
      <c r="B43" s="9" t="s">
        <v>36</v>
      </c>
      <c r="C43" s="6">
        <v>7790360974280</v>
      </c>
      <c r="D43" s="7">
        <v>12</v>
      </c>
      <c r="E43" s="8">
        <v>24</v>
      </c>
      <c r="F43" s="1">
        <f t="shared" si="0"/>
        <v>89380.165289256198</v>
      </c>
      <c r="G43" s="2">
        <v>3724.1735537190084</v>
      </c>
      <c r="H43" s="28">
        <v>6534.0625</v>
      </c>
    </row>
    <row r="44" spans="1:9" x14ac:dyDescent="0.35">
      <c r="A44" s="29">
        <v>100518160</v>
      </c>
      <c r="B44" s="9" t="s">
        <v>37</v>
      </c>
      <c r="C44" s="6">
        <v>7790360974686</v>
      </c>
      <c r="D44" s="7">
        <v>12</v>
      </c>
      <c r="E44" s="8">
        <v>12</v>
      </c>
      <c r="F44" s="1">
        <f t="shared" si="0"/>
        <v>89380.165289256198</v>
      </c>
      <c r="G44" s="2">
        <v>7448.3471074380168</v>
      </c>
      <c r="H44" s="28">
        <v>13068.125</v>
      </c>
    </row>
    <row r="45" spans="1:9" x14ac:dyDescent="0.35">
      <c r="A45" s="25"/>
      <c r="B45" s="4"/>
      <c r="C45" s="3"/>
      <c r="D45" s="4"/>
      <c r="E45" s="11"/>
      <c r="F45" s="12">
        <f t="shared" si="0"/>
        <v>0</v>
      </c>
      <c r="G45" s="11"/>
      <c r="H45" s="30"/>
    </row>
    <row r="46" spans="1:9" x14ac:dyDescent="0.35">
      <c r="A46" s="29">
        <v>100518291</v>
      </c>
      <c r="B46" s="9" t="s">
        <v>38</v>
      </c>
      <c r="C46" s="6">
        <v>7790360975195</v>
      </c>
      <c r="D46" s="7">
        <v>5</v>
      </c>
      <c r="E46" s="8">
        <v>10</v>
      </c>
      <c r="F46" s="1">
        <f t="shared" si="0"/>
        <v>17366.158336265067</v>
      </c>
      <c r="G46" s="2">
        <v>1736.6158336265069</v>
      </c>
      <c r="H46" s="28">
        <v>2836.7619642288992</v>
      </c>
    </row>
    <row r="47" spans="1:9" x14ac:dyDescent="0.35">
      <c r="A47" s="29">
        <v>100518292</v>
      </c>
      <c r="B47" s="9" t="s">
        <v>39</v>
      </c>
      <c r="C47" s="6">
        <v>7790360975201</v>
      </c>
      <c r="D47" s="7">
        <v>12</v>
      </c>
      <c r="E47" s="8">
        <v>12</v>
      </c>
      <c r="F47" s="1">
        <f t="shared" si="0"/>
        <v>41636.038601246939</v>
      </c>
      <c r="G47" s="2">
        <v>3469.6698834372451</v>
      </c>
      <c r="H47" s="28">
        <v>5667.70575459474</v>
      </c>
    </row>
    <row r="48" spans="1:9" x14ac:dyDescent="0.35">
      <c r="A48" s="25"/>
      <c r="B48" s="4"/>
      <c r="C48" s="3"/>
      <c r="D48" s="4"/>
      <c r="E48" s="11"/>
      <c r="F48" s="12"/>
      <c r="G48" s="11"/>
      <c r="H48" s="30"/>
    </row>
    <row r="49" spans="1:11" x14ac:dyDescent="0.35">
      <c r="A49" s="31">
        <v>100517915</v>
      </c>
      <c r="B49" s="16" t="s">
        <v>40</v>
      </c>
      <c r="C49" s="17">
        <v>7790360974020</v>
      </c>
      <c r="D49" s="14">
        <v>18</v>
      </c>
      <c r="E49" s="14">
        <v>36</v>
      </c>
      <c r="F49" s="1">
        <f t="shared" si="0"/>
        <v>213066.56355091862</v>
      </c>
      <c r="G49" s="2">
        <v>5918.5156541921842</v>
      </c>
      <c r="H49" s="28">
        <v>9155.9437170353085</v>
      </c>
    </row>
    <row r="50" spans="1:11" x14ac:dyDescent="0.35">
      <c r="A50" s="31">
        <v>100517914</v>
      </c>
      <c r="B50" s="16" t="s">
        <v>41</v>
      </c>
      <c r="C50" s="17">
        <v>7790360974037</v>
      </c>
      <c r="D50" s="14">
        <v>20</v>
      </c>
      <c r="E50" s="14">
        <v>20</v>
      </c>
      <c r="F50" s="1">
        <f t="shared" si="0"/>
        <v>228197.35842300259</v>
      </c>
      <c r="G50" s="2">
        <v>11409.867921150129</v>
      </c>
      <c r="H50" s="28">
        <v>17651.065674019246</v>
      </c>
    </row>
    <row r="51" spans="1:11" x14ac:dyDescent="0.35">
      <c r="A51" s="25"/>
      <c r="B51" s="4"/>
      <c r="C51" s="3"/>
      <c r="D51" s="4"/>
      <c r="E51" s="11"/>
      <c r="F51" s="12"/>
      <c r="G51" s="11"/>
      <c r="H51" s="30"/>
    </row>
    <row r="52" spans="1:11" x14ac:dyDescent="0.35">
      <c r="A52" s="29">
        <v>100520837</v>
      </c>
      <c r="B52" s="9" t="s">
        <v>42</v>
      </c>
      <c r="C52" s="6">
        <v>7790360980625</v>
      </c>
      <c r="D52" s="14">
        <v>4.8</v>
      </c>
      <c r="E52" s="14">
        <v>12</v>
      </c>
      <c r="F52" s="1">
        <f t="shared" ref="F52:F61" si="1">E52*G52</f>
        <v>43536.985087289635</v>
      </c>
      <c r="G52" s="2">
        <v>3628.0820906074696</v>
      </c>
      <c r="H52" s="28">
        <v>6145.9710614890528</v>
      </c>
    </row>
    <row r="53" spans="1:11" x14ac:dyDescent="0.35">
      <c r="A53" s="29">
        <v>100522395</v>
      </c>
      <c r="B53" s="9" t="s">
        <v>55</v>
      </c>
      <c r="C53" s="6">
        <v>7790360985101</v>
      </c>
      <c r="D53" s="14">
        <v>4.8</v>
      </c>
      <c r="E53" s="14">
        <v>12</v>
      </c>
      <c r="F53" s="1">
        <v>44407.718451200002</v>
      </c>
      <c r="G53" s="2">
        <f>F53/12</f>
        <v>3700.643204266667</v>
      </c>
      <c r="H53" s="28">
        <v>6268.8895880277323</v>
      </c>
      <c r="K53" s="33"/>
    </row>
    <row r="54" spans="1:11" x14ac:dyDescent="0.35">
      <c r="A54" s="25"/>
      <c r="B54" s="4"/>
      <c r="C54" s="3"/>
      <c r="D54" s="4"/>
      <c r="E54" s="11"/>
      <c r="F54" s="12">
        <f t="shared" si="1"/>
        <v>0</v>
      </c>
      <c r="G54" s="11"/>
      <c r="H54" s="30"/>
    </row>
    <row r="55" spans="1:11" x14ac:dyDescent="0.35">
      <c r="A55" s="29">
        <v>100520902</v>
      </c>
      <c r="B55" s="9" t="s">
        <v>43</v>
      </c>
      <c r="C55" s="6">
        <v>7790360981042</v>
      </c>
      <c r="D55" s="15">
        <v>9.8000000000000007</v>
      </c>
      <c r="E55" s="8">
        <v>14</v>
      </c>
      <c r="F55" s="1">
        <f t="shared" si="1"/>
        <v>38296.360648199327</v>
      </c>
      <c r="G55" s="2">
        <v>2735.4543320142375</v>
      </c>
      <c r="H55" s="28">
        <v>4799.3546255189794</v>
      </c>
    </row>
    <row r="56" spans="1:11" x14ac:dyDescent="0.35">
      <c r="A56" s="29">
        <v>100522698</v>
      </c>
      <c r="B56" s="9" t="s">
        <v>57</v>
      </c>
      <c r="C56" s="6">
        <v>7790360986511</v>
      </c>
      <c r="D56" s="15">
        <v>14</v>
      </c>
      <c r="E56" s="8">
        <v>7</v>
      </c>
      <c r="F56" s="1">
        <f t="shared" si="1"/>
        <v>55858.06657368</v>
      </c>
      <c r="G56" s="2">
        <v>7979.7237962399995</v>
      </c>
      <c r="H56" s="28">
        <v>14000.425400503078</v>
      </c>
      <c r="I56" s="32" t="s">
        <v>60</v>
      </c>
    </row>
    <row r="57" spans="1:11" x14ac:dyDescent="0.35">
      <c r="A57" s="25"/>
      <c r="B57" s="4"/>
      <c r="C57" s="3"/>
      <c r="D57" s="4"/>
      <c r="E57" s="11"/>
      <c r="F57" s="12">
        <f t="shared" si="1"/>
        <v>0</v>
      </c>
      <c r="G57" s="11"/>
      <c r="H57" s="30"/>
    </row>
    <row r="58" spans="1:11" x14ac:dyDescent="0.35">
      <c r="A58" s="29">
        <v>100521457</v>
      </c>
      <c r="B58" s="9" t="s">
        <v>47</v>
      </c>
      <c r="C58" s="6">
        <v>7790360982254</v>
      </c>
      <c r="D58" s="15">
        <v>4.8</v>
      </c>
      <c r="E58" s="8">
        <v>16</v>
      </c>
      <c r="F58" s="1">
        <f t="shared" si="1"/>
        <v>43419.224537306502</v>
      </c>
      <c r="G58" s="2">
        <v>2713.7015335816563</v>
      </c>
      <c r="H58" s="28">
        <v>4761.1893406690151</v>
      </c>
    </row>
    <row r="59" spans="1:11" x14ac:dyDescent="0.35">
      <c r="A59" s="29">
        <v>100521455</v>
      </c>
      <c r="B59" s="9" t="s">
        <v>48</v>
      </c>
      <c r="C59" s="6">
        <v>7790360982247</v>
      </c>
      <c r="D59" s="15">
        <v>4.8</v>
      </c>
      <c r="E59" s="8">
        <v>16</v>
      </c>
      <c r="F59" s="1">
        <f t="shared" si="1"/>
        <v>43419.224537306502</v>
      </c>
      <c r="G59" s="2">
        <v>2713.7015335816563</v>
      </c>
      <c r="H59" s="28">
        <v>4761.1893406690151</v>
      </c>
    </row>
    <row r="60" spans="1:11" x14ac:dyDescent="0.35">
      <c r="A60" s="29">
        <v>100521453</v>
      </c>
      <c r="B60" s="9" t="s">
        <v>49</v>
      </c>
      <c r="C60" s="6">
        <v>7790360982223</v>
      </c>
      <c r="D60" s="15">
        <v>5.4</v>
      </c>
      <c r="E60" s="8">
        <v>18</v>
      </c>
      <c r="F60" s="1">
        <f t="shared" si="1"/>
        <v>41926.688693836586</v>
      </c>
      <c r="G60" s="2">
        <v>2329.2604829909214</v>
      </c>
      <c r="H60" s="28">
        <v>4086.6875174075712</v>
      </c>
    </row>
    <row r="61" spans="1:11" x14ac:dyDescent="0.35">
      <c r="A61" s="29">
        <v>100521454</v>
      </c>
      <c r="B61" s="9" t="s">
        <v>50</v>
      </c>
      <c r="C61" s="6">
        <v>7790360982230</v>
      </c>
      <c r="D61" s="15">
        <v>5.3999999999999995</v>
      </c>
      <c r="E61" s="8">
        <v>18</v>
      </c>
      <c r="F61" s="1">
        <f t="shared" si="1"/>
        <v>41926.688693836586</v>
      </c>
      <c r="G61" s="2">
        <v>2329.2604829909214</v>
      </c>
      <c r="H61" s="28">
        <v>4086.6875174075712</v>
      </c>
    </row>
    <row r="62" spans="1:11" x14ac:dyDescent="0.35">
      <c r="A62" s="25"/>
      <c r="B62" s="4"/>
      <c r="C62" s="3"/>
      <c r="D62" s="4"/>
      <c r="E62" s="11"/>
      <c r="F62" s="12"/>
      <c r="G62" s="11"/>
      <c r="H62" s="30"/>
    </row>
  </sheetData>
  <conditionalFormatting sqref="A17:B18">
    <cfRule type="cellIs" dxfId="6" priority="6" stopIfTrue="1" operator="equal">
      <formula>0</formula>
    </cfRule>
  </conditionalFormatting>
  <conditionalFormatting sqref="A31:C31">
    <cfRule type="cellIs" dxfId="5" priority="3" stopIfTrue="1" operator="equal">
      <formula>0</formula>
    </cfRule>
  </conditionalFormatting>
  <conditionalFormatting sqref="A15:E16">
    <cfRule type="cellIs" dxfId="4" priority="8" stopIfTrue="1" operator="equal">
      <formula>0</formula>
    </cfRule>
  </conditionalFormatting>
  <conditionalFormatting sqref="A40:E41">
    <cfRule type="cellIs" dxfId="3" priority="1" stopIfTrue="1" operator="equal">
      <formula>0</formula>
    </cfRule>
  </conditionalFormatting>
  <conditionalFormatting sqref="D17:E18">
    <cfRule type="cellIs" dxfId="2" priority="7" stopIfTrue="1" operator="equal">
      <formula>0</formula>
    </cfRule>
  </conditionalFormatting>
  <conditionalFormatting sqref="D21:E24">
    <cfRule type="cellIs" dxfId="1" priority="5" stopIfTrue="1" operator="equal">
      <formula>0</formula>
    </cfRule>
  </conditionalFormatting>
  <conditionalFormatting sqref="D26:E29">
    <cfRule type="cellIs" dxfId="0" priority="4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2026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Dalla Verde</dc:creator>
  <cp:lastModifiedBy>Andres Funes</cp:lastModifiedBy>
  <dcterms:created xsi:type="dcterms:W3CDTF">2025-03-10T16:05:41Z</dcterms:created>
  <dcterms:modified xsi:type="dcterms:W3CDTF">2026-03-05T14:56:23Z</dcterms:modified>
</cp:coreProperties>
</file>