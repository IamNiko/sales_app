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M:\POLITICA DE PRECIOS\LISTAS DE PRECIOS\2026\3. Marzo 26\"/>
    </mc:Choice>
  </mc:AlternateContent>
  <xr:revisionPtr revIDLastSave="0" documentId="8_{B8200921-74DA-410C-BC73-3A393C0E2652}" xr6:coauthVersionLast="47" xr6:coauthVersionMax="47" xr10:uidLastSave="{00000000-0000-0000-0000-000000000000}"/>
  <bookViews>
    <workbookView xWindow="-110" yWindow="-110" windowWidth="19420" windowHeight="10300" xr2:uid="{E1954554-D716-4066-8C7E-8A4246B35DE6}"/>
  </bookViews>
  <sheets>
    <sheet name="SUPER REG" sheetId="1" r:id="rId1"/>
  </sheets>
  <definedNames>
    <definedName name="_Order1" hidden="1">255</definedName>
    <definedName name="_Order2" hidden="1">255</definedName>
    <definedName name="a">"$"</definedName>
    <definedName name="D">"$"</definedName>
    <definedName name="DIV">1000000</definedName>
    <definedName name="E">"$"</definedName>
    <definedName name="escala">"$"</definedName>
    <definedName name="Payment_Needed">"Pagamento necessário"</definedName>
    <definedName name="pro">"$"</definedName>
    <definedName name="Reimbursement">"Reembolso"</definedName>
    <definedName name="U">"$"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L11" i="1"/>
  <c r="I11" i="1" s="1"/>
  <c r="J11" i="1" s="1"/>
  <c r="P11" i="1"/>
  <c r="R11" i="1" s="1"/>
  <c r="S11" i="1" s="1"/>
  <c r="W11" i="1"/>
  <c r="X11" i="1"/>
  <c r="L12" i="1"/>
  <c r="I12" i="1" s="1"/>
  <c r="J12" i="1" s="1"/>
  <c r="P12" i="1"/>
  <c r="R12" i="1" s="1"/>
  <c r="S12" i="1" s="1"/>
  <c r="W12" i="1"/>
  <c r="X12" i="1"/>
  <c r="L13" i="1"/>
  <c r="I13" i="1" s="1"/>
  <c r="J13" i="1" s="1"/>
  <c r="M13" i="1"/>
  <c r="P13" i="1"/>
  <c r="R13" i="1" s="1"/>
  <c r="S13" i="1" s="1"/>
  <c r="W13" i="1"/>
  <c r="X13" i="1"/>
  <c r="L14" i="1"/>
  <c r="I14" i="1" s="1"/>
  <c r="J14" i="1" s="1"/>
  <c r="M14" i="1"/>
  <c r="P14" i="1"/>
  <c r="R14" i="1" s="1"/>
  <c r="S14" i="1" s="1"/>
  <c r="W14" i="1"/>
  <c r="X14" i="1"/>
  <c r="L15" i="1"/>
  <c r="I15" i="1" s="1"/>
  <c r="J15" i="1" s="1"/>
  <c r="M15" i="1"/>
  <c r="P15" i="1"/>
  <c r="R15" i="1" s="1"/>
  <c r="S15" i="1" s="1"/>
  <c r="W15" i="1"/>
  <c r="X15" i="1"/>
  <c r="L16" i="1"/>
  <c r="I16" i="1" s="1"/>
  <c r="J16" i="1" s="1"/>
  <c r="M16" i="1"/>
  <c r="P16" i="1"/>
  <c r="R16" i="1" s="1"/>
  <c r="S16" i="1" s="1"/>
  <c r="W16" i="1"/>
  <c r="X16" i="1"/>
  <c r="L17" i="1"/>
  <c r="I17" i="1" s="1"/>
  <c r="J17" i="1" s="1"/>
  <c r="M17" i="1"/>
  <c r="P17" i="1"/>
  <c r="R17" i="1" s="1"/>
  <c r="S17" i="1" s="1"/>
  <c r="W17" i="1"/>
  <c r="X17" i="1"/>
  <c r="I18" i="1"/>
  <c r="J18" i="1" s="1"/>
  <c r="L18" i="1"/>
  <c r="M18" i="1"/>
  <c r="P18" i="1"/>
  <c r="R18" i="1" s="1"/>
  <c r="S18" i="1" s="1"/>
  <c r="W18" i="1"/>
  <c r="X18" i="1"/>
  <c r="L19" i="1"/>
  <c r="I19" i="1" s="1"/>
  <c r="J19" i="1" s="1"/>
  <c r="M19" i="1"/>
  <c r="P19" i="1"/>
  <c r="R19" i="1" s="1"/>
  <c r="S19" i="1" s="1"/>
  <c r="W19" i="1"/>
  <c r="X19" i="1"/>
  <c r="L20" i="1"/>
  <c r="I20" i="1" s="1"/>
  <c r="J20" i="1" s="1"/>
  <c r="M20" i="1"/>
  <c r="P20" i="1"/>
  <c r="R20" i="1" s="1"/>
  <c r="S20" i="1" s="1"/>
  <c r="W20" i="1"/>
  <c r="X20" i="1"/>
  <c r="L21" i="1"/>
  <c r="I21" i="1" s="1"/>
  <c r="J21" i="1" s="1"/>
  <c r="M21" i="1"/>
  <c r="P21" i="1"/>
  <c r="R21" i="1" s="1"/>
  <c r="S21" i="1" s="1"/>
  <c r="W21" i="1"/>
  <c r="X21" i="1"/>
  <c r="L22" i="1"/>
  <c r="I22" i="1" s="1"/>
  <c r="J22" i="1" s="1"/>
  <c r="M22" i="1"/>
  <c r="P22" i="1"/>
  <c r="R22" i="1" s="1"/>
  <c r="S22" i="1" s="1"/>
  <c r="W22" i="1"/>
  <c r="X22" i="1"/>
  <c r="L23" i="1"/>
  <c r="I23" i="1" s="1"/>
  <c r="J23" i="1" s="1"/>
  <c r="M23" i="1"/>
  <c r="P23" i="1"/>
  <c r="R23" i="1" s="1"/>
  <c r="S23" i="1" s="1"/>
  <c r="W23" i="1"/>
  <c r="X23" i="1"/>
  <c r="L24" i="1"/>
  <c r="I24" i="1" s="1"/>
  <c r="J24" i="1" s="1"/>
  <c r="M24" i="1"/>
  <c r="P24" i="1"/>
  <c r="R24" i="1" s="1"/>
  <c r="S24" i="1" s="1"/>
  <c r="W24" i="1"/>
  <c r="X24" i="1"/>
  <c r="L25" i="1"/>
  <c r="I25" i="1" s="1"/>
  <c r="J25" i="1" s="1"/>
  <c r="M25" i="1"/>
  <c r="P25" i="1"/>
  <c r="R25" i="1" s="1"/>
  <c r="S25" i="1" s="1"/>
  <c r="W25" i="1"/>
  <c r="X25" i="1"/>
  <c r="L26" i="1"/>
  <c r="I26" i="1" s="1"/>
  <c r="J26" i="1" s="1"/>
  <c r="P26" i="1"/>
  <c r="R26" i="1" s="1"/>
  <c r="S26" i="1" s="1"/>
  <c r="W26" i="1"/>
  <c r="L27" i="1"/>
  <c r="I27" i="1" s="1"/>
  <c r="J27" i="1" s="1"/>
  <c r="M27" i="1"/>
  <c r="P27" i="1"/>
  <c r="R27" i="1" s="1"/>
  <c r="S27" i="1" s="1"/>
  <c r="W27" i="1"/>
  <c r="X27" i="1"/>
  <c r="L28" i="1"/>
  <c r="I28" i="1" s="1"/>
  <c r="J28" i="1" s="1"/>
  <c r="M28" i="1"/>
  <c r="P28" i="1"/>
  <c r="R28" i="1" s="1"/>
  <c r="S28" i="1" s="1"/>
  <c r="W28" i="1"/>
  <c r="X28" i="1"/>
  <c r="L29" i="1"/>
  <c r="I29" i="1" s="1"/>
  <c r="J29" i="1" s="1"/>
  <c r="M29" i="1"/>
  <c r="P29" i="1"/>
  <c r="R29" i="1" s="1"/>
  <c r="S29" i="1" s="1"/>
  <c r="W29" i="1"/>
  <c r="X29" i="1"/>
  <c r="L30" i="1"/>
  <c r="I30" i="1" s="1"/>
  <c r="J30" i="1" s="1"/>
  <c r="M30" i="1"/>
  <c r="P30" i="1"/>
  <c r="R30" i="1"/>
  <c r="S30" i="1" s="1"/>
  <c r="W30" i="1"/>
  <c r="X30" i="1"/>
  <c r="L31" i="1"/>
  <c r="I31" i="1" s="1"/>
  <c r="J31" i="1" s="1"/>
  <c r="M31" i="1"/>
  <c r="P31" i="1"/>
  <c r="R31" i="1" s="1"/>
  <c r="S31" i="1" s="1"/>
  <c r="W31" i="1"/>
  <c r="X31" i="1"/>
  <c r="L32" i="1"/>
  <c r="I32" i="1" s="1"/>
  <c r="J32" i="1" s="1"/>
  <c r="M32" i="1"/>
  <c r="P32" i="1"/>
  <c r="R32" i="1" s="1"/>
  <c r="S32" i="1" s="1"/>
  <c r="W32" i="1"/>
  <c r="X32" i="1"/>
  <c r="F33" i="1"/>
  <c r="M33" i="1" s="1"/>
  <c r="L33" i="1"/>
  <c r="I33" i="1" s="1"/>
  <c r="J33" i="1" s="1"/>
  <c r="P33" i="1"/>
  <c r="R33" i="1" s="1"/>
  <c r="S33" i="1" s="1"/>
  <c r="W33" i="1"/>
  <c r="X33" i="1"/>
  <c r="L34" i="1"/>
  <c r="I34" i="1" s="1"/>
  <c r="J34" i="1" s="1"/>
  <c r="M34" i="1"/>
  <c r="P34" i="1"/>
  <c r="R34" i="1" s="1"/>
  <c r="S34" i="1" s="1"/>
  <c r="W34" i="1"/>
  <c r="X34" i="1"/>
  <c r="L35" i="1"/>
  <c r="I35" i="1" s="1"/>
  <c r="J35" i="1" s="1"/>
  <c r="M35" i="1"/>
  <c r="P35" i="1"/>
  <c r="R35" i="1" s="1"/>
  <c r="S35" i="1" s="1"/>
  <c r="W35" i="1"/>
  <c r="X35" i="1"/>
  <c r="I36" i="1"/>
  <c r="L36" i="1"/>
  <c r="M36" i="1"/>
  <c r="P36" i="1"/>
  <c r="R36" i="1"/>
  <c r="S36" i="1" s="1"/>
  <c r="W36" i="1"/>
  <c r="X36" i="1"/>
  <c r="L37" i="1"/>
  <c r="I37" i="1" s="1"/>
  <c r="M37" i="1"/>
  <c r="P37" i="1"/>
  <c r="R37" i="1"/>
  <c r="S37" i="1" s="1"/>
  <c r="W37" i="1"/>
  <c r="X37" i="1"/>
  <c r="L38" i="1"/>
  <c r="I38" i="1" s="1"/>
  <c r="M38" i="1"/>
  <c r="P38" i="1"/>
  <c r="R38" i="1" s="1"/>
  <c r="S38" i="1" s="1"/>
  <c r="W38" i="1"/>
  <c r="X38" i="1"/>
  <c r="L39" i="1"/>
  <c r="I39" i="1" s="1"/>
  <c r="M39" i="1"/>
  <c r="P39" i="1"/>
  <c r="R39" i="1" s="1"/>
  <c r="S39" i="1" s="1"/>
  <c r="W39" i="1"/>
  <c r="X39" i="1"/>
  <c r="L40" i="1"/>
  <c r="I40" i="1" s="1"/>
  <c r="M40" i="1"/>
  <c r="P40" i="1"/>
  <c r="R40" i="1" s="1"/>
  <c r="S40" i="1" s="1"/>
  <c r="W40" i="1"/>
  <c r="X40" i="1"/>
  <c r="L41" i="1"/>
  <c r="I41" i="1" s="1"/>
  <c r="M41" i="1"/>
  <c r="P41" i="1"/>
  <c r="R41" i="1" s="1"/>
  <c r="S41" i="1" s="1"/>
  <c r="W41" i="1"/>
  <c r="X41" i="1"/>
  <c r="L42" i="1"/>
  <c r="I42" i="1" s="1"/>
  <c r="M42" i="1"/>
  <c r="P42" i="1"/>
  <c r="R42" i="1"/>
  <c r="S42" i="1" s="1"/>
  <c r="W42" i="1"/>
  <c r="X42" i="1"/>
  <c r="L43" i="1"/>
  <c r="I43" i="1" s="1"/>
  <c r="M43" i="1"/>
  <c r="P43" i="1"/>
  <c r="R43" i="1" s="1"/>
  <c r="S43" i="1" s="1"/>
  <c r="W43" i="1"/>
  <c r="X43" i="1"/>
  <c r="F45" i="1"/>
  <c r="M45" i="1" s="1"/>
  <c r="L45" i="1"/>
  <c r="I45" i="1" s="1"/>
  <c r="P45" i="1"/>
  <c r="R45" i="1" s="1"/>
  <c r="S45" i="1" s="1"/>
  <c r="W45" i="1"/>
  <c r="X45" i="1"/>
  <c r="F46" i="1"/>
  <c r="I46" i="1"/>
  <c r="L46" i="1"/>
  <c r="M46" i="1"/>
  <c r="P46" i="1"/>
  <c r="R46" i="1"/>
  <c r="S46" i="1" s="1"/>
  <c r="W46" i="1"/>
  <c r="X46" i="1"/>
  <c r="L49" i="1"/>
  <c r="I49" i="1" s="1"/>
  <c r="J49" i="1" s="1"/>
  <c r="M49" i="1"/>
  <c r="P49" i="1"/>
  <c r="R49" i="1" s="1"/>
  <c r="S49" i="1" s="1"/>
  <c r="W49" i="1"/>
  <c r="X49" i="1"/>
  <c r="L50" i="1"/>
  <c r="I50" i="1" s="1"/>
  <c r="J50" i="1" s="1"/>
  <c r="M50" i="1"/>
  <c r="P50" i="1"/>
  <c r="R50" i="1" s="1"/>
  <c r="S50" i="1" s="1"/>
  <c r="W50" i="1"/>
  <c r="X50" i="1"/>
  <c r="L51" i="1"/>
  <c r="I51" i="1" s="1"/>
  <c r="J51" i="1" s="1"/>
  <c r="M51" i="1"/>
  <c r="P51" i="1"/>
  <c r="R51" i="1" s="1"/>
  <c r="S51" i="1" s="1"/>
  <c r="W51" i="1"/>
  <c r="X51" i="1"/>
  <c r="L52" i="1"/>
  <c r="I52" i="1" s="1"/>
  <c r="J52" i="1" s="1"/>
  <c r="M52" i="1"/>
  <c r="P52" i="1"/>
  <c r="R52" i="1" s="1"/>
  <c r="S52" i="1" s="1"/>
  <c r="W52" i="1"/>
  <c r="X52" i="1"/>
  <c r="L53" i="1"/>
  <c r="I53" i="1" s="1"/>
  <c r="J53" i="1" s="1"/>
  <c r="M53" i="1"/>
  <c r="P53" i="1"/>
  <c r="R53" i="1" s="1"/>
  <c r="S53" i="1" s="1"/>
  <c r="W53" i="1"/>
  <c r="X53" i="1"/>
  <c r="L54" i="1"/>
  <c r="I54" i="1" s="1"/>
  <c r="J54" i="1" s="1"/>
  <c r="M54" i="1"/>
  <c r="P54" i="1"/>
  <c r="R54" i="1" s="1"/>
  <c r="S54" i="1" s="1"/>
  <c r="W54" i="1"/>
  <c r="X54" i="1"/>
  <c r="I55" i="1"/>
  <c r="J55" i="1" s="1"/>
  <c r="L55" i="1"/>
  <c r="M55" i="1"/>
  <c r="P55" i="1"/>
  <c r="R55" i="1" s="1"/>
  <c r="S55" i="1" s="1"/>
  <c r="W55" i="1"/>
  <c r="X55" i="1"/>
  <c r="L56" i="1"/>
  <c r="I56" i="1" s="1"/>
  <c r="J56" i="1" s="1"/>
  <c r="M56" i="1"/>
  <c r="P56" i="1"/>
  <c r="R56" i="1" s="1"/>
  <c r="S56" i="1" s="1"/>
  <c r="W56" i="1"/>
  <c r="X56" i="1"/>
  <c r="L57" i="1"/>
  <c r="M57" i="1"/>
  <c r="P57" i="1"/>
  <c r="R57" i="1" s="1"/>
  <c r="S57" i="1" s="1"/>
  <c r="W57" i="1"/>
  <c r="X57" i="1"/>
  <c r="L58" i="1"/>
  <c r="I58" i="1" s="1"/>
  <c r="J58" i="1" s="1"/>
  <c r="M58" i="1"/>
  <c r="P58" i="1"/>
  <c r="R58" i="1" s="1"/>
  <c r="S58" i="1" s="1"/>
  <c r="W58" i="1"/>
  <c r="X58" i="1"/>
  <c r="L59" i="1"/>
  <c r="I59" i="1" s="1"/>
  <c r="J59" i="1" s="1"/>
  <c r="M59" i="1"/>
  <c r="P59" i="1"/>
  <c r="R59" i="1"/>
  <c r="S59" i="1" s="1"/>
  <c r="W59" i="1"/>
  <c r="X59" i="1"/>
  <c r="L60" i="1"/>
  <c r="I60" i="1" s="1"/>
  <c r="J60" i="1" s="1"/>
  <c r="M60" i="1"/>
  <c r="P60" i="1"/>
  <c r="R60" i="1" s="1"/>
  <c r="S60" i="1" s="1"/>
  <c r="W60" i="1"/>
  <c r="X60" i="1"/>
  <c r="M61" i="1"/>
  <c r="P61" i="1"/>
  <c r="L61" i="1" s="1"/>
  <c r="I61" i="1" s="1"/>
  <c r="W61" i="1"/>
  <c r="X61" i="1"/>
  <c r="M62" i="1"/>
  <c r="P62" i="1"/>
  <c r="L62" i="1" s="1"/>
  <c r="I62" i="1" s="1"/>
  <c r="W62" i="1"/>
  <c r="X62" i="1"/>
  <c r="M63" i="1"/>
  <c r="P63" i="1"/>
  <c r="L63" i="1" s="1"/>
  <c r="I63" i="1" s="1"/>
  <c r="W63" i="1"/>
  <c r="X63" i="1"/>
  <c r="M64" i="1"/>
  <c r="P64" i="1"/>
  <c r="L64" i="1" s="1"/>
  <c r="I64" i="1" s="1"/>
  <c r="W64" i="1"/>
  <c r="X64" i="1"/>
  <c r="M65" i="1"/>
  <c r="P65" i="1"/>
  <c r="L65" i="1" s="1"/>
  <c r="I65" i="1" s="1"/>
  <c r="W65" i="1"/>
  <c r="X65" i="1"/>
  <c r="L66" i="1"/>
  <c r="M66" i="1"/>
  <c r="P66" i="1"/>
  <c r="R66" i="1" s="1"/>
  <c r="S66" i="1" s="1"/>
  <c r="X66" i="1"/>
  <c r="L68" i="1"/>
  <c r="I68" i="1" s="1"/>
  <c r="J68" i="1" s="1"/>
  <c r="M68" i="1"/>
  <c r="P68" i="1"/>
  <c r="S68" i="1" s="1"/>
  <c r="W68" i="1"/>
  <c r="X68" i="1"/>
  <c r="L69" i="1"/>
  <c r="I69" i="1" s="1"/>
  <c r="J69" i="1" s="1"/>
  <c r="M69" i="1"/>
  <c r="P69" i="1"/>
  <c r="S69" i="1" s="1"/>
  <c r="W69" i="1"/>
  <c r="X69" i="1"/>
  <c r="L70" i="1"/>
  <c r="I70" i="1" s="1"/>
  <c r="J70" i="1" s="1"/>
  <c r="M70" i="1"/>
  <c r="P70" i="1"/>
  <c r="R70" i="1" s="1"/>
  <c r="W70" i="1"/>
  <c r="X70" i="1"/>
  <c r="L71" i="1"/>
  <c r="I71" i="1" s="1"/>
  <c r="J71" i="1" s="1"/>
  <c r="M71" i="1"/>
  <c r="P71" i="1"/>
  <c r="S71" i="1" s="1"/>
  <c r="W71" i="1"/>
  <c r="X71" i="1"/>
  <c r="I72" i="1"/>
  <c r="J72" i="1" s="1"/>
  <c r="L72" i="1"/>
  <c r="M72" i="1"/>
  <c r="P72" i="1"/>
  <c r="R72" i="1" s="1"/>
  <c r="W72" i="1"/>
  <c r="X72" i="1"/>
  <c r="I73" i="1"/>
  <c r="J73" i="1" s="1"/>
  <c r="L73" i="1"/>
  <c r="M73" i="1"/>
  <c r="P73" i="1"/>
  <c r="S73" i="1" s="1"/>
  <c r="R73" i="1"/>
  <c r="W73" i="1"/>
  <c r="X73" i="1"/>
  <c r="L74" i="1"/>
  <c r="I74" i="1" s="1"/>
  <c r="J74" i="1" s="1"/>
  <c r="M74" i="1"/>
  <c r="P74" i="1"/>
  <c r="R74" i="1" s="1"/>
  <c r="W74" i="1"/>
  <c r="X74" i="1"/>
  <c r="L75" i="1"/>
  <c r="I75" i="1" s="1"/>
  <c r="J75" i="1" s="1"/>
  <c r="M75" i="1"/>
  <c r="P75" i="1"/>
  <c r="S75" i="1" s="1"/>
  <c r="W75" i="1"/>
  <c r="X75" i="1"/>
  <c r="L76" i="1"/>
  <c r="I76" i="1" s="1"/>
  <c r="J76" i="1" s="1"/>
  <c r="M76" i="1"/>
  <c r="P76" i="1"/>
  <c r="S76" i="1" s="1"/>
  <c r="R76" i="1"/>
  <c r="W76" i="1"/>
  <c r="X76" i="1"/>
  <c r="L77" i="1"/>
  <c r="I77" i="1" s="1"/>
  <c r="J77" i="1" s="1"/>
  <c r="M77" i="1"/>
  <c r="P77" i="1"/>
  <c r="S77" i="1" s="1"/>
  <c r="W77" i="1"/>
  <c r="X77" i="1"/>
  <c r="L78" i="1"/>
  <c r="I78" i="1" s="1"/>
  <c r="J78" i="1" s="1"/>
  <c r="M78" i="1"/>
  <c r="P78" i="1"/>
  <c r="R78" i="1" s="1"/>
  <c r="W78" i="1"/>
  <c r="X78" i="1"/>
  <c r="L79" i="1"/>
  <c r="I79" i="1" s="1"/>
  <c r="J79" i="1" s="1"/>
  <c r="M79" i="1"/>
  <c r="P79" i="1"/>
  <c r="S79" i="1" s="1"/>
  <c r="R79" i="1"/>
  <c r="W79" i="1"/>
  <c r="X79" i="1"/>
  <c r="L80" i="1"/>
  <c r="I80" i="1" s="1"/>
  <c r="J80" i="1" s="1"/>
  <c r="M80" i="1"/>
  <c r="P80" i="1"/>
  <c r="R80" i="1" s="1"/>
  <c r="W80" i="1"/>
  <c r="X80" i="1"/>
  <c r="L81" i="1"/>
  <c r="I81" i="1" s="1"/>
  <c r="J81" i="1" s="1"/>
  <c r="M81" i="1"/>
  <c r="P81" i="1"/>
  <c r="S81" i="1" s="1"/>
  <c r="W81" i="1"/>
  <c r="X81" i="1"/>
  <c r="L82" i="1"/>
  <c r="I82" i="1" s="1"/>
  <c r="J82" i="1" s="1"/>
  <c r="M82" i="1"/>
  <c r="P82" i="1"/>
  <c r="R82" i="1" s="1"/>
  <c r="W82" i="1"/>
  <c r="X82" i="1"/>
  <c r="L83" i="1"/>
  <c r="I83" i="1" s="1"/>
  <c r="J83" i="1" s="1"/>
  <c r="M83" i="1"/>
  <c r="P83" i="1"/>
  <c r="S83" i="1" s="1"/>
  <c r="R83" i="1"/>
  <c r="W83" i="1"/>
  <c r="X83" i="1"/>
  <c r="L84" i="1"/>
  <c r="I84" i="1" s="1"/>
  <c r="J84" i="1" s="1"/>
  <c r="M84" i="1"/>
  <c r="P84" i="1"/>
  <c r="S84" i="1" s="1"/>
  <c r="W84" i="1"/>
  <c r="X84" i="1"/>
  <c r="L85" i="1"/>
  <c r="I85" i="1" s="1"/>
  <c r="J85" i="1" s="1"/>
  <c r="M85" i="1"/>
  <c r="P85" i="1"/>
  <c r="S85" i="1" s="1"/>
  <c r="W85" i="1"/>
  <c r="X85" i="1"/>
  <c r="I87" i="1"/>
  <c r="L87" i="1"/>
  <c r="M87" i="1"/>
  <c r="P87" i="1"/>
  <c r="R87" i="1" s="1"/>
  <c r="S87" i="1" s="1"/>
  <c r="W87" i="1"/>
  <c r="X87" i="1"/>
  <c r="L88" i="1"/>
  <c r="I88" i="1" s="1"/>
  <c r="J88" i="1" s="1"/>
  <c r="M88" i="1"/>
  <c r="P88" i="1"/>
  <c r="R88" i="1" s="1"/>
  <c r="S88" i="1" s="1"/>
  <c r="W88" i="1"/>
  <c r="X88" i="1"/>
  <c r="L89" i="1"/>
  <c r="I89" i="1" s="1"/>
  <c r="J89" i="1" s="1"/>
  <c r="M89" i="1"/>
  <c r="P89" i="1"/>
  <c r="R89" i="1" s="1"/>
  <c r="S89" i="1" s="1"/>
  <c r="W89" i="1"/>
  <c r="X89" i="1"/>
  <c r="L90" i="1"/>
  <c r="I90" i="1" s="1"/>
  <c r="J90" i="1" s="1"/>
  <c r="M90" i="1"/>
  <c r="P90" i="1"/>
  <c r="R90" i="1" s="1"/>
  <c r="S90" i="1" s="1"/>
  <c r="W90" i="1"/>
  <c r="X90" i="1"/>
  <c r="L91" i="1"/>
  <c r="I91" i="1" s="1"/>
  <c r="J91" i="1" s="1"/>
  <c r="M91" i="1"/>
  <c r="P91" i="1"/>
  <c r="R91" i="1" s="1"/>
  <c r="S91" i="1" s="1"/>
  <c r="W91" i="1"/>
  <c r="X91" i="1"/>
  <c r="F93" i="1"/>
  <c r="M93" i="1" s="1"/>
  <c r="L93" i="1"/>
  <c r="I93" i="1" s="1"/>
  <c r="J93" i="1" s="1"/>
  <c r="P93" i="1"/>
  <c r="R93" i="1" s="1"/>
  <c r="S93" i="1" s="1"/>
  <c r="W93" i="1"/>
  <c r="X93" i="1"/>
  <c r="L94" i="1"/>
  <c r="I94" i="1" s="1"/>
  <c r="J94" i="1" s="1"/>
  <c r="M94" i="1"/>
  <c r="P94" i="1"/>
  <c r="R94" i="1"/>
  <c r="S94" i="1" s="1"/>
  <c r="W94" i="1"/>
  <c r="X94" i="1"/>
  <c r="L95" i="1"/>
  <c r="I95" i="1" s="1"/>
  <c r="J95" i="1" s="1"/>
  <c r="M95" i="1"/>
  <c r="P95" i="1"/>
  <c r="R95" i="1" s="1"/>
  <c r="S95" i="1" s="1"/>
  <c r="W95" i="1"/>
  <c r="X95" i="1"/>
  <c r="L96" i="1"/>
  <c r="I96" i="1" s="1"/>
  <c r="J96" i="1" s="1"/>
  <c r="M96" i="1"/>
  <c r="P96" i="1"/>
  <c r="R96" i="1" s="1"/>
  <c r="S96" i="1" s="1"/>
  <c r="W96" i="1"/>
  <c r="X96" i="1"/>
  <c r="L97" i="1"/>
  <c r="I97" i="1" s="1"/>
  <c r="J97" i="1" s="1"/>
  <c r="M97" i="1"/>
  <c r="P97" i="1"/>
  <c r="R97" i="1"/>
  <c r="S97" i="1" s="1"/>
  <c r="W97" i="1"/>
  <c r="X97" i="1"/>
  <c r="L98" i="1"/>
  <c r="I98" i="1" s="1"/>
  <c r="J98" i="1" s="1"/>
  <c r="M98" i="1"/>
  <c r="P98" i="1"/>
  <c r="R98" i="1" s="1"/>
  <c r="S98" i="1" s="1"/>
  <c r="W98" i="1"/>
  <c r="X98" i="1"/>
  <c r="L99" i="1"/>
  <c r="I99" i="1" s="1"/>
  <c r="J99" i="1" s="1"/>
  <c r="M99" i="1"/>
  <c r="P99" i="1"/>
  <c r="R99" i="1" s="1"/>
  <c r="S99" i="1" s="1"/>
  <c r="W99" i="1"/>
  <c r="X99" i="1"/>
  <c r="L100" i="1"/>
  <c r="I100" i="1" s="1"/>
  <c r="J100" i="1" s="1"/>
  <c r="M100" i="1"/>
  <c r="P100" i="1"/>
  <c r="R100" i="1" s="1"/>
  <c r="S100" i="1" s="1"/>
  <c r="W100" i="1"/>
  <c r="X100" i="1"/>
  <c r="L101" i="1"/>
  <c r="I101" i="1" s="1"/>
  <c r="J101" i="1" s="1"/>
  <c r="M101" i="1"/>
  <c r="P101" i="1"/>
  <c r="R101" i="1" s="1"/>
  <c r="S101" i="1" s="1"/>
  <c r="W101" i="1"/>
  <c r="X101" i="1"/>
  <c r="L102" i="1"/>
  <c r="I102" i="1" s="1"/>
  <c r="J102" i="1" s="1"/>
  <c r="M102" i="1"/>
  <c r="P102" i="1"/>
  <c r="R102" i="1" s="1"/>
  <c r="S102" i="1" s="1"/>
  <c r="W102" i="1"/>
  <c r="X102" i="1"/>
  <c r="L104" i="1"/>
  <c r="I104" i="1" s="1"/>
  <c r="J104" i="1" s="1"/>
  <c r="M104" i="1"/>
  <c r="P104" i="1"/>
  <c r="R104" i="1" s="1"/>
  <c r="S104" i="1" s="1"/>
  <c r="W104" i="1"/>
  <c r="X104" i="1"/>
  <c r="X105" i="1"/>
  <c r="L106" i="1"/>
  <c r="I106" i="1" s="1"/>
  <c r="J106" i="1" s="1"/>
  <c r="M106" i="1"/>
  <c r="P106" i="1"/>
  <c r="R106" i="1" s="1"/>
  <c r="S106" i="1" s="1"/>
  <c r="W106" i="1"/>
  <c r="X106" i="1"/>
  <c r="L107" i="1"/>
  <c r="I107" i="1" s="1"/>
  <c r="J107" i="1" s="1"/>
  <c r="M107" i="1"/>
  <c r="P107" i="1"/>
  <c r="R107" i="1" s="1"/>
  <c r="S107" i="1" s="1"/>
  <c r="W107" i="1"/>
  <c r="X107" i="1"/>
  <c r="L109" i="1"/>
  <c r="I109" i="1" s="1"/>
  <c r="J109" i="1" s="1"/>
  <c r="M109" i="1"/>
  <c r="P109" i="1"/>
  <c r="R109" i="1" s="1"/>
  <c r="S109" i="1" s="1"/>
  <c r="W109" i="1"/>
  <c r="X109" i="1"/>
  <c r="I110" i="1"/>
  <c r="J110" i="1" s="1"/>
  <c r="L110" i="1"/>
  <c r="M110" i="1"/>
  <c r="P110" i="1"/>
  <c r="R110" i="1" s="1"/>
  <c r="S110" i="1" s="1"/>
  <c r="W110" i="1"/>
  <c r="X110" i="1"/>
  <c r="L111" i="1"/>
  <c r="I111" i="1" s="1"/>
  <c r="J111" i="1" s="1"/>
  <c r="M111" i="1"/>
  <c r="P111" i="1"/>
  <c r="R111" i="1" s="1"/>
  <c r="S111" i="1" s="1"/>
  <c r="W111" i="1"/>
  <c r="X111" i="1"/>
  <c r="L113" i="1"/>
  <c r="I113" i="1" s="1"/>
  <c r="J113" i="1" s="1"/>
  <c r="M113" i="1"/>
  <c r="P113" i="1"/>
  <c r="R113" i="1" s="1"/>
  <c r="S113" i="1" s="1"/>
  <c r="W113" i="1"/>
  <c r="X113" i="1"/>
  <c r="L114" i="1"/>
  <c r="I114" i="1" s="1"/>
  <c r="J114" i="1" s="1"/>
  <c r="M114" i="1"/>
  <c r="P114" i="1"/>
  <c r="R114" i="1" s="1"/>
  <c r="S114" i="1" s="1"/>
  <c r="W114" i="1"/>
  <c r="X114" i="1"/>
  <c r="L116" i="1"/>
  <c r="I116" i="1" s="1"/>
  <c r="J116" i="1" s="1"/>
  <c r="M116" i="1"/>
  <c r="P116" i="1"/>
  <c r="R116" i="1" s="1"/>
  <c r="S116" i="1" s="1"/>
  <c r="W116" i="1"/>
  <c r="X116" i="1"/>
  <c r="L117" i="1"/>
  <c r="I117" i="1" s="1"/>
  <c r="J117" i="1" s="1"/>
  <c r="M117" i="1"/>
  <c r="P117" i="1"/>
  <c r="R117" i="1"/>
  <c r="S117" i="1" s="1"/>
  <c r="W117" i="1"/>
  <c r="X117" i="1"/>
  <c r="L119" i="1"/>
  <c r="I119" i="1" s="1"/>
  <c r="J119" i="1" s="1"/>
  <c r="M119" i="1"/>
  <c r="P119" i="1"/>
  <c r="R119" i="1" s="1"/>
  <c r="S119" i="1" s="1"/>
  <c r="W119" i="1"/>
  <c r="X119" i="1"/>
  <c r="I120" i="1"/>
  <c r="J120" i="1" s="1"/>
  <c r="L120" i="1"/>
  <c r="M120" i="1"/>
  <c r="P120" i="1"/>
  <c r="R120" i="1" s="1"/>
  <c r="S120" i="1" s="1"/>
  <c r="W120" i="1"/>
  <c r="X120" i="1"/>
  <c r="L121" i="1"/>
  <c r="I121" i="1" s="1"/>
  <c r="J121" i="1" s="1"/>
  <c r="M121" i="1"/>
  <c r="P121" i="1"/>
  <c r="R121" i="1" s="1"/>
  <c r="S121" i="1" s="1"/>
  <c r="W121" i="1"/>
  <c r="X121" i="1"/>
  <c r="L122" i="1"/>
  <c r="I122" i="1" s="1"/>
  <c r="J122" i="1" s="1"/>
  <c r="M122" i="1"/>
  <c r="P122" i="1"/>
  <c r="R122" i="1"/>
  <c r="S122" i="1" s="1"/>
  <c r="W122" i="1"/>
  <c r="X122" i="1"/>
  <c r="L123" i="1"/>
  <c r="I123" i="1" s="1"/>
  <c r="J123" i="1" s="1"/>
  <c r="M123" i="1"/>
  <c r="P123" i="1"/>
  <c r="R123" i="1"/>
  <c r="S123" i="1" s="1"/>
  <c r="W123" i="1"/>
  <c r="X123" i="1"/>
  <c r="L125" i="1"/>
  <c r="I125" i="1" s="1"/>
  <c r="J125" i="1" s="1"/>
  <c r="M125" i="1"/>
  <c r="P125" i="1"/>
  <c r="R125" i="1" s="1"/>
  <c r="S125" i="1" s="1"/>
  <c r="W125" i="1"/>
  <c r="X125" i="1"/>
  <c r="L126" i="1"/>
  <c r="I126" i="1" s="1"/>
  <c r="J126" i="1" s="1"/>
  <c r="M126" i="1"/>
  <c r="P126" i="1"/>
  <c r="R126" i="1" s="1"/>
  <c r="S126" i="1" s="1"/>
  <c r="X126" i="1"/>
  <c r="L128" i="1"/>
  <c r="I128" i="1" s="1"/>
  <c r="J128" i="1" s="1"/>
  <c r="M128" i="1"/>
  <c r="P128" i="1"/>
  <c r="R128" i="1" s="1"/>
  <c r="S128" i="1" s="1"/>
  <c r="W128" i="1"/>
  <c r="X128" i="1"/>
  <c r="I129" i="1"/>
  <c r="J129" i="1" s="1"/>
  <c r="L129" i="1"/>
  <c r="M129" i="1"/>
  <c r="P129" i="1"/>
  <c r="R129" i="1" s="1"/>
  <c r="S129" i="1" s="1"/>
  <c r="W129" i="1"/>
  <c r="X129" i="1"/>
  <c r="L131" i="1"/>
  <c r="I131" i="1" s="1"/>
  <c r="J131" i="1" s="1"/>
  <c r="M131" i="1"/>
  <c r="P131" i="1"/>
  <c r="R131" i="1" s="1"/>
  <c r="S131" i="1" s="1"/>
  <c r="W131" i="1"/>
  <c r="X131" i="1"/>
  <c r="L132" i="1"/>
  <c r="I132" i="1" s="1"/>
  <c r="J132" i="1" s="1"/>
  <c r="M132" i="1"/>
  <c r="P132" i="1"/>
  <c r="R132" i="1" s="1"/>
  <c r="S132" i="1" s="1"/>
  <c r="W132" i="1"/>
  <c r="X132" i="1"/>
  <c r="L133" i="1"/>
  <c r="I133" i="1" s="1"/>
  <c r="J133" i="1" s="1"/>
  <c r="M133" i="1"/>
  <c r="P133" i="1"/>
  <c r="R133" i="1" s="1"/>
  <c r="S133" i="1" s="1"/>
  <c r="W133" i="1"/>
  <c r="X133" i="1"/>
  <c r="L134" i="1"/>
  <c r="I134" i="1" s="1"/>
  <c r="J134" i="1" s="1"/>
  <c r="M134" i="1"/>
  <c r="P134" i="1"/>
  <c r="R134" i="1" s="1"/>
  <c r="S134" i="1" s="1"/>
  <c r="W134" i="1"/>
  <c r="X134" i="1"/>
  <c r="L136" i="1"/>
  <c r="I136" i="1" s="1"/>
  <c r="J136" i="1" s="1"/>
  <c r="M136" i="1"/>
  <c r="P136" i="1"/>
  <c r="R136" i="1" s="1"/>
  <c r="S136" i="1" s="1"/>
  <c r="W136" i="1"/>
  <c r="X136" i="1"/>
  <c r="L137" i="1"/>
  <c r="I137" i="1" s="1"/>
  <c r="J137" i="1" s="1"/>
  <c r="M137" i="1"/>
  <c r="P137" i="1"/>
  <c r="R137" i="1" s="1"/>
  <c r="S137" i="1" s="1"/>
  <c r="W137" i="1"/>
  <c r="X137" i="1"/>
  <c r="R81" i="1" l="1"/>
  <c r="R71" i="1"/>
  <c r="R68" i="1"/>
  <c r="S82" i="1"/>
  <c r="R75" i="1"/>
  <c r="R84" i="1"/>
  <c r="S72" i="1"/>
  <c r="S80" i="1"/>
  <c r="S74" i="1"/>
  <c r="R85" i="1"/>
  <c r="R77" i="1"/>
  <c r="R69" i="1"/>
  <c r="R65" i="1"/>
  <c r="S65" i="1" s="1"/>
  <c r="R64" i="1"/>
  <c r="S64" i="1" s="1"/>
  <c r="R63" i="1"/>
  <c r="S63" i="1" s="1"/>
  <c r="R62" i="1"/>
  <c r="S62" i="1" s="1"/>
  <c r="R61" i="1"/>
  <c r="S61" i="1" s="1"/>
  <c r="W126" i="1"/>
  <c r="S78" i="1"/>
  <c r="S70" i="1"/>
</calcChain>
</file>

<file path=xl/sharedStrings.xml><?xml version="1.0" encoding="utf-8"?>
<sst xmlns="http://schemas.openxmlformats.org/spreadsheetml/2006/main" count="375" uniqueCount="172">
  <si>
    <t>LOMO DE ATUN EN ACEITE SWIFT 170g</t>
  </si>
  <si>
    <t>LOMO DE ATUN EN ACEITE</t>
  </si>
  <si>
    <t>OUTROS</t>
  </si>
  <si>
    <t>LOMO DE ATUN AL NATURAL SWIFT 170g</t>
  </si>
  <si>
    <t>LOMO DE ATUN AL NATURAL</t>
  </si>
  <si>
    <t>MEDALLÓN DE ESPINACA 300GR</t>
  </si>
  <si>
    <t xml:space="preserve">MEDALLONES DE VEGETALES - ARG                            </t>
  </si>
  <si>
    <t xml:space="preserve">REBOZADOS DE VEGETALES - ARG                      </t>
  </si>
  <si>
    <t>MEDALLÓN DE CALABAZA Y CHOCLO 300GR</t>
  </si>
  <si>
    <t>NUGGETS DE BRÓCOLI 300GR</t>
  </si>
  <si>
    <t xml:space="preserve">NUGGETS DE VEGETALES - ARG                            </t>
  </si>
  <si>
    <t>NUGGETS DE ESPINACA 300GR</t>
  </si>
  <si>
    <t>PAPAS PREFRITAS SUPERCONGELADAS LIBRES DE GLUTEN 6x2000gr (BR)</t>
  </si>
  <si>
    <t>PAPAS PRE COCIDAS SUPERCONGELADAS LIBRES DE GLUTEN 700G</t>
  </si>
  <si>
    <t>CHORIZOS FRESCOS DE CERDO CONGELADOS LIBRE DE GLUTEN 12u x 400g</t>
  </si>
  <si>
    <t>CHORIZO FRESCO DE CERDO</t>
  </si>
  <si>
    <t>CHORIZO FRESCO ARG</t>
  </si>
  <si>
    <t>CHORIZOS FRESCOS DE CERDO LIBRE DE GLUTEN</t>
  </si>
  <si>
    <t>VACIO EN PORCIONES NOV ENFRIADO PARA VENTA LOCAL (L)</t>
  </si>
  <si>
    <t>TAPA DE ASADO EN PORCIONES ENF SWIFT (L)</t>
  </si>
  <si>
    <t>CARNAZA CUADRADA EN PORCIONES ENF SWIFT (L)</t>
  </si>
  <si>
    <t>ROAST BEEF EN PORCIONES ENF SWIFT (L)</t>
  </si>
  <si>
    <t>ENTRAÑA FINA ENF SWIFT</t>
  </si>
  <si>
    <t>CARNE PICADA CONGELADA 20 UN X 1 kg SWIFT</t>
  </si>
  <si>
    <t xml:space="preserve">CHARQUEO - ARG                          </t>
  </si>
  <si>
    <t>CARNE PICADA CONGELADA 36 UN X 500 g SWIFT</t>
  </si>
  <si>
    <t>GRASA VACUNA REFINADA SWIFT 12x1Kg</t>
  </si>
  <si>
    <t>GRASA VACUNA REFINADA SWIFT 10 X 500</t>
  </si>
  <si>
    <t>MILANESAS DE CARNE VACUNA CONG GRANEL 5 kg (CAL GR)</t>
  </si>
  <si>
    <t>MILANESAS DE CARNE - ARG</t>
  </si>
  <si>
    <t>MILANESA DE CARNE VACUNA CONGELADA 12un x 1000grs</t>
  </si>
  <si>
    <t>MILANESA DE CARNE VACUNA CONGELADA 24un x 500grs</t>
  </si>
  <si>
    <t/>
  </si>
  <si>
    <t>PAPAS PREFRITAS SUPERCONGELADAS 6x2000gr</t>
  </si>
  <si>
    <t xml:space="preserve">OUTRAS BATATAS                                    </t>
  </si>
  <si>
    <t xml:space="preserve">PAPAS - ARG                                       </t>
  </si>
  <si>
    <t>PAPAS PREFRITAS SUPERCONGELADAS 25x400gr</t>
  </si>
  <si>
    <t>MORTADELA SWIFT 10 x 300g</t>
  </si>
  <si>
    <t xml:space="preserve">FI3 - TERCEROS NACIONALES - ARG                   </t>
  </si>
  <si>
    <t xml:space="preserve">FIAMBRE - ARG                                     </t>
  </si>
  <si>
    <t>MEDALLONES DE POLLO GASTRONÓMICO  8x12x80 Grs.</t>
  </si>
  <si>
    <t xml:space="preserve">NUGGETS DE POLLO - ARG                            </t>
  </si>
  <si>
    <t xml:space="preserve">REBOZADOS DE CARNE - ARG                          </t>
  </si>
  <si>
    <t>MEDALLONES DE POLLO "SWIFT" - 12x4x80g</t>
  </si>
  <si>
    <t>MILANESITAS DE CARNE "SWIFT" - 12x400g</t>
  </si>
  <si>
    <t>PALITO DE POLLO "SWIFT"  8 X 1 Kg..</t>
  </si>
  <si>
    <t>PALITO DE POLLO "SWIFT"  12 X 260 Grs.</t>
  </si>
  <si>
    <t>BOCADITOS DE POLLO GASTRONOMICOS "LA BLANCA" - x6kg</t>
  </si>
  <si>
    <t>BOCADITOS DE POLLO "SWIFT KIDS" - 12x400g</t>
  </si>
  <si>
    <t>CRUNCHIES DE POLLO "SWIFT" - 10x760g</t>
  </si>
  <si>
    <t>CRUNCHIES DE POLLO "SWIFT" - 12x380g</t>
  </si>
  <si>
    <t>BOCADITOS DE CARNE "SWIFT" - 12x380g</t>
  </si>
  <si>
    <t xml:space="preserve">NUGGETS DE CARNE - ARG                            </t>
  </si>
  <si>
    <t>MILANESAS DE  SOJA RELLENAS CON TOMATE Y QUESO</t>
  </si>
  <si>
    <t xml:space="preserve">MILANESAS DE SOJA - ARG                           </t>
  </si>
  <si>
    <t>MILANESAS DE  SOJA RELLENAS CON ESPINACA Y QUESO</t>
  </si>
  <si>
    <t>MILANESAS DE  SOJA RELLENAS CON JAMON Y QUESO</t>
  </si>
  <si>
    <t>MILANESAS DE  SOJA CLASICAS PREFRITA</t>
  </si>
  <si>
    <t>MILANESAS DE  SOJA CON ORÉGANO</t>
  </si>
  <si>
    <t>PICADILLO DE CARNE 24X90G SAFRA LICITACION</t>
  </si>
  <si>
    <t xml:space="preserve">CC4 - SAFRA - ARG                                 </t>
  </si>
  <si>
    <t xml:space="preserve">UNTABLES - ARG                                    </t>
  </si>
  <si>
    <t>PATE DE FOIE 24X90G SAFRA</t>
  </si>
  <si>
    <t>PICADILLO DE CARNE 24X90G SAFRA</t>
  </si>
  <si>
    <t>PATE DE FOIE 24X90G LA BLANCA</t>
  </si>
  <si>
    <t xml:space="preserve">CC3 - LA BLANCA - ARG                             </t>
  </si>
  <si>
    <t>PICADILLO DE CARNE 24X90G LA BLANCA</t>
  </si>
  <si>
    <t>PATE DE SALMON 24X85G SWIFT GOURMET</t>
  </si>
  <si>
    <t xml:space="preserve">CC8 - ESPECIALES - ARG                            </t>
  </si>
  <si>
    <t>PATE HONGOS 24X85G</t>
  </si>
  <si>
    <t xml:space="preserve">PATE JAMON AHUMADO 24X85G </t>
  </si>
  <si>
    <t>PATE DE FOIE C/PIMIENTA VERDE 24X85G SWIFT GOURMET</t>
  </si>
  <si>
    <t>PATE DE FOIE TIPO PROVENZAL 24X85G SWIFT GOURMET</t>
  </si>
  <si>
    <t>PATE DE FOIE DE POLLO 24X85G SWIFT</t>
  </si>
  <si>
    <t xml:space="preserve">CC7 - VARIEDADES - ARG                            </t>
  </si>
  <si>
    <t>JAMON DEL DIABLO 24X88G SWIFT</t>
  </si>
  <si>
    <t>PATE DE FOIE A LA CREMA 24X88G SWIFT</t>
  </si>
  <si>
    <t>PICADILLO DE CARNE PICANTE 24X90G SWIFT</t>
  </si>
  <si>
    <t xml:space="preserve">CC1 - PATE Y PICADILLO SWIFT - ARG                </t>
  </si>
  <si>
    <t>Pate de Foie Jalapeño 24x90 Swift</t>
  </si>
  <si>
    <t>Picadillo de Carne Picante Chile Chipotle 24x90 g</t>
  </si>
  <si>
    <t xml:space="preserve">PICADILLO DE CARNE 24X90G SWIFT </t>
  </si>
  <si>
    <t>PATE DE FOIE 24X90G SWIFT</t>
  </si>
  <si>
    <t>SALCHICHAS 6X24 DIA</t>
  </si>
  <si>
    <t xml:space="preserve">SA4 - MARCA PROPIA - ARG                          </t>
  </si>
  <si>
    <t xml:space="preserve">SALCHICHAS - ARG                                  </t>
  </si>
  <si>
    <t>SALCHICHAS 12X12 DIA</t>
  </si>
  <si>
    <t>Salchichas Dia 20x6</t>
  </si>
  <si>
    <t>SALCHICHAS 6x24 LA ANONIMA</t>
  </si>
  <si>
    <t>SALCHICHAS 12x12 LA ANONIMA</t>
  </si>
  <si>
    <t>SALCHICHAS 24X6 LA ANONIMA</t>
  </si>
  <si>
    <t>SALCHICHAS SIN PIEL "LA BLANCA"  24X6X190 Grs;</t>
  </si>
  <si>
    <t xml:space="preserve">SA3 - LA BLANCA - ARG                             </t>
  </si>
  <si>
    <t xml:space="preserve">SALCHICHAS CONGELADAS SWIFT 12x12x870g </t>
  </si>
  <si>
    <t xml:space="preserve">SA2 - MERCADO CALIENTE - ARG                      </t>
  </si>
  <si>
    <t>SALCHICHAS GASTRONÓMICAS  SWIFT  10X12X720 Grs</t>
  </si>
  <si>
    <t>SALCHICHAS LARGAS 10 x 12 x 870g</t>
  </si>
  <si>
    <t>SALCHICHAS  LARGAS  10 x 12  SWIFT  INSTITUCIONAL</t>
  </si>
  <si>
    <t>SALCHICHAS SIN PIEL 24X6 "SWIFT KIDS" X 190 g</t>
  </si>
  <si>
    <t xml:space="preserve">SA1 - SWIFT - ARG                                 </t>
  </si>
  <si>
    <t>SALCHICHAS 6X24 SWIFT</t>
  </si>
  <si>
    <t>SALCHICHAS 12X12 SWIFT</t>
  </si>
  <si>
    <t>SALCHICHAS 24X6 SWIFT</t>
  </si>
  <si>
    <t>HAMBURGUESA CLÁSICA 78 - 84 x 55gs</t>
  </si>
  <si>
    <t xml:space="preserve">HG2 - MERCADO CALIENTE - ARG                      </t>
  </si>
  <si>
    <t xml:space="preserve">HAMBURGUESAS - ARG                                </t>
  </si>
  <si>
    <t>MEDALLON 30x80g REC</t>
  </si>
  <si>
    <t xml:space="preserve">MEDALLON 30x80g PROMOFIESTA  </t>
  </si>
  <si>
    <t>HAMBURGUESA 276 x 55 g GRANEL SWIFT</t>
  </si>
  <si>
    <t xml:space="preserve">HG1 - SWIFT - ARG                                 </t>
  </si>
  <si>
    <t xml:space="preserve">Hamburguesa 30 x 80gramos. </t>
  </si>
  <si>
    <t>HAMBURGUESA 36 X 185 GRS</t>
  </si>
  <si>
    <t>HAMBURGUESA 6X20X80g "LA ANONIMA"</t>
  </si>
  <si>
    <t xml:space="preserve">HG3 - MARCA PROPIA - ARG                          </t>
  </si>
  <si>
    <t>HAMBURGUESA 8X12X80g "LA ANONIMA"</t>
  </si>
  <si>
    <t>HAMBURGUESA 18X4X80g "LA ANONIMA"</t>
  </si>
  <si>
    <t>Hamburguesa Dia 6 X 20</t>
  </si>
  <si>
    <t>Hamburguesa Dia 12 X 12</t>
  </si>
  <si>
    <t>Hamburguesa Dia 18 X 4</t>
  </si>
  <si>
    <t xml:space="preserve">MEDALLON GIGANTE 48x113.5g </t>
  </si>
  <si>
    <t>MEDALLON 60X109G CARNE VACUNA PARRILLERO SWIFT</t>
  </si>
  <si>
    <t>MEDALLON 60x80g PARRILLERO MC SWIFT</t>
  </si>
  <si>
    <t>MEDALLON 60X69G CARNE VACUNA</t>
  </si>
  <si>
    <t>MEDALLONES 60X69g "SWIFT BURGER"PARRILLERAS  FAMILY</t>
  </si>
  <si>
    <t>MEDALLONES 60X80g "SWIFT BURGER" PARRILLERAS FAMILY</t>
  </si>
  <si>
    <t>MEDALLON 12x4X69G LA BLANCA</t>
  </si>
  <si>
    <t xml:space="preserve">HG5 - B-BRAND - ARG                               </t>
  </si>
  <si>
    <t>MEDALLON 42X112G LA BLANCA</t>
  </si>
  <si>
    <t xml:space="preserve">HAMBURGUESAS 18X2X120g CLL BRA/ARG </t>
  </si>
  <si>
    <t xml:space="preserve">HG4 - EXPORTACION - ARG                           </t>
  </si>
  <si>
    <t>HAMBURGUESA 30X2X 106grs</t>
  </si>
  <si>
    <t>HAMBURGUESA X-TREMA 36 x 185 grs</t>
  </si>
  <si>
    <r>
      <t xml:space="preserve">HAMBURGUESA 24X2X120g </t>
    </r>
    <r>
      <rPr>
        <b/>
        <sz val="9"/>
        <rFont val="Calibri"/>
        <family val="2"/>
        <scheme val="minor"/>
      </rPr>
      <t>CASERA</t>
    </r>
    <r>
      <rPr>
        <sz val="9"/>
        <rFont val="Calibri"/>
        <family val="2"/>
        <scheme val="minor"/>
      </rPr>
      <t xml:space="preserve"> SWIFT</t>
    </r>
  </si>
  <si>
    <t xml:space="preserve">HAMBURGUESA 30X250g CLASICA "XL" SWIFT </t>
  </si>
  <si>
    <t>MEDALLON DOBLE BURGER 2X2</t>
  </si>
  <si>
    <t xml:space="preserve">MEDALLÓN DOBLE BURGER PACK PROMO 4X3 </t>
  </si>
  <si>
    <t>MEDALLON 42X112G DOBLE BURGER SWIFT</t>
  </si>
  <si>
    <t>HAMBURGUESA 8X12X69G BURGER SWIFT</t>
  </si>
  <si>
    <t>Medallón CAJITA 12x4 69 grs</t>
  </si>
  <si>
    <t>MEDALLON BURGER SWIFT MEGA 30 x 160 g</t>
  </si>
  <si>
    <t>MEDALLONES 18X4X80G SWIFT RECETA ESPECIAL</t>
  </si>
  <si>
    <t>MEDALLON 18X4X80G PARRILLERO SWIFT</t>
  </si>
  <si>
    <t xml:space="preserve">HAMBURGUESA 6X20X80G CLASICA SWIFT </t>
  </si>
  <si>
    <t>HAMBURGUESA 8X12X80G CLASICA SWIFT</t>
  </si>
  <si>
    <t>HAMBURGUESA 18X4X80G CLASICA SWIFT</t>
  </si>
  <si>
    <t>HAMBURGUESAS 30x160g CLASICA x2 SWIFT</t>
  </si>
  <si>
    <t>NNNnet</t>
  </si>
  <si>
    <t>Variación Vs $fact</t>
  </si>
  <si>
    <t>Control precio DUX</t>
  </si>
  <si>
    <t>Precio de estuche en factura</t>
  </si>
  <si>
    <t>Precio de Lista</t>
  </si>
  <si>
    <t>Bonificación en factura</t>
  </si>
  <si>
    <t>$ Factura</t>
  </si>
  <si>
    <t>Acuerdo  + Escala</t>
  </si>
  <si>
    <t>x kg</t>
  </si>
  <si>
    <t>x estuche</t>
  </si>
  <si>
    <t>Precio Publico Mínimo c/IVA</t>
  </si>
  <si>
    <t>Precio Publico regular  c/IVA</t>
  </si>
  <si>
    <t>Cant. X Caja</t>
  </si>
  <si>
    <t>Kg. x Caja</t>
  </si>
  <si>
    <t>EAN</t>
  </si>
  <si>
    <t>Descripción</t>
  </si>
  <si>
    <t>Código</t>
  </si>
  <si>
    <t>Familia</t>
  </si>
  <si>
    <t>Clase</t>
  </si>
  <si>
    <t>Super Regionales</t>
  </si>
  <si>
    <t>Canal</t>
  </si>
  <si>
    <t>N° Lista</t>
  </si>
  <si>
    <t>Cadena</t>
  </si>
  <si>
    <t>Código Cliente</t>
  </si>
  <si>
    <t>Fecha</t>
  </si>
  <si>
    <t>Arquitectura de precios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</si>
</sst>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%"/>
    <numFmt numFmtId="165" formatCode="#,##0.00_ ;[Red]\-#,##0.00\ "/>
    <numFmt numFmtId="166" formatCode="#,##0_ ;[Red]\-#,##0\ "/>
    <numFmt numFmtId="167" formatCode="#,##0.0_ ;[Red]\-#,##0.0\ "/>
    <numFmt numFmtId="168" formatCode="_ &quot;$&quot;\ * #,##0.00_ ;_ &quot;$&quot;\ * \-#,##0.00_ ;_ &quot;$&quot;\ * &quot;-&quot;??_ ;_ @_ "/>
    <numFmt numFmtId="169" formatCode="#,##0.000_ ;[Red]\-#,##0.000\ "/>
    <numFmt numFmtId="170" formatCode="_ * #,##0.00_ ;_ * \-#,##0.00_ ;_ * &quot;-&quot;??_ ;_ @_ "/>
  </numFmts>
  <fonts count="18" x14ac:knownFonts="1">
    <font>
      <sz val="10"/>
      <name val="Arial"/>
    </font>
    <font>
      <sz val="10"/>
      <name val="Arial"/>
      <family val="2"/>
    </font>
    <font>
      <sz val="1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9"/>
      <name val="Calibri"/>
      <family val="2"/>
    </font>
    <font>
      <b/>
      <sz val="9"/>
      <name val="Calibri"/>
      <family val="2"/>
      <scheme val="minor"/>
    </font>
    <font>
      <b/>
      <sz val="9"/>
      <color rgb="FF00B05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name val="Calibri"/>
      <family val="2"/>
    </font>
    <font>
      <sz val="9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9"/>
      <color theme="2" tint="-0.499984740745262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9"/>
      <color indexed="9"/>
      <name val="Calibri"/>
      <family val="2"/>
      <scheme val="minor"/>
    </font>
    <font>
      <sz val="9"/>
      <color indexed="8"/>
      <name val="Calibri"/>
      <family val="2"/>
    </font>
    <font>
      <sz val="9"/>
      <color indexed="8"/>
      <name val="Calibri"/>
      <family val="2"/>
      <scheme val="minor"/>
    </font>
    <font>
      <b/>
      <sz val="12"/>
      <color indexed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 applyNumberFormat="0" applyFill="0" applyBorder="0" applyAlignment="0" applyProtection="0"/>
    <xf numFmtId="170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 applyNumberFormat="0" applyFill="0" applyBorder="0" applyAlignment="0" applyProtection="0"/>
  </cellStyleXfs>
  <cellXfs count="122">
    <xf numFmtId="0" fontId="0" fillId="0" borderId="0" xfId="0"/>
    <xf numFmtId="0" fontId="2" fillId="0" borderId="0" xfId="4" applyFont="1"/>
    <xf numFmtId="9" fontId="1" fillId="0" borderId="0" xfId="3"/>
    <xf numFmtId="164" fontId="2" fillId="0" borderId="0" xfId="4" applyNumberFormat="1" applyFont="1"/>
    <xf numFmtId="0" fontId="3" fillId="0" borderId="0" xfId="4" applyFont="1"/>
    <xf numFmtId="9" fontId="2" fillId="0" borderId="0" xfId="3" applyFont="1"/>
    <xf numFmtId="0" fontId="4" fillId="0" borderId="0" xfId="4" applyFont="1"/>
    <xf numFmtId="0" fontId="2" fillId="0" borderId="0" xfId="4" applyFont="1" applyAlignment="1">
      <alignment horizontal="center"/>
    </xf>
    <xf numFmtId="0" fontId="2" fillId="0" borderId="0" xfId="4" applyFont="1" applyAlignment="1">
      <alignment horizontal="left"/>
    </xf>
    <xf numFmtId="165" fontId="5" fillId="0" borderId="1" xfId="5" applyNumberFormat="1" applyFont="1" applyBorder="1" applyAlignment="1">
      <alignment horizontal="center"/>
    </xf>
    <xf numFmtId="164" fontId="5" fillId="0" borderId="1" xfId="3" applyNumberFormat="1" applyFont="1" applyFill="1" applyBorder="1" applyAlignment="1">
      <alignment horizontal="center"/>
    </xf>
    <xf numFmtId="165" fontId="6" fillId="0" borderId="2" xfId="5" applyNumberFormat="1" applyFont="1" applyBorder="1" applyAlignment="1">
      <alignment horizontal="center"/>
    </xf>
    <xf numFmtId="165" fontId="0" fillId="0" borderId="0" xfId="0" applyNumberFormat="1"/>
    <xf numFmtId="165" fontId="2" fillId="0" borderId="0" xfId="4" applyNumberFormat="1" applyFont="1"/>
    <xf numFmtId="165" fontId="6" fillId="0" borderId="1" xfId="5" applyNumberFormat="1" applyFont="1" applyBorder="1" applyAlignment="1">
      <alignment horizontal="center"/>
    </xf>
    <xf numFmtId="164" fontId="6" fillId="0" borderId="1" xfId="3" applyNumberFormat="1" applyFont="1" applyFill="1" applyBorder="1" applyAlignment="1">
      <alignment horizontal="center"/>
    </xf>
    <xf numFmtId="165" fontId="7" fillId="0" borderId="2" xfId="5" applyNumberFormat="1" applyFont="1" applyBorder="1" applyAlignment="1">
      <alignment horizontal="center"/>
    </xf>
    <xf numFmtId="9" fontId="8" fillId="0" borderId="0" xfId="3" applyFont="1" applyFill="1"/>
    <xf numFmtId="166" fontId="6" fillId="0" borderId="1" xfId="5" applyNumberFormat="1" applyFont="1" applyBorder="1" applyAlignment="1">
      <alignment horizontal="center"/>
    </xf>
    <xf numFmtId="167" fontId="6" fillId="0" borderId="1" xfId="5" applyNumberFormat="1" applyFont="1" applyBorder="1" applyAlignment="1">
      <alignment horizontal="center"/>
    </xf>
    <xf numFmtId="1" fontId="9" fillId="0" borderId="1" xfId="5" applyNumberFormat="1" applyFont="1" applyBorder="1" applyAlignment="1">
      <alignment horizontal="center"/>
    </xf>
    <xf numFmtId="0" fontId="9" fillId="0" borderId="1" xfId="5" applyFont="1" applyBorder="1" applyAlignment="1">
      <alignment horizontal="left"/>
    </xf>
    <xf numFmtId="0" fontId="9" fillId="0" borderId="1" xfId="5" applyFont="1" applyBorder="1" applyAlignment="1">
      <alignment horizontal="center"/>
    </xf>
    <xf numFmtId="0" fontId="10" fillId="0" borderId="1" xfId="5" applyFont="1" applyBorder="1" applyAlignment="1">
      <alignment horizontal="left"/>
    </xf>
    <xf numFmtId="0" fontId="6" fillId="2" borderId="3" xfId="5" applyFont="1" applyFill="1" applyBorder="1" applyAlignment="1" applyProtection="1">
      <alignment vertical="center"/>
      <protection hidden="1"/>
    </xf>
    <xf numFmtId="10" fontId="6" fillId="2" borderId="4" xfId="3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vertical="center"/>
      <protection hidden="1"/>
    </xf>
    <xf numFmtId="168" fontId="0" fillId="0" borderId="0" xfId="2" applyFont="1" applyFill="1"/>
    <xf numFmtId="164" fontId="6" fillId="2" borderId="4" xfId="5" applyNumberFormat="1" applyFont="1" applyFill="1" applyBorder="1" applyAlignment="1" applyProtection="1">
      <alignment vertical="center"/>
      <protection hidden="1"/>
    </xf>
    <xf numFmtId="0" fontId="7" fillId="2" borderId="4" xfId="5" applyFont="1" applyFill="1" applyBorder="1" applyAlignment="1" applyProtection="1">
      <alignment vertical="center"/>
      <protection hidden="1"/>
    </xf>
    <xf numFmtId="0" fontId="6" fillId="2" borderId="5" xfId="5" applyFont="1" applyFill="1" applyBorder="1" applyAlignment="1" applyProtection="1">
      <alignment vertical="center"/>
      <protection hidden="1"/>
    </xf>
    <xf numFmtId="9" fontId="11" fillId="0" borderId="0" xfId="3" applyFont="1" applyFill="1"/>
    <xf numFmtId="0" fontId="12" fillId="2" borderId="3" xfId="5" applyFont="1" applyFill="1" applyBorder="1" applyAlignment="1" applyProtection="1">
      <alignment vertical="center"/>
      <protection hidden="1"/>
    </xf>
    <xf numFmtId="166" fontId="6" fillId="2" borderId="3" xfId="5" applyNumberFormat="1" applyFont="1" applyFill="1" applyBorder="1" applyAlignment="1" applyProtection="1">
      <alignment vertical="center"/>
      <protection hidden="1"/>
    </xf>
    <xf numFmtId="0" fontId="6" fillId="2" borderId="4" xfId="5" applyFont="1" applyFill="1" applyBorder="1" applyAlignment="1" applyProtection="1">
      <alignment horizontal="center" vertical="center"/>
      <protection hidden="1"/>
    </xf>
    <xf numFmtId="0" fontId="6" fillId="2" borderId="4" xfId="5" applyFont="1" applyFill="1" applyBorder="1" applyAlignment="1" applyProtection="1">
      <alignment horizontal="left" vertical="center"/>
      <protection hidden="1"/>
    </xf>
    <xf numFmtId="0" fontId="6" fillId="2" borderId="5" xfId="5" applyFont="1" applyFill="1" applyBorder="1" applyAlignment="1" applyProtection="1">
      <alignment horizontal="left" vertical="center"/>
      <protection hidden="1"/>
    </xf>
    <xf numFmtId="0" fontId="1" fillId="0" borderId="0" xfId="4"/>
    <xf numFmtId="164" fontId="6" fillId="0" borderId="4" xfId="3" applyNumberFormat="1" applyFont="1" applyFill="1" applyBorder="1" applyAlignment="1">
      <alignment horizontal="center"/>
    </xf>
    <xf numFmtId="165" fontId="7" fillId="0" borderId="6" xfId="5" applyNumberFormat="1" applyFont="1" applyBorder="1" applyAlignment="1">
      <alignment horizontal="center"/>
    </xf>
    <xf numFmtId="164" fontId="8" fillId="0" borderId="0" xfId="3" applyNumberFormat="1" applyFont="1" applyFill="1"/>
    <xf numFmtId="166" fontId="6" fillId="0" borderId="3" xfId="5" applyNumberFormat="1" applyFont="1" applyBorder="1" applyAlignment="1">
      <alignment horizontal="center"/>
    </xf>
    <xf numFmtId="167" fontId="6" fillId="0" borderId="4" xfId="5" applyNumberFormat="1" applyFont="1" applyBorder="1" applyAlignment="1">
      <alignment horizontal="center"/>
    </xf>
    <xf numFmtId="1" fontId="9" fillId="0" borderId="4" xfId="5" applyNumberFormat="1" applyFont="1" applyBorder="1" applyAlignment="1">
      <alignment horizontal="center"/>
    </xf>
    <xf numFmtId="0" fontId="9" fillId="0" borderId="4" xfId="5" applyFont="1" applyBorder="1" applyAlignment="1">
      <alignment horizontal="left"/>
    </xf>
    <xf numFmtId="0" fontId="9" fillId="0" borderId="4" xfId="5" applyFont="1" applyBorder="1" applyAlignment="1">
      <alignment horizontal="center"/>
    </xf>
    <xf numFmtId="0" fontId="10" fillId="0" borderId="5" xfId="5" applyFont="1" applyBorder="1" applyAlignment="1">
      <alignment horizontal="left"/>
    </xf>
    <xf numFmtId="2" fontId="6" fillId="2" borderId="5" xfId="5" applyNumberFormat="1" applyFont="1" applyFill="1" applyBorder="1" applyAlignment="1" applyProtection="1">
      <alignment vertical="center"/>
      <protection hidden="1"/>
    </xf>
    <xf numFmtId="1" fontId="9" fillId="0" borderId="7" xfId="5" applyNumberFormat="1" applyFont="1" applyBorder="1" applyAlignment="1">
      <alignment horizontal="left"/>
    </xf>
    <xf numFmtId="0" fontId="10" fillId="0" borderId="1" xfId="5" applyFont="1" applyBorder="1" applyAlignment="1">
      <alignment horizontal="center"/>
    </xf>
    <xf numFmtId="9" fontId="6" fillId="2" borderId="4" xfId="3" applyFont="1" applyFill="1" applyBorder="1" applyAlignment="1" applyProtection="1">
      <alignment vertical="center"/>
      <protection hidden="1"/>
    </xf>
    <xf numFmtId="9" fontId="11" fillId="0" borderId="0" xfId="3" applyFont="1"/>
    <xf numFmtId="9" fontId="6" fillId="0" borderId="1" xfId="3" applyFont="1" applyFill="1" applyBorder="1" applyAlignment="1">
      <alignment horizontal="center"/>
    </xf>
    <xf numFmtId="9" fontId="5" fillId="0" borderId="1" xfId="3" applyFont="1" applyFill="1" applyBorder="1" applyAlignment="1">
      <alignment horizontal="center"/>
    </xf>
    <xf numFmtId="166" fontId="5" fillId="0" borderId="1" xfId="5" applyNumberFormat="1" applyFont="1" applyBorder="1" applyAlignment="1">
      <alignment horizontal="center"/>
    </xf>
    <xf numFmtId="1" fontId="10" fillId="0" borderId="1" xfId="5" applyNumberFormat="1" applyFont="1" applyBorder="1" applyAlignment="1">
      <alignment horizontal="center"/>
    </xf>
    <xf numFmtId="169" fontId="6" fillId="0" borderId="1" xfId="5" applyNumberFormat="1" applyFont="1" applyBorder="1" applyAlignment="1">
      <alignment horizontal="center"/>
    </xf>
    <xf numFmtId="170" fontId="8" fillId="0" borderId="0" xfId="1" applyFont="1"/>
    <xf numFmtId="10" fontId="2" fillId="0" borderId="0" xfId="3" applyNumberFormat="1" applyFont="1"/>
    <xf numFmtId="165" fontId="6" fillId="0" borderId="3" xfId="5" applyNumberFormat="1" applyFont="1" applyBorder="1" applyAlignment="1">
      <alignment horizontal="center"/>
    </xf>
    <xf numFmtId="9" fontId="6" fillId="0" borderId="4" xfId="3" applyFont="1" applyFill="1" applyBorder="1" applyAlignment="1">
      <alignment horizontal="center"/>
    </xf>
    <xf numFmtId="165" fontId="6" fillId="0" borderId="6" xfId="5" applyNumberFormat="1" applyFont="1" applyBorder="1" applyAlignment="1">
      <alignment horizontal="center"/>
    </xf>
    <xf numFmtId="170" fontId="6" fillId="0" borderId="4" xfId="1" applyFont="1" applyFill="1" applyBorder="1" applyAlignment="1">
      <alignment horizontal="center"/>
    </xf>
    <xf numFmtId="164" fontId="6" fillId="0" borderId="6" xfId="3" applyNumberFormat="1" applyFont="1" applyFill="1" applyBorder="1" applyAlignment="1">
      <alignment horizontal="center"/>
    </xf>
    <xf numFmtId="165" fontId="6" fillId="0" borderId="4" xfId="5" applyNumberFormat="1" applyFont="1" applyBorder="1" applyAlignment="1">
      <alignment horizontal="center"/>
    </xf>
    <xf numFmtId="165" fontId="6" fillId="0" borderId="5" xfId="5" applyNumberFormat="1" applyFont="1" applyBorder="1" applyAlignment="1">
      <alignment horizontal="center"/>
    </xf>
    <xf numFmtId="1" fontId="10" fillId="0" borderId="4" xfId="5" applyNumberFormat="1" applyFont="1" applyBorder="1" applyAlignment="1">
      <alignment horizontal="center"/>
    </xf>
    <xf numFmtId="0" fontId="10" fillId="0" borderId="4" xfId="5" applyFont="1" applyBorder="1" applyAlignment="1">
      <alignment horizontal="left"/>
    </xf>
    <xf numFmtId="0" fontId="10" fillId="0" borderId="4" xfId="5" applyFont="1" applyBorder="1" applyAlignment="1">
      <alignment horizontal="center"/>
    </xf>
    <xf numFmtId="170" fontId="6" fillId="0" borderId="1" xfId="1" applyFont="1" applyFill="1" applyBorder="1" applyAlignment="1">
      <alignment horizontal="center"/>
    </xf>
    <xf numFmtId="164" fontId="6" fillId="0" borderId="2" xfId="3" applyNumberFormat="1" applyFont="1" applyFill="1" applyBorder="1" applyAlignment="1">
      <alignment horizontal="center"/>
    </xf>
    <xf numFmtId="0" fontId="9" fillId="0" borderId="5" xfId="5" applyFont="1" applyBorder="1" applyAlignment="1">
      <alignment horizontal="left"/>
    </xf>
    <xf numFmtId="166" fontId="6" fillId="0" borderId="1" xfId="6" applyNumberFormat="1" applyFont="1" applyBorder="1" applyAlignment="1">
      <alignment horizontal="center"/>
    </xf>
    <xf numFmtId="165" fontId="6" fillId="0" borderId="1" xfId="6" applyNumberFormat="1" applyFont="1" applyBorder="1" applyAlignment="1">
      <alignment horizontal="center"/>
    </xf>
    <xf numFmtId="0" fontId="10" fillId="0" borderId="1" xfId="7" applyFont="1" applyBorder="1"/>
    <xf numFmtId="1" fontId="10" fillId="0" borderId="1" xfId="7" applyNumberFormat="1" applyFont="1" applyFill="1" applyBorder="1" applyAlignment="1">
      <alignment horizontal="center"/>
    </xf>
    <xf numFmtId="0" fontId="10" fillId="0" borderId="1" xfId="7" applyFont="1" applyFill="1" applyBorder="1"/>
    <xf numFmtId="0" fontId="10" fillId="0" borderId="1" xfId="7" applyFont="1" applyFill="1" applyBorder="1" applyAlignment="1">
      <alignment horizontal="center"/>
    </xf>
    <xf numFmtId="10" fontId="6" fillId="0" borderId="1" xfId="3" applyNumberFormat="1" applyFont="1" applyFill="1" applyBorder="1" applyAlignment="1">
      <alignment horizontal="center"/>
    </xf>
    <xf numFmtId="165" fontId="6" fillId="3" borderId="1" xfId="5" applyNumberFormat="1" applyFont="1" applyFill="1" applyBorder="1" applyAlignment="1">
      <alignment horizontal="center"/>
    </xf>
    <xf numFmtId="10" fontId="6" fillId="3" borderId="1" xfId="3" applyNumberFormat="1" applyFont="1" applyFill="1" applyBorder="1" applyAlignment="1">
      <alignment horizontal="center"/>
    </xf>
    <xf numFmtId="165" fontId="6" fillId="3" borderId="2" xfId="5" applyNumberFormat="1" applyFont="1" applyFill="1" applyBorder="1" applyAlignment="1">
      <alignment horizontal="center"/>
    </xf>
    <xf numFmtId="164" fontId="6" fillId="3" borderId="1" xfId="3" applyNumberFormat="1" applyFont="1" applyFill="1" applyBorder="1" applyAlignment="1">
      <alignment horizontal="center"/>
    </xf>
    <xf numFmtId="164" fontId="6" fillId="3" borderId="2" xfId="3" applyNumberFormat="1" applyFont="1" applyFill="1" applyBorder="1" applyAlignment="1">
      <alignment horizontal="center"/>
    </xf>
    <xf numFmtId="9" fontId="11" fillId="3" borderId="0" xfId="3" applyFont="1" applyFill="1"/>
    <xf numFmtId="0" fontId="2" fillId="3" borderId="0" xfId="4" applyFont="1" applyFill="1"/>
    <xf numFmtId="166" fontId="6" fillId="3" borderId="1" xfId="6" applyNumberFormat="1" applyFont="1" applyFill="1" applyBorder="1" applyAlignment="1">
      <alignment horizontal="center"/>
    </xf>
    <xf numFmtId="165" fontId="6" fillId="3" borderId="1" xfId="6" applyNumberFormat="1" applyFont="1" applyFill="1" applyBorder="1" applyAlignment="1">
      <alignment horizontal="center"/>
    </xf>
    <xf numFmtId="1" fontId="10" fillId="3" borderId="1" xfId="5" applyNumberFormat="1" applyFont="1" applyFill="1" applyBorder="1" applyAlignment="1">
      <alignment horizontal="center"/>
    </xf>
    <xf numFmtId="0" fontId="10" fillId="3" borderId="1" xfId="7" applyFont="1" applyFill="1" applyBorder="1"/>
    <xf numFmtId="0" fontId="10" fillId="3" borderId="1" xfId="5" applyFont="1" applyFill="1" applyBorder="1" applyAlignment="1">
      <alignment horizontal="center"/>
    </xf>
    <xf numFmtId="1" fontId="10" fillId="0" borderId="1" xfId="7" applyNumberFormat="1" applyFont="1" applyBorder="1" applyAlignment="1">
      <alignment horizontal="center"/>
    </xf>
    <xf numFmtId="0" fontId="10" fillId="0" borderId="1" xfId="7" applyFont="1" applyBorder="1" applyAlignment="1">
      <alignment horizontal="center"/>
    </xf>
    <xf numFmtId="0" fontId="13" fillId="0" borderId="0" xfId="4" applyFont="1"/>
    <xf numFmtId="170" fontId="6" fillId="0" borderId="2" xfId="1" applyFont="1" applyFill="1" applyBorder="1" applyAlignment="1">
      <alignment horizontal="center"/>
    </xf>
    <xf numFmtId="16" fontId="6" fillId="2" borderId="5" xfId="5" applyNumberFormat="1" applyFont="1" applyFill="1" applyBorder="1" applyAlignment="1" applyProtection="1">
      <alignment vertical="center"/>
      <protection hidden="1"/>
    </xf>
    <xf numFmtId="0" fontId="14" fillId="4" borderId="8" xfId="5" applyFont="1" applyFill="1" applyBorder="1" applyAlignment="1">
      <alignment horizontal="center" vertical="distributed"/>
    </xf>
    <xf numFmtId="9" fontId="14" fillId="4" borderId="8" xfId="3" applyFont="1" applyFill="1" applyBorder="1" applyAlignment="1">
      <alignment horizontal="center" vertical="distributed"/>
    </xf>
    <xf numFmtId="0" fontId="14" fillId="4" borderId="8" xfId="5" applyFont="1" applyFill="1" applyBorder="1" applyAlignment="1">
      <alignment horizontal="center" vertical="center" wrapText="1"/>
    </xf>
    <xf numFmtId="164" fontId="14" fillId="4" borderId="8" xfId="5" applyNumberFormat="1" applyFont="1" applyFill="1" applyBorder="1" applyAlignment="1">
      <alignment horizontal="center" vertical="center" wrapText="1"/>
    </xf>
    <xf numFmtId="9" fontId="2" fillId="0" borderId="0" xfId="3" applyFont="1" applyAlignment="1">
      <alignment horizontal="center"/>
    </xf>
    <xf numFmtId="0" fontId="14" fillId="4" borderId="1" xfId="5" applyFont="1" applyFill="1" applyBorder="1" applyAlignment="1">
      <alignment horizontal="center" vertical="distributed"/>
    </xf>
    <xf numFmtId="0" fontId="14" fillId="4" borderId="1" xfId="5" applyFont="1" applyFill="1" applyBorder="1" applyAlignment="1">
      <alignment horizontal="center" vertical="center"/>
    </xf>
    <xf numFmtId="0" fontId="3" fillId="0" borderId="0" xfId="4" applyFont="1" applyAlignment="1">
      <alignment horizontal="center"/>
    </xf>
    <xf numFmtId="9" fontId="4" fillId="0" borderId="0" xfId="3" applyFont="1"/>
    <xf numFmtId="9" fontId="10" fillId="0" borderId="0" xfId="5" applyNumberFormat="1" applyFont="1" applyAlignment="1">
      <alignment horizontal="center"/>
    </xf>
    <xf numFmtId="0" fontId="10" fillId="0" borderId="0" xfId="5" applyFont="1" applyAlignment="1">
      <alignment horizontal="left"/>
    </xf>
    <xf numFmtId="0" fontId="10" fillId="0" borderId="0" xfId="5" applyFont="1" applyAlignment="1">
      <alignment horizontal="center"/>
    </xf>
    <xf numFmtId="9" fontId="15" fillId="0" borderId="9" xfId="3" applyFont="1" applyBorder="1" applyAlignment="1">
      <alignment horizontal="center"/>
    </xf>
    <xf numFmtId="9" fontId="15" fillId="0" borderId="10" xfId="3" applyFont="1" applyBorder="1" applyAlignment="1">
      <alignment horizontal="center"/>
    </xf>
    <xf numFmtId="0" fontId="14" fillId="4" borderId="1" xfId="5" applyFont="1" applyFill="1" applyBorder="1" applyAlignment="1">
      <alignment horizontal="left" vertical="center"/>
    </xf>
    <xf numFmtId="164" fontId="2" fillId="0" borderId="0" xfId="3" applyNumberFormat="1" applyFont="1"/>
    <xf numFmtId="1" fontId="16" fillId="0" borderId="3" xfId="3" applyNumberFormat="1" applyFont="1" applyBorder="1" applyAlignment="1"/>
    <xf numFmtId="1" fontId="16" fillId="0" borderId="5" xfId="3" applyNumberFormat="1" applyFont="1" applyBorder="1" applyAlignment="1">
      <alignment horizontal="left"/>
    </xf>
    <xf numFmtId="168" fontId="2" fillId="0" borderId="0" xfId="2" applyFont="1"/>
    <xf numFmtId="0" fontId="10" fillId="0" borderId="3" xfId="5" applyFont="1" applyBorder="1" applyAlignment="1">
      <alignment horizontal="center"/>
    </xf>
    <xf numFmtId="0" fontId="10" fillId="0" borderId="5" xfId="4" applyFont="1" applyBorder="1" applyAlignment="1">
      <alignment horizontal="left"/>
    </xf>
    <xf numFmtId="170" fontId="2" fillId="0" borderId="0" xfId="1" applyFont="1"/>
    <xf numFmtId="0" fontId="8" fillId="0" borderId="0" xfId="4" applyFont="1"/>
    <xf numFmtId="14" fontId="10" fillId="0" borderId="3" xfId="5" applyNumberFormat="1" applyFont="1" applyBorder="1" applyAlignment="1">
      <alignment horizontal="center"/>
    </xf>
    <xf numFmtId="14" fontId="10" fillId="0" borderId="5" xfId="5" applyNumberFormat="1" applyFont="1" applyBorder="1" applyAlignment="1">
      <alignment horizontal="center"/>
    </xf>
    <xf numFmtId="0" fontId="17" fillId="4" borderId="0" xfId="5" applyFont="1" applyFill="1" applyAlignment="1">
      <alignment horizontal="center" vertical="center"/>
    </xf>
  </cellXfs>
  <cellStyles count="8">
    <cellStyle name="Millares" xfId="1" builtinId="3"/>
    <cellStyle name="Moneda" xfId="2" builtinId="4"/>
    <cellStyle name="Normal" xfId="0" builtinId="0"/>
    <cellStyle name="Normal 3" xfId="7" xr:uid="{087EB7ED-6DC7-469C-845A-7ADDBECDB459}"/>
    <cellStyle name="Normal_ARQUITECTURA DE PRECIOS 1 0" xfId="5" xr:uid="{ABE30C1B-0DEE-4FC1-927C-874AD7B90EBB}"/>
    <cellStyle name="Normal_ARQUITECTURA DE PRECIOS 1 0 2" xfId="6" xr:uid="{7AEFD5BA-6290-41CD-A96B-791AE3787063}"/>
    <cellStyle name="Normal_Precio públicos al 01-03" xfId="4" xr:uid="{61AFEE65-7A87-4042-9A83-0BC9D8130B61}"/>
    <cellStyle name="Porcentaje" xfId="3" builtinId="5"/>
  </cellStyles>
  <dxfs count="242"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b/>
        <i val="0"/>
        <condense val="0"/>
        <extend val="0"/>
        <color indexed="10"/>
      </font>
      <fill>
        <patternFill patternType="none">
          <bgColor indexed="65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16E50-83D4-48A9-8296-CE2505D3CB5C}">
  <sheetPr>
    <tabColor rgb="FF00B050"/>
    <pageSetUpPr fitToPage="1"/>
  </sheetPr>
  <dimension ref="A1:AU196"/>
  <sheetViews>
    <sheetView showGridLines="0" tabSelected="1" topLeftCell="D1" zoomScale="70" zoomScaleNormal="70" workbookViewId="0">
      <selection activeCell="N127" sqref="N127"/>
    </sheetView>
  </sheetViews>
  <sheetFormatPr baseColWidth="10" defaultColWidth="9.1796875" defaultRowHeight="13" x14ac:dyDescent="0.3"/>
  <cols>
    <col min="1" max="1" width="13.453125" style="8" customWidth="1"/>
    <col min="2" max="2" width="15.453125" style="8" customWidth="1"/>
    <col min="3" max="3" width="14.54296875" style="7" customWidth="1"/>
    <col min="4" max="4" width="31.7265625" style="1" customWidth="1"/>
    <col min="5" max="5" width="13.453125" style="7" customWidth="1"/>
    <col min="6" max="6" width="6.81640625" style="1" customWidth="1"/>
    <col min="7" max="7" width="6.1796875" style="1" customWidth="1"/>
    <col min="8" max="8" width="3" style="1" customWidth="1"/>
    <col min="9" max="9" width="11.7265625" style="1" bestFit="1" customWidth="1"/>
    <col min="10" max="10" width="11.7265625" style="6" bestFit="1" customWidth="1"/>
    <col min="11" max="11" width="6.26953125" style="5" bestFit="1" customWidth="1"/>
    <col min="12" max="12" width="9.54296875" style="1" customWidth="1"/>
    <col min="13" max="13" width="9.26953125" style="1" customWidth="1"/>
    <col min="14" max="14" width="12.54296875" style="4" bestFit="1" customWidth="1"/>
    <col min="15" max="15" width="7" style="3" customWidth="1"/>
    <col min="16" max="16" width="8.26953125" style="1" customWidth="1"/>
    <col min="17" max="17" width="6.1796875" style="3" customWidth="1"/>
    <col min="18" max="18" width="8.1796875" style="1" customWidth="1"/>
    <col min="19" max="19" width="8.453125" style="1" customWidth="1"/>
    <col min="20" max="20" width="9.54296875" style="1" bestFit="1" customWidth="1"/>
    <col min="21" max="21" width="7.81640625" style="1" customWidth="1"/>
    <col min="22" max="22" width="9.26953125" style="1" bestFit="1" customWidth="1"/>
    <col min="23" max="23" width="8.1796875" style="2" bestFit="1" customWidth="1"/>
    <col min="24" max="24" width="8.1796875" style="1" bestFit="1" customWidth="1"/>
    <col min="25" max="16384" width="9.1796875" style="1"/>
  </cols>
  <sheetData>
    <row r="1" spans="1:24" ht="27" customHeight="1" x14ac:dyDescent="0.3">
      <c r="A1" s="121" t="s">
        <v>171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1"/>
      <c r="P1" s="121"/>
      <c r="Q1" s="121"/>
      <c r="R1" s="121"/>
      <c r="S1" s="121"/>
    </row>
    <row r="2" spans="1:24" ht="11.25" customHeight="1" x14ac:dyDescent="0.3">
      <c r="A2" s="106"/>
      <c r="B2" s="106"/>
      <c r="C2" s="107"/>
      <c r="N2" s="1"/>
    </row>
    <row r="3" spans="1:24" x14ac:dyDescent="0.3">
      <c r="A3" s="110" t="s">
        <v>170</v>
      </c>
      <c r="B3" s="120">
        <f ca="1">++TODAY()</f>
        <v>46083</v>
      </c>
      <c r="C3" s="119"/>
      <c r="K3" s="104"/>
      <c r="N3" s="1"/>
      <c r="O3" s="118"/>
    </row>
    <row r="4" spans="1:24" x14ac:dyDescent="0.3">
      <c r="A4" s="106" t="s">
        <v>169</v>
      </c>
      <c r="B4" s="106"/>
      <c r="C4" s="107"/>
      <c r="N4" s="1"/>
      <c r="O4" s="117"/>
      <c r="T4" s="13"/>
    </row>
    <row r="5" spans="1:24" x14ac:dyDescent="0.3">
      <c r="A5" s="110" t="s">
        <v>168</v>
      </c>
      <c r="B5" s="116"/>
      <c r="C5" s="115"/>
      <c r="N5" s="1"/>
      <c r="O5" s="114"/>
      <c r="Q5" s="114"/>
    </row>
    <row r="6" spans="1:24" x14ac:dyDescent="0.3">
      <c r="A6" s="110" t="s">
        <v>167</v>
      </c>
      <c r="B6" s="113">
        <v>325103863</v>
      </c>
      <c r="C6" s="112"/>
      <c r="D6" s="8"/>
      <c r="N6" s="1"/>
      <c r="T6" s="111"/>
    </row>
    <row r="7" spans="1:24" x14ac:dyDescent="0.3">
      <c r="A7" s="110" t="s">
        <v>166</v>
      </c>
      <c r="B7" s="109" t="s">
        <v>165</v>
      </c>
      <c r="C7" s="108"/>
      <c r="D7" s="107"/>
      <c r="E7" s="107"/>
      <c r="N7" s="1"/>
    </row>
    <row r="8" spans="1:24" x14ac:dyDescent="0.3">
      <c r="B8" s="106"/>
      <c r="C8" s="105"/>
      <c r="D8" s="105"/>
      <c r="E8" s="105"/>
      <c r="J8" s="104"/>
      <c r="N8" s="103"/>
    </row>
    <row r="9" spans="1:24" s="7" customFormat="1" ht="34.5" customHeight="1" x14ac:dyDescent="0.3">
      <c r="A9" s="101" t="s">
        <v>164</v>
      </c>
      <c r="B9" s="101" t="s">
        <v>163</v>
      </c>
      <c r="C9" s="101" t="s">
        <v>162</v>
      </c>
      <c r="D9" s="102" t="s">
        <v>161</v>
      </c>
      <c r="E9" s="101" t="s">
        <v>160</v>
      </c>
      <c r="F9" s="101" t="s">
        <v>159</v>
      </c>
      <c r="G9" s="101" t="s">
        <v>158</v>
      </c>
      <c r="I9" s="101" t="s">
        <v>157</v>
      </c>
      <c r="J9" s="101" t="s">
        <v>156</v>
      </c>
      <c r="K9" s="100"/>
      <c r="L9" s="98" t="s">
        <v>155</v>
      </c>
      <c r="M9" s="98" t="s">
        <v>154</v>
      </c>
      <c r="N9" s="98" t="s">
        <v>150</v>
      </c>
      <c r="O9" s="99" t="s">
        <v>153</v>
      </c>
      <c r="P9" s="98" t="s">
        <v>152</v>
      </c>
      <c r="Q9" s="99" t="s">
        <v>151</v>
      </c>
      <c r="R9" s="98" t="s">
        <v>150</v>
      </c>
      <c r="S9" s="98" t="s">
        <v>149</v>
      </c>
      <c r="V9" s="96" t="s">
        <v>148</v>
      </c>
      <c r="W9" s="97" t="s">
        <v>147</v>
      </c>
      <c r="X9" s="96" t="s">
        <v>146</v>
      </c>
    </row>
    <row r="10" spans="1:24" x14ac:dyDescent="0.3">
      <c r="A10" s="36"/>
      <c r="B10" s="35"/>
      <c r="C10" s="34"/>
      <c r="D10" s="26"/>
      <c r="E10" s="34"/>
      <c r="F10" s="26"/>
      <c r="G10" s="24"/>
      <c r="I10" s="30"/>
      <c r="J10" s="32"/>
      <c r="L10" s="30"/>
      <c r="M10" s="26"/>
      <c r="N10" s="26"/>
      <c r="O10" s="28"/>
      <c r="P10" s="26"/>
      <c r="Q10" s="28"/>
      <c r="R10" s="26"/>
      <c r="S10" s="24"/>
      <c r="U10"/>
      <c r="V10" s="95">
        <v>46083</v>
      </c>
      <c r="W10" s="50"/>
      <c r="X10" s="24"/>
    </row>
    <row r="11" spans="1:24" s="93" customFormat="1" x14ac:dyDescent="0.3">
      <c r="A11" s="21" t="s">
        <v>105</v>
      </c>
      <c r="B11" s="21" t="s">
        <v>109</v>
      </c>
      <c r="C11" s="92">
        <v>100021632</v>
      </c>
      <c r="D11" s="74" t="s">
        <v>145</v>
      </c>
      <c r="E11" s="55">
        <v>7790360026606</v>
      </c>
      <c r="F11" s="14">
        <v>4.8</v>
      </c>
      <c r="G11" s="18">
        <v>30</v>
      </c>
      <c r="I11" s="14">
        <f>+L11*1.55*1.21</f>
        <v>3614.9699831245002</v>
      </c>
      <c r="J11" s="14">
        <f>+I11*0.8</f>
        <v>2891.9759864996004</v>
      </c>
      <c r="K11" s="51"/>
      <c r="L11" s="11">
        <f>+IF(ISERROR(N11/G11),"",(N11/G11))</f>
        <v>1927.4699990000001</v>
      </c>
      <c r="M11" s="11">
        <v>1448.54025</v>
      </c>
      <c r="N11" s="16">
        <v>57824.099970000003</v>
      </c>
      <c r="O11" s="70"/>
      <c r="P11" s="11">
        <f>+IF(ISERROR(N11/(1-O11)),"",(N11/(1-O11)))</f>
        <v>57824.099970000003</v>
      </c>
      <c r="Q11" s="94"/>
      <c r="R11" s="11">
        <f>+IF(ISERROR(P11/(1-Q11)),"",(P11/(1-Q11)))</f>
        <v>57824.099970000003</v>
      </c>
      <c r="S11" s="11">
        <f>+IF(ISERROR(R11/G11),"",(R11/G11))</f>
        <v>1927.4699990000001</v>
      </c>
      <c r="T11" s="13"/>
      <c r="U11" s="12"/>
      <c r="V11" s="11">
        <v>53049.63</v>
      </c>
      <c r="W11" s="78">
        <f>+IF(ISERROR(N11/V11-1),"",(N11/V11-1))</f>
        <v>9.0000061640392426E-2</v>
      </c>
      <c r="X11" s="11">
        <f>+IF(ISERROR(V11*(1-O11)),"",(V11*(1-O11)))</f>
        <v>53049.63</v>
      </c>
    </row>
    <row r="12" spans="1:24" x14ac:dyDescent="0.3">
      <c r="A12" s="21" t="s">
        <v>105</v>
      </c>
      <c r="B12" s="21" t="s">
        <v>109</v>
      </c>
      <c r="C12" s="77">
        <v>100021652</v>
      </c>
      <c r="D12" s="74" t="s">
        <v>144</v>
      </c>
      <c r="E12" s="55">
        <v>7790360026576</v>
      </c>
      <c r="F12" s="14">
        <v>5.76</v>
      </c>
      <c r="G12" s="18">
        <v>18</v>
      </c>
      <c r="I12" s="14">
        <f>+L12*1.55*1.21</f>
        <v>8408.3357042544449</v>
      </c>
      <c r="J12" s="14">
        <f>+I12*0.8</f>
        <v>6726.6685634035566</v>
      </c>
      <c r="K12" s="51"/>
      <c r="L12" s="14">
        <f>+IF(ISERROR(N12/G12),"",(N12/G12))</f>
        <v>4483.2501755555559</v>
      </c>
      <c r="M12" s="14">
        <v>1784.0022499999998</v>
      </c>
      <c r="N12" s="16">
        <v>80698.503160000007</v>
      </c>
      <c r="O12" s="70"/>
      <c r="P12" s="11">
        <f>+IF(ISERROR(N12/(1-O12)),"",(N12/(1-O12)))</f>
        <v>80698.503160000007</v>
      </c>
      <c r="Q12" s="69"/>
      <c r="R12" s="11">
        <f>+IF(ISERROR(P12/(1-Q12)),"",(P12/(1-Q12)))</f>
        <v>80698.503160000007</v>
      </c>
      <c r="S12" s="14">
        <f>+IF(ISERROR(R12/G12),"",(R12/G12))</f>
        <v>4483.2501755555559</v>
      </c>
      <c r="T12" s="13"/>
      <c r="U12" s="12"/>
      <c r="V12" s="11">
        <v>74035.320000000007</v>
      </c>
      <c r="W12" s="78">
        <f>+IF(ISERROR(N12/V12-1),"",(N12/V12-1))</f>
        <v>9.000005889081053E-2</v>
      </c>
      <c r="X12" s="14">
        <f>+IF(ISERROR(V12*(1-O12)),"",(V12*(1-O12)))</f>
        <v>74035.320000000007</v>
      </c>
    </row>
    <row r="13" spans="1:24" x14ac:dyDescent="0.3">
      <c r="A13" s="21" t="s">
        <v>105</v>
      </c>
      <c r="B13" s="21" t="s">
        <v>109</v>
      </c>
      <c r="C13" s="77">
        <v>100021631</v>
      </c>
      <c r="D13" s="74" t="s">
        <v>143</v>
      </c>
      <c r="E13" s="55">
        <v>7790360026590</v>
      </c>
      <c r="F13" s="14">
        <v>7.68</v>
      </c>
      <c r="G13" s="18">
        <v>8</v>
      </c>
      <c r="I13" s="14">
        <f>+L13*1.55*1.21</f>
        <v>24382.259190678127</v>
      </c>
      <c r="J13" s="14">
        <f>+I13*0.8</f>
        <v>19505.807352542502</v>
      </c>
      <c r="K13" s="51"/>
      <c r="L13" s="14">
        <f>+IF(ISERROR(N13/G13),"",(N13/G13))</f>
        <v>13000.404793750002</v>
      </c>
      <c r="M13" s="14">
        <f>+N13/F13</f>
        <v>13542.088326822919</v>
      </c>
      <c r="N13" s="16">
        <v>104003.23835000001</v>
      </c>
      <c r="O13" s="70"/>
      <c r="P13" s="11">
        <f>+IF(ISERROR(N13/(1-O13)),"",(N13/(1-O13)))</f>
        <v>104003.23835000001</v>
      </c>
      <c r="Q13" s="69"/>
      <c r="R13" s="11">
        <f>+IF(ISERROR(P13/(1-Q13)),"",(P13/(1-Q13)))</f>
        <v>104003.23835000001</v>
      </c>
      <c r="S13" s="14">
        <f>+IF(ISERROR(R13/G13),"",(R13/G13))</f>
        <v>13000.404793750002</v>
      </c>
      <c r="T13" s="13"/>
      <c r="U13" s="12"/>
      <c r="V13" s="11">
        <v>95415.81</v>
      </c>
      <c r="W13" s="78">
        <f>+IF(ISERROR(N13/V13-1),"",(N13/V13-1))</f>
        <v>9.0000057118416965E-2</v>
      </c>
      <c r="X13" s="14">
        <f>+IF(ISERROR(V13*(1-O13)),"",(V13*(1-O13)))</f>
        <v>95415.81</v>
      </c>
    </row>
    <row r="14" spans="1:24" x14ac:dyDescent="0.3">
      <c r="A14" s="21" t="s">
        <v>105</v>
      </c>
      <c r="B14" s="21" t="s">
        <v>109</v>
      </c>
      <c r="C14" s="77">
        <v>100021630</v>
      </c>
      <c r="D14" s="74" t="s">
        <v>142</v>
      </c>
      <c r="E14" s="55">
        <v>7790360026583</v>
      </c>
      <c r="F14" s="14">
        <v>9.6</v>
      </c>
      <c r="G14" s="18">
        <v>6</v>
      </c>
      <c r="I14" s="14">
        <f>+L14*1.55*1.21</f>
        <v>40637.10146203584</v>
      </c>
      <c r="J14" s="14">
        <f>+I14*0.8</f>
        <v>32509.681169628675</v>
      </c>
      <c r="K14" s="51"/>
      <c r="L14" s="14">
        <f>+IF(ISERROR(N14/G14),"",(N14/G14))</f>
        <v>21667.342821666669</v>
      </c>
      <c r="M14" s="14">
        <f>+N14/F14</f>
        <v>13542.089263541669</v>
      </c>
      <c r="N14" s="16">
        <v>130004.05693000002</v>
      </c>
      <c r="O14" s="70"/>
      <c r="P14" s="11">
        <f>+IF(ISERROR(N14/(1-O14)),"",(N14/(1-O14)))</f>
        <v>130004.05693000002</v>
      </c>
      <c r="Q14" s="69"/>
      <c r="R14" s="11">
        <f>+IF(ISERROR(P14/(1-Q14)),"",(P14/(1-Q14)))</f>
        <v>130004.05693000002</v>
      </c>
      <c r="S14" s="14">
        <f>+IF(ISERROR(R14/G14),"",(R14/G14))</f>
        <v>21667.342821666669</v>
      </c>
      <c r="T14" s="13"/>
      <c r="U14" s="12"/>
      <c r="V14" s="11">
        <v>119269.77</v>
      </c>
      <c r="W14" s="78">
        <f>+IF(ISERROR(N14/V14-1),"",(N14/V14-1))</f>
        <v>9.0000063972622835E-2</v>
      </c>
      <c r="X14" s="14">
        <f>+IF(ISERROR(V14*(1-O14)),"",(V14*(1-O14)))</f>
        <v>119269.77</v>
      </c>
    </row>
    <row r="15" spans="1:24" x14ac:dyDescent="0.3">
      <c r="A15" s="21" t="s">
        <v>105</v>
      </c>
      <c r="B15" s="21" t="s">
        <v>109</v>
      </c>
      <c r="C15" s="49">
        <v>100021653</v>
      </c>
      <c r="D15" s="23" t="s">
        <v>141</v>
      </c>
      <c r="E15" s="55">
        <v>7790360026682</v>
      </c>
      <c r="F15" s="14">
        <v>5.76</v>
      </c>
      <c r="G15" s="18">
        <v>18</v>
      </c>
      <c r="I15" s="14">
        <f>+L15*1.55*1.21</f>
        <v>7580.4173536361104</v>
      </c>
      <c r="J15" s="14">
        <f>+I15*0.8</f>
        <v>6064.3338829088889</v>
      </c>
      <c r="K15" s="51"/>
      <c r="L15" s="14">
        <f>+IF(ISERROR(N15/G15),"",(N15/G15))</f>
        <v>4041.8114388888885</v>
      </c>
      <c r="M15" s="14">
        <f>+N15/F15</f>
        <v>12630.660746527778</v>
      </c>
      <c r="N15" s="16">
        <v>72752.605899999995</v>
      </c>
      <c r="O15" s="70"/>
      <c r="P15" s="11">
        <f>+IF(ISERROR(N15/(1-O15)),"",(N15/(1-O15)))</f>
        <v>72752.605899999995</v>
      </c>
      <c r="Q15" s="69"/>
      <c r="R15" s="11">
        <f>+IF(ISERROR(P15/(1-Q15)),"",(P15/(1-Q15)))</f>
        <v>72752.605899999995</v>
      </c>
      <c r="S15" s="14">
        <f>+IF(ISERROR(R15/G15),"",(R15/G15))</f>
        <v>4041.8114388888885</v>
      </c>
      <c r="T15" s="13"/>
      <c r="U15" s="12"/>
      <c r="V15" s="11">
        <v>66745.509999999995</v>
      </c>
      <c r="W15" s="78">
        <f>+IF(ISERROR(N15/V15-1),"",(N15/V15-1))</f>
        <v>9.000000000000008E-2</v>
      </c>
      <c r="X15" s="14">
        <f>+IF(ISERROR(V15*(1-O15)),"",(V15*(1-O15)))</f>
        <v>66745.509999999995</v>
      </c>
    </row>
    <row r="16" spans="1:24" x14ac:dyDescent="0.3">
      <c r="A16" s="21" t="s">
        <v>105</v>
      </c>
      <c r="B16" s="21" t="s">
        <v>109</v>
      </c>
      <c r="C16" s="92">
        <v>100516169</v>
      </c>
      <c r="D16" s="74" t="s">
        <v>140</v>
      </c>
      <c r="E16" s="91">
        <v>7790360967961</v>
      </c>
      <c r="F16" s="14">
        <v>5.76</v>
      </c>
      <c r="G16" s="18">
        <v>18</v>
      </c>
      <c r="I16" s="14">
        <f>+L16*1.55*1.21</f>
        <v>6649.7100332666678</v>
      </c>
      <c r="J16" s="14">
        <f>+I16*0.8</f>
        <v>5319.7680266133348</v>
      </c>
      <c r="K16" s="51"/>
      <c r="L16" s="14">
        <f>+IF(ISERROR(N16/G16),"",(N16/G16))</f>
        <v>3545.5665333333336</v>
      </c>
      <c r="M16" s="14">
        <f>+N16/F16</f>
        <v>11079.895416666668</v>
      </c>
      <c r="N16" s="16">
        <v>63820.197600000007</v>
      </c>
      <c r="O16" s="70"/>
      <c r="P16" s="11">
        <f>+IF(ISERROR(N16/(1-O16)),"",(N16/(1-O16)))</f>
        <v>63820.197600000007</v>
      </c>
      <c r="Q16" s="69"/>
      <c r="R16" s="11">
        <f>+IF(ISERROR(P16/(1-Q16)),"",(P16/(1-Q16)))</f>
        <v>63820.197600000007</v>
      </c>
      <c r="S16" s="14">
        <f>+IF(ISERROR(R16/G16),"",(R16/G16))</f>
        <v>3545.5665333333336</v>
      </c>
      <c r="T16" s="13"/>
      <c r="U16" s="12"/>
      <c r="V16" s="11">
        <v>58550.64</v>
      </c>
      <c r="W16" s="78">
        <f>+IF(ISERROR(N16/V16-1),"",(N16/V16-1))</f>
        <v>9.000000000000008E-2</v>
      </c>
      <c r="X16" s="14">
        <f>+IF(ISERROR(V16*(1-O16)),"",(V16*(1-O16)))</f>
        <v>58550.64</v>
      </c>
    </row>
    <row r="17" spans="1:24" x14ac:dyDescent="0.3">
      <c r="A17" s="21" t="s">
        <v>105</v>
      </c>
      <c r="B17" s="21" t="s">
        <v>109</v>
      </c>
      <c r="C17" s="92">
        <v>100520337</v>
      </c>
      <c r="D17" s="74" t="s">
        <v>139</v>
      </c>
      <c r="E17" s="91">
        <v>7790360977960</v>
      </c>
      <c r="F17" s="14">
        <v>4.8</v>
      </c>
      <c r="G17" s="18">
        <v>30</v>
      </c>
      <c r="I17" s="14">
        <f>+L17*1.55*1.21</f>
        <v>2565.5055911869999</v>
      </c>
      <c r="J17" s="14">
        <f>+I17*0.8</f>
        <v>2052.4044729495999</v>
      </c>
      <c r="K17" s="51"/>
      <c r="L17" s="14">
        <f>+IF(ISERROR(N17/G17),"",(N17/G17))</f>
        <v>1367.9048740000001</v>
      </c>
      <c r="M17" s="14">
        <f>+IF(ISERROR(N17/F17),"",(N17/F17))</f>
        <v>8549.4054625000008</v>
      </c>
      <c r="N17" s="16">
        <v>41037.146220000002</v>
      </c>
      <c r="O17" s="70"/>
      <c r="P17" s="11">
        <f>+IF(ISERROR(N17/(1-O17)),"",(N17/(1-O17)))</f>
        <v>41037.146220000002</v>
      </c>
      <c r="Q17" s="69"/>
      <c r="R17" s="11">
        <f>+IF(ISERROR(P17/(1-Q17)),"",(P17/(1-Q17)))</f>
        <v>41037.146220000002</v>
      </c>
      <c r="S17" s="14">
        <f>+IF(ISERROR(R17/G17),"",(R17/G17))</f>
        <v>1367.9048740000001</v>
      </c>
      <c r="T17" s="13"/>
      <c r="U17" s="12"/>
      <c r="V17" s="11">
        <v>37648.76</v>
      </c>
      <c r="W17" s="78">
        <f>+IF(ISERROR(N17/V17-1),"",(N17/V17-1))</f>
        <v>8.9999942096366414E-2</v>
      </c>
      <c r="X17" s="14">
        <f>+IF(ISERROR(V17*(1-O17)),"",(V17*(1-O17)))</f>
        <v>37648.76</v>
      </c>
    </row>
    <row r="18" spans="1:24" x14ac:dyDescent="0.3">
      <c r="A18" s="21" t="s">
        <v>105</v>
      </c>
      <c r="B18" s="21" t="s">
        <v>109</v>
      </c>
      <c r="C18" s="92">
        <v>100021503</v>
      </c>
      <c r="D18" s="74" t="s">
        <v>138</v>
      </c>
      <c r="E18" s="91">
        <v>7790360966841</v>
      </c>
      <c r="F18" s="14">
        <v>3.3119999999999998</v>
      </c>
      <c r="G18" s="18">
        <v>12</v>
      </c>
      <c r="I18" s="14">
        <f>+L18*1.55*1.21</f>
        <v>5334.9782628450002</v>
      </c>
      <c r="J18" s="14">
        <f>+I18*0.8</f>
        <v>4267.9826102760007</v>
      </c>
      <c r="K18" s="51"/>
      <c r="L18" s="14">
        <f>+IF(ISERROR(N18/G18),"",(N18/G18))</f>
        <v>2844.5631900000003</v>
      </c>
      <c r="M18" s="14">
        <f>+IF(ISERROR(N18/F18),"",(N18/F18))</f>
        <v>10306.388369565218</v>
      </c>
      <c r="N18" s="16">
        <v>34134.758280000002</v>
      </c>
      <c r="O18" s="70"/>
      <c r="P18" s="11">
        <f>+IF(ISERROR(N18/(1-O18)),"",(N18/(1-O18)))</f>
        <v>34134.758280000002</v>
      </c>
      <c r="Q18" s="69"/>
      <c r="R18" s="11">
        <f>+IF(ISERROR(P18/(1-Q18)),"",(P18/(1-Q18)))</f>
        <v>34134.758280000002</v>
      </c>
      <c r="S18" s="14">
        <f>+IF(ISERROR(R18/G18),"",(R18/G18))</f>
        <v>2844.5631900000003</v>
      </c>
      <c r="T18" s="13"/>
      <c r="U18" s="12"/>
      <c r="V18" s="11">
        <v>31316.29</v>
      </c>
      <c r="W18" s="78">
        <f>+IF(ISERROR(N18/V18-1),"",(N18/V18-1))</f>
        <v>9.0000069612332867E-2</v>
      </c>
      <c r="X18" s="14">
        <f>+IF(ISERROR(V18*(1-O18)),"",(V18*(1-O18)))</f>
        <v>31316.29</v>
      </c>
    </row>
    <row r="19" spans="1:24" x14ac:dyDescent="0.3">
      <c r="A19" s="21" t="s">
        <v>105</v>
      </c>
      <c r="B19" s="21" t="s">
        <v>109</v>
      </c>
      <c r="C19" s="49">
        <v>100516201</v>
      </c>
      <c r="D19" s="74" t="s">
        <v>137</v>
      </c>
      <c r="E19" s="55">
        <v>7790360968548</v>
      </c>
      <c r="F19" s="73">
        <v>6.6239999999999997</v>
      </c>
      <c r="G19" s="72">
        <v>8</v>
      </c>
      <c r="I19" s="14">
        <f>+L19*1.55*1.21</f>
        <v>13926.963094852501</v>
      </c>
      <c r="J19" s="14">
        <f>+I19*0.8</f>
        <v>11141.570475882001</v>
      </c>
      <c r="K19" s="51"/>
      <c r="L19" s="14">
        <f>+IF(ISERROR(N19/G19),"",(N19/G19))</f>
        <v>7425.7334550000005</v>
      </c>
      <c r="M19" s="14">
        <f>+IF(ISERROR(N19/F19),"",(N19/F19))</f>
        <v>8968.2771195652185</v>
      </c>
      <c r="N19" s="16">
        <v>59405.867640000004</v>
      </c>
      <c r="O19" s="70"/>
      <c r="P19" s="11">
        <f>+IF(ISERROR(N19/(1-O19)),"",(N19/(1-O19)))</f>
        <v>59405.867640000004</v>
      </c>
      <c r="Q19" s="15"/>
      <c r="R19" s="11">
        <f>+IF(ISERROR(P19/(1-Q19)),"",(P19/(1-Q19)))</f>
        <v>59405.867640000004</v>
      </c>
      <c r="S19" s="14">
        <f>+IF(ISERROR(R19/G19),"",(R19/G19))</f>
        <v>7425.7334550000005</v>
      </c>
      <c r="T19" s="13"/>
      <c r="U19" s="12"/>
      <c r="V19" s="11">
        <v>54500.800000000003</v>
      </c>
      <c r="W19" s="78">
        <f>+IF(ISERROR(N19/V19-1),"",(N19/V19-1))</f>
        <v>8.9999920001174294E-2</v>
      </c>
      <c r="X19" s="14">
        <f>+IF(ISERROR(V19*(1-O19)),"",(V19*(1-O19)))</f>
        <v>54500.800000000003</v>
      </c>
    </row>
    <row r="20" spans="1:24" x14ac:dyDescent="0.3">
      <c r="A20" s="21" t="s">
        <v>105</v>
      </c>
      <c r="B20" s="21" t="s">
        <v>109</v>
      </c>
      <c r="C20" s="49">
        <v>100021643</v>
      </c>
      <c r="D20" s="74" t="s">
        <v>136</v>
      </c>
      <c r="E20" s="55">
        <v>7790360966797</v>
      </c>
      <c r="F20" s="73">
        <v>4.7039999999999997</v>
      </c>
      <c r="G20" s="72">
        <v>42</v>
      </c>
      <c r="I20" s="14">
        <f>+L20*1.55*1.21</f>
        <v>2286.6114192350001</v>
      </c>
      <c r="J20" s="14">
        <f>+I20*0.8</f>
        <v>1829.2891353880002</v>
      </c>
      <c r="K20" s="51"/>
      <c r="L20" s="14">
        <f>+IF(ISERROR(N20/G20),"",(N20/G20))</f>
        <v>1219.2009700000001</v>
      </c>
      <c r="M20" s="14">
        <f>+IF(ISERROR(N20/F20),"",(N20/F20))</f>
        <v>10885.722946428574</v>
      </c>
      <c r="N20" s="16">
        <v>51206.440740000005</v>
      </c>
      <c r="O20" s="70"/>
      <c r="P20" s="11">
        <f>+IF(ISERROR(N20/(1-O20)),"",(N20/(1-O20)))</f>
        <v>51206.440740000005</v>
      </c>
      <c r="Q20" s="15"/>
      <c r="R20" s="11">
        <f>+IF(ISERROR(P20/(1-Q20)),"",(P20/(1-Q20)))</f>
        <v>51206.440740000005</v>
      </c>
      <c r="S20" s="14">
        <f>+IF(ISERROR(R20/G20),"",(R20/G20))</f>
        <v>1219.2009700000001</v>
      </c>
      <c r="T20" s="13"/>
      <c r="U20" s="12"/>
      <c r="V20" s="11">
        <v>46978.39</v>
      </c>
      <c r="W20" s="78">
        <f>+IF(ISERROR(N20/V20-1),"",(N20/V20-1))</f>
        <v>8.999990719137041E-2</v>
      </c>
      <c r="X20" s="14">
        <f>+IF(ISERROR(V20*(1-O20)),"",(V20*(1-O20)))</f>
        <v>46978.39</v>
      </c>
    </row>
    <row r="21" spans="1:24" hidden="1" x14ac:dyDescent="0.3">
      <c r="A21" s="21" t="s">
        <v>105</v>
      </c>
      <c r="B21" s="21" t="s">
        <v>109</v>
      </c>
      <c r="C21" s="90">
        <v>100516075</v>
      </c>
      <c r="D21" s="89" t="s">
        <v>135</v>
      </c>
      <c r="E21" s="88">
        <v>7790360968470</v>
      </c>
      <c r="F21" s="87">
        <v>4.7039999999999997</v>
      </c>
      <c r="G21" s="86">
        <v>21</v>
      </c>
      <c r="H21" s="85"/>
      <c r="I21" s="14" t="e">
        <f>+L21*1.55*1.21</f>
        <v>#VALUE!</v>
      </c>
      <c r="J21" s="14" t="e">
        <f>+I21*0.8</f>
        <v>#VALUE!</v>
      </c>
      <c r="K21" s="84"/>
      <c r="L21" s="79" t="str">
        <f>+IF(ISERROR(N21/G21),"",(N21/G21))</f>
        <v/>
      </c>
      <c r="M21" s="79" t="str">
        <f>+IF(ISERROR(N21/F21),"",(N21/F21))</f>
        <v/>
      </c>
      <c r="N21" s="16" t="e">
        <v>#VALUE!</v>
      </c>
      <c r="O21" s="83"/>
      <c r="P21" s="11" t="str">
        <f>+IF(ISERROR(N21/(1-O21)),"",(N21/(1-O21)))</f>
        <v/>
      </c>
      <c r="Q21" s="82"/>
      <c r="R21" s="11" t="str">
        <f>+IF(ISERROR(P21/(1-Q21)),"",(P21/(1-Q21)))</f>
        <v/>
      </c>
      <c r="S21" s="79" t="str">
        <f>+IF(ISERROR(R21/G21),"",(R21/G21))</f>
        <v/>
      </c>
      <c r="T21" s="13"/>
      <c r="U21" s="12"/>
      <c r="V21" s="81" t="s">
        <v>32</v>
      </c>
      <c r="W21" s="80" t="str">
        <f>+IF(ISERROR(N21/V21-1),"",(N21/V21-1))</f>
        <v/>
      </c>
      <c r="X21" s="79" t="str">
        <f>+IF(ISERROR(V21*(1-O21)),"",(V21*(1-O21)))</f>
        <v/>
      </c>
    </row>
    <row r="22" spans="1:24" x14ac:dyDescent="0.3">
      <c r="A22" s="21" t="s">
        <v>105</v>
      </c>
      <c r="B22" s="21" t="s">
        <v>109</v>
      </c>
      <c r="C22" s="49">
        <v>100516325</v>
      </c>
      <c r="D22" s="74" t="s">
        <v>134</v>
      </c>
      <c r="E22" s="55">
        <v>7790360967763</v>
      </c>
      <c r="F22" s="73">
        <v>4.7039999999999997</v>
      </c>
      <c r="G22" s="72">
        <v>21</v>
      </c>
      <c r="I22" s="14">
        <f>+L22*1.55*1.21</f>
        <v>3731.2962970800004</v>
      </c>
      <c r="J22" s="14">
        <f>+I22*0.8</f>
        <v>2985.0370376640003</v>
      </c>
      <c r="K22" s="51"/>
      <c r="L22" s="14">
        <f>+IF(ISERROR(N22/G22),"",(N22/G22))</f>
        <v>1989.4941600000002</v>
      </c>
      <c r="M22" s="14">
        <f>+IF(ISERROR(N22/F22),"",(N22/F22))</f>
        <v>8881.6703571428588</v>
      </c>
      <c r="N22" s="16">
        <v>41779.377360000006</v>
      </c>
      <c r="O22" s="70"/>
      <c r="P22" s="11">
        <f>+IF(ISERROR(N22/(1-O22)),"",(N22/(1-O22)))</f>
        <v>41779.377360000006</v>
      </c>
      <c r="Q22" s="15"/>
      <c r="R22" s="11">
        <f>+IF(ISERROR(P22/(1-Q22)),"",(P22/(1-Q22)))</f>
        <v>41779.377360000006</v>
      </c>
      <c r="S22" s="14">
        <f>+IF(ISERROR(R22/G22),"",(R22/G22))</f>
        <v>1989.4941600000002</v>
      </c>
      <c r="T22" s="13"/>
      <c r="U22" s="12"/>
      <c r="V22" s="11">
        <v>38329.699999999997</v>
      </c>
      <c r="W22" s="78">
        <f>+IF(ISERROR(N22/V22-1),"",(N22/V22-1))</f>
        <v>9.0000113749912236E-2</v>
      </c>
      <c r="X22" s="14">
        <f>+IF(ISERROR(V22*(1-O22)),"",(V22*(1-O22)))</f>
        <v>38329.699999999997</v>
      </c>
    </row>
    <row r="23" spans="1:24" x14ac:dyDescent="0.3">
      <c r="A23" s="21" t="s">
        <v>105</v>
      </c>
      <c r="B23" s="21" t="s">
        <v>109</v>
      </c>
      <c r="C23" s="49">
        <v>100021676</v>
      </c>
      <c r="D23" s="74" t="s">
        <v>133</v>
      </c>
      <c r="E23" s="55">
        <v>7790360967411</v>
      </c>
      <c r="F23" s="73">
        <v>7.5</v>
      </c>
      <c r="G23" s="72">
        <v>30</v>
      </c>
      <c r="I23" s="14">
        <f>+L23*1.55*1.21</f>
        <v>5611.572057776667</v>
      </c>
      <c r="J23" s="14">
        <f>+I23*0.8</f>
        <v>4489.2576462213337</v>
      </c>
      <c r="K23" s="51"/>
      <c r="L23" s="14">
        <f>+IF(ISERROR(N23/G23),"",(N23/G23))</f>
        <v>2992.0405533333337</v>
      </c>
      <c r="M23" s="14">
        <f>+IF(ISERROR(N23/F23),"",(N23/F23))</f>
        <v>11968.162213333335</v>
      </c>
      <c r="N23" s="16">
        <v>89761.216600000014</v>
      </c>
      <c r="O23" s="70"/>
      <c r="P23" s="11">
        <f>+IF(ISERROR(N23/(1-O23)),"",(N23/(1-O23)))</f>
        <v>89761.216600000014</v>
      </c>
      <c r="Q23" s="15"/>
      <c r="R23" s="11">
        <f>+IF(ISERROR(P23/(1-Q23)),"",(P23/(1-Q23)))</f>
        <v>89761.216600000014</v>
      </c>
      <c r="S23" s="14">
        <f>+IF(ISERROR(R23/G23),"",(R23/G23))</f>
        <v>2992.0405533333337</v>
      </c>
      <c r="T23" s="13"/>
      <c r="U23" s="12"/>
      <c r="V23" s="11">
        <v>82349.740000000005</v>
      </c>
      <c r="W23" s="78">
        <f>+IF(ISERROR(N23/V23-1),"",(N23/V23-1))</f>
        <v>9.000000000000008E-2</v>
      </c>
      <c r="X23" s="14">
        <f>+IF(ISERROR(V23*(1-O23)),"",(V23*(1-O23)))</f>
        <v>82349.740000000005</v>
      </c>
    </row>
    <row r="24" spans="1:24" x14ac:dyDescent="0.3">
      <c r="A24" s="21" t="s">
        <v>105</v>
      </c>
      <c r="B24" s="21" t="s">
        <v>109</v>
      </c>
      <c r="C24" s="49">
        <v>100516008</v>
      </c>
      <c r="D24" s="74" t="s">
        <v>132</v>
      </c>
      <c r="E24" s="55">
        <v>7790360967701</v>
      </c>
      <c r="F24" s="73">
        <v>5.76</v>
      </c>
      <c r="G24" s="72">
        <v>24</v>
      </c>
      <c r="I24" s="14">
        <f>+L24*1.55*1.21</f>
        <v>5845.8940910562505</v>
      </c>
      <c r="J24" s="14">
        <f>+I24*0.8</f>
        <v>4676.715272845001</v>
      </c>
      <c r="K24" s="51"/>
      <c r="L24" s="14">
        <f>+IF(ISERROR(N24/G24),"",(N24/G24))</f>
        <v>3116.9789875000001</v>
      </c>
      <c r="M24" s="14">
        <f>+IF(ISERROR(N24/F24),"",(N24/F24))</f>
        <v>12987.412447916668</v>
      </c>
      <c r="N24" s="16">
        <v>74807.495699999999</v>
      </c>
      <c r="O24" s="70"/>
      <c r="P24" s="11">
        <f>+IF(ISERROR(N24/(1-O24)),"",(N24/(1-O24)))</f>
        <v>74807.495699999999</v>
      </c>
      <c r="Q24" s="15"/>
      <c r="R24" s="11">
        <f>+IF(ISERROR(P24/(1-Q24)),"",(P24/(1-Q24)))</f>
        <v>74807.495699999999</v>
      </c>
      <c r="S24" s="14">
        <f>+IF(ISERROR(R24/G24),"",(R24/G24))</f>
        <v>3116.9789875000001</v>
      </c>
      <c r="T24" s="13"/>
      <c r="U24" s="12"/>
      <c r="V24" s="11">
        <v>68630.73</v>
      </c>
      <c r="W24" s="78">
        <f>+IF(ISERROR(N24/V24-1),"",(N24/V24-1))</f>
        <v>9.000000000000008E-2</v>
      </c>
      <c r="X24" s="14">
        <f>+IF(ISERROR(V24*(1-O24)),"",(V24*(1-O24)))</f>
        <v>68630.73</v>
      </c>
    </row>
    <row r="25" spans="1:24" x14ac:dyDescent="0.3">
      <c r="A25" s="21" t="s">
        <v>105</v>
      </c>
      <c r="B25" s="21" t="s">
        <v>109</v>
      </c>
      <c r="C25" s="49">
        <v>100520834</v>
      </c>
      <c r="D25" s="74" t="s">
        <v>131</v>
      </c>
      <c r="E25" s="55">
        <v>7790360980618</v>
      </c>
      <c r="F25" s="73">
        <v>6.66</v>
      </c>
      <c r="G25" s="72">
        <v>36</v>
      </c>
      <c r="I25" s="14">
        <f>+L25*1.55*1.21</f>
        <v>4033.446278094445</v>
      </c>
      <c r="J25" s="14">
        <f>+I25*0.8</f>
        <v>3226.7570224755564</v>
      </c>
      <c r="K25" s="51"/>
      <c r="L25" s="14">
        <f>+IF(ISERROR(N25/G25),"",(N25/G25))</f>
        <v>2150.5978555555557</v>
      </c>
      <c r="M25" s="14">
        <f>+IF(ISERROR(N25/F25),"",(N25/F25))</f>
        <v>11624.853273273275</v>
      </c>
      <c r="N25" s="16">
        <v>77421.522800000006</v>
      </c>
      <c r="O25" s="70"/>
      <c r="P25" s="11">
        <f>+IF(ISERROR(N25/(1-O25)),"",(N25/(1-O25)))</f>
        <v>77421.522800000006</v>
      </c>
      <c r="Q25" s="15"/>
      <c r="R25" s="11">
        <f>+IF(ISERROR(P25/(1-Q25)),"",(P25/(1-Q25)))</f>
        <v>77421.522800000006</v>
      </c>
      <c r="S25" s="14">
        <f>+IF(ISERROR(R25/G25),"",(R25/G25))</f>
        <v>2150.5978555555557</v>
      </c>
      <c r="T25" s="13"/>
      <c r="U25" s="12"/>
      <c r="V25" s="11">
        <v>71028.92</v>
      </c>
      <c r="W25" s="78">
        <f>+IF(ISERROR(N25/V25-1),"",(N25/V25-1))</f>
        <v>9.000000000000008E-2</v>
      </c>
      <c r="X25" s="14">
        <f>+IF(ISERROR(V25*(1-O25)),"",(V25*(1-O25)))</f>
        <v>71028.92</v>
      </c>
    </row>
    <row r="26" spans="1:24" x14ac:dyDescent="0.3">
      <c r="A26" s="21" t="s">
        <v>105</v>
      </c>
      <c r="B26" s="21" t="s">
        <v>109</v>
      </c>
      <c r="C26" s="49">
        <v>100518223</v>
      </c>
      <c r="D26" s="74" t="s">
        <v>130</v>
      </c>
      <c r="E26" s="55">
        <v>7790360975065</v>
      </c>
      <c r="F26" s="73">
        <v>6.36</v>
      </c>
      <c r="G26" s="72">
        <v>30</v>
      </c>
      <c r="I26" s="14">
        <f>+L26*1.55*1.21</f>
        <v>4207.3608137733336</v>
      </c>
      <c r="J26" s="14">
        <f>+I26*0.8</f>
        <v>3365.8886510186671</v>
      </c>
      <c r="K26" s="51"/>
      <c r="L26" s="14">
        <f>+IF(ISERROR(N26/G26),"",(N26/G26))</f>
        <v>2243.3275466666669</v>
      </c>
      <c r="M26" s="14">
        <v>932.20659722222229</v>
      </c>
      <c r="N26" s="16">
        <v>67299.826400000005</v>
      </c>
      <c r="O26" s="70"/>
      <c r="P26" s="11">
        <f>+IF(ISERROR(N26/(1-O26)),"",(N26/(1-O26)))</f>
        <v>67299.826400000005</v>
      </c>
      <c r="Q26" s="15"/>
      <c r="R26" s="11">
        <f>+IF(ISERROR(P26/(1-Q26)),"",(P26/(1-Q26)))</f>
        <v>67299.826400000005</v>
      </c>
      <c r="S26" s="14">
        <f>+IF(ISERROR(R26/G26),"",(R26/G26))</f>
        <v>2243.3275466666669</v>
      </c>
      <c r="T26" s="13"/>
      <c r="U26" s="12"/>
      <c r="V26" s="11">
        <v>61742.96</v>
      </c>
      <c r="W26" s="78">
        <f>+IF(ISERROR(N26/V26-1),"",(N26/V26-1))</f>
        <v>9.000000000000008E-2</v>
      </c>
      <c r="X26" s="14"/>
    </row>
    <row r="27" spans="1:24" x14ac:dyDescent="0.3">
      <c r="A27" s="21" t="s">
        <v>105</v>
      </c>
      <c r="B27" s="21" t="s">
        <v>129</v>
      </c>
      <c r="C27" s="49">
        <v>100021680</v>
      </c>
      <c r="D27" s="74" t="s">
        <v>128</v>
      </c>
      <c r="E27" s="55">
        <v>7790360967688</v>
      </c>
      <c r="F27" s="73">
        <v>4.32</v>
      </c>
      <c r="G27" s="72">
        <v>18</v>
      </c>
      <c r="I27" s="14">
        <f>+L27*1.55*1.21</f>
        <v>7052.1931043055556</v>
      </c>
      <c r="J27" s="14">
        <f>+I27*0.8</f>
        <v>5641.7544834444452</v>
      </c>
      <c r="K27" s="51"/>
      <c r="L27" s="14">
        <f>+IF(ISERROR(N27/G27),"",(N27/G27))</f>
        <v>3760.1669444444447</v>
      </c>
      <c r="M27" s="14">
        <f>+IF(ISERROR(N27/F27),"",(N27/F27))</f>
        <v>15667.362268518518</v>
      </c>
      <c r="N27" s="16">
        <v>67683.005000000005</v>
      </c>
      <c r="O27" s="70"/>
      <c r="P27" s="11">
        <f>+IF(ISERROR(N27/(1-O27)),"",(N27/(1-O27)))</f>
        <v>67683.005000000005</v>
      </c>
      <c r="Q27" s="15"/>
      <c r="R27" s="11">
        <f>+IF(ISERROR(P27/(1-Q27)),"",(P27/(1-Q27)))</f>
        <v>67683.005000000005</v>
      </c>
      <c r="S27" s="14">
        <f>+IF(ISERROR(R27/G27),"",(R27/G27))</f>
        <v>3760.1669444444447</v>
      </c>
      <c r="T27" s="13"/>
      <c r="U27" s="12"/>
      <c r="V27" s="11">
        <v>62094.5</v>
      </c>
      <c r="W27" s="78">
        <f>+IF(ISERROR(N27/V27-1),"",(N27/V27-1))</f>
        <v>9.000000000000008E-2</v>
      </c>
      <c r="X27" s="14">
        <f>+IF(ISERROR(V27*(1-O27)),"",(V27*(1-O27)))</f>
        <v>62094.5</v>
      </c>
    </row>
    <row r="28" spans="1:24" x14ac:dyDescent="0.3">
      <c r="A28" s="21" t="s">
        <v>105</v>
      </c>
      <c r="B28" s="21" t="s">
        <v>126</v>
      </c>
      <c r="C28" s="49">
        <v>100021644</v>
      </c>
      <c r="D28" s="74" t="s">
        <v>127</v>
      </c>
      <c r="E28" s="55">
        <v>7790360008541</v>
      </c>
      <c r="F28" s="73">
        <v>4.7039999999999997</v>
      </c>
      <c r="G28" s="72">
        <v>42</v>
      </c>
      <c r="I28" s="14">
        <f>+L28*1.55*1.21</f>
        <v>1389.7320866026196</v>
      </c>
      <c r="J28" s="14">
        <f>+I28*0.8</f>
        <v>1111.7856692820958</v>
      </c>
      <c r="K28" s="51"/>
      <c r="L28" s="14">
        <f>+IF(ISERROR(N28/G28),"",(N28/G28))</f>
        <v>740.99284809523829</v>
      </c>
      <c r="M28" s="14">
        <f>+IF(ISERROR(N28/F28),"",(N28/F28))</f>
        <v>6616.0075722789134</v>
      </c>
      <c r="N28" s="16">
        <v>31121.699620000007</v>
      </c>
      <c r="O28" s="70"/>
      <c r="P28" s="11">
        <f>+IF(ISERROR(N28/(1-O28)),"",(N28/(1-O28)))</f>
        <v>31121.699620000007</v>
      </c>
      <c r="Q28" s="15"/>
      <c r="R28" s="11">
        <f>+IF(ISERROR(P28/(1-Q28)),"",(P28/(1-Q28)))</f>
        <v>31121.699620000007</v>
      </c>
      <c r="S28" s="14">
        <f>+IF(ISERROR(R28/G28),"",(R28/G28))</f>
        <v>740.99284809523829</v>
      </c>
      <c r="T28" s="13"/>
      <c r="U28" s="12"/>
      <c r="V28" s="11">
        <v>28552.02</v>
      </c>
      <c r="W28" s="78">
        <f>+IF(ISERROR(N28/V28-1),"",(N28/V28-1))</f>
        <v>8.9999923648134361E-2</v>
      </c>
      <c r="X28" s="14">
        <f>+IF(ISERROR(V28*(1-O28)),"",(V28*(1-O28)))</f>
        <v>28552.02</v>
      </c>
    </row>
    <row r="29" spans="1:24" x14ac:dyDescent="0.3">
      <c r="A29" s="21" t="s">
        <v>105</v>
      </c>
      <c r="B29" s="21" t="s">
        <v>126</v>
      </c>
      <c r="C29" s="49">
        <v>100021677</v>
      </c>
      <c r="D29" s="74" t="s">
        <v>125</v>
      </c>
      <c r="E29" s="55">
        <v>7790360967404</v>
      </c>
      <c r="F29" s="73">
        <v>3.3119999999999998</v>
      </c>
      <c r="G29" s="72">
        <v>12</v>
      </c>
      <c r="I29" s="14">
        <f>+L29*1.55*1.21</f>
        <v>4148.2633117658343</v>
      </c>
      <c r="J29" s="14">
        <f>+I29*0.8</f>
        <v>3318.6106494126675</v>
      </c>
      <c r="K29" s="40"/>
      <c r="L29" s="14">
        <f>+IF(ISERROR(N29/G29),"",(N29/G29))</f>
        <v>2211.817281666667</v>
      </c>
      <c r="M29" s="14">
        <f>+IF(ISERROR(N29/F29),"",(N29/F29))</f>
        <v>8013.8307306763299</v>
      </c>
      <c r="N29" s="16">
        <v>26541.807380000002</v>
      </c>
      <c r="O29" s="70"/>
      <c r="P29" s="11">
        <f>+IF(ISERROR(N29/(1-O29)),"",(N29/(1-O29)))</f>
        <v>26541.807380000002</v>
      </c>
      <c r="Q29" s="15"/>
      <c r="R29" s="11">
        <f>+IF(ISERROR(P29/(1-Q29)),"",(P29/(1-Q29)))</f>
        <v>26541.807380000002</v>
      </c>
      <c r="S29" s="14">
        <f>+IF(ISERROR(R29/G29),"",(R29/G29))</f>
        <v>2211.817281666667</v>
      </c>
      <c r="T29" s="13"/>
      <c r="U29" s="12"/>
      <c r="V29" s="11">
        <v>24350.28</v>
      </c>
      <c r="W29" s="78">
        <f>+IF(ISERROR(N29/V29-1),"",(N29/V29-1))</f>
        <v>9.0000089526691474E-2</v>
      </c>
      <c r="X29" s="14">
        <f>+IF(ISERROR(V29*(1-O29)),"",(V29*(1-O29)))</f>
        <v>24350.28</v>
      </c>
    </row>
    <row r="30" spans="1:24" x14ac:dyDescent="0.3">
      <c r="A30" s="21" t="s">
        <v>105</v>
      </c>
      <c r="B30" s="21" t="s">
        <v>104</v>
      </c>
      <c r="C30" s="49">
        <v>100021638</v>
      </c>
      <c r="D30" s="74" t="s">
        <v>124</v>
      </c>
      <c r="E30" s="55">
        <v>7790360026699</v>
      </c>
      <c r="F30" s="73">
        <v>4.8</v>
      </c>
      <c r="G30" s="72">
        <v>60</v>
      </c>
      <c r="I30" s="14">
        <f>+L30*1.55*1.21</f>
        <v>1895.1459625266668</v>
      </c>
      <c r="J30" s="14">
        <f>+I30*0.8</f>
        <v>1516.1167700213337</v>
      </c>
      <c r="K30" s="51"/>
      <c r="L30" s="14">
        <f>+IF(ISERROR(N30/G30),"",(N30/G30))</f>
        <v>1010.4750533333334</v>
      </c>
      <c r="M30" s="14">
        <f>+IF(ISERROR(N30/F30),"",(N30/F30))</f>
        <v>12630.938166666669</v>
      </c>
      <c r="N30" s="16">
        <v>60628.503200000006</v>
      </c>
      <c r="O30" s="70"/>
      <c r="P30" s="11">
        <f>+IF(ISERROR(N30/(1-O30)),"",(N30/(1-O30)))</f>
        <v>60628.503200000006</v>
      </c>
      <c r="Q30" s="15"/>
      <c r="R30" s="11">
        <f>+IF(ISERROR(P30/(1-Q30)),"",(P30/(1-Q30)))</f>
        <v>60628.503200000006</v>
      </c>
      <c r="S30" s="14">
        <f>+IF(ISERROR(R30/G30),"",(R30/G30))</f>
        <v>1010.4750533333334</v>
      </c>
      <c r="T30" s="13"/>
      <c r="U30" s="12"/>
      <c r="V30" s="11">
        <v>55622.48</v>
      </c>
      <c r="W30" s="78">
        <f>+IF(ISERROR(N30/V30-1),"",(N30/V30-1))</f>
        <v>9.000000000000008E-2</v>
      </c>
      <c r="X30" s="14">
        <f>+IF(ISERROR(V30*(1-O30)),"",(V30*(1-O30)))</f>
        <v>55622.48</v>
      </c>
    </row>
    <row r="31" spans="1:24" x14ac:dyDescent="0.3">
      <c r="A31" s="21" t="s">
        <v>105</v>
      </c>
      <c r="B31" s="21" t="s">
        <v>104</v>
      </c>
      <c r="C31" s="49">
        <v>100021575</v>
      </c>
      <c r="D31" s="74" t="s">
        <v>123</v>
      </c>
      <c r="E31" s="55">
        <v>7790360007032</v>
      </c>
      <c r="F31" s="73">
        <v>4.1399999999999997</v>
      </c>
      <c r="G31" s="72">
        <v>60</v>
      </c>
      <c r="I31" s="14">
        <f>+L31*1.55*1.21</f>
        <v>1554.3204186950002</v>
      </c>
      <c r="J31" s="14">
        <f>+I31*0.8</f>
        <v>1243.4563349560003</v>
      </c>
      <c r="K31" s="51"/>
      <c r="L31" s="14">
        <f>+IF(ISERROR(N31/G31),"",(N31/G31))</f>
        <v>828.74989000000016</v>
      </c>
      <c r="M31" s="14">
        <f>+IF(ISERROR(N31/F31),"",(N31/F31))</f>
        <v>12010.867971014495</v>
      </c>
      <c r="N31" s="16">
        <v>49724.993400000007</v>
      </c>
      <c r="O31" s="70"/>
      <c r="P31" s="11">
        <f>+IF(ISERROR(N31/(1-O31)),"",(N31/(1-O31)))</f>
        <v>49724.993400000007</v>
      </c>
      <c r="Q31" s="15"/>
      <c r="R31" s="11">
        <f>+IF(ISERROR(P31/(1-Q31)),"",(P31/(1-Q31)))</f>
        <v>49724.993400000007</v>
      </c>
      <c r="S31" s="14">
        <f>+IF(ISERROR(R31/G31),"",(R31/G31))</f>
        <v>828.74989000000016</v>
      </c>
      <c r="T31" s="13"/>
      <c r="U31" s="12"/>
      <c r="V31" s="11">
        <v>45619.26</v>
      </c>
      <c r="W31" s="78">
        <f>+IF(ISERROR(N31/V31-1),"",(N31/V31-1))</f>
        <v>9.000000000000008E-2</v>
      </c>
      <c r="X31" s="14">
        <f>+IF(ISERROR(V31*(1-O31)),"",(V31*(1-O31)))</f>
        <v>45619.26</v>
      </c>
    </row>
    <row r="32" spans="1:24" x14ac:dyDescent="0.3">
      <c r="A32" s="21" t="s">
        <v>105</v>
      </c>
      <c r="B32" s="21" t="s">
        <v>104</v>
      </c>
      <c r="C32" s="49">
        <v>100021514</v>
      </c>
      <c r="D32" s="23" t="s">
        <v>122</v>
      </c>
      <c r="E32" s="55">
        <v>7790360006943</v>
      </c>
      <c r="F32" s="14">
        <v>4.1399999999999997</v>
      </c>
      <c r="G32" s="18">
        <v>60</v>
      </c>
      <c r="I32" s="14">
        <f>+L32*1.55*1.21</f>
        <v>1414.4231789600001</v>
      </c>
      <c r="J32" s="14">
        <f>+I32*0.8</f>
        <v>1131.5385431680002</v>
      </c>
      <c r="K32" s="51"/>
      <c r="L32" s="14">
        <f>+IF(ISERROR(N32/G32),"",(N32/G32))</f>
        <v>754.15791999999999</v>
      </c>
      <c r="M32" s="14">
        <f>+IF(ISERROR(N32/F32),"",(N32/F32))</f>
        <v>10929.824927536232</v>
      </c>
      <c r="N32" s="16">
        <v>45249.475200000001</v>
      </c>
      <c r="O32" s="15"/>
      <c r="P32" s="11">
        <f>+IF(ISERROR(N32/(1-O32)),"",(N32/(1-O32)))</f>
        <v>45249.475200000001</v>
      </c>
      <c r="Q32" s="15"/>
      <c r="R32" s="11">
        <f>+IF(ISERROR(P32/(1-Q32)),"",(P32/(1-Q32)))</f>
        <v>45249.475200000001</v>
      </c>
      <c r="S32" s="14">
        <f>+IF(ISERROR(R32/G32),"",(R32/G32))</f>
        <v>754.15791999999999</v>
      </c>
      <c r="T32" s="13"/>
      <c r="U32" s="12"/>
      <c r="V32" s="14">
        <v>41513.279999999999</v>
      </c>
      <c r="W32" s="78">
        <f>+IF(ISERROR(N32/V32-1),"",(N32/V32-1))</f>
        <v>9.000000000000008E-2</v>
      </c>
      <c r="X32" s="14">
        <f>+IF(ISERROR(V32*(1-O32)),"",(V32*(1-O32)))</f>
        <v>41513.279999999999</v>
      </c>
    </row>
    <row r="33" spans="1:24" x14ac:dyDescent="0.3">
      <c r="A33" s="21" t="s">
        <v>105</v>
      </c>
      <c r="B33" s="21" t="s">
        <v>104</v>
      </c>
      <c r="C33" s="77">
        <v>100516208</v>
      </c>
      <c r="D33" s="76" t="s">
        <v>121</v>
      </c>
      <c r="E33" s="75">
        <v>7790360968203</v>
      </c>
      <c r="F33" s="14">
        <f>60*0.08</f>
        <v>4.8</v>
      </c>
      <c r="G33" s="18">
        <v>60</v>
      </c>
      <c r="I33" s="14">
        <f>+L33*1.55*1.21</f>
        <v>1639.9116431866667</v>
      </c>
      <c r="J33" s="14">
        <f>+I33*0.8</f>
        <v>1311.9293145493334</v>
      </c>
      <c r="K33" s="31"/>
      <c r="L33" s="14">
        <f>+IF(ISERROR(N33/G33),"",(N33/G33))</f>
        <v>874.38637333333338</v>
      </c>
      <c r="M33" s="14">
        <f>+IF(ISERROR(N33/F33),"",(N33/F33))</f>
        <v>10929.829666666668</v>
      </c>
      <c r="N33" s="16">
        <v>52463.182400000005</v>
      </c>
      <c r="O33" s="70"/>
      <c r="P33" s="11">
        <f>+IF(ISERROR(N33/(1-O33)),"",(N33/(1-O33)))</f>
        <v>52463.182400000005</v>
      </c>
      <c r="Q33" s="69"/>
      <c r="R33" s="11">
        <f>+IF(ISERROR(P33/(1-Q33)),"",(P33/(1-Q33)))</f>
        <v>52463.182400000005</v>
      </c>
      <c r="S33" s="14">
        <f>+IF(ISERROR(R33/G33),"",(R33/G33))</f>
        <v>874.38637333333338</v>
      </c>
      <c r="T33" s="13"/>
      <c r="U33" s="12"/>
      <c r="V33" s="11">
        <v>48131.360000000001</v>
      </c>
      <c r="W33" s="78">
        <f>+IF(ISERROR(N33/V33-1),"",(N33/V33-1))</f>
        <v>9.000000000000008E-2</v>
      </c>
      <c r="X33" s="14">
        <f>+IF(ISERROR(V33*(1-O33)),"",(V33*(1-O33)))</f>
        <v>48131.360000000001</v>
      </c>
    </row>
    <row r="34" spans="1:24" x14ac:dyDescent="0.3">
      <c r="A34" s="21" t="s">
        <v>105</v>
      </c>
      <c r="B34" s="21" t="s">
        <v>104</v>
      </c>
      <c r="C34" s="49">
        <v>100518346</v>
      </c>
      <c r="D34" s="23" t="s">
        <v>120</v>
      </c>
      <c r="E34" s="55">
        <v>7790360975478</v>
      </c>
      <c r="F34" s="14">
        <v>6.54</v>
      </c>
      <c r="G34" s="18">
        <v>60</v>
      </c>
      <c r="I34" s="14">
        <f>+L34*1.55*1.21</f>
        <v>2343.9089194950002</v>
      </c>
      <c r="J34" s="14">
        <f>+I34*0.8</f>
        <v>1875.1271355960002</v>
      </c>
      <c r="K34" s="31"/>
      <c r="L34" s="14">
        <f>+IF(ISERROR(N34/G34),"",(N34/G34))</f>
        <v>1249.7514900000001</v>
      </c>
      <c r="M34" s="14">
        <f>+IF(ISERROR(N34/F34),"",(N34/F34))</f>
        <v>11465.610000000002</v>
      </c>
      <c r="N34" s="16">
        <v>74985.089400000012</v>
      </c>
      <c r="O34" s="70"/>
      <c r="P34" s="11">
        <f>+IF(ISERROR(N34/(1-O34)),"",(N34/(1-O34)))</f>
        <v>74985.089400000012</v>
      </c>
      <c r="Q34" s="69"/>
      <c r="R34" s="11">
        <f>+IF(ISERROR(P34/(1-Q34)),"",(P34/(1-Q34)))</f>
        <v>74985.089400000012</v>
      </c>
      <c r="S34" s="14">
        <f>+IF(ISERROR(R34/G34),"",(R34/G34))</f>
        <v>1249.7514900000001</v>
      </c>
      <c r="T34" s="13"/>
      <c r="U34" s="12"/>
      <c r="V34" s="11">
        <v>68793.66</v>
      </c>
      <c r="W34" s="78">
        <f>+IF(ISERROR(N34/V34-1),"",(N34/V34-1))</f>
        <v>9.000000000000008E-2</v>
      </c>
      <c r="X34" s="14">
        <f>+IF(ISERROR(V34*(1-O34)),"",(V34*(1-O34)))</f>
        <v>68793.66</v>
      </c>
    </row>
    <row r="35" spans="1:24" x14ac:dyDescent="0.3">
      <c r="A35" s="21" t="s">
        <v>105</v>
      </c>
      <c r="B35" s="21" t="s">
        <v>104</v>
      </c>
      <c r="C35" s="77">
        <v>100516259</v>
      </c>
      <c r="D35" s="76" t="s">
        <v>119</v>
      </c>
      <c r="E35" s="75">
        <v>7790360968340</v>
      </c>
      <c r="F35" s="14">
        <v>18.16</v>
      </c>
      <c r="G35" s="18">
        <v>48</v>
      </c>
      <c r="I35" s="14">
        <f>+L35*1.55*1.21</f>
        <v>6778.8464448374998</v>
      </c>
      <c r="J35" s="14">
        <f>+I35*0.8</f>
        <v>5423.0771558699998</v>
      </c>
      <c r="K35" s="31"/>
      <c r="L35" s="14">
        <f>+IF(ISERROR(N35/G35),"",(N35/G35))</f>
        <v>3614.4209250000004</v>
      </c>
      <c r="M35" s="14">
        <f>+IF(ISERROR(N35/F35),"",(N35/F35))</f>
        <v>9553.5354845814982</v>
      </c>
      <c r="N35" s="16">
        <v>173492.20440000002</v>
      </c>
      <c r="O35" s="70"/>
      <c r="P35" s="11">
        <f>+IF(ISERROR(N35/(1-O35)),"",(N35/(1-O35)))</f>
        <v>173492.20440000002</v>
      </c>
      <c r="Q35" s="69"/>
      <c r="R35" s="11">
        <f>+IF(ISERROR(P35/(1-Q35)),"",(P35/(1-Q35)))</f>
        <v>173492.20440000002</v>
      </c>
      <c r="S35" s="14">
        <f>+IF(ISERROR(R35/G35),"",(R35/G35))</f>
        <v>3614.4209250000004</v>
      </c>
      <c r="T35" s="13"/>
      <c r="U35" s="12"/>
      <c r="V35" s="11">
        <v>159167.16</v>
      </c>
      <c r="W35" s="78">
        <f>+IF(ISERROR(N35/V35-1),"",(N35/V35-1))</f>
        <v>9.000000000000008E-2</v>
      </c>
      <c r="X35" s="14">
        <f>+IF(ISERROR(V35*(1-O35)),"",(V35*(1-O35)))</f>
        <v>159167.16</v>
      </c>
    </row>
    <row r="36" spans="1:24" hidden="1" x14ac:dyDescent="0.3">
      <c r="A36" s="21" t="s">
        <v>105</v>
      </c>
      <c r="B36" s="21" t="s">
        <v>113</v>
      </c>
      <c r="C36" s="77">
        <v>100021669</v>
      </c>
      <c r="D36" s="76" t="s">
        <v>118</v>
      </c>
      <c r="E36" s="75">
        <v>8480017241375</v>
      </c>
      <c r="F36" s="14">
        <v>5.9749999999999996</v>
      </c>
      <c r="G36" s="18">
        <v>18</v>
      </c>
      <c r="I36" s="14" t="e">
        <f>+L36*1.55*1.21</f>
        <v>#VALUE!</v>
      </c>
      <c r="J36" s="14">
        <v>0</v>
      </c>
      <c r="K36" s="31"/>
      <c r="L36" s="14" t="str">
        <f>+IF(ISERROR(N36/G36),"",(N36/G36))</f>
        <v/>
      </c>
      <c r="M36" s="14" t="str">
        <f>+IF(ISERROR(N36/F36),"",(N36/F36))</f>
        <v/>
      </c>
      <c r="N36" s="16" t="e">
        <v>#VALUE!</v>
      </c>
      <c r="O36" s="70"/>
      <c r="P36" s="11" t="str">
        <f>+IF(ISERROR(N36/(1-O36)),"",(N36/(1-O36)))</f>
        <v/>
      </c>
      <c r="Q36" s="69"/>
      <c r="R36" s="11" t="str">
        <f>+IF(ISERROR(P36/(1-Q36)),"",(P36/(1-Q36)))</f>
        <v/>
      </c>
      <c r="S36" s="14" t="str">
        <f>+IF(ISERROR(R36/G36),"",(R36/G36))</f>
        <v/>
      </c>
      <c r="T36" s="13"/>
      <c r="U36" s="12"/>
      <c r="V36" s="11" t="s">
        <v>32</v>
      </c>
      <c r="W36" s="52" t="str">
        <f>+IF(ISERROR(N36/V36-1),"",(N36/V36-1))</f>
        <v/>
      </c>
      <c r="X36" s="14" t="str">
        <f>+IF(ISERROR(V36*(1-O36)),"",(V36*(1-O36)))</f>
        <v/>
      </c>
    </row>
    <row r="37" spans="1:24" hidden="1" x14ac:dyDescent="0.3">
      <c r="A37" s="21" t="s">
        <v>105</v>
      </c>
      <c r="B37" s="21" t="s">
        <v>113</v>
      </c>
      <c r="C37" s="49">
        <v>100021670</v>
      </c>
      <c r="D37" s="23" t="s">
        <v>117</v>
      </c>
      <c r="E37" s="55">
        <v>8480017241382</v>
      </c>
      <c r="F37" s="14">
        <v>11.95</v>
      </c>
      <c r="G37" s="18">
        <v>12</v>
      </c>
      <c r="I37" s="14" t="e">
        <f>+L37*1.55*1.21</f>
        <v>#VALUE!</v>
      </c>
      <c r="J37" s="14">
        <v>0</v>
      </c>
      <c r="K37" s="31"/>
      <c r="L37" s="14" t="str">
        <f>+IF(ISERROR(N37/G37),"",(N37/G37))</f>
        <v/>
      </c>
      <c r="M37" s="14" t="str">
        <f>+IF(ISERROR(N37/F37),"",(N37/F37))</f>
        <v/>
      </c>
      <c r="N37" s="16" t="e">
        <v>#VALUE!</v>
      </c>
      <c r="O37" s="70"/>
      <c r="P37" s="11" t="str">
        <f>+IF(ISERROR(N37/(1-O37)),"",(N37/(1-O37)))</f>
        <v/>
      </c>
      <c r="Q37" s="69"/>
      <c r="R37" s="11" t="str">
        <f>+IF(ISERROR(P37/(1-Q37)),"",(P37/(1-Q37)))</f>
        <v/>
      </c>
      <c r="S37" s="14" t="str">
        <f>+IF(ISERROR(R37/G37),"",(R37/G37))</f>
        <v/>
      </c>
      <c r="T37" s="13"/>
      <c r="U37" s="12"/>
      <c r="V37" s="11" t="s">
        <v>32</v>
      </c>
      <c r="W37" s="52" t="str">
        <f>+IF(ISERROR(N37/V37-1),"",(N37/V37-1))</f>
        <v/>
      </c>
      <c r="X37" s="14" t="str">
        <f>+IF(ISERROR(V37*(1-O37)),"",(V37*(1-O37)))</f>
        <v/>
      </c>
    </row>
    <row r="38" spans="1:24" hidden="1" x14ac:dyDescent="0.3">
      <c r="A38" s="21" t="s">
        <v>105</v>
      </c>
      <c r="B38" s="21" t="s">
        <v>113</v>
      </c>
      <c r="C38" s="49">
        <v>100021671</v>
      </c>
      <c r="D38" s="23" t="s">
        <v>116</v>
      </c>
      <c r="E38" s="55">
        <v>8480017241399</v>
      </c>
      <c r="F38" s="14">
        <v>9.9600000000000009</v>
      </c>
      <c r="G38" s="18">
        <v>6</v>
      </c>
      <c r="I38" s="14" t="e">
        <f>+L38*1.55*1.21</f>
        <v>#VALUE!</v>
      </c>
      <c r="J38" s="14">
        <v>0</v>
      </c>
      <c r="K38" s="31"/>
      <c r="L38" s="14" t="str">
        <f>+IF(ISERROR(N38/G38),"",(N38/G38))</f>
        <v/>
      </c>
      <c r="M38" s="14" t="str">
        <f>+IF(ISERROR(N38/F38),"",(N38/F38))</f>
        <v/>
      </c>
      <c r="N38" s="16" t="e">
        <v>#VALUE!</v>
      </c>
      <c r="O38" s="70"/>
      <c r="P38" s="11" t="str">
        <f>+IF(ISERROR(N38/(1-O38)),"",(N38/(1-O38)))</f>
        <v/>
      </c>
      <c r="Q38" s="69"/>
      <c r="R38" s="11" t="str">
        <f>+IF(ISERROR(P38/(1-Q38)),"",(P38/(1-Q38)))</f>
        <v/>
      </c>
      <c r="S38" s="14" t="str">
        <f>+IF(ISERROR(R38/G38),"",(R38/G38))</f>
        <v/>
      </c>
      <c r="T38" s="13"/>
      <c r="U38" s="12"/>
      <c r="V38" s="11" t="s">
        <v>32</v>
      </c>
      <c r="W38" s="52" t="str">
        <f>+IF(ISERROR(N38/V38-1),"",(N38/V38-1))</f>
        <v/>
      </c>
      <c r="X38" s="14" t="str">
        <f>+IF(ISERROR(V38*(1-O38)),"",(V38*(1-O38)))</f>
        <v/>
      </c>
    </row>
    <row r="39" spans="1:24" hidden="1" x14ac:dyDescent="0.3">
      <c r="A39" s="21" t="s">
        <v>105</v>
      </c>
      <c r="B39" s="21" t="s">
        <v>113</v>
      </c>
      <c r="C39" s="49">
        <v>100021647</v>
      </c>
      <c r="D39" s="23" t="s">
        <v>115</v>
      </c>
      <c r="E39" s="55">
        <v>7798158708925</v>
      </c>
      <c r="F39" s="14">
        <v>5.76</v>
      </c>
      <c r="G39" s="18">
        <v>18</v>
      </c>
      <c r="I39" s="14" t="e">
        <f>+L39*1.55*1.21</f>
        <v>#VALUE!</v>
      </c>
      <c r="J39" s="14">
        <v>0</v>
      </c>
      <c r="K39" s="31"/>
      <c r="L39" s="14" t="str">
        <f>+IF(ISERROR(N39/G39),"",(N39/G39))</f>
        <v/>
      </c>
      <c r="M39" s="14" t="str">
        <f>+IF(ISERROR(N39/F39),"",(N39/F39))</f>
        <v/>
      </c>
      <c r="N39" s="16" t="e">
        <v>#VALUE!</v>
      </c>
      <c r="O39" s="70"/>
      <c r="P39" s="11" t="str">
        <f>+IF(ISERROR(N39/(1-O39)),"",(N39/(1-O39)))</f>
        <v/>
      </c>
      <c r="Q39" s="69"/>
      <c r="R39" s="11" t="str">
        <f>+IF(ISERROR(P39/(1-Q39)),"",(P39/(1-Q39)))</f>
        <v/>
      </c>
      <c r="S39" s="14" t="str">
        <f>+IF(ISERROR(R39/G39),"",(R39/G39))</f>
        <v/>
      </c>
      <c r="T39" s="13"/>
      <c r="U39" s="12"/>
      <c r="V39" s="11" t="s">
        <v>32</v>
      </c>
      <c r="W39" s="52" t="str">
        <f>+IF(ISERROR(N39/V39-1),"",(N39/V39-1))</f>
        <v/>
      </c>
      <c r="X39" s="14" t="str">
        <f>+IF(ISERROR(V39*(1-O39)),"",(V39*(1-O39)))</f>
        <v/>
      </c>
    </row>
    <row r="40" spans="1:24" hidden="1" x14ac:dyDescent="0.3">
      <c r="A40" s="21" t="s">
        <v>105</v>
      </c>
      <c r="B40" s="21" t="s">
        <v>113</v>
      </c>
      <c r="C40" s="49">
        <v>100021648</v>
      </c>
      <c r="D40" s="23" t="s">
        <v>114</v>
      </c>
      <c r="E40" s="55">
        <v>7798158708932</v>
      </c>
      <c r="F40" s="14">
        <v>7.68</v>
      </c>
      <c r="G40" s="18">
        <v>8</v>
      </c>
      <c r="I40" s="14" t="e">
        <f>+L40*1.55*1.21</f>
        <v>#VALUE!</v>
      </c>
      <c r="J40" s="14">
        <v>0</v>
      </c>
      <c r="K40" s="31"/>
      <c r="L40" s="14" t="str">
        <f>+IF(ISERROR(N40/G40),"",(N40/G40))</f>
        <v/>
      </c>
      <c r="M40" s="14" t="str">
        <f>+IF(ISERROR(N40/F40),"",(N40/F40))</f>
        <v/>
      </c>
      <c r="N40" s="16" t="e">
        <v>#VALUE!</v>
      </c>
      <c r="O40" s="70"/>
      <c r="P40" s="11" t="str">
        <f>+IF(ISERROR(N40/(1-O40)),"",(N40/(1-O40)))</f>
        <v/>
      </c>
      <c r="Q40" s="69"/>
      <c r="R40" s="11" t="str">
        <f>+IF(ISERROR(P40/(1-Q40)),"",(P40/(1-Q40)))</f>
        <v/>
      </c>
      <c r="S40" s="14" t="str">
        <f>+IF(ISERROR(R40/G40),"",(R40/G40))</f>
        <v/>
      </c>
      <c r="T40" s="13"/>
      <c r="U40" s="12"/>
      <c r="V40" s="11" t="s">
        <v>32</v>
      </c>
      <c r="W40" s="52" t="str">
        <f>+IF(ISERROR(N40/V40-1),"",(N40/V40-1))</f>
        <v/>
      </c>
      <c r="X40" s="14" t="str">
        <f>+IF(ISERROR(V40*(1-O40)),"",(V40*(1-O40)))</f>
        <v/>
      </c>
    </row>
    <row r="41" spans="1:24" hidden="1" x14ac:dyDescent="0.3">
      <c r="A41" s="21" t="s">
        <v>105</v>
      </c>
      <c r="B41" s="21" t="s">
        <v>113</v>
      </c>
      <c r="C41" s="49">
        <v>100021649</v>
      </c>
      <c r="D41" s="23" t="s">
        <v>112</v>
      </c>
      <c r="E41" s="55">
        <v>7798158708949</v>
      </c>
      <c r="F41" s="14">
        <v>9.6</v>
      </c>
      <c r="G41" s="18">
        <v>6</v>
      </c>
      <c r="I41" s="14" t="e">
        <f>+L41*1.55*1.21</f>
        <v>#VALUE!</v>
      </c>
      <c r="J41" s="14">
        <v>0</v>
      </c>
      <c r="K41" s="31"/>
      <c r="L41" s="14" t="str">
        <f>+IF(ISERROR(N41/G41),"",(N41/G41))</f>
        <v/>
      </c>
      <c r="M41" s="14" t="str">
        <f>+IF(ISERROR(N41/F41),"",(N41/F41))</f>
        <v/>
      </c>
      <c r="N41" s="16" t="e">
        <v>#VALUE!</v>
      </c>
      <c r="O41" s="70"/>
      <c r="P41" s="11" t="str">
        <f>+IF(ISERROR(N41/(1-O41)),"",(N41/(1-O41)))</f>
        <v/>
      </c>
      <c r="Q41" s="69"/>
      <c r="R41" s="11" t="str">
        <f>+IF(ISERROR(P41/(1-Q41)),"",(P41/(1-Q41)))</f>
        <v/>
      </c>
      <c r="S41" s="14" t="str">
        <f>+IF(ISERROR(R41/G41),"",(R41/G41))</f>
        <v/>
      </c>
      <c r="T41" s="13"/>
      <c r="U41" s="12"/>
      <c r="V41" s="11" t="s">
        <v>32</v>
      </c>
      <c r="W41" s="52" t="str">
        <f>+IF(ISERROR(N41/V41-1),"",(N41/V41-1))</f>
        <v/>
      </c>
      <c r="X41" s="14" t="str">
        <f>+IF(ISERROR(V41*(1-O41)),"",(V41*(1-O41)))</f>
        <v/>
      </c>
    </row>
    <row r="42" spans="1:24" x14ac:dyDescent="0.3">
      <c r="A42" s="21" t="s">
        <v>105</v>
      </c>
      <c r="B42" s="21" t="s">
        <v>109</v>
      </c>
      <c r="C42" s="49">
        <v>100518095</v>
      </c>
      <c r="D42" s="74" t="s">
        <v>111</v>
      </c>
      <c r="E42" s="55">
        <v>7790360974785</v>
      </c>
      <c r="F42" s="73">
        <v>6.66</v>
      </c>
      <c r="G42" s="72">
        <v>36</v>
      </c>
      <c r="I42" s="14">
        <f>+L42*1.55*1.21</f>
        <v>4503.3831340972229</v>
      </c>
      <c r="J42" s="14">
        <v>0</v>
      </c>
      <c r="K42" s="31"/>
      <c r="L42" s="14">
        <f>+IF(ISERROR(N42/G42),"",(N42/G42))</f>
        <v>2401.1640277777783</v>
      </c>
      <c r="M42" s="14">
        <f>+IF(ISERROR(N42/F42),"",(N42/F42))</f>
        <v>12979.265015015017</v>
      </c>
      <c r="N42" s="16">
        <v>86441.905000000013</v>
      </c>
      <c r="O42" s="70"/>
      <c r="P42" s="11">
        <f>+IF(ISERROR(N42/(1-O42)),"",(N42/(1-O42)))</f>
        <v>86441.905000000013</v>
      </c>
      <c r="Q42" s="69"/>
      <c r="R42" s="11">
        <f>+IF(ISERROR(P42/(1-Q42)),"",(P42/(1-Q42)))</f>
        <v>86441.905000000013</v>
      </c>
      <c r="S42" s="14">
        <f>+IF(ISERROR(R42/G42),"",(R42/G42))</f>
        <v>2401.1640277777783</v>
      </c>
      <c r="T42" s="13"/>
      <c r="U42" s="12"/>
      <c r="V42" s="11">
        <v>79304.5</v>
      </c>
      <c r="W42" s="52">
        <f>+IF(ISERROR(N42/V42-1),"",(N42/V42-1))</f>
        <v>9.000000000000008E-2</v>
      </c>
      <c r="X42" s="14">
        <f>+IF(ISERROR(V42*(1-O42)),"",(V42*(1-O42)))</f>
        <v>79304.5</v>
      </c>
    </row>
    <row r="43" spans="1:24" ht="12.65" hidden="1" customHeight="1" x14ac:dyDescent="0.3">
      <c r="A43" s="21" t="s">
        <v>105</v>
      </c>
      <c r="B43" s="21" t="s">
        <v>109</v>
      </c>
      <c r="C43" s="49">
        <v>100518163</v>
      </c>
      <c r="D43" s="23" t="s">
        <v>110</v>
      </c>
      <c r="E43" s="55"/>
      <c r="F43" s="14">
        <v>4.8</v>
      </c>
      <c r="G43" s="18">
        <v>30</v>
      </c>
      <c r="I43" s="14">
        <f>+L43*1.55*1.21</f>
        <v>0</v>
      </c>
      <c r="J43" s="14">
        <v>0</v>
      </c>
      <c r="K43" s="31"/>
      <c r="L43" s="14">
        <f>+IF(ISERROR(N43/G43),"",(N43/G43))</f>
        <v>0</v>
      </c>
      <c r="M43" s="14">
        <f>+IF(ISERROR(N43/F43),"",(N43/F43))</f>
        <v>0</v>
      </c>
      <c r="N43" s="16"/>
      <c r="O43" s="70"/>
      <c r="P43" s="11">
        <f>+IF(ISERROR(N43/(1-O43)),"",(N43/(1-O43)))</f>
        <v>0</v>
      </c>
      <c r="Q43" s="69"/>
      <c r="R43" s="11">
        <f>+IF(ISERROR(P43/(1-Q43)),"",(P43/(1-Q43)))</f>
        <v>0</v>
      </c>
      <c r="S43" s="14">
        <f>+IF(ISERROR(R43/G43),"",(R43/G43))</f>
        <v>0</v>
      </c>
      <c r="T43" s="13"/>
      <c r="U43"/>
      <c r="V43" s="11" t="s">
        <v>32</v>
      </c>
      <c r="W43" s="52" t="str">
        <f>+IF(ISERROR(N43/V43-1),"",(N43/V43-1))</f>
        <v/>
      </c>
      <c r="X43" s="14" t="str">
        <f>+IF(ISERROR(V43*(1-O43)),"",(V43*(1-O43)))</f>
        <v/>
      </c>
    </row>
    <row r="44" spans="1:24" ht="12.65" hidden="1" customHeight="1" x14ac:dyDescent="0.3">
      <c r="A44" s="71" t="s">
        <v>105</v>
      </c>
      <c r="B44" s="44" t="s">
        <v>109</v>
      </c>
      <c r="C44" s="68">
        <v>100520851</v>
      </c>
      <c r="D44" s="67" t="s">
        <v>108</v>
      </c>
      <c r="E44" s="66"/>
      <c r="F44" s="64">
        <v>15.18</v>
      </c>
      <c r="G44" s="41">
        <v>276</v>
      </c>
      <c r="I44" s="65"/>
      <c r="J44" s="59"/>
      <c r="K44" s="31"/>
      <c r="L44" s="65"/>
      <c r="M44" s="64"/>
      <c r="N44" s="39"/>
      <c r="O44" s="63"/>
      <c r="P44" s="61"/>
      <c r="Q44" s="62"/>
      <c r="R44" s="61"/>
      <c r="S44" s="59"/>
      <c r="T44" s="13"/>
      <c r="U44"/>
      <c r="V44" s="61"/>
      <c r="W44" s="60"/>
      <c r="X44" s="59"/>
    </row>
    <row r="45" spans="1:24" ht="12.65" hidden="1" customHeight="1" x14ac:dyDescent="0.3">
      <c r="A45" s="21" t="s">
        <v>105</v>
      </c>
      <c r="B45" s="21" t="s">
        <v>104</v>
      </c>
      <c r="C45" s="68">
        <v>100521169</v>
      </c>
      <c r="D45" s="67" t="s">
        <v>107</v>
      </c>
      <c r="E45" s="66"/>
      <c r="F45" s="64">
        <f>30*0.08</f>
        <v>2.4</v>
      </c>
      <c r="G45" s="41">
        <v>30</v>
      </c>
      <c r="I45" s="14">
        <f>+L45*1.55*1.21</f>
        <v>0</v>
      </c>
      <c r="J45" s="14">
        <v>0</v>
      </c>
      <c r="K45" s="31"/>
      <c r="L45" s="14">
        <f>+IF(ISERROR(N45/G45),"",(N45/G45))</f>
        <v>0</v>
      </c>
      <c r="M45" s="14">
        <f>+IF(ISERROR(N45/F45),"",(N45/F45))</f>
        <v>0</v>
      </c>
      <c r="N45" s="16"/>
      <c r="O45" s="70"/>
      <c r="P45" s="11">
        <f>+IF(ISERROR(N45/(1-O45)),"",(N45/(1-O45)))</f>
        <v>0</v>
      </c>
      <c r="Q45" s="69"/>
      <c r="R45" s="11">
        <f>+IF(ISERROR(P45/(1-Q45)),"",(P45/(1-Q45)))</f>
        <v>0</v>
      </c>
      <c r="S45" s="14">
        <f>+IF(ISERROR(R45/G45),"",(R45/G45))</f>
        <v>0</v>
      </c>
      <c r="T45" s="13"/>
      <c r="U45"/>
      <c r="V45" s="11" t="s">
        <v>32</v>
      </c>
      <c r="W45" s="52" t="str">
        <f>+IF(ISERROR(N45/V45-1),"",(N45/V45-1))</f>
        <v/>
      </c>
      <c r="X45" s="14" t="str">
        <f>+IF(ISERROR(V45*(1-O45)),"",(V45*(1-O45)))</f>
        <v/>
      </c>
    </row>
    <row r="46" spans="1:24" ht="12.65" hidden="1" customHeight="1" x14ac:dyDescent="0.3">
      <c r="A46" s="21" t="s">
        <v>105</v>
      </c>
      <c r="B46" s="21" t="s">
        <v>104</v>
      </c>
      <c r="C46" s="68">
        <v>100521173</v>
      </c>
      <c r="D46" s="67" t="s">
        <v>106</v>
      </c>
      <c r="E46" s="66"/>
      <c r="F46" s="64">
        <f>30*0.08</f>
        <v>2.4</v>
      </c>
      <c r="G46" s="41">
        <v>30</v>
      </c>
      <c r="I46" s="14">
        <f>+L46*1.55*1.21</f>
        <v>0</v>
      </c>
      <c r="J46" s="14">
        <v>0</v>
      </c>
      <c r="K46" s="31"/>
      <c r="L46" s="14">
        <f>+IF(ISERROR(N46/G46),"",(N46/G46))</f>
        <v>0</v>
      </c>
      <c r="M46" s="14">
        <f>+IF(ISERROR(N46/F46),"",(N46/F46))</f>
        <v>0</v>
      </c>
      <c r="N46" s="16"/>
      <c r="O46" s="70"/>
      <c r="P46" s="11">
        <f>+IF(ISERROR(N46/(1-O46)),"",(N46/(1-O46)))</f>
        <v>0</v>
      </c>
      <c r="Q46" s="69"/>
      <c r="R46" s="11">
        <f>+IF(ISERROR(P46/(1-Q46)),"",(P46/(1-Q46)))</f>
        <v>0</v>
      </c>
      <c r="S46" s="14">
        <f>+IF(ISERROR(R46/G46),"",(R46/G46))</f>
        <v>0</v>
      </c>
      <c r="T46" s="13"/>
      <c r="U46"/>
      <c r="V46" s="11" t="s">
        <v>32</v>
      </c>
      <c r="W46" s="52" t="str">
        <f>+IF(ISERROR(N46/V46-1),"",(N46/V46-1))</f>
        <v/>
      </c>
      <c r="X46" s="14" t="str">
        <f>+IF(ISERROR(V46*(1-O46)),"",(V46*(1-O46)))</f>
        <v/>
      </c>
    </row>
    <row r="47" spans="1:24" ht="12.65" hidden="1" customHeight="1" x14ac:dyDescent="0.3">
      <c r="A47" s="21" t="s">
        <v>105</v>
      </c>
      <c r="B47" s="21" t="s">
        <v>104</v>
      </c>
      <c r="C47" s="68">
        <v>100522168</v>
      </c>
      <c r="D47" s="67" t="s">
        <v>103</v>
      </c>
      <c r="E47" s="66"/>
      <c r="F47" s="64">
        <v>4.62</v>
      </c>
      <c r="G47" s="41">
        <v>48</v>
      </c>
      <c r="I47" s="65"/>
      <c r="J47" s="59"/>
      <c r="K47" s="31"/>
      <c r="L47" s="65"/>
      <c r="M47" s="64"/>
      <c r="N47" s="39"/>
      <c r="O47" s="63"/>
      <c r="P47" s="61"/>
      <c r="Q47" s="62"/>
      <c r="R47" s="61"/>
      <c r="S47" s="59"/>
      <c r="T47" s="13"/>
      <c r="U47"/>
      <c r="V47" s="61"/>
      <c r="W47" s="60"/>
      <c r="X47" s="59"/>
    </row>
    <row r="48" spans="1:24" x14ac:dyDescent="0.3">
      <c r="A48" s="36"/>
      <c r="B48" s="35"/>
      <c r="C48" s="34"/>
      <c r="D48" s="26"/>
      <c r="E48" s="34"/>
      <c r="F48" s="26"/>
      <c r="G48" s="33"/>
      <c r="I48" s="30"/>
      <c r="J48" s="32"/>
      <c r="K48" s="51"/>
      <c r="L48" s="30"/>
      <c r="M48" s="26"/>
      <c r="N48" s="26"/>
      <c r="O48" s="28"/>
      <c r="P48" s="26"/>
      <c r="Q48" s="28"/>
      <c r="R48" s="26"/>
      <c r="S48" s="24"/>
      <c r="T48" s="13"/>
      <c r="U48"/>
      <c r="V48" s="26"/>
      <c r="W48" s="50"/>
      <c r="X48" s="24"/>
    </row>
    <row r="49" spans="1:24" hidden="1" x14ac:dyDescent="0.3">
      <c r="A49" s="23" t="s">
        <v>85</v>
      </c>
      <c r="B49" s="21" t="s">
        <v>99</v>
      </c>
      <c r="C49" s="49">
        <v>100022085</v>
      </c>
      <c r="D49" s="23" t="s">
        <v>102</v>
      </c>
      <c r="E49" s="55">
        <v>7790360000132</v>
      </c>
      <c r="F49" s="14">
        <v>5.4</v>
      </c>
      <c r="G49" s="18">
        <v>24</v>
      </c>
      <c r="H49" s="58"/>
      <c r="I49" s="14">
        <f>+L49*1.55*1.21</f>
        <v>0</v>
      </c>
      <c r="J49" s="14">
        <f>+I49*0.8</f>
        <v>0</v>
      </c>
      <c r="K49" s="51"/>
      <c r="L49" s="14">
        <f>+IF(ISERROR(N49/G49),"",(N49/G49))</f>
        <v>0</v>
      </c>
      <c r="M49" s="14">
        <f>+IF(ISERROR(N49/F49),"",(N49/F49))</f>
        <v>0</v>
      </c>
      <c r="N49" s="16"/>
      <c r="O49" s="15"/>
      <c r="P49" s="14">
        <f>+IF(ISERROR(N49/(1-O49)),"",(N49/(1-O49)))</f>
        <v>0</v>
      </c>
      <c r="Q49" s="15"/>
      <c r="R49" s="14">
        <f>+IF(ISERROR(P49/(1-Q49)),"",(P49/(1-Q49)))</f>
        <v>0</v>
      </c>
      <c r="S49" s="14">
        <f>+IF(ISERROR(R49/G49),"",(R49/G49))</f>
        <v>0</v>
      </c>
      <c r="U49" s="12"/>
      <c r="V49" s="11" t="s">
        <v>32</v>
      </c>
      <c r="W49" s="15" t="str">
        <f>+IF(ISERROR(N49/V49-1),"",(N49/V49-1))</f>
        <v/>
      </c>
      <c r="X49" s="14" t="str">
        <f>+IF(ISERROR(V49*(1-O49)),"",(V49*(1-O49)))</f>
        <v/>
      </c>
    </row>
    <row r="50" spans="1:24" x14ac:dyDescent="0.3">
      <c r="A50" s="23" t="s">
        <v>85</v>
      </c>
      <c r="B50" s="21" t="s">
        <v>99</v>
      </c>
      <c r="C50" s="49">
        <v>100522204</v>
      </c>
      <c r="D50" s="23" t="s">
        <v>102</v>
      </c>
      <c r="E50" s="55">
        <v>7790360983947</v>
      </c>
      <c r="F50" s="14">
        <v>5.4</v>
      </c>
      <c r="G50" s="18">
        <v>24</v>
      </c>
      <c r="H50" s="58"/>
      <c r="I50" s="14">
        <f>+L50*1.55*1.21</f>
        <v>3442.2034672265627</v>
      </c>
      <c r="J50" s="14">
        <f>+I50*0.8</f>
        <v>2753.7627737812504</v>
      </c>
      <c r="K50" s="51"/>
      <c r="L50" s="14">
        <f>+IF(ISERROR(N50/G50),"",(N50/G50))</f>
        <v>1835.3524218749999</v>
      </c>
      <c r="M50" s="14">
        <f>+IF(ISERROR(N50/F50),"",(N50/F50))</f>
        <v>8157.1218749999989</v>
      </c>
      <c r="N50" s="16">
        <v>44048.458124999997</v>
      </c>
      <c r="O50" s="15"/>
      <c r="P50" s="14">
        <f>+IF(ISERROR(N50/(1-O50)),"",(N50/(1-O50)))</f>
        <v>44048.458124999997</v>
      </c>
      <c r="Q50" s="15"/>
      <c r="R50" s="14">
        <f>+IF(ISERROR(P50/(1-Q50)),"",(P50/(1-Q50)))</f>
        <v>44048.458124999997</v>
      </c>
      <c r="S50" s="14">
        <f>+IF(ISERROR(R50/G50),"",(R50/G50))</f>
        <v>1835.3524218749999</v>
      </c>
      <c r="T50" s="13"/>
      <c r="U50" s="12"/>
      <c r="V50" s="11">
        <v>41950.91</v>
      </c>
      <c r="W50" s="15">
        <f>+IF(ISERROR(N50/V50-1),"",(N50/V50-1))</f>
        <v>5.0000062573135828E-2</v>
      </c>
      <c r="X50" s="14">
        <f>+IF(ISERROR(V50*(1-O50)),"",(V50*(1-O50)))</f>
        <v>41950.91</v>
      </c>
    </row>
    <row r="51" spans="1:24" hidden="1" x14ac:dyDescent="0.3">
      <c r="A51" s="23" t="s">
        <v>85</v>
      </c>
      <c r="B51" s="21" t="s">
        <v>99</v>
      </c>
      <c r="C51" s="49">
        <v>100022072</v>
      </c>
      <c r="D51" s="23" t="s">
        <v>101</v>
      </c>
      <c r="E51" s="55">
        <v>7790360024541</v>
      </c>
      <c r="F51" s="14">
        <v>5.4</v>
      </c>
      <c r="G51" s="18">
        <v>12</v>
      </c>
      <c r="H51" s="58"/>
      <c r="I51" s="14">
        <f>+L51*1.55*1.21</f>
        <v>6319.4678046500012</v>
      </c>
      <c r="J51" s="14">
        <f>+I51*0.8</f>
        <v>5055.5742437200015</v>
      </c>
      <c r="K51" s="40"/>
      <c r="L51" s="14">
        <f>+IF(ISERROR(N51/G51),"",(N51/G51))</f>
        <v>3369.4843000000005</v>
      </c>
      <c r="M51" s="14">
        <f>+IF(ISERROR(N51/F51),"",(N51/F51))</f>
        <v>7487.7428888888899</v>
      </c>
      <c r="N51" s="16">
        <v>40433.811600000008</v>
      </c>
      <c r="O51" s="15"/>
      <c r="P51" s="14">
        <f>+IF(ISERROR(N51/(1-O51)),"",(N51/(1-O51)))</f>
        <v>40433.811600000008</v>
      </c>
      <c r="Q51" s="15"/>
      <c r="R51" s="14">
        <f>+IF(ISERROR(P51/(1-Q51)),"",(P51/(1-Q51)))</f>
        <v>40433.811600000008</v>
      </c>
      <c r="S51" s="14">
        <f>+IF(ISERROR(R51/G51),"",(R51/G51))</f>
        <v>3369.4843000000005</v>
      </c>
      <c r="T51" s="13"/>
      <c r="U51" s="12"/>
      <c r="V51" s="11" t="s">
        <v>32</v>
      </c>
      <c r="W51" s="15" t="str">
        <f>+IF(ISERROR(N51/V51-1),"",(N51/V51-1))</f>
        <v/>
      </c>
      <c r="X51" s="14" t="str">
        <f>+IF(ISERROR(V51*(1-O51)),"",(V51*(1-O51)))</f>
        <v/>
      </c>
    </row>
    <row r="52" spans="1:24" x14ac:dyDescent="0.3">
      <c r="A52" s="23" t="s">
        <v>85</v>
      </c>
      <c r="B52" s="21" t="s">
        <v>99</v>
      </c>
      <c r="C52" s="49">
        <v>100522205</v>
      </c>
      <c r="D52" s="23" t="s">
        <v>101</v>
      </c>
      <c r="E52" s="55">
        <v>7790360983954</v>
      </c>
      <c r="F52" s="14">
        <v>5.4</v>
      </c>
      <c r="G52" s="18">
        <v>12</v>
      </c>
      <c r="H52" s="58"/>
      <c r="I52" s="14">
        <f>+L52*1.55*1.21</f>
        <v>6087.5607292500017</v>
      </c>
      <c r="J52" s="14">
        <f>+I52*0.8</f>
        <v>4870.0485834000019</v>
      </c>
      <c r="K52" s="40"/>
      <c r="L52" s="14">
        <f>+IF(ISERROR(N52/G52),"",(N52/G52))</f>
        <v>3245.8335000000006</v>
      </c>
      <c r="M52" s="14">
        <f>+IF(ISERROR(N52/F52),"",(N52/F52))</f>
        <v>7212.963333333334</v>
      </c>
      <c r="N52" s="16">
        <v>38950.002000000008</v>
      </c>
      <c r="O52" s="15"/>
      <c r="P52" s="14">
        <f>+IF(ISERROR(N52/(1-O52)),"",(N52/(1-O52)))</f>
        <v>38950.002000000008</v>
      </c>
      <c r="Q52" s="15"/>
      <c r="R52" s="14">
        <f>+IF(ISERROR(P52/(1-Q52)),"",(P52/(1-Q52)))</f>
        <v>38950.002000000008</v>
      </c>
      <c r="S52" s="14">
        <f>+IF(ISERROR(R52/G52),"",(R52/G52))</f>
        <v>3245.8335000000006</v>
      </c>
      <c r="T52" s="13"/>
      <c r="U52" s="12"/>
      <c r="V52" s="11">
        <v>37095.24</v>
      </c>
      <c r="W52" s="15">
        <f>+IF(ISERROR(N52/V52-1),"",(N52/V52-1))</f>
        <v>5.0000000000000266E-2</v>
      </c>
      <c r="X52" s="14">
        <f>+IF(ISERROR(V52*(1-O52)),"",(V52*(1-O52)))</f>
        <v>37095.24</v>
      </c>
    </row>
    <row r="53" spans="1:24" hidden="1" x14ac:dyDescent="0.3">
      <c r="A53" s="23" t="s">
        <v>85</v>
      </c>
      <c r="B53" s="21" t="s">
        <v>99</v>
      </c>
      <c r="C53" s="49">
        <v>100022073</v>
      </c>
      <c r="D53" s="23" t="s">
        <v>100</v>
      </c>
      <c r="E53" s="55">
        <v>7790360024558</v>
      </c>
      <c r="F53" s="14">
        <v>5.4</v>
      </c>
      <c r="G53" s="18">
        <v>6</v>
      </c>
      <c r="H53" s="58"/>
      <c r="I53" s="14">
        <f>+L53*1.55*1.21</f>
        <v>12175.121458500003</v>
      </c>
      <c r="J53" s="14">
        <f>+I53*0.8</f>
        <v>9740.0971668000038</v>
      </c>
      <c r="K53" s="40"/>
      <c r="L53" s="14">
        <f>+IF(ISERROR(N53/G53),"",(N53/G53))</f>
        <v>6491.6670000000013</v>
      </c>
      <c r="M53" s="14">
        <f>+IF(ISERROR(N53/F53),"",(N53/F53))</f>
        <v>7212.963333333334</v>
      </c>
      <c r="N53" s="16">
        <v>38950.002000000008</v>
      </c>
      <c r="O53" s="15"/>
      <c r="P53" s="14">
        <f>+IF(ISERROR(N53/(1-O53)),"",(N53/(1-O53)))</f>
        <v>38950.002000000008</v>
      </c>
      <c r="Q53" s="15"/>
      <c r="R53" s="14">
        <f>+IF(ISERROR(P53/(1-Q53)),"",(P53/(1-Q53)))</f>
        <v>38950.002000000008</v>
      </c>
      <c r="S53" s="14">
        <f>+IF(ISERROR(R53/G53),"",(R53/G53))</f>
        <v>6491.6670000000013</v>
      </c>
      <c r="T53" s="13"/>
      <c r="U53" s="12"/>
      <c r="V53" s="11">
        <v>37095.24</v>
      </c>
      <c r="W53" s="15">
        <f>+IF(ISERROR(N53/V53-1),"",(N53/V53-1))</f>
        <v>5.0000000000000266E-2</v>
      </c>
      <c r="X53" s="14">
        <f>+IF(ISERROR(V53*(1-O53)),"",(V53*(1-O53)))</f>
        <v>37095.24</v>
      </c>
    </row>
    <row r="54" spans="1:24" x14ac:dyDescent="0.3">
      <c r="A54" s="23" t="s">
        <v>85</v>
      </c>
      <c r="B54" s="21" t="s">
        <v>99</v>
      </c>
      <c r="C54" s="49">
        <v>100516849</v>
      </c>
      <c r="D54" s="23" t="s">
        <v>98</v>
      </c>
      <c r="E54" s="55">
        <v>7790360970053</v>
      </c>
      <c r="F54" s="14">
        <v>4.5599999990400004</v>
      </c>
      <c r="G54" s="18">
        <v>24</v>
      </c>
      <c r="H54" s="58"/>
      <c r="I54" s="14">
        <f>+L54*1.55*1.21</f>
        <v>2875.8050225953125</v>
      </c>
      <c r="J54" s="14">
        <f>+I54*0.8</f>
        <v>2300.6440180762502</v>
      </c>
      <c r="K54" s="51"/>
      <c r="L54" s="14">
        <f>+IF(ISERROR(N54/G54),"",(N54/G54))</f>
        <v>1533.353784375</v>
      </c>
      <c r="M54" s="14">
        <f>+IF(ISERROR(N54/F54),"",(N54/F54))</f>
        <v>8070.2830773569012</v>
      </c>
      <c r="N54" s="16">
        <v>36800.490825000001</v>
      </c>
      <c r="O54" s="15"/>
      <c r="P54" s="14">
        <f>+IF(ISERROR(N54/(1-O54)),"",(N54/(1-O54)))</f>
        <v>36800.490825000001</v>
      </c>
      <c r="Q54" s="15"/>
      <c r="R54" s="14">
        <f>+IF(ISERROR(P54/(1-Q54)),"",(P54/(1-Q54)))</f>
        <v>36800.490825000001</v>
      </c>
      <c r="S54" s="14">
        <f>+IF(ISERROR(R54/G54),"",(R54/G54))</f>
        <v>1533.353784375</v>
      </c>
      <c r="T54" s="13"/>
      <c r="U54" s="12"/>
      <c r="V54" s="11">
        <v>35048.089999999997</v>
      </c>
      <c r="W54" s="15">
        <f>+IF(ISERROR(N54/V54-1),"",(N54/V54-1))</f>
        <v>4.9999895144072104E-2</v>
      </c>
      <c r="X54" s="14">
        <f>+IF(ISERROR(V54*(1-O54)),"",(V54*(1-O54)))</f>
        <v>35048.089999999997</v>
      </c>
    </row>
    <row r="55" spans="1:24" hidden="1" x14ac:dyDescent="0.3">
      <c r="A55" s="23" t="s">
        <v>85</v>
      </c>
      <c r="B55" s="21" t="s">
        <v>94</v>
      </c>
      <c r="C55" s="49">
        <v>100022039</v>
      </c>
      <c r="D55" s="23" t="s">
        <v>97</v>
      </c>
      <c r="E55" s="55">
        <v>7790360007063</v>
      </c>
      <c r="F55" s="14">
        <v>8.6999999999999993</v>
      </c>
      <c r="G55" s="18">
        <v>10</v>
      </c>
      <c r="H55" s="58"/>
      <c r="I55" s="14">
        <f>+L55*1.55*1.21</f>
        <v>13437.020373603753</v>
      </c>
      <c r="J55" s="14">
        <f>+I55*0.8</f>
        <v>10749.616298883004</v>
      </c>
      <c r="K55" s="51"/>
      <c r="L55" s="14">
        <f>+IF(ISERROR(N55/G55),"",(N55/G55))</f>
        <v>7164.5003325000016</v>
      </c>
      <c r="M55" s="14">
        <f>+IF(ISERROR(N55/F55),"",(N55/F55))</f>
        <v>8235.0578534482775</v>
      </c>
      <c r="N55" s="16">
        <v>71645.003325000012</v>
      </c>
      <c r="O55" s="15"/>
      <c r="P55" s="14">
        <f>+IF(ISERROR(N55/(1-O55)),"",(N55/(1-O55)))</f>
        <v>71645.003325000012</v>
      </c>
      <c r="Q55" s="15"/>
      <c r="R55" s="14">
        <f>+IF(ISERROR(P55/(1-Q55)),"",(P55/(1-Q55)))</f>
        <v>71645.003325000012</v>
      </c>
      <c r="S55" s="14">
        <f>+IF(ISERROR(R55/G55),"",(R55/G55))</f>
        <v>7164.5003325000016</v>
      </c>
      <c r="T55" s="13"/>
      <c r="U55" s="12"/>
      <c r="V55" s="11" t="s">
        <v>32</v>
      </c>
      <c r="W55" s="15" t="str">
        <f>+IF(ISERROR(N55/V55-1),"",(N55/V55-1))</f>
        <v/>
      </c>
      <c r="X55" s="14" t="str">
        <f>+IF(ISERROR(V55*(1-O55)),"",(V55*(1-O55)))</f>
        <v/>
      </c>
    </row>
    <row r="56" spans="1:24" x14ac:dyDescent="0.3">
      <c r="A56" s="23" t="s">
        <v>85</v>
      </c>
      <c r="B56" s="21" t="s">
        <v>94</v>
      </c>
      <c r="C56" s="49">
        <v>100522206</v>
      </c>
      <c r="D56" s="23" t="s">
        <v>97</v>
      </c>
      <c r="E56" s="55">
        <v>7790360983961</v>
      </c>
      <c r="F56" s="14">
        <v>8.6999999999999993</v>
      </c>
      <c r="G56" s="18">
        <v>10</v>
      </c>
      <c r="H56" s="58"/>
      <c r="I56" s="14">
        <f>+L56*1.55*1.21</f>
        <v>13437.020373603753</v>
      </c>
      <c r="J56" s="14">
        <f>+I56*0.8</f>
        <v>10749.616298883004</v>
      </c>
      <c r="K56" s="51"/>
      <c r="L56" s="14">
        <f>+IF(ISERROR(N56/G56),"",(N56/G56))</f>
        <v>7164.5003325000016</v>
      </c>
      <c r="M56" s="14">
        <f>+IF(ISERROR(N56/F56),"",(N56/F56))</f>
        <v>8235.0578534482775</v>
      </c>
      <c r="N56" s="16">
        <v>71645.003325000012</v>
      </c>
      <c r="O56" s="15"/>
      <c r="P56" s="14">
        <f>+IF(ISERROR(N56/(1-O56)),"",(N56/(1-O56)))</f>
        <v>71645.003325000012</v>
      </c>
      <c r="Q56" s="15"/>
      <c r="R56" s="14">
        <f>+IF(ISERROR(P56/(1-Q56)),"",(P56/(1-Q56)))</f>
        <v>71645.003325000012</v>
      </c>
      <c r="S56" s="14">
        <f>+IF(ISERROR(R56/G56),"",(R56/G56))</f>
        <v>7164.5003325000016</v>
      </c>
      <c r="T56" s="13"/>
      <c r="U56" s="12"/>
      <c r="V56" s="11">
        <v>68233.34</v>
      </c>
      <c r="W56" s="15">
        <f>+IF(ISERROR(N56/V56-1),"",(N56/V56-1))</f>
        <v>4.9999946140699247E-2</v>
      </c>
      <c r="X56" s="14">
        <f>+IF(ISERROR(V56*(1-O56)),"",(V56*(1-O56)))</f>
        <v>68233.34</v>
      </c>
    </row>
    <row r="57" spans="1:24" x14ac:dyDescent="0.3">
      <c r="A57" s="23" t="s">
        <v>85</v>
      </c>
      <c r="B57" s="21" t="s">
        <v>94</v>
      </c>
      <c r="C57" s="49">
        <v>100518151</v>
      </c>
      <c r="D57" s="23" t="s">
        <v>96</v>
      </c>
      <c r="E57" s="55">
        <v>7790360974990</v>
      </c>
      <c r="F57" s="14">
        <v>10.44</v>
      </c>
      <c r="G57" s="18">
        <v>12</v>
      </c>
      <c r="H57" s="58"/>
      <c r="I57" s="14">
        <v>674.73006523985669</v>
      </c>
      <c r="J57" s="14">
        <v>539.78405219188539</v>
      </c>
      <c r="K57" s="51"/>
      <c r="L57" s="14">
        <f>+IF(ISERROR(N57/G57),"",(N57/G57))</f>
        <v>3700.7837999999997</v>
      </c>
      <c r="M57" s="14">
        <f>+IF(ISERROR(N57/F57),"",(N57/F57))</f>
        <v>4253.7744827586212</v>
      </c>
      <c r="N57" s="16">
        <v>44409.405599999998</v>
      </c>
      <c r="O57" s="15"/>
      <c r="P57" s="14">
        <f>+IF(ISERROR(N57/(1-O57)),"",(N57/(1-O57)))</f>
        <v>44409.405599999998</v>
      </c>
      <c r="Q57" s="15"/>
      <c r="R57" s="14">
        <f>+IF(ISERROR(P57/(1-Q57)),"",(P57/(1-Q57)))</f>
        <v>44409.405599999998</v>
      </c>
      <c r="S57" s="14">
        <f>+IF(ISERROR(R57/G57),"",(R57/G57))</f>
        <v>3700.7837999999997</v>
      </c>
      <c r="T57" s="13"/>
      <c r="U57" s="12"/>
      <c r="V57" s="11">
        <v>42294.67</v>
      </c>
      <c r="W57" s="15">
        <f>+IF(ISERROR(N57/V57-1),"",(N57/V57-1))</f>
        <v>5.0000049651646394E-2</v>
      </c>
      <c r="X57" s="14">
        <f>+IF(ISERROR(V57*(1-O57)),"",(V57*(1-O57)))</f>
        <v>42294.67</v>
      </c>
    </row>
    <row r="58" spans="1:24" hidden="1" x14ac:dyDescent="0.3">
      <c r="A58" s="23" t="s">
        <v>85</v>
      </c>
      <c r="B58" s="21" t="s">
        <v>94</v>
      </c>
      <c r="C58" s="49">
        <v>100022057</v>
      </c>
      <c r="D58" s="23" t="s">
        <v>95</v>
      </c>
      <c r="E58" s="55">
        <v>7790360025944</v>
      </c>
      <c r="F58" s="14">
        <v>7.1999999999999993</v>
      </c>
      <c r="G58" s="18">
        <v>10</v>
      </c>
      <c r="H58" s="58"/>
      <c r="I58" s="14">
        <f>+L58*1.55*1.21</f>
        <v>0</v>
      </c>
      <c r="J58" s="14">
        <f>+I58*0.8</f>
        <v>0</v>
      </c>
      <c r="K58" s="51"/>
      <c r="L58" s="14">
        <f>+IF(ISERROR(N58/G58),"",(N58/G58))</f>
        <v>0</v>
      </c>
      <c r="M58" s="14">
        <f>+IF(ISERROR(N58/F58),"",(N58/F58))</f>
        <v>0</v>
      </c>
      <c r="N58" s="16">
        <v>0</v>
      </c>
      <c r="O58" s="15"/>
      <c r="P58" s="14">
        <f>+IF(ISERROR(N58/(1-O58)),"",(N58/(1-O58)))</f>
        <v>0</v>
      </c>
      <c r="Q58" s="15"/>
      <c r="R58" s="14">
        <f>+IF(ISERROR(P58/(1-Q58)),"",(P58/(1-Q58)))</f>
        <v>0</v>
      </c>
      <c r="S58" s="14">
        <f>+IF(ISERROR(R58/G58),"",(R58/G58))</f>
        <v>0</v>
      </c>
      <c r="T58" s="13"/>
      <c r="U58" s="12"/>
      <c r="V58" s="11" t="s">
        <v>32</v>
      </c>
      <c r="W58" s="15" t="str">
        <f>+IF(ISERROR(N58/V58-1),"",(N58/V58-1))</f>
        <v/>
      </c>
      <c r="X58" s="14" t="str">
        <f>+IF(ISERROR(V58*(1-O58)),"",(V58*(1-O58)))</f>
        <v/>
      </c>
    </row>
    <row r="59" spans="1:24" hidden="1" x14ac:dyDescent="0.3">
      <c r="A59" s="23" t="s">
        <v>85</v>
      </c>
      <c r="B59" s="21" t="s">
        <v>94</v>
      </c>
      <c r="C59" s="49">
        <v>100516731</v>
      </c>
      <c r="D59" s="23" t="s">
        <v>93</v>
      </c>
      <c r="E59" s="55"/>
      <c r="F59" s="14">
        <v>10.44</v>
      </c>
      <c r="G59" s="18">
        <v>12</v>
      </c>
      <c r="H59" s="58"/>
      <c r="I59" s="14">
        <f>+L59*1.55*1.21</f>
        <v>0</v>
      </c>
      <c r="J59" s="14">
        <f>+I59*0.8</f>
        <v>0</v>
      </c>
      <c r="K59" s="51"/>
      <c r="L59" s="14">
        <f>+IF(ISERROR(N59/G59),"",(N59/G59))</f>
        <v>0</v>
      </c>
      <c r="M59" s="14">
        <f>+IF(ISERROR(N59/F59),"",(N59/F59))</f>
        <v>0</v>
      </c>
      <c r="N59" s="16">
        <v>0</v>
      </c>
      <c r="O59" s="15"/>
      <c r="P59" s="14">
        <f>+IF(ISERROR(N59/(1-O59)),"",(N59/(1-O59)))</f>
        <v>0</v>
      </c>
      <c r="Q59" s="15"/>
      <c r="R59" s="14">
        <f>+IF(ISERROR(P59/(1-Q59)),"",(P59/(1-Q59)))</f>
        <v>0</v>
      </c>
      <c r="S59" s="14">
        <f>+IF(ISERROR(R59/G59),"",(R59/G59))</f>
        <v>0</v>
      </c>
      <c r="T59" s="13"/>
      <c r="U59" s="12"/>
      <c r="V59" s="11" t="s">
        <v>32</v>
      </c>
      <c r="W59" s="52" t="str">
        <f>+IF(ISERROR(N59/V59-1),"",(N59/V59-1))</f>
        <v/>
      </c>
      <c r="X59" s="14" t="str">
        <f>+IF(ISERROR(V59*(1-O59)),"",(V59*(1-O59)))</f>
        <v/>
      </c>
    </row>
    <row r="60" spans="1:24" x14ac:dyDescent="0.3">
      <c r="A60" s="23" t="s">
        <v>85</v>
      </c>
      <c r="B60" s="21" t="s">
        <v>92</v>
      </c>
      <c r="C60" s="49">
        <v>100022058</v>
      </c>
      <c r="D60" s="23" t="s">
        <v>91</v>
      </c>
      <c r="E60" s="55">
        <v>7790360026002</v>
      </c>
      <c r="F60" s="14">
        <v>4.5599999990400004</v>
      </c>
      <c r="G60" s="18">
        <v>24</v>
      </c>
      <c r="H60" s="58"/>
      <c r="I60" s="14">
        <f>+L60*1.55*1.21</f>
        <v>1734.1706425312502</v>
      </c>
      <c r="J60" s="14">
        <f>+I60*0.8</f>
        <v>1387.3365140250003</v>
      </c>
      <c r="K60" s="57"/>
      <c r="L60" s="14">
        <f>+IF(ISERROR(N60/G60),"",(N60/G60))</f>
        <v>924.64443750000009</v>
      </c>
      <c r="M60" s="14">
        <f>+IF(ISERROR(N60/F60),"",(N60/F60))</f>
        <v>4866.549672077168</v>
      </c>
      <c r="N60" s="16">
        <v>22191.466500000002</v>
      </c>
      <c r="O60" s="15"/>
      <c r="P60" s="14">
        <f>+IF(ISERROR(N60/(1-O60)),"",(N60/(1-O60)))</f>
        <v>22191.466500000002</v>
      </c>
      <c r="Q60" s="15"/>
      <c r="R60" s="14">
        <f>+IF(ISERROR(P60/(1-Q60)),"",(P60/(1-Q60)))</f>
        <v>22191.466500000002</v>
      </c>
      <c r="S60" s="14">
        <f>+IF(ISERROR(R60/G60),"",(R60/G60))</f>
        <v>924.64443750000009</v>
      </c>
      <c r="T60" s="13"/>
      <c r="U60" s="12"/>
      <c r="V60" s="11">
        <v>21134.73</v>
      </c>
      <c r="W60" s="52">
        <f>+IF(ISERROR(N60/V60-1),"",(N60/V60-1))</f>
        <v>5.0000000000000044E-2</v>
      </c>
      <c r="X60" s="14">
        <f>+IF(ISERROR(V60*(1-O60)),"",(V60*(1-O60)))</f>
        <v>21134.73</v>
      </c>
    </row>
    <row r="61" spans="1:24" hidden="1" x14ac:dyDescent="0.3">
      <c r="A61" s="23" t="s">
        <v>85</v>
      </c>
      <c r="B61" s="21" t="s">
        <v>84</v>
      </c>
      <c r="C61" s="49">
        <v>100022089</v>
      </c>
      <c r="D61" s="23" t="s">
        <v>90</v>
      </c>
      <c r="E61" s="55">
        <v>7798024390315</v>
      </c>
      <c r="F61" s="14">
        <v>5.4</v>
      </c>
      <c r="G61" s="18">
        <v>24</v>
      </c>
      <c r="I61" s="14">
        <f>+L61*1.55*1.21</f>
        <v>0</v>
      </c>
      <c r="J61" s="14">
        <v>0</v>
      </c>
      <c r="K61" s="51"/>
      <c r="L61" s="14">
        <f>+IF(ISERROR(P61/G61),"",(P61/G61))</f>
        <v>0</v>
      </c>
      <c r="M61" s="14">
        <f>+IF(ISERROR(N61/F61),"",(N61/F61))</f>
        <v>0</v>
      </c>
      <c r="N61" s="16"/>
      <c r="O61" s="15"/>
      <c r="P61" s="14">
        <f>+IF(ISERROR(N61/(1-O61)),"",(N61/(1-O61)))</f>
        <v>0</v>
      </c>
      <c r="Q61" s="15"/>
      <c r="R61" s="14">
        <f>+IF(ISERROR(P61/(1-Q61)),"",(P61/(1-Q61)))</f>
        <v>0</v>
      </c>
      <c r="S61" s="14">
        <f>+IF(ISERROR(R61/G61),"",(R61/G61))</f>
        <v>0</v>
      </c>
      <c r="T61" s="13"/>
      <c r="U61"/>
      <c r="V61" s="11" t="s">
        <v>32</v>
      </c>
      <c r="W61" s="52" t="str">
        <f>+IF(ISERROR(N61/V61-1),"",(N61/V61-1))</f>
        <v/>
      </c>
      <c r="X61" s="14" t="str">
        <f>+IF(ISERROR(V61*(1-O61)),"",(V61*(1-O61)))</f>
        <v/>
      </c>
    </row>
    <row r="62" spans="1:24" hidden="1" x14ac:dyDescent="0.3">
      <c r="A62" s="23" t="s">
        <v>85</v>
      </c>
      <c r="B62" s="21" t="s">
        <v>84</v>
      </c>
      <c r="C62" s="49">
        <v>100022080</v>
      </c>
      <c r="D62" s="23" t="s">
        <v>89</v>
      </c>
      <c r="E62" s="55">
        <v>7798158706778</v>
      </c>
      <c r="F62" s="14">
        <v>5.4</v>
      </c>
      <c r="G62" s="18">
        <v>12</v>
      </c>
      <c r="I62" s="14">
        <f>+L62*1.55*1.21</f>
        <v>0</v>
      </c>
      <c r="J62" s="14">
        <v>0</v>
      </c>
      <c r="K62" s="51"/>
      <c r="L62" s="14">
        <f>+IF(ISERROR(P62/G62),"",(P62/G62))</f>
        <v>0</v>
      </c>
      <c r="M62" s="14">
        <f>+IF(ISERROR(N62/F62),"",(N62/F62))</f>
        <v>0</v>
      </c>
      <c r="N62" s="16"/>
      <c r="O62" s="15"/>
      <c r="P62" s="14">
        <f>+IF(ISERROR(N62/(1-O62)),"",(N62/(1-O62)))</f>
        <v>0</v>
      </c>
      <c r="Q62" s="15"/>
      <c r="R62" s="14">
        <f>+IF(ISERROR(P62/(1-Q62)),"",(P62/(1-Q62)))</f>
        <v>0</v>
      </c>
      <c r="S62" s="14">
        <f>+IF(ISERROR(R62/G62),"",(R62/G62))</f>
        <v>0</v>
      </c>
      <c r="T62" s="13"/>
      <c r="U62"/>
      <c r="V62" s="14" t="s">
        <v>32</v>
      </c>
      <c r="W62" s="52" t="str">
        <f>+IF(ISERROR(N62/V62-1),"",(N62/V62-1))</f>
        <v/>
      </c>
      <c r="X62" s="14" t="str">
        <f>+IF(ISERROR(V62*(1-O62)),"",(V62*(1-O62)))</f>
        <v/>
      </c>
    </row>
    <row r="63" spans="1:24" hidden="1" x14ac:dyDescent="0.3">
      <c r="A63" s="23" t="s">
        <v>85</v>
      </c>
      <c r="B63" s="21" t="s">
        <v>84</v>
      </c>
      <c r="C63" s="49">
        <v>100022081</v>
      </c>
      <c r="D63" s="23" t="s">
        <v>88</v>
      </c>
      <c r="E63" s="55">
        <v>7798158706785</v>
      </c>
      <c r="F63" s="14">
        <v>5.4</v>
      </c>
      <c r="G63" s="18">
        <v>6</v>
      </c>
      <c r="I63" s="14">
        <f>+L63*1.55*1.21</f>
        <v>0</v>
      </c>
      <c r="J63" s="14">
        <v>0</v>
      </c>
      <c r="K63" s="51"/>
      <c r="L63" s="14">
        <f>+IF(ISERROR(P63/G63),"",(P63/G63))</f>
        <v>0</v>
      </c>
      <c r="M63" s="14">
        <f>+IF(ISERROR(N63/F63),"",(N63/F63))</f>
        <v>0</v>
      </c>
      <c r="N63" s="16"/>
      <c r="O63" s="15"/>
      <c r="P63" s="14">
        <f>+IF(ISERROR(N63/(1-O63)),"",(N63/(1-O63)))</f>
        <v>0</v>
      </c>
      <c r="Q63" s="15"/>
      <c r="R63" s="14">
        <f>+IF(ISERROR(P63/(1-Q63)),"",(P63/(1-Q63)))</f>
        <v>0</v>
      </c>
      <c r="S63" s="14">
        <f>+IF(ISERROR(R63/G63),"",(R63/G63))</f>
        <v>0</v>
      </c>
      <c r="T63" s="13"/>
      <c r="U63"/>
      <c r="V63" s="14" t="s">
        <v>32</v>
      </c>
      <c r="W63" s="52" t="str">
        <f>+IF(ISERROR(N63/V63-1),"",(N63/V63-1))</f>
        <v/>
      </c>
      <c r="X63" s="14" t="str">
        <f>+IF(ISERROR(V63*(1-O63)),"",(V63*(1-O63)))</f>
        <v/>
      </c>
    </row>
    <row r="64" spans="1:24" hidden="1" x14ac:dyDescent="0.3">
      <c r="A64" s="23" t="s">
        <v>85</v>
      </c>
      <c r="B64" s="21" t="s">
        <v>84</v>
      </c>
      <c r="C64" s="49">
        <v>100022014</v>
      </c>
      <c r="D64" s="23" t="s">
        <v>87</v>
      </c>
      <c r="E64" s="55">
        <v>8480017244512</v>
      </c>
      <c r="F64" s="14">
        <v>4.5</v>
      </c>
      <c r="G64" s="18">
        <v>20</v>
      </c>
      <c r="I64" s="14">
        <f>+L64*1.55*1.21</f>
        <v>0</v>
      </c>
      <c r="J64" s="14">
        <v>0</v>
      </c>
      <c r="K64" s="51"/>
      <c r="L64" s="14">
        <f>+IF(ISERROR(P64/G64),"",(P64/G64))</f>
        <v>0</v>
      </c>
      <c r="M64" s="14">
        <f>+IF(ISERROR(N64/F64),"",(N64/F64))</f>
        <v>0</v>
      </c>
      <c r="N64" s="16"/>
      <c r="O64" s="15"/>
      <c r="P64" s="14">
        <f>+IF(ISERROR(N64/(1-O64)),"",(N64/(1-O64)))</f>
        <v>0</v>
      </c>
      <c r="Q64" s="15"/>
      <c r="R64" s="14">
        <f>+IF(ISERROR(P64/(1-Q64)),"",(P64/(1-Q64)))</f>
        <v>0</v>
      </c>
      <c r="S64" s="14">
        <f>+IF(ISERROR(R64/G64),"",(R64/G64))</f>
        <v>0</v>
      </c>
      <c r="T64" s="13"/>
      <c r="U64"/>
      <c r="V64" s="14" t="s">
        <v>32</v>
      </c>
      <c r="W64" s="52" t="str">
        <f>+IF(ISERROR(N64/V64-1),"",(N64/V64-1))</f>
        <v/>
      </c>
      <c r="X64" s="14" t="str">
        <f>+IF(ISERROR(V64*(1-O64)),"",(V64*(1-O64)))</f>
        <v/>
      </c>
    </row>
    <row r="65" spans="1:24" hidden="1" x14ac:dyDescent="0.3">
      <c r="A65" s="23" t="s">
        <v>85</v>
      </c>
      <c r="B65" s="21" t="s">
        <v>84</v>
      </c>
      <c r="C65" s="49">
        <v>100022086</v>
      </c>
      <c r="D65" s="23" t="s">
        <v>86</v>
      </c>
      <c r="E65" s="55">
        <v>8480017090058</v>
      </c>
      <c r="F65" s="14">
        <v>5.4</v>
      </c>
      <c r="G65" s="18">
        <v>12</v>
      </c>
      <c r="I65" s="14">
        <f>+L65*1.55*1.21</f>
        <v>0</v>
      </c>
      <c r="J65" s="14">
        <v>0</v>
      </c>
      <c r="K65" s="51"/>
      <c r="L65" s="14">
        <f>+IF(ISERROR(P65/G65),"",(P65/G65))</f>
        <v>0</v>
      </c>
      <c r="M65" s="14">
        <f>+IF(ISERROR(N65/F65),"",(N65/F65))</f>
        <v>0</v>
      </c>
      <c r="N65" s="16"/>
      <c r="O65" s="15"/>
      <c r="P65" s="14">
        <f>+IF(ISERROR(N65/(1-O65)),"",(N65/(1-O65)))</f>
        <v>0</v>
      </c>
      <c r="Q65" s="15"/>
      <c r="R65" s="14">
        <f>+IF(ISERROR(P65/(1-Q65)),"",(P65/(1-Q65)))</f>
        <v>0</v>
      </c>
      <c r="S65" s="56">
        <f>+IF(ISERROR(R65/G65),"",(R65/G65))</f>
        <v>0</v>
      </c>
      <c r="T65" s="13"/>
      <c r="U65"/>
      <c r="V65" s="14" t="s">
        <v>32</v>
      </c>
      <c r="W65" s="52" t="str">
        <f>+IF(ISERROR(N65/V65-1),"",(N65/V65-1))</f>
        <v/>
      </c>
      <c r="X65" s="14" t="str">
        <f>+IF(ISERROR(V65*(1-O65)),"",(V65*(1-O65)))</f>
        <v/>
      </c>
    </row>
    <row r="66" spans="1:24" hidden="1" x14ac:dyDescent="0.3">
      <c r="A66" s="23" t="s">
        <v>85</v>
      </c>
      <c r="B66" s="21" t="s">
        <v>84</v>
      </c>
      <c r="C66" s="49">
        <v>100022087</v>
      </c>
      <c r="D66" s="23" t="s">
        <v>83</v>
      </c>
      <c r="E66" s="55">
        <v>8480017048141</v>
      </c>
      <c r="F66" s="14">
        <v>5.4</v>
      </c>
      <c r="G66" s="18">
        <v>6</v>
      </c>
      <c r="I66" s="14"/>
      <c r="J66" s="14"/>
      <c r="K66" s="51"/>
      <c r="L66" s="14">
        <f>+IF(ISERROR(N66/G66),"",(N66/G66))</f>
        <v>0</v>
      </c>
      <c r="M66" s="14">
        <f>+IF(ISERROR(N66/F66),"",(N66/F66))</f>
        <v>0</v>
      </c>
      <c r="N66" s="16"/>
      <c r="O66" s="15"/>
      <c r="P66" s="14">
        <f>+IF(ISERROR(N66/(1-O66)),"",(N66/(1-O66)))</f>
        <v>0</v>
      </c>
      <c r="Q66" s="15"/>
      <c r="R66" s="14">
        <f>+IF(ISERROR(P66/(1-Q66)),"",(P66/(1-Q66)))</f>
        <v>0</v>
      </c>
      <c r="S66" s="56">
        <f>+IF(ISERROR(R66/G66),"",(R66/G66))</f>
        <v>0</v>
      </c>
      <c r="T66" s="13"/>
      <c r="U66"/>
      <c r="V66" s="14" t="s">
        <v>32</v>
      </c>
      <c r="W66" s="52"/>
      <c r="X66" s="14" t="str">
        <f>+IF(ISERROR(V66*(1-O66)),"",(V66*(1-O66)))</f>
        <v/>
      </c>
    </row>
    <row r="67" spans="1:24" x14ac:dyDescent="0.3">
      <c r="A67" s="36"/>
      <c r="B67" s="35"/>
      <c r="C67" s="34"/>
      <c r="D67" s="26"/>
      <c r="E67" s="34"/>
      <c r="F67" s="26"/>
      <c r="G67" s="33"/>
      <c r="I67" s="30"/>
      <c r="J67" s="32"/>
      <c r="K67" s="51"/>
      <c r="L67" s="30"/>
      <c r="M67" s="26"/>
      <c r="N67" s="26"/>
      <c r="O67" s="28"/>
      <c r="P67" s="26"/>
      <c r="Q67" s="28"/>
      <c r="R67" s="26"/>
      <c r="S67" s="24"/>
      <c r="T67" s="13"/>
      <c r="U67"/>
      <c r="V67" s="26"/>
      <c r="W67" s="50"/>
      <c r="X67" s="24"/>
    </row>
    <row r="68" spans="1:24" x14ac:dyDescent="0.3">
      <c r="A68" s="23" t="s">
        <v>61</v>
      </c>
      <c r="B68" s="21" t="s">
        <v>78</v>
      </c>
      <c r="C68" s="49">
        <v>100021000</v>
      </c>
      <c r="D68" s="23" t="s">
        <v>82</v>
      </c>
      <c r="E68" s="55">
        <v>7790360720382</v>
      </c>
      <c r="F68" s="14">
        <v>2.16</v>
      </c>
      <c r="G68" s="18">
        <v>24</v>
      </c>
      <c r="I68" s="14">
        <f>+L68*1.45*1.21</f>
        <v>1388.8600511561788</v>
      </c>
      <c r="J68" s="14">
        <f>+I68*0.8</f>
        <v>1111.088040924943</v>
      </c>
      <c r="K68" s="51"/>
      <c r="L68" s="14">
        <f>+IF(ISERROR(N68/G68),"",(N68/G68))</f>
        <v>791.59877523863145</v>
      </c>
      <c r="M68" s="14">
        <f>+IF(ISERROR(N68/F68),"",(N68/F68))</f>
        <v>8795.5419470959041</v>
      </c>
      <c r="N68" s="16">
        <v>18998.370605727156</v>
      </c>
      <c r="O68" s="15"/>
      <c r="P68" s="14">
        <f>+IF(ISERROR(N68/(1-O68)),"",(N68/(1-O68)))</f>
        <v>18998.370605727156</v>
      </c>
      <c r="Q68" s="15"/>
      <c r="R68" s="14">
        <f>+IF(ISERROR(P68/(1-Q68)),"",(P68/(1-Q68)))</f>
        <v>18998.370605727156</v>
      </c>
      <c r="S68" s="14">
        <f>+IF(ISERROR(P68/G68),"",(P68/G68))</f>
        <v>791.59877523863145</v>
      </c>
      <c r="T68" s="13"/>
      <c r="U68"/>
      <c r="V68" s="11">
        <v>18998.37</v>
      </c>
      <c r="W68" s="52">
        <f>+IF(ISERROR(N68/V68-1),"",(N68/V68-1))</f>
        <v>3.1883111928365793E-8</v>
      </c>
      <c r="X68" s="14">
        <f>+IF(ISERROR(V68*(1-O68)),"",(V68*(1-O68)))</f>
        <v>18998.37</v>
      </c>
    </row>
    <row r="69" spans="1:24" x14ac:dyDescent="0.3">
      <c r="A69" s="23" t="s">
        <v>61</v>
      </c>
      <c r="B69" s="21" t="s">
        <v>78</v>
      </c>
      <c r="C69" s="49">
        <v>100021001</v>
      </c>
      <c r="D69" s="23" t="s">
        <v>81</v>
      </c>
      <c r="E69" s="55">
        <v>7790360720115</v>
      </c>
      <c r="F69" s="14">
        <v>2.16</v>
      </c>
      <c r="G69" s="18">
        <v>24</v>
      </c>
      <c r="I69" s="14">
        <f>+L69*1.45*1.21</f>
        <v>1388.8600511561788</v>
      </c>
      <c r="J69" s="14">
        <f>+I69*0.8</f>
        <v>1111.088040924943</v>
      </c>
      <c r="K69" s="51"/>
      <c r="L69" s="14">
        <f>+IF(ISERROR(N69/G69),"",(N69/G69))</f>
        <v>791.59877523863145</v>
      </c>
      <c r="M69" s="14">
        <f>+IF(ISERROR(N69/F69),"",(N69/F69))</f>
        <v>8795.5419470959041</v>
      </c>
      <c r="N69" s="16">
        <v>18998.370605727156</v>
      </c>
      <c r="O69" s="15"/>
      <c r="P69" s="14">
        <f>+IF(ISERROR(N69/(1-O69)),"",(N69/(1-O69)))</f>
        <v>18998.370605727156</v>
      </c>
      <c r="Q69" s="15"/>
      <c r="R69" s="14">
        <f>+IF(ISERROR(P69/(1-Q69)),"",(P69/(1-Q69)))</f>
        <v>18998.370605727156</v>
      </c>
      <c r="S69" s="14">
        <f>+IF(ISERROR(P69/G69),"",(P69/G69))</f>
        <v>791.59877523863145</v>
      </c>
      <c r="T69" s="13"/>
      <c r="U69"/>
      <c r="V69" s="11">
        <v>18998.37</v>
      </c>
      <c r="W69" s="52">
        <f>+IF(ISERROR(N69/V69-1),"",(N69/V69-1))</f>
        <v>3.1883111928365793E-8</v>
      </c>
      <c r="X69" s="14">
        <f>+IF(ISERROR(V69*(1-O69)),"",(V69*(1-O69)))</f>
        <v>18998.37</v>
      </c>
    </row>
    <row r="70" spans="1:24" x14ac:dyDescent="0.3">
      <c r="A70" s="23" t="s">
        <v>61</v>
      </c>
      <c r="B70" s="21" t="s">
        <v>78</v>
      </c>
      <c r="C70" s="49">
        <v>100522277</v>
      </c>
      <c r="D70" s="23" t="s">
        <v>80</v>
      </c>
      <c r="E70" s="55"/>
      <c r="F70" s="14">
        <v>2.16</v>
      </c>
      <c r="G70" s="18">
        <v>24</v>
      </c>
      <c r="I70" s="14">
        <f>+L70*1.45*1.21</f>
        <v>1388.8600511561788</v>
      </c>
      <c r="J70" s="14">
        <f>+I70*0.8</f>
        <v>1111.088040924943</v>
      </c>
      <c r="K70" s="51"/>
      <c r="L70" s="14">
        <f>+IF(ISERROR(N70/G70),"",(N70/G70))</f>
        <v>791.59877523863145</v>
      </c>
      <c r="M70" s="14">
        <f>+IF(ISERROR(N70/F70),"",(N70/F70))</f>
        <v>8795.5419470959041</v>
      </c>
      <c r="N70" s="16">
        <v>18998.370605727156</v>
      </c>
      <c r="O70" s="15"/>
      <c r="P70" s="14">
        <f>+IF(ISERROR(N70/(1-O70)),"",(N70/(1-O70)))</f>
        <v>18998.370605727156</v>
      </c>
      <c r="Q70" s="15"/>
      <c r="R70" s="14">
        <f>+IF(ISERROR(P70/(1-Q70)),"",(P70/(1-Q70)))</f>
        <v>18998.370605727156</v>
      </c>
      <c r="S70" s="14">
        <f>+IF(ISERROR(P70/G70),"",(P70/G70))</f>
        <v>791.59877523863145</v>
      </c>
      <c r="T70" s="13"/>
      <c r="U70"/>
      <c r="V70" s="11">
        <v>18998.37</v>
      </c>
      <c r="W70" s="52">
        <f>+IF(ISERROR(N70/V70-1),"",(N70/V70-1))</f>
        <v>3.1883111928365793E-8</v>
      </c>
      <c r="X70" s="14">
        <f>+IF(ISERROR(V70*(1-O70)),"",(V70*(1-O70)))</f>
        <v>18998.37</v>
      </c>
    </row>
    <row r="71" spans="1:24" x14ac:dyDescent="0.3">
      <c r="A71" s="23" t="s">
        <v>61</v>
      </c>
      <c r="B71" s="21" t="s">
        <v>78</v>
      </c>
      <c r="C71" s="49">
        <v>100522333</v>
      </c>
      <c r="D71" s="23" t="s">
        <v>79</v>
      </c>
      <c r="E71" s="55"/>
      <c r="F71" s="14">
        <v>2.16</v>
      </c>
      <c r="G71" s="18">
        <v>24</v>
      </c>
      <c r="I71" s="14">
        <f>+L71*1.45*1.21</f>
        <v>1388.8600511561788</v>
      </c>
      <c r="J71" s="14">
        <f>+I71*0.8</f>
        <v>1111.088040924943</v>
      </c>
      <c r="K71" s="51"/>
      <c r="L71" s="14">
        <f>+IF(ISERROR(N71/G71),"",(N71/G71))</f>
        <v>791.59877523863145</v>
      </c>
      <c r="M71" s="14">
        <f>+IF(ISERROR(N71/F71),"",(N71/F71))</f>
        <v>8795.5419470959041</v>
      </c>
      <c r="N71" s="16">
        <v>18998.370605727156</v>
      </c>
      <c r="O71" s="15"/>
      <c r="P71" s="14">
        <f>+IF(ISERROR(N71/(1-O71)),"",(N71/(1-O71)))</f>
        <v>18998.370605727156</v>
      </c>
      <c r="Q71" s="15"/>
      <c r="R71" s="14">
        <f>+IF(ISERROR(P71/(1-Q71)),"",(P71/(1-Q71)))</f>
        <v>18998.370605727156</v>
      </c>
      <c r="S71" s="14">
        <f>+IF(ISERROR(P71/G71),"",(P71/G71))</f>
        <v>791.59877523863145</v>
      </c>
      <c r="T71" s="13"/>
      <c r="U71"/>
      <c r="V71" s="11">
        <v>18998.37</v>
      </c>
      <c r="W71" s="52">
        <f>+IF(ISERROR(N71/V71-1),"",(N71/V71-1))</f>
        <v>3.1883111928365793E-8</v>
      </c>
      <c r="X71" s="14">
        <f>+IF(ISERROR(V71*(1-O71)),"",(V71*(1-O71)))</f>
        <v>18998.37</v>
      </c>
    </row>
    <row r="72" spans="1:24" x14ac:dyDescent="0.3">
      <c r="A72" s="23" t="s">
        <v>61</v>
      </c>
      <c r="B72" s="21" t="s">
        <v>78</v>
      </c>
      <c r="C72" s="49">
        <v>100021045</v>
      </c>
      <c r="D72" s="23" t="s">
        <v>77</v>
      </c>
      <c r="E72" s="55">
        <v>7790360966582</v>
      </c>
      <c r="F72" s="14">
        <v>2.16</v>
      </c>
      <c r="G72" s="18">
        <v>24</v>
      </c>
      <c r="I72" s="14">
        <f>+L72*1.45*1.21</f>
        <v>1388.8600511561788</v>
      </c>
      <c r="J72" s="14">
        <f>+I72*0.8</f>
        <v>1111.088040924943</v>
      </c>
      <c r="K72" s="51"/>
      <c r="L72" s="14">
        <f>+IF(ISERROR(N72/G72),"",(N72/G72))</f>
        <v>791.59877523863145</v>
      </c>
      <c r="M72" s="14">
        <f>+IF(ISERROR(N72/F72),"",(N72/F72))</f>
        <v>8795.5419470959041</v>
      </c>
      <c r="N72" s="16">
        <v>18998.370605727156</v>
      </c>
      <c r="O72" s="15"/>
      <c r="P72" s="14">
        <f>+IF(ISERROR(N72/(1-O72)),"",(N72/(1-O72)))</f>
        <v>18998.370605727156</v>
      </c>
      <c r="Q72" s="15"/>
      <c r="R72" s="14">
        <f>+IF(ISERROR(P72/(1-Q72)),"",(P72/(1-Q72)))</f>
        <v>18998.370605727156</v>
      </c>
      <c r="S72" s="14">
        <f>+IF(ISERROR(P72/G72),"",(P72/G72))</f>
        <v>791.59877523863145</v>
      </c>
      <c r="T72" s="13"/>
      <c r="U72"/>
      <c r="V72" s="11">
        <v>18998.37</v>
      </c>
      <c r="W72" s="52">
        <f>+IF(ISERROR(N72/V72-1),"",(N72/V72-1))</f>
        <v>3.1883111928365793E-8</v>
      </c>
      <c r="X72" s="14">
        <f>+IF(ISERROR(V72*(1-O72)),"",(V72*(1-O72)))</f>
        <v>18998.37</v>
      </c>
    </row>
    <row r="73" spans="1:24" x14ac:dyDescent="0.3">
      <c r="A73" s="23" t="s">
        <v>61</v>
      </c>
      <c r="B73" s="21" t="s">
        <v>74</v>
      </c>
      <c r="C73" s="49">
        <v>100021004</v>
      </c>
      <c r="D73" s="23" t="s">
        <v>76</v>
      </c>
      <c r="E73" s="55">
        <v>7790360964526</v>
      </c>
      <c r="F73" s="14">
        <v>2.1120000000000001</v>
      </c>
      <c r="G73" s="18">
        <v>24</v>
      </c>
      <c r="I73" s="14">
        <f>+L73*1.45*1.21</f>
        <v>1388.8600511561788</v>
      </c>
      <c r="J73" s="14">
        <f>+I73*0.8</f>
        <v>1111.088040924943</v>
      </c>
      <c r="K73" s="51"/>
      <c r="L73" s="14">
        <f>+IF(ISERROR(N73/G73),"",(N73/G73))</f>
        <v>791.59877523863145</v>
      </c>
      <c r="M73" s="14">
        <f>+IF(ISERROR(N73/F73),"",(N73/F73))</f>
        <v>8995.4406277117214</v>
      </c>
      <c r="N73" s="16">
        <v>18998.370605727156</v>
      </c>
      <c r="O73" s="15"/>
      <c r="P73" s="14">
        <f>+IF(ISERROR(N73/(1-O73)),"",(N73/(1-O73)))</f>
        <v>18998.370605727156</v>
      </c>
      <c r="Q73" s="15"/>
      <c r="R73" s="14">
        <f>+IF(ISERROR(P73/(1-Q73)),"",(P73/(1-Q73)))</f>
        <v>18998.370605727156</v>
      </c>
      <c r="S73" s="14">
        <f>+IF(ISERROR(P73/G73),"",(P73/G73))</f>
        <v>791.59877523863145</v>
      </c>
      <c r="T73" s="13"/>
      <c r="U73"/>
      <c r="V73" s="11">
        <v>18998.37</v>
      </c>
      <c r="W73" s="52">
        <f>+IF(ISERROR(N73/V73-1),"",(N73/V73-1))</f>
        <v>3.1883111928365793E-8</v>
      </c>
      <c r="X73" s="14">
        <f>+IF(ISERROR(V73*(1-O73)),"",(V73*(1-O73)))</f>
        <v>18998.37</v>
      </c>
    </row>
    <row r="74" spans="1:24" x14ac:dyDescent="0.3">
      <c r="A74" s="23" t="s">
        <v>61</v>
      </c>
      <c r="B74" s="21" t="s">
        <v>74</v>
      </c>
      <c r="C74" s="49">
        <v>100021006</v>
      </c>
      <c r="D74" s="23" t="s">
        <v>75</v>
      </c>
      <c r="E74" s="55">
        <v>7790360964557</v>
      </c>
      <c r="F74" s="14">
        <v>2.1120000000000001</v>
      </c>
      <c r="G74" s="18">
        <v>24</v>
      </c>
      <c r="I74" s="14">
        <f>+L74*1.45*1.21</f>
        <v>1388.8600511561788</v>
      </c>
      <c r="J74" s="14">
        <f>+I74*0.8</f>
        <v>1111.088040924943</v>
      </c>
      <c r="K74" s="51"/>
      <c r="L74" s="14">
        <f>+IF(ISERROR(N74/G74),"",(N74/G74))</f>
        <v>791.59877523863145</v>
      </c>
      <c r="M74" s="14">
        <f>+IF(ISERROR(N74/F74),"",(N74/F74))</f>
        <v>8995.4406277117214</v>
      </c>
      <c r="N74" s="16">
        <v>18998.370605727156</v>
      </c>
      <c r="O74" s="15"/>
      <c r="P74" s="14">
        <f>+IF(ISERROR(N74/(1-O74)),"",(N74/(1-O74)))</f>
        <v>18998.370605727156</v>
      </c>
      <c r="Q74" s="15"/>
      <c r="R74" s="14">
        <f>+IF(ISERROR(P74/(1-Q74)),"",(P74/(1-Q74)))</f>
        <v>18998.370605727156</v>
      </c>
      <c r="S74" s="14">
        <f>+IF(ISERROR(P74/G74),"",(P74/G74))</f>
        <v>791.59877523863145</v>
      </c>
      <c r="T74" s="13"/>
      <c r="U74"/>
      <c r="V74" s="11">
        <v>18998.37</v>
      </c>
      <c r="W74" s="52">
        <f>+IF(ISERROR(N74/V74-1),"",(N74/V74-1))</f>
        <v>3.1883111928365793E-8</v>
      </c>
      <c r="X74" s="14">
        <f>+IF(ISERROR(V74*(1-O74)),"",(V74*(1-O74)))</f>
        <v>18998.37</v>
      </c>
    </row>
    <row r="75" spans="1:24" x14ac:dyDescent="0.3">
      <c r="A75" s="23" t="s">
        <v>61</v>
      </c>
      <c r="B75" s="21" t="s">
        <v>74</v>
      </c>
      <c r="C75" s="49">
        <v>100021007</v>
      </c>
      <c r="D75" s="23" t="s">
        <v>73</v>
      </c>
      <c r="E75" s="55">
        <v>7790360964540</v>
      </c>
      <c r="F75" s="14">
        <v>2.04</v>
      </c>
      <c r="G75" s="18">
        <v>24</v>
      </c>
      <c r="I75" s="14">
        <f>+L75*1.45*1.21</f>
        <v>1802.7546227364924</v>
      </c>
      <c r="J75" s="14">
        <f>+I75*0.8</f>
        <v>1442.203698189194</v>
      </c>
      <c r="K75" s="40"/>
      <c r="L75" s="14">
        <f>+IF(ISERROR(N75/G75),"",(N75/G75))</f>
        <v>1027.5033472422299</v>
      </c>
      <c r="M75" s="14">
        <f>+IF(ISERROR(N75/F75),"",(N75/F75))</f>
        <v>12088.274673438</v>
      </c>
      <c r="N75" s="16">
        <v>24660.080333813519</v>
      </c>
      <c r="O75" s="15"/>
      <c r="P75" s="14">
        <f>+IF(ISERROR(N75/(1-O75)),"",(N75/(1-O75)))</f>
        <v>24660.080333813519</v>
      </c>
      <c r="Q75" s="15"/>
      <c r="R75" s="14">
        <f>+IF(ISERROR(P75/(1-Q75)),"",(P75/(1-Q75)))</f>
        <v>24660.080333813519</v>
      </c>
      <c r="S75" s="14">
        <f>+IF(ISERROR(P75/G75),"",(P75/G75))</f>
        <v>1027.5033472422299</v>
      </c>
      <c r="T75" s="13"/>
      <c r="U75"/>
      <c r="V75" s="11">
        <v>24660.080000000002</v>
      </c>
      <c r="W75" s="52">
        <f>+IF(ISERROR(N75/V75-1),"",(N75/V75-1))</f>
        <v>1.3536595178109678E-8</v>
      </c>
      <c r="X75" s="14">
        <f>+IF(ISERROR(V75*(1-O75)),"",(V75*(1-O75)))</f>
        <v>24660.080000000002</v>
      </c>
    </row>
    <row r="76" spans="1:24" x14ac:dyDescent="0.3">
      <c r="A76" s="23" t="s">
        <v>61</v>
      </c>
      <c r="B76" s="21" t="s">
        <v>68</v>
      </c>
      <c r="C76" s="49">
        <v>100021013</v>
      </c>
      <c r="D76" s="23" t="s">
        <v>72</v>
      </c>
      <c r="E76" s="55">
        <v>7790360965714</v>
      </c>
      <c r="F76" s="14">
        <v>2.04</v>
      </c>
      <c r="G76" s="18">
        <v>24</v>
      </c>
      <c r="I76" s="14">
        <f>+L76*1.45*1.21</f>
        <v>1802.7546227364924</v>
      </c>
      <c r="J76" s="14">
        <f>+I76*0.8</f>
        <v>1442.203698189194</v>
      </c>
      <c r="K76" s="51"/>
      <c r="L76" s="14">
        <f>+IF(ISERROR(N76/G76),"",(N76/G76))</f>
        <v>1027.5033472422299</v>
      </c>
      <c r="M76" s="14">
        <f>+IF(ISERROR(N76/F76),"",(N76/F76))</f>
        <v>12088.274673438</v>
      </c>
      <c r="N76" s="16">
        <v>24660.080333813519</v>
      </c>
      <c r="O76" s="15"/>
      <c r="P76" s="14">
        <f>+IF(ISERROR(N76/(1-O76)),"",(N76/(1-O76)))</f>
        <v>24660.080333813519</v>
      </c>
      <c r="Q76" s="15"/>
      <c r="R76" s="14">
        <f>+IF(ISERROR(P76/(1-Q76)),"",(P76/(1-Q76)))</f>
        <v>24660.080333813519</v>
      </c>
      <c r="S76" s="14">
        <f>+IF(ISERROR(P76/G76),"",(P76/G76))</f>
        <v>1027.5033472422299</v>
      </c>
      <c r="T76" s="13"/>
      <c r="U76"/>
      <c r="V76" s="11">
        <v>24660.080000000002</v>
      </c>
      <c r="W76" s="52">
        <f>+IF(ISERROR(N76/V76-1),"",(N76/V76-1))</f>
        <v>1.3536595178109678E-8</v>
      </c>
      <c r="X76" s="14">
        <f>+IF(ISERROR(V76*(1-O76)),"",(V76*(1-O76)))</f>
        <v>24660.080000000002</v>
      </c>
    </row>
    <row r="77" spans="1:24" x14ac:dyDescent="0.3">
      <c r="A77" s="23" t="s">
        <v>61</v>
      </c>
      <c r="B77" s="21" t="s">
        <v>68</v>
      </c>
      <c r="C77" s="49">
        <v>100021014</v>
      </c>
      <c r="D77" s="23" t="s">
        <v>71</v>
      </c>
      <c r="E77" s="55">
        <v>7790360965721</v>
      </c>
      <c r="F77" s="14">
        <v>2.04</v>
      </c>
      <c r="G77" s="18">
        <v>24</v>
      </c>
      <c r="I77" s="14">
        <f>+L77*1.45*1.21</f>
        <v>1802.7546227364924</v>
      </c>
      <c r="J77" s="14">
        <f>+I77*0.8</f>
        <v>1442.203698189194</v>
      </c>
      <c r="K77" s="51"/>
      <c r="L77" s="14">
        <f>+IF(ISERROR(N77/G77),"",(N77/G77))</f>
        <v>1027.5033472422299</v>
      </c>
      <c r="M77" s="14">
        <f>+IF(ISERROR(N77/F77),"",(N77/F77))</f>
        <v>12088.274673438</v>
      </c>
      <c r="N77" s="16">
        <v>24660.080333813519</v>
      </c>
      <c r="O77" s="15"/>
      <c r="P77" s="14">
        <f>+IF(ISERROR(N77/(1-O77)),"",(N77/(1-O77)))</f>
        <v>24660.080333813519</v>
      </c>
      <c r="Q77" s="15"/>
      <c r="R77" s="14">
        <f>+IF(ISERROR(P77/(1-Q77)),"",(P77/(1-Q77)))</f>
        <v>24660.080333813519</v>
      </c>
      <c r="S77" s="14">
        <f>+IF(ISERROR(P77/G77),"",(P77/G77))</f>
        <v>1027.5033472422299</v>
      </c>
      <c r="T77" s="13"/>
      <c r="U77"/>
      <c r="V77" s="11">
        <v>24660.080000000002</v>
      </c>
      <c r="W77" s="52">
        <f>+IF(ISERROR(N77/V77-1),"",(N77/V77-1))</f>
        <v>1.3536595178109678E-8</v>
      </c>
      <c r="X77" s="14">
        <f>+IF(ISERROR(V77*(1-O77)),"",(V77*(1-O77)))</f>
        <v>24660.080000000002</v>
      </c>
    </row>
    <row r="78" spans="1:24" x14ac:dyDescent="0.3">
      <c r="A78" s="23" t="s">
        <v>61</v>
      </c>
      <c r="B78" s="21" t="s">
        <v>68</v>
      </c>
      <c r="C78" s="49">
        <v>100021054</v>
      </c>
      <c r="D78" s="23" t="s">
        <v>70</v>
      </c>
      <c r="E78" s="55">
        <v>7790360965707</v>
      </c>
      <c r="F78" s="14">
        <v>2.04</v>
      </c>
      <c r="G78" s="18">
        <v>24</v>
      </c>
      <c r="I78" s="14">
        <f>+L78*1.45*1.21</f>
        <v>1802.7546227364924</v>
      </c>
      <c r="J78" s="14">
        <f>+I78*0.8</f>
        <v>1442.203698189194</v>
      </c>
      <c r="K78" s="40"/>
      <c r="L78" s="14">
        <f>+IF(ISERROR(N78/G78),"",(N78/G78))</f>
        <v>1027.5033472422299</v>
      </c>
      <c r="M78" s="14">
        <f>+IF(ISERROR(N78/F78),"",(N78/F78))</f>
        <v>12088.274673438</v>
      </c>
      <c r="N78" s="16">
        <v>24660.080333813519</v>
      </c>
      <c r="O78" s="15"/>
      <c r="P78" s="14">
        <f>+IF(ISERROR(N78/(1-O78)),"",(N78/(1-O78)))</f>
        <v>24660.080333813519</v>
      </c>
      <c r="Q78" s="15"/>
      <c r="R78" s="14">
        <f>+IF(ISERROR(P78/(1-Q78)),"",(P78/(1-Q78)))</f>
        <v>24660.080333813519</v>
      </c>
      <c r="S78" s="14">
        <f>+IF(ISERROR(P78/G78),"",(P78/G78))</f>
        <v>1027.5033472422299</v>
      </c>
      <c r="T78" s="13"/>
      <c r="U78"/>
      <c r="V78" s="11">
        <v>24660.080000000002</v>
      </c>
      <c r="W78" s="15">
        <f>+IF(ISERROR(N78/V78-1),"",(N78/V78-1))</f>
        <v>1.3536595178109678E-8</v>
      </c>
      <c r="X78" s="14">
        <f>+IF(ISERROR(V78*(1-O78)),"",(V78*(1-O78)))</f>
        <v>24660.080000000002</v>
      </c>
    </row>
    <row r="79" spans="1:24" x14ac:dyDescent="0.3">
      <c r="A79" s="23" t="s">
        <v>61</v>
      </c>
      <c r="B79" s="21" t="s">
        <v>68</v>
      </c>
      <c r="C79" s="49">
        <v>100021055</v>
      </c>
      <c r="D79" s="23" t="s">
        <v>69</v>
      </c>
      <c r="E79" s="55">
        <v>7790360965189</v>
      </c>
      <c r="F79" s="14">
        <v>2.04</v>
      </c>
      <c r="G79" s="18">
        <v>24</v>
      </c>
      <c r="I79" s="14">
        <f>+L79*1.45*1.21</f>
        <v>1802.7546227364924</v>
      </c>
      <c r="J79" s="14">
        <f>+I79*0.8</f>
        <v>1442.203698189194</v>
      </c>
      <c r="K79" s="51"/>
      <c r="L79" s="14">
        <f>+IF(ISERROR(N79/G79),"",(N79/G79))</f>
        <v>1027.5033472422299</v>
      </c>
      <c r="M79" s="14">
        <f>+IF(ISERROR(N79/F79),"",(N79/F79))</f>
        <v>12088.274673438</v>
      </c>
      <c r="N79" s="16">
        <v>24660.080333813519</v>
      </c>
      <c r="O79" s="15"/>
      <c r="P79" s="14">
        <f>+IF(ISERROR(N79/(1-O79)),"",(N79/(1-O79)))</f>
        <v>24660.080333813519</v>
      </c>
      <c r="Q79" s="15"/>
      <c r="R79" s="14">
        <f>+IF(ISERROR(P79/(1-Q79)),"",(P79/(1-Q79)))</f>
        <v>24660.080333813519</v>
      </c>
      <c r="S79" s="14">
        <f>+IF(ISERROR(P79/G79),"",(P79/G79))</f>
        <v>1027.5033472422299</v>
      </c>
      <c r="T79" s="13"/>
      <c r="U79"/>
      <c r="V79" s="11">
        <v>24660.080000000002</v>
      </c>
      <c r="W79" s="52">
        <f>+IF(ISERROR(N79/V79-1),"",(N79/V79-1))</f>
        <v>1.3536595178109678E-8</v>
      </c>
      <c r="X79" s="14">
        <f>+IF(ISERROR(V79*(1-O79)),"",(V79*(1-O79)))</f>
        <v>24660.080000000002</v>
      </c>
    </row>
    <row r="80" spans="1:24" x14ac:dyDescent="0.3">
      <c r="A80" s="23" t="s">
        <v>61</v>
      </c>
      <c r="B80" s="21" t="s">
        <v>68</v>
      </c>
      <c r="C80" s="49">
        <v>100021015</v>
      </c>
      <c r="D80" s="23" t="s">
        <v>67</v>
      </c>
      <c r="E80" s="55">
        <v>7790360965202</v>
      </c>
      <c r="F80" s="14">
        <v>2.04</v>
      </c>
      <c r="G80" s="18">
        <v>24</v>
      </c>
      <c r="I80" s="14">
        <f>+L80*1.45*1.21</f>
        <v>1931.5228100748129</v>
      </c>
      <c r="J80" s="14">
        <f>+I80*0.8</f>
        <v>1545.2182480598503</v>
      </c>
      <c r="K80" s="51"/>
      <c r="L80" s="14">
        <f>+IF(ISERROR(N80/G80),"",(N80/G80))</f>
        <v>1100.8964434738177</v>
      </c>
      <c r="M80" s="14">
        <f>+IF(ISERROR(N80/F80),"",(N80/F80))</f>
        <v>12951.722864397856</v>
      </c>
      <c r="N80" s="16">
        <v>26421.514643371625</v>
      </c>
      <c r="O80" s="15"/>
      <c r="P80" s="14">
        <f>+IF(ISERROR(N80/(1-O80)),"",(N80/(1-O80)))</f>
        <v>26421.514643371625</v>
      </c>
      <c r="Q80" s="15"/>
      <c r="R80" s="14">
        <f>+IF(ISERROR(P80/(1-Q80)),"",(P80/(1-Q80)))</f>
        <v>26421.514643371625</v>
      </c>
      <c r="S80" s="14">
        <f>+IF(ISERROR(P80/G80),"",(P80/G80))</f>
        <v>1100.8964434738177</v>
      </c>
      <c r="T80" s="13"/>
      <c r="U80"/>
      <c r="V80" s="11">
        <v>26421.51</v>
      </c>
      <c r="W80" s="15">
        <f>+IF(ISERROR(N80/V80-1),"",(N80/V80-1))</f>
        <v>1.7574209909554384E-7</v>
      </c>
      <c r="X80" s="14">
        <f>+IF(ISERROR(V80*(1-O80)),"",(V80*(1-O80)))</f>
        <v>26421.51</v>
      </c>
    </row>
    <row r="81" spans="1:24" x14ac:dyDescent="0.3">
      <c r="A81" s="23" t="s">
        <v>61</v>
      </c>
      <c r="B81" s="21" t="s">
        <v>65</v>
      </c>
      <c r="C81" s="49">
        <v>100021008</v>
      </c>
      <c r="D81" s="23" t="s">
        <v>66</v>
      </c>
      <c r="E81" s="55">
        <v>7790360720122</v>
      </c>
      <c r="F81" s="14">
        <v>2.16</v>
      </c>
      <c r="G81" s="18">
        <v>24</v>
      </c>
      <c r="I81" s="14">
        <f>+L81*1.45*1.21</f>
        <v>1094.0182619859161</v>
      </c>
      <c r="J81" s="14">
        <f>+I81*0.8</f>
        <v>875.21460958873286</v>
      </c>
      <c r="K81" s="51"/>
      <c r="L81" s="14">
        <f>+IF(ISERROR(N81/G81),"",(N81/G81))</f>
        <v>623.54987858986385</v>
      </c>
      <c r="M81" s="14">
        <f>+IF(ISERROR(N81/F81),"",(N81/F81))</f>
        <v>6928.3319843318204</v>
      </c>
      <c r="N81" s="16">
        <v>14965.197086156733</v>
      </c>
      <c r="O81" s="15"/>
      <c r="P81" s="14">
        <f>+IF(ISERROR(N81/(1-O81)),"",(N81/(1-O81)))</f>
        <v>14965.197086156733</v>
      </c>
      <c r="Q81" s="15"/>
      <c r="R81" s="14">
        <f>+IF(ISERROR(P81/(1-Q81)),"",(P81/(1-Q81)))</f>
        <v>14965.197086156733</v>
      </c>
      <c r="S81" s="14">
        <f>+IF(ISERROR(P81/G81),"",(P81/G81))</f>
        <v>623.54987858986385</v>
      </c>
      <c r="T81" s="13"/>
      <c r="U81"/>
      <c r="V81" s="11">
        <v>14965.2</v>
      </c>
      <c r="W81" s="52">
        <f>+IF(ISERROR(N81/V81-1),"",(N81/V81-1))</f>
        <v>-1.9470794021536619E-7</v>
      </c>
      <c r="X81" s="14">
        <f>+IF(ISERROR(V81*(1-O81)),"",(V81*(1-O81)))</f>
        <v>14965.2</v>
      </c>
    </row>
    <row r="82" spans="1:24" x14ac:dyDescent="0.3">
      <c r="A82" s="23" t="s">
        <v>61</v>
      </c>
      <c r="B82" s="21" t="s">
        <v>65</v>
      </c>
      <c r="C82" s="49">
        <v>100021009</v>
      </c>
      <c r="D82" s="23" t="s">
        <v>64</v>
      </c>
      <c r="E82" s="55">
        <v>7790360965127</v>
      </c>
      <c r="F82" s="14">
        <v>2.16</v>
      </c>
      <c r="G82" s="18">
        <v>24</v>
      </c>
      <c r="I82" s="14">
        <f>+L82*1.45*1.21</f>
        <v>1094.0182619859161</v>
      </c>
      <c r="J82" s="14">
        <f>+I82*0.8</f>
        <v>875.21460958873286</v>
      </c>
      <c r="K82" s="51"/>
      <c r="L82" s="14">
        <f>+IF(ISERROR(N82/G82),"",(N82/G82))</f>
        <v>623.54987858986385</v>
      </c>
      <c r="M82" s="14">
        <f>+IF(ISERROR(N82/F82),"",(N82/F82))</f>
        <v>6928.3319843318204</v>
      </c>
      <c r="N82" s="16">
        <v>14965.197086156733</v>
      </c>
      <c r="O82" s="15"/>
      <c r="P82" s="14">
        <f>+IF(ISERROR(N82/(1-O82)),"",(N82/(1-O82)))</f>
        <v>14965.197086156733</v>
      </c>
      <c r="Q82" s="15"/>
      <c r="R82" s="14">
        <f>+IF(ISERROR(P82/(1-Q82)),"",(P82/(1-Q82)))</f>
        <v>14965.197086156733</v>
      </c>
      <c r="S82" s="14">
        <f>+IF(ISERROR(P82/G82),"",(P82/G82))</f>
        <v>623.54987858986385</v>
      </c>
      <c r="T82" s="13"/>
      <c r="U82"/>
      <c r="V82" s="11">
        <v>14965.2</v>
      </c>
      <c r="W82" s="52">
        <f>+IF(ISERROR(N82/V82-1),"",(N82/V82-1))</f>
        <v>-1.9470794021536619E-7</v>
      </c>
      <c r="X82" s="14">
        <f>+IF(ISERROR(V82*(1-O82)),"",(V82*(1-O82)))</f>
        <v>14965.2</v>
      </c>
    </row>
    <row r="83" spans="1:24" x14ac:dyDescent="0.3">
      <c r="A83" s="23" t="s">
        <v>61</v>
      </c>
      <c r="B83" s="21" t="s">
        <v>60</v>
      </c>
      <c r="C83" s="49">
        <v>100021010</v>
      </c>
      <c r="D83" s="23" t="s">
        <v>63</v>
      </c>
      <c r="E83" s="55">
        <v>7790920008707</v>
      </c>
      <c r="F83" s="14">
        <v>2.16</v>
      </c>
      <c r="G83" s="18">
        <v>24</v>
      </c>
      <c r="I83" s="14">
        <f>+L83*1.45*1.21</f>
        <v>1094.0182619859161</v>
      </c>
      <c r="J83" s="14">
        <f>+I83*0.8</f>
        <v>875.21460958873286</v>
      </c>
      <c r="K83" s="51"/>
      <c r="L83" s="14">
        <f>+IF(ISERROR(N83/G83),"",(N83/G83))</f>
        <v>623.54987858986385</v>
      </c>
      <c r="M83" s="14">
        <f>+IF(ISERROR(N83/F83),"",(N83/F83))</f>
        <v>6928.3319843318204</v>
      </c>
      <c r="N83" s="16">
        <v>14965.197086156733</v>
      </c>
      <c r="O83" s="15"/>
      <c r="P83" s="14">
        <f>+IF(ISERROR(N83/(1-O83)),"",(N83/(1-O83)))</f>
        <v>14965.197086156733</v>
      </c>
      <c r="Q83" s="15"/>
      <c r="R83" s="14">
        <f>+IF(ISERROR(P83/(1-Q83)),"",(P83/(1-Q83)))</f>
        <v>14965.197086156733</v>
      </c>
      <c r="S83" s="14">
        <f>+IF(ISERROR(P83/G83),"",(P83/G83))</f>
        <v>623.54987858986385</v>
      </c>
      <c r="T83" s="13"/>
      <c r="U83"/>
      <c r="V83" s="11">
        <v>14965.2</v>
      </c>
      <c r="W83" s="52">
        <f>+IF(ISERROR(N83/V83-1),"",(N83/V83-1))</f>
        <v>-1.9470794021536619E-7</v>
      </c>
      <c r="X83" s="14">
        <f>+IF(ISERROR(V83*(1-O83)),"",(V83*(1-O83)))</f>
        <v>14965.2</v>
      </c>
    </row>
    <row r="84" spans="1:24" x14ac:dyDescent="0.3">
      <c r="A84" s="23" t="s">
        <v>61</v>
      </c>
      <c r="B84" s="21" t="s">
        <v>60</v>
      </c>
      <c r="C84" s="49">
        <v>100021011</v>
      </c>
      <c r="D84" s="23" t="s">
        <v>62</v>
      </c>
      <c r="E84" s="55">
        <v>7790920008714</v>
      </c>
      <c r="F84" s="14">
        <v>2.16</v>
      </c>
      <c r="G84" s="18">
        <v>24</v>
      </c>
      <c r="I84" s="14">
        <f>+L84*1.45*1.21</f>
        <v>1094.0182619859161</v>
      </c>
      <c r="J84" s="14">
        <f>+I84*0.8</f>
        <v>875.21460958873286</v>
      </c>
      <c r="K84" s="51"/>
      <c r="L84" s="14">
        <f>+IF(ISERROR(N84/G84),"",(N84/G84))</f>
        <v>623.54987858986385</v>
      </c>
      <c r="M84" s="14">
        <f>+IF(ISERROR(N84/F84),"",(N84/F84))</f>
        <v>6928.3319843318204</v>
      </c>
      <c r="N84" s="16">
        <v>14965.197086156733</v>
      </c>
      <c r="O84" s="15"/>
      <c r="P84" s="14">
        <f>+IF(ISERROR(N84/(1-O84)),"",(N84/(1-O84)))</f>
        <v>14965.197086156733</v>
      </c>
      <c r="Q84" s="15"/>
      <c r="R84" s="14">
        <f>+IF(ISERROR(P84/(1-Q84)),"",(P84/(1-Q84)))</f>
        <v>14965.197086156733</v>
      </c>
      <c r="S84" s="14">
        <f>+IF(ISERROR(P84/G84),"",(P84/G84))</f>
        <v>623.54987858986385</v>
      </c>
      <c r="T84" s="13"/>
      <c r="U84"/>
      <c r="V84" s="11">
        <v>14965.2</v>
      </c>
      <c r="W84" s="52">
        <f>+IF(ISERROR(N84/V84-1),"",(N84/V84-1))</f>
        <v>-1.9470794021536619E-7</v>
      </c>
      <c r="X84" s="14">
        <f>+IF(ISERROR(V84*(1-O84)),"",(V84*(1-O84)))</f>
        <v>14965.2</v>
      </c>
    </row>
    <row r="85" spans="1:24" hidden="1" x14ac:dyDescent="0.3">
      <c r="A85" s="23" t="s">
        <v>61</v>
      </c>
      <c r="B85" s="21" t="s">
        <v>60</v>
      </c>
      <c r="C85" s="49">
        <v>100021044</v>
      </c>
      <c r="D85" s="23" t="s">
        <v>59</v>
      </c>
      <c r="E85" s="55"/>
      <c r="F85" s="14">
        <v>2.16</v>
      </c>
      <c r="G85" s="18">
        <v>24</v>
      </c>
      <c r="I85" s="14">
        <f>+L85*1.45*1.21</f>
        <v>0</v>
      </c>
      <c r="J85" s="14">
        <f>+I85*0.8</f>
        <v>0</v>
      </c>
      <c r="K85" s="51"/>
      <c r="L85" s="14">
        <f>+IF(ISERROR(N85/G85),"",(N85/G85))</f>
        <v>0</v>
      </c>
      <c r="M85" s="14">
        <f>+IF(ISERROR(N85/F85),"",(N85/F85))</f>
        <v>0</v>
      </c>
      <c r="N85" s="16"/>
      <c r="O85" s="15"/>
      <c r="P85" s="14">
        <f>+IF(ISERROR(N85/(1-O85)),"",(N85/(1-O85)))</f>
        <v>0</v>
      </c>
      <c r="Q85" s="15"/>
      <c r="R85" s="14">
        <f>+IF(ISERROR(P85/(1-Q85)),"",(P85/(1-Q85)))</f>
        <v>0</v>
      </c>
      <c r="S85" s="14">
        <f>+IF(ISERROR(P85/G85),"",(P85/G85))</f>
        <v>0</v>
      </c>
      <c r="T85" s="13"/>
      <c r="U85"/>
      <c r="V85" s="11" t="s">
        <v>32</v>
      </c>
      <c r="W85" s="52" t="str">
        <f>+IF(ISERROR(N85/V85-1),"",(N85/V85-1))</f>
        <v/>
      </c>
      <c r="X85" s="14" t="str">
        <f>+IF(ISERROR(V85*(1-O85)),"",(V85*(1-O85)))</f>
        <v/>
      </c>
    </row>
    <row r="86" spans="1:24" x14ac:dyDescent="0.3">
      <c r="A86" s="36"/>
      <c r="B86" s="35"/>
      <c r="C86" s="34"/>
      <c r="D86" s="26"/>
      <c r="E86" s="34"/>
      <c r="F86" s="26"/>
      <c r="G86" s="33"/>
      <c r="I86" s="30"/>
      <c r="J86" s="32"/>
      <c r="K86" s="51"/>
      <c r="L86" s="30"/>
      <c r="M86" s="26"/>
      <c r="N86" s="26"/>
      <c r="O86" s="28"/>
      <c r="P86" s="26"/>
      <c r="Q86" s="28"/>
      <c r="R86" s="26"/>
      <c r="S86" s="24"/>
      <c r="T86" s="13"/>
      <c r="U86"/>
      <c r="V86" s="26"/>
      <c r="W86" s="50"/>
      <c r="X86" s="24"/>
    </row>
    <row r="87" spans="1:24" hidden="1" x14ac:dyDescent="0.3">
      <c r="A87" s="23" t="s">
        <v>7</v>
      </c>
      <c r="B87" s="21" t="s">
        <v>54</v>
      </c>
      <c r="C87" s="49">
        <v>100021701</v>
      </c>
      <c r="D87" s="23" t="s">
        <v>58</v>
      </c>
      <c r="E87" s="55">
        <v>7790360023889</v>
      </c>
      <c r="F87" s="14">
        <v>6.6</v>
      </c>
      <c r="G87" s="18">
        <v>20</v>
      </c>
      <c r="I87" s="14">
        <f>+L87*1.55*1.21</f>
        <v>0</v>
      </c>
      <c r="J87" s="14">
        <v>0</v>
      </c>
      <c r="K87" s="51"/>
      <c r="L87" s="14">
        <f>+IF(ISERROR(N87/G87),"",(N87/G87))</f>
        <v>0</v>
      </c>
      <c r="M87" s="14">
        <f>+IF(ISERROR(N87/F87),"",(N87/F87))</f>
        <v>0</v>
      </c>
      <c r="N87" s="16"/>
      <c r="O87" s="15"/>
      <c r="P87" s="14">
        <f>+IF(ISERROR(N87/(1-O87)),"",(N87/(1-O87)))</f>
        <v>0</v>
      </c>
      <c r="Q87" s="15"/>
      <c r="R87" s="14">
        <f>+IF(ISERROR(P87/(1-Q87)),"",(P87/(1-Q87)))</f>
        <v>0</v>
      </c>
      <c r="S87" s="14">
        <f>+IF(ISERROR(R87/G87),"",(R87/G87))</f>
        <v>0</v>
      </c>
      <c r="T87" s="13"/>
      <c r="U87"/>
      <c r="V87" s="11" t="s">
        <v>32</v>
      </c>
      <c r="W87" s="52" t="str">
        <f>+IF(ISERROR(N87/V87-1),"",(N87/V87-1))</f>
        <v/>
      </c>
      <c r="X87" s="14" t="str">
        <f>+IF(ISERROR(V87*(1-O87)),"",(V87*(1-O87)))</f>
        <v/>
      </c>
    </row>
    <row r="88" spans="1:24" x14ac:dyDescent="0.3">
      <c r="A88" s="23" t="s">
        <v>7</v>
      </c>
      <c r="B88" s="21" t="s">
        <v>54</v>
      </c>
      <c r="C88" s="49">
        <v>100516217</v>
      </c>
      <c r="D88" s="23" t="s">
        <v>57</v>
      </c>
      <c r="E88" s="55">
        <v>7790360967824</v>
      </c>
      <c r="F88" s="14">
        <v>5.8</v>
      </c>
      <c r="G88" s="18">
        <v>20</v>
      </c>
      <c r="I88" s="14">
        <f>+L88*1.55*1.21</f>
        <v>2751.6857614480164</v>
      </c>
      <c r="J88" s="14">
        <f>+I88*0.8</f>
        <v>2201.3486091584132</v>
      </c>
      <c r="K88" s="40"/>
      <c r="L88" s="14">
        <f>+IF(ISERROR(N88/G88),"",(N88/G88))</f>
        <v>1467.1744929075003</v>
      </c>
      <c r="M88" s="14">
        <f>+IF(ISERROR(N88/F88),"",(N88/F88))</f>
        <v>5059.2223893362079</v>
      </c>
      <c r="N88" s="16">
        <v>29343.489858150006</v>
      </c>
      <c r="O88" s="15"/>
      <c r="P88" s="14">
        <f>+IF(ISERROR(N88/(1-O88)),"",(N88/(1-O88)))</f>
        <v>29343.489858150006</v>
      </c>
      <c r="Q88" s="15"/>
      <c r="R88" s="14">
        <f>+IF(ISERROR(P88/(1-Q88)),"",(P88/(1-Q88)))</f>
        <v>29343.489858150006</v>
      </c>
      <c r="S88" s="14">
        <f>+IF(ISERROR(R88/G88),"",(R88/G88))</f>
        <v>1467.1744929075003</v>
      </c>
      <c r="T88" s="13"/>
      <c r="U88" s="12"/>
      <c r="V88" s="14">
        <v>29343.49</v>
      </c>
      <c r="W88" s="52">
        <f>+IF(ISERROR(N88/V88-1),"",(N88/V88-1))</f>
        <v>-4.8341215475034005E-9</v>
      </c>
      <c r="X88" s="14">
        <f>+IF(ISERROR(V88*(1-O88)),"",(V88*(1-O88)))</f>
        <v>29343.49</v>
      </c>
    </row>
    <row r="89" spans="1:24" x14ac:dyDescent="0.3">
      <c r="A89" s="23" t="s">
        <v>7</v>
      </c>
      <c r="B89" s="21" t="s">
        <v>54</v>
      </c>
      <c r="C89" s="49">
        <v>100516214</v>
      </c>
      <c r="D89" s="23" t="s">
        <v>56</v>
      </c>
      <c r="E89" s="55">
        <v>7790360967794</v>
      </c>
      <c r="F89" s="14">
        <v>7</v>
      </c>
      <c r="G89" s="18">
        <v>20</v>
      </c>
      <c r="I89" s="14">
        <f>+L89*1.55*1.21</f>
        <v>3739.6961364399999</v>
      </c>
      <c r="J89" s="14">
        <f>+I89*0.8</f>
        <v>2991.7569091519999</v>
      </c>
      <c r="K89" s="40"/>
      <c r="L89" s="14">
        <f>+IF(ISERROR(N89/G89),"",(N89/G89))</f>
        <v>1993.97288</v>
      </c>
      <c r="M89" s="14">
        <f>+IF(ISERROR(N89/F89),"",(N89/F89))</f>
        <v>5697.0653714285718</v>
      </c>
      <c r="N89" s="16">
        <v>39879.457600000002</v>
      </c>
      <c r="O89" s="15"/>
      <c r="P89" s="14">
        <f>+IF(ISERROR(N89/(1-O89)),"",(N89/(1-O89)))</f>
        <v>39879.457600000002</v>
      </c>
      <c r="Q89" s="15"/>
      <c r="R89" s="14">
        <f>+IF(ISERROR(P89/(1-Q89)),"",(P89/(1-Q89)))</f>
        <v>39879.457600000002</v>
      </c>
      <c r="S89" s="14">
        <f>+IF(ISERROR(R89/G89),"",(R89/G89))</f>
        <v>1993.97288</v>
      </c>
      <c r="T89" s="13"/>
      <c r="U89" s="12"/>
      <c r="V89" s="14">
        <v>39879.46</v>
      </c>
      <c r="W89" s="52">
        <f>+IF(ISERROR(N89/V89-1),"",(N89/V89-1))</f>
        <v>-6.0181356453803403E-8</v>
      </c>
      <c r="X89" s="14">
        <f>+IF(ISERROR(V89*(1-O89)),"",(V89*(1-O89)))</f>
        <v>39879.46</v>
      </c>
    </row>
    <row r="90" spans="1:24" x14ac:dyDescent="0.3">
      <c r="A90" s="23" t="s">
        <v>7</v>
      </c>
      <c r="B90" s="21" t="s">
        <v>54</v>
      </c>
      <c r="C90" s="49">
        <v>100516215</v>
      </c>
      <c r="D90" s="23" t="s">
        <v>55</v>
      </c>
      <c r="E90" s="55">
        <v>7790360967800</v>
      </c>
      <c r="F90" s="14">
        <v>7</v>
      </c>
      <c r="G90" s="18">
        <v>20</v>
      </c>
      <c r="I90" s="14">
        <f>+L90*1.55*1.21</f>
        <v>3739.6961364399999</v>
      </c>
      <c r="J90" s="14">
        <f>+I90*0.8</f>
        <v>2991.7569091519999</v>
      </c>
      <c r="K90" s="40"/>
      <c r="L90" s="14">
        <f>+IF(ISERROR(N90/G90),"",(N90/G90))</f>
        <v>1993.97288</v>
      </c>
      <c r="M90" s="14">
        <f>+IF(ISERROR(N90/F90),"",(N90/F90))</f>
        <v>5697.0653714285718</v>
      </c>
      <c r="N90" s="16">
        <v>39879.457600000002</v>
      </c>
      <c r="O90" s="15"/>
      <c r="P90" s="14">
        <f>+IF(ISERROR(N90/(1-O90)),"",(N90/(1-O90)))</f>
        <v>39879.457600000002</v>
      </c>
      <c r="Q90" s="15"/>
      <c r="R90" s="14">
        <f>+IF(ISERROR(P90/(1-Q90)),"",(P90/(1-Q90)))</f>
        <v>39879.457600000002</v>
      </c>
      <c r="S90" s="14">
        <f>+IF(ISERROR(R90/G90),"",(R90/G90))</f>
        <v>1993.97288</v>
      </c>
      <c r="T90" s="13"/>
      <c r="U90" s="12"/>
      <c r="V90" s="14">
        <v>39879.46</v>
      </c>
      <c r="W90" s="52">
        <f>+IF(ISERROR(N90/V90-1),"",(N90/V90-1))</f>
        <v>-6.0181356453803403E-8</v>
      </c>
      <c r="X90" s="14">
        <f>+IF(ISERROR(V90*(1-O90)),"",(V90*(1-O90)))</f>
        <v>39879.46</v>
      </c>
    </row>
    <row r="91" spans="1:24" x14ac:dyDescent="0.3">
      <c r="A91" s="23" t="s">
        <v>7</v>
      </c>
      <c r="B91" s="21" t="s">
        <v>54</v>
      </c>
      <c r="C91" s="49">
        <v>100516216</v>
      </c>
      <c r="D91" s="23" t="s">
        <v>53</v>
      </c>
      <c r="E91" s="55">
        <v>7790360967817</v>
      </c>
      <c r="F91" s="14">
        <v>7</v>
      </c>
      <c r="G91" s="18">
        <v>20</v>
      </c>
      <c r="I91" s="14">
        <f>+L91*1.55*1.21</f>
        <v>3739.6961364399999</v>
      </c>
      <c r="J91" s="14">
        <f>+I91*0.8</f>
        <v>2991.7569091519999</v>
      </c>
      <c r="K91" s="40"/>
      <c r="L91" s="14">
        <f>+IF(ISERROR(N91/G91),"",(N91/G91))</f>
        <v>1993.97288</v>
      </c>
      <c r="M91" s="14">
        <f>+IF(ISERROR(N91/F91),"",(N91/F91))</f>
        <v>5697.0653714285718</v>
      </c>
      <c r="N91" s="16">
        <v>39879.457600000002</v>
      </c>
      <c r="O91" s="15"/>
      <c r="P91" s="14">
        <f>+IF(ISERROR(N91/(1-O91)),"",(N91/(1-O91)))</f>
        <v>39879.457600000002</v>
      </c>
      <c r="Q91" s="15"/>
      <c r="R91" s="14">
        <f>+IF(ISERROR(P91/(1-Q91)),"",(P91/(1-Q91)))</f>
        <v>39879.457600000002</v>
      </c>
      <c r="S91" s="14">
        <f>+IF(ISERROR(R91/G91),"",(R91/G91))</f>
        <v>1993.97288</v>
      </c>
      <c r="T91" s="13"/>
      <c r="U91" s="12"/>
      <c r="V91" s="14">
        <v>39879.46</v>
      </c>
      <c r="W91" s="52">
        <f>+IF(ISERROR(N91/V91-1),"",(N91/V91-1))</f>
        <v>-6.0181356453803403E-8</v>
      </c>
      <c r="X91" s="14">
        <f>+IF(ISERROR(V91*(1-O91)),"",(V91*(1-O91)))</f>
        <v>39879.46</v>
      </c>
    </row>
    <row r="92" spans="1:24" x14ac:dyDescent="0.3">
      <c r="A92" s="36"/>
      <c r="B92" s="35"/>
      <c r="C92" s="34"/>
      <c r="D92" s="26"/>
      <c r="E92" s="34"/>
      <c r="F92" s="26"/>
      <c r="G92" s="33"/>
      <c r="I92" s="30"/>
      <c r="J92" s="32"/>
      <c r="K92" s="40"/>
      <c r="L92" s="30"/>
      <c r="M92" s="26"/>
      <c r="N92" s="26"/>
      <c r="O92" s="28"/>
      <c r="P92" s="26"/>
      <c r="Q92" s="28"/>
      <c r="R92" s="26"/>
      <c r="S92" s="24"/>
      <c r="T92" s="13"/>
      <c r="U92"/>
      <c r="V92" s="26"/>
      <c r="W92" s="50"/>
      <c r="X92" s="24"/>
    </row>
    <row r="93" spans="1:24" x14ac:dyDescent="0.3">
      <c r="A93" s="23" t="s">
        <v>42</v>
      </c>
      <c r="B93" s="21" t="s">
        <v>52</v>
      </c>
      <c r="C93" s="49">
        <v>100021704</v>
      </c>
      <c r="D93" s="23" t="s">
        <v>51</v>
      </c>
      <c r="E93" s="55">
        <v>7790360023902</v>
      </c>
      <c r="F93" s="14">
        <f>12*0.38</f>
        <v>4.5600000000000005</v>
      </c>
      <c r="G93" s="18">
        <v>12</v>
      </c>
      <c r="I93" s="14">
        <f>+L93*1.55*1.21</f>
        <v>7029.5096116820296</v>
      </c>
      <c r="J93" s="14">
        <f>+I93*0.8</f>
        <v>5623.6076893456238</v>
      </c>
      <c r="K93" s="51"/>
      <c r="L93" s="14">
        <f>+IF(ISERROR(N93/G93),"",(N93/G93))</f>
        <v>3748.072306948563</v>
      </c>
      <c r="M93" s="14">
        <f>+IF(ISERROR(N93/F93),"",(N93/F93))</f>
        <v>9863.3481761804287</v>
      </c>
      <c r="N93" s="16">
        <v>44976.867683382756</v>
      </c>
      <c r="O93" s="15"/>
      <c r="P93" s="14">
        <f>+IF(ISERROR(N93/(1-O93)),"",(N93/(1-O93)))</f>
        <v>44976.867683382756</v>
      </c>
      <c r="Q93" s="15"/>
      <c r="R93" s="14">
        <f>+IF(ISERROR(P93/(1-Q93)),"",(P93/(1-Q93)))</f>
        <v>44976.867683382756</v>
      </c>
      <c r="S93" s="14">
        <f>+IF(ISERROR(R93/G93),"",(R93/G93))</f>
        <v>3748.072306948563</v>
      </c>
      <c r="T93" s="13"/>
      <c r="U93"/>
      <c r="V93" s="11">
        <v>42835.11</v>
      </c>
      <c r="W93" s="52">
        <f>+IF(ISERROR(N93/V93-1),"",(N93/V93-1))</f>
        <v>5.0000050971802157E-2</v>
      </c>
      <c r="X93" s="14">
        <f>+IF(ISERROR(V93*(1-O93)),"",(V93*(1-O93)))</f>
        <v>42835.11</v>
      </c>
    </row>
    <row r="94" spans="1:24" x14ac:dyDescent="0.3">
      <c r="A94" s="23" t="s">
        <v>42</v>
      </c>
      <c r="B94" s="21" t="s">
        <v>41</v>
      </c>
      <c r="C94" s="49">
        <v>100521357</v>
      </c>
      <c r="D94" s="23" t="s">
        <v>50</v>
      </c>
      <c r="E94" s="55">
        <v>7790360982018</v>
      </c>
      <c r="F94" s="14">
        <v>4.5599999999999996</v>
      </c>
      <c r="G94" s="18">
        <v>12</v>
      </c>
      <c r="I94" s="14">
        <f>+L94*1.55*1.21</f>
        <v>7740.9290449259988</v>
      </c>
      <c r="J94" s="14">
        <f>+I94*0.8</f>
        <v>6192.7432359407994</v>
      </c>
      <c r="K94" s="40"/>
      <c r="L94" s="14">
        <f>+IF(ISERROR(N94/G94),"",(N94/G94))</f>
        <v>4127.3948519999994</v>
      </c>
      <c r="M94" s="14">
        <f>+IF(ISERROR(N94/F94),"",(N94/F94))</f>
        <v>10861.565399999999</v>
      </c>
      <c r="N94" s="16">
        <v>49528.738223999993</v>
      </c>
      <c r="O94" s="15"/>
      <c r="P94" s="14">
        <f>+IF(ISERROR(N94/(1-O94)),"",(N94/(1-O94)))</f>
        <v>49528.738223999993</v>
      </c>
      <c r="Q94" s="15"/>
      <c r="R94" s="14">
        <f>+IF(ISERROR(P94/(1-Q94)),"",(P94/(1-Q94)))</f>
        <v>49528.738223999993</v>
      </c>
      <c r="S94" s="14">
        <f>+IF(ISERROR(R94/G94),"",(R94/G94))</f>
        <v>4127.3948519999994</v>
      </c>
      <c r="T94" s="13"/>
      <c r="U94"/>
      <c r="V94" s="11">
        <v>47170.23</v>
      </c>
      <c r="W94" s="52">
        <f>+IF(ISERROR(N94/V94-1),"",(N94/V94-1))</f>
        <v>4.9999930549416316E-2</v>
      </c>
      <c r="X94" s="14">
        <f>+IF(ISERROR(V94*(1-O94)),"",(V94*(1-O94)))</f>
        <v>47170.23</v>
      </c>
    </row>
    <row r="95" spans="1:24" x14ac:dyDescent="0.3">
      <c r="A95" s="23" t="s">
        <v>42</v>
      </c>
      <c r="B95" s="21" t="s">
        <v>41</v>
      </c>
      <c r="C95" s="49">
        <v>100521358</v>
      </c>
      <c r="D95" s="23" t="s">
        <v>49</v>
      </c>
      <c r="E95" s="55">
        <v>7790360982025</v>
      </c>
      <c r="F95" s="14">
        <v>7.6</v>
      </c>
      <c r="G95" s="18">
        <v>10</v>
      </c>
      <c r="I95" s="14">
        <f>+L95*1.55*1.21</f>
        <v>13933.6722808668</v>
      </c>
      <c r="J95" s="14">
        <f>+I95*0.8</f>
        <v>11146.937824693441</v>
      </c>
      <c r="K95" s="40"/>
      <c r="L95" s="14">
        <f>+IF(ISERROR(N95/G95),"",(N95/G95))</f>
        <v>7429.3107336000003</v>
      </c>
      <c r="M95" s="14">
        <f>+IF(ISERROR(N95/F95),"",(N95/F95))</f>
        <v>9775.4088600000014</v>
      </c>
      <c r="N95" s="16">
        <v>74293.107336000001</v>
      </c>
      <c r="O95" s="15"/>
      <c r="P95" s="14">
        <f>+IF(ISERROR(N95/(1-O95)),"",(N95/(1-O95)))</f>
        <v>74293.107336000001</v>
      </c>
      <c r="Q95" s="15"/>
      <c r="R95" s="14">
        <f>+IF(ISERROR(P95/(1-Q95)),"",(P95/(1-Q95)))</f>
        <v>74293.107336000001</v>
      </c>
      <c r="S95" s="14">
        <f>+IF(ISERROR(R95/G95),"",(R95/G95))</f>
        <v>7429.3107336000003</v>
      </c>
      <c r="T95" s="13"/>
      <c r="U95"/>
      <c r="V95" s="11">
        <v>70755.34</v>
      </c>
      <c r="W95" s="52">
        <f>+IF(ISERROR(N95/V95-1),"",(N95/V95-1))</f>
        <v>5.000000474875832E-2</v>
      </c>
      <c r="X95" s="14">
        <f>+IF(ISERROR(V95*(1-O95)),"",(V95*(1-O95)))</f>
        <v>70755.34</v>
      </c>
    </row>
    <row r="96" spans="1:24" x14ac:dyDescent="0.3">
      <c r="A96" s="23" t="s">
        <v>42</v>
      </c>
      <c r="B96" s="21" t="s">
        <v>41</v>
      </c>
      <c r="C96" s="49">
        <v>100522130</v>
      </c>
      <c r="D96" s="23" t="s">
        <v>48</v>
      </c>
      <c r="E96" s="55">
        <v>7790360982445</v>
      </c>
      <c r="F96" s="14">
        <v>4.8</v>
      </c>
      <c r="G96" s="18">
        <v>12</v>
      </c>
      <c r="I96" s="14">
        <f>+L96*1.55*1.21</f>
        <v>6077.7362766131582</v>
      </c>
      <c r="J96" s="14">
        <f>+I96*0.8</f>
        <v>4862.1890212905264</v>
      </c>
      <c r="K96" s="40"/>
      <c r="L96" s="14">
        <f>+IF(ISERROR(N96/G96),"",(N96/G96))</f>
        <v>3240.5951888100021</v>
      </c>
      <c r="M96" s="14">
        <f>+IF(ISERROR(N96/F96),"",(N96/F96))</f>
        <v>8101.4879720250055</v>
      </c>
      <c r="N96" s="16">
        <v>38887.142265720024</v>
      </c>
      <c r="O96" s="15"/>
      <c r="P96" s="14">
        <f>+IF(ISERROR(N96/(1-O96)),"",(N96/(1-O96)))</f>
        <v>38887.142265720024</v>
      </c>
      <c r="Q96" s="15"/>
      <c r="R96" s="14">
        <f>+IF(ISERROR(P96/(1-Q96)),"",(P96/(1-Q96)))</f>
        <v>38887.142265720024</v>
      </c>
      <c r="S96" s="14">
        <f>+IF(ISERROR(R96/G96),"",(R96/G96))</f>
        <v>3240.5951888100021</v>
      </c>
      <c r="T96" s="13"/>
      <c r="U96"/>
      <c r="V96" s="11">
        <v>37035.379999999997</v>
      </c>
      <c r="W96" s="52">
        <f>+IF(ISERROR(N96/V96-1),"",(N96/V96-1))</f>
        <v>4.9999818166305499E-2</v>
      </c>
      <c r="X96" s="14">
        <f>+IF(ISERROR(V96*(1-O96)),"",(V96*(1-O96)))</f>
        <v>37035.379999999997</v>
      </c>
    </row>
    <row r="97" spans="1:24" s="37" customFormat="1" x14ac:dyDescent="0.3">
      <c r="A97" s="23" t="s">
        <v>42</v>
      </c>
      <c r="B97" s="21" t="s">
        <v>41</v>
      </c>
      <c r="C97" s="22">
        <v>100021725</v>
      </c>
      <c r="D97" s="21" t="s">
        <v>47</v>
      </c>
      <c r="E97" s="20">
        <v>7790360027009</v>
      </c>
      <c r="F97" s="9">
        <v>6</v>
      </c>
      <c r="G97" s="54">
        <v>4</v>
      </c>
      <c r="I97" s="14">
        <f>+L97*1.55*1.21</f>
        <v>15899.875367582465</v>
      </c>
      <c r="J97" s="14">
        <f>+I97*0.8</f>
        <v>12719.900294065972</v>
      </c>
      <c r="K97" s="40"/>
      <c r="L97" s="9">
        <f>+IF(ISERROR(N97/G97),"",(N97/G97))</f>
        <v>8477.6728166262146</v>
      </c>
      <c r="M97" s="9">
        <f>+IF(ISERROR(N97/F97),"",(N97/F97))</f>
        <v>5651.7818777508101</v>
      </c>
      <c r="N97" s="16">
        <v>33910.691266504859</v>
      </c>
      <c r="O97" s="15"/>
      <c r="P97" s="14">
        <f>+IF(ISERROR(N97/(1-O97)),"",(N97/(1-O97)))</f>
        <v>33910.691266504859</v>
      </c>
      <c r="Q97" s="10"/>
      <c r="R97" s="14">
        <f>+IF(ISERROR(P97/(1-Q97)),"",(P97/(1-Q97)))</f>
        <v>33910.691266504859</v>
      </c>
      <c r="S97" s="9">
        <f>+IF(ISERROR(R97/G97),"",(R97/G97))</f>
        <v>8477.6728166262146</v>
      </c>
      <c r="T97" s="13"/>
      <c r="U97"/>
      <c r="V97" s="11">
        <v>32295.9</v>
      </c>
      <c r="W97" s="53">
        <f>+IF(ISERROR(N97/V97-1),"",(N97/V97-1))</f>
        <v>4.9999884397241123E-2</v>
      </c>
      <c r="X97" s="9">
        <f>+IF(ISERROR(V97*(1-O97)),"",(V97*(1-O97)))</f>
        <v>32295.9</v>
      </c>
    </row>
    <row r="98" spans="1:24" x14ac:dyDescent="0.3">
      <c r="A98" s="23" t="s">
        <v>42</v>
      </c>
      <c r="B98" s="21" t="s">
        <v>41</v>
      </c>
      <c r="C98" s="49">
        <v>100517055</v>
      </c>
      <c r="D98" s="23" t="s">
        <v>46</v>
      </c>
      <c r="E98" s="55">
        <v>7790360971135</v>
      </c>
      <c r="F98" s="14">
        <v>3.12</v>
      </c>
      <c r="G98" s="18">
        <v>12</v>
      </c>
      <c r="I98" s="14">
        <f>+L98*1.55*1.21</f>
        <v>5292.8421429961763</v>
      </c>
      <c r="J98" s="14">
        <f>+I98*0.8</f>
        <v>4234.2737143969416</v>
      </c>
      <c r="K98" s="40"/>
      <c r="L98" s="9">
        <f>+IF(ISERROR(N98/G98),"",(N98/G98))</f>
        <v>2822.0965838422694</v>
      </c>
      <c r="M98" s="9">
        <f>+IF(ISERROR(N98/F98),"",(N98/F98))</f>
        <v>10854.217630162575</v>
      </c>
      <c r="N98" s="16">
        <v>33865.159006107235</v>
      </c>
      <c r="O98" s="15"/>
      <c r="P98" s="14">
        <f>+IF(ISERROR(N98/(1-O98)),"",(N98/(1-O98)))</f>
        <v>33865.159006107235</v>
      </c>
      <c r="Q98" s="10"/>
      <c r="R98" s="14">
        <f>+IF(ISERROR(P98/(1-Q98)),"",(P98/(1-Q98)))</f>
        <v>33865.159006107235</v>
      </c>
      <c r="S98" s="9">
        <f>+IF(ISERROR(R98/G98),"",(R98/G98))</f>
        <v>2822.0965838422694</v>
      </c>
      <c r="T98" s="13"/>
      <c r="U98"/>
      <c r="V98" s="11">
        <v>32252.53</v>
      </c>
      <c r="W98" s="53">
        <f>+IF(ISERROR(N98/V98-1),"",(N98/V98-1))</f>
        <v>5.0000077702655688E-2</v>
      </c>
      <c r="X98" s="9">
        <f>+IF(ISERROR(V98*(1-O98)),"",(V98*(1-O98)))</f>
        <v>32252.53</v>
      </c>
    </row>
    <row r="99" spans="1:24" x14ac:dyDescent="0.3">
      <c r="A99" s="23" t="s">
        <v>42</v>
      </c>
      <c r="B99" s="21" t="s">
        <v>41</v>
      </c>
      <c r="C99" s="49">
        <v>100517186</v>
      </c>
      <c r="D99" s="23" t="s">
        <v>45</v>
      </c>
      <c r="E99" s="55">
        <v>7790360971395</v>
      </c>
      <c r="F99" s="14">
        <v>8</v>
      </c>
      <c r="G99" s="18">
        <v>8</v>
      </c>
      <c r="I99" s="14">
        <f>+L99*1.55*1.21</f>
        <v>20061.166057657712</v>
      </c>
      <c r="J99" s="14">
        <f>+I99*0.8</f>
        <v>16048.93284612617</v>
      </c>
      <c r="K99" s="40"/>
      <c r="L99" s="9">
        <f>+IF(ISERROR(N99/G99),"",(N99/G99))</f>
        <v>10696.436181102485</v>
      </c>
      <c r="M99" s="9">
        <f>+IF(ISERROR(N99/F99),"",(N99/F99))</f>
        <v>10696.436181102485</v>
      </c>
      <c r="N99" s="16">
        <v>85571.489448819877</v>
      </c>
      <c r="O99" s="15"/>
      <c r="P99" s="14">
        <f>+IF(ISERROR(N99/(1-O99)),"",(N99/(1-O99)))</f>
        <v>85571.489448819877</v>
      </c>
      <c r="Q99" s="10"/>
      <c r="R99" s="14">
        <f>+IF(ISERROR(P99/(1-Q99)),"",(P99/(1-Q99)))</f>
        <v>85571.489448819877</v>
      </c>
      <c r="S99" s="9">
        <f>+IF(ISERROR(R99/G99),"",(R99/G99))</f>
        <v>10696.436181102485</v>
      </c>
      <c r="T99" s="13"/>
      <c r="U99"/>
      <c r="V99" s="11">
        <v>81496.66</v>
      </c>
      <c r="W99" s="53">
        <f>+IF(ISERROR(N99/V99-1),"",(N99/V99-1))</f>
        <v>4.9999956425451852E-2</v>
      </c>
      <c r="X99" s="9">
        <f>+IF(ISERROR(V99*(1-O99)),"",(V99*(1-O99)))</f>
        <v>81496.66</v>
      </c>
    </row>
    <row r="100" spans="1:24" x14ac:dyDescent="0.3">
      <c r="A100" s="23" t="s">
        <v>42</v>
      </c>
      <c r="B100" s="21" t="s">
        <v>41</v>
      </c>
      <c r="C100" s="49">
        <v>100521663</v>
      </c>
      <c r="D100" s="23" t="s">
        <v>44</v>
      </c>
      <c r="E100" s="55">
        <v>7790360982537</v>
      </c>
      <c r="F100" s="14">
        <v>4.8</v>
      </c>
      <c r="G100" s="18">
        <v>12</v>
      </c>
      <c r="I100" s="14">
        <f>+L100*1.55*1.21</f>
        <v>7864.5538720546901</v>
      </c>
      <c r="J100" s="14">
        <f>+I100*0.8</f>
        <v>6291.6430976437523</v>
      </c>
      <c r="K100" s="40"/>
      <c r="L100" s="14">
        <f>+IF(ISERROR(N100/G100),"",(N100/G100))</f>
        <v>4193.3105156250012</v>
      </c>
      <c r="M100" s="14">
        <f>+IF(ISERROR(N100/F100),"",(N100/F100))</f>
        <v>10483.276289062504</v>
      </c>
      <c r="N100" s="16">
        <v>50319.726187500011</v>
      </c>
      <c r="O100" s="15"/>
      <c r="P100" s="14">
        <f>+IF(ISERROR(N100/(1-O100)),"",(N100/(1-O100)))</f>
        <v>50319.726187500011</v>
      </c>
      <c r="Q100" s="15"/>
      <c r="R100" s="14">
        <f>+IF(ISERROR(P100/(1-Q100)),"",(P100/(1-Q100)))</f>
        <v>50319.726187500011</v>
      </c>
      <c r="S100" s="14">
        <f>+IF(ISERROR(R100/G100),"",(R100/G100))</f>
        <v>4193.3105156250012</v>
      </c>
      <c r="T100" s="13"/>
      <c r="U100"/>
      <c r="V100" s="11">
        <v>47923.55</v>
      </c>
      <c r="W100" s="52">
        <f>+IF(ISERROR(N100/V100-1),"",(N100/V100-1))</f>
        <v>4.9999972612630117E-2</v>
      </c>
      <c r="X100" s="14">
        <f>+IF(ISERROR(V100*(1-O100)),"",(V100*(1-O100)))</f>
        <v>47923.55</v>
      </c>
    </row>
    <row r="101" spans="1:24" s="37" customFormat="1" x14ac:dyDescent="0.3">
      <c r="A101" s="23" t="s">
        <v>42</v>
      </c>
      <c r="B101" s="21" t="s">
        <v>41</v>
      </c>
      <c r="C101" s="22">
        <v>100021728</v>
      </c>
      <c r="D101" s="21" t="s">
        <v>43</v>
      </c>
      <c r="E101" s="20">
        <v>7790360967558</v>
      </c>
      <c r="F101" s="9">
        <v>3.84</v>
      </c>
      <c r="G101" s="54">
        <v>12</v>
      </c>
      <c r="I101" s="14">
        <f>+L101*1.55*1.21</f>
        <v>6653.3302788678793</v>
      </c>
      <c r="J101" s="14">
        <f>+I101*0.8</f>
        <v>5322.6642230943035</v>
      </c>
      <c r="K101" s="40"/>
      <c r="L101" s="9">
        <f>+IF(ISERROR(N101/G101),"",(N101/G101))</f>
        <v>3547.4968162452037</v>
      </c>
      <c r="M101" s="9">
        <f>+IF(ISERROR(N101/F101),"",(N101/F101))</f>
        <v>11085.927550766262</v>
      </c>
      <c r="N101" s="16">
        <v>42569.961794942443</v>
      </c>
      <c r="O101" s="15"/>
      <c r="P101" s="14">
        <f>+IF(ISERROR(N101/(1-O101)),"",(N101/(1-O101)))</f>
        <v>42569.961794942443</v>
      </c>
      <c r="Q101" s="10"/>
      <c r="R101" s="14">
        <f>+IF(ISERROR(P101/(1-Q101)),"",(P101/(1-Q101)))</f>
        <v>42569.961794942443</v>
      </c>
      <c r="S101" s="9">
        <f>+IF(ISERROR(R101/G101),"",(R101/G101))</f>
        <v>3547.4968162452037</v>
      </c>
      <c r="T101" s="13"/>
      <c r="U101"/>
      <c r="V101" s="11">
        <v>40542.82</v>
      </c>
      <c r="W101" s="53">
        <f>+IF(ISERROR(N101/V101-1),"",(N101/V101-1))</f>
        <v>5.0000019607477908E-2</v>
      </c>
      <c r="X101" s="9">
        <f>+IF(ISERROR(V101*(1-O101)),"",(V101*(1-O101)))</f>
        <v>40542.82</v>
      </c>
    </row>
    <row r="102" spans="1:24" s="37" customFormat="1" x14ac:dyDescent="0.3">
      <c r="A102" s="23" t="s">
        <v>42</v>
      </c>
      <c r="B102" s="21" t="s">
        <v>41</v>
      </c>
      <c r="C102" s="22">
        <v>100517679</v>
      </c>
      <c r="D102" s="21" t="s">
        <v>40</v>
      </c>
      <c r="E102" s="20">
        <v>7790360973498</v>
      </c>
      <c r="F102" s="9">
        <v>7.68</v>
      </c>
      <c r="G102" s="54">
        <v>8</v>
      </c>
      <c r="I102" s="14">
        <f>+L102*1.55*1.21</f>
        <v>10024.95233072462</v>
      </c>
      <c r="J102" s="14">
        <f>+I102*0.8</f>
        <v>8019.9618645796963</v>
      </c>
      <c r="K102" s="51"/>
      <c r="L102" s="9">
        <f>+IF(ISERROR(N102/G102),"",(N102/G102))</f>
        <v>5345.215852159221</v>
      </c>
      <c r="M102" s="9">
        <f>+IF(ISERROR(N102/F102),"",(N102/F102))</f>
        <v>5567.9331793325218</v>
      </c>
      <c r="N102" s="16">
        <v>42761.726817273768</v>
      </c>
      <c r="O102" s="15"/>
      <c r="P102" s="14">
        <f>+IF(ISERROR(N102/(1-O102)),"",(N102/(1-O102)))</f>
        <v>42761.726817273768</v>
      </c>
      <c r="Q102" s="10"/>
      <c r="R102" s="14">
        <f>+IF(ISERROR(P102/(1-Q102)),"",(P102/(1-Q102)))</f>
        <v>42761.726817273768</v>
      </c>
      <c r="S102" s="9">
        <f>+IF(ISERROR(R102/G102),"",(R102/G102))</f>
        <v>5345.215852159221</v>
      </c>
      <c r="T102" s="13"/>
      <c r="U102"/>
      <c r="V102" s="11">
        <v>40725.449999999997</v>
      </c>
      <c r="W102" s="53">
        <f>+IF(ISERROR(N102/V102-1),"",(N102/V102-1))</f>
        <v>5.0000106009234324E-2</v>
      </c>
      <c r="X102" s="9">
        <f>+IF(ISERROR(V102*(1-O102)),"",(V102*(1-O102)))</f>
        <v>40725.449999999997</v>
      </c>
    </row>
    <row r="103" spans="1:24" hidden="1" x14ac:dyDescent="0.3">
      <c r="A103" s="36"/>
      <c r="B103" s="35"/>
      <c r="C103" s="34"/>
      <c r="D103" s="26"/>
      <c r="E103" s="34"/>
      <c r="F103" s="26"/>
      <c r="G103" s="33"/>
      <c r="I103" s="30"/>
      <c r="J103" s="32"/>
      <c r="K103" s="51"/>
      <c r="L103" s="30"/>
      <c r="M103" s="26"/>
      <c r="N103" s="16"/>
      <c r="O103" s="28"/>
      <c r="P103" s="26"/>
      <c r="Q103" s="28"/>
      <c r="R103" s="26"/>
      <c r="S103" s="24"/>
      <c r="T103" s="13"/>
      <c r="U103"/>
      <c r="V103" s="26"/>
      <c r="W103" s="50"/>
      <c r="X103" s="24"/>
    </row>
    <row r="104" spans="1:24" hidden="1" x14ac:dyDescent="0.3">
      <c r="A104" s="23" t="s">
        <v>39</v>
      </c>
      <c r="B104" s="23" t="s">
        <v>38</v>
      </c>
      <c r="C104" s="49">
        <v>100022200</v>
      </c>
      <c r="D104" s="23" t="s">
        <v>37</v>
      </c>
      <c r="E104" s="48">
        <v>7790360027085</v>
      </c>
      <c r="F104" s="14">
        <v>3</v>
      </c>
      <c r="G104" s="18">
        <v>10</v>
      </c>
      <c r="I104" s="14">
        <f>+L104*1.55*1.21</f>
        <v>0</v>
      </c>
      <c r="J104" s="14">
        <f>+I104*0.8</f>
        <v>0</v>
      </c>
      <c r="K104" s="51"/>
      <c r="L104" s="14">
        <f>+IF(ISERROR(N104/G104),"",(N104/G104))</f>
        <v>0</v>
      </c>
      <c r="M104" s="14">
        <f>+IF(ISERROR(N104/F104),"",(N104/F104))</f>
        <v>0</v>
      </c>
      <c r="N104" s="16"/>
      <c r="O104" s="15"/>
      <c r="P104" s="14">
        <f>+IF(ISERROR(N104/(1-O104)),"",(N104/(1-O104)))</f>
        <v>0</v>
      </c>
      <c r="Q104" s="15"/>
      <c r="R104" s="14">
        <f>+IF(ISERROR(P104/(1-Q104)),"",(P104/(1-Q104)))</f>
        <v>0</v>
      </c>
      <c r="S104" s="14">
        <f>+IF(ISERROR(R104/G104),"",(R104/G104))</f>
        <v>0</v>
      </c>
      <c r="T104" s="13"/>
      <c r="U104"/>
      <c r="V104" s="11" t="s">
        <v>32</v>
      </c>
      <c r="W104" s="52" t="str">
        <f>+IF(ISERROR(N104/V104-1),"",(N104/V104-1))</f>
        <v/>
      </c>
      <c r="X104" s="14" t="str">
        <f>+IF(ISERROR(V104*(1-O104)),"",(V104*(1-O104)))</f>
        <v/>
      </c>
    </row>
    <row r="105" spans="1:24" x14ac:dyDescent="0.3">
      <c r="A105" s="36"/>
      <c r="B105" s="35"/>
      <c r="C105" s="34"/>
      <c r="D105" s="26"/>
      <c r="E105" s="34"/>
      <c r="F105" s="26"/>
      <c r="G105" s="33"/>
      <c r="I105" s="30"/>
      <c r="J105" s="32"/>
      <c r="K105" s="40"/>
      <c r="L105" s="30"/>
      <c r="M105" s="26"/>
      <c r="N105" s="26"/>
      <c r="O105" s="28"/>
      <c r="P105" s="26"/>
      <c r="Q105" s="28"/>
      <c r="R105" s="26"/>
      <c r="S105" s="24"/>
      <c r="T105" s="13"/>
      <c r="U105"/>
      <c r="V105" s="26" t="s">
        <v>32</v>
      </c>
      <c r="W105" s="50"/>
      <c r="X105" s="24" t="str">
        <f>+IF(ISERROR(V105*(1-O105)),"",(V105*(1-O105)))</f>
        <v/>
      </c>
    </row>
    <row r="106" spans="1:24" hidden="1" x14ac:dyDescent="0.3">
      <c r="A106" s="23" t="s">
        <v>35</v>
      </c>
      <c r="B106" s="23" t="s">
        <v>34</v>
      </c>
      <c r="C106" s="49">
        <v>100516219</v>
      </c>
      <c r="D106" s="23" t="s">
        <v>36</v>
      </c>
      <c r="E106" s="48">
        <v>7790360967770</v>
      </c>
      <c r="F106" s="14">
        <v>10</v>
      </c>
      <c r="G106" s="18">
        <v>25</v>
      </c>
      <c r="I106" s="14">
        <f>+L106*1.55*1.21</f>
        <v>0</v>
      </c>
      <c r="J106" s="14">
        <f>+I106*0.8</f>
        <v>0</v>
      </c>
      <c r="K106" s="40"/>
      <c r="L106" s="14">
        <f>+IF(ISERROR(N106/G106),"",(N106/G106))</f>
        <v>0</v>
      </c>
      <c r="M106" s="14">
        <f>+IF(ISERROR(N106/F106),"",(N106/F106))</f>
        <v>0</v>
      </c>
      <c r="N106" s="16"/>
      <c r="O106" s="15"/>
      <c r="P106" s="14">
        <f>+IF(ISERROR(N106/(1-O106)),"",(N106/(1-O106)))</f>
        <v>0</v>
      </c>
      <c r="Q106" s="15"/>
      <c r="R106" s="14">
        <f>+IF(ISERROR(P106/(1-Q106)),"",(P106/(1-Q106)))</f>
        <v>0</v>
      </c>
      <c r="S106" s="14">
        <f>+IF(ISERROR(R106/G106),"",(R106/G106))</f>
        <v>0</v>
      </c>
      <c r="T106" s="13"/>
      <c r="U106"/>
      <c r="V106" s="11" t="s">
        <v>32</v>
      </c>
      <c r="W106" s="52" t="str">
        <f>+IF(ISERROR(N106/V106-1),"",(N106/V106-1))</f>
        <v/>
      </c>
      <c r="X106" s="14" t="str">
        <f>+IF(ISERROR(V106*(1-O106)),"",(V106*(1-O106)))</f>
        <v/>
      </c>
    </row>
    <row r="107" spans="1:24" hidden="1" x14ac:dyDescent="0.3">
      <c r="A107" s="23" t="s">
        <v>35</v>
      </c>
      <c r="B107" s="23" t="s">
        <v>34</v>
      </c>
      <c r="C107" s="49">
        <v>100516220</v>
      </c>
      <c r="D107" s="23" t="s">
        <v>33</v>
      </c>
      <c r="E107" s="48">
        <v>7790360967787</v>
      </c>
      <c r="F107" s="14">
        <v>12</v>
      </c>
      <c r="G107" s="18">
        <v>6</v>
      </c>
      <c r="I107" s="14">
        <f>+L107*1.55*1.21</f>
        <v>0</v>
      </c>
      <c r="J107" s="14">
        <f>+I107*0.8</f>
        <v>0</v>
      </c>
      <c r="K107" s="40"/>
      <c r="L107" s="14">
        <f>+IF(ISERROR(N107/G107),"",(N107/G107))</f>
        <v>0</v>
      </c>
      <c r="M107" s="14">
        <f>+IF(ISERROR(N107/F107),"",(N107/F107))</f>
        <v>0</v>
      </c>
      <c r="N107" s="16"/>
      <c r="O107" s="15"/>
      <c r="P107" s="14">
        <f>+IF(ISERROR(N107/(1-O107)),"",(N107/(1-O107)))</f>
        <v>0</v>
      </c>
      <c r="Q107" s="15"/>
      <c r="R107" s="14">
        <f>+IF(ISERROR(P107/(1-Q107)),"",(P107/(1-Q107)))</f>
        <v>0</v>
      </c>
      <c r="S107" s="14">
        <f>+IF(ISERROR(R107/G107),"",(R107/G107))</f>
        <v>0</v>
      </c>
      <c r="T107" s="13"/>
      <c r="U107"/>
      <c r="V107" s="11" t="s">
        <v>32</v>
      </c>
      <c r="W107" s="52" t="str">
        <f>+IF(ISERROR(N107/V107-1),"",(N107/V107-1))</f>
        <v/>
      </c>
      <c r="X107" s="14" t="str">
        <f>+IF(ISERROR(V107*(1-O107)),"",(V107*(1-O107)))</f>
        <v/>
      </c>
    </row>
    <row r="108" spans="1:24" hidden="1" x14ac:dyDescent="0.3">
      <c r="A108" s="36"/>
      <c r="B108" s="35"/>
      <c r="C108" s="34"/>
      <c r="D108" s="26"/>
      <c r="E108" s="34"/>
      <c r="F108" s="26"/>
      <c r="G108" s="33"/>
      <c r="I108" s="30"/>
      <c r="J108" s="32"/>
      <c r="K108" s="40"/>
      <c r="L108" s="30"/>
      <c r="M108" s="26"/>
      <c r="N108" s="16"/>
      <c r="O108" s="28"/>
      <c r="P108" s="26"/>
      <c r="Q108" s="28"/>
      <c r="R108" s="26"/>
      <c r="S108" s="24"/>
      <c r="T108" s="13"/>
      <c r="U108"/>
      <c r="V108" s="26"/>
      <c r="W108" s="50"/>
      <c r="X108" s="24"/>
    </row>
    <row r="109" spans="1:24" hidden="1" x14ac:dyDescent="0.3">
      <c r="A109" s="23" t="s">
        <v>29</v>
      </c>
      <c r="B109" s="23" t="s">
        <v>29</v>
      </c>
      <c r="C109" s="49">
        <v>100518158</v>
      </c>
      <c r="D109" s="23" t="s">
        <v>31</v>
      </c>
      <c r="E109" s="48">
        <v>7790360974280</v>
      </c>
      <c r="F109" s="14">
        <v>12</v>
      </c>
      <c r="G109" s="18">
        <v>24</v>
      </c>
      <c r="I109" s="14">
        <f>+L109*1.55*1.21</f>
        <v>0</v>
      </c>
      <c r="J109" s="14">
        <f>+I109*0.8</f>
        <v>0</v>
      </c>
      <c r="K109" s="40"/>
      <c r="L109" s="14">
        <f>+IF(ISERROR(N109/G109),"",(N109/G109))</f>
        <v>0</v>
      </c>
      <c r="M109" s="14">
        <f>+IF(ISERROR(N109/F109),"",(N109/F109))</f>
        <v>0</v>
      </c>
      <c r="N109" s="16"/>
      <c r="O109" s="15"/>
      <c r="P109" s="14">
        <f>+IF(ISERROR(N109/(1-O109)),"",(N109/(1-O109)))</f>
        <v>0</v>
      </c>
      <c r="Q109" s="15"/>
      <c r="R109" s="14">
        <f>+IF(ISERROR(P109/(1-Q109)),"",(P109/(1-Q109)))</f>
        <v>0</v>
      </c>
      <c r="S109" s="14">
        <f>+IF(ISERROR(R109/G109),"",(R109/G109))</f>
        <v>0</v>
      </c>
      <c r="T109" s="13"/>
      <c r="U109"/>
      <c r="V109" s="11">
        <v>77847.240000000005</v>
      </c>
      <c r="W109" s="52">
        <f>+IF(ISERROR(N109/V109-1),"",(N109/V109-1))</f>
        <v>-1</v>
      </c>
      <c r="X109" s="14">
        <f>+IF(ISERROR(V109*(1-O109)),"",(V109*(1-O109)))</f>
        <v>77847.240000000005</v>
      </c>
    </row>
    <row r="110" spans="1:24" hidden="1" x14ac:dyDescent="0.3">
      <c r="A110" s="23" t="s">
        <v>29</v>
      </c>
      <c r="B110" s="23" t="s">
        <v>29</v>
      </c>
      <c r="C110" s="49">
        <v>100518160</v>
      </c>
      <c r="D110" s="23" t="s">
        <v>30</v>
      </c>
      <c r="E110" s="48">
        <v>7790360974686</v>
      </c>
      <c r="F110" s="14">
        <v>12</v>
      </c>
      <c r="G110" s="18">
        <v>12</v>
      </c>
      <c r="I110" s="14">
        <f>+L110*1.55*1.21</f>
        <v>0</v>
      </c>
      <c r="J110" s="14">
        <f>+I110*0.8</f>
        <v>0</v>
      </c>
      <c r="K110" s="40"/>
      <c r="L110" s="14">
        <f>+IF(ISERROR(N110/G110),"",(N110/G110))</f>
        <v>0</v>
      </c>
      <c r="M110" s="14">
        <f>+IF(ISERROR(N110/F110),"",(N110/F110))</f>
        <v>0</v>
      </c>
      <c r="N110" s="16"/>
      <c r="O110" s="15"/>
      <c r="P110" s="14">
        <f>+IF(ISERROR(N110/(1-O110)),"",(N110/(1-O110)))</f>
        <v>0</v>
      </c>
      <c r="Q110" s="15"/>
      <c r="R110" s="14">
        <f>+IF(ISERROR(P110/(1-Q110)),"",(P110/(1-Q110)))</f>
        <v>0</v>
      </c>
      <c r="S110" s="14">
        <f>+IF(ISERROR(R110/G110),"",(R110/G110))</f>
        <v>0</v>
      </c>
      <c r="T110" s="13"/>
      <c r="U110"/>
      <c r="V110" s="11">
        <v>77847.240000000005</v>
      </c>
      <c r="W110" s="52">
        <f>+IF(ISERROR(N110/V110-1),"",(N110/V110-1))</f>
        <v>-1</v>
      </c>
      <c r="X110" s="14">
        <f>+IF(ISERROR(V110*(1-O110)),"",(V110*(1-O110)))</f>
        <v>77847.240000000005</v>
      </c>
    </row>
    <row r="111" spans="1:24" hidden="1" x14ac:dyDescent="0.3">
      <c r="A111" s="23" t="s">
        <v>29</v>
      </c>
      <c r="B111" s="23" t="s">
        <v>29</v>
      </c>
      <c r="C111" s="49">
        <v>100518463</v>
      </c>
      <c r="D111" s="23" t="s">
        <v>28</v>
      </c>
      <c r="E111" s="48">
        <v>7790360975188</v>
      </c>
      <c r="F111" s="14">
        <v>5</v>
      </c>
      <c r="G111" s="18">
        <v>1</v>
      </c>
      <c r="I111" s="14">
        <f>+L111*1.55*1.21</f>
        <v>0</v>
      </c>
      <c r="J111" s="14">
        <f>+I111*0.8</f>
        <v>0</v>
      </c>
      <c r="K111" s="40"/>
      <c r="L111" s="14">
        <f>+IF(ISERROR(N111/G111),"",(N111/G111))</f>
        <v>0</v>
      </c>
      <c r="M111" s="14">
        <f>+IF(ISERROR(N111/F111),"",(N111/F111))</f>
        <v>0</v>
      </c>
      <c r="N111" s="16"/>
      <c r="O111" s="15"/>
      <c r="P111" s="14">
        <f>+IF(ISERROR(N111/(1-O111)),"",(N111/(1-O111)))</f>
        <v>0</v>
      </c>
      <c r="Q111" s="15"/>
      <c r="R111" s="14">
        <f>+IF(ISERROR(P111/(1-Q111)),"",(P111/(1-Q111)))</f>
        <v>0</v>
      </c>
      <c r="S111" s="14">
        <f>+IF(ISERROR(R111/G111),"",(R111/G111))</f>
        <v>0</v>
      </c>
      <c r="T111" s="13"/>
      <c r="U111"/>
      <c r="V111" s="11">
        <v>37914.58</v>
      </c>
      <c r="W111" s="52">
        <f>+IF(ISERROR(N111/V111-1),"",(N111/V111-1))</f>
        <v>-1</v>
      </c>
      <c r="X111" s="14">
        <f>+IF(ISERROR(V111*(1-O111)),"",(V111*(1-O111)))</f>
        <v>37914.58</v>
      </c>
    </row>
    <row r="112" spans="1:24" hidden="1" x14ac:dyDescent="0.3">
      <c r="A112" s="36"/>
      <c r="B112" s="35"/>
      <c r="C112" s="34"/>
      <c r="D112" s="26"/>
      <c r="E112" s="34"/>
      <c r="F112" s="26"/>
      <c r="G112" s="33"/>
      <c r="I112" s="30"/>
      <c r="J112" s="32"/>
      <c r="K112" s="40"/>
      <c r="L112" s="30"/>
      <c r="M112" s="26"/>
      <c r="N112" s="26"/>
      <c r="O112" s="28"/>
      <c r="P112" s="26"/>
      <c r="Q112" s="28"/>
      <c r="R112" s="26"/>
      <c r="S112" s="24"/>
      <c r="T112" s="13"/>
      <c r="U112"/>
      <c r="V112" s="26"/>
      <c r="W112" s="50"/>
      <c r="X112" s="24"/>
    </row>
    <row r="113" spans="1:24" x14ac:dyDescent="0.3">
      <c r="A113" s="23"/>
      <c r="B113" s="23"/>
      <c r="C113" s="49">
        <v>100518291</v>
      </c>
      <c r="D113" s="23" t="s">
        <v>27</v>
      </c>
      <c r="E113" s="48">
        <v>7790360975195</v>
      </c>
      <c r="F113" s="14">
        <v>5</v>
      </c>
      <c r="G113" s="18">
        <v>10</v>
      </c>
      <c r="I113" s="14">
        <f>+L113*1.55*1.21</f>
        <v>3108.1423891308996</v>
      </c>
      <c r="J113" s="14">
        <f>+I113*0.8</f>
        <v>2486.5139113047198</v>
      </c>
      <c r="K113" s="40"/>
      <c r="L113" s="14">
        <f>+IF(ISERROR(N113/G113),"",(N113/G113))</f>
        <v>1657.2340118</v>
      </c>
      <c r="M113" s="14">
        <f>+IF(ISERROR(N113/F113),"",(N113/F113))</f>
        <v>3314.4680235999999</v>
      </c>
      <c r="N113" s="16">
        <v>16572.340118</v>
      </c>
      <c r="O113" s="15"/>
      <c r="P113" s="14">
        <f>+IF(ISERROR(N113/(1-O113)),"",(N113/(1-O113)))</f>
        <v>16572.340118</v>
      </c>
      <c r="Q113" s="15"/>
      <c r="R113" s="14">
        <f>+IF(ISERROR(P113/(1-Q113)),"",(P113/(1-Q113)))</f>
        <v>16572.340118</v>
      </c>
      <c r="S113" s="14">
        <f>+IF(ISERROR(R113/G113),"",(R113/G113))</f>
        <v>1657.2340118</v>
      </c>
      <c r="T113" s="13"/>
      <c r="U113" s="12"/>
      <c r="V113" s="11">
        <v>16089.65</v>
      </c>
      <c r="W113" s="52">
        <f>+IF(ISERROR(N113/V113-1),"",(N113/V113-1))</f>
        <v>3.0000038409785157E-2</v>
      </c>
      <c r="X113" s="14">
        <f>+IF(ISERROR(V113*(1-O113)),"",(V113*(1-O113)))</f>
        <v>16089.65</v>
      </c>
    </row>
    <row r="114" spans="1:24" x14ac:dyDescent="0.3">
      <c r="A114" s="23"/>
      <c r="B114" s="23"/>
      <c r="C114" s="49">
        <v>100518292</v>
      </c>
      <c r="D114" s="23" t="s">
        <v>26</v>
      </c>
      <c r="E114" s="48">
        <v>7790360975201</v>
      </c>
      <c r="F114" s="14">
        <v>12</v>
      </c>
      <c r="G114" s="18">
        <v>12</v>
      </c>
      <c r="I114" s="14">
        <f>+L114*1.55*1.21</f>
        <v>6111.7569354765001</v>
      </c>
      <c r="J114" s="14">
        <f>+I114*0.8</f>
        <v>4889.4055483811999</v>
      </c>
      <c r="K114" s="40"/>
      <c r="L114" s="14">
        <f>+IF(ISERROR(N114/G114),"",(N114/G114))</f>
        <v>3258.7347030000001</v>
      </c>
      <c r="M114" s="14">
        <f>+IF(ISERROR(N114/F114),"",(N114/F114))</f>
        <v>3258.7347030000001</v>
      </c>
      <c r="N114" s="16">
        <v>39104.816436000001</v>
      </c>
      <c r="O114" s="15"/>
      <c r="P114" s="14">
        <f>+IF(ISERROR(N114/(1-O114)),"",(N114/(1-O114)))</f>
        <v>39104.816436000001</v>
      </c>
      <c r="Q114" s="15"/>
      <c r="R114" s="14">
        <f>+IF(ISERROR(P114/(1-Q114)),"",(P114/(1-Q114)))</f>
        <v>39104.816436000001</v>
      </c>
      <c r="S114" s="14">
        <f>+IF(ISERROR(R114/G114),"",(R114/G114))</f>
        <v>3258.7347030000001</v>
      </c>
      <c r="T114" s="13"/>
      <c r="U114" s="12"/>
      <c r="V114" s="11">
        <v>37965.839999999997</v>
      </c>
      <c r="W114" s="52">
        <f>+IF(ISERROR(N114/V114-1),"",(N114/V114-1))</f>
        <v>3.0000032555581591E-2</v>
      </c>
      <c r="X114" s="14">
        <f>+IF(ISERROR(V114*(1-O114)),"",(V114*(1-O114)))</f>
        <v>37965.839999999997</v>
      </c>
    </row>
    <row r="115" spans="1:24" x14ac:dyDescent="0.3">
      <c r="A115" s="36"/>
      <c r="B115" s="35"/>
      <c r="C115" s="34"/>
      <c r="D115" s="26"/>
      <c r="E115" s="34"/>
      <c r="F115" s="26"/>
      <c r="G115" s="33"/>
      <c r="I115" s="30"/>
      <c r="J115" s="32"/>
      <c r="K115" s="51"/>
      <c r="L115" s="30"/>
      <c r="M115" s="26"/>
      <c r="N115" s="26"/>
      <c r="O115" s="28"/>
      <c r="P115" s="26"/>
      <c r="Q115" s="28"/>
      <c r="R115" s="26"/>
      <c r="S115" s="24"/>
      <c r="T115" s="13"/>
      <c r="U115"/>
      <c r="V115" s="26"/>
      <c r="W115" s="50"/>
      <c r="X115" s="24"/>
    </row>
    <row r="116" spans="1:24" x14ac:dyDescent="0.3">
      <c r="A116" s="23" t="s">
        <v>24</v>
      </c>
      <c r="B116" s="23" t="s">
        <v>24</v>
      </c>
      <c r="C116" s="49">
        <v>100517915</v>
      </c>
      <c r="D116" s="23" t="s">
        <v>25</v>
      </c>
      <c r="E116" s="48">
        <v>7790360974020</v>
      </c>
      <c r="F116" s="14">
        <v>18</v>
      </c>
      <c r="G116" s="18">
        <v>36</v>
      </c>
      <c r="I116" s="14">
        <f>IFERROR(L116*(1+$I$118)*1.105,)</f>
        <v>7327.7699674815995</v>
      </c>
      <c r="J116" s="14">
        <f>+I116*0.9</f>
        <v>6594.9929707334395</v>
      </c>
      <c r="K116" s="17"/>
      <c r="L116" s="14">
        <f>+IF(ISERROR(N116/G116),"",(N116/G116))</f>
        <v>4973.5995254400004</v>
      </c>
      <c r="M116" s="14">
        <f>+IF(ISERROR(N116/F116),"",(N116/F116))</f>
        <v>9947.1990508800009</v>
      </c>
      <c r="N116" s="16">
        <v>179049.58291584</v>
      </c>
      <c r="O116" s="15"/>
      <c r="P116" s="14">
        <f>+IF(ISERROR(N116/(1-O116)),"",(N116/(1-O116)))</f>
        <v>179049.58291584</v>
      </c>
      <c r="Q116" s="15"/>
      <c r="R116" s="14">
        <f>+IF(ISERROR(P116/(1-Q116)),"",(P116/(1-Q116)))</f>
        <v>179049.58291584</v>
      </c>
      <c r="S116" s="14">
        <f>+IF(ISERROR(R116/G116),"",(R116/G116))</f>
        <v>4973.5995254400004</v>
      </c>
      <c r="T116" s="13"/>
      <c r="U116" s="12"/>
      <c r="V116" s="11">
        <v>165786.66</v>
      </c>
      <c r="W116" s="15">
        <f>+IF(ISERROR(N116/V116-1),"",(N116/V116-1))</f>
        <v>7.9999940380245382E-2</v>
      </c>
      <c r="X116" s="14">
        <f>+IF(ISERROR(V116*(1-O116)),"",(V116*(1-O116)))</f>
        <v>165786.66</v>
      </c>
    </row>
    <row r="117" spans="1:24" x14ac:dyDescent="0.3">
      <c r="A117" s="23" t="s">
        <v>24</v>
      </c>
      <c r="B117" s="23" t="s">
        <v>24</v>
      </c>
      <c r="C117" s="49">
        <v>100517914</v>
      </c>
      <c r="D117" s="23" t="s">
        <v>23</v>
      </c>
      <c r="E117" s="48">
        <v>7790360974037</v>
      </c>
      <c r="F117" s="14">
        <v>20</v>
      </c>
      <c r="G117" s="18">
        <v>20</v>
      </c>
      <c r="I117" s="14">
        <f>IFERROR(L117*(1+$I$118)*1.105,)</f>
        <v>14126.665081115949</v>
      </c>
      <c r="J117" s="14">
        <f>+I117*0.9</f>
        <v>12713.998573004354</v>
      </c>
      <c r="K117" s="17"/>
      <c r="L117" s="14">
        <f>+IF(ISERROR(N117/G117),"",(N117/G117))</f>
        <v>9588.2342179520019</v>
      </c>
      <c r="M117" s="14">
        <f>+IF(ISERROR(N117/F117),"",(N117/F117))</f>
        <v>9588.2342179520019</v>
      </c>
      <c r="N117" s="16">
        <v>191764.68435904002</v>
      </c>
      <c r="O117" s="15"/>
      <c r="P117" s="14">
        <f>+IF(ISERROR(N117/(1-O117)),"",(N117/(1-O117)))</f>
        <v>191764.68435904002</v>
      </c>
      <c r="Q117" s="15"/>
      <c r="R117" s="14">
        <f>+IF(ISERROR(P117/(1-Q117)),"",(P117/(1-Q117)))</f>
        <v>191764.68435904002</v>
      </c>
      <c r="S117" s="14">
        <f>+IF(ISERROR(R117/G117),"",(R117/G117))</f>
        <v>9588.2342179520019</v>
      </c>
      <c r="T117" s="13"/>
      <c r="U117" s="12"/>
      <c r="V117" s="11">
        <v>180910.07999999999</v>
      </c>
      <c r="W117" s="15">
        <f>+IF(ISERROR(N117/V117-1),"",(N117/V117-1))</f>
        <v>5.9999997562546259E-2</v>
      </c>
      <c r="X117" s="14">
        <f>+IF(ISERROR(V117*(1-O117)),"",(V117*(1-O117)))</f>
        <v>180910.07999999999</v>
      </c>
    </row>
    <row r="118" spans="1:24" x14ac:dyDescent="0.3">
      <c r="A118" s="36"/>
      <c r="B118" s="35"/>
      <c r="C118" s="34"/>
      <c r="D118" s="26"/>
      <c r="E118" s="34"/>
      <c r="F118" s="26"/>
      <c r="G118" s="33"/>
      <c r="I118" s="47">
        <v>0.33333333333333331</v>
      </c>
      <c r="J118" s="32"/>
      <c r="K118" s="31"/>
      <c r="L118" s="30"/>
      <c r="M118" s="26"/>
      <c r="N118" s="29"/>
      <c r="O118" s="28"/>
      <c r="P118" s="26"/>
      <c r="Q118" s="28"/>
      <c r="R118" s="26"/>
      <c r="S118" s="24"/>
      <c r="T118" s="13"/>
      <c r="U118"/>
      <c r="V118" s="26"/>
      <c r="W118" s="25"/>
      <c r="X118" s="24"/>
    </row>
    <row r="119" spans="1:24" x14ac:dyDescent="0.3">
      <c r="A119" s="23"/>
      <c r="B119" s="21"/>
      <c r="C119" s="22">
        <v>100010689</v>
      </c>
      <c r="D119" s="21" t="s">
        <v>22</v>
      </c>
      <c r="E119" s="20"/>
      <c r="F119" s="19">
        <v>22</v>
      </c>
      <c r="G119" s="18">
        <v>1</v>
      </c>
      <c r="H119" s="37"/>
      <c r="I119" s="14">
        <f>IFERROR(L119*(1+$I$118)*1.105,)</f>
        <v>25857</v>
      </c>
      <c r="J119" s="14">
        <f>+I119*0.9</f>
        <v>23271.3</v>
      </c>
      <c r="K119" s="40"/>
      <c r="L119" s="14">
        <f>+IF(ISERROR(N119/G119),"",(N119/G119))</f>
        <v>17550</v>
      </c>
      <c r="M119" s="14">
        <f>+IF(ISERROR(N119/G119),"",(N119/G119))</f>
        <v>17550</v>
      </c>
      <c r="N119" s="16">
        <v>17550</v>
      </c>
      <c r="O119" s="15"/>
      <c r="P119" s="14">
        <f>+IF(ISERROR(N119/(1-O119)),"",(N119/(1-O119)))</f>
        <v>17550</v>
      </c>
      <c r="Q119" s="15"/>
      <c r="R119" s="14">
        <f>+IF(ISERROR(P119/(1-Q119)),"",(P119/(1-Q119)))</f>
        <v>17550</v>
      </c>
      <c r="S119" s="14">
        <f>+IF(ISERROR(R119/G119),"",(R119/G119))</f>
        <v>17550</v>
      </c>
      <c r="T119" s="13"/>
      <c r="U119"/>
      <c r="V119" s="11">
        <v>17550</v>
      </c>
      <c r="W119" s="15">
        <f>+IF(ISERROR(N119/V119-1),"",(N119/V119-1))</f>
        <v>0</v>
      </c>
      <c r="X119" s="14">
        <f>+IF(ISERROR(V119*(1-O119)),"",(V119*(1-O119)))</f>
        <v>17550</v>
      </c>
    </row>
    <row r="120" spans="1:24" x14ac:dyDescent="0.3">
      <c r="A120" s="23"/>
      <c r="B120" s="21"/>
      <c r="C120" s="22">
        <v>100518335</v>
      </c>
      <c r="D120" s="21" t="s">
        <v>21</v>
      </c>
      <c r="E120" s="20"/>
      <c r="F120" s="19">
        <v>22.5</v>
      </c>
      <c r="G120" s="18">
        <v>1</v>
      </c>
      <c r="H120" s="37"/>
      <c r="I120" s="14">
        <f>IFERROR(L120*(1+$I$118)*1.105,)</f>
        <v>18469.285714285717</v>
      </c>
      <c r="J120" s="14">
        <f>+I120*0.9</f>
        <v>16622.357142857145</v>
      </c>
      <c r="K120" s="40"/>
      <c r="L120" s="14">
        <f>+IF(ISERROR(N120/G120),"",(N120/G120))</f>
        <v>12535.714285714288</v>
      </c>
      <c r="M120" s="14">
        <f>+IF(ISERROR(N120/G120),"",(N120/G120))</f>
        <v>12535.714285714288</v>
      </c>
      <c r="N120" s="16">
        <v>12535.714285714288</v>
      </c>
      <c r="O120" s="15"/>
      <c r="P120" s="14">
        <f>+IF(ISERROR(N120/(1-O120)),"",(N120/(1-O120)))</f>
        <v>12535.714285714288</v>
      </c>
      <c r="Q120" s="15"/>
      <c r="R120" s="14">
        <f>+IF(ISERROR(P120/(1-Q120)),"",(P120/(1-Q120)))</f>
        <v>12535.714285714288</v>
      </c>
      <c r="S120" s="14">
        <f>+IF(ISERROR(R120/G120),"",(R120/G120))</f>
        <v>12535.714285714288</v>
      </c>
      <c r="T120" s="13"/>
      <c r="U120"/>
      <c r="V120" s="11">
        <v>12535.71</v>
      </c>
      <c r="W120" s="15">
        <f>+IF(ISERROR(N120/V120-1),"",(N120/V120-1))</f>
        <v>3.4188045905381159E-7</v>
      </c>
      <c r="X120" s="14">
        <f>+IF(ISERROR(V120*(1-O120)),"",(V120*(1-O120)))</f>
        <v>12535.71</v>
      </c>
    </row>
    <row r="121" spans="1:24" x14ac:dyDescent="0.3">
      <c r="A121" s="23"/>
      <c r="B121" s="21"/>
      <c r="C121" s="22">
        <v>100518332</v>
      </c>
      <c r="D121" s="21" t="s">
        <v>20</v>
      </c>
      <c r="E121" s="20"/>
      <c r="F121" s="19">
        <v>21.5</v>
      </c>
      <c r="G121" s="18">
        <v>1</v>
      </c>
      <c r="H121" s="37"/>
      <c r="I121" s="14">
        <f>IFERROR(L121*(1+$I$118)*1.105,)</f>
        <v>21239.678571428569</v>
      </c>
      <c r="J121" s="14">
        <f>+I121*0.9</f>
        <v>19115.710714285713</v>
      </c>
      <c r="K121" s="40"/>
      <c r="L121" s="14">
        <f>+IF(ISERROR(N121/G121),"",(N121/G121))</f>
        <v>14416.071428571428</v>
      </c>
      <c r="M121" s="14">
        <f>+IF(ISERROR(N121/G121),"",(N121/G121))</f>
        <v>14416.071428571428</v>
      </c>
      <c r="N121" s="16">
        <v>14416.071428571428</v>
      </c>
      <c r="O121" s="15"/>
      <c r="P121" s="14">
        <f>+IF(ISERROR(N121/(1-O121)),"",(N121/(1-O121)))</f>
        <v>14416.071428571428</v>
      </c>
      <c r="Q121" s="15"/>
      <c r="R121" s="14">
        <f>+IF(ISERROR(P121/(1-Q121)),"",(P121/(1-Q121)))</f>
        <v>14416.071428571428</v>
      </c>
      <c r="S121" s="14">
        <f>+IF(ISERROR(R121/G121),"",(R121/G121))</f>
        <v>14416.071428571428</v>
      </c>
      <c r="T121" s="13"/>
      <c r="U121"/>
      <c r="V121" s="11">
        <v>14416.07</v>
      </c>
      <c r="W121" s="15">
        <f>+IF(ISERROR(N121/V121-1),"",(N121/V121-1))</f>
        <v>9.909576093036776E-8</v>
      </c>
      <c r="X121" s="14">
        <f>+IF(ISERROR(V121*(1-O121)),"",(V121*(1-O121)))</f>
        <v>14416.07</v>
      </c>
    </row>
    <row r="122" spans="1:24" x14ac:dyDescent="0.3">
      <c r="A122" s="23"/>
      <c r="B122" s="21"/>
      <c r="C122" s="22">
        <v>100518334</v>
      </c>
      <c r="D122" s="21" t="s">
        <v>19</v>
      </c>
      <c r="E122" s="20"/>
      <c r="F122" s="19">
        <v>22.5</v>
      </c>
      <c r="G122" s="18">
        <v>1</v>
      </c>
      <c r="H122" s="37"/>
      <c r="I122" s="14">
        <f>IFERROR(L122*(1+$I$118)*1.105,)</f>
        <v>18838.671428571426</v>
      </c>
      <c r="J122" s="14">
        <f>+I122*0.9</f>
        <v>16954.804285714283</v>
      </c>
      <c r="K122" s="40"/>
      <c r="L122" s="14">
        <f>+IF(ISERROR(N122/G122),"",(N122/G122))</f>
        <v>12786.428571428572</v>
      </c>
      <c r="M122" s="14">
        <f>+IF(ISERROR(N122/G122),"",(N122/G122))</f>
        <v>12786.428571428572</v>
      </c>
      <c r="N122" s="16">
        <v>12786.428571428572</v>
      </c>
      <c r="O122" s="15"/>
      <c r="P122" s="14">
        <f>+IF(ISERROR(N122/(1-O122)),"",(N122/(1-O122)))</f>
        <v>12786.428571428572</v>
      </c>
      <c r="Q122" s="15"/>
      <c r="R122" s="14">
        <f>+IF(ISERROR(P122/(1-Q122)),"",(P122/(1-Q122)))</f>
        <v>12786.428571428572</v>
      </c>
      <c r="S122" s="14">
        <f>+IF(ISERROR(R122/G122),"",(R122/G122))</f>
        <v>12786.428571428572</v>
      </c>
      <c r="T122" s="13"/>
      <c r="U122"/>
      <c r="V122" s="11">
        <v>12786.43</v>
      </c>
      <c r="W122" s="15">
        <f>+IF(ISERROR(N122/V122-1),"",(N122/V122-1))</f>
        <v>-1.1172558933569832E-7</v>
      </c>
      <c r="X122" s="14">
        <f>+IF(ISERROR(V122*(1-O122)),"",(V122*(1-O122)))</f>
        <v>12786.43</v>
      </c>
    </row>
    <row r="123" spans="1:24" x14ac:dyDescent="0.3">
      <c r="A123" s="23"/>
      <c r="B123" s="21"/>
      <c r="C123" s="22">
        <v>100518227</v>
      </c>
      <c r="D123" s="21" t="s">
        <v>18</v>
      </c>
      <c r="E123" s="20"/>
      <c r="F123" s="19">
        <v>22.5</v>
      </c>
      <c r="G123" s="18">
        <v>1</v>
      </c>
      <c r="H123" s="37"/>
      <c r="I123" s="14">
        <f>IFERROR(L123*(1+$I$118)*1.105,)</f>
        <v>21793.757142857135</v>
      </c>
      <c r="J123" s="14">
        <f>+I123*0.9</f>
        <v>19614.381428571422</v>
      </c>
      <c r="K123" s="40"/>
      <c r="L123" s="14">
        <f>+IF(ISERROR(N123/G123),"",(N123/G123))</f>
        <v>14792.142857142855</v>
      </c>
      <c r="M123" s="14">
        <f>+IF(ISERROR(N123/G123),"",(N123/G123))</f>
        <v>14792.142857142855</v>
      </c>
      <c r="N123" s="16">
        <v>14792.142857142855</v>
      </c>
      <c r="O123" s="15"/>
      <c r="P123" s="14">
        <f>+IF(ISERROR(N123/(1-O123)),"",(N123/(1-O123)))</f>
        <v>14792.142857142855</v>
      </c>
      <c r="Q123" s="15"/>
      <c r="R123" s="14">
        <f>+IF(ISERROR(P123/(1-Q123)),"",(P123/(1-Q123)))</f>
        <v>14792.142857142855</v>
      </c>
      <c r="S123" s="14">
        <f>+IF(ISERROR(R123/G123),"",(R123/G123))</f>
        <v>14792.142857142855</v>
      </c>
      <c r="T123" s="13"/>
      <c r="U123"/>
      <c r="V123" s="11">
        <v>14792.14</v>
      </c>
      <c r="W123" s="15">
        <f>+IF(ISERROR(N123/V123-1),"",(N123/V123-1))</f>
        <v>1.931527726650728E-7</v>
      </c>
      <c r="X123" s="14">
        <f>+IF(ISERROR(V123*(1-O123)),"",(V123*(1-O123)))</f>
        <v>14792.14</v>
      </c>
    </row>
    <row r="124" spans="1:24" x14ac:dyDescent="0.3">
      <c r="A124" s="36"/>
      <c r="B124" s="35"/>
      <c r="C124" s="34"/>
      <c r="D124" s="26"/>
      <c r="E124" s="34"/>
      <c r="F124" s="26"/>
      <c r="G124" s="33"/>
      <c r="I124" s="47"/>
      <c r="J124" s="32"/>
      <c r="K124" s="31"/>
      <c r="L124" s="30"/>
      <c r="M124" s="26"/>
      <c r="N124" s="29"/>
      <c r="O124" s="28"/>
      <c r="P124" s="26"/>
      <c r="Q124" s="28"/>
      <c r="R124" s="26"/>
      <c r="S124" s="24"/>
      <c r="T124" s="13"/>
      <c r="U124"/>
      <c r="V124" s="26"/>
      <c r="W124" s="25"/>
      <c r="X124" s="24"/>
    </row>
    <row r="125" spans="1:24" x14ac:dyDescent="0.3">
      <c r="A125" s="23" t="s">
        <v>16</v>
      </c>
      <c r="B125" s="21" t="s">
        <v>15</v>
      </c>
      <c r="C125" s="22">
        <v>100520837</v>
      </c>
      <c r="D125" s="21" t="s">
        <v>17</v>
      </c>
      <c r="E125" s="20">
        <v>7790360980625</v>
      </c>
      <c r="F125" s="19">
        <v>4.8</v>
      </c>
      <c r="G125" s="18">
        <v>12</v>
      </c>
      <c r="H125" s="37"/>
      <c r="I125" s="14">
        <f>+L125*1.55*1.21</f>
        <v>6305.6435714999998</v>
      </c>
      <c r="J125" s="14">
        <f>+I125*0.8</f>
        <v>5044.5148571999998</v>
      </c>
      <c r="K125" s="40"/>
      <c r="L125" s="14">
        <f>+IF(ISERROR(N125/G125),"",(N125/G125))</f>
        <v>3362.1133412423355</v>
      </c>
      <c r="M125" s="14">
        <f>+IF(ISERROR(N125/F125),"",(N125/F125))</f>
        <v>8405.2833531058404</v>
      </c>
      <c r="N125" s="16">
        <v>40345.360094908028</v>
      </c>
      <c r="O125" s="15"/>
      <c r="P125" s="14">
        <f>+IF(ISERROR(N125/(1-O125)),"",(N125/(1-O125)))</f>
        <v>40345.360094908028</v>
      </c>
      <c r="Q125" s="15"/>
      <c r="R125" s="14">
        <f>+IF(ISERROR(P125/(1-Q125)),"",(P125/(1-Q125)))</f>
        <v>40345.360094908028</v>
      </c>
      <c r="S125" s="14">
        <f>+IF(ISERROR(R125/G125),"",(R125/G125))</f>
        <v>3362.1133412423355</v>
      </c>
      <c r="T125" s="13"/>
      <c r="U125" s="12"/>
      <c r="V125" s="11">
        <v>38424.15</v>
      </c>
      <c r="W125" s="15">
        <f>+IF(ISERROR(N125/V125-1),"",(N125/V125-1))</f>
        <v>5.0000067533257697E-2</v>
      </c>
      <c r="X125" s="14">
        <f>+IF(ISERROR(V125*(1-O125)),"",(V125*(1-O125)))</f>
        <v>38424.15</v>
      </c>
    </row>
    <row r="126" spans="1:24" x14ac:dyDescent="0.3">
      <c r="A126" s="23" t="s">
        <v>16</v>
      </c>
      <c r="B126" s="23" t="s">
        <v>15</v>
      </c>
      <c r="C126" s="22">
        <v>100522395</v>
      </c>
      <c r="D126" s="21" t="s">
        <v>14</v>
      </c>
      <c r="E126" s="20">
        <v>7790360985101</v>
      </c>
      <c r="F126" s="19">
        <v>4.8</v>
      </c>
      <c r="G126" s="18">
        <v>12</v>
      </c>
      <c r="H126" s="37"/>
      <c r="I126" s="14">
        <f>+L126*1.55*1.21</f>
        <v>6431.75644293</v>
      </c>
      <c r="J126" s="14">
        <f>+I126*0.8</f>
        <v>5145.405154344</v>
      </c>
      <c r="K126" s="17"/>
      <c r="L126" s="9">
        <f>+IF(ISERROR(N126/G126),"",(N126/G126))</f>
        <v>3429.3556080671824</v>
      </c>
      <c r="M126" s="9">
        <f>+IF(ISERROR(N126/F126),"",(N126/F126))</f>
        <v>8573.3890201679569</v>
      </c>
      <c r="N126" s="16">
        <v>41152.267296806189</v>
      </c>
      <c r="O126" s="15"/>
      <c r="P126" s="14">
        <f>+IF(ISERROR(N126/(1-O126)),"",(N126/(1-O126)))</f>
        <v>41152.267296806189</v>
      </c>
      <c r="Q126" s="15"/>
      <c r="R126" s="14">
        <f>+IF(ISERROR(P126/(1-Q126)),"",(P126/(1-Q126)))</f>
        <v>41152.267296806189</v>
      </c>
      <c r="S126" s="14">
        <f>+IF(ISERROR(R126/G126),"",(R126/G126))</f>
        <v>3429.3556080671824</v>
      </c>
      <c r="T126" s="13"/>
      <c r="U126" s="12"/>
      <c r="V126" s="11">
        <v>39192.639999999999</v>
      </c>
      <c r="W126" s="10">
        <f>+IF(ISERROR(P126/V126-1),"",(P126/V126-1))</f>
        <v>4.9999879998035013E-2</v>
      </c>
      <c r="X126" s="9">
        <f>+IF(ISERROR(V126*(1-O126)),"",(V126*(1-O126)))</f>
        <v>39192.639999999999</v>
      </c>
    </row>
    <row r="127" spans="1:24" x14ac:dyDescent="0.3">
      <c r="A127" s="36"/>
      <c r="B127" s="35"/>
      <c r="C127" s="34"/>
      <c r="D127" s="26"/>
      <c r="E127" s="34"/>
      <c r="F127" s="26"/>
      <c r="G127" s="33"/>
      <c r="I127" s="47"/>
      <c r="J127" s="32"/>
      <c r="K127" s="31"/>
      <c r="L127" s="30"/>
      <c r="M127" s="26"/>
      <c r="N127" s="29"/>
      <c r="O127" s="28"/>
      <c r="P127" s="26"/>
      <c r="Q127" s="28"/>
      <c r="R127" s="26"/>
      <c r="S127" s="24"/>
      <c r="T127" s="13"/>
      <c r="U127"/>
      <c r="V127" s="26"/>
      <c r="W127" s="25"/>
      <c r="X127" s="24"/>
    </row>
    <row r="128" spans="1:24" x14ac:dyDescent="0.3">
      <c r="A128" s="23"/>
      <c r="B128" s="21"/>
      <c r="C128" s="22">
        <v>100520902</v>
      </c>
      <c r="D128" s="21" t="s">
        <v>13</v>
      </c>
      <c r="E128" s="20">
        <v>7790360981042</v>
      </c>
      <c r="F128" s="19">
        <v>9.8000000000000007</v>
      </c>
      <c r="G128" s="18">
        <v>14</v>
      </c>
      <c r="H128" s="37"/>
      <c r="I128" s="14">
        <f>+L128*1.55*1.21</f>
        <v>4611.6799460076654</v>
      </c>
      <c r="J128" s="14">
        <f>+I128*0.8</f>
        <v>3689.3439568061326</v>
      </c>
      <c r="K128" s="40"/>
      <c r="L128" s="14">
        <f>+IF(ISERROR(N128/G128),"",(N128/G128))</f>
        <v>2458.9069293562598</v>
      </c>
      <c r="M128" s="14">
        <f>+IF(ISERROR(N128/F128),"",(N128/F128))</f>
        <v>3512.7241847946561</v>
      </c>
      <c r="N128" s="16">
        <v>34424.697010987635</v>
      </c>
      <c r="O128" s="15"/>
      <c r="P128" s="14">
        <f>+IF(ISERROR(N128/(1-O128)),"",(N128/(1-O128)))</f>
        <v>34424.697010987635</v>
      </c>
      <c r="Q128" s="15"/>
      <c r="R128" s="14">
        <f>+IF(ISERROR(P128/(1-Q128)),"",(P128/(1-Q128)))</f>
        <v>34424.697010987635</v>
      </c>
      <c r="S128" s="14">
        <f>+IF(ISERROR(R128/G128),"",(R128/G128))</f>
        <v>2458.9069293562598</v>
      </c>
      <c r="T128" s="13"/>
      <c r="U128" s="12"/>
      <c r="V128" s="11">
        <v>34424.699999999997</v>
      </c>
      <c r="W128" s="15">
        <f>+IF(ISERROR(N128/V128-1),"",(N128/V128-1))</f>
        <v>-8.6827550038748313E-8</v>
      </c>
      <c r="X128" s="14">
        <f>+IF(ISERROR(V128*(1-O128)),"",(V128*(1-O128)))</f>
        <v>34424.699999999997</v>
      </c>
    </row>
    <row r="129" spans="1:47" x14ac:dyDescent="0.3">
      <c r="A129" s="46"/>
      <c r="B129" s="44"/>
      <c r="C129" s="45">
        <v>100522698</v>
      </c>
      <c r="D129" s="44" t="s">
        <v>12</v>
      </c>
      <c r="E129" s="43">
        <v>7790360986511</v>
      </c>
      <c r="F129" s="42">
        <v>14</v>
      </c>
      <c r="G129" s="41">
        <v>7</v>
      </c>
      <c r="H129" s="37"/>
      <c r="I129" s="14">
        <f>+L129*1.55*1.21</f>
        <v>14499.999564285716</v>
      </c>
      <c r="J129" s="14">
        <f>+I129*0.8</f>
        <v>11599.999651428574</v>
      </c>
      <c r="K129" s="40"/>
      <c r="L129" s="14">
        <f>+IF(ISERROR(N129/G129),"",(N129/G129))</f>
        <v>7731.2714285714292</v>
      </c>
      <c r="M129" s="14">
        <f>+IF(ISERROR(N129/F129),"",(N129/F129))</f>
        <v>3865.6357142857146</v>
      </c>
      <c r="N129" s="39">
        <v>54118.9</v>
      </c>
      <c r="O129" s="38"/>
      <c r="P129" s="14">
        <f>+IF(ISERROR(N129/(1-O129)),"",(N129/(1-O129)))</f>
        <v>54118.9</v>
      </c>
      <c r="Q129" s="15"/>
      <c r="R129" s="14">
        <f>+IF(ISERROR(P129/(1-Q129)),"",(P129/(1-Q129)))</f>
        <v>54118.9</v>
      </c>
      <c r="S129" s="14">
        <f>+IF(ISERROR(R129/G129),"",(R129/G129))</f>
        <v>7731.2714285714292</v>
      </c>
      <c r="T129" s="13"/>
      <c r="U129" s="12"/>
      <c r="V129" s="11">
        <v>54118.9</v>
      </c>
      <c r="W129" s="15">
        <f>+IF(ISERROR(N129/V129-1),"",(N129/V129-1))</f>
        <v>0</v>
      </c>
      <c r="X129" s="14">
        <f>+IF(ISERROR(V129*(1-O129)),"",(V129*(1-O129)))</f>
        <v>54118.9</v>
      </c>
    </row>
    <row r="130" spans="1:47" x14ac:dyDescent="0.3">
      <c r="A130" s="36"/>
      <c r="B130" s="35"/>
      <c r="C130" s="34"/>
      <c r="D130" s="26"/>
      <c r="E130" s="34"/>
      <c r="F130" s="26"/>
      <c r="G130" s="33"/>
      <c r="I130" s="30"/>
      <c r="J130" s="32"/>
      <c r="K130" s="31"/>
      <c r="L130" s="30"/>
      <c r="M130" s="26"/>
      <c r="N130" s="29"/>
      <c r="O130" s="28"/>
      <c r="P130" s="26"/>
      <c r="Q130" s="28"/>
      <c r="R130" s="26"/>
      <c r="S130" s="24"/>
      <c r="T130" s="13"/>
      <c r="U130" s="27"/>
      <c r="V130" s="26"/>
      <c r="W130" s="25"/>
      <c r="X130" s="24"/>
    </row>
    <row r="131" spans="1:47" x14ac:dyDescent="0.3">
      <c r="A131" s="23" t="s">
        <v>7</v>
      </c>
      <c r="B131" s="23" t="s">
        <v>10</v>
      </c>
      <c r="C131" s="22">
        <v>100521457</v>
      </c>
      <c r="D131" s="21" t="s">
        <v>11</v>
      </c>
      <c r="E131" s="20">
        <v>7790360982254</v>
      </c>
      <c r="F131" s="19">
        <v>4.8</v>
      </c>
      <c r="G131" s="18">
        <v>16</v>
      </c>
      <c r="H131" s="37"/>
      <c r="I131" s="14">
        <f>+L131*1.55*1.21</f>
        <v>4593.4648327476571</v>
      </c>
      <c r="J131" s="14">
        <f>+I131*0.8</f>
        <v>3674.7718661981257</v>
      </c>
      <c r="K131" s="17"/>
      <c r="L131" s="14">
        <f>+IF(ISERROR(N131/G131),"",(N131/G131))</f>
        <v>2449.1947921875003</v>
      </c>
      <c r="M131" s="14">
        <f>+IF(ISERROR(N131/F131),"",(N131/F131))</f>
        <v>8163.9826406250013</v>
      </c>
      <c r="N131" s="16">
        <v>39187.116675000005</v>
      </c>
      <c r="O131" s="15"/>
      <c r="P131" s="14">
        <f>+IF(ISERROR(N131/(1-O131)),"",(N131/(1-O131)))</f>
        <v>39187.116675000005</v>
      </c>
      <c r="Q131" s="15"/>
      <c r="R131" s="14">
        <f>+IF(ISERROR(P131/(1-Q131)),"",(P131/(1-Q131)))</f>
        <v>39187.116675000005</v>
      </c>
      <c r="S131" s="14">
        <f>+IF(ISERROR(R131/G131),"",(R131/G131))</f>
        <v>2449.1947921875003</v>
      </c>
      <c r="T131" s="13"/>
      <c r="U131" s="12"/>
      <c r="V131" s="11">
        <v>39187.120000000003</v>
      </c>
      <c r="W131" s="10">
        <f>+IF(ISERROR(N131/V131-1),"",(N131/V131-1))</f>
        <v>-8.4849307580014965E-8</v>
      </c>
      <c r="X131" s="9">
        <f>+IF(ISERROR(V131*(1-O131)),"",(V131*(1-O131)))</f>
        <v>39187.120000000003</v>
      </c>
    </row>
    <row r="132" spans="1:47" x14ac:dyDescent="0.3">
      <c r="A132" s="23" t="s">
        <v>7</v>
      </c>
      <c r="B132" s="23" t="s">
        <v>10</v>
      </c>
      <c r="C132" s="22">
        <v>100521455</v>
      </c>
      <c r="D132" s="21" t="s">
        <v>9</v>
      </c>
      <c r="E132" s="20">
        <v>7790360982247</v>
      </c>
      <c r="F132" s="19">
        <v>4.8</v>
      </c>
      <c r="G132" s="18">
        <v>16</v>
      </c>
      <c r="H132" s="37"/>
      <c r="I132" s="14">
        <f>+L132*1.55*1.21</f>
        <v>4593.4648327476571</v>
      </c>
      <c r="J132" s="14">
        <f>+I132*0.8</f>
        <v>3674.7718661981257</v>
      </c>
      <c r="K132" s="17"/>
      <c r="L132" s="14">
        <f>+IF(ISERROR(N132/G132),"",(N132/G132))</f>
        <v>2449.1947921875003</v>
      </c>
      <c r="M132" s="14">
        <f>+IF(ISERROR(N132/F132),"",(N132/F132))</f>
        <v>8163.9826406250013</v>
      </c>
      <c r="N132" s="16">
        <v>39187.116675000005</v>
      </c>
      <c r="O132" s="15"/>
      <c r="P132" s="14">
        <f>+IF(ISERROR(N132/(1-O132)),"",(N132/(1-O132)))</f>
        <v>39187.116675000005</v>
      </c>
      <c r="Q132" s="15"/>
      <c r="R132" s="14">
        <f>+IF(ISERROR(P132/(1-Q132)),"",(P132/(1-Q132)))</f>
        <v>39187.116675000005</v>
      </c>
      <c r="S132" s="14">
        <f>+IF(ISERROR(R132/G132),"",(R132/G132))</f>
        <v>2449.1947921875003</v>
      </c>
      <c r="T132" s="13"/>
      <c r="U132" s="12"/>
      <c r="V132" s="11">
        <v>39187.120000000003</v>
      </c>
      <c r="W132" s="10">
        <f>+IF(ISERROR(N132/V132-1),"",(N132/V132-1))</f>
        <v>-8.4849307580014965E-8</v>
      </c>
      <c r="X132" s="9">
        <f>+IF(ISERROR(V132*(1-O132)),"",(V132*(1-O132)))</f>
        <v>39187.120000000003</v>
      </c>
    </row>
    <row r="133" spans="1:47" x14ac:dyDescent="0.3">
      <c r="A133" s="23" t="s">
        <v>7</v>
      </c>
      <c r="B133" s="23" t="s">
        <v>6</v>
      </c>
      <c r="C133" s="22">
        <v>100521453</v>
      </c>
      <c r="D133" s="21" t="s">
        <v>8</v>
      </c>
      <c r="E133" s="20">
        <v>7790360982223</v>
      </c>
      <c r="F133" s="19">
        <v>5.4</v>
      </c>
      <c r="G133" s="18">
        <v>18</v>
      </c>
      <c r="H133" s="37"/>
      <c r="I133" s="14">
        <f>+L133*1.55*1.21</f>
        <v>3943.7103210312512</v>
      </c>
      <c r="J133" s="14">
        <f>+I133*0.8</f>
        <v>3154.9682568250009</v>
      </c>
      <c r="K133" s="17"/>
      <c r="L133" s="14">
        <f>+IF(ISERROR(N133/G133),"",(N133/G133))</f>
        <v>2102.7514375000005</v>
      </c>
      <c r="M133" s="14">
        <f>+IF(ISERROR(N133/F133),"",(N133/F133))</f>
        <v>7009.1714583333342</v>
      </c>
      <c r="N133" s="16">
        <v>37849.525875000007</v>
      </c>
      <c r="O133" s="15"/>
      <c r="P133" s="14">
        <f>+IF(ISERROR(N133/(1-O133)),"",(N133/(1-O133)))</f>
        <v>37849.525875000007</v>
      </c>
      <c r="Q133" s="15"/>
      <c r="R133" s="14">
        <f>+IF(ISERROR(P133/(1-Q133)),"",(P133/(1-Q133)))</f>
        <v>37849.525875000007</v>
      </c>
      <c r="S133" s="14">
        <f>+IF(ISERROR(R133/G133),"",(R133/G133))</f>
        <v>2102.7514375000005</v>
      </c>
      <c r="T133" s="13"/>
      <c r="U133" s="12"/>
      <c r="V133" s="11">
        <v>37849.53</v>
      </c>
      <c r="W133" s="10">
        <f>+IF(ISERROR(N133/V133-1),"",(N133/V133-1))</f>
        <v>-1.0898418001392685E-7</v>
      </c>
      <c r="X133" s="9">
        <f>+IF(ISERROR(V133*(1-O133)),"",(V133*(1-O133)))</f>
        <v>37849.53</v>
      </c>
    </row>
    <row r="134" spans="1:47" x14ac:dyDescent="0.3">
      <c r="A134" s="23" t="s">
        <v>7</v>
      </c>
      <c r="B134" s="23" t="s">
        <v>6</v>
      </c>
      <c r="C134" s="22">
        <v>100521454</v>
      </c>
      <c r="D134" s="21" t="s">
        <v>5</v>
      </c>
      <c r="E134" s="20">
        <v>7790360982230</v>
      </c>
      <c r="F134" s="19">
        <v>5.3999999999999995</v>
      </c>
      <c r="G134" s="18">
        <v>18</v>
      </c>
      <c r="H134" s="37"/>
      <c r="I134" s="14">
        <f>+L134*1.55*1.21</f>
        <v>3943.7103210312512</v>
      </c>
      <c r="J134" s="14">
        <f>+I134*0.8</f>
        <v>3154.9682568250009</v>
      </c>
      <c r="K134" s="17"/>
      <c r="L134" s="14">
        <f>+IF(ISERROR(N134/G134),"",(N134/G134))</f>
        <v>2102.7514375000005</v>
      </c>
      <c r="M134" s="14">
        <f>+IF(ISERROR(N134/F134),"",(N134/F134))</f>
        <v>7009.1714583333351</v>
      </c>
      <c r="N134" s="16">
        <v>37849.525875000007</v>
      </c>
      <c r="O134" s="15"/>
      <c r="P134" s="14">
        <f>+IF(ISERROR(N134/(1-O134)),"",(N134/(1-O134)))</f>
        <v>37849.525875000007</v>
      </c>
      <c r="Q134" s="15"/>
      <c r="R134" s="14">
        <f>+IF(ISERROR(P134/(1-Q134)),"",(P134/(1-Q134)))</f>
        <v>37849.525875000007</v>
      </c>
      <c r="S134" s="14">
        <f>+IF(ISERROR(R134/G134),"",(R134/G134))</f>
        <v>2102.7514375000005</v>
      </c>
      <c r="T134" s="13"/>
      <c r="U134" s="12"/>
      <c r="V134" s="11">
        <v>37849.53</v>
      </c>
      <c r="W134" s="10">
        <f>+IF(ISERROR(N134/V134-1),"",(N134/V134-1))</f>
        <v>-1.0898418001392685E-7</v>
      </c>
      <c r="X134" s="9">
        <f>+IF(ISERROR(V134*(1-O134)),"",(V134*(1-O134)))</f>
        <v>37849.53</v>
      </c>
    </row>
    <row r="135" spans="1:47" x14ac:dyDescent="0.3">
      <c r="A135" s="36"/>
      <c r="B135" s="35"/>
      <c r="C135" s="34"/>
      <c r="D135" s="26"/>
      <c r="E135" s="34"/>
      <c r="F135" s="26"/>
      <c r="G135" s="33"/>
      <c r="I135" s="30"/>
      <c r="J135" s="32"/>
      <c r="K135" s="31"/>
      <c r="L135" s="30"/>
      <c r="M135" s="26"/>
      <c r="N135" s="29"/>
      <c r="O135" s="28"/>
      <c r="P135" s="26"/>
      <c r="Q135" s="28"/>
      <c r="R135" s="26"/>
      <c r="S135" s="24"/>
      <c r="T135" s="13"/>
      <c r="U135" s="27"/>
      <c r="V135" s="26"/>
      <c r="W135" s="25"/>
      <c r="X135" s="24"/>
    </row>
    <row r="136" spans="1:47" x14ac:dyDescent="0.3">
      <c r="A136" s="23" t="s">
        <v>2</v>
      </c>
      <c r="B136" s="21" t="s">
        <v>4</v>
      </c>
      <c r="C136" s="22">
        <v>100522246</v>
      </c>
      <c r="D136" s="21" t="s">
        <v>3</v>
      </c>
      <c r="E136" s="20">
        <v>7790360984234</v>
      </c>
      <c r="F136" s="19">
        <v>8.16</v>
      </c>
      <c r="G136" s="18">
        <v>48</v>
      </c>
      <c r="I136" s="14">
        <f>+L136*1.55*1.21</f>
        <v>3486.6696428571431</v>
      </c>
      <c r="J136" s="14">
        <f>+I136*0.8</f>
        <v>2789.3357142857149</v>
      </c>
      <c r="K136" s="17"/>
      <c r="L136" s="14">
        <f>+IF(ISERROR(N136/G136),"",(N136/G136))</f>
        <v>1859.0613931523023</v>
      </c>
      <c r="M136" s="14">
        <f>+IF(ISERROR(N136/F136),"",(N136/F136))</f>
        <v>10935.655253837072</v>
      </c>
      <c r="N136" s="16">
        <v>89234.946871310516</v>
      </c>
      <c r="O136" s="15"/>
      <c r="P136" s="14">
        <f>+IF(ISERROR(N136/(1-O136)),"",(N136/(1-O136)))</f>
        <v>89234.946871310516</v>
      </c>
      <c r="Q136" s="15"/>
      <c r="R136" s="14">
        <f>+IF(ISERROR(P136/(1-Q136)),"",(P136/(1-Q136)))</f>
        <v>89234.946871310516</v>
      </c>
      <c r="S136" s="14">
        <f>+IF(ISERROR(R136/G136),"",(R136/G136))</f>
        <v>1859.0613931523023</v>
      </c>
      <c r="T136" s="13"/>
      <c r="U136" s="12"/>
      <c r="V136" s="11">
        <v>89234.95</v>
      </c>
      <c r="W136" s="10">
        <f>+IF(ISERROR(N136/V136-1),"",(N136/V136-1))</f>
        <v>-3.5061256564716814E-8</v>
      </c>
      <c r="X136" s="9">
        <f>+IF(ISERROR(V136*(1-O136)),"",(V136*(1-O136)))</f>
        <v>89234.95</v>
      </c>
    </row>
    <row r="137" spans="1:47" x14ac:dyDescent="0.3">
      <c r="A137" s="23" t="s">
        <v>2</v>
      </c>
      <c r="B137" s="21" t="s">
        <v>1</v>
      </c>
      <c r="C137" s="22">
        <v>100522247</v>
      </c>
      <c r="D137" s="21" t="s">
        <v>0</v>
      </c>
      <c r="E137" s="20">
        <v>7790360984241</v>
      </c>
      <c r="F137" s="19">
        <v>8.16</v>
      </c>
      <c r="G137" s="18">
        <v>48</v>
      </c>
      <c r="I137" s="14">
        <f>+L137*1.55*1.21</f>
        <v>3486.6696428571431</v>
      </c>
      <c r="J137" s="14">
        <f>+I137*0.8</f>
        <v>2789.3357142857149</v>
      </c>
      <c r="K137" s="17"/>
      <c r="L137" s="14">
        <f>+IF(ISERROR(N137/G137),"",(N137/G137))</f>
        <v>1859.0613931523023</v>
      </c>
      <c r="M137" s="14">
        <f>+IF(ISERROR(N137/F137),"",(N137/F137))</f>
        <v>10935.655253837072</v>
      </c>
      <c r="N137" s="16">
        <v>89234.946871310516</v>
      </c>
      <c r="O137" s="15"/>
      <c r="P137" s="14">
        <f>+IF(ISERROR(N137/(1-O137)),"",(N137/(1-O137)))</f>
        <v>89234.946871310516</v>
      </c>
      <c r="Q137" s="15"/>
      <c r="R137" s="14">
        <f>+IF(ISERROR(P137/(1-Q137)),"",(P137/(1-Q137)))</f>
        <v>89234.946871310516</v>
      </c>
      <c r="S137" s="14">
        <f>+IF(ISERROR(R137/G137),"",(R137/G137))</f>
        <v>1859.0613931523023</v>
      </c>
      <c r="T137" s="13"/>
      <c r="U137" s="12"/>
      <c r="V137" s="11">
        <v>89234.95</v>
      </c>
      <c r="W137" s="10">
        <f>+IF(ISERROR(N137/V137-1),"",(N137/V137-1))</f>
        <v>-3.5061256564716814E-8</v>
      </c>
      <c r="X137" s="9">
        <f>+IF(ISERROR(V137*(1-O137)),"",(V137*(1-O137)))</f>
        <v>89234.95</v>
      </c>
    </row>
    <row r="138" spans="1:47" x14ac:dyDescent="0.3">
      <c r="N138" s="3"/>
    </row>
    <row r="139" spans="1:47" x14ac:dyDescent="0.3">
      <c r="N139" s="3"/>
    </row>
    <row r="140" spans="1:47" x14ac:dyDescent="0.3">
      <c r="N140" s="3"/>
    </row>
    <row r="141" spans="1:47" s="3" customFormat="1" x14ac:dyDescent="0.3">
      <c r="A141" s="8"/>
      <c r="B141" s="8"/>
      <c r="C141" s="7"/>
      <c r="D141" s="1"/>
      <c r="E141" s="7"/>
      <c r="F141" s="1"/>
      <c r="G141" s="1"/>
      <c r="H141" s="1"/>
      <c r="I141" s="1"/>
      <c r="J141" s="6"/>
      <c r="K141" s="5"/>
      <c r="L141" s="1"/>
      <c r="M141" s="1"/>
      <c r="P141" s="1"/>
      <c r="R141" s="1"/>
      <c r="S141" s="1"/>
      <c r="T141" s="1"/>
      <c r="U141" s="1"/>
      <c r="V141" s="1"/>
      <c r="W141" s="2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s="3" customFormat="1" x14ac:dyDescent="0.3">
      <c r="A142" s="8"/>
      <c r="B142" s="8"/>
      <c r="C142" s="7"/>
      <c r="D142" s="1"/>
      <c r="E142" s="7"/>
      <c r="F142" s="1"/>
      <c r="G142" s="1"/>
      <c r="H142" s="1"/>
      <c r="I142" s="1"/>
      <c r="J142" s="6"/>
      <c r="K142" s="5"/>
      <c r="L142" s="1"/>
      <c r="M142" s="1"/>
      <c r="P142" s="1"/>
      <c r="R142" s="1"/>
      <c r="S142" s="1"/>
      <c r="T142" s="1"/>
      <c r="U142" s="1"/>
      <c r="V142" s="1"/>
      <c r="W142" s="2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s="3" customFormat="1" x14ac:dyDescent="0.3">
      <c r="A143" s="8"/>
      <c r="B143" s="8"/>
      <c r="C143" s="7"/>
      <c r="D143" s="1"/>
      <c r="E143" s="7"/>
      <c r="F143" s="1"/>
      <c r="G143" s="1"/>
      <c r="H143" s="1"/>
      <c r="I143" s="1"/>
      <c r="J143" s="6"/>
      <c r="K143" s="5"/>
      <c r="L143" s="1"/>
      <c r="M143" s="1"/>
      <c r="P143" s="1"/>
      <c r="R143" s="1"/>
      <c r="S143" s="1"/>
      <c r="T143" s="1"/>
      <c r="U143" s="1"/>
      <c r="V143" s="1"/>
      <c r="W143" s="2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s="3" customFormat="1" x14ac:dyDescent="0.3">
      <c r="A144" s="8"/>
      <c r="B144" s="8"/>
      <c r="C144" s="7"/>
      <c r="D144" s="1"/>
      <c r="E144" s="7"/>
      <c r="F144" s="1"/>
      <c r="G144" s="1"/>
      <c r="H144" s="1"/>
      <c r="I144" s="1"/>
      <c r="J144" s="6"/>
      <c r="K144" s="5"/>
      <c r="L144" s="1"/>
      <c r="M144" s="1"/>
      <c r="P144" s="1"/>
      <c r="R144" s="1"/>
      <c r="S144" s="1"/>
      <c r="T144" s="1"/>
      <c r="U144" s="1"/>
      <c r="V144" s="1"/>
      <c r="W144" s="2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s="3" customFormat="1" x14ac:dyDescent="0.3">
      <c r="A145" s="8"/>
      <c r="B145" s="8"/>
      <c r="C145" s="7"/>
      <c r="D145" s="1"/>
      <c r="E145" s="7"/>
      <c r="F145" s="1"/>
      <c r="G145" s="1"/>
      <c r="H145" s="1"/>
      <c r="I145" s="1"/>
      <c r="J145" s="6"/>
      <c r="K145" s="5"/>
      <c r="L145" s="1"/>
      <c r="M145" s="1"/>
      <c r="P145" s="1"/>
      <c r="R145" s="1"/>
      <c r="S145" s="1"/>
      <c r="T145" s="1"/>
      <c r="U145" s="1"/>
      <c r="V145" s="1"/>
      <c r="W145" s="2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s="3" customFormat="1" x14ac:dyDescent="0.3">
      <c r="A146" s="8"/>
      <c r="B146" s="8"/>
      <c r="C146" s="7"/>
      <c r="D146" s="1"/>
      <c r="E146" s="7"/>
      <c r="F146" s="1"/>
      <c r="G146" s="1"/>
      <c r="H146" s="1"/>
      <c r="I146" s="1"/>
      <c r="J146" s="6"/>
      <c r="K146" s="5"/>
      <c r="L146" s="1"/>
      <c r="M146" s="1"/>
      <c r="P146" s="1"/>
      <c r="R146" s="1"/>
      <c r="S146" s="1"/>
      <c r="T146" s="1"/>
      <c r="U146" s="1"/>
      <c r="V146" s="1"/>
      <c r="W146" s="2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s="3" customFormat="1" x14ac:dyDescent="0.3">
      <c r="A147" s="8"/>
      <c r="B147" s="8"/>
      <c r="C147" s="7"/>
      <c r="D147" s="1"/>
      <c r="E147" s="7"/>
      <c r="F147" s="1"/>
      <c r="G147" s="1"/>
      <c r="H147" s="1"/>
      <c r="I147" s="1"/>
      <c r="J147" s="6"/>
      <c r="K147" s="5"/>
      <c r="L147" s="1"/>
      <c r="M147" s="1"/>
      <c r="P147" s="1"/>
      <c r="R147" s="1"/>
      <c r="S147" s="1"/>
      <c r="T147" s="1"/>
      <c r="U147" s="1"/>
      <c r="V147" s="1"/>
      <c r="W147" s="2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s="3" customFormat="1" x14ac:dyDescent="0.3">
      <c r="A148" s="8"/>
      <c r="B148" s="8"/>
      <c r="C148" s="7"/>
      <c r="D148" s="1"/>
      <c r="E148" s="7"/>
      <c r="F148" s="1"/>
      <c r="G148" s="1"/>
      <c r="H148" s="1"/>
      <c r="I148" s="1"/>
      <c r="J148" s="6"/>
      <c r="K148" s="5"/>
      <c r="L148" s="1"/>
      <c r="M148" s="1"/>
      <c r="P148" s="1"/>
      <c r="R148" s="1"/>
      <c r="S148" s="1"/>
      <c r="T148" s="1"/>
      <c r="U148" s="1"/>
      <c r="V148" s="1"/>
      <c r="W148" s="2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s="3" customFormat="1" x14ac:dyDescent="0.3">
      <c r="A149" s="8"/>
      <c r="B149" s="8"/>
      <c r="C149" s="7"/>
      <c r="D149" s="1"/>
      <c r="E149" s="7"/>
      <c r="F149" s="1"/>
      <c r="G149" s="1"/>
      <c r="H149" s="1"/>
      <c r="I149" s="1"/>
      <c r="J149" s="6"/>
      <c r="K149" s="5"/>
      <c r="L149" s="1"/>
      <c r="M149" s="1"/>
      <c r="P149" s="1"/>
      <c r="R149" s="1"/>
      <c r="S149" s="1"/>
      <c r="T149" s="1"/>
      <c r="U149" s="1"/>
      <c r="V149" s="1"/>
      <c r="W149" s="2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s="3" customFormat="1" x14ac:dyDescent="0.3">
      <c r="A150" s="8"/>
      <c r="B150" s="8"/>
      <c r="C150" s="7"/>
      <c r="D150" s="1"/>
      <c r="E150" s="7"/>
      <c r="F150" s="1"/>
      <c r="G150" s="1"/>
      <c r="H150" s="1"/>
      <c r="I150" s="1"/>
      <c r="J150" s="6"/>
      <c r="K150" s="5"/>
      <c r="L150" s="1"/>
      <c r="M150" s="1"/>
      <c r="P150" s="1"/>
      <c r="R150" s="1"/>
      <c r="S150" s="1"/>
      <c r="T150" s="1"/>
      <c r="U150" s="1"/>
      <c r="V150" s="1"/>
      <c r="W150" s="2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s="3" customFormat="1" x14ac:dyDescent="0.3">
      <c r="A151" s="8"/>
      <c r="B151" s="8"/>
      <c r="C151" s="7"/>
      <c r="D151" s="1"/>
      <c r="E151" s="7"/>
      <c r="F151" s="1"/>
      <c r="G151" s="1"/>
      <c r="H151" s="1"/>
      <c r="I151" s="1"/>
      <c r="J151" s="6"/>
      <c r="K151" s="5"/>
      <c r="L151" s="1"/>
      <c r="M151" s="1"/>
      <c r="P151" s="1"/>
      <c r="R151" s="1"/>
      <c r="S151" s="1"/>
      <c r="T151" s="1"/>
      <c r="U151" s="1"/>
      <c r="V151" s="1"/>
      <c r="W151" s="2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s="3" customFormat="1" x14ac:dyDescent="0.3">
      <c r="A152" s="8"/>
      <c r="B152" s="8"/>
      <c r="C152" s="7"/>
      <c r="D152" s="1"/>
      <c r="E152" s="7"/>
      <c r="F152" s="1"/>
      <c r="G152" s="1"/>
      <c r="H152" s="1"/>
      <c r="I152" s="1"/>
      <c r="J152" s="6"/>
      <c r="K152" s="5"/>
      <c r="L152" s="1"/>
      <c r="M152" s="1"/>
      <c r="P152" s="1"/>
      <c r="R152" s="1"/>
      <c r="S152" s="1"/>
      <c r="T152" s="1"/>
      <c r="U152" s="1"/>
      <c r="V152" s="1"/>
      <c r="W152" s="2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s="3" customFormat="1" x14ac:dyDescent="0.3">
      <c r="A153" s="8"/>
      <c r="B153" s="8"/>
      <c r="C153" s="7"/>
      <c r="D153" s="1"/>
      <c r="E153" s="7"/>
      <c r="F153" s="1"/>
      <c r="G153" s="1"/>
      <c r="H153" s="1"/>
      <c r="I153" s="1"/>
      <c r="J153" s="6"/>
      <c r="K153" s="5"/>
      <c r="L153" s="1"/>
      <c r="M153" s="1"/>
      <c r="P153" s="1"/>
      <c r="R153" s="1"/>
      <c r="S153" s="1"/>
      <c r="T153" s="1"/>
      <c r="U153" s="1"/>
      <c r="V153" s="1"/>
      <c r="W153" s="2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s="3" customFormat="1" x14ac:dyDescent="0.3">
      <c r="A154" s="8"/>
      <c r="B154" s="8"/>
      <c r="C154" s="7"/>
      <c r="D154" s="1"/>
      <c r="E154" s="7"/>
      <c r="F154" s="1"/>
      <c r="G154" s="1"/>
      <c r="H154" s="1"/>
      <c r="I154" s="1"/>
      <c r="J154" s="6"/>
      <c r="K154" s="5"/>
      <c r="L154" s="1"/>
      <c r="M154" s="1"/>
      <c r="P154" s="1"/>
      <c r="R154" s="1"/>
      <c r="S154" s="1"/>
      <c r="T154" s="1"/>
      <c r="U154" s="1"/>
      <c r="V154" s="1"/>
      <c r="W154" s="2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s="3" customFormat="1" x14ac:dyDescent="0.3">
      <c r="A155" s="8"/>
      <c r="B155" s="8"/>
      <c r="C155" s="7"/>
      <c r="D155" s="1"/>
      <c r="E155" s="7"/>
      <c r="F155" s="1"/>
      <c r="G155" s="1"/>
      <c r="H155" s="1"/>
      <c r="I155" s="1"/>
      <c r="J155" s="6"/>
      <c r="K155" s="5"/>
      <c r="L155" s="1"/>
      <c r="M155" s="1"/>
      <c r="P155" s="1"/>
      <c r="R155" s="1"/>
      <c r="S155" s="1"/>
      <c r="T155" s="1"/>
      <c r="U155" s="1"/>
      <c r="V155" s="1"/>
      <c r="W155" s="2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s="3" customFormat="1" x14ac:dyDescent="0.3">
      <c r="A156" s="8"/>
      <c r="B156" s="8"/>
      <c r="C156" s="7"/>
      <c r="D156" s="1"/>
      <c r="E156" s="7"/>
      <c r="F156" s="1"/>
      <c r="G156" s="1"/>
      <c r="H156" s="1"/>
      <c r="I156" s="1"/>
      <c r="J156" s="6"/>
      <c r="K156" s="5"/>
      <c r="L156" s="1"/>
      <c r="M156" s="1"/>
      <c r="P156" s="1"/>
      <c r="R156" s="1"/>
      <c r="S156" s="1"/>
      <c r="T156" s="1"/>
      <c r="U156" s="1"/>
      <c r="V156" s="1"/>
      <c r="W156" s="2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s="3" customFormat="1" x14ac:dyDescent="0.3">
      <c r="A157" s="8"/>
      <c r="B157" s="8"/>
      <c r="C157" s="7"/>
      <c r="D157" s="1"/>
      <c r="E157" s="7"/>
      <c r="F157" s="1"/>
      <c r="G157" s="1"/>
      <c r="H157" s="1"/>
      <c r="I157" s="1"/>
      <c r="J157" s="6"/>
      <c r="K157" s="5"/>
      <c r="L157" s="1"/>
      <c r="M157" s="1"/>
      <c r="P157" s="1"/>
      <c r="R157" s="1"/>
      <c r="S157" s="1"/>
      <c r="T157" s="1"/>
      <c r="U157" s="1"/>
      <c r="V157" s="1"/>
      <c r="W157" s="2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s="3" customFormat="1" x14ac:dyDescent="0.3">
      <c r="A158" s="8"/>
      <c r="B158" s="8"/>
      <c r="C158" s="7"/>
      <c r="D158" s="1"/>
      <c r="E158" s="7"/>
      <c r="F158" s="1"/>
      <c r="G158" s="1"/>
      <c r="H158" s="1"/>
      <c r="I158" s="1"/>
      <c r="J158" s="6"/>
      <c r="K158" s="5"/>
      <c r="L158" s="1"/>
      <c r="M158" s="1"/>
      <c r="P158" s="1"/>
      <c r="R158" s="1"/>
      <c r="S158" s="1"/>
      <c r="T158" s="1"/>
      <c r="U158" s="1"/>
      <c r="V158" s="1"/>
      <c r="W158" s="2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s="3" customFormat="1" x14ac:dyDescent="0.3">
      <c r="A159" s="8"/>
      <c r="B159" s="8"/>
      <c r="C159" s="7"/>
      <c r="D159" s="1"/>
      <c r="E159" s="7"/>
      <c r="F159" s="1"/>
      <c r="G159" s="1"/>
      <c r="H159" s="1"/>
      <c r="I159" s="1"/>
      <c r="J159" s="6"/>
      <c r="K159" s="5"/>
      <c r="L159" s="1"/>
      <c r="M159" s="1"/>
      <c r="P159" s="1"/>
      <c r="R159" s="1"/>
      <c r="S159" s="1"/>
      <c r="T159" s="1"/>
      <c r="U159" s="1"/>
      <c r="V159" s="1"/>
      <c r="W159" s="2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s="3" customFormat="1" x14ac:dyDescent="0.3">
      <c r="A160" s="8"/>
      <c r="B160" s="8"/>
      <c r="C160" s="7"/>
      <c r="D160" s="1"/>
      <c r="E160" s="7"/>
      <c r="F160" s="1"/>
      <c r="G160" s="1"/>
      <c r="H160" s="1"/>
      <c r="I160" s="1"/>
      <c r="J160" s="6"/>
      <c r="K160" s="5"/>
      <c r="L160" s="1"/>
      <c r="M160" s="1"/>
      <c r="P160" s="1"/>
      <c r="R160" s="1"/>
      <c r="S160" s="1"/>
      <c r="T160" s="1"/>
      <c r="U160" s="1"/>
      <c r="V160" s="1"/>
      <c r="W160" s="2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s="3" customFormat="1" x14ac:dyDescent="0.3">
      <c r="A161" s="8"/>
      <c r="B161" s="8"/>
      <c r="C161" s="7"/>
      <c r="D161" s="1"/>
      <c r="E161" s="7"/>
      <c r="F161" s="1"/>
      <c r="G161" s="1"/>
      <c r="H161" s="1"/>
      <c r="I161" s="1"/>
      <c r="J161" s="6"/>
      <c r="K161" s="5"/>
      <c r="L161" s="1"/>
      <c r="M161" s="1"/>
      <c r="P161" s="1"/>
      <c r="R161" s="1"/>
      <c r="S161" s="1"/>
      <c r="T161" s="1"/>
      <c r="U161" s="1"/>
      <c r="V161" s="1"/>
      <c r="W161" s="2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s="3" customFormat="1" x14ac:dyDescent="0.3">
      <c r="A162" s="8"/>
      <c r="B162" s="8"/>
      <c r="C162" s="7"/>
      <c r="D162" s="1"/>
      <c r="E162" s="7"/>
      <c r="F162" s="1"/>
      <c r="G162" s="1"/>
      <c r="H162" s="1"/>
      <c r="I162" s="1"/>
      <c r="J162" s="6"/>
      <c r="K162" s="5"/>
      <c r="L162" s="1"/>
      <c r="M162" s="1"/>
      <c r="P162" s="1"/>
      <c r="R162" s="1"/>
      <c r="S162" s="1"/>
      <c r="T162" s="1"/>
      <c r="U162" s="1"/>
      <c r="V162" s="1"/>
      <c r="W162" s="2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s="3" customFormat="1" x14ac:dyDescent="0.3">
      <c r="A163" s="8"/>
      <c r="B163" s="8"/>
      <c r="C163" s="7"/>
      <c r="D163" s="1"/>
      <c r="E163" s="7"/>
      <c r="F163" s="1"/>
      <c r="G163" s="1"/>
      <c r="H163" s="1"/>
      <c r="I163" s="1"/>
      <c r="J163" s="6"/>
      <c r="K163" s="5"/>
      <c r="L163" s="1"/>
      <c r="M163" s="1"/>
      <c r="P163" s="1"/>
      <c r="R163" s="1"/>
      <c r="S163" s="1"/>
      <c r="T163" s="1"/>
      <c r="U163" s="1"/>
      <c r="V163" s="1"/>
      <c r="W163" s="2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s="3" customFormat="1" x14ac:dyDescent="0.3">
      <c r="A164" s="8"/>
      <c r="B164" s="8"/>
      <c r="C164" s="7"/>
      <c r="D164" s="1"/>
      <c r="E164" s="7"/>
      <c r="F164" s="1"/>
      <c r="G164" s="1"/>
      <c r="H164" s="1"/>
      <c r="I164" s="1"/>
      <c r="J164" s="6"/>
      <c r="K164" s="5"/>
      <c r="L164" s="1"/>
      <c r="M164" s="1"/>
      <c r="P164" s="1"/>
      <c r="R164" s="1"/>
      <c r="S164" s="1"/>
      <c r="T164" s="1"/>
      <c r="U164" s="1"/>
      <c r="V164" s="1"/>
      <c r="W164" s="2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s="3" customFormat="1" x14ac:dyDescent="0.3">
      <c r="A165" s="8"/>
      <c r="B165" s="8"/>
      <c r="C165" s="7"/>
      <c r="D165" s="1"/>
      <c r="E165" s="7"/>
      <c r="F165" s="1"/>
      <c r="G165" s="1"/>
      <c r="H165" s="1"/>
      <c r="I165" s="1"/>
      <c r="J165" s="6"/>
      <c r="K165" s="5"/>
      <c r="L165" s="1"/>
      <c r="M165" s="1"/>
      <c r="P165" s="1"/>
      <c r="R165" s="1"/>
      <c r="S165" s="1"/>
      <c r="T165" s="1"/>
      <c r="U165" s="1"/>
      <c r="V165" s="1"/>
      <c r="W165" s="2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s="3" customFormat="1" x14ac:dyDescent="0.3">
      <c r="A166" s="8"/>
      <c r="B166" s="8"/>
      <c r="C166" s="7"/>
      <c r="D166" s="1"/>
      <c r="E166" s="7"/>
      <c r="F166" s="1"/>
      <c r="G166" s="1"/>
      <c r="H166" s="1"/>
      <c r="I166" s="1"/>
      <c r="J166" s="6"/>
      <c r="K166" s="5"/>
      <c r="L166" s="1"/>
      <c r="M166" s="1"/>
      <c r="P166" s="1"/>
      <c r="R166" s="1"/>
      <c r="S166" s="1"/>
      <c r="T166" s="1"/>
      <c r="U166" s="1"/>
      <c r="V166" s="1"/>
      <c r="W166" s="2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s="3" customFormat="1" x14ac:dyDescent="0.3">
      <c r="A167" s="8"/>
      <c r="B167" s="8"/>
      <c r="C167" s="7"/>
      <c r="D167" s="1"/>
      <c r="E167" s="7"/>
      <c r="F167" s="1"/>
      <c r="G167" s="1"/>
      <c r="H167" s="1"/>
      <c r="I167" s="1"/>
      <c r="J167" s="6"/>
      <c r="K167" s="5"/>
      <c r="L167" s="1"/>
      <c r="M167" s="1"/>
      <c r="P167" s="1"/>
      <c r="R167" s="1"/>
      <c r="S167" s="1"/>
      <c r="T167" s="1"/>
      <c r="U167" s="1"/>
      <c r="V167" s="1"/>
      <c r="W167" s="2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s="3" customFormat="1" x14ac:dyDescent="0.3">
      <c r="A168" s="8"/>
      <c r="B168" s="8"/>
      <c r="C168" s="7"/>
      <c r="D168" s="1"/>
      <c r="E168" s="7"/>
      <c r="F168" s="1"/>
      <c r="G168" s="1"/>
      <c r="H168" s="1"/>
      <c r="I168" s="1"/>
      <c r="J168" s="6"/>
      <c r="K168" s="5"/>
      <c r="L168" s="1"/>
      <c r="M168" s="1"/>
      <c r="P168" s="1"/>
      <c r="R168" s="1"/>
      <c r="S168" s="1"/>
      <c r="T168" s="1"/>
      <c r="U168" s="1"/>
      <c r="V168" s="1"/>
      <c r="W168" s="2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s="3" customFormat="1" x14ac:dyDescent="0.3">
      <c r="A169" s="8"/>
      <c r="B169" s="8"/>
      <c r="C169" s="7"/>
      <c r="D169" s="1"/>
      <c r="E169" s="7"/>
      <c r="F169" s="1"/>
      <c r="G169" s="1"/>
      <c r="H169" s="1"/>
      <c r="I169" s="1"/>
      <c r="J169" s="6"/>
      <c r="K169" s="5"/>
      <c r="L169" s="1"/>
      <c r="M169" s="1"/>
      <c r="P169" s="1"/>
      <c r="R169" s="1"/>
      <c r="S169" s="1"/>
      <c r="T169" s="1"/>
      <c r="U169" s="1"/>
      <c r="V169" s="1"/>
      <c r="W169" s="2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s="3" customFormat="1" x14ac:dyDescent="0.3">
      <c r="A170" s="8"/>
      <c r="B170" s="8"/>
      <c r="C170" s="7"/>
      <c r="D170" s="1"/>
      <c r="E170" s="7"/>
      <c r="F170" s="1"/>
      <c r="G170" s="1"/>
      <c r="H170" s="1"/>
      <c r="I170" s="1"/>
      <c r="J170" s="6"/>
      <c r="K170" s="5"/>
      <c r="L170" s="1"/>
      <c r="M170" s="1"/>
      <c r="P170" s="1"/>
      <c r="R170" s="1"/>
      <c r="S170" s="1"/>
      <c r="T170" s="1"/>
      <c r="U170" s="1"/>
      <c r="V170" s="1"/>
      <c r="W170" s="2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s="3" customFormat="1" x14ac:dyDescent="0.3">
      <c r="A171" s="8"/>
      <c r="B171" s="8"/>
      <c r="C171" s="7"/>
      <c r="D171" s="1"/>
      <c r="E171" s="7"/>
      <c r="F171" s="1"/>
      <c r="G171" s="1"/>
      <c r="H171" s="1"/>
      <c r="I171" s="1"/>
      <c r="J171" s="6"/>
      <c r="K171" s="5"/>
      <c r="L171" s="1"/>
      <c r="M171" s="1"/>
      <c r="P171" s="1"/>
      <c r="R171" s="1"/>
      <c r="S171" s="1"/>
      <c r="T171" s="1"/>
      <c r="U171" s="1"/>
      <c r="V171" s="1"/>
      <c r="W171" s="2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s="3" customFormat="1" x14ac:dyDescent="0.3">
      <c r="A172" s="8"/>
      <c r="B172" s="8"/>
      <c r="C172" s="7"/>
      <c r="D172" s="1"/>
      <c r="E172" s="7"/>
      <c r="F172" s="1"/>
      <c r="G172" s="1"/>
      <c r="H172" s="1"/>
      <c r="I172" s="1"/>
      <c r="J172" s="6"/>
      <c r="K172" s="5"/>
      <c r="L172" s="1"/>
      <c r="M172" s="1"/>
      <c r="P172" s="1"/>
      <c r="R172" s="1"/>
      <c r="S172" s="1"/>
      <c r="T172" s="1"/>
      <c r="U172" s="1"/>
      <c r="V172" s="1"/>
      <c r="W172" s="2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s="3" customFormat="1" x14ac:dyDescent="0.3">
      <c r="A173" s="8"/>
      <c r="B173" s="8"/>
      <c r="C173" s="7"/>
      <c r="D173" s="1"/>
      <c r="E173" s="7"/>
      <c r="F173" s="1"/>
      <c r="G173" s="1"/>
      <c r="H173" s="1"/>
      <c r="I173" s="1"/>
      <c r="J173" s="6"/>
      <c r="K173" s="5"/>
      <c r="L173" s="1"/>
      <c r="M173" s="1"/>
      <c r="P173" s="1"/>
      <c r="R173" s="1"/>
      <c r="S173" s="1"/>
      <c r="T173" s="1"/>
      <c r="U173" s="1"/>
      <c r="V173" s="1"/>
      <c r="W173" s="2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s="3" customFormat="1" x14ac:dyDescent="0.3">
      <c r="A174" s="8"/>
      <c r="B174" s="8"/>
      <c r="C174" s="7"/>
      <c r="D174" s="1"/>
      <c r="E174" s="7"/>
      <c r="F174" s="1"/>
      <c r="G174" s="1"/>
      <c r="H174" s="1"/>
      <c r="I174" s="1"/>
      <c r="J174" s="6"/>
      <c r="K174" s="5"/>
      <c r="L174" s="1"/>
      <c r="M174" s="1"/>
      <c r="P174" s="1"/>
      <c r="R174" s="1"/>
      <c r="S174" s="1"/>
      <c r="T174" s="1"/>
      <c r="U174" s="1"/>
      <c r="V174" s="1"/>
      <c r="W174" s="2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s="3" customFormat="1" x14ac:dyDescent="0.3">
      <c r="A175" s="8"/>
      <c r="B175" s="8"/>
      <c r="C175" s="7"/>
      <c r="D175" s="1"/>
      <c r="E175" s="7"/>
      <c r="F175" s="1"/>
      <c r="G175" s="1"/>
      <c r="H175" s="1"/>
      <c r="I175" s="1"/>
      <c r="J175" s="6"/>
      <c r="K175" s="5"/>
      <c r="L175" s="1"/>
      <c r="M175" s="1"/>
      <c r="P175" s="1"/>
      <c r="R175" s="1"/>
      <c r="S175" s="1"/>
      <c r="T175" s="1"/>
      <c r="U175" s="1"/>
      <c r="V175" s="1"/>
      <c r="W175" s="2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s="3" customFormat="1" x14ac:dyDescent="0.3">
      <c r="A176" s="8"/>
      <c r="B176" s="8"/>
      <c r="C176" s="7"/>
      <c r="D176" s="1"/>
      <c r="E176" s="7"/>
      <c r="F176" s="1"/>
      <c r="G176" s="1"/>
      <c r="H176" s="1"/>
      <c r="I176" s="1"/>
      <c r="J176" s="6"/>
      <c r="K176" s="5"/>
      <c r="L176" s="1"/>
      <c r="M176" s="1"/>
      <c r="P176" s="1"/>
      <c r="R176" s="1"/>
      <c r="S176" s="1"/>
      <c r="T176" s="1"/>
      <c r="U176" s="1"/>
      <c r="V176" s="1"/>
      <c r="W176" s="2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s="3" customFormat="1" x14ac:dyDescent="0.3">
      <c r="A177" s="8"/>
      <c r="B177" s="8"/>
      <c r="C177" s="7"/>
      <c r="D177" s="1"/>
      <c r="E177" s="7"/>
      <c r="F177" s="1"/>
      <c r="G177" s="1"/>
      <c r="H177" s="1"/>
      <c r="I177" s="1"/>
      <c r="J177" s="6"/>
      <c r="K177" s="5"/>
      <c r="L177" s="1"/>
      <c r="M177" s="1"/>
      <c r="P177" s="1"/>
      <c r="R177" s="1"/>
      <c r="S177" s="1"/>
      <c r="T177" s="1"/>
      <c r="U177" s="1"/>
      <c r="V177" s="1"/>
      <c r="W177" s="2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s="3" customFormat="1" x14ac:dyDescent="0.3">
      <c r="A178" s="8"/>
      <c r="B178" s="8"/>
      <c r="C178" s="7"/>
      <c r="D178" s="1"/>
      <c r="E178" s="7"/>
      <c r="F178" s="1"/>
      <c r="G178" s="1"/>
      <c r="H178" s="1"/>
      <c r="I178" s="1"/>
      <c r="J178" s="6"/>
      <c r="K178" s="5"/>
      <c r="L178" s="1"/>
      <c r="M178" s="1"/>
      <c r="P178" s="1"/>
      <c r="R178" s="1"/>
      <c r="S178" s="1"/>
      <c r="T178" s="1"/>
      <c r="U178" s="1"/>
      <c r="V178" s="1"/>
      <c r="W178" s="2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s="3" customFormat="1" x14ac:dyDescent="0.3">
      <c r="A179" s="8"/>
      <c r="B179" s="8"/>
      <c r="C179" s="7"/>
      <c r="D179" s="1"/>
      <c r="E179" s="7"/>
      <c r="F179" s="1"/>
      <c r="G179" s="1"/>
      <c r="H179" s="1"/>
      <c r="I179" s="1"/>
      <c r="J179" s="6"/>
      <c r="K179" s="5"/>
      <c r="L179" s="1"/>
      <c r="M179" s="1"/>
      <c r="P179" s="1"/>
      <c r="R179" s="1"/>
      <c r="S179" s="1"/>
      <c r="T179" s="1"/>
      <c r="U179" s="1"/>
      <c r="V179" s="1"/>
      <c r="W179" s="2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s="3" customFormat="1" x14ac:dyDescent="0.3">
      <c r="A180" s="8"/>
      <c r="B180" s="8"/>
      <c r="C180" s="7"/>
      <c r="D180" s="1"/>
      <c r="E180" s="7"/>
      <c r="F180" s="1"/>
      <c r="G180" s="1"/>
      <c r="H180" s="1"/>
      <c r="I180" s="1"/>
      <c r="J180" s="6"/>
      <c r="K180" s="5"/>
      <c r="L180" s="1"/>
      <c r="M180" s="1"/>
      <c r="P180" s="1"/>
      <c r="R180" s="1"/>
      <c r="S180" s="1"/>
      <c r="T180" s="1"/>
      <c r="U180" s="1"/>
      <c r="V180" s="1"/>
      <c r="W180" s="2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s="3" customFormat="1" x14ac:dyDescent="0.3">
      <c r="A181" s="8"/>
      <c r="B181" s="8"/>
      <c r="C181" s="7"/>
      <c r="D181" s="1"/>
      <c r="E181" s="7"/>
      <c r="F181" s="1"/>
      <c r="G181" s="1"/>
      <c r="H181" s="1"/>
      <c r="I181" s="1"/>
      <c r="J181" s="6"/>
      <c r="K181" s="5"/>
      <c r="L181" s="1"/>
      <c r="M181" s="1"/>
      <c r="P181" s="1"/>
      <c r="R181" s="1"/>
      <c r="S181" s="1"/>
      <c r="T181" s="1"/>
      <c r="U181" s="1"/>
      <c r="V181" s="1"/>
      <c r="W181" s="2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s="3" customFormat="1" x14ac:dyDescent="0.3">
      <c r="A182" s="8"/>
      <c r="B182" s="8"/>
      <c r="C182" s="7"/>
      <c r="D182" s="1"/>
      <c r="E182" s="7"/>
      <c r="F182" s="1"/>
      <c r="G182" s="1"/>
      <c r="H182" s="1"/>
      <c r="I182" s="1"/>
      <c r="J182" s="6"/>
      <c r="K182" s="5"/>
      <c r="L182" s="1"/>
      <c r="M182" s="1"/>
      <c r="P182" s="1"/>
      <c r="R182" s="1"/>
      <c r="S182" s="1"/>
      <c r="T182" s="1"/>
      <c r="U182" s="1"/>
      <c r="V182" s="1"/>
      <c r="W182" s="2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s="3" customFormat="1" x14ac:dyDescent="0.3">
      <c r="A183" s="8"/>
      <c r="B183" s="8"/>
      <c r="C183" s="7"/>
      <c r="D183" s="1"/>
      <c r="E183" s="7"/>
      <c r="F183" s="1"/>
      <c r="G183" s="1"/>
      <c r="H183" s="1"/>
      <c r="I183" s="1"/>
      <c r="J183" s="6"/>
      <c r="K183" s="5"/>
      <c r="L183" s="1"/>
      <c r="M183" s="1"/>
      <c r="P183" s="1"/>
      <c r="R183" s="1"/>
      <c r="S183" s="1"/>
      <c r="T183" s="1"/>
      <c r="U183" s="1"/>
      <c r="V183" s="1"/>
      <c r="W183" s="2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s="3" customFormat="1" x14ac:dyDescent="0.3">
      <c r="A184" s="8"/>
      <c r="B184" s="8"/>
      <c r="C184" s="7"/>
      <c r="D184" s="1"/>
      <c r="E184" s="7"/>
      <c r="F184" s="1"/>
      <c r="G184" s="1"/>
      <c r="H184" s="1"/>
      <c r="I184" s="1"/>
      <c r="J184" s="6"/>
      <c r="K184" s="5"/>
      <c r="L184" s="1"/>
      <c r="M184" s="1"/>
      <c r="P184" s="1"/>
      <c r="R184" s="1"/>
      <c r="S184" s="1"/>
      <c r="T184" s="1"/>
      <c r="U184" s="1"/>
      <c r="V184" s="1"/>
      <c r="W184" s="2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s="3" customFormat="1" x14ac:dyDescent="0.3">
      <c r="A185" s="8"/>
      <c r="B185" s="8"/>
      <c r="C185" s="7"/>
      <c r="D185" s="1"/>
      <c r="E185" s="7"/>
      <c r="F185" s="1"/>
      <c r="G185" s="1"/>
      <c r="H185" s="1"/>
      <c r="I185" s="1"/>
      <c r="J185" s="6"/>
      <c r="K185" s="5"/>
      <c r="L185" s="1"/>
      <c r="M185" s="1"/>
      <c r="P185" s="1"/>
      <c r="R185" s="1"/>
      <c r="S185" s="1"/>
      <c r="T185" s="1"/>
      <c r="U185" s="1"/>
      <c r="V185" s="1"/>
      <c r="W185" s="2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s="3" customFormat="1" x14ac:dyDescent="0.3">
      <c r="A186" s="8"/>
      <c r="B186" s="8"/>
      <c r="C186" s="7"/>
      <c r="D186" s="1"/>
      <c r="E186" s="7"/>
      <c r="F186" s="1"/>
      <c r="G186" s="1"/>
      <c r="H186" s="1"/>
      <c r="I186" s="1"/>
      <c r="J186" s="6"/>
      <c r="K186" s="5"/>
      <c r="L186" s="1"/>
      <c r="M186" s="1"/>
      <c r="P186" s="1"/>
      <c r="R186" s="1"/>
      <c r="S186" s="1"/>
      <c r="T186" s="1"/>
      <c r="U186" s="1"/>
      <c r="V186" s="1"/>
      <c r="W186" s="2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s="3" customFormat="1" x14ac:dyDescent="0.3">
      <c r="A187" s="8"/>
      <c r="B187" s="8"/>
      <c r="C187" s="7"/>
      <c r="D187" s="1"/>
      <c r="E187" s="7"/>
      <c r="F187" s="1"/>
      <c r="G187" s="1"/>
      <c r="H187" s="1"/>
      <c r="I187" s="1"/>
      <c r="J187" s="6"/>
      <c r="K187" s="5"/>
      <c r="L187" s="1"/>
      <c r="M187" s="1"/>
      <c r="P187" s="1"/>
      <c r="R187" s="1"/>
      <c r="S187" s="1"/>
      <c r="T187" s="1"/>
      <c r="U187" s="1"/>
      <c r="V187" s="1"/>
      <c r="W187" s="2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s="3" customFormat="1" x14ac:dyDescent="0.3">
      <c r="A188" s="8"/>
      <c r="B188" s="8"/>
      <c r="C188" s="7"/>
      <c r="D188" s="1"/>
      <c r="E188" s="7"/>
      <c r="F188" s="1"/>
      <c r="G188" s="1"/>
      <c r="H188" s="1"/>
      <c r="I188" s="1"/>
      <c r="J188" s="6"/>
      <c r="K188" s="5"/>
      <c r="L188" s="1"/>
      <c r="M188" s="1"/>
      <c r="P188" s="1"/>
      <c r="R188" s="1"/>
      <c r="S188" s="1"/>
      <c r="T188" s="1"/>
      <c r="U188" s="1"/>
      <c r="V188" s="1"/>
      <c r="W188" s="2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s="3" customFormat="1" x14ac:dyDescent="0.3">
      <c r="A189" s="8"/>
      <c r="B189" s="8"/>
      <c r="C189" s="7"/>
      <c r="D189" s="1"/>
      <c r="E189" s="7"/>
      <c r="F189" s="1"/>
      <c r="G189" s="1"/>
      <c r="H189" s="1"/>
      <c r="I189" s="1"/>
      <c r="J189" s="6"/>
      <c r="K189" s="5"/>
      <c r="L189" s="1"/>
      <c r="M189" s="1"/>
      <c r="P189" s="1"/>
      <c r="R189" s="1"/>
      <c r="S189" s="1"/>
      <c r="T189" s="1"/>
      <c r="U189" s="1"/>
      <c r="V189" s="1"/>
      <c r="W189" s="2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s="3" customFormat="1" x14ac:dyDescent="0.3">
      <c r="A190" s="8"/>
      <c r="B190" s="8"/>
      <c r="C190" s="7"/>
      <c r="D190" s="1"/>
      <c r="E190" s="7"/>
      <c r="F190" s="1"/>
      <c r="G190" s="1"/>
      <c r="H190" s="1"/>
      <c r="I190" s="1"/>
      <c r="J190" s="6"/>
      <c r="K190" s="5"/>
      <c r="L190" s="1"/>
      <c r="M190" s="1"/>
      <c r="P190" s="1"/>
      <c r="R190" s="1"/>
      <c r="S190" s="1"/>
      <c r="T190" s="1"/>
      <c r="U190" s="1"/>
      <c r="V190" s="1"/>
      <c r="W190" s="2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s="3" customFormat="1" x14ac:dyDescent="0.3">
      <c r="A191" s="8"/>
      <c r="B191" s="8"/>
      <c r="C191" s="7"/>
      <c r="D191" s="1"/>
      <c r="E191" s="7"/>
      <c r="F191" s="1"/>
      <c r="G191" s="1"/>
      <c r="H191" s="1"/>
      <c r="I191" s="1"/>
      <c r="J191" s="6"/>
      <c r="K191" s="5"/>
      <c r="L191" s="1"/>
      <c r="M191" s="1"/>
      <c r="P191" s="1"/>
      <c r="R191" s="1"/>
      <c r="S191" s="1"/>
      <c r="T191" s="1"/>
      <c r="U191" s="1"/>
      <c r="V191" s="1"/>
      <c r="W191" s="2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s="3" customFormat="1" x14ac:dyDescent="0.3">
      <c r="A192" s="8"/>
      <c r="B192" s="8"/>
      <c r="C192" s="7"/>
      <c r="D192" s="1"/>
      <c r="E192" s="7"/>
      <c r="F192" s="1"/>
      <c r="G192" s="1"/>
      <c r="H192" s="1"/>
      <c r="I192" s="1"/>
      <c r="J192" s="6"/>
      <c r="K192" s="5"/>
      <c r="L192" s="1"/>
      <c r="M192" s="1"/>
      <c r="P192" s="1"/>
      <c r="R192" s="1"/>
      <c r="S192" s="1"/>
      <c r="T192" s="1"/>
      <c r="U192" s="1"/>
      <c r="V192" s="1"/>
      <c r="W192" s="2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s="3" customFormat="1" x14ac:dyDescent="0.3">
      <c r="A193" s="8"/>
      <c r="B193" s="8"/>
      <c r="C193" s="7"/>
      <c r="D193" s="1"/>
      <c r="E193" s="7"/>
      <c r="F193" s="1"/>
      <c r="G193" s="1"/>
      <c r="H193" s="1"/>
      <c r="I193" s="1"/>
      <c r="J193" s="6"/>
      <c r="K193" s="5"/>
      <c r="L193" s="1"/>
      <c r="M193" s="1"/>
      <c r="P193" s="1"/>
      <c r="R193" s="1"/>
      <c r="S193" s="1"/>
      <c r="T193" s="1"/>
      <c r="U193" s="1"/>
      <c r="V193" s="1"/>
      <c r="W193" s="2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s="3" customFormat="1" x14ac:dyDescent="0.3">
      <c r="A194" s="8"/>
      <c r="B194" s="8"/>
      <c r="C194" s="7"/>
      <c r="D194" s="1"/>
      <c r="E194" s="7"/>
      <c r="F194" s="1"/>
      <c r="G194" s="1"/>
      <c r="H194" s="1"/>
      <c r="I194" s="1"/>
      <c r="J194" s="6"/>
      <c r="K194" s="5"/>
      <c r="L194" s="1"/>
      <c r="M194" s="1"/>
      <c r="P194" s="1"/>
      <c r="R194" s="1"/>
      <c r="S194" s="1"/>
      <c r="T194" s="1"/>
      <c r="U194" s="1"/>
      <c r="V194" s="1"/>
      <c r="W194" s="2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s="3" customFormat="1" x14ac:dyDescent="0.3">
      <c r="A195" s="8"/>
      <c r="B195" s="8"/>
      <c r="C195" s="7"/>
      <c r="D195" s="1"/>
      <c r="E195" s="7"/>
      <c r="F195" s="1"/>
      <c r="G195" s="1"/>
      <c r="H195" s="1"/>
      <c r="I195" s="1"/>
      <c r="J195" s="6"/>
      <c r="K195" s="5"/>
      <c r="L195" s="1"/>
      <c r="M195" s="1"/>
      <c r="P195" s="1"/>
      <c r="R195" s="1"/>
      <c r="S195" s="1"/>
      <c r="T195" s="1"/>
      <c r="U195" s="1"/>
      <c r="V195" s="1"/>
      <c r="W195" s="2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s="3" customFormat="1" x14ac:dyDescent="0.3">
      <c r="A196" s="8"/>
      <c r="B196" s="8"/>
      <c r="C196" s="7"/>
      <c r="D196" s="1"/>
      <c r="E196" s="7"/>
      <c r="F196" s="1"/>
      <c r="G196" s="1"/>
      <c r="H196" s="1"/>
      <c r="I196" s="1"/>
      <c r="J196" s="6"/>
      <c r="K196" s="5"/>
      <c r="L196" s="1"/>
      <c r="M196" s="1"/>
      <c r="P196" s="1"/>
      <c r="R196" s="1"/>
      <c r="S196" s="1"/>
      <c r="T196" s="1"/>
      <c r="U196" s="1"/>
      <c r="V196" s="1"/>
      <c r="W196" s="2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</sheetData>
  <mergeCells count="3">
    <mergeCell ref="A1:S1"/>
    <mergeCell ref="B3:C3"/>
    <mergeCell ref="B7:C7"/>
  </mergeCells>
  <conditionalFormatting sqref="A29:D29 K10:K19 B21:G25 H22:M28 Q19:Q31 S19:S31 O22:O31 V22:X31 N11:N47 K33:K47 V67:V93 K93 N93:N104 E93:E102">
    <cfRule type="cellIs" dxfId="241" priority="211" stopIfTrue="1" operator="equal">
      <formula>0</formula>
    </cfRule>
  </conditionalFormatting>
  <conditionalFormatting sqref="A131:H134">
    <cfRule type="cellIs" dxfId="240" priority="67" stopIfTrue="1" operator="equal">
      <formula>0</formula>
    </cfRule>
  </conditionalFormatting>
  <conditionalFormatting sqref="A119:I123">
    <cfRule type="cellIs" dxfId="239" priority="121" stopIfTrue="1" operator="equal">
      <formula>0</formula>
    </cfRule>
  </conditionalFormatting>
  <conditionalFormatting sqref="A125:H125">
    <cfRule type="cellIs" dxfId="238" priority="97" stopIfTrue="1" operator="equal">
      <formula>0</formula>
    </cfRule>
  </conditionalFormatting>
  <conditionalFormatting sqref="A128:I128 A129:H129">
    <cfRule type="cellIs" dxfId="237" priority="88" stopIfTrue="1" operator="equal">
      <formula>0</formula>
    </cfRule>
  </conditionalFormatting>
  <conditionalFormatting sqref="A101:D101 F101:J101">
    <cfRule type="cellIs" dxfId="236" priority="209" stopIfTrue="1" operator="equal">
      <formula>0</formula>
    </cfRule>
  </conditionalFormatting>
  <conditionalFormatting sqref="A102:D102 F102:M102">
    <cfRule type="cellIs" dxfId="235" priority="163" stopIfTrue="1" operator="equal">
      <formula>0</formula>
    </cfRule>
  </conditionalFormatting>
  <conditionalFormatting sqref="B26">
    <cfRule type="cellIs" dxfId="234" priority="145" stopIfTrue="1" operator="equal">
      <formula>0</formula>
    </cfRule>
  </conditionalFormatting>
  <conditionalFormatting sqref="B27:G31">
    <cfRule type="cellIs" dxfId="233" priority="208" stopIfTrue="1" operator="equal">
      <formula>0</formula>
    </cfRule>
  </conditionalFormatting>
  <conditionalFormatting sqref="B42:H42">
    <cfRule type="cellIs" dxfId="232" priority="146" stopIfTrue="1" operator="equal">
      <formula>0</formula>
    </cfRule>
  </conditionalFormatting>
  <conditionalFormatting sqref="B19:J19">
    <cfRule type="cellIs" dxfId="231" priority="151" stopIfTrue="1" operator="equal">
      <formula>0</formula>
    </cfRule>
  </conditionalFormatting>
  <conditionalFormatting sqref="B20:M20">
    <cfRule type="cellIs" dxfId="230" priority="204" stopIfTrue="1" operator="equal">
      <formula>0</formula>
    </cfRule>
  </conditionalFormatting>
  <conditionalFormatting sqref="C93:D93">
    <cfRule type="cellIs" dxfId="229" priority="206" stopIfTrue="1" operator="equal">
      <formula>0</formula>
    </cfRule>
  </conditionalFormatting>
  <conditionalFormatting sqref="C24:G26">
    <cfRule type="cellIs" dxfId="228" priority="207" stopIfTrue="1" operator="equal">
      <formula>0</formula>
    </cfRule>
  </conditionalFormatting>
  <conditionalFormatting sqref="F29:G29">
    <cfRule type="cellIs" dxfId="227" priority="210" stopIfTrue="1" operator="equal">
      <formula>0</formula>
    </cfRule>
  </conditionalFormatting>
  <conditionalFormatting sqref="F88:G91">
    <cfRule type="cellIs" dxfId="226" priority="186" stopIfTrue="1" operator="equal">
      <formula>0</formula>
    </cfRule>
  </conditionalFormatting>
  <conditionalFormatting sqref="H30:M31 H29:J29 L29:M29">
    <cfRule type="cellIs" dxfId="225" priority="203" stopIfTrue="1" operator="equal">
      <formula>0</formula>
    </cfRule>
  </conditionalFormatting>
  <conditionalFormatting sqref="I28:I29">
    <cfRule type="cellIs" dxfId="224" priority="192" stopIfTrue="1" operator="equal">
      <formula>0</formula>
    </cfRule>
  </conditionalFormatting>
  <conditionalFormatting sqref="I116:I117">
    <cfRule type="cellIs" dxfId="223" priority="108" stopIfTrue="1" operator="equal">
      <formula>0</formula>
    </cfRule>
  </conditionalFormatting>
  <conditionalFormatting sqref="I106:J107">
    <cfRule type="cellIs" dxfId="222" priority="171" stopIfTrue="1" operator="equal">
      <formula>0</formula>
    </cfRule>
  </conditionalFormatting>
  <conditionalFormatting sqref="I109:J111">
    <cfRule type="cellIs" dxfId="221" priority="137" stopIfTrue="1" operator="equal">
      <formula>0</formula>
    </cfRule>
  </conditionalFormatting>
  <conditionalFormatting sqref="I113:J114">
    <cfRule type="cellIs" dxfId="220" priority="135" stopIfTrue="1" operator="equal">
      <formula>0</formula>
    </cfRule>
  </conditionalFormatting>
  <conditionalFormatting sqref="I104:K104">
    <cfRule type="cellIs" dxfId="219" priority="172" stopIfTrue="1" operator="equal">
      <formula>0</formula>
    </cfRule>
  </conditionalFormatting>
  <conditionalFormatting sqref="K21:K23">
    <cfRule type="cellIs" dxfId="218" priority="175" stopIfTrue="1" operator="equal">
      <formula>0</formula>
    </cfRule>
  </conditionalFormatting>
  <conditionalFormatting sqref="K28">
    <cfRule type="cellIs" dxfId="217" priority="212" stopIfTrue="1" operator="equal">
      <formula>0</formula>
    </cfRule>
  </conditionalFormatting>
  <conditionalFormatting sqref="K49 K54:K55 K57:K61">
    <cfRule type="cellIs" dxfId="216" priority="160" stopIfTrue="1" operator="equal">
      <formula>0</formula>
    </cfRule>
  </conditionalFormatting>
  <conditionalFormatting sqref="K76:K77 K79:K85 K68:K74">
    <cfRule type="cellIs" dxfId="215" priority="193" stopIfTrue="1" operator="equal">
      <formula>0</formula>
    </cfRule>
  </conditionalFormatting>
  <conditionalFormatting sqref="K87">
    <cfRule type="cellIs" dxfId="214" priority="187" stopIfTrue="1" operator="equal">
      <formula>0</formula>
    </cfRule>
  </conditionalFormatting>
  <conditionalFormatting sqref="K97:K99 K101">
    <cfRule type="cellIs" dxfId="213" priority="96" stopIfTrue="1" operator="equal">
      <formula>0</formula>
    </cfRule>
  </conditionalFormatting>
  <conditionalFormatting sqref="K105:K114">
    <cfRule type="cellIs" dxfId="212" priority="95" stopIfTrue="1" operator="equal">
      <formula>0</formula>
    </cfRule>
  </conditionalFormatting>
  <conditionalFormatting sqref="K116:K125 K127:K128 K130:K137">
    <cfRule type="cellIs" dxfId="211" priority="72" stopIfTrue="1" operator="equal">
      <formula>0</formula>
    </cfRule>
  </conditionalFormatting>
  <conditionalFormatting sqref="L19:M19">
    <cfRule type="cellIs" dxfId="210" priority="150" stopIfTrue="1" operator="equal">
      <formula>0</formula>
    </cfRule>
  </conditionalFormatting>
  <conditionalFormatting sqref="L21:M21">
    <cfRule type="cellIs" dxfId="209" priority="181" stopIfTrue="1" operator="equal">
      <formula>0</formula>
    </cfRule>
  </conditionalFormatting>
  <conditionalFormatting sqref="L97:M99 L101:M101">
    <cfRule type="cellIs" dxfId="208" priority="173" stopIfTrue="1" operator="equal">
      <formula>0</formula>
    </cfRule>
  </conditionalFormatting>
  <conditionalFormatting sqref="M28">
    <cfRule type="cellIs" dxfId="207" priority="202" stopIfTrue="1" operator="lessThan">
      <formula>30</formula>
    </cfRule>
  </conditionalFormatting>
  <conditionalFormatting sqref="M48 M67 M86 M92">
    <cfRule type="cellIs" dxfId="206" priority="205" stopIfTrue="1" operator="lessThan">
      <formula>30</formula>
    </cfRule>
  </conditionalFormatting>
  <conditionalFormatting sqref="N49 N51 N57:N66 N54:N55">
    <cfRule type="cellIs" dxfId="205" priority="113" stopIfTrue="1" operator="equal">
      <formula>0</formula>
    </cfRule>
  </conditionalFormatting>
  <conditionalFormatting sqref="N68:N85">
    <cfRule type="cellIs" dxfId="204" priority="112" stopIfTrue="1" operator="equal">
      <formula>0</formula>
    </cfRule>
  </conditionalFormatting>
  <conditionalFormatting sqref="N87:N91">
    <cfRule type="cellIs" dxfId="203" priority="87" stopIfTrue="1" operator="equal">
      <formula>0</formula>
    </cfRule>
  </conditionalFormatting>
  <conditionalFormatting sqref="N106:N111">
    <cfRule type="cellIs" dxfId="202" priority="111" stopIfTrue="1" operator="equal">
      <formula>0</formula>
    </cfRule>
  </conditionalFormatting>
  <conditionalFormatting sqref="N113:N114">
    <cfRule type="cellIs" dxfId="201" priority="110" stopIfTrue="1" operator="equal">
      <formula>0</formula>
    </cfRule>
  </conditionalFormatting>
  <conditionalFormatting sqref="N116:N117">
    <cfRule type="cellIs" dxfId="200" priority="127" stopIfTrue="1" operator="equal">
      <formula>0</formula>
    </cfRule>
  </conditionalFormatting>
  <conditionalFormatting sqref="O119:O123">
    <cfRule type="cellIs" dxfId="199" priority="109" stopIfTrue="1" operator="equal">
      <formula>0</formula>
    </cfRule>
  </conditionalFormatting>
  <conditionalFormatting sqref="N125:O125">
    <cfRule type="cellIs" dxfId="198" priority="102" stopIfTrue="1" operator="equal">
      <formula>0</formula>
    </cfRule>
  </conditionalFormatting>
  <conditionalFormatting sqref="N128:O129">
    <cfRule type="cellIs" dxfId="197" priority="93" stopIfTrue="1" operator="equal">
      <formula>0</formula>
    </cfRule>
  </conditionalFormatting>
  <conditionalFormatting sqref="N131:O134">
    <cfRule type="cellIs" dxfId="196" priority="68" stopIfTrue="1" operator="equal">
      <formula>0</formula>
    </cfRule>
  </conditionalFormatting>
  <conditionalFormatting sqref="O11:O17 O22:O47 O86:O123">
    <cfRule type="cellIs" dxfId="195" priority="114" stopIfTrue="1" operator="equal">
      <formula>0</formula>
    </cfRule>
  </conditionalFormatting>
  <conditionalFormatting sqref="O18:O19">
    <cfRule type="cellIs" dxfId="194" priority="149" stopIfTrue="1" operator="equal">
      <formula>0</formula>
    </cfRule>
  </conditionalFormatting>
  <conditionalFormatting sqref="O19">
    <cfRule type="cellIs" dxfId="193" priority="148" stopIfTrue="1" operator="equal">
      <formula>0</formula>
    </cfRule>
  </conditionalFormatting>
  <conditionalFormatting sqref="O19">
    <cfRule type="cellIs" dxfId="192" priority="147" stopIfTrue="1" operator="equal">
      <formula>0</formula>
    </cfRule>
  </conditionalFormatting>
  <conditionalFormatting sqref="O20">
    <cfRule type="cellIs" dxfId="191" priority="201" stopIfTrue="1" operator="equal">
      <formula>0</formula>
    </cfRule>
  </conditionalFormatting>
  <conditionalFormatting sqref="O20:O23">
    <cfRule type="cellIs" dxfId="190" priority="180" stopIfTrue="1" operator="equal">
      <formula>0</formula>
    </cfRule>
  </conditionalFormatting>
  <conditionalFormatting sqref="O21">
    <cfRule type="cellIs" dxfId="189" priority="174" stopIfTrue="1" operator="equal">
      <formula>0</formula>
    </cfRule>
    <cfRule type="cellIs" dxfId="188" priority="179" stopIfTrue="1" operator="equal">
      <formula>0</formula>
    </cfRule>
  </conditionalFormatting>
  <conditionalFormatting sqref="O20">
    <cfRule type="cellIs" dxfId="187" priority="200" stopIfTrue="1" operator="equal">
      <formula>0</formula>
    </cfRule>
  </conditionalFormatting>
  <conditionalFormatting sqref="O24:O26">
    <cfRule type="cellIs" dxfId="186" priority="198" stopIfTrue="1" operator="equal">
      <formula>0</formula>
    </cfRule>
    <cfRule type="cellIs" dxfId="185" priority="199" stopIfTrue="1" operator="equal">
      <formula>0</formula>
    </cfRule>
  </conditionalFormatting>
  <conditionalFormatting sqref="O28:O29">
    <cfRule type="cellIs" dxfId="184" priority="197" stopIfTrue="1" operator="equal">
      <formula>0</formula>
    </cfRule>
  </conditionalFormatting>
  <conditionalFormatting sqref="O49 O51 O57:O85 O54:O55">
    <cfRule type="cellIs" dxfId="183" priority="159" stopIfTrue="1" operator="equal">
      <formula>0</formula>
    </cfRule>
  </conditionalFormatting>
  <conditionalFormatting sqref="O124:O125 O127:O137">
    <cfRule type="cellIs" dxfId="182" priority="73" stopIfTrue="1" operator="equal">
      <formula>0</formula>
    </cfRule>
  </conditionalFormatting>
  <conditionalFormatting sqref="O97 A97:D97 F97:J97">
    <cfRule type="cellIs" dxfId="181" priority="238" stopIfTrue="1" operator="equal">
      <formula>0</formula>
    </cfRule>
  </conditionalFormatting>
  <conditionalFormatting sqref="O101:O102">
    <cfRule type="cellIs" dxfId="180" priority="164" stopIfTrue="1" operator="equal">
      <formula>0</formula>
    </cfRule>
  </conditionalFormatting>
  <conditionalFormatting sqref="Q97:Q99 S97:S99 S101:S102 Q101:Q102">
    <cfRule type="cellIs" dxfId="179" priority="144" stopIfTrue="1" operator="equal">
      <formula>0</formula>
    </cfRule>
  </conditionalFormatting>
  <conditionalFormatting sqref="V102:V125 V127:V128 V130:V137">
    <cfRule type="cellIs" dxfId="178" priority="74" stopIfTrue="1" operator="equal">
      <formula>0</formula>
    </cfRule>
  </conditionalFormatting>
  <conditionalFormatting sqref="V19:X19">
    <cfRule type="cellIs" dxfId="177" priority="157" stopIfTrue="1" operator="equal">
      <formula>0</formula>
    </cfRule>
  </conditionalFormatting>
  <conditionalFormatting sqref="V20:X20">
    <cfRule type="cellIs" dxfId="176" priority="232" stopIfTrue="1" operator="equal">
      <formula>0</formula>
    </cfRule>
  </conditionalFormatting>
  <conditionalFormatting sqref="V21:X21 H21:J21">
    <cfRule type="cellIs" dxfId="175" priority="184" stopIfTrue="1" operator="equal">
      <formula>0</formula>
    </cfRule>
  </conditionalFormatting>
  <conditionalFormatting sqref="V24:X26">
    <cfRule type="cellIs" dxfId="174" priority="228" stopIfTrue="1" operator="equal">
      <formula>0</formula>
    </cfRule>
  </conditionalFormatting>
  <conditionalFormatting sqref="V29:X29">
    <cfRule type="cellIs" dxfId="173" priority="236" stopIfTrue="1" operator="equal">
      <formula>0</formula>
    </cfRule>
  </conditionalFormatting>
  <conditionalFormatting sqref="V97:X99 V101:X102">
    <cfRule type="cellIs" dxfId="172" priority="162" stopIfTrue="1" operator="equal">
      <formula>0</formula>
    </cfRule>
  </conditionalFormatting>
  <conditionalFormatting sqref="W1:W16 W86:W91">
    <cfRule type="cellIs" dxfId="171" priority="168" stopIfTrue="1" operator="between">
      <formula>-0.0001</formula>
      <formula>0.0001</formula>
    </cfRule>
    <cfRule type="cellIs" dxfId="170" priority="169" stopIfTrue="1" operator="between">
      <formula>-0.01</formula>
      <formula>0.01</formula>
    </cfRule>
  </conditionalFormatting>
  <conditionalFormatting sqref="W11:W16">
    <cfRule type="cellIs" dxfId="169" priority="170" stopIfTrue="1" operator="notBetween">
      <formula>-0.001</formula>
      <formula>0.001</formula>
    </cfRule>
  </conditionalFormatting>
  <conditionalFormatting sqref="W17 W34:W42">
    <cfRule type="cellIs" dxfId="168" priority="118" stopIfTrue="1" operator="between">
      <formula>-0.0001</formula>
      <formula>0.0001</formula>
    </cfRule>
    <cfRule type="cellIs" dxfId="167" priority="119" stopIfTrue="1" operator="between">
      <formula>-0.01</formula>
      <formula>0.01</formula>
    </cfRule>
    <cfRule type="cellIs" dxfId="166" priority="120" stopIfTrue="1" operator="notBetween">
      <formula>-0.001</formula>
      <formula>0.001</formula>
    </cfRule>
  </conditionalFormatting>
  <conditionalFormatting sqref="W17">
    <cfRule type="cellIs" dxfId="165" priority="115" stopIfTrue="1" operator="between">
      <formula>-0.0001</formula>
      <formula>0.0001</formula>
    </cfRule>
    <cfRule type="cellIs" dxfId="164" priority="116" stopIfTrue="1" operator="between">
      <formula>-0.01</formula>
      <formula>0.01</formula>
    </cfRule>
    <cfRule type="cellIs" dxfId="163" priority="117" stopIfTrue="1" operator="notBetween">
      <formula>-0.001</formula>
      <formula>0.001</formula>
    </cfRule>
  </conditionalFormatting>
  <conditionalFormatting sqref="W18 W29:W32 W58:W60 W62:W66 W93 W8 W104 W68:W85">
    <cfRule type="cellIs" dxfId="162" priority="242" stopIfTrue="1" operator="notBetween">
      <formula>-0.001</formula>
      <formula>0.001</formula>
    </cfRule>
  </conditionalFormatting>
  <conditionalFormatting sqref="W18 W29:W32 W58:W60 W62:W85">
    <cfRule type="cellIs" dxfId="161" priority="240" stopIfTrue="1" operator="between">
      <formula>-0.01</formula>
      <formula>0.01</formula>
    </cfRule>
  </conditionalFormatting>
  <conditionalFormatting sqref="W18:W19">
    <cfRule type="cellIs" dxfId="160" priority="155" stopIfTrue="1" operator="between">
      <formula>-0.0001</formula>
      <formula>0.0001</formula>
    </cfRule>
    <cfRule type="cellIs" dxfId="159" priority="156" stopIfTrue="1" operator="between">
      <formula>-0.01</formula>
      <formula>0.01</formula>
    </cfRule>
    <cfRule type="cellIs" dxfId="158" priority="158" stopIfTrue="1" operator="notBetween">
      <formula>-0.001</formula>
      <formula>0.001</formula>
    </cfRule>
  </conditionalFormatting>
  <conditionalFormatting sqref="W19">
    <cfRule type="cellIs" dxfId="157" priority="152" stopIfTrue="1" operator="between">
      <formula>-0.0001</formula>
      <formula>0.0001</formula>
    </cfRule>
    <cfRule type="cellIs" dxfId="156" priority="153" stopIfTrue="1" operator="between">
      <formula>-0.01</formula>
      <formula>0.01</formula>
    </cfRule>
    <cfRule type="cellIs" dxfId="155" priority="154" stopIfTrue="1" operator="notBetween">
      <formula>-0.001</formula>
      <formula>0.001</formula>
    </cfRule>
  </conditionalFormatting>
  <conditionalFormatting sqref="W20 W22:W31">
    <cfRule type="cellIs" dxfId="154" priority="231" stopIfTrue="1" operator="between">
      <formula>-0.01</formula>
      <formula>0.01</formula>
    </cfRule>
    <cfRule type="cellIs" dxfId="153" priority="233" stopIfTrue="1" operator="notBetween">
      <formula>-0.001</formula>
      <formula>0.001</formula>
    </cfRule>
  </conditionalFormatting>
  <conditionalFormatting sqref="W20:W23">
    <cfRule type="cellIs" dxfId="152" priority="182" stopIfTrue="1" operator="between">
      <formula>-0.0001</formula>
      <formula>0.0001</formula>
    </cfRule>
    <cfRule type="cellIs" dxfId="151" priority="183" stopIfTrue="1" operator="between">
      <formula>-0.01</formula>
      <formula>0.01</formula>
    </cfRule>
    <cfRule type="cellIs" dxfId="150" priority="185" stopIfTrue="1" operator="notBetween">
      <formula>-0.001</formula>
      <formula>0.001</formula>
    </cfRule>
  </conditionalFormatting>
  <conditionalFormatting sqref="W21">
    <cfRule type="cellIs" dxfId="149" priority="176" stopIfTrue="1" operator="between">
      <formula>-0.0001</formula>
      <formula>0.0001</formula>
    </cfRule>
    <cfRule type="cellIs" dxfId="148" priority="177" stopIfTrue="1" operator="between">
      <formula>-0.01</formula>
      <formula>0.01</formula>
    </cfRule>
    <cfRule type="cellIs" dxfId="147" priority="178" stopIfTrue="1" operator="notBetween">
      <formula>-0.001</formula>
      <formula>0.001</formula>
    </cfRule>
  </conditionalFormatting>
  <conditionalFormatting sqref="W20 W22:W31">
    <cfRule type="cellIs" dxfId="146" priority="230" stopIfTrue="1" operator="between">
      <formula>-0.0001</formula>
      <formula>0.0001</formula>
    </cfRule>
  </conditionalFormatting>
  <conditionalFormatting sqref="W24:W26">
    <cfRule type="cellIs" dxfId="145" priority="226" stopIfTrue="1" operator="between">
      <formula>-0.0001</formula>
      <formula>0.0001</formula>
    </cfRule>
    <cfRule type="cellIs" dxfId="144" priority="227" stopIfTrue="1" operator="between">
      <formula>-0.01</formula>
      <formula>0.01</formula>
    </cfRule>
    <cfRule type="cellIs" dxfId="143" priority="229" stopIfTrue="1" operator="notBetween">
      <formula>-0.001</formula>
      <formula>0.001</formula>
    </cfRule>
  </conditionalFormatting>
  <conditionalFormatting sqref="W28">
    <cfRule type="cellIs" dxfId="142" priority="213" stopIfTrue="1" operator="between">
      <formula>-0.0001</formula>
      <formula>0.0001</formula>
    </cfRule>
    <cfRule type="cellIs" dxfId="141" priority="214" stopIfTrue="1" operator="between">
      <formula>-0.01</formula>
      <formula>0.01</formula>
    </cfRule>
    <cfRule type="cellIs" dxfId="140" priority="215" stopIfTrue="1" operator="notBetween">
      <formula>-0.001</formula>
      <formula>0.001</formula>
    </cfRule>
  </conditionalFormatting>
  <conditionalFormatting sqref="W29">
    <cfRule type="cellIs" dxfId="139" priority="234" stopIfTrue="1" operator="between">
      <formula>-0.0001</formula>
      <formula>0.0001</formula>
    </cfRule>
    <cfRule type="cellIs" dxfId="138" priority="235" stopIfTrue="1" operator="between">
      <formula>-0.01</formula>
      <formula>0.01</formula>
    </cfRule>
    <cfRule type="cellIs" dxfId="137" priority="237" stopIfTrue="1" operator="notBetween">
      <formula>-0.001</formula>
      <formula>0.001</formula>
    </cfRule>
  </conditionalFormatting>
  <conditionalFormatting sqref="W29:W32 W58:W60 W18 W62:W85">
    <cfRule type="cellIs" dxfId="136" priority="239" stopIfTrue="1" operator="between">
      <formula>-0.0001</formula>
      <formula>0.0001</formula>
    </cfRule>
  </conditionalFormatting>
  <conditionalFormatting sqref="W33">
    <cfRule type="cellIs" dxfId="135" priority="219" stopIfTrue="1" operator="between">
      <formula>-0.0001</formula>
      <formula>0.0001</formula>
    </cfRule>
    <cfRule type="cellIs" dxfId="134" priority="220" stopIfTrue="1" operator="between">
      <formula>-0.01</formula>
      <formula>0.01</formula>
    </cfRule>
    <cfRule type="cellIs" dxfId="133" priority="221" stopIfTrue="1" operator="notBetween">
      <formula>-0.001</formula>
      <formula>0.001</formula>
    </cfRule>
  </conditionalFormatting>
  <conditionalFormatting sqref="W33">
    <cfRule type="cellIs" dxfId="132" priority="188" stopIfTrue="1" operator="between">
      <formula>-0.0001</formula>
      <formula>0.0001</formula>
    </cfRule>
    <cfRule type="cellIs" dxfId="131" priority="189" stopIfTrue="1" operator="between">
      <formula>-0.01</formula>
      <formula>0.01</formula>
    </cfRule>
    <cfRule type="cellIs" dxfId="130" priority="190" stopIfTrue="1" operator="notBetween">
      <formula>-0.001</formula>
      <formula>0.001</formula>
    </cfRule>
  </conditionalFormatting>
  <conditionalFormatting sqref="W34">
    <cfRule type="cellIs" dxfId="129" priority="141" stopIfTrue="1" operator="between">
      <formula>-0.0001</formula>
      <formula>0.0001</formula>
    </cfRule>
    <cfRule type="cellIs" dxfId="128" priority="142" stopIfTrue="1" operator="between">
      <formula>-0.01</formula>
      <formula>0.01</formula>
    </cfRule>
    <cfRule type="cellIs" dxfId="127" priority="143" stopIfTrue="1" operator="notBetween">
      <formula>-0.001</formula>
      <formula>0.001</formula>
    </cfRule>
  </conditionalFormatting>
  <conditionalFormatting sqref="W43:W44">
    <cfRule type="cellIs" dxfId="126" priority="128" stopIfTrue="1" operator="between">
      <formula>-0.0001</formula>
      <formula>0.0001</formula>
    </cfRule>
    <cfRule type="cellIs" dxfId="125" priority="129" stopIfTrue="1" operator="between">
      <formula>-0.01</formula>
      <formula>0.01</formula>
    </cfRule>
    <cfRule type="cellIs" dxfId="124" priority="130" stopIfTrue="1" operator="notBetween">
      <formula>-0.001</formula>
      <formula>0.001</formula>
    </cfRule>
  </conditionalFormatting>
  <conditionalFormatting sqref="W43:W45">
    <cfRule type="cellIs" dxfId="123" priority="83" stopIfTrue="1" operator="between">
      <formula>-0.0001</formula>
      <formula>0.0001</formula>
    </cfRule>
    <cfRule type="cellIs" dxfId="122" priority="84" stopIfTrue="1" operator="between">
      <formula>-0.01</formula>
      <formula>0.01</formula>
    </cfRule>
    <cfRule type="cellIs" dxfId="121" priority="85" stopIfTrue="1" operator="notBetween">
      <formula>-0.001</formula>
      <formula>0.001</formula>
    </cfRule>
  </conditionalFormatting>
  <conditionalFormatting sqref="W45:W47">
    <cfRule type="cellIs" dxfId="120" priority="82" stopIfTrue="1" operator="notBetween">
      <formula>-0.001</formula>
      <formula>0.001</formula>
    </cfRule>
  </conditionalFormatting>
  <conditionalFormatting sqref="W45:W49 W51 W57:W61 W54:W55">
    <cfRule type="cellIs" dxfId="119" priority="80" stopIfTrue="1" operator="between">
      <formula>-0.0001</formula>
      <formula>0.0001</formula>
    </cfRule>
    <cfRule type="cellIs" dxfId="118" priority="81" stopIfTrue="1" operator="between">
      <formula>-0.01</formula>
      <formula>0.01</formula>
    </cfRule>
  </conditionalFormatting>
  <conditionalFormatting sqref="W46:W47">
    <cfRule type="cellIs" dxfId="117" priority="77" stopIfTrue="1" operator="between">
      <formula>-0.0001</formula>
      <formula>0.0001</formula>
    </cfRule>
    <cfRule type="cellIs" dxfId="116" priority="78" stopIfTrue="1" operator="between">
      <formula>-0.01</formula>
      <formula>0.01</formula>
    </cfRule>
    <cfRule type="cellIs" dxfId="115" priority="79" stopIfTrue="1" operator="notBetween">
      <formula>-0.001</formula>
      <formula>0.001</formula>
    </cfRule>
  </conditionalFormatting>
  <conditionalFormatting sqref="W49 W51 W57:W61 W54:W55">
    <cfRule type="cellIs" dxfId="114" priority="161" stopIfTrue="1" operator="notBetween">
      <formula>-0.001</formula>
      <formula>0.001</formula>
    </cfRule>
  </conditionalFormatting>
  <conditionalFormatting sqref="W67 W92 W10 W103 W86 W48">
    <cfRule type="cellIs" dxfId="113" priority="241" stopIfTrue="1" operator="notBetween">
      <formula>-0.001</formula>
      <formula>0.001</formula>
    </cfRule>
  </conditionalFormatting>
  <conditionalFormatting sqref="W82:W85">
    <cfRule type="cellIs" dxfId="112" priority="194" stopIfTrue="1" operator="between">
      <formula>-0.0001</formula>
      <formula>0.0001</formula>
    </cfRule>
    <cfRule type="cellIs" dxfId="111" priority="195" stopIfTrue="1" operator="between">
      <formula>-0.01</formula>
      <formula>0.01</formula>
    </cfRule>
    <cfRule type="cellIs" dxfId="110" priority="196" stopIfTrue="1" operator="notBetween">
      <formula>-0.001</formula>
      <formula>0.001</formula>
    </cfRule>
  </conditionalFormatting>
  <conditionalFormatting sqref="W87:W91">
    <cfRule type="cellIs" dxfId="109" priority="86" stopIfTrue="1" operator="notBetween">
      <formula>-0.001</formula>
      <formula>0.001</formula>
    </cfRule>
  </conditionalFormatting>
  <conditionalFormatting sqref="W92:W93">
    <cfRule type="cellIs" dxfId="108" priority="224" stopIfTrue="1" operator="between">
      <formula>-0.0001</formula>
      <formula>0.0001</formula>
    </cfRule>
    <cfRule type="cellIs" dxfId="107" priority="225" stopIfTrue="1" operator="between">
      <formula>-0.01</formula>
      <formula>0.01</formula>
    </cfRule>
  </conditionalFormatting>
  <conditionalFormatting sqref="W93">
    <cfRule type="cellIs" dxfId="106" priority="216" stopIfTrue="1" operator="between">
      <formula>-0.0001</formula>
      <formula>0.0001</formula>
    </cfRule>
    <cfRule type="cellIs" dxfId="105" priority="217" stopIfTrue="1" operator="between">
      <formula>-0.01</formula>
      <formula>0.01</formula>
    </cfRule>
    <cfRule type="cellIs" dxfId="104" priority="218" stopIfTrue="1" operator="notBetween">
      <formula>-0.001</formula>
      <formula>0.001</formula>
    </cfRule>
  </conditionalFormatting>
  <conditionalFormatting sqref="W97:W99 W101:W102">
    <cfRule type="cellIs" dxfId="103" priority="167" stopIfTrue="1" operator="notBetween">
      <formula>-0.001</formula>
      <formula>0.001</formula>
    </cfRule>
  </conditionalFormatting>
  <conditionalFormatting sqref="W97:W99 W101:W107">
    <cfRule type="cellIs" dxfId="102" priority="165" stopIfTrue="1" operator="between">
      <formula>-0.0001</formula>
      <formula>0.0001</formula>
    </cfRule>
    <cfRule type="cellIs" dxfId="101" priority="166" stopIfTrue="1" operator="between">
      <formula>-0.01</formula>
      <formula>0.01</formula>
    </cfRule>
  </conditionalFormatting>
  <conditionalFormatting sqref="W105">
    <cfRule type="cellIs" dxfId="100" priority="223" stopIfTrue="1" operator="notBetween">
      <formula>-0.001</formula>
      <formula>0.001</formula>
    </cfRule>
  </conditionalFormatting>
  <conditionalFormatting sqref="W106:W107">
    <cfRule type="cellIs" dxfId="99" priority="222" stopIfTrue="1" operator="notBetween">
      <formula>-0.001</formula>
      <formula>0.001</formula>
    </cfRule>
  </conditionalFormatting>
  <conditionalFormatting sqref="W108">
    <cfRule type="cellIs" dxfId="98" priority="191" operator="lessThanOrEqual">
      <formula>0.1</formula>
    </cfRule>
  </conditionalFormatting>
  <conditionalFormatting sqref="W109:W111">
    <cfRule type="cellIs" dxfId="97" priority="138" stopIfTrue="1" operator="between">
      <formula>-0.0001</formula>
      <formula>0.0001</formula>
    </cfRule>
    <cfRule type="cellIs" dxfId="96" priority="139" stopIfTrue="1" operator="between">
      <formula>-0.01</formula>
      <formula>0.01</formula>
    </cfRule>
    <cfRule type="cellIs" dxfId="95" priority="140" stopIfTrue="1" operator="notBetween">
      <formula>-0.001</formula>
      <formula>0.001</formula>
    </cfRule>
  </conditionalFormatting>
  <conditionalFormatting sqref="W112">
    <cfRule type="cellIs" dxfId="94" priority="136" operator="lessThanOrEqual">
      <formula>0.1</formula>
    </cfRule>
  </conditionalFormatting>
  <conditionalFormatting sqref="W113:W114">
    <cfRule type="cellIs" dxfId="93" priority="131" stopIfTrue="1" operator="between">
      <formula>-0.0001</formula>
      <formula>0.0001</formula>
    </cfRule>
    <cfRule type="cellIs" dxfId="92" priority="132" stopIfTrue="1" operator="between">
      <formula>-0.01</formula>
      <formula>0.01</formula>
    </cfRule>
    <cfRule type="cellIs" dxfId="91" priority="133" stopIfTrue="1" operator="notBetween">
      <formula>-0.001</formula>
      <formula>0.001</formula>
    </cfRule>
  </conditionalFormatting>
  <conditionalFormatting sqref="W115">
    <cfRule type="cellIs" dxfId="90" priority="134" operator="lessThanOrEqual">
      <formula>0.1</formula>
    </cfRule>
  </conditionalFormatting>
  <conditionalFormatting sqref="W116:W117">
    <cfRule type="cellIs" dxfId="89" priority="123" operator="between">
      <formula>0.01%</formula>
      <formula>-0.0001</formula>
    </cfRule>
    <cfRule type="cellIs" dxfId="88" priority="124" stopIfTrue="1" operator="between">
      <formula>-0.0001</formula>
      <formula>0.0001</formula>
    </cfRule>
    <cfRule type="cellIs" dxfId="87" priority="125" stopIfTrue="1" operator="between">
      <formula>-0.01</formula>
      <formula>0.01</formula>
    </cfRule>
    <cfRule type="cellIs" dxfId="86" priority="126" stopIfTrue="1" operator="notBetween">
      <formula>-0.001</formula>
      <formula>0.001</formula>
    </cfRule>
  </conditionalFormatting>
  <conditionalFormatting sqref="W118">
    <cfRule type="cellIs" dxfId="85" priority="122" operator="lessThanOrEqual">
      <formula>0.1</formula>
    </cfRule>
  </conditionalFormatting>
  <conditionalFormatting sqref="W119:W123">
    <cfRule type="cellIs" dxfId="84" priority="104" operator="between">
      <formula>0.01%</formula>
      <formula>-0.0001</formula>
    </cfRule>
    <cfRule type="cellIs" dxfId="83" priority="105" stopIfTrue="1" operator="between">
      <formula>-0.0001</formula>
      <formula>0.0001</formula>
    </cfRule>
    <cfRule type="cellIs" dxfId="82" priority="106" stopIfTrue="1" operator="between">
      <formula>-0.01</formula>
      <formula>0.01</formula>
    </cfRule>
    <cfRule type="cellIs" dxfId="81" priority="107" stopIfTrue="1" operator="notBetween">
      <formula>-0.001</formula>
      <formula>0.001</formula>
    </cfRule>
  </conditionalFormatting>
  <conditionalFormatting sqref="W124">
    <cfRule type="cellIs" dxfId="80" priority="103" operator="lessThanOrEqual">
      <formula>0.1</formula>
    </cfRule>
  </conditionalFormatting>
  <conditionalFormatting sqref="W125">
    <cfRule type="cellIs" dxfId="79" priority="98" operator="between">
      <formula>0.01%</formula>
      <formula>-0.0001</formula>
    </cfRule>
    <cfRule type="cellIs" dxfId="78" priority="99" stopIfTrue="1" operator="between">
      <formula>-0.0001</formula>
      <formula>0.0001</formula>
    </cfRule>
    <cfRule type="cellIs" dxfId="77" priority="100" stopIfTrue="1" operator="between">
      <formula>-0.01</formula>
      <formula>0.01</formula>
    </cfRule>
    <cfRule type="cellIs" dxfId="76" priority="101" stopIfTrue="1" operator="notBetween">
      <formula>-0.001</formula>
      <formula>0.001</formula>
    </cfRule>
  </conditionalFormatting>
  <conditionalFormatting sqref="W127">
    <cfRule type="cellIs" dxfId="75" priority="94" operator="lessThanOrEqual">
      <formula>0.1</formula>
    </cfRule>
  </conditionalFormatting>
  <conditionalFormatting sqref="W128">
    <cfRule type="cellIs" dxfId="74" priority="89" operator="between">
      <formula>0.01%</formula>
      <formula>-0.0001</formula>
    </cfRule>
    <cfRule type="cellIs" dxfId="73" priority="90" stopIfTrue="1" operator="between">
      <formula>-0.0001</formula>
      <formula>0.0001</formula>
    </cfRule>
    <cfRule type="cellIs" dxfId="72" priority="91" stopIfTrue="1" operator="between">
      <formula>-0.01</formula>
      <formula>0.01</formula>
    </cfRule>
    <cfRule type="cellIs" dxfId="71" priority="92" stopIfTrue="1" operator="notBetween">
      <formula>-0.001</formula>
      <formula>0.001</formula>
    </cfRule>
  </conditionalFormatting>
  <conditionalFormatting sqref="W130">
    <cfRule type="cellIs" dxfId="70" priority="71" operator="lessThanOrEqual">
      <formula>0.1</formula>
    </cfRule>
  </conditionalFormatting>
  <conditionalFormatting sqref="W131:W134">
    <cfRule type="cellIs" dxfId="69" priority="70" stopIfTrue="1" operator="notBetween">
      <formula>-0.001</formula>
      <formula>0.001</formula>
    </cfRule>
  </conditionalFormatting>
  <conditionalFormatting sqref="W131:W134 W136:W65533">
    <cfRule type="cellIs" dxfId="68" priority="75" stopIfTrue="1" operator="between">
      <formula>-0.0001</formula>
      <formula>0.0001</formula>
    </cfRule>
    <cfRule type="cellIs" dxfId="67" priority="76" stopIfTrue="1" operator="between">
      <formula>-0.01</formula>
      <formula>0.01</formula>
    </cfRule>
  </conditionalFormatting>
  <conditionalFormatting sqref="W131:X134">
    <cfRule type="cellIs" dxfId="66" priority="69" stopIfTrue="1" operator="equal">
      <formula>0</formula>
    </cfRule>
  </conditionalFormatting>
  <conditionalFormatting sqref="K94:K96">
    <cfRule type="cellIs" dxfId="65" priority="66" stopIfTrue="1" operator="equal">
      <formula>0</formula>
    </cfRule>
  </conditionalFormatting>
  <conditionalFormatting sqref="K100">
    <cfRule type="cellIs" dxfId="64" priority="65" stopIfTrue="1" operator="equal">
      <formula>0</formula>
    </cfRule>
  </conditionalFormatting>
  <conditionalFormatting sqref="V94:V96">
    <cfRule type="cellIs" dxfId="63" priority="61" stopIfTrue="1" operator="equal">
      <formula>0</formula>
    </cfRule>
  </conditionalFormatting>
  <conditionalFormatting sqref="W94:W96">
    <cfRule type="cellIs" dxfId="62" priority="64" stopIfTrue="1" operator="notBetween">
      <formula>-0.001</formula>
      <formula>0.001</formula>
    </cfRule>
  </conditionalFormatting>
  <conditionalFormatting sqref="W94:W96">
    <cfRule type="cellIs" dxfId="61" priority="62" stopIfTrue="1" operator="between">
      <formula>-0.0001</formula>
      <formula>0.0001</formula>
    </cfRule>
    <cfRule type="cellIs" dxfId="60" priority="63" stopIfTrue="1" operator="between">
      <formula>-0.01</formula>
      <formula>0.01</formula>
    </cfRule>
  </conditionalFormatting>
  <conditionalFormatting sqref="V100">
    <cfRule type="cellIs" dxfId="59" priority="57" stopIfTrue="1" operator="equal">
      <formula>0</formula>
    </cfRule>
  </conditionalFormatting>
  <conditionalFormatting sqref="W100">
    <cfRule type="cellIs" dxfId="58" priority="60" stopIfTrue="1" operator="notBetween">
      <formula>-0.001</formula>
      <formula>0.001</formula>
    </cfRule>
  </conditionalFormatting>
  <conditionalFormatting sqref="W100">
    <cfRule type="cellIs" dxfId="57" priority="58" stopIfTrue="1" operator="between">
      <formula>-0.0001</formula>
      <formula>0.0001</formula>
    </cfRule>
    <cfRule type="cellIs" dxfId="56" priority="59" stopIfTrue="1" operator="between">
      <formula>-0.01</formula>
      <formula>0.01</formula>
    </cfRule>
  </conditionalFormatting>
  <conditionalFormatting sqref="K88:K92">
    <cfRule type="cellIs" dxfId="55" priority="56" stopIfTrue="1" operator="equal">
      <formula>0</formula>
    </cfRule>
  </conditionalFormatting>
  <conditionalFormatting sqref="K75">
    <cfRule type="cellIs" dxfId="54" priority="55" stopIfTrue="1" operator="equal">
      <formula>0</formula>
    </cfRule>
  </conditionalFormatting>
  <conditionalFormatting sqref="K78">
    <cfRule type="cellIs" dxfId="53" priority="54" stopIfTrue="1" operator="equal">
      <formula>0</formula>
    </cfRule>
  </conditionalFormatting>
  <conditionalFormatting sqref="K51">
    <cfRule type="cellIs" dxfId="52" priority="53" stopIfTrue="1" operator="equal">
      <formula>0</formula>
    </cfRule>
  </conditionalFormatting>
  <conditionalFormatting sqref="K29">
    <cfRule type="cellIs" dxfId="51" priority="52" stopIfTrue="1" operator="equal">
      <formula>0</formula>
    </cfRule>
  </conditionalFormatting>
  <conditionalFormatting sqref="A126:D126 F126:H126">
    <cfRule type="cellIs" dxfId="50" priority="46" stopIfTrue="1" operator="equal">
      <formula>0</formula>
    </cfRule>
  </conditionalFormatting>
  <conditionalFormatting sqref="K126">
    <cfRule type="cellIs" dxfId="49" priority="44" stopIfTrue="1" operator="equal">
      <formula>0</formula>
    </cfRule>
  </conditionalFormatting>
  <conditionalFormatting sqref="L126:O126">
    <cfRule type="cellIs" dxfId="48" priority="45" stopIfTrue="1" operator="equal">
      <formula>0</formula>
    </cfRule>
  </conditionalFormatting>
  <conditionalFormatting sqref="O126">
    <cfRule type="cellIs" dxfId="47" priority="49" stopIfTrue="1" operator="equal">
      <formula>0</formula>
    </cfRule>
  </conditionalFormatting>
  <conditionalFormatting sqref="V126">
    <cfRule type="cellIs" dxfId="46" priority="43" stopIfTrue="1" operator="equal">
      <formula>0</formula>
    </cfRule>
  </conditionalFormatting>
  <conditionalFormatting sqref="W126">
    <cfRule type="cellIs" dxfId="45" priority="50" stopIfTrue="1" operator="between">
      <formula>-0.0001</formula>
      <formula>0.0001</formula>
    </cfRule>
    <cfRule type="cellIs" dxfId="44" priority="51" stopIfTrue="1" operator="between">
      <formula>-0.01</formula>
      <formula>0.01</formula>
    </cfRule>
  </conditionalFormatting>
  <conditionalFormatting sqref="W126">
    <cfRule type="cellIs" dxfId="43" priority="48" stopIfTrue="1" operator="notBetween">
      <formula>-0.001</formula>
      <formula>0.001</formula>
    </cfRule>
  </conditionalFormatting>
  <conditionalFormatting sqref="W126:X126">
    <cfRule type="cellIs" dxfId="42" priority="47" stopIfTrue="1" operator="equal">
      <formula>0</formula>
    </cfRule>
  </conditionalFormatting>
  <conditionalFormatting sqref="I125:I126">
    <cfRule type="cellIs" dxfId="41" priority="42" stopIfTrue="1" operator="equal">
      <formula>0</formula>
    </cfRule>
  </conditionalFormatting>
  <conditionalFormatting sqref="E126">
    <cfRule type="cellIs" dxfId="40" priority="41" stopIfTrue="1" operator="equal">
      <formula>0</formula>
    </cfRule>
  </conditionalFormatting>
  <conditionalFormatting sqref="K50">
    <cfRule type="cellIs" dxfId="39" priority="39" stopIfTrue="1" operator="equal">
      <formula>0</formula>
    </cfRule>
  </conditionalFormatting>
  <conditionalFormatting sqref="N50">
    <cfRule type="cellIs" dxfId="38" priority="37" stopIfTrue="1" operator="equal">
      <formula>0</formula>
    </cfRule>
  </conditionalFormatting>
  <conditionalFormatting sqref="O50">
    <cfRule type="cellIs" dxfId="37" priority="38" stopIfTrue="1" operator="equal">
      <formula>0</formula>
    </cfRule>
  </conditionalFormatting>
  <conditionalFormatting sqref="W50">
    <cfRule type="cellIs" dxfId="36" priority="35" stopIfTrue="1" operator="between">
      <formula>-0.0001</formula>
      <formula>0.0001</formula>
    </cfRule>
    <cfRule type="cellIs" dxfId="35" priority="36" stopIfTrue="1" operator="between">
      <formula>-0.01</formula>
      <formula>0.01</formula>
    </cfRule>
  </conditionalFormatting>
  <conditionalFormatting sqref="W50">
    <cfRule type="cellIs" dxfId="34" priority="40" stopIfTrue="1" operator="notBetween">
      <formula>-0.001</formula>
      <formula>0.001</formula>
    </cfRule>
  </conditionalFormatting>
  <conditionalFormatting sqref="K56">
    <cfRule type="cellIs" dxfId="33" priority="33" stopIfTrue="1" operator="equal">
      <formula>0</formula>
    </cfRule>
  </conditionalFormatting>
  <conditionalFormatting sqref="N56">
    <cfRule type="cellIs" dxfId="32" priority="31" stopIfTrue="1" operator="equal">
      <formula>0</formula>
    </cfRule>
  </conditionalFormatting>
  <conditionalFormatting sqref="O56">
    <cfRule type="cellIs" dxfId="31" priority="32" stopIfTrue="1" operator="equal">
      <formula>0</formula>
    </cfRule>
  </conditionalFormatting>
  <conditionalFormatting sqref="W56">
    <cfRule type="cellIs" dxfId="30" priority="29" stopIfTrue="1" operator="between">
      <formula>-0.0001</formula>
      <formula>0.0001</formula>
    </cfRule>
    <cfRule type="cellIs" dxfId="29" priority="30" stopIfTrue="1" operator="between">
      <formula>-0.01</formula>
      <formula>0.01</formula>
    </cfRule>
  </conditionalFormatting>
  <conditionalFormatting sqref="W56">
    <cfRule type="cellIs" dxfId="28" priority="34" stopIfTrue="1" operator="notBetween">
      <formula>-0.001</formula>
      <formula>0.001</formula>
    </cfRule>
  </conditionalFormatting>
  <conditionalFormatting sqref="W135">
    <cfRule type="cellIs" dxfId="27" priority="28" operator="lessThanOrEqual">
      <formula>0.1</formula>
    </cfRule>
  </conditionalFormatting>
  <conditionalFormatting sqref="E136:E137">
    <cfRule type="cellIs" dxfId="26" priority="27" stopIfTrue="1" operator="equal">
      <formula>0</formula>
    </cfRule>
  </conditionalFormatting>
  <conditionalFormatting sqref="F136:G137">
    <cfRule type="cellIs" dxfId="25" priority="26" stopIfTrue="1" operator="equal">
      <formula>0</formula>
    </cfRule>
  </conditionalFormatting>
  <conditionalFormatting sqref="A136:D137">
    <cfRule type="cellIs" dxfId="24" priority="25" stopIfTrue="1" operator="equal">
      <formula>0</formula>
    </cfRule>
  </conditionalFormatting>
  <conditionalFormatting sqref="O136:O137">
    <cfRule type="cellIs" dxfId="23" priority="22" stopIfTrue="1" operator="equal">
      <formula>0</formula>
    </cfRule>
  </conditionalFormatting>
  <conditionalFormatting sqref="W136:W137">
    <cfRule type="cellIs" dxfId="22" priority="24" stopIfTrue="1" operator="notBetween">
      <formula>-0.001</formula>
      <formula>0.001</formula>
    </cfRule>
  </conditionalFormatting>
  <conditionalFormatting sqref="W136:X137">
    <cfRule type="cellIs" dxfId="21" priority="23" stopIfTrue="1" operator="equal">
      <formula>0</formula>
    </cfRule>
  </conditionalFormatting>
  <conditionalFormatting sqref="N136:N137">
    <cfRule type="cellIs" dxfId="20" priority="21" stopIfTrue="1" operator="equal">
      <formula>0</formula>
    </cfRule>
  </conditionalFormatting>
  <conditionalFormatting sqref="N52">
    <cfRule type="cellIs" dxfId="19" priority="18" stopIfTrue="1" operator="equal">
      <formula>0</formula>
    </cfRule>
  </conditionalFormatting>
  <conditionalFormatting sqref="O52">
    <cfRule type="cellIs" dxfId="18" priority="19" stopIfTrue="1" operator="equal">
      <formula>0</formula>
    </cfRule>
  </conditionalFormatting>
  <conditionalFormatting sqref="W52">
    <cfRule type="cellIs" dxfId="17" priority="16" stopIfTrue="1" operator="between">
      <formula>-0.0001</formula>
      <formula>0.0001</formula>
    </cfRule>
    <cfRule type="cellIs" dxfId="16" priority="17" stopIfTrue="1" operator="between">
      <formula>-0.01</formula>
      <formula>0.01</formula>
    </cfRule>
  </conditionalFormatting>
  <conditionalFormatting sqref="W52">
    <cfRule type="cellIs" dxfId="15" priority="20" stopIfTrue="1" operator="notBetween">
      <formula>-0.001</formula>
      <formula>0.001</formula>
    </cfRule>
  </conditionalFormatting>
  <conditionalFormatting sqref="K52">
    <cfRule type="cellIs" dxfId="14" priority="15" stopIfTrue="1" operator="equal">
      <formula>0</formula>
    </cfRule>
  </conditionalFormatting>
  <conditionalFormatting sqref="N53">
    <cfRule type="cellIs" dxfId="13" priority="12" stopIfTrue="1" operator="equal">
      <formula>0</formula>
    </cfRule>
  </conditionalFormatting>
  <conditionalFormatting sqref="O53">
    <cfRule type="cellIs" dxfId="12" priority="13" stopIfTrue="1" operator="equal">
      <formula>0</formula>
    </cfRule>
  </conditionalFormatting>
  <conditionalFormatting sqref="W53">
    <cfRule type="cellIs" dxfId="11" priority="10" stopIfTrue="1" operator="between">
      <formula>-0.0001</formula>
      <formula>0.0001</formula>
    </cfRule>
    <cfRule type="cellIs" dxfId="10" priority="11" stopIfTrue="1" operator="between">
      <formula>-0.01</formula>
      <formula>0.01</formula>
    </cfRule>
  </conditionalFormatting>
  <conditionalFormatting sqref="W53">
    <cfRule type="cellIs" dxfId="9" priority="14" stopIfTrue="1" operator="notBetween">
      <formula>-0.001</formula>
      <formula>0.001</formula>
    </cfRule>
  </conditionalFormatting>
  <conditionalFormatting sqref="K53">
    <cfRule type="cellIs" dxfId="8" priority="9" stopIfTrue="1" operator="equal">
      <formula>0</formula>
    </cfRule>
  </conditionalFormatting>
  <conditionalFormatting sqref="N119:N123">
    <cfRule type="cellIs" dxfId="7" priority="8" stopIfTrue="1" operator="equal">
      <formula>0</formula>
    </cfRule>
  </conditionalFormatting>
  <conditionalFormatting sqref="I129">
    <cfRule type="cellIs" dxfId="6" priority="7" stopIfTrue="1" operator="equal">
      <formula>0</formula>
    </cfRule>
  </conditionalFormatting>
  <conditionalFormatting sqref="K129">
    <cfRule type="cellIs" dxfId="5" priority="6" stopIfTrue="1" operator="equal">
      <formula>0</formula>
    </cfRule>
  </conditionalFormatting>
  <conditionalFormatting sqref="V129">
    <cfRule type="cellIs" dxfId="4" priority="1" stopIfTrue="1" operator="equal">
      <formula>0</formula>
    </cfRule>
  </conditionalFormatting>
  <conditionalFormatting sqref="W129">
    <cfRule type="cellIs" dxfId="3" priority="2" operator="between">
      <formula>0.01%</formula>
      <formula>-0.0001</formula>
    </cfRule>
    <cfRule type="cellIs" dxfId="2" priority="3" stopIfTrue="1" operator="between">
      <formula>-0.0001</formula>
      <formula>0.0001</formula>
    </cfRule>
    <cfRule type="cellIs" dxfId="1" priority="4" stopIfTrue="1" operator="between">
      <formula>-0.01</formula>
      <formula>0.01</formula>
    </cfRule>
    <cfRule type="cellIs" dxfId="0" priority="5" stopIfTrue="1" operator="notBetween">
      <formula>-0.001</formula>
      <formula>0.001</formula>
    </cfRule>
  </conditionalFormatting>
  <pageMargins left="0" right="0" top="0.98425196850393704" bottom="0.98425196850393704" header="0" footer="0"/>
  <pageSetup paperSize="9" scale="49" orientation="portrait" r:id="rId1"/>
  <headerFooter alignWithMargins="0">
    <oddHeader xml:space="preserve">&amp;LPolítica de precios JBS Argentina
&amp;CLista de precios por cadena&amp;RDepartamento de Marketing 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SUPER REG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Somer</dc:creator>
  <cp:lastModifiedBy>Maximiliano Somer</cp:lastModifiedBy>
  <dcterms:created xsi:type="dcterms:W3CDTF">2026-03-02T17:28:52Z</dcterms:created>
  <dcterms:modified xsi:type="dcterms:W3CDTF">2026-03-02T17:29:53Z</dcterms:modified>
</cp:coreProperties>
</file>